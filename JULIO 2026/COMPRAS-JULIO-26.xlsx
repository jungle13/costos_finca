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COSTOS LA FINCA\JULIO 2026\"/>
    </mc:Choice>
  </mc:AlternateContent>
  <xr:revisionPtr revIDLastSave="0" documentId="13_ncr:1_{8B602DD3-6810-4D1E-854C-6D180D8E9B26}" xr6:coauthVersionLast="47" xr6:coauthVersionMax="47" xr10:uidLastSave="{00000000-0000-0000-0000-000000000000}"/>
  <bookViews>
    <workbookView xWindow="-110" yWindow="-110" windowWidth="19420" windowHeight="10300" tabRatio="500" firstSheet="3" activeTab="6" xr2:uid="{00000000-000D-0000-FFFF-FFFF00000000}"/>
  </bookViews>
  <sheets>
    <sheet name="Carnes" sheetId="1" r:id="rId1"/>
    <sheet name="Verduras" sheetId="2" r:id="rId2"/>
    <sheet name="Grano" sheetId="3" r:id="rId3"/>
    <sheet name="Servicios" sheetId="4" r:id="rId4"/>
    <sheet name="Desechables" sheetId="5" r:id="rId5"/>
    <sheet name="Bebidas" sheetId="6" r:id="rId6"/>
    <sheet name="resumen" sheetId="7" r:id="rId7"/>
    <sheet name="Hoja1" sheetId="8" r:id="rId8"/>
  </sheets>
  <definedNames>
    <definedName name="_xlnm._FilterDatabase" localSheetId="5" hidden="1">Bebidas!$A$2:$CW$60</definedName>
    <definedName name="_xlnm._FilterDatabase" localSheetId="0" hidden="1">Carnes!$A$2:$CW$74</definedName>
    <definedName name="_xlnm._FilterDatabase" localSheetId="4" hidden="1">Desechables!$A$2:$CW$151</definedName>
    <definedName name="_xlnm._FilterDatabase" localSheetId="2" hidden="1">Grano!$A$2:$CW$55</definedName>
    <definedName name="_xlnm._FilterDatabase" localSheetId="7" hidden="1">Hoja1!$A$1:$G$1051</definedName>
    <definedName name="_xlnm._FilterDatabase" localSheetId="3" hidden="1">Servicios!$A$2:$CW$38</definedName>
    <definedName name="_xlnm._FilterDatabase" localSheetId="1" hidden="1">Verduras!$A$2:$CW$98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60" i="6" l="1"/>
  <c r="CW60" i="6" s="1"/>
  <c r="CU60" i="6"/>
  <c r="CT60" i="6"/>
  <c r="CQ60" i="6"/>
  <c r="CN60" i="6"/>
  <c r="CK60" i="6"/>
  <c r="CH60" i="6"/>
  <c r="CE60" i="6"/>
  <c r="CB60" i="6"/>
  <c r="BY60" i="6"/>
  <c r="BV60" i="6"/>
  <c r="BS60" i="6"/>
  <c r="BP60" i="6"/>
  <c r="BM60" i="6"/>
  <c r="BJ60" i="6"/>
  <c r="BG60" i="6"/>
  <c r="BD60" i="6"/>
  <c r="BA60" i="6"/>
  <c r="AX60" i="6"/>
  <c r="AU60" i="6"/>
  <c r="AR60" i="6"/>
  <c r="AO60" i="6"/>
  <c r="AI60" i="6"/>
  <c r="AF60" i="6"/>
  <c r="AC60" i="6"/>
  <c r="Z60" i="6"/>
  <c r="W60" i="6"/>
  <c r="T60" i="6"/>
  <c r="Q60" i="6"/>
  <c r="N60" i="6"/>
  <c r="K60" i="6"/>
  <c r="H60" i="6"/>
  <c r="CW59" i="6"/>
  <c r="CV59" i="6"/>
  <c r="CU59" i="6"/>
  <c r="CT59" i="6"/>
  <c r="CQ59" i="6"/>
  <c r="CN59" i="6"/>
  <c r="CK59" i="6"/>
  <c r="CH59" i="6"/>
  <c r="CE59" i="6"/>
  <c r="CB59" i="6"/>
  <c r="BY59" i="6"/>
  <c r="BS59" i="6"/>
  <c r="BP59" i="6"/>
  <c r="BM59" i="6"/>
  <c r="BJ59" i="6"/>
  <c r="BG59" i="6"/>
  <c r="BD59" i="6"/>
  <c r="BA59" i="6"/>
  <c r="AX59" i="6"/>
  <c r="AU59" i="6"/>
  <c r="AR59" i="6"/>
  <c r="AO59" i="6"/>
  <c r="AI59" i="6"/>
  <c r="AF59" i="6"/>
  <c r="AC59" i="6"/>
  <c r="Z59" i="6"/>
  <c r="W59" i="6"/>
  <c r="T59" i="6"/>
  <c r="Q59" i="6"/>
  <c r="N59" i="6"/>
  <c r="K59" i="6"/>
  <c r="H59" i="6"/>
  <c r="CW58" i="6"/>
  <c r="CV58" i="6"/>
  <c r="CU58" i="6"/>
  <c r="CT58" i="6"/>
  <c r="CQ58" i="6"/>
  <c r="CN58" i="6"/>
  <c r="CK58" i="6"/>
  <c r="CH58" i="6"/>
  <c r="CE58" i="6"/>
  <c r="CB58" i="6"/>
  <c r="BY58" i="6"/>
  <c r="BV58" i="6"/>
  <c r="BS58" i="6"/>
  <c r="BP58" i="6"/>
  <c r="BM58" i="6"/>
  <c r="BJ58" i="6"/>
  <c r="BG58" i="6"/>
  <c r="BD58" i="6"/>
  <c r="BA58" i="6"/>
  <c r="AX58" i="6"/>
  <c r="AU58" i="6"/>
  <c r="AR58" i="6"/>
  <c r="AO58" i="6"/>
  <c r="AL58" i="6"/>
  <c r="AI58" i="6"/>
  <c r="AF58" i="6"/>
  <c r="AC58" i="6"/>
  <c r="Z58" i="6"/>
  <c r="W58" i="6"/>
  <c r="T58" i="6"/>
  <c r="Q58" i="6"/>
  <c r="N58" i="6"/>
  <c r="K58" i="6"/>
  <c r="H58" i="6"/>
  <c r="E58" i="6"/>
  <c r="CV57" i="6"/>
  <c r="CU57" i="6"/>
  <c r="CW57" i="6" s="1"/>
  <c r="CT57" i="6"/>
  <c r="CQ57" i="6"/>
  <c r="CN57" i="6"/>
  <c r="CK57" i="6"/>
  <c r="CH57" i="6"/>
  <c r="CE57" i="6"/>
  <c r="CB57" i="6"/>
  <c r="BY57" i="6"/>
  <c r="BV57" i="6"/>
  <c r="BS57" i="6"/>
  <c r="BP57" i="6"/>
  <c r="BM57" i="6"/>
  <c r="BJ57" i="6"/>
  <c r="BG57" i="6"/>
  <c r="BA57" i="6"/>
  <c r="AX57" i="6"/>
  <c r="AU57" i="6"/>
  <c r="AR57" i="6"/>
  <c r="AO57" i="6"/>
  <c r="AI57" i="6"/>
  <c r="AF57" i="6"/>
  <c r="AC57" i="6"/>
  <c r="Z57" i="6"/>
  <c r="W57" i="6"/>
  <c r="T57" i="6"/>
  <c r="Q57" i="6"/>
  <c r="N57" i="6"/>
  <c r="K57" i="6"/>
  <c r="H57" i="6"/>
  <c r="E57" i="6"/>
  <c r="CV56" i="6"/>
  <c r="CU56" i="6"/>
  <c r="CW56" i="6" s="1"/>
  <c r="CT56" i="6"/>
  <c r="CQ56" i="6"/>
  <c r="CN56" i="6"/>
  <c r="CK56" i="6"/>
  <c r="CH56" i="6"/>
  <c r="CE56" i="6"/>
  <c r="CB56" i="6"/>
  <c r="BY56" i="6"/>
  <c r="BV56" i="6"/>
  <c r="BS56" i="6"/>
  <c r="BP56" i="6"/>
  <c r="BM56" i="6"/>
  <c r="BJ56" i="6"/>
  <c r="BG56" i="6"/>
  <c r="BD56" i="6"/>
  <c r="BA56" i="6"/>
  <c r="AX56" i="6"/>
  <c r="AU56" i="6"/>
  <c r="AR56" i="6"/>
  <c r="AO56" i="6"/>
  <c r="AL56" i="6"/>
  <c r="AI56" i="6"/>
  <c r="AF56" i="6"/>
  <c r="AC56" i="6"/>
  <c r="Z56" i="6"/>
  <c r="W56" i="6"/>
  <c r="T56" i="6"/>
  <c r="Q56" i="6"/>
  <c r="N56" i="6"/>
  <c r="K56" i="6"/>
  <c r="H56" i="6"/>
  <c r="E56" i="6"/>
  <c r="CV55" i="6"/>
  <c r="CW55" i="6" s="1"/>
  <c r="CU55" i="6"/>
  <c r="CT55" i="6"/>
  <c r="CQ55" i="6"/>
  <c r="CN55" i="6"/>
  <c r="CK55" i="6"/>
  <c r="CH55" i="6"/>
  <c r="CE55" i="6"/>
  <c r="CB55" i="6"/>
  <c r="BY55" i="6"/>
  <c r="BV55" i="6"/>
  <c r="BS55" i="6"/>
  <c r="BP55" i="6"/>
  <c r="BM55" i="6"/>
  <c r="BJ55" i="6"/>
  <c r="BG55" i="6"/>
  <c r="BD55" i="6"/>
  <c r="BA55" i="6"/>
  <c r="AX55" i="6"/>
  <c r="AU55" i="6"/>
  <c r="AR55" i="6"/>
  <c r="AO55" i="6"/>
  <c r="AL55" i="6"/>
  <c r="AI55" i="6"/>
  <c r="AF55" i="6"/>
  <c r="AC55" i="6"/>
  <c r="Z55" i="6"/>
  <c r="W55" i="6"/>
  <c r="T55" i="6"/>
  <c r="Q55" i="6"/>
  <c r="N55" i="6"/>
  <c r="K55" i="6"/>
  <c r="H55" i="6"/>
  <c r="E55" i="6"/>
  <c r="CV54" i="6"/>
  <c r="CU54" i="6"/>
  <c r="CW54" i="6" s="1"/>
  <c r="CT54" i="6"/>
  <c r="CQ54" i="6"/>
  <c r="CN54" i="6"/>
  <c r="CK54" i="6"/>
  <c r="CH54" i="6"/>
  <c r="CE54" i="6"/>
  <c r="CB54" i="6"/>
  <c r="BY54" i="6"/>
  <c r="BV54" i="6"/>
  <c r="BS54" i="6"/>
  <c r="BP54" i="6"/>
  <c r="BM54" i="6"/>
  <c r="BJ54" i="6"/>
  <c r="BG54" i="6"/>
  <c r="BD54" i="6"/>
  <c r="BA54" i="6"/>
  <c r="AX54" i="6"/>
  <c r="AU54" i="6"/>
  <c r="AR54" i="6"/>
  <c r="AO54" i="6"/>
  <c r="AL54" i="6"/>
  <c r="AI54" i="6"/>
  <c r="AF54" i="6"/>
  <c r="AC54" i="6"/>
  <c r="Z54" i="6"/>
  <c r="W54" i="6"/>
  <c r="T54" i="6"/>
  <c r="Q54" i="6"/>
  <c r="N54" i="6"/>
  <c r="K54" i="6"/>
  <c r="H54" i="6"/>
  <c r="E54" i="6"/>
  <c r="CV53" i="6"/>
  <c r="CW53" i="6" s="1"/>
  <c r="CU53" i="6"/>
  <c r="CT53" i="6"/>
  <c r="CQ53" i="6"/>
  <c r="CN53" i="6"/>
  <c r="CK53" i="6"/>
  <c r="CH53" i="6"/>
  <c r="CE53" i="6"/>
  <c r="CB53" i="6"/>
  <c r="BY53" i="6"/>
  <c r="BV53" i="6"/>
  <c r="BS53" i="6"/>
  <c r="BP53" i="6"/>
  <c r="BM53" i="6"/>
  <c r="BJ53" i="6"/>
  <c r="BG53" i="6"/>
  <c r="BD53" i="6"/>
  <c r="BA53" i="6"/>
  <c r="AX53" i="6"/>
  <c r="AU53" i="6"/>
  <c r="AR53" i="6"/>
  <c r="AO53" i="6"/>
  <c r="AL53" i="6"/>
  <c r="AI53" i="6"/>
  <c r="AF53" i="6"/>
  <c r="AC53" i="6"/>
  <c r="Z53" i="6"/>
  <c r="W53" i="6"/>
  <c r="T53" i="6"/>
  <c r="Q53" i="6"/>
  <c r="N53" i="6"/>
  <c r="K53" i="6"/>
  <c r="H53" i="6"/>
  <c r="E53" i="6"/>
  <c r="CW52" i="6"/>
  <c r="CV52" i="6"/>
  <c r="CU52" i="6"/>
  <c r="CT52" i="6"/>
  <c r="CQ52" i="6"/>
  <c r="CN52" i="6"/>
  <c r="CK52" i="6"/>
  <c r="CH52" i="6"/>
  <c r="CE52" i="6"/>
  <c r="CB52" i="6"/>
  <c r="BY52" i="6"/>
  <c r="BV52" i="6"/>
  <c r="BS52" i="6"/>
  <c r="BP52" i="6"/>
  <c r="BM52" i="6"/>
  <c r="BJ52" i="6"/>
  <c r="BG52" i="6"/>
  <c r="BD52" i="6"/>
  <c r="BA52" i="6"/>
  <c r="AX52" i="6"/>
  <c r="AU52" i="6"/>
  <c r="AR52" i="6"/>
  <c r="AO52" i="6"/>
  <c r="AL52" i="6"/>
  <c r="AI52" i="6"/>
  <c r="AF52" i="6"/>
  <c r="AC52" i="6"/>
  <c r="Z52" i="6"/>
  <c r="W52" i="6"/>
  <c r="T52" i="6"/>
  <c r="Q52" i="6"/>
  <c r="N52" i="6"/>
  <c r="K52" i="6"/>
  <c r="H52" i="6"/>
  <c r="E52" i="6"/>
  <c r="CV51" i="6"/>
  <c r="CU51" i="6"/>
  <c r="CW51" i="6" s="1"/>
  <c r="CT51" i="6"/>
  <c r="CQ51" i="6"/>
  <c r="CN51" i="6"/>
  <c r="CK51" i="6"/>
  <c r="CH51" i="6"/>
  <c r="CE51" i="6"/>
  <c r="CB51" i="6"/>
  <c r="BY51" i="6"/>
  <c r="BV51" i="6"/>
  <c r="BS51" i="6"/>
  <c r="BP51" i="6"/>
  <c r="BM51" i="6"/>
  <c r="BJ51" i="6"/>
  <c r="BG51" i="6"/>
  <c r="BD51" i="6"/>
  <c r="BA51" i="6"/>
  <c r="AX51" i="6"/>
  <c r="AU51" i="6"/>
  <c r="AR51" i="6"/>
  <c r="AO51" i="6"/>
  <c r="AL51" i="6"/>
  <c r="AI51" i="6"/>
  <c r="AF51" i="6"/>
  <c r="AC51" i="6"/>
  <c r="Z51" i="6"/>
  <c r="W51" i="6"/>
  <c r="T51" i="6"/>
  <c r="Q51" i="6"/>
  <c r="N51" i="6"/>
  <c r="K51" i="6"/>
  <c r="H51" i="6"/>
  <c r="E51" i="6"/>
  <c r="CW50" i="6"/>
  <c r="CV50" i="6"/>
  <c r="CU50" i="6"/>
  <c r="CT50" i="6"/>
  <c r="CQ50" i="6"/>
  <c r="CN50" i="6"/>
  <c r="CK50" i="6"/>
  <c r="CH50" i="6"/>
  <c r="CE50" i="6"/>
  <c r="CB50" i="6"/>
  <c r="BY50" i="6"/>
  <c r="BV50" i="6"/>
  <c r="BS50" i="6"/>
  <c r="BP50" i="6"/>
  <c r="BM50" i="6"/>
  <c r="BJ50" i="6"/>
  <c r="BG50" i="6"/>
  <c r="BD50" i="6"/>
  <c r="BA50" i="6"/>
  <c r="AX50" i="6"/>
  <c r="AU50" i="6"/>
  <c r="AR50" i="6"/>
  <c r="AO50" i="6"/>
  <c r="AL50" i="6"/>
  <c r="AI50" i="6"/>
  <c r="AF50" i="6"/>
  <c r="AC50" i="6"/>
  <c r="Z50" i="6"/>
  <c r="W50" i="6"/>
  <c r="T50" i="6"/>
  <c r="Q50" i="6"/>
  <c r="N50" i="6"/>
  <c r="K50" i="6"/>
  <c r="H50" i="6"/>
  <c r="E50" i="6"/>
  <c r="CV49" i="6"/>
  <c r="CU49" i="6"/>
  <c r="CW49" i="6" s="1"/>
  <c r="CT49" i="6"/>
  <c r="CQ49" i="6"/>
  <c r="CN49" i="6"/>
  <c r="CK49" i="6"/>
  <c r="CH49" i="6"/>
  <c r="CE49" i="6"/>
  <c r="CB49" i="6"/>
  <c r="BY49" i="6"/>
  <c r="BV49" i="6"/>
  <c r="BS49" i="6"/>
  <c r="BM49" i="6"/>
  <c r="BJ49" i="6"/>
  <c r="BG49" i="6"/>
  <c r="BD49" i="6"/>
  <c r="BA49" i="6"/>
  <c r="AX49" i="6"/>
  <c r="AU49" i="6"/>
  <c r="AR49" i="6"/>
  <c r="AO49" i="6"/>
  <c r="AL49" i="6"/>
  <c r="AI49" i="6"/>
  <c r="AF49" i="6"/>
  <c r="AC49" i="6"/>
  <c r="Z49" i="6"/>
  <c r="W49" i="6"/>
  <c r="T49" i="6"/>
  <c r="N49" i="6"/>
  <c r="K49" i="6"/>
  <c r="H49" i="6"/>
  <c r="E49" i="6"/>
  <c r="CV48" i="6"/>
  <c r="CU48" i="6"/>
  <c r="CW48" i="6" s="1"/>
  <c r="CT48" i="6"/>
  <c r="CQ48" i="6"/>
  <c r="CN48" i="6"/>
  <c r="CK48" i="6"/>
  <c r="CH48" i="6"/>
  <c r="CE48" i="6"/>
  <c r="CB48" i="6"/>
  <c r="BY48" i="6"/>
  <c r="BV48" i="6"/>
  <c r="BS48" i="6"/>
  <c r="BP48" i="6"/>
  <c r="BM48" i="6"/>
  <c r="BJ48" i="6"/>
  <c r="BG48" i="6"/>
  <c r="BD48" i="6"/>
  <c r="AX48" i="6"/>
  <c r="AU48" i="6"/>
  <c r="AR48" i="6"/>
  <c r="AO48" i="6"/>
  <c r="AL48" i="6"/>
  <c r="AI48" i="6"/>
  <c r="AF48" i="6"/>
  <c r="AC48" i="6"/>
  <c r="Z48" i="6"/>
  <c r="W48" i="6"/>
  <c r="T48" i="6"/>
  <c r="Q48" i="6"/>
  <c r="N48" i="6"/>
  <c r="K48" i="6"/>
  <c r="H48" i="6"/>
  <c r="E48" i="6"/>
  <c r="CV47" i="6"/>
  <c r="CU47" i="6"/>
  <c r="CW47" i="6" s="1"/>
  <c r="CT47" i="6"/>
  <c r="CQ47" i="6"/>
  <c r="CN47" i="6"/>
  <c r="CK47" i="6"/>
  <c r="CH47" i="6"/>
  <c r="CE47" i="6"/>
  <c r="CB47" i="6"/>
  <c r="BY47" i="6"/>
  <c r="BV47" i="6"/>
  <c r="BS47" i="6"/>
  <c r="BP47" i="6"/>
  <c r="BM47" i="6"/>
  <c r="BJ47" i="6"/>
  <c r="BG47" i="6"/>
  <c r="BD47" i="6"/>
  <c r="BA47" i="6"/>
  <c r="AX47" i="6"/>
  <c r="AU47" i="6"/>
  <c r="AR47" i="6"/>
  <c r="AO47" i="6"/>
  <c r="AI47" i="6"/>
  <c r="AF47" i="6"/>
  <c r="AC47" i="6"/>
  <c r="Z47" i="6"/>
  <c r="W47" i="6"/>
  <c r="T47" i="6"/>
  <c r="N47" i="6"/>
  <c r="K47" i="6"/>
  <c r="H47" i="6"/>
  <c r="E47" i="6"/>
  <c r="CV46" i="6"/>
  <c r="CW46" i="6" s="1"/>
  <c r="CU46" i="6"/>
  <c r="CT46" i="6"/>
  <c r="CQ46" i="6"/>
  <c r="CN46" i="6"/>
  <c r="CK46" i="6"/>
  <c r="CH46" i="6"/>
  <c r="CE46" i="6"/>
  <c r="CB46" i="6"/>
  <c r="BY46" i="6"/>
  <c r="BV46" i="6"/>
  <c r="BS46" i="6"/>
  <c r="BM46" i="6"/>
  <c r="BJ46" i="6"/>
  <c r="BG46" i="6"/>
  <c r="BD46" i="6"/>
  <c r="BA46" i="6"/>
  <c r="AX46" i="6"/>
  <c r="AU46" i="6"/>
  <c r="AR46" i="6"/>
  <c r="AO46" i="6"/>
  <c r="AL46" i="6"/>
  <c r="AI46" i="6"/>
  <c r="AF46" i="6"/>
  <c r="AC46" i="6"/>
  <c r="Z46" i="6"/>
  <c r="W46" i="6"/>
  <c r="T46" i="6"/>
  <c r="Q46" i="6"/>
  <c r="N46" i="6"/>
  <c r="K46" i="6"/>
  <c r="H46" i="6"/>
  <c r="E46" i="6"/>
  <c r="CV45" i="6"/>
  <c r="CW45" i="6" s="1"/>
  <c r="CU45" i="6"/>
  <c r="CT45" i="6"/>
  <c r="CQ45" i="6"/>
  <c r="CN45" i="6"/>
  <c r="CK45" i="6"/>
  <c r="CH45" i="6"/>
  <c r="CE45" i="6"/>
  <c r="CB45" i="6"/>
  <c r="BY45" i="6"/>
  <c r="BV45" i="6"/>
  <c r="BS45" i="6"/>
  <c r="BP45" i="6"/>
  <c r="BM45" i="6"/>
  <c r="BJ45" i="6"/>
  <c r="BG45" i="6"/>
  <c r="BD45" i="6"/>
  <c r="BA45" i="6"/>
  <c r="AX45" i="6"/>
  <c r="AU45" i="6"/>
  <c r="AR45" i="6"/>
  <c r="AO45" i="6"/>
  <c r="AL45" i="6"/>
  <c r="AI45" i="6"/>
  <c r="AF45" i="6"/>
  <c r="AC45" i="6"/>
  <c r="Z45" i="6"/>
  <c r="W45" i="6"/>
  <c r="T45" i="6"/>
  <c r="Q45" i="6"/>
  <c r="N45" i="6"/>
  <c r="K45" i="6"/>
  <c r="H45" i="6"/>
  <c r="E45" i="6"/>
  <c r="CV44" i="6"/>
  <c r="CU44" i="6"/>
  <c r="CW44" i="6" s="1"/>
  <c r="CT44" i="6"/>
  <c r="CQ44" i="6"/>
  <c r="CN44" i="6"/>
  <c r="CK44" i="6"/>
  <c r="CH44" i="6"/>
  <c r="CE44" i="6"/>
  <c r="CB44" i="6"/>
  <c r="BY44" i="6"/>
  <c r="BV44" i="6"/>
  <c r="BS44" i="6"/>
  <c r="BP44" i="6"/>
  <c r="BM44" i="6"/>
  <c r="BJ44" i="6"/>
  <c r="BG44" i="6"/>
  <c r="BD44" i="6"/>
  <c r="BA44" i="6"/>
  <c r="AX44" i="6"/>
  <c r="AU44" i="6"/>
  <c r="AR44" i="6"/>
  <c r="AO44" i="6"/>
  <c r="AL44" i="6"/>
  <c r="AI44" i="6"/>
  <c r="AF44" i="6"/>
  <c r="AC44" i="6"/>
  <c r="Z44" i="6"/>
  <c r="W44" i="6"/>
  <c r="T44" i="6"/>
  <c r="Q44" i="6"/>
  <c r="N44" i="6"/>
  <c r="K44" i="6"/>
  <c r="H44" i="6"/>
  <c r="E44" i="6"/>
  <c r="CV43" i="6"/>
  <c r="CW43" i="6" s="1"/>
  <c r="CU43" i="6"/>
  <c r="CT43" i="6"/>
  <c r="CQ43" i="6"/>
  <c r="CN43" i="6"/>
  <c r="CK43" i="6"/>
  <c r="CH43" i="6"/>
  <c r="CE43" i="6"/>
  <c r="CB43" i="6"/>
  <c r="BY43" i="6"/>
  <c r="BV43" i="6"/>
  <c r="BS43" i="6"/>
  <c r="BP43" i="6"/>
  <c r="BM43" i="6"/>
  <c r="BJ43" i="6"/>
  <c r="BG43" i="6"/>
  <c r="BD43" i="6"/>
  <c r="BA43" i="6"/>
  <c r="AX43" i="6"/>
  <c r="AU43" i="6"/>
  <c r="AO43" i="6"/>
  <c r="AL43" i="6"/>
  <c r="AI43" i="6"/>
  <c r="AF43" i="6"/>
  <c r="AC43" i="6"/>
  <c r="Z43" i="6"/>
  <c r="W43" i="6"/>
  <c r="T43" i="6"/>
  <c r="Q43" i="6"/>
  <c r="N43" i="6"/>
  <c r="K43" i="6"/>
  <c r="H43" i="6"/>
  <c r="E43" i="6"/>
  <c r="CV42" i="6"/>
  <c r="CW42" i="6" s="1"/>
  <c r="CU42" i="6"/>
  <c r="CT42" i="6"/>
  <c r="CQ42" i="6"/>
  <c r="CN42" i="6"/>
  <c r="CK42" i="6"/>
  <c r="CH42" i="6"/>
  <c r="CE42" i="6"/>
  <c r="CB42" i="6"/>
  <c r="BY42" i="6"/>
  <c r="BV42" i="6"/>
  <c r="BP42" i="6"/>
  <c r="BD42" i="6"/>
  <c r="BA42" i="6"/>
  <c r="AR42" i="6"/>
  <c r="E42" i="6"/>
  <c r="CW41" i="6"/>
  <c r="CV41" i="6"/>
  <c r="CU41" i="6"/>
  <c r="CT41" i="6"/>
  <c r="CQ41" i="6"/>
  <c r="CN41" i="6"/>
  <c r="CK41" i="6"/>
  <c r="CH41" i="6"/>
  <c r="CE41" i="6"/>
  <c r="CB41" i="6"/>
  <c r="BY41" i="6"/>
  <c r="BV41" i="6"/>
  <c r="BP41" i="6"/>
  <c r="BM41" i="6"/>
  <c r="BJ41" i="6"/>
  <c r="AR41" i="6"/>
  <c r="T41" i="6"/>
  <c r="E41" i="6"/>
  <c r="CV40" i="6"/>
  <c r="CU40" i="6"/>
  <c r="CW40" i="6" s="1"/>
  <c r="CT40" i="6"/>
  <c r="CQ40" i="6"/>
  <c r="CN40" i="6"/>
  <c r="CK40" i="6"/>
  <c r="CH40" i="6"/>
  <c r="CE40" i="6"/>
  <c r="CB40" i="6"/>
  <c r="BY40" i="6"/>
  <c r="BV40" i="6"/>
  <c r="BS40" i="6"/>
  <c r="BP40" i="6"/>
  <c r="BM40" i="6"/>
  <c r="BJ40" i="6"/>
  <c r="BG40" i="6"/>
  <c r="BD40" i="6"/>
  <c r="BA40" i="6"/>
  <c r="AX40" i="6"/>
  <c r="AU40" i="6"/>
  <c r="AR40" i="6"/>
  <c r="AO40" i="6"/>
  <c r="AL40" i="6"/>
  <c r="AI40" i="6"/>
  <c r="AC40" i="6"/>
  <c r="Z40" i="6"/>
  <c r="W40" i="6"/>
  <c r="T40" i="6"/>
  <c r="Q40" i="6"/>
  <c r="N40" i="6"/>
  <c r="K40" i="6"/>
  <c r="H40" i="6"/>
  <c r="E40" i="6"/>
  <c r="CV39" i="6"/>
  <c r="CU39" i="6"/>
  <c r="CW39" i="6" s="1"/>
  <c r="CT39" i="6"/>
  <c r="CQ39" i="6"/>
  <c r="CN39" i="6"/>
  <c r="CK39" i="6"/>
  <c r="CH39" i="6"/>
  <c r="CE39" i="6"/>
  <c r="CB39" i="6"/>
  <c r="BY39" i="6"/>
  <c r="BV39" i="6"/>
  <c r="BS39" i="6"/>
  <c r="BP39" i="6"/>
  <c r="BM39" i="6"/>
  <c r="BJ39" i="6"/>
  <c r="BG39" i="6"/>
  <c r="BD39" i="6"/>
  <c r="BA39" i="6"/>
  <c r="AX39" i="6"/>
  <c r="AU39" i="6"/>
  <c r="AR39" i="6"/>
  <c r="AO39" i="6"/>
  <c r="AI39" i="6"/>
  <c r="AF39" i="6"/>
  <c r="AC39" i="6"/>
  <c r="Z39" i="6"/>
  <c r="W39" i="6"/>
  <c r="T39" i="6"/>
  <c r="Q39" i="6"/>
  <c r="N39" i="6"/>
  <c r="K39" i="6"/>
  <c r="H39" i="6"/>
  <c r="E39" i="6"/>
  <c r="CW38" i="6"/>
  <c r="CV38" i="6"/>
  <c r="CU38" i="6"/>
  <c r="CT38" i="6"/>
  <c r="CQ38" i="6"/>
  <c r="CN38" i="6"/>
  <c r="CK38" i="6"/>
  <c r="CH38" i="6"/>
  <c r="CE38" i="6"/>
  <c r="CB38" i="6"/>
  <c r="BY38" i="6"/>
  <c r="BV38" i="6"/>
  <c r="BS38" i="6"/>
  <c r="BP38" i="6"/>
  <c r="BM38" i="6"/>
  <c r="BJ38" i="6"/>
  <c r="BG38" i="6"/>
  <c r="BD38" i="6"/>
  <c r="BA38" i="6"/>
  <c r="AX38" i="6"/>
  <c r="AU38" i="6"/>
  <c r="AR38" i="6"/>
  <c r="AO38" i="6"/>
  <c r="AL38" i="6"/>
  <c r="AF38" i="6"/>
  <c r="AC38" i="6"/>
  <c r="Z38" i="6"/>
  <c r="W38" i="6"/>
  <c r="T38" i="6"/>
  <c r="N38" i="6"/>
  <c r="K38" i="6"/>
  <c r="H38" i="6"/>
  <c r="E38" i="6"/>
  <c r="CV37" i="6"/>
  <c r="CW37" i="6" s="1"/>
  <c r="CU37" i="6"/>
  <c r="CT37" i="6"/>
  <c r="CQ37" i="6"/>
  <c r="CN37" i="6"/>
  <c r="CK37" i="6"/>
  <c r="CH37" i="6"/>
  <c r="CE37" i="6"/>
  <c r="CB37" i="6"/>
  <c r="BY37" i="6"/>
  <c r="BV37" i="6"/>
  <c r="BS37" i="6"/>
  <c r="BP37" i="6"/>
  <c r="BM37" i="6"/>
  <c r="BJ37" i="6"/>
  <c r="BD37" i="6"/>
  <c r="BA37" i="6"/>
  <c r="AX37" i="6"/>
  <c r="AU37" i="6"/>
  <c r="AR37" i="6"/>
  <c r="AO37" i="6"/>
  <c r="AL37" i="6"/>
  <c r="AF37" i="6"/>
  <c r="AC37" i="6"/>
  <c r="Z37" i="6"/>
  <c r="W37" i="6"/>
  <c r="T37" i="6"/>
  <c r="Q37" i="6"/>
  <c r="N37" i="6"/>
  <c r="K37" i="6"/>
  <c r="H37" i="6"/>
  <c r="E37" i="6"/>
  <c r="CW36" i="6"/>
  <c r="CV36" i="6"/>
  <c r="CU36" i="6"/>
  <c r="CT36" i="6"/>
  <c r="CQ36" i="6"/>
  <c r="CN36" i="6"/>
  <c r="CK36" i="6"/>
  <c r="CH36" i="6"/>
  <c r="CE36" i="6"/>
  <c r="CB36" i="6"/>
  <c r="BY36" i="6"/>
  <c r="BV36" i="6"/>
  <c r="BS36" i="6"/>
  <c r="BP36" i="6"/>
  <c r="BJ36" i="6"/>
  <c r="BD36" i="6"/>
  <c r="BA36" i="6"/>
  <c r="AX36" i="6"/>
  <c r="AU36" i="6"/>
  <c r="AR36" i="6"/>
  <c r="AO36" i="6"/>
  <c r="AL36" i="6"/>
  <c r="AF36" i="6"/>
  <c r="AC36" i="6"/>
  <c r="Z36" i="6"/>
  <c r="W36" i="6"/>
  <c r="T36" i="6"/>
  <c r="N36" i="6"/>
  <c r="K36" i="6"/>
  <c r="H36" i="6"/>
  <c r="E36" i="6"/>
  <c r="CV35" i="6"/>
  <c r="CW35" i="6" s="1"/>
  <c r="CU35" i="6"/>
  <c r="CT35" i="6"/>
  <c r="CQ35" i="6"/>
  <c r="CN35" i="6"/>
  <c r="CK35" i="6"/>
  <c r="CH35" i="6"/>
  <c r="CE35" i="6"/>
  <c r="CB35" i="6"/>
  <c r="BY35" i="6"/>
  <c r="BV35" i="6"/>
  <c r="BS35" i="6"/>
  <c r="BP35" i="6"/>
  <c r="BJ35" i="6"/>
  <c r="BD35" i="6"/>
  <c r="BA35" i="6"/>
  <c r="AX35" i="6"/>
  <c r="AU35" i="6"/>
  <c r="AR35" i="6"/>
  <c r="AO35" i="6"/>
  <c r="AL35" i="6"/>
  <c r="AF35" i="6"/>
  <c r="AC35" i="6"/>
  <c r="Z35" i="6"/>
  <c r="W35" i="6"/>
  <c r="T35" i="6"/>
  <c r="N35" i="6"/>
  <c r="K35" i="6"/>
  <c r="H35" i="6"/>
  <c r="E35" i="6"/>
  <c r="CW34" i="6"/>
  <c r="CV34" i="6"/>
  <c r="CU34" i="6"/>
  <c r="CT34" i="6"/>
  <c r="CQ34" i="6"/>
  <c r="CN34" i="6"/>
  <c r="CK34" i="6"/>
  <c r="CH34" i="6"/>
  <c r="CE34" i="6"/>
  <c r="CB34" i="6"/>
  <c r="BY34" i="6"/>
  <c r="BV34" i="6"/>
  <c r="BS34" i="6"/>
  <c r="BP34" i="6"/>
  <c r="BJ34" i="6"/>
  <c r="BD34" i="6"/>
  <c r="BA34" i="6"/>
  <c r="AX34" i="6"/>
  <c r="AU34" i="6"/>
  <c r="AR34" i="6"/>
  <c r="AO34" i="6"/>
  <c r="AL34" i="6"/>
  <c r="AC34" i="6"/>
  <c r="W34" i="6"/>
  <c r="T34" i="6"/>
  <c r="Q34" i="6"/>
  <c r="N34" i="6"/>
  <c r="K34" i="6"/>
  <c r="H34" i="6"/>
  <c r="E34" i="6"/>
  <c r="CV33" i="6"/>
  <c r="CU33" i="6"/>
  <c r="CW33" i="6" s="1"/>
  <c r="CT33" i="6"/>
  <c r="CQ33" i="6"/>
  <c r="CN33" i="6"/>
  <c r="CK33" i="6"/>
  <c r="CH33" i="6"/>
  <c r="CE33" i="6"/>
  <c r="CB33" i="6"/>
  <c r="BY33" i="6"/>
  <c r="BV33" i="6"/>
  <c r="BS33" i="6"/>
  <c r="BP33" i="6"/>
  <c r="BM33" i="6"/>
  <c r="BJ33" i="6"/>
  <c r="BG33" i="6"/>
  <c r="BD33" i="6"/>
  <c r="BA33" i="6"/>
  <c r="AX33" i="6"/>
  <c r="AU33" i="6"/>
  <c r="AR33" i="6"/>
  <c r="AO33" i="6"/>
  <c r="AL33" i="6"/>
  <c r="AI33" i="6"/>
  <c r="AF33" i="6"/>
  <c r="AC33" i="6"/>
  <c r="Z33" i="6"/>
  <c r="W33" i="6"/>
  <c r="T33" i="6"/>
  <c r="Q33" i="6"/>
  <c r="N33" i="6"/>
  <c r="K33" i="6"/>
  <c r="H33" i="6"/>
  <c r="E33" i="6"/>
  <c r="CV32" i="6"/>
  <c r="CW32" i="6" s="1"/>
  <c r="CU32" i="6"/>
  <c r="CT32" i="6"/>
  <c r="CQ32" i="6"/>
  <c r="CN32" i="6"/>
  <c r="CK32" i="6"/>
  <c r="CH32" i="6"/>
  <c r="CE32" i="6"/>
  <c r="CB32" i="6"/>
  <c r="BY32" i="6"/>
  <c r="BV32" i="6"/>
  <c r="BS32" i="6"/>
  <c r="BP32" i="6"/>
  <c r="BJ32" i="6"/>
  <c r="BD32" i="6"/>
  <c r="BA32" i="6"/>
  <c r="AX32" i="6"/>
  <c r="AU32" i="6"/>
  <c r="AR32" i="6"/>
  <c r="AO32" i="6"/>
  <c r="AL32" i="6"/>
  <c r="AF32" i="6"/>
  <c r="AC32" i="6"/>
  <c r="Z32" i="6"/>
  <c r="W32" i="6"/>
  <c r="T32" i="6"/>
  <c r="N32" i="6"/>
  <c r="K32" i="6"/>
  <c r="H32" i="6"/>
  <c r="E32" i="6"/>
  <c r="CW31" i="6"/>
  <c r="CV31" i="6"/>
  <c r="CU31" i="6"/>
  <c r="CT31" i="6"/>
  <c r="CQ31" i="6"/>
  <c r="CN31" i="6"/>
  <c r="CK31" i="6"/>
  <c r="CH31" i="6"/>
  <c r="CE31" i="6"/>
  <c r="CB31" i="6"/>
  <c r="BY31" i="6"/>
  <c r="BV31" i="6"/>
  <c r="BS31" i="6"/>
  <c r="BP31" i="6"/>
  <c r="BM31" i="6"/>
  <c r="BJ31" i="6"/>
  <c r="BD31" i="6"/>
  <c r="BA31" i="6"/>
  <c r="AX31" i="6"/>
  <c r="AR31" i="6"/>
  <c r="AO31" i="6"/>
  <c r="AL31" i="6"/>
  <c r="AI31" i="6"/>
  <c r="AF31" i="6"/>
  <c r="AC31" i="6"/>
  <c r="Z31" i="6"/>
  <c r="W31" i="6"/>
  <c r="T31" i="6"/>
  <c r="N31" i="6"/>
  <c r="K31" i="6"/>
  <c r="H31" i="6"/>
  <c r="E31" i="6"/>
  <c r="CW30" i="6"/>
  <c r="CV30" i="6"/>
  <c r="CU30" i="6"/>
  <c r="CT30" i="6"/>
  <c r="CQ30" i="6"/>
  <c r="CN30" i="6"/>
  <c r="CK30" i="6"/>
  <c r="CH30" i="6"/>
  <c r="CE30" i="6"/>
  <c r="CB30" i="6"/>
  <c r="BY30" i="6"/>
  <c r="BV30" i="6"/>
  <c r="BS30" i="6"/>
  <c r="BP30" i="6"/>
  <c r="BM30" i="6"/>
  <c r="BJ30" i="6"/>
  <c r="BG30" i="6"/>
  <c r="BD30" i="6"/>
  <c r="BA30" i="6"/>
  <c r="AX30" i="6"/>
  <c r="AU30" i="6"/>
  <c r="AR30" i="6"/>
  <c r="AO30" i="6"/>
  <c r="AL30" i="6"/>
  <c r="AI30" i="6"/>
  <c r="AF30" i="6"/>
  <c r="AC30" i="6"/>
  <c r="W30" i="6"/>
  <c r="T30" i="6"/>
  <c r="Q30" i="6"/>
  <c r="N30" i="6"/>
  <c r="K30" i="6"/>
  <c r="H30" i="6"/>
  <c r="E30" i="6"/>
  <c r="CW29" i="6"/>
  <c r="CV29" i="6"/>
  <c r="CU29" i="6"/>
  <c r="CT29" i="6"/>
  <c r="CQ29" i="6"/>
  <c r="CN29" i="6"/>
  <c r="CK29" i="6"/>
  <c r="CH29" i="6"/>
  <c r="CE29" i="6"/>
  <c r="CB29" i="6"/>
  <c r="BY29" i="6"/>
  <c r="BV29" i="6"/>
  <c r="BS29" i="6"/>
  <c r="BP29" i="6"/>
  <c r="BM29" i="6"/>
  <c r="BJ29" i="6"/>
  <c r="BG29" i="6"/>
  <c r="BD29" i="6"/>
  <c r="BA29" i="6"/>
  <c r="AX29" i="6"/>
  <c r="AU29" i="6"/>
  <c r="AR29" i="6"/>
  <c r="AO29" i="6"/>
  <c r="AL29" i="6"/>
  <c r="AI29" i="6"/>
  <c r="AF29" i="6"/>
  <c r="AC29" i="6"/>
  <c r="Z29" i="6"/>
  <c r="W29" i="6"/>
  <c r="T29" i="6"/>
  <c r="Q29" i="6"/>
  <c r="N29" i="6"/>
  <c r="K29" i="6"/>
  <c r="H29" i="6"/>
  <c r="E29" i="6"/>
  <c r="CV28" i="6"/>
  <c r="CU28" i="6"/>
  <c r="CW28" i="6" s="1"/>
  <c r="CT28" i="6"/>
  <c r="CQ28" i="6"/>
  <c r="CN28" i="6"/>
  <c r="CK28" i="6"/>
  <c r="CH28" i="6"/>
  <c r="CE28" i="6"/>
  <c r="CB28" i="6"/>
  <c r="BY28" i="6"/>
  <c r="BV28" i="6"/>
  <c r="BS28" i="6"/>
  <c r="BP28" i="6"/>
  <c r="BM28" i="6"/>
  <c r="BJ28" i="6"/>
  <c r="BG28" i="6"/>
  <c r="BD28" i="6"/>
  <c r="BA28" i="6"/>
  <c r="AX28" i="6"/>
  <c r="AU28" i="6"/>
  <c r="AR28" i="6"/>
  <c r="AO28" i="6"/>
  <c r="AL28" i="6"/>
  <c r="AI28" i="6"/>
  <c r="AF28" i="6"/>
  <c r="AC28" i="6"/>
  <c r="Z28" i="6"/>
  <c r="W28" i="6"/>
  <c r="T28" i="6"/>
  <c r="Q28" i="6"/>
  <c r="N28" i="6"/>
  <c r="K28" i="6"/>
  <c r="H28" i="6"/>
  <c r="E28" i="6"/>
  <c r="CW27" i="6"/>
  <c r="CV27" i="6"/>
  <c r="CU27" i="6"/>
  <c r="CT27" i="6"/>
  <c r="CQ27" i="6"/>
  <c r="CN27" i="6"/>
  <c r="CK27" i="6"/>
  <c r="CH27" i="6"/>
  <c r="CE27" i="6"/>
  <c r="CB27" i="6"/>
  <c r="BY27" i="6"/>
  <c r="BV27" i="6"/>
  <c r="BS27" i="6"/>
  <c r="BP27" i="6"/>
  <c r="BM27" i="6"/>
  <c r="BJ27" i="6"/>
  <c r="BG27" i="6"/>
  <c r="BD27" i="6"/>
  <c r="BA27" i="6"/>
  <c r="AX27" i="6"/>
  <c r="AU27" i="6"/>
  <c r="AR27" i="6"/>
  <c r="AO27" i="6"/>
  <c r="AL27" i="6"/>
  <c r="AI27" i="6"/>
  <c r="AF27" i="6"/>
  <c r="AC27" i="6"/>
  <c r="Z27" i="6"/>
  <c r="W27" i="6"/>
  <c r="T27" i="6"/>
  <c r="Q27" i="6"/>
  <c r="N27" i="6"/>
  <c r="K27" i="6"/>
  <c r="H27" i="6"/>
  <c r="E27" i="6"/>
  <c r="CV26" i="6"/>
  <c r="CU26" i="6"/>
  <c r="CW26" i="6" s="1"/>
  <c r="CT26" i="6"/>
  <c r="CQ26" i="6"/>
  <c r="CN26" i="6"/>
  <c r="CK26" i="6"/>
  <c r="CH26" i="6"/>
  <c r="CE26" i="6"/>
  <c r="CB26" i="6"/>
  <c r="BY26" i="6"/>
  <c r="BV26" i="6"/>
  <c r="BS26" i="6"/>
  <c r="BP26" i="6"/>
  <c r="BM26" i="6"/>
  <c r="BJ26" i="6"/>
  <c r="BG26" i="6"/>
  <c r="BD26" i="6"/>
  <c r="BA26" i="6"/>
  <c r="AX26" i="6"/>
  <c r="AU26" i="6"/>
  <c r="AR26" i="6"/>
  <c r="AO26" i="6"/>
  <c r="AL26" i="6"/>
  <c r="AI26" i="6"/>
  <c r="AF26" i="6"/>
  <c r="AC26" i="6"/>
  <c r="Z26" i="6"/>
  <c r="W26" i="6"/>
  <c r="T26" i="6"/>
  <c r="Q26" i="6"/>
  <c r="N26" i="6"/>
  <c r="K26" i="6"/>
  <c r="H26" i="6"/>
  <c r="E26" i="6"/>
  <c r="CV25" i="6"/>
  <c r="CU25" i="6"/>
  <c r="CW25" i="6" s="1"/>
  <c r="CT25" i="6"/>
  <c r="CQ25" i="6"/>
  <c r="CN25" i="6"/>
  <c r="CK25" i="6"/>
  <c r="CH25" i="6"/>
  <c r="CE25" i="6"/>
  <c r="CB25" i="6"/>
  <c r="BY25" i="6"/>
  <c r="BV25" i="6"/>
  <c r="BS25" i="6"/>
  <c r="BP25" i="6"/>
  <c r="BM25" i="6"/>
  <c r="BJ25" i="6"/>
  <c r="BG25" i="6"/>
  <c r="BD25" i="6"/>
  <c r="BA25" i="6"/>
  <c r="AX25" i="6"/>
  <c r="AU25" i="6"/>
  <c r="AR25" i="6"/>
  <c r="AO25" i="6"/>
  <c r="AL25" i="6"/>
  <c r="AI25" i="6"/>
  <c r="AF25" i="6"/>
  <c r="AC25" i="6"/>
  <c r="Z25" i="6"/>
  <c r="W25" i="6"/>
  <c r="T25" i="6"/>
  <c r="Q25" i="6"/>
  <c r="N25" i="6"/>
  <c r="K25" i="6"/>
  <c r="H25" i="6"/>
  <c r="E25" i="6"/>
  <c r="CV24" i="6"/>
  <c r="CW24" i="6" s="1"/>
  <c r="CU24" i="6"/>
  <c r="CT24" i="6"/>
  <c r="CQ24" i="6"/>
  <c r="CN24" i="6"/>
  <c r="CK24" i="6"/>
  <c r="CH24" i="6"/>
  <c r="CE24" i="6"/>
  <c r="CB24" i="6"/>
  <c r="BY24" i="6"/>
  <c r="BV24" i="6"/>
  <c r="BS24" i="6"/>
  <c r="BP24" i="6"/>
  <c r="BM24" i="6"/>
  <c r="BJ24" i="6"/>
  <c r="BG24" i="6"/>
  <c r="BD24" i="6"/>
  <c r="BA24" i="6"/>
  <c r="AX24" i="6"/>
  <c r="AU24" i="6"/>
  <c r="AR24" i="6"/>
  <c r="AO24" i="6"/>
  <c r="AL24" i="6"/>
  <c r="AI24" i="6"/>
  <c r="AF24" i="6"/>
  <c r="AC24" i="6"/>
  <c r="Z24" i="6"/>
  <c r="W24" i="6"/>
  <c r="T24" i="6"/>
  <c r="Q24" i="6"/>
  <c r="N24" i="6"/>
  <c r="K24" i="6"/>
  <c r="H24" i="6"/>
  <c r="E24" i="6"/>
  <c r="CV23" i="6"/>
  <c r="CU23" i="6"/>
  <c r="CW23" i="6" s="1"/>
  <c r="CT23" i="6"/>
  <c r="CQ23" i="6"/>
  <c r="CN23" i="6"/>
  <c r="CK23" i="6"/>
  <c r="CH23" i="6"/>
  <c r="CE23" i="6"/>
  <c r="CB23" i="6"/>
  <c r="BY23" i="6"/>
  <c r="BV23" i="6"/>
  <c r="BS23" i="6"/>
  <c r="BP23" i="6"/>
  <c r="BM23" i="6"/>
  <c r="BJ23" i="6"/>
  <c r="BG23" i="6"/>
  <c r="BD23" i="6"/>
  <c r="BA23" i="6"/>
  <c r="AX23" i="6"/>
  <c r="AU23" i="6"/>
  <c r="AR23" i="6"/>
  <c r="AO23" i="6"/>
  <c r="AL23" i="6"/>
  <c r="AI23" i="6"/>
  <c r="AF23" i="6"/>
  <c r="AC23" i="6"/>
  <c r="Z23" i="6"/>
  <c r="W23" i="6"/>
  <c r="T23" i="6"/>
  <c r="Q23" i="6"/>
  <c r="N23" i="6"/>
  <c r="K23" i="6"/>
  <c r="H23" i="6"/>
  <c r="E23" i="6"/>
  <c r="CV22" i="6"/>
  <c r="CW22" i="6" s="1"/>
  <c r="CU22" i="6"/>
  <c r="CT22" i="6"/>
  <c r="CQ22" i="6"/>
  <c r="CN22" i="6"/>
  <c r="CK22" i="6"/>
  <c r="CH22" i="6"/>
  <c r="CE22" i="6"/>
  <c r="CB22" i="6"/>
  <c r="BY22" i="6"/>
  <c r="BV22" i="6"/>
  <c r="BS22" i="6"/>
  <c r="BP22" i="6"/>
  <c r="BM22" i="6"/>
  <c r="BJ22" i="6"/>
  <c r="BG22" i="6"/>
  <c r="BD22" i="6"/>
  <c r="BA22" i="6"/>
  <c r="AX22" i="6"/>
  <c r="AU22" i="6"/>
  <c r="AR22" i="6"/>
  <c r="AO22" i="6"/>
  <c r="AI22" i="6"/>
  <c r="AF22" i="6"/>
  <c r="AC22" i="6"/>
  <c r="Z22" i="6"/>
  <c r="W22" i="6"/>
  <c r="T22" i="6"/>
  <c r="N22" i="6"/>
  <c r="K22" i="6"/>
  <c r="H22" i="6"/>
  <c r="E22" i="6"/>
  <c r="CW21" i="6"/>
  <c r="CV21" i="6"/>
  <c r="CU21" i="6"/>
  <c r="CT21" i="6"/>
  <c r="CQ21" i="6"/>
  <c r="CN21" i="6"/>
  <c r="CK21" i="6"/>
  <c r="CH21" i="6"/>
  <c r="CE21" i="6"/>
  <c r="CB21" i="6"/>
  <c r="BY21" i="6"/>
  <c r="BV21" i="6"/>
  <c r="BS21" i="6"/>
  <c r="BP21" i="6"/>
  <c r="BM21" i="6"/>
  <c r="BJ21" i="6"/>
  <c r="BG21" i="6"/>
  <c r="BD21" i="6"/>
  <c r="BA21" i="6"/>
  <c r="AX21" i="6"/>
  <c r="AU21" i="6"/>
  <c r="AR21" i="6"/>
  <c r="AO21" i="6"/>
  <c r="AL21" i="6"/>
  <c r="AI21" i="6"/>
  <c r="AF21" i="6"/>
  <c r="AC21" i="6"/>
  <c r="Z21" i="6"/>
  <c r="W21" i="6"/>
  <c r="T21" i="6"/>
  <c r="Q21" i="6"/>
  <c r="N21" i="6"/>
  <c r="K21" i="6"/>
  <c r="H21" i="6"/>
  <c r="E21" i="6"/>
  <c r="CV20" i="6"/>
  <c r="CU20" i="6"/>
  <c r="CW20" i="6" s="1"/>
  <c r="CT20" i="6"/>
  <c r="CQ20" i="6"/>
  <c r="CN20" i="6"/>
  <c r="CK20" i="6"/>
  <c r="CH20" i="6"/>
  <c r="CE20" i="6"/>
  <c r="CB20" i="6"/>
  <c r="BY20" i="6"/>
  <c r="BV20" i="6"/>
  <c r="BS20" i="6"/>
  <c r="BP20" i="6"/>
  <c r="BM20" i="6"/>
  <c r="BJ20" i="6"/>
  <c r="BG20" i="6"/>
  <c r="BD20" i="6"/>
  <c r="BA20" i="6"/>
  <c r="AX20" i="6"/>
  <c r="AU20" i="6"/>
  <c r="AR20" i="6"/>
  <c r="AO20" i="6"/>
  <c r="AI20" i="6"/>
  <c r="AF20" i="6"/>
  <c r="AC20" i="6"/>
  <c r="Z20" i="6"/>
  <c r="W20" i="6"/>
  <c r="T20" i="6"/>
  <c r="N20" i="6"/>
  <c r="K20" i="6"/>
  <c r="H20" i="6"/>
  <c r="E20" i="6"/>
  <c r="CV19" i="6"/>
  <c r="CU19" i="6"/>
  <c r="CW19" i="6" s="1"/>
  <c r="CT19" i="6"/>
  <c r="CQ19" i="6"/>
  <c r="CN19" i="6"/>
  <c r="CK19" i="6"/>
  <c r="CH19" i="6"/>
  <c r="CE19" i="6"/>
  <c r="CB19" i="6"/>
  <c r="BY19" i="6"/>
  <c r="BV19" i="6"/>
  <c r="BS19" i="6"/>
  <c r="BP19" i="6"/>
  <c r="BM19" i="6"/>
  <c r="BJ19" i="6"/>
  <c r="BG19" i="6"/>
  <c r="BD19" i="6"/>
  <c r="BA19" i="6"/>
  <c r="AX19" i="6"/>
  <c r="AU19" i="6"/>
  <c r="AR19" i="6"/>
  <c r="AO19" i="6"/>
  <c r="AL19" i="6"/>
  <c r="AI19" i="6"/>
  <c r="AF19" i="6"/>
  <c r="AC19" i="6"/>
  <c r="Z19" i="6"/>
  <c r="W19" i="6"/>
  <c r="T19" i="6"/>
  <c r="Q19" i="6"/>
  <c r="N19" i="6"/>
  <c r="K19" i="6"/>
  <c r="H19" i="6"/>
  <c r="E19" i="6"/>
  <c r="CV18" i="6"/>
  <c r="CW18" i="6" s="1"/>
  <c r="CU18" i="6"/>
  <c r="CT18" i="6"/>
  <c r="CQ18" i="6"/>
  <c r="CN18" i="6"/>
  <c r="CK18" i="6"/>
  <c r="CH18" i="6"/>
  <c r="CE18" i="6"/>
  <c r="CB18" i="6"/>
  <c r="BY18" i="6"/>
  <c r="BV18" i="6"/>
  <c r="BS18" i="6"/>
  <c r="BM18" i="6"/>
  <c r="BJ18" i="6"/>
  <c r="BG18" i="6"/>
  <c r="BD18" i="6"/>
  <c r="BA18" i="6"/>
  <c r="AX18" i="6"/>
  <c r="AU18" i="6"/>
  <c r="AR18" i="6"/>
  <c r="AO18" i="6"/>
  <c r="AI18" i="6"/>
  <c r="AF18" i="6"/>
  <c r="AC18" i="6"/>
  <c r="Z18" i="6"/>
  <c r="W18" i="6"/>
  <c r="T18" i="6"/>
  <c r="N18" i="6"/>
  <c r="K18" i="6"/>
  <c r="H18" i="6"/>
  <c r="E18" i="6"/>
  <c r="CV17" i="6"/>
  <c r="CW17" i="6" s="1"/>
  <c r="CU17" i="6"/>
  <c r="CT17" i="6"/>
  <c r="CQ17" i="6"/>
  <c r="CN17" i="6"/>
  <c r="CK17" i="6"/>
  <c r="CH17" i="6"/>
  <c r="CE17" i="6"/>
  <c r="CB17" i="6"/>
  <c r="BY17" i="6"/>
  <c r="BV17" i="6"/>
  <c r="BS17" i="6"/>
  <c r="BP17" i="6"/>
  <c r="BM17" i="6"/>
  <c r="BJ17" i="6"/>
  <c r="BG17" i="6"/>
  <c r="BD17" i="6"/>
  <c r="BA17" i="6"/>
  <c r="AX17" i="6"/>
  <c r="AU17" i="6"/>
  <c r="AR17" i="6"/>
  <c r="AO17" i="6"/>
  <c r="AL17" i="6"/>
  <c r="AI17" i="6"/>
  <c r="AF17" i="6"/>
  <c r="AC17" i="6"/>
  <c r="Z17" i="6"/>
  <c r="W17" i="6"/>
  <c r="T17" i="6"/>
  <c r="Q17" i="6"/>
  <c r="N17" i="6"/>
  <c r="K17" i="6"/>
  <c r="H17" i="6"/>
  <c r="E17" i="6"/>
  <c r="CW16" i="6"/>
  <c r="CV16" i="6"/>
  <c r="CU16" i="6"/>
  <c r="CT16" i="6"/>
  <c r="CQ16" i="6"/>
  <c r="CN16" i="6"/>
  <c r="CK16" i="6"/>
  <c r="CH16" i="6"/>
  <c r="CE16" i="6"/>
  <c r="CB16" i="6"/>
  <c r="BY16" i="6"/>
  <c r="BV16" i="6"/>
  <c r="BS16" i="6"/>
  <c r="BP16" i="6"/>
  <c r="BM16" i="6"/>
  <c r="BJ16" i="6"/>
  <c r="BG16" i="6"/>
  <c r="BD16" i="6"/>
  <c r="BA16" i="6"/>
  <c r="AX16" i="6"/>
  <c r="AU16" i="6"/>
  <c r="AR16" i="6"/>
  <c r="AO16" i="6"/>
  <c r="AL16" i="6"/>
  <c r="AI16" i="6"/>
  <c r="AF16" i="6"/>
  <c r="AC16" i="6"/>
  <c r="Z16" i="6"/>
  <c r="W16" i="6"/>
  <c r="T16" i="6"/>
  <c r="N16" i="6"/>
  <c r="K16" i="6"/>
  <c r="H16" i="6"/>
  <c r="E16" i="6"/>
  <c r="CV15" i="6"/>
  <c r="CU15" i="6"/>
  <c r="CW15" i="6" s="1"/>
  <c r="CT15" i="6"/>
  <c r="CQ15" i="6"/>
  <c r="CN15" i="6"/>
  <c r="CK15" i="6"/>
  <c r="CH15" i="6"/>
  <c r="CE15" i="6"/>
  <c r="CB15" i="6"/>
  <c r="BY15" i="6"/>
  <c r="BV15" i="6"/>
  <c r="BS15" i="6"/>
  <c r="BP15" i="6"/>
  <c r="BM15" i="6"/>
  <c r="BJ15" i="6"/>
  <c r="BG15" i="6"/>
  <c r="BD15" i="6"/>
  <c r="BA15" i="6"/>
  <c r="AX15" i="6"/>
  <c r="AU15" i="6"/>
  <c r="AR15" i="6"/>
  <c r="AO15" i="6"/>
  <c r="AL15" i="6"/>
  <c r="AI15" i="6"/>
  <c r="AF15" i="6"/>
  <c r="AC15" i="6"/>
  <c r="Z15" i="6"/>
  <c r="T15" i="6"/>
  <c r="Q15" i="6"/>
  <c r="N15" i="6"/>
  <c r="K15" i="6"/>
  <c r="H15" i="6"/>
  <c r="E15" i="6"/>
  <c r="CV14" i="6"/>
  <c r="CU14" i="6"/>
  <c r="CW14" i="6" s="1"/>
  <c r="CT14" i="6"/>
  <c r="CQ14" i="6"/>
  <c r="CN14" i="6"/>
  <c r="CK14" i="6"/>
  <c r="CH14" i="6"/>
  <c r="CE14" i="6"/>
  <c r="CB14" i="6"/>
  <c r="BY14" i="6"/>
  <c r="BV14" i="6"/>
  <c r="BS14" i="6"/>
  <c r="BP14" i="6"/>
  <c r="BM14" i="6"/>
  <c r="BJ14" i="6"/>
  <c r="BG14" i="6"/>
  <c r="BD14" i="6"/>
  <c r="AX14" i="6"/>
  <c r="AU14" i="6"/>
  <c r="AR14" i="6"/>
  <c r="AO14" i="6"/>
  <c r="AL14" i="6"/>
  <c r="AI14" i="6"/>
  <c r="AF14" i="6"/>
  <c r="AC14" i="6"/>
  <c r="Z14" i="6"/>
  <c r="T14" i="6"/>
  <c r="Q14" i="6"/>
  <c r="N14" i="6"/>
  <c r="K14" i="6"/>
  <c r="H14" i="6"/>
  <c r="E14" i="6"/>
  <c r="CV13" i="6"/>
  <c r="CW13" i="6" s="1"/>
  <c r="CU13" i="6"/>
  <c r="CT13" i="6"/>
  <c r="CQ13" i="6"/>
  <c r="CN13" i="6"/>
  <c r="CK13" i="6"/>
  <c r="CH13" i="6"/>
  <c r="CE13" i="6"/>
  <c r="CB13" i="6"/>
  <c r="BY13" i="6"/>
  <c r="BV13" i="6"/>
  <c r="BS13" i="6"/>
  <c r="BM13" i="6"/>
  <c r="BJ13" i="6"/>
  <c r="BG13" i="6"/>
  <c r="BD13" i="6"/>
  <c r="AX13" i="6"/>
  <c r="AU13" i="6"/>
  <c r="AR13" i="6"/>
  <c r="AO13" i="6"/>
  <c r="AL13" i="6"/>
  <c r="AI13" i="6"/>
  <c r="AF13" i="6"/>
  <c r="AC13" i="6"/>
  <c r="Z13" i="6"/>
  <c r="W13" i="6"/>
  <c r="T13" i="6"/>
  <c r="Q13" i="6"/>
  <c r="N13" i="6"/>
  <c r="K13" i="6"/>
  <c r="H13" i="6"/>
  <c r="E13" i="6"/>
  <c r="CW12" i="6"/>
  <c r="CV12" i="6"/>
  <c r="CU12" i="6"/>
  <c r="CT12" i="6"/>
  <c r="CQ12" i="6"/>
  <c r="CN12" i="6"/>
  <c r="CK12" i="6"/>
  <c r="CH12" i="6"/>
  <c r="CE12" i="6"/>
  <c r="CB12" i="6"/>
  <c r="BY12" i="6"/>
  <c r="BV12" i="6"/>
  <c r="BS12" i="6"/>
  <c r="BM12" i="6"/>
  <c r="BJ12" i="6"/>
  <c r="BG12" i="6"/>
  <c r="BD12" i="6"/>
  <c r="BA12" i="6"/>
  <c r="AX12" i="6"/>
  <c r="AU12" i="6"/>
  <c r="AR12" i="6"/>
  <c r="AO12" i="6"/>
  <c r="AI12" i="6"/>
  <c r="AF12" i="6"/>
  <c r="AC12" i="6"/>
  <c r="Z12" i="6"/>
  <c r="W12" i="6"/>
  <c r="T12" i="6"/>
  <c r="N12" i="6"/>
  <c r="K12" i="6"/>
  <c r="H12" i="6"/>
  <c r="E12" i="6"/>
  <c r="CW11" i="6"/>
  <c r="CV11" i="6"/>
  <c r="CU11" i="6"/>
  <c r="CT11" i="6"/>
  <c r="CQ11" i="6"/>
  <c r="CN11" i="6"/>
  <c r="CK11" i="6"/>
  <c r="CH11" i="6"/>
  <c r="CE11" i="6"/>
  <c r="CB11" i="6"/>
  <c r="BY11" i="6"/>
  <c r="BV11" i="6"/>
  <c r="BS11" i="6"/>
  <c r="BP11" i="6"/>
  <c r="BM11" i="6"/>
  <c r="BJ11" i="6"/>
  <c r="BG11" i="6"/>
  <c r="BD11" i="6"/>
  <c r="BA11" i="6"/>
  <c r="AX11" i="6"/>
  <c r="AU11" i="6"/>
  <c r="AR11" i="6"/>
  <c r="AO11" i="6"/>
  <c r="AL11" i="6"/>
  <c r="AI11" i="6"/>
  <c r="AF11" i="6"/>
  <c r="AC11" i="6"/>
  <c r="Z11" i="6"/>
  <c r="W11" i="6"/>
  <c r="T11" i="6"/>
  <c r="Q11" i="6"/>
  <c r="N11" i="6"/>
  <c r="K11" i="6"/>
  <c r="H11" i="6"/>
  <c r="E11" i="6"/>
  <c r="CV10" i="6"/>
  <c r="CU10" i="6"/>
  <c r="CW10" i="6" s="1"/>
  <c r="CT10" i="6"/>
  <c r="CQ10" i="6"/>
  <c r="CN10" i="6"/>
  <c r="CK10" i="6"/>
  <c r="CH10" i="6"/>
  <c r="CE10" i="6"/>
  <c r="CB10" i="6"/>
  <c r="BY10" i="6"/>
  <c r="BV10" i="6"/>
  <c r="BS10" i="6"/>
  <c r="BP10" i="6"/>
  <c r="BM10" i="6"/>
  <c r="BJ10" i="6"/>
  <c r="BG10" i="6"/>
  <c r="BD10" i="6"/>
  <c r="BA10" i="6"/>
  <c r="AX10" i="6"/>
  <c r="AU10" i="6"/>
  <c r="AR10" i="6"/>
  <c r="AO10" i="6"/>
  <c r="AL10" i="6"/>
  <c r="AI10" i="6"/>
  <c r="AF10" i="6"/>
  <c r="AC10" i="6"/>
  <c r="Z10" i="6"/>
  <c r="W10" i="6"/>
  <c r="T10" i="6"/>
  <c r="Q10" i="6"/>
  <c r="N10" i="6"/>
  <c r="K10" i="6"/>
  <c r="H10" i="6"/>
  <c r="E10" i="6"/>
  <c r="CV9" i="6"/>
  <c r="CU9" i="6"/>
  <c r="CW9" i="6" s="1"/>
  <c r="CT9" i="6"/>
  <c r="CQ9" i="6"/>
  <c r="CN9" i="6"/>
  <c r="CK9" i="6"/>
  <c r="CH9" i="6"/>
  <c r="CE9" i="6"/>
  <c r="CB9" i="6"/>
  <c r="BY9" i="6"/>
  <c r="BV9" i="6"/>
  <c r="BS9" i="6"/>
  <c r="BP9" i="6"/>
  <c r="BM9" i="6"/>
  <c r="BG9" i="6"/>
  <c r="BD9" i="6"/>
  <c r="BA9" i="6"/>
  <c r="AX9" i="6"/>
  <c r="AU9" i="6"/>
  <c r="AR9" i="6"/>
  <c r="AO9" i="6"/>
  <c r="AL9" i="6"/>
  <c r="AI9" i="6"/>
  <c r="AF9" i="6"/>
  <c r="AC9" i="6"/>
  <c r="Z9" i="6"/>
  <c r="W9" i="6"/>
  <c r="T9" i="6"/>
  <c r="Q9" i="6"/>
  <c r="N9" i="6"/>
  <c r="K9" i="6"/>
  <c r="H9" i="6"/>
  <c r="E9" i="6"/>
  <c r="CW8" i="6"/>
  <c r="CV8" i="6"/>
  <c r="CU8" i="6"/>
  <c r="CT8" i="6"/>
  <c r="CQ8" i="6"/>
  <c r="CN8" i="6"/>
  <c r="CK8" i="6"/>
  <c r="CH8" i="6"/>
  <c r="CE8" i="6"/>
  <c r="CB8" i="6"/>
  <c r="BY8" i="6"/>
  <c r="BV8" i="6"/>
  <c r="BS8" i="6"/>
  <c r="BP8" i="6"/>
  <c r="BM8" i="6"/>
  <c r="BJ8" i="6"/>
  <c r="BG8" i="6"/>
  <c r="BD8" i="6"/>
  <c r="BA8" i="6"/>
  <c r="AX8" i="6"/>
  <c r="AU8" i="6"/>
  <c r="AR8" i="6"/>
  <c r="AO8" i="6"/>
  <c r="AL8" i="6"/>
  <c r="AI8" i="6"/>
  <c r="AF8" i="6"/>
  <c r="AC8" i="6"/>
  <c r="Z8" i="6"/>
  <c r="W8" i="6"/>
  <c r="T8" i="6"/>
  <c r="Q8" i="6"/>
  <c r="N8" i="6"/>
  <c r="K8" i="6"/>
  <c r="H8" i="6"/>
  <c r="E8" i="6"/>
  <c r="CV7" i="6"/>
  <c r="CU7" i="6"/>
  <c r="CW7" i="6" s="1"/>
  <c r="CT7" i="6"/>
  <c r="CQ7" i="6"/>
  <c r="CN7" i="6"/>
  <c r="CK7" i="6"/>
  <c r="CH7" i="6"/>
  <c r="CE7" i="6"/>
  <c r="CB7" i="6"/>
  <c r="BY7" i="6"/>
  <c r="BV7" i="6"/>
  <c r="BS7" i="6"/>
  <c r="BP7" i="6"/>
  <c r="BM7" i="6"/>
  <c r="BJ7" i="6"/>
  <c r="BG7" i="6"/>
  <c r="BD7" i="6"/>
  <c r="BA7" i="6"/>
  <c r="AX7" i="6"/>
  <c r="AU7" i="6"/>
  <c r="AR7" i="6"/>
  <c r="AO7" i="6"/>
  <c r="AL7" i="6"/>
  <c r="AI7" i="6"/>
  <c r="AF7" i="6"/>
  <c r="AC7" i="6"/>
  <c r="Z7" i="6"/>
  <c r="W7" i="6"/>
  <c r="T7" i="6"/>
  <c r="Q7" i="6"/>
  <c r="N7" i="6"/>
  <c r="K7" i="6"/>
  <c r="H7" i="6"/>
  <c r="E7" i="6"/>
  <c r="CV6" i="6"/>
  <c r="CU6" i="6"/>
  <c r="CW6" i="6" s="1"/>
  <c r="CT6" i="6"/>
  <c r="CQ6" i="6"/>
  <c r="CN6" i="6"/>
  <c r="CK6" i="6"/>
  <c r="CH6" i="6"/>
  <c r="CE6" i="6"/>
  <c r="CB6" i="6"/>
  <c r="BY6" i="6"/>
  <c r="BS6" i="6"/>
  <c r="BP6" i="6"/>
  <c r="BM6" i="6"/>
  <c r="BJ6" i="6"/>
  <c r="BG6" i="6"/>
  <c r="BA6" i="6"/>
  <c r="AX6" i="6"/>
  <c r="AU6" i="6"/>
  <c r="AR6" i="6"/>
  <c r="AO6" i="6"/>
  <c r="AI6" i="6"/>
  <c r="AF6" i="6"/>
  <c r="AC6" i="6"/>
  <c r="Z6" i="6"/>
  <c r="W6" i="6"/>
  <c r="T6" i="6"/>
  <c r="Q6" i="6"/>
  <c r="N6" i="6"/>
  <c r="K6" i="6"/>
  <c r="H6" i="6"/>
  <c r="E6" i="6"/>
  <c r="CV5" i="6"/>
  <c r="CU5" i="6"/>
  <c r="CW5" i="6" s="1"/>
  <c r="CT5" i="6"/>
  <c r="CQ5" i="6"/>
  <c r="CN5" i="6"/>
  <c r="CK5" i="6"/>
  <c r="CH5" i="6"/>
  <c r="CE5" i="6"/>
  <c r="CB5" i="6"/>
  <c r="BY5" i="6"/>
  <c r="BV5" i="6"/>
  <c r="BS5" i="6"/>
  <c r="BP5" i="6"/>
  <c r="BM5" i="6"/>
  <c r="BJ5" i="6"/>
  <c r="BG5" i="6"/>
  <c r="BA5" i="6"/>
  <c r="AX5" i="6"/>
  <c r="AU5" i="6"/>
  <c r="AR5" i="6"/>
  <c r="AO5" i="6"/>
  <c r="AI5" i="6"/>
  <c r="AF5" i="6"/>
  <c r="AC5" i="6"/>
  <c r="Z5" i="6"/>
  <c r="W5" i="6"/>
  <c r="T5" i="6"/>
  <c r="Q5" i="6"/>
  <c r="N5" i="6"/>
  <c r="K5" i="6"/>
  <c r="H5" i="6"/>
  <c r="E5" i="6"/>
  <c r="CV4" i="6"/>
  <c r="CW4" i="6" s="1"/>
  <c r="CU4" i="6"/>
  <c r="CT4" i="6"/>
  <c r="CQ4" i="6"/>
  <c r="CN4" i="6"/>
  <c r="CK4" i="6"/>
  <c r="CH4" i="6"/>
  <c r="CE4" i="6"/>
  <c r="CB4" i="6"/>
  <c r="BY4" i="6"/>
  <c r="BV4" i="6"/>
  <c r="BS4" i="6"/>
  <c r="BP4" i="6"/>
  <c r="BM4" i="6"/>
  <c r="BJ4" i="6"/>
  <c r="BG4" i="6"/>
  <c r="BA4" i="6"/>
  <c r="AX4" i="6"/>
  <c r="AU4" i="6"/>
  <c r="AR4" i="6"/>
  <c r="AO4" i="6"/>
  <c r="AI4" i="6"/>
  <c r="AF4" i="6"/>
  <c r="AC4" i="6"/>
  <c r="Z4" i="6"/>
  <c r="W4" i="6"/>
  <c r="T4" i="6"/>
  <c r="Q4" i="6"/>
  <c r="N4" i="6"/>
  <c r="K4" i="6"/>
  <c r="H4" i="6"/>
  <c r="E4" i="6"/>
  <c r="CW3" i="6"/>
  <c r="B7" i="7" s="1"/>
  <c r="CV3" i="6"/>
  <c r="CU3" i="6"/>
  <c r="CT3" i="6"/>
  <c r="CQ3" i="6"/>
  <c r="CN3" i="6"/>
  <c r="CK3" i="6"/>
  <c r="CH3" i="6"/>
  <c r="CE3" i="6"/>
  <c r="CB3" i="6"/>
  <c r="BY3" i="6"/>
  <c r="BV3" i="6"/>
  <c r="BS3" i="6"/>
  <c r="BP3" i="6"/>
  <c r="BM3" i="6"/>
  <c r="BJ3" i="6"/>
  <c r="BG3" i="6"/>
  <c r="BD3" i="6"/>
  <c r="BA3" i="6"/>
  <c r="AX3" i="6"/>
  <c r="AU3" i="6"/>
  <c r="AR3" i="6"/>
  <c r="AO3" i="6"/>
  <c r="AI3" i="6"/>
  <c r="AF3" i="6"/>
  <c r="AC3" i="6"/>
  <c r="Z3" i="6"/>
  <c r="W3" i="6"/>
  <c r="T3" i="6"/>
  <c r="Q3" i="6"/>
  <c r="N3" i="6"/>
  <c r="K3" i="6"/>
  <c r="H3" i="6"/>
  <c r="E3" i="6"/>
  <c r="CW151" i="5"/>
  <c r="CV151" i="5"/>
  <c r="CU151" i="5"/>
  <c r="CT151" i="5"/>
  <c r="CQ151" i="5"/>
  <c r="CN151" i="5"/>
  <c r="CK151" i="5"/>
  <c r="CH151" i="5"/>
  <c r="CE151" i="5"/>
  <c r="CB151" i="5"/>
  <c r="BY151" i="5"/>
  <c r="BV151" i="5"/>
  <c r="BS151" i="5"/>
  <c r="BP151" i="5"/>
  <c r="BM151" i="5"/>
  <c r="BJ151" i="5"/>
  <c r="BG151" i="5"/>
  <c r="BD151" i="5"/>
  <c r="BA151" i="5"/>
  <c r="AX151" i="5"/>
  <c r="AU151" i="5"/>
  <c r="AR151" i="5"/>
  <c r="AO151" i="5"/>
  <c r="AL151" i="5"/>
  <c r="AI151" i="5"/>
  <c r="AF151" i="5"/>
  <c r="AC151" i="5"/>
  <c r="Z151" i="5"/>
  <c r="W151" i="5"/>
  <c r="T151" i="5"/>
  <c r="Q151" i="5"/>
  <c r="N151" i="5"/>
  <c r="K151" i="5"/>
  <c r="H151" i="5"/>
  <c r="E151" i="5"/>
  <c r="CV150" i="5"/>
  <c r="CU150" i="5"/>
  <c r="CW150" i="5" s="1"/>
  <c r="CT150" i="5"/>
  <c r="CQ150" i="5"/>
  <c r="CN150" i="5"/>
  <c r="CK150" i="5"/>
  <c r="CH150" i="5"/>
  <c r="CE150" i="5"/>
  <c r="CB150" i="5"/>
  <c r="BY150" i="5"/>
  <c r="BV150" i="5"/>
  <c r="BS150" i="5"/>
  <c r="BP150" i="5"/>
  <c r="BM150" i="5"/>
  <c r="BJ150" i="5"/>
  <c r="BG150" i="5"/>
  <c r="BD150" i="5"/>
  <c r="BA150" i="5"/>
  <c r="AX150" i="5"/>
  <c r="AU150" i="5"/>
  <c r="AR150" i="5"/>
  <c r="AO150" i="5"/>
  <c r="AL150" i="5"/>
  <c r="AI150" i="5"/>
  <c r="AF150" i="5"/>
  <c r="AC150" i="5"/>
  <c r="Z150" i="5"/>
  <c r="W150" i="5"/>
  <c r="T150" i="5"/>
  <c r="Q150" i="5"/>
  <c r="N150" i="5"/>
  <c r="K150" i="5"/>
  <c r="H150" i="5"/>
  <c r="E150" i="5"/>
  <c r="CW149" i="5"/>
  <c r="CV149" i="5"/>
  <c r="CU149" i="5"/>
  <c r="CT149" i="5"/>
  <c r="CQ149" i="5"/>
  <c r="CN149" i="5"/>
  <c r="CK149" i="5"/>
  <c r="CH149" i="5"/>
  <c r="CE149" i="5"/>
  <c r="CB149" i="5"/>
  <c r="BY149" i="5"/>
  <c r="BV149" i="5"/>
  <c r="BS149" i="5"/>
  <c r="BP149" i="5"/>
  <c r="BM149" i="5"/>
  <c r="BJ149" i="5"/>
  <c r="BG149" i="5"/>
  <c r="BD149" i="5"/>
  <c r="BA149" i="5"/>
  <c r="AX149" i="5"/>
  <c r="AU149" i="5"/>
  <c r="AR149" i="5"/>
  <c r="AO149" i="5"/>
  <c r="AL149" i="5"/>
  <c r="AI149" i="5"/>
  <c r="AF149" i="5"/>
  <c r="AC149" i="5"/>
  <c r="Z149" i="5"/>
  <c r="W149" i="5"/>
  <c r="T149" i="5"/>
  <c r="Q149" i="5"/>
  <c r="N149" i="5"/>
  <c r="K149" i="5"/>
  <c r="H149" i="5"/>
  <c r="E149" i="5"/>
  <c r="CV148" i="5"/>
  <c r="CU148" i="5"/>
  <c r="CW148" i="5" s="1"/>
  <c r="CT148" i="5"/>
  <c r="CQ148" i="5"/>
  <c r="CN148" i="5"/>
  <c r="CK148" i="5"/>
  <c r="CH148" i="5"/>
  <c r="CE148" i="5"/>
  <c r="CB148" i="5"/>
  <c r="BY148" i="5"/>
  <c r="BV148" i="5"/>
  <c r="BS148" i="5"/>
  <c r="BP148" i="5"/>
  <c r="BM148" i="5"/>
  <c r="BJ148" i="5"/>
  <c r="BG148" i="5"/>
  <c r="BD148" i="5"/>
  <c r="BA148" i="5"/>
  <c r="AX148" i="5"/>
  <c r="AU148" i="5"/>
  <c r="AR148" i="5"/>
  <c r="AO148" i="5"/>
  <c r="AL148" i="5"/>
  <c r="AI148" i="5"/>
  <c r="AF148" i="5"/>
  <c r="AC148" i="5"/>
  <c r="Z148" i="5"/>
  <c r="W148" i="5"/>
  <c r="T148" i="5"/>
  <c r="Q148" i="5"/>
  <c r="N148" i="5"/>
  <c r="K148" i="5"/>
  <c r="H148" i="5"/>
  <c r="E148" i="5"/>
  <c r="CV147" i="5"/>
  <c r="CU147" i="5"/>
  <c r="CW147" i="5" s="1"/>
  <c r="CT147" i="5"/>
  <c r="CQ147" i="5"/>
  <c r="CN147" i="5"/>
  <c r="CK147" i="5"/>
  <c r="CH147" i="5"/>
  <c r="CE147" i="5"/>
  <c r="CB147" i="5"/>
  <c r="BY147" i="5"/>
  <c r="BV147" i="5"/>
  <c r="BS147" i="5"/>
  <c r="BP147" i="5"/>
  <c r="BM147" i="5"/>
  <c r="BJ147" i="5"/>
  <c r="BG147" i="5"/>
  <c r="BD147" i="5"/>
  <c r="BA147" i="5"/>
  <c r="AX147" i="5"/>
  <c r="AU147" i="5"/>
  <c r="AR147" i="5"/>
  <c r="AO147" i="5"/>
  <c r="AL147" i="5"/>
  <c r="AI147" i="5"/>
  <c r="AF147" i="5"/>
  <c r="AC147" i="5"/>
  <c r="Z147" i="5"/>
  <c r="W147" i="5"/>
  <c r="T147" i="5"/>
  <c r="Q147" i="5"/>
  <c r="N147" i="5"/>
  <c r="K147" i="5"/>
  <c r="H147" i="5"/>
  <c r="E147" i="5"/>
  <c r="CV146" i="5"/>
  <c r="CW146" i="5" s="1"/>
  <c r="CU146" i="5"/>
  <c r="CT146" i="5"/>
  <c r="CQ146" i="5"/>
  <c r="CN146" i="5"/>
  <c r="CK146" i="5"/>
  <c r="CH146" i="5"/>
  <c r="CE146" i="5"/>
  <c r="CB146" i="5"/>
  <c r="BY146" i="5"/>
  <c r="BV146" i="5"/>
  <c r="BS146" i="5"/>
  <c r="BP146" i="5"/>
  <c r="BM146" i="5"/>
  <c r="BJ146" i="5"/>
  <c r="BG146" i="5"/>
  <c r="BD146" i="5"/>
  <c r="BA146" i="5"/>
  <c r="AX146" i="5"/>
  <c r="AU146" i="5"/>
  <c r="AR146" i="5"/>
  <c r="AO146" i="5"/>
  <c r="AL146" i="5"/>
  <c r="AI146" i="5"/>
  <c r="AF146" i="5"/>
  <c r="AC146" i="5"/>
  <c r="Z146" i="5"/>
  <c r="W146" i="5"/>
  <c r="T146" i="5"/>
  <c r="Q146" i="5"/>
  <c r="N146" i="5"/>
  <c r="K146" i="5"/>
  <c r="H146" i="5"/>
  <c r="E146" i="5"/>
  <c r="CV145" i="5"/>
  <c r="CU145" i="5"/>
  <c r="CW145" i="5" s="1"/>
  <c r="CT145" i="5"/>
  <c r="CQ145" i="5"/>
  <c r="CN145" i="5"/>
  <c r="CK145" i="5"/>
  <c r="CH145" i="5"/>
  <c r="CE145" i="5"/>
  <c r="CB145" i="5"/>
  <c r="BY145" i="5"/>
  <c r="BV145" i="5"/>
  <c r="BS145" i="5"/>
  <c r="BP145" i="5"/>
  <c r="BM145" i="5"/>
  <c r="BJ145" i="5"/>
  <c r="BG145" i="5"/>
  <c r="BD145" i="5"/>
  <c r="BA145" i="5"/>
  <c r="AX145" i="5"/>
  <c r="AU145" i="5"/>
  <c r="AR145" i="5"/>
  <c r="AO145" i="5"/>
  <c r="AL145" i="5"/>
  <c r="AI145" i="5"/>
  <c r="AF145" i="5"/>
  <c r="AC145" i="5"/>
  <c r="Z145" i="5"/>
  <c r="W145" i="5"/>
  <c r="T145" i="5"/>
  <c r="Q145" i="5"/>
  <c r="N145" i="5"/>
  <c r="K145" i="5"/>
  <c r="H145" i="5"/>
  <c r="E145" i="5"/>
  <c r="CV144" i="5"/>
  <c r="CW144" i="5" s="1"/>
  <c r="CU144" i="5"/>
  <c r="CT144" i="5"/>
  <c r="CQ144" i="5"/>
  <c r="CN144" i="5"/>
  <c r="CK144" i="5"/>
  <c r="CH144" i="5"/>
  <c r="CE144" i="5"/>
  <c r="CB144" i="5"/>
  <c r="BY144" i="5"/>
  <c r="BV144" i="5"/>
  <c r="BS144" i="5"/>
  <c r="BP144" i="5"/>
  <c r="BM144" i="5"/>
  <c r="BJ144" i="5"/>
  <c r="BG144" i="5"/>
  <c r="BD144" i="5"/>
  <c r="BA144" i="5"/>
  <c r="AX144" i="5"/>
  <c r="AU144" i="5"/>
  <c r="AR144" i="5"/>
  <c r="AO144" i="5"/>
  <c r="AL144" i="5"/>
  <c r="AI144" i="5"/>
  <c r="AF144" i="5"/>
  <c r="AC144" i="5"/>
  <c r="Z144" i="5"/>
  <c r="W144" i="5"/>
  <c r="T144" i="5"/>
  <c r="Q144" i="5"/>
  <c r="N144" i="5"/>
  <c r="K144" i="5"/>
  <c r="H144" i="5"/>
  <c r="E144" i="5"/>
  <c r="CW143" i="5"/>
  <c r="CV143" i="5"/>
  <c r="CU143" i="5"/>
  <c r="CT143" i="5"/>
  <c r="CQ143" i="5"/>
  <c r="CN143" i="5"/>
  <c r="CK143" i="5"/>
  <c r="CH143" i="5"/>
  <c r="CE143" i="5"/>
  <c r="CB143" i="5"/>
  <c r="BY143" i="5"/>
  <c r="BV143" i="5"/>
  <c r="BS143" i="5"/>
  <c r="BP143" i="5"/>
  <c r="BM143" i="5"/>
  <c r="BJ143" i="5"/>
  <c r="BG143" i="5"/>
  <c r="BD143" i="5"/>
  <c r="BA143" i="5"/>
  <c r="AX143" i="5"/>
  <c r="AU143" i="5"/>
  <c r="AR143" i="5"/>
  <c r="AO143" i="5"/>
  <c r="AL143" i="5"/>
  <c r="AI143" i="5"/>
  <c r="AF143" i="5"/>
  <c r="AC143" i="5"/>
  <c r="Z143" i="5"/>
  <c r="W143" i="5"/>
  <c r="T143" i="5"/>
  <c r="Q143" i="5"/>
  <c r="N143" i="5"/>
  <c r="K143" i="5"/>
  <c r="H143" i="5"/>
  <c r="E143" i="5"/>
  <c r="CV142" i="5"/>
  <c r="CU142" i="5"/>
  <c r="CW142" i="5" s="1"/>
  <c r="CT142" i="5"/>
  <c r="CQ142" i="5"/>
  <c r="CN142" i="5"/>
  <c r="CK142" i="5"/>
  <c r="CH142" i="5"/>
  <c r="CE142" i="5"/>
  <c r="CB142" i="5"/>
  <c r="BY142" i="5"/>
  <c r="BV142" i="5"/>
  <c r="BS142" i="5"/>
  <c r="BP142" i="5"/>
  <c r="BM142" i="5"/>
  <c r="BJ142" i="5"/>
  <c r="BG142" i="5"/>
  <c r="BD142" i="5"/>
  <c r="BA142" i="5"/>
  <c r="AX142" i="5"/>
  <c r="AU142" i="5"/>
  <c r="AR142" i="5"/>
  <c r="AO142" i="5"/>
  <c r="AL142" i="5"/>
  <c r="AI142" i="5"/>
  <c r="AF142" i="5"/>
  <c r="AC142" i="5"/>
  <c r="Z142" i="5"/>
  <c r="W142" i="5"/>
  <c r="T142" i="5"/>
  <c r="Q142" i="5"/>
  <c r="N142" i="5"/>
  <c r="K142" i="5"/>
  <c r="H142" i="5"/>
  <c r="E142" i="5"/>
  <c r="CW141" i="5"/>
  <c r="CV141" i="5"/>
  <c r="CU141" i="5"/>
  <c r="CT141" i="5"/>
  <c r="CQ141" i="5"/>
  <c r="CN141" i="5"/>
  <c r="CK141" i="5"/>
  <c r="CH141" i="5"/>
  <c r="CE141" i="5"/>
  <c r="CB141" i="5"/>
  <c r="BY141" i="5"/>
  <c r="BV141" i="5"/>
  <c r="BS141" i="5"/>
  <c r="BP141" i="5"/>
  <c r="BM141" i="5"/>
  <c r="BJ141" i="5"/>
  <c r="BG141" i="5"/>
  <c r="BD141" i="5"/>
  <c r="BA141" i="5"/>
  <c r="AX141" i="5"/>
  <c r="AU141" i="5"/>
  <c r="AR141" i="5"/>
  <c r="AO141" i="5"/>
  <c r="AL141" i="5"/>
  <c r="AI141" i="5"/>
  <c r="AF141" i="5"/>
  <c r="AC141" i="5"/>
  <c r="Z141" i="5"/>
  <c r="W141" i="5"/>
  <c r="T141" i="5"/>
  <c r="Q141" i="5"/>
  <c r="N141" i="5"/>
  <c r="K141" i="5"/>
  <c r="H141" i="5"/>
  <c r="E141" i="5"/>
  <c r="CV140" i="5"/>
  <c r="CU140" i="5"/>
  <c r="CW140" i="5" s="1"/>
  <c r="CT140" i="5"/>
  <c r="CQ140" i="5"/>
  <c r="CN140" i="5"/>
  <c r="CK140" i="5"/>
  <c r="CH140" i="5"/>
  <c r="CE140" i="5"/>
  <c r="CB140" i="5"/>
  <c r="BY140" i="5"/>
  <c r="BV140" i="5"/>
  <c r="BS140" i="5"/>
  <c r="BP140" i="5"/>
  <c r="BM140" i="5"/>
  <c r="BJ140" i="5"/>
  <c r="BG140" i="5"/>
  <c r="BD140" i="5"/>
  <c r="BA140" i="5"/>
  <c r="AX140" i="5"/>
  <c r="AU140" i="5"/>
  <c r="AR140" i="5"/>
  <c r="AO140" i="5"/>
  <c r="AL140" i="5"/>
  <c r="AI140" i="5"/>
  <c r="AF140" i="5"/>
  <c r="AC140" i="5"/>
  <c r="Z140" i="5"/>
  <c r="W140" i="5"/>
  <c r="T140" i="5"/>
  <c r="Q140" i="5"/>
  <c r="N140" i="5"/>
  <c r="K140" i="5"/>
  <c r="H140" i="5"/>
  <c r="E140" i="5"/>
  <c r="CV139" i="5"/>
  <c r="CU139" i="5"/>
  <c r="CW139" i="5" s="1"/>
  <c r="CT139" i="5"/>
  <c r="CQ139" i="5"/>
  <c r="CN139" i="5"/>
  <c r="CK139" i="5"/>
  <c r="CH139" i="5"/>
  <c r="CE139" i="5"/>
  <c r="CB139" i="5"/>
  <c r="BY139" i="5"/>
  <c r="BV139" i="5"/>
  <c r="BS139" i="5"/>
  <c r="BP139" i="5"/>
  <c r="BM139" i="5"/>
  <c r="BJ139" i="5"/>
  <c r="BG139" i="5"/>
  <c r="BD139" i="5"/>
  <c r="BA139" i="5"/>
  <c r="AX139" i="5"/>
  <c r="AU139" i="5"/>
  <c r="AR139" i="5"/>
  <c r="AO139" i="5"/>
  <c r="AL139" i="5"/>
  <c r="AI139" i="5"/>
  <c r="AF139" i="5"/>
  <c r="AC139" i="5"/>
  <c r="Z139" i="5"/>
  <c r="W139" i="5"/>
  <c r="T139" i="5"/>
  <c r="Q139" i="5"/>
  <c r="N139" i="5"/>
  <c r="K139" i="5"/>
  <c r="H139" i="5"/>
  <c r="E139" i="5"/>
  <c r="CV138" i="5"/>
  <c r="CW138" i="5" s="1"/>
  <c r="CU138" i="5"/>
  <c r="CT138" i="5"/>
  <c r="CQ138" i="5"/>
  <c r="CN138" i="5"/>
  <c r="CK138" i="5"/>
  <c r="CH138" i="5"/>
  <c r="CE138" i="5"/>
  <c r="CB138" i="5"/>
  <c r="BY138" i="5"/>
  <c r="BV138" i="5"/>
  <c r="BS138" i="5"/>
  <c r="BP138" i="5"/>
  <c r="BM138" i="5"/>
  <c r="BJ138" i="5"/>
  <c r="BG138" i="5"/>
  <c r="BD138" i="5"/>
  <c r="BA138" i="5"/>
  <c r="AX138" i="5"/>
  <c r="AU138" i="5"/>
  <c r="AR138" i="5"/>
  <c r="AO138" i="5"/>
  <c r="AL138" i="5"/>
  <c r="AI138" i="5"/>
  <c r="AF138" i="5"/>
  <c r="AC138" i="5"/>
  <c r="Z138" i="5"/>
  <c r="W138" i="5"/>
  <c r="T138" i="5"/>
  <c r="Q138" i="5"/>
  <c r="N138" i="5"/>
  <c r="K138" i="5"/>
  <c r="H138" i="5"/>
  <c r="E138" i="5"/>
  <c r="CV137" i="5"/>
  <c r="CU137" i="5"/>
  <c r="CW137" i="5" s="1"/>
  <c r="CT137" i="5"/>
  <c r="CQ137" i="5"/>
  <c r="CN137" i="5"/>
  <c r="CK137" i="5"/>
  <c r="CH137" i="5"/>
  <c r="CE137" i="5"/>
  <c r="CB137" i="5"/>
  <c r="BY137" i="5"/>
  <c r="BV137" i="5"/>
  <c r="BS137" i="5"/>
  <c r="BP137" i="5"/>
  <c r="BM137" i="5"/>
  <c r="BJ137" i="5"/>
  <c r="BG137" i="5"/>
  <c r="BD137" i="5"/>
  <c r="BA137" i="5"/>
  <c r="AX137" i="5"/>
  <c r="AU137" i="5"/>
  <c r="AR137" i="5"/>
  <c r="AO137" i="5"/>
  <c r="AL137" i="5"/>
  <c r="AI137" i="5"/>
  <c r="AC137" i="5"/>
  <c r="Z137" i="5"/>
  <c r="W137" i="5"/>
  <c r="T137" i="5"/>
  <c r="Q137" i="5"/>
  <c r="N137" i="5"/>
  <c r="K137" i="5"/>
  <c r="H137" i="5"/>
  <c r="E137" i="5"/>
  <c r="CV136" i="5"/>
  <c r="CU136" i="5"/>
  <c r="CW136" i="5" s="1"/>
  <c r="CT136" i="5"/>
  <c r="CQ136" i="5"/>
  <c r="CN136" i="5"/>
  <c r="CK136" i="5"/>
  <c r="CH136" i="5"/>
  <c r="CE136" i="5"/>
  <c r="CB136" i="5"/>
  <c r="BY136" i="5"/>
  <c r="BV136" i="5"/>
  <c r="BS136" i="5"/>
  <c r="BP136" i="5"/>
  <c r="BM136" i="5"/>
  <c r="BJ136" i="5"/>
  <c r="BG136" i="5"/>
  <c r="BD136" i="5"/>
  <c r="BA136" i="5"/>
  <c r="AX136" i="5"/>
  <c r="AU136" i="5"/>
  <c r="AR136" i="5"/>
  <c r="AO136" i="5"/>
  <c r="AL136" i="5"/>
  <c r="AI136" i="5"/>
  <c r="AF136" i="5"/>
  <c r="AC136" i="5"/>
  <c r="Z136" i="5"/>
  <c r="W136" i="5"/>
  <c r="T136" i="5"/>
  <c r="Q136" i="5"/>
  <c r="N136" i="5"/>
  <c r="K136" i="5"/>
  <c r="H136" i="5"/>
  <c r="E136" i="5"/>
  <c r="CV135" i="5"/>
  <c r="CW135" i="5" s="1"/>
  <c r="CU135" i="5"/>
  <c r="CT135" i="5"/>
  <c r="CQ135" i="5"/>
  <c r="CN135" i="5"/>
  <c r="CK135" i="5"/>
  <c r="CH135" i="5"/>
  <c r="CE135" i="5"/>
  <c r="CB135" i="5"/>
  <c r="BY135" i="5"/>
  <c r="BV135" i="5"/>
  <c r="BS135" i="5"/>
  <c r="BP135" i="5"/>
  <c r="BM135" i="5"/>
  <c r="BJ135" i="5"/>
  <c r="BG135" i="5"/>
  <c r="BD135" i="5"/>
  <c r="BA135" i="5"/>
  <c r="AX135" i="5"/>
  <c r="AU135" i="5"/>
  <c r="AR135" i="5"/>
  <c r="AO135" i="5"/>
  <c r="AL135" i="5"/>
  <c r="AI135" i="5"/>
  <c r="AF135" i="5"/>
  <c r="AC135" i="5"/>
  <c r="Z135" i="5"/>
  <c r="W135" i="5"/>
  <c r="T135" i="5"/>
  <c r="Q135" i="5"/>
  <c r="N135" i="5"/>
  <c r="K135" i="5"/>
  <c r="H135" i="5"/>
  <c r="E135" i="5"/>
  <c r="CV134" i="5"/>
  <c r="CU134" i="5"/>
  <c r="CW134" i="5" s="1"/>
  <c r="CT134" i="5"/>
  <c r="CQ134" i="5"/>
  <c r="CN134" i="5"/>
  <c r="CK134" i="5"/>
  <c r="CH134" i="5"/>
  <c r="CE134" i="5"/>
  <c r="CB134" i="5"/>
  <c r="BV134" i="5"/>
  <c r="BS134" i="5"/>
  <c r="BP134" i="5"/>
  <c r="BM134" i="5"/>
  <c r="BJ134" i="5"/>
  <c r="BG134" i="5"/>
  <c r="BD134" i="5"/>
  <c r="BA134" i="5"/>
  <c r="AX134" i="5"/>
  <c r="AU134" i="5"/>
  <c r="AR134" i="5"/>
  <c r="AO134" i="5"/>
  <c r="AL134" i="5"/>
  <c r="AI134" i="5"/>
  <c r="AF134" i="5"/>
  <c r="AC134" i="5"/>
  <c r="Z134" i="5"/>
  <c r="W134" i="5"/>
  <c r="T134" i="5"/>
  <c r="Q134" i="5"/>
  <c r="N134" i="5"/>
  <c r="H134" i="5"/>
  <c r="E134" i="5"/>
  <c r="CV133" i="5"/>
  <c r="CU133" i="5"/>
  <c r="CW133" i="5" s="1"/>
  <c r="CT133" i="5"/>
  <c r="CQ133" i="5"/>
  <c r="CN133" i="5"/>
  <c r="CK133" i="5"/>
  <c r="CH133" i="5"/>
  <c r="CE133" i="5"/>
  <c r="CB133" i="5"/>
  <c r="BY133" i="5"/>
  <c r="BV133" i="5"/>
  <c r="BS133" i="5"/>
  <c r="BP133" i="5"/>
  <c r="BJ133" i="5"/>
  <c r="BG133" i="5"/>
  <c r="BD133" i="5"/>
  <c r="BA133" i="5"/>
  <c r="AX133" i="5"/>
  <c r="AU133" i="5"/>
  <c r="AR133" i="5"/>
  <c r="AO133" i="5"/>
  <c r="AL133" i="5"/>
  <c r="AI133" i="5"/>
  <c r="AF133" i="5"/>
  <c r="AC133" i="5"/>
  <c r="Z133" i="5"/>
  <c r="W133" i="5"/>
  <c r="T133" i="5"/>
  <c r="Q133" i="5"/>
  <c r="N133" i="5"/>
  <c r="K133" i="5"/>
  <c r="H133" i="5"/>
  <c r="E133" i="5"/>
  <c r="CV132" i="5"/>
  <c r="CW132" i="5" s="1"/>
  <c r="CU132" i="5"/>
  <c r="CT132" i="5"/>
  <c r="CQ132" i="5"/>
  <c r="CN132" i="5"/>
  <c r="CK132" i="5"/>
  <c r="CH132" i="5"/>
  <c r="CE132" i="5"/>
  <c r="CB132" i="5"/>
  <c r="BY132" i="5"/>
  <c r="BV132" i="5"/>
  <c r="BS132" i="5"/>
  <c r="BP132" i="5"/>
  <c r="BM132" i="5"/>
  <c r="BJ132" i="5"/>
  <c r="BG132" i="5"/>
  <c r="BD132" i="5"/>
  <c r="BA132" i="5"/>
  <c r="AX132" i="5"/>
  <c r="AU132" i="5"/>
  <c r="AR132" i="5"/>
  <c r="AO132" i="5"/>
  <c r="AL132" i="5"/>
  <c r="AI132" i="5"/>
  <c r="AF132" i="5"/>
  <c r="AC132" i="5"/>
  <c r="Z132" i="5"/>
  <c r="W132" i="5"/>
  <c r="T132" i="5"/>
  <c r="Q132" i="5"/>
  <c r="N132" i="5"/>
  <c r="K132" i="5"/>
  <c r="H132" i="5"/>
  <c r="E132" i="5"/>
  <c r="CW131" i="5"/>
  <c r="CV131" i="5"/>
  <c r="CU131" i="5"/>
  <c r="CT131" i="5"/>
  <c r="CQ131" i="5"/>
  <c r="CN131" i="5"/>
  <c r="CK131" i="5"/>
  <c r="CH131" i="5"/>
  <c r="CE131" i="5"/>
  <c r="CB131" i="5"/>
  <c r="BY131" i="5"/>
  <c r="BV131" i="5"/>
  <c r="BS131" i="5"/>
  <c r="BP131" i="5"/>
  <c r="BM131" i="5"/>
  <c r="BJ131" i="5"/>
  <c r="BG131" i="5"/>
  <c r="BD131" i="5"/>
  <c r="BA131" i="5"/>
  <c r="AX131" i="5"/>
  <c r="AU131" i="5"/>
  <c r="AR131" i="5"/>
  <c r="AO131" i="5"/>
  <c r="AL131" i="5"/>
  <c r="AI131" i="5"/>
  <c r="AF131" i="5"/>
  <c r="AC131" i="5"/>
  <c r="Z131" i="5"/>
  <c r="W131" i="5"/>
  <c r="T131" i="5"/>
  <c r="Q131" i="5"/>
  <c r="N131" i="5"/>
  <c r="K131" i="5"/>
  <c r="H131" i="5"/>
  <c r="E131" i="5"/>
  <c r="CV130" i="5"/>
  <c r="CU130" i="5"/>
  <c r="CW130" i="5" s="1"/>
  <c r="CT130" i="5"/>
  <c r="CQ130" i="5"/>
  <c r="CN130" i="5"/>
  <c r="CK130" i="5"/>
  <c r="CH130" i="5"/>
  <c r="CE130" i="5"/>
  <c r="CB130" i="5"/>
  <c r="BV130" i="5"/>
  <c r="BS130" i="5"/>
  <c r="BP130" i="5"/>
  <c r="BM130" i="5"/>
  <c r="BA130" i="5"/>
  <c r="AX130" i="5"/>
  <c r="AU130" i="5"/>
  <c r="AO130" i="5"/>
  <c r="AI130" i="5"/>
  <c r="AF130" i="5"/>
  <c r="Z130" i="5"/>
  <c r="W130" i="5"/>
  <c r="Q130" i="5"/>
  <c r="K130" i="5"/>
  <c r="E130" i="5"/>
  <c r="CV129" i="5"/>
  <c r="CU129" i="5"/>
  <c r="CW129" i="5" s="1"/>
  <c r="CT129" i="5"/>
  <c r="CQ129" i="5"/>
  <c r="CN129" i="5"/>
  <c r="CK129" i="5"/>
  <c r="CH129" i="5"/>
  <c r="CE129" i="5"/>
  <c r="CB129" i="5"/>
  <c r="BY129" i="5"/>
  <c r="BV129" i="5"/>
  <c r="BS129" i="5"/>
  <c r="BP129" i="5"/>
  <c r="BM129" i="5"/>
  <c r="BJ129" i="5"/>
  <c r="BG129" i="5"/>
  <c r="BD129" i="5"/>
  <c r="BA129" i="5"/>
  <c r="AX129" i="5"/>
  <c r="AR129" i="5"/>
  <c r="AO129" i="5"/>
  <c r="AL129" i="5"/>
  <c r="AI129" i="5"/>
  <c r="AF129" i="5"/>
  <c r="AC129" i="5"/>
  <c r="W129" i="5"/>
  <c r="T129" i="5"/>
  <c r="Q129" i="5"/>
  <c r="N129" i="5"/>
  <c r="K129" i="5"/>
  <c r="E129" i="5"/>
  <c r="CV128" i="5"/>
  <c r="CU128" i="5"/>
  <c r="CW128" i="5" s="1"/>
  <c r="CT128" i="5"/>
  <c r="CQ128" i="5"/>
  <c r="CN128" i="5"/>
  <c r="CK128" i="5"/>
  <c r="CH128" i="5"/>
  <c r="CE128" i="5"/>
  <c r="CB128" i="5"/>
  <c r="BY128" i="5"/>
  <c r="BV128" i="5"/>
  <c r="BS128" i="5"/>
  <c r="BM128" i="5"/>
  <c r="BJ128" i="5"/>
  <c r="BG128" i="5"/>
  <c r="BD128" i="5"/>
  <c r="BA128" i="5"/>
  <c r="AX128" i="5"/>
  <c r="AR128" i="5"/>
  <c r="AO128" i="5"/>
  <c r="AL128" i="5"/>
  <c r="AI128" i="5"/>
  <c r="AF128" i="5"/>
  <c r="AC128" i="5"/>
  <c r="Z128" i="5"/>
  <c r="W128" i="5"/>
  <c r="T128" i="5"/>
  <c r="Q128" i="5"/>
  <c r="N128" i="5"/>
  <c r="H128" i="5"/>
  <c r="E128" i="5"/>
  <c r="CV127" i="5"/>
  <c r="CU127" i="5"/>
  <c r="CW127" i="5" s="1"/>
  <c r="CT127" i="5"/>
  <c r="CQ127" i="5"/>
  <c r="CN127" i="5"/>
  <c r="CK127" i="5"/>
  <c r="CH127" i="5"/>
  <c r="CE127" i="5"/>
  <c r="CB127" i="5"/>
  <c r="BY127" i="5"/>
  <c r="BV127" i="5"/>
  <c r="BS127" i="5"/>
  <c r="BP127" i="5"/>
  <c r="BM127" i="5"/>
  <c r="BJ127" i="5"/>
  <c r="BG127" i="5"/>
  <c r="BD127" i="5"/>
  <c r="BA127" i="5"/>
  <c r="AX127" i="5"/>
  <c r="AU127" i="5"/>
  <c r="AR127" i="5"/>
  <c r="AO127" i="5"/>
  <c r="AL127" i="5"/>
  <c r="AI127" i="5"/>
  <c r="AF127" i="5"/>
  <c r="Z127" i="5"/>
  <c r="W127" i="5"/>
  <c r="T127" i="5"/>
  <c r="Q127" i="5"/>
  <c r="N127" i="5"/>
  <c r="K127" i="5"/>
  <c r="H127" i="5"/>
  <c r="E127" i="5"/>
  <c r="CW126" i="5"/>
  <c r="CV126" i="5"/>
  <c r="CU126" i="5"/>
  <c r="CT126" i="5"/>
  <c r="CQ126" i="5"/>
  <c r="CN126" i="5"/>
  <c r="CK126" i="5"/>
  <c r="CH126" i="5"/>
  <c r="CE126" i="5"/>
  <c r="CB126" i="5"/>
  <c r="BY126" i="5"/>
  <c r="BV126" i="5"/>
  <c r="BS126" i="5"/>
  <c r="BP126" i="5"/>
  <c r="BM126" i="5"/>
  <c r="BJ126" i="5"/>
  <c r="BG126" i="5"/>
  <c r="BD126" i="5"/>
  <c r="BA126" i="5"/>
  <c r="AX126" i="5"/>
  <c r="AU126" i="5"/>
  <c r="AR126" i="5"/>
  <c r="AO126" i="5"/>
  <c r="AL126" i="5"/>
  <c r="AI126" i="5"/>
  <c r="AF126" i="5"/>
  <c r="AC126" i="5"/>
  <c r="Z126" i="5"/>
  <c r="W126" i="5"/>
  <c r="T126" i="5"/>
  <c r="Q126" i="5"/>
  <c r="N126" i="5"/>
  <c r="K126" i="5"/>
  <c r="H126" i="5"/>
  <c r="E126" i="5"/>
  <c r="CV125" i="5"/>
  <c r="CU125" i="5"/>
  <c r="CW125" i="5" s="1"/>
  <c r="CT125" i="5"/>
  <c r="CQ125" i="5"/>
  <c r="CN125" i="5"/>
  <c r="CK125" i="5"/>
  <c r="CH125" i="5"/>
  <c r="CE125" i="5"/>
  <c r="CB125" i="5"/>
  <c r="BV125" i="5"/>
  <c r="BS125" i="5"/>
  <c r="BP125" i="5"/>
  <c r="BM125" i="5"/>
  <c r="BD125" i="5"/>
  <c r="BA125" i="5"/>
  <c r="AX125" i="5"/>
  <c r="AR125" i="5"/>
  <c r="AO125" i="5"/>
  <c r="AL125" i="5"/>
  <c r="AI125" i="5"/>
  <c r="AF125" i="5"/>
  <c r="AC125" i="5"/>
  <c r="W125" i="5"/>
  <c r="T125" i="5"/>
  <c r="N125" i="5"/>
  <c r="K125" i="5"/>
  <c r="E125" i="5"/>
  <c r="CV124" i="5"/>
  <c r="CW124" i="5" s="1"/>
  <c r="CU124" i="5"/>
  <c r="CT124" i="5"/>
  <c r="CQ124" i="5"/>
  <c r="CN124" i="5"/>
  <c r="CK124" i="5"/>
  <c r="CH124" i="5"/>
  <c r="CE124" i="5"/>
  <c r="CB124" i="5"/>
  <c r="BY124" i="5"/>
  <c r="BV124" i="5"/>
  <c r="BP124" i="5"/>
  <c r="BM124" i="5"/>
  <c r="BJ124" i="5"/>
  <c r="BG124" i="5"/>
  <c r="BD124" i="5"/>
  <c r="BA124" i="5"/>
  <c r="AX124" i="5"/>
  <c r="AU124" i="5"/>
  <c r="AR124" i="5"/>
  <c r="AO124" i="5"/>
  <c r="AL124" i="5"/>
  <c r="AF124" i="5"/>
  <c r="AC124" i="5"/>
  <c r="W124" i="5"/>
  <c r="T124" i="5"/>
  <c r="Q124" i="5"/>
  <c r="N124" i="5"/>
  <c r="H124" i="5"/>
  <c r="E124" i="5"/>
  <c r="CV123" i="5"/>
  <c r="CU123" i="5"/>
  <c r="CW123" i="5" s="1"/>
  <c r="CT123" i="5"/>
  <c r="CQ123" i="5"/>
  <c r="CN123" i="5"/>
  <c r="CK123" i="5"/>
  <c r="CH123" i="5"/>
  <c r="CE123" i="5"/>
  <c r="CB123" i="5"/>
  <c r="BY123" i="5"/>
  <c r="BV123" i="5"/>
  <c r="BS123" i="5"/>
  <c r="BP123" i="5"/>
  <c r="BM123" i="5"/>
  <c r="BJ123" i="5"/>
  <c r="BG123" i="5"/>
  <c r="BD123" i="5"/>
  <c r="BA123" i="5"/>
  <c r="AX123" i="5"/>
  <c r="AU123" i="5"/>
  <c r="AR123" i="5"/>
  <c r="AO123" i="5"/>
  <c r="AL123" i="5"/>
  <c r="AI123" i="5"/>
  <c r="AF123" i="5"/>
  <c r="AC123" i="5"/>
  <c r="Z123" i="5"/>
  <c r="W123" i="5"/>
  <c r="T123" i="5"/>
  <c r="Q123" i="5"/>
  <c r="N123" i="5"/>
  <c r="K123" i="5"/>
  <c r="H123" i="5"/>
  <c r="E123" i="5"/>
  <c r="CV122" i="5"/>
  <c r="CW122" i="5" s="1"/>
  <c r="CU122" i="5"/>
  <c r="CT122" i="5"/>
  <c r="CQ122" i="5"/>
  <c r="CN122" i="5"/>
  <c r="CK122" i="5"/>
  <c r="CH122" i="5"/>
  <c r="CE122" i="5"/>
  <c r="CB122" i="5"/>
  <c r="BY122" i="5"/>
  <c r="BV122" i="5"/>
  <c r="BS122" i="5"/>
  <c r="BP122" i="5"/>
  <c r="BM122" i="5"/>
  <c r="BJ122" i="5"/>
  <c r="BG122" i="5"/>
  <c r="BD122" i="5"/>
  <c r="BA122" i="5"/>
  <c r="AX122" i="5"/>
  <c r="AU122" i="5"/>
  <c r="AR122" i="5"/>
  <c r="AO122" i="5"/>
  <c r="AL122" i="5"/>
  <c r="AI122" i="5"/>
  <c r="AF122" i="5"/>
  <c r="AC122" i="5"/>
  <c r="Z122" i="5"/>
  <c r="W122" i="5"/>
  <c r="T122" i="5"/>
  <c r="Q122" i="5"/>
  <c r="N122" i="5"/>
  <c r="K122" i="5"/>
  <c r="H122" i="5"/>
  <c r="E122" i="5"/>
  <c r="CV121" i="5"/>
  <c r="CU121" i="5"/>
  <c r="CW121" i="5" s="1"/>
  <c r="CT121" i="5"/>
  <c r="CQ121" i="5"/>
  <c r="CN121" i="5"/>
  <c r="CK121" i="5"/>
  <c r="CH121" i="5"/>
  <c r="CE121" i="5"/>
  <c r="CB121" i="5"/>
  <c r="BY121" i="5"/>
  <c r="BV121" i="5"/>
  <c r="BP121" i="5"/>
  <c r="BM121" i="5"/>
  <c r="BJ121" i="5"/>
  <c r="BG121" i="5"/>
  <c r="BD121" i="5"/>
  <c r="BA121" i="5"/>
  <c r="AX121" i="5"/>
  <c r="AU121" i="5"/>
  <c r="AR121" i="5"/>
  <c r="AO121" i="5"/>
  <c r="AL121" i="5"/>
  <c r="AI121" i="5"/>
  <c r="AF121" i="5"/>
  <c r="AC121" i="5"/>
  <c r="Z121" i="5"/>
  <c r="W121" i="5"/>
  <c r="T121" i="5"/>
  <c r="Q121" i="5"/>
  <c r="N121" i="5"/>
  <c r="K121" i="5"/>
  <c r="H121" i="5"/>
  <c r="E121" i="5"/>
  <c r="CV120" i="5"/>
  <c r="CU120" i="5"/>
  <c r="CW120" i="5" s="1"/>
  <c r="CT120" i="5"/>
  <c r="CQ120" i="5"/>
  <c r="CN120" i="5"/>
  <c r="CK120" i="5"/>
  <c r="CH120" i="5"/>
  <c r="CE120" i="5"/>
  <c r="CB120" i="5"/>
  <c r="BY120" i="5"/>
  <c r="BV120" i="5"/>
  <c r="BS120" i="5"/>
  <c r="BP120" i="5"/>
  <c r="BM120" i="5"/>
  <c r="BJ120" i="5"/>
  <c r="BG120" i="5"/>
  <c r="BD120" i="5"/>
  <c r="BA120" i="5"/>
  <c r="AX120" i="5"/>
  <c r="AU120" i="5"/>
  <c r="AR120" i="5"/>
  <c r="AO120" i="5"/>
  <c r="AL120" i="5"/>
  <c r="AI120" i="5"/>
  <c r="AF120" i="5"/>
  <c r="AC120" i="5"/>
  <c r="Z120" i="5"/>
  <c r="W120" i="5"/>
  <c r="T120" i="5"/>
  <c r="Q120" i="5"/>
  <c r="N120" i="5"/>
  <c r="K120" i="5"/>
  <c r="H120" i="5"/>
  <c r="E120" i="5"/>
  <c r="CV119" i="5"/>
  <c r="CW119" i="5" s="1"/>
  <c r="CU119" i="5"/>
  <c r="CT119" i="5"/>
  <c r="CQ119" i="5"/>
  <c r="CN119" i="5"/>
  <c r="CK119" i="5"/>
  <c r="CH119" i="5"/>
  <c r="CE119" i="5"/>
  <c r="CB119" i="5"/>
  <c r="BY119" i="5"/>
  <c r="BV119" i="5"/>
  <c r="BS119" i="5"/>
  <c r="BP119" i="5"/>
  <c r="BM119" i="5"/>
  <c r="BJ119" i="5"/>
  <c r="BD119" i="5"/>
  <c r="BA119" i="5"/>
  <c r="AX119" i="5"/>
  <c r="AU119" i="5"/>
  <c r="AR119" i="5"/>
  <c r="AO119" i="5"/>
  <c r="AL119" i="5"/>
  <c r="AF119" i="5"/>
  <c r="AC119" i="5"/>
  <c r="W119" i="5"/>
  <c r="T119" i="5"/>
  <c r="Q119" i="5"/>
  <c r="N119" i="5"/>
  <c r="K119" i="5"/>
  <c r="H119" i="5"/>
  <c r="E119" i="5"/>
  <c r="CV118" i="5"/>
  <c r="CW118" i="5" s="1"/>
  <c r="CU118" i="5"/>
  <c r="CT118" i="5"/>
  <c r="CQ118" i="5"/>
  <c r="CN118" i="5"/>
  <c r="CK118" i="5"/>
  <c r="CH118" i="5"/>
  <c r="CE118" i="5"/>
  <c r="CB118" i="5"/>
  <c r="BY118" i="5"/>
  <c r="BV118" i="5"/>
  <c r="BS118" i="5"/>
  <c r="BP118" i="5"/>
  <c r="BM118" i="5"/>
  <c r="BJ118" i="5"/>
  <c r="BD118" i="5"/>
  <c r="BA118" i="5"/>
  <c r="AX118" i="5"/>
  <c r="AU118" i="5"/>
  <c r="AR118" i="5"/>
  <c r="AO118" i="5"/>
  <c r="AL118" i="5"/>
  <c r="AI118" i="5"/>
  <c r="AF118" i="5"/>
  <c r="AC118" i="5"/>
  <c r="W118" i="5"/>
  <c r="T118" i="5"/>
  <c r="Q118" i="5"/>
  <c r="N118" i="5"/>
  <c r="H118" i="5"/>
  <c r="E118" i="5"/>
  <c r="CV117" i="5"/>
  <c r="CW117" i="5" s="1"/>
  <c r="CU117" i="5"/>
  <c r="CT117" i="5"/>
  <c r="CQ117" i="5"/>
  <c r="CN117" i="5"/>
  <c r="CK117" i="5"/>
  <c r="CH117" i="5"/>
  <c r="CE117" i="5"/>
  <c r="CB117" i="5"/>
  <c r="BY117" i="5"/>
  <c r="BV117" i="5"/>
  <c r="BP117" i="5"/>
  <c r="BM117" i="5"/>
  <c r="BJ117" i="5"/>
  <c r="BG117" i="5"/>
  <c r="BD117" i="5"/>
  <c r="BA117" i="5"/>
  <c r="AX117" i="5"/>
  <c r="AU117" i="5"/>
  <c r="AR117" i="5"/>
  <c r="AO117" i="5"/>
  <c r="AL117" i="5"/>
  <c r="AF117" i="5"/>
  <c r="AC117" i="5"/>
  <c r="W117" i="5"/>
  <c r="T117" i="5"/>
  <c r="Q117" i="5"/>
  <c r="N117" i="5"/>
  <c r="H117" i="5"/>
  <c r="E117" i="5"/>
  <c r="CW116" i="5"/>
  <c r="CV116" i="5"/>
  <c r="CU116" i="5"/>
  <c r="CT116" i="5"/>
  <c r="CQ116" i="5"/>
  <c r="CN116" i="5"/>
  <c r="CK116" i="5"/>
  <c r="CH116" i="5"/>
  <c r="CE116" i="5"/>
  <c r="CB116" i="5"/>
  <c r="BY116" i="5"/>
  <c r="BV116" i="5"/>
  <c r="BS116" i="5"/>
  <c r="BP116" i="5"/>
  <c r="BM116" i="5"/>
  <c r="BJ116" i="5"/>
  <c r="BG116" i="5"/>
  <c r="BD116" i="5"/>
  <c r="BA116" i="5"/>
  <c r="AX116" i="5"/>
  <c r="AU116" i="5"/>
  <c r="AR116" i="5"/>
  <c r="AO116" i="5"/>
  <c r="AL116" i="5"/>
  <c r="AI116" i="5"/>
  <c r="AF116" i="5"/>
  <c r="AC116" i="5"/>
  <c r="Z116" i="5"/>
  <c r="W116" i="5"/>
  <c r="T116" i="5"/>
  <c r="Q116" i="5"/>
  <c r="N116" i="5"/>
  <c r="K116" i="5"/>
  <c r="H116" i="5"/>
  <c r="E116" i="5"/>
  <c r="CV115" i="5"/>
  <c r="CU115" i="5"/>
  <c r="CW115" i="5" s="1"/>
  <c r="CT115" i="5"/>
  <c r="CQ115" i="5"/>
  <c r="CN115" i="5"/>
  <c r="CK115" i="5"/>
  <c r="CH115" i="5"/>
  <c r="CE115" i="5"/>
  <c r="CB115" i="5"/>
  <c r="BY115" i="5"/>
  <c r="BV115" i="5"/>
  <c r="BS115" i="5"/>
  <c r="BP115" i="5"/>
  <c r="BM115" i="5"/>
  <c r="BJ115" i="5"/>
  <c r="BG115" i="5"/>
  <c r="BD115" i="5"/>
  <c r="BA115" i="5"/>
  <c r="AX115" i="5"/>
  <c r="AU115" i="5"/>
  <c r="AR115" i="5"/>
  <c r="AO115" i="5"/>
  <c r="AL115" i="5"/>
  <c r="AF115" i="5"/>
  <c r="AC115" i="5"/>
  <c r="Z115" i="5"/>
  <c r="W115" i="5"/>
  <c r="T115" i="5"/>
  <c r="Q115" i="5"/>
  <c r="N115" i="5"/>
  <c r="H115" i="5"/>
  <c r="E115" i="5"/>
  <c r="CV114" i="5"/>
  <c r="CU114" i="5"/>
  <c r="CW114" i="5" s="1"/>
  <c r="CT114" i="5"/>
  <c r="CQ114" i="5"/>
  <c r="CN114" i="5"/>
  <c r="CK114" i="5"/>
  <c r="CH114" i="5"/>
  <c r="CE114" i="5"/>
  <c r="CB114" i="5"/>
  <c r="BY114" i="5"/>
  <c r="BV114" i="5"/>
  <c r="BS114" i="5"/>
  <c r="BP114" i="5"/>
  <c r="BM114" i="5"/>
  <c r="BJ114" i="5"/>
  <c r="BG114" i="5"/>
  <c r="BD114" i="5"/>
  <c r="BA114" i="5"/>
  <c r="AX114" i="5"/>
  <c r="AU114" i="5"/>
  <c r="AR114" i="5"/>
  <c r="AO114" i="5"/>
  <c r="AL114" i="5"/>
  <c r="AI114" i="5"/>
  <c r="AF114" i="5"/>
  <c r="AC114" i="5"/>
  <c r="Z114" i="5"/>
  <c r="W114" i="5"/>
  <c r="T114" i="5"/>
  <c r="Q114" i="5"/>
  <c r="N114" i="5"/>
  <c r="K114" i="5"/>
  <c r="H114" i="5"/>
  <c r="E114" i="5"/>
  <c r="CV113" i="5"/>
  <c r="CW113" i="5" s="1"/>
  <c r="CU113" i="5"/>
  <c r="CT113" i="5"/>
  <c r="CQ113" i="5"/>
  <c r="CN113" i="5"/>
  <c r="CK113" i="5"/>
  <c r="CH113" i="5"/>
  <c r="CE113" i="5"/>
  <c r="CB113" i="5"/>
  <c r="BY113" i="5"/>
  <c r="BV113" i="5"/>
  <c r="BP113" i="5"/>
  <c r="BM113" i="5"/>
  <c r="BJ113" i="5"/>
  <c r="BD113" i="5"/>
  <c r="BA113" i="5"/>
  <c r="AX113" i="5"/>
  <c r="AU113" i="5"/>
  <c r="AR113" i="5"/>
  <c r="AO113" i="5"/>
  <c r="AL113" i="5"/>
  <c r="AF113" i="5"/>
  <c r="AC113" i="5"/>
  <c r="Z113" i="5"/>
  <c r="W113" i="5"/>
  <c r="T113" i="5"/>
  <c r="Q113" i="5"/>
  <c r="N113" i="5"/>
  <c r="H113" i="5"/>
  <c r="E113" i="5"/>
  <c r="CV112" i="5"/>
  <c r="CU112" i="5"/>
  <c r="CW112" i="5" s="1"/>
  <c r="CT112" i="5"/>
  <c r="CQ112" i="5"/>
  <c r="CN112" i="5"/>
  <c r="CK112" i="5"/>
  <c r="CH112" i="5"/>
  <c r="CE112" i="5"/>
  <c r="CB112" i="5"/>
  <c r="BY112" i="5"/>
  <c r="BV112" i="5"/>
  <c r="BS112" i="5"/>
  <c r="BP112" i="5"/>
  <c r="BM112" i="5"/>
  <c r="BJ112" i="5"/>
  <c r="BG112" i="5"/>
  <c r="BD112" i="5"/>
  <c r="BA112" i="5"/>
  <c r="AX112" i="5"/>
  <c r="AU112" i="5"/>
  <c r="AR112" i="5"/>
  <c r="AO112" i="5"/>
  <c r="AL112" i="5"/>
  <c r="AI112" i="5"/>
  <c r="AF112" i="5"/>
  <c r="AC112" i="5"/>
  <c r="Z112" i="5"/>
  <c r="W112" i="5"/>
  <c r="T112" i="5"/>
  <c r="Q112" i="5"/>
  <c r="N112" i="5"/>
  <c r="K112" i="5"/>
  <c r="H112" i="5"/>
  <c r="E112" i="5"/>
  <c r="CV111" i="5"/>
  <c r="CW111" i="5" s="1"/>
  <c r="CU111" i="5"/>
  <c r="CT111" i="5"/>
  <c r="CQ111" i="5"/>
  <c r="CN111" i="5"/>
  <c r="CK111" i="5"/>
  <c r="CH111" i="5"/>
  <c r="CE111" i="5"/>
  <c r="CB111" i="5"/>
  <c r="BY111" i="5"/>
  <c r="BV111" i="5"/>
  <c r="BS111" i="5"/>
  <c r="BP111" i="5"/>
  <c r="BM111" i="5"/>
  <c r="BJ111" i="5"/>
  <c r="BG111" i="5"/>
  <c r="BD111" i="5"/>
  <c r="BA111" i="5"/>
  <c r="AX111" i="5"/>
  <c r="AU111" i="5"/>
  <c r="AR111" i="5"/>
  <c r="AO111" i="5"/>
  <c r="AL111" i="5"/>
  <c r="AI111" i="5"/>
  <c r="AF111" i="5"/>
  <c r="AC111" i="5"/>
  <c r="Z111" i="5"/>
  <c r="W111" i="5"/>
  <c r="T111" i="5"/>
  <c r="Q111" i="5"/>
  <c r="N111" i="5"/>
  <c r="K111" i="5"/>
  <c r="H111" i="5"/>
  <c r="E111" i="5"/>
  <c r="CV110" i="5"/>
  <c r="CU110" i="5"/>
  <c r="CW110" i="5" s="1"/>
  <c r="CT110" i="5"/>
  <c r="CQ110" i="5"/>
  <c r="CN110" i="5"/>
  <c r="CK110" i="5"/>
  <c r="CH110" i="5"/>
  <c r="CE110" i="5"/>
  <c r="CB110" i="5"/>
  <c r="BY110" i="5"/>
  <c r="BV110" i="5"/>
  <c r="BS110" i="5"/>
  <c r="BP110" i="5"/>
  <c r="BM110" i="5"/>
  <c r="BJ110" i="5"/>
  <c r="BG110" i="5"/>
  <c r="BD110" i="5"/>
  <c r="BA110" i="5"/>
  <c r="AX110" i="5"/>
  <c r="AU110" i="5"/>
  <c r="AR110" i="5"/>
  <c r="AO110" i="5"/>
  <c r="AL110" i="5"/>
  <c r="AI110" i="5"/>
  <c r="AF110" i="5"/>
  <c r="AC110" i="5"/>
  <c r="Z110" i="5"/>
  <c r="W110" i="5"/>
  <c r="T110" i="5"/>
  <c r="Q110" i="5"/>
  <c r="N110" i="5"/>
  <c r="K110" i="5"/>
  <c r="H110" i="5"/>
  <c r="E110" i="5"/>
  <c r="CV109" i="5"/>
  <c r="CW109" i="5" s="1"/>
  <c r="CU109" i="5"/>
  <c r="CT109" i="5"/>
  <c r="CQ109" i="5"/>
  <c r="CN109" i="5"/>
  <c r="CK109" i="5"/>
  <c r="CH109" i="5"/>
  <c r="CE109" i="5"/>
  <c r="CB109" i="5"/>
  <c r="BY109" i="5"/>
  <c r="BV109" i="5"/>
  <c r="BS109" i="5"/>
  <c r="BP109" i="5"/>
  <c r="BM109" i="5"/>
  <c r="BJ109" i="5"/>
  <c r="BG109" i="5"/>
  <c r="BD109" i="5"/>
  <c r="BA109" i="5"/>
  <c r="AX109" i="5"/>
  <c r="AU109" i="5"/>
  <c r="AR109" i="5"/>
  <c r="AO109" i="5"/>
  <c r="AL109" i="5"/>
  <c r="AI109" i="5"/>
  <c r="AF109" i="5"/>
  <c r="AC109" i="5"/>
  <c r="Z109" i="5"/>
  <c r="W109" i="5"/>
  <c r="T109" i="5"/>
  <c r="Q109" i="5"/>
  <c r="N109" i="5"/>
  <c r="K109" i="5"/>
  <c r="H109" i="5"/>
  <c r="E109" i="5"/>
  <c r="CW108" i="5"/>
  <c r="CV108" i="5"/>
  <c r="CU108" i="5"/>
  <c r="CT108" i="5"/>
  <c r="CQ108" i="5"/>
  <c r="CN108" i="5"/>
  <c r="CK108" i="5"/>
  <c r="CH108" i="5"/>
  <c r="CE108" i="5"/>
  <c r="CB108" i="5"/>
  <c r="BY108" i="5"/>
  <c r="BV108" i="5"/>
  <c r="BS108" i="5"/>
  <c r="BP108" i="5"/>
  <c r="BM108" i="5"/>
  <c r="BJ108" i="5"/>
  <c r="BG108" i="5"/>
  <c r="BD108" i="5"/>
  <c r="BA108" i="5"/>
  <c r="AX108" i="5"/>
  <c r="AU108" i="5"/>
  <c r="AR108" i="5"/>
  <c r="AO108" i="5"/>
  <c r="AL108" i="5"/>
  <c r="AI108" i="5"/>
  <c r="AF108" i="5"/>
  <c r="AC108" i="5"/>
  <c r="Z108" i="5"/>
  <c r="W108" i="5"/>
  <c r="T108" i="5"/>
  <c r="Q108" i="5"/>
  <c r="N108" i="5"/>
  <c r="K108" i="5"/>
  <c r="H108" i="5"/>
  <c r="E108" i="5"/>
  <c r="CV107" i="5"/>
  <c r="CU107" i="5"/>
  <c r="CW107" i="5" s="1"/>
  <c r="CT107" i="5"/>
  <c r="CQ107" i="5"/>
  <c r="CN107" i="5"/>
  <c r="CK107" i="5"/>
  <c r="CH107" i="5"/>
  <c r="CE107" i="5"/>
  <c r="CB107" i="5"/>
  <c r="BY107" i="5"/>
  <c r="BV107" i="5"/>
  <c r="BS107" i="5"/>
  <c r="BP107" i="5"/>
  <c r="BM107" i="5"/>
  <c r="BJ107" i="5"/>
  <c r="BG107" i="5"/>
  <c r="BD107" i="5"/>
  <c r="BA107" i="5"/>
  <c r="AX107" i="5"/>
  <c r="AU107" i="5"/>
  <c r="AR107" i="5"/>
  <c r="AO107" i="5"/>
  <c r="AL107" i="5"/>
  <c r="AI107" i="5"/>
  <c r="AF107" i="5"/>
  <c r="AC107" i="5"/>
  <c r="Z107" i="5"/>
  <c r="W107" i="5"/>
  <c r="T107" i="5"/>
  <c r="Q107" i="5"/>
  <c r="N107" i="5"/>
  <c r="K107" i="5"/>
  <c r="H107" i="5"/>
  <c r="E107" i="5"/>
  <c r="CW106" i="5"/>
  <c r="CV106" i="5"/>
  <c r="CU106" i="5"/>
  <c r="CT106" i="5"/>
  <c r="CQ106" i="5"/>
  <c r="CN106" i="5"/>
  <c r="CK106" i="5"/>
  <c r="CH106" i="5"/>
  <c r="CE106" i="5"/>
  <c r="CB106" i="5"/>
  <c r="BY106" i="5"/>
  <c r="BV106" i="5"/>
  <c r="BS106" i="5"/>
  <c r="BP106" i="5"/>
  <c r="BM106" i="5"/>
  <c r="BJ106" i="5"/>
  <c r="BG106" i="5"/>
  <c r="BD106" i="5"/>
  <c r="BA106" i="5"/>
  <c r="AX106" i="5"/>
  <c r="AU106" i="5"/>
  <c r="AR106" i="5"/>
  <c r="AO106" i="5"/>
  <c r="AL106" i="5"/>
  <c r="AI106" i="5"/>
  <c r="AF106" i="5"/>
  <c r="AC106" i="5"/>
  <c r="Z106" i="5"/>
  <c r="W106" i="5"/>
  <c r="T106" i="5"/>
  <c r="Q106" i="5"/>
  <c r="N106" i="5"/>
  <c r="K106" i="5"/>
  <c r="H106" i="5"/>
  <c r="E106" i="5"/>
  <c r="CV105" i="5"/>
  <c r="CU105" i="5"/>
  <c r="CW105" i="5" s="1"/>
  <c r="CT105" i="5"/>
  <c r="CQ105" i="5"/>
  <c r="CN105" i="5"/>
  <c r="CK105" i="5"/>
  <c r="CH105" i="5"/>
  <c r="CE105" i="5"/>
  <c r="CB105" i="5"/>
  <c r="BY105" i="5"/>
  <c r="BV105" i="5"/>
  <c r="BP105" i="5"/>
  <c r="BJ105" i="5"/>
  <c r="BD105" i="5"/>
  <c r="BA105" i="5"/>
  <c r="AX105" i="5"/>
  <c r="AU105" i="5"/>
  <c r="AR105" i="5"/>
  <c r="AO105" i="5"/>
  <c r="AL105" i="5"/>
  <c r="AI105" i="5"/>
  <c r="AF105" i="5"/>
  <c r="Z105" i="5"/>
  <c r="W105" i="5"/>
  <c r="Q105" i="5"/>
  <c r="K105" i="5"/>
  <c r="H105" i="5"/>
  <c r="E105" i="5"/>
  <c r="CW104" i="5"/>
  <c r="CV104" i="5"/>
  <c r="CU104" i="5"/>
  <c r="CT104" i="5"/>
  <c r="CQ104" i="5"/>
  <c r="CN104" i="5"/>
  <c r="CK104" i="5"/>
  <c r="CH104" i="5"/>
  <c r="CE104" i="5"/>
  <c r="CB104" i="5"/>
  <c r="BY104" i="5"/>
  <c r="BV104" i="5"/>
  <c r="BS104" i="5"/>
  <c r="BP104" i="5"/>
  <c r="BM104" i="5"/>
  <c r="BJ104" i="5"/>
  <c r="BG104" i="5"/>
  <c r="BD104" i="5"/>
  <c r="BA104" i="5"/>
  <c r="AX104" i="5"/>
  <c r="AU104" i="5"/>
  <c r="AR104" i="5"/>
  <c r="AO104" i="5"/>
  <c r="AL104" i="5"/>
  <c r="AI104" i="5"/>
  <c r="AF104" i="5"/>
  <c r="AC104" i="5"/>
  <c r="Z104" i="5"/>
  <c r="W104" i="5"/>
  <c r="T104" i="5"/>
  <c r="Q104" i="5"/>
  <c r="N104" i="5"/>
  <c r="K104" i="5"/>
  <c r="H104" i="5"/>
  <c r="E104" i="5"/>
  <c r="CV103" i="5"/>
  <c r="CU103" i="5"/>
  <c r="CW103" i="5" s="1"/>
  <c r="CT103" i="5"/>
  <c r="CQ103" i="5"/>
  <c r="CN103" i="5"/>
  <c r="CK103" i="5"/>
  <c r="CH103" i="5"/>
  <c r="CE103" i="5"/>
  <c r="CB103" i="5"/>
  <c r="BY103" i="5"/>
  <c r="BV103" i="5"/>
  <c r="BS103" i="5"/>
  <c r="BP103" i="5"/>
  <c r="BM103" i="5"/>
  <c r="BJ103" i="5"/>
  <c r="BG103" i="5"/>
  <c r="BD103" i="5"/>
  <c r="BA103" i="5"/>
  <c r="AX103" i="5"/>
  <c r="AU103" i="5"/>
  <c r="AR103" i="5"/>
  <c r="AO103" i="5"/>
  <c r="AL103" i="5"/>
  <c r="AI103" i="5"/>
  <c r="AF103" i="5"/>
  <c r="AC103" i="5"/>
  <c r="Z103" i="5"/>
  <c r="W103" i="5"/>
  <c r="T103" i="5"/>
  <c r="Q103" i="5"/>
  <c r="N103" i="5"/>
  <c r="K103" i="5"/>
  <c r="H103" i="5"/>
  <c r="E103" i="5"/>
  <c r="CV102" i="5"/>
  <c r="CU102" i="5"/>
  <c r="CW102" i="5" s="1"/>
  <c r="CT102" i="5"/>
  <c r="CQ102" i="5"/>
  <c r="CN102" i="5"/>
  <c r="CK102" i="5"/>
  <c r="CH102" i="5"/>
  <c r="CE102" i="5"/>
  <c r="CB102" i="5"/>
  <c r="BY102" i="5"/>
  <c r="BV102" i="5"/>
  <c r="BP102" i="5"/>
  <c r="BM102" i="5"/>
  <c r="BJ102" i="5"/>
  <c r="BD102" i="5"/>
  <c r="BA102" i="5"/>
  <c r="AX102" i="5"/>
  <c r="AU102" i="5"/>
  <c r="AR102" i="5"/>
  <c r="AO102" i="5"/>
  <c r="AL102" i="5"/>
  <c r="AF102" i="5"/>
  <c r="AC102" i="5"/>
  <c r="Z102" i="5"/>
  <c r="W102" i="5"/>
  <c r="T102" i="5"/>
  <c r="Q102" i="5"/>
  <c r="N102" i="5"/>
  <c r="H102" i="5"/>
  <c r="E102" i="5"/>
  <c r="CV101" i="5"/>
  <c r="CU101" i="5"/>
  <c r="CW101" i="5" s="1"/>
  <c r="CT101" i="5"/>
  <c r="CQ101" i="5"/>
  <c r="CN101" i="5"/>
  <c r="CK101" i="5"/>
  <c r="CH101" i="5"/>
  <c r="CE101" i="5"/>
  <c r="CB101" i="5"/>
  <c r="BY101" i="5"/>
  <c r="BV101" i="5"/>
  <c r="BP101" i="5"/>
  <c r="BM101" i="5"/>
  <c r="BJ101" i="5"/>
  <c r="BD101" i="5"/>
  <c r="BA101" i="5"/>
  <c r="AX101" i="5"/>
  <c r="AU101" i="5"/>
  <c r="AR101" i="5"/>
  <c r="AO101" i="5"/>
  <c r="AL101" i="5"/>
  <c r="AF101" i="5"/>
  <c r="AC101" i="5"/>
  <c r="W101" i="5"/>
  <c r="T101" i="5"/>
  <c r="Q101" i="5"/>
  <c r="N101" i="5"/>
  <c r="H101" i="5"/>
  <c r="E101" i="5"/>
  <c r="CV100" i="5"/>
  <c r="CU100" i="5"/>
  <c r="CW100" i="5" s="1"/>
  <c r="CT100" i="5"/>
  <c r="CQ100" i="5"/>
  <c r="CN100" i="5"/>
  <c r="CK100" i="5"/>
  <c r="CH100" i="5"/>
  <c r="CE100" i="5"/>
  <c r="CB100" i="5"/>
  <c r="BY100" i="5"/>
  <c r="BV100" i="5"/>
  <c r="BS100" i="5"/>
  <c r="BP100" i="5"/>
  <c r="BM100" i="5"/>
  <c r="BJ100" i="5"/>
  <c r="BG100" i="5"/>
  <c r="BD100" i="5"/>
  <c r="BA100" i="5"/>
  <c r="AX100" i="5"/>
  <c r="AU100" i="5"/>
  <c r="AR100" i="5"/>
  <c r="AO100" i="5"/>
  <c r="AL100" i="5"/>
  <c r="AI100" i="5"/>
  <c r="AF100" i="5"/>
  <c r="AC100" i="5"/>
  <c r="Z100" i="5"/>
  <c r="W100" i="5"/>
  <c r="T100" i="5"/>
  <c r="Q100" i="5"/>
  <c r="N100" i="5"/>
  <c r="K100" i="5"/>
  <c r="H100" i="5"/>
  <c r="E100" i="5"/>
  <c r="CV99" i="5"/>
  <c r="CU99" i="5"/>
  <c r="CW99" i="5" s="1"/>
  <c r="CT99" i="5"/>
  <c r="CQ99" i="5"/>
  <c r="CN99" i="5"/>
  <c r="CK99" i="5"/>
  <c r="CH99" i="5"/>
  <c r="CE99" i="5"/>
  <c r="CB99" i="5"/>
  <c r="BY99" i="5"/>
  <c r="BV99" i="5"/>
  <c r="BS99" i="5"/>
  <c r="BP99" i="5"/>
  <c r="BM99" i="5"/>
  <c r="BJ99" i="5"/>
  <c r="BG99" i="5"/>
  <c r="BD99" i="5"/>
  <c r="BA99" i="5"/>
  <c r="AX99" i="5"/>
  <c r="AU99" i="5"/>
  <c r="AR99" i="5"/>
  <c r="AO99" i="5"/>
  <c r="AL99" i="5"/>
  <c r="AI99" i="5"/>
  <c r="AF99" i="5"/>
  <c r="AC99" i="5"/>
  <c r="Z99" i="5"/>
  <c r="W99" i="5"/>
  <c r="T99" i="5"/>
  <c r="Q99" i="5"/>
  <c r="N99" i="5"/>
  <c r="K99" i="5"/>
  <c r="H99" i="5"/>
  <c r="E99" i="5"/>
  <c r="CV98" i="5"/>
  <c r="CW98" i="5" s="1"/>
  <c r="CU98" i="5"/>
  <c r="CT98" i="5"/>
  <c r="CQ98" i="5"/>
  <c r="CN98" i="5"/>
  <c r="CK98" i="5"/>
  <c r="CH98" i="5"/>
  <c r="CE98" i="5"/>
  <c r="CB98" i="5"/>
  <c r="BY98" i="5"/>
  <c r="BV98" i="5"/>
  <c r="BP98" i="5"/>
  <c r="BM98" i="5"/>
  <c r="BJ98" i="5"/>
  <c r="BD98" i="5"/>
  <c r="BA98" i="5"/>
  <c r="AX98" i="5"/>
  <c r="AU98" i="5"/>
  <c r="AR98" i="5"/>
  <c r="AO98" i="5"/>
  <c r="AL98" i="5"/>
  <c r="AF98" i="5"/>
  <c r="AC98" i="5"/>
  <c r="W98" i="5"/>
  <c r="T98" i="5"/>
  <c r="Q98" i="5"/>
  <c r="N98" i="5"/>
  <c r="H98" i="5"/>
  <c r="E98" i="5"/>
  <c r="CV97" i="5"/>
  <c r="CW97" i="5" s="1"/>
  <c r="CU97" i="5"/>
  <c r="CT97" i="5"/>
  <c r="CQ97" i="5"/>
  <c r="CN97" i="5"/>
  <c r="CK97" i="5"/>
  <c r="CH97" i="5"/>
  <c r="CE97" i="5"/>
  <c r="CB97" i="5"/>
  <c r="BY97" i="5"/>
  <c r="BV97" i="5"/>
  <c r="BS97" i="5"/>
  <c r="BP97" i="5"/>
  <c r="BM97" i="5"/>
  <c r="BJ97" i="5"/>
  <c r="BD97" i="5"/>
  <c r="BA97" i="5"/>
  <c r="AX97" i="5"/>
  <c r="AU97" i="5"/>
  <c r="AR97" i="5"/>
  <c r="AO97" i="5"/>
  <c r="AL97" i="5"/>
  <c r="AF97" i="5"/>
  <c r="AC97" i="5"/>
  <c r="W97" i="5"/>
  <c r="T97" i="5"/>
  <c r="Q97" i="5"/>
  <c r="N97" i="5"/>
  <c r="K97" i="5"/>
  <c r="H97" i="5"/>
  <c r="E97" i="5"/>
  <c r="CV96" i="5"/>
  <c r="CW96" i="5" s="1"/>
  <c r="CU96" i="5"/>
  <c r="CT96" i="5"/>
  <c r="CQ96" i="5"/>
  <c r="CN96" i="5"/>
  <c r="CK96" i="5"/>
  <c r="CH96" i="5"/>
  <c r="CE96" i="5"/>
  <c r="CB96" i="5"/>
  <c r="BY96" i="5"/>
  <c r="BV96" i="5"/>
  <c r="BS96" i="5"/>
  <c r="BP96" i="5"/>
  <c r="BM96" i="5"/>
  <c r="BJ96" i="5"/>
  <c r="BG96" i="5"/>
  <c r="BD96" i="5"/>
  <c r="BA96" i="5"/>
  <c r="AX96" i="5"/>
  <c r="AU96" i="5"/>
  <c r="AR96" i="5"/>
  <c r="AO96" i="5"/>
  <c r="AL96" i="5"/>
  <c r="AI96" i="5"/>
  <c r="AF96" i="5"/>
  <c r="AC96" i="5"/>
  <c r="W96" i="5"/>
  <c r="T96" i="5"/>
  <c r="Q96" i="5"/>
  <c r="N96" i="5"/>
  <c r="H96" i="5"/>
  <c r="E96" i="5"/>
  <c r="CW95" i="5"/>
  <c r="CV95" i="5"/>
  <c r="CU95" i="5"/>
  <c r="CT95" i="5"/>
  <c r="CQ95" i="5"/>
  <c r="CN95" i="5"/>
  <c r="CK95" i="5"/>
  <c r="CH95" i="5"/>
  <c r="CE95" i="5"/>
  <c r="CB95" i="5"/>
  <c r="BY95" i="5"/>
  <c r="BV95" i="5"/>
  <c r="BS95" i="5"/>
  <c r="BP95" i="5"/>
  <c r="BM95" i="5"/>
  <c r="BJ95" i="5"/>
  <c r="BG95" i="5"/>
  <c r="BD95" i="5"/>
  <c r="BA95" i="5"/>
  <c r="AX95" i="5"/>
  <c r="AU95" i="5"/>
  <c r="AR95" i="5"/>
  <c r="AO95" i="5"/>
  <c r="AL95" i="5"/>
  <c r="AI95" i="5"/>
  <c r="AF95" i="5"/>
  <c r="AC95" i="5"/>
  <c r="Z95" i="5"/>
  <c r="W95" i="5"/>
  <c r="T95" i="5"/>
  <c r="Q95" i="5"/>
  <c r="N95" i="5"/>
  <c r="K95" i="5"/>
  <c r="H95" i="5"/>
  <c r="E95" i="5"/>
  <c r="CV94" i="5"/>
  <c r="CU94" i="5"/>
  <c r="CW94" i="5" s="1"/>
  <c r="CT94" i="5"/>
  <c r="CQ94" i="5"/>
  <c r="CN94" i="5"/>
  <c r="CK94" i="5"/>
  <c r="CH94" i="5"/>
  <c r="CE94" i="5"/>
  <c r="CB94" i="5"/>
  <c r="BY94" i="5"/>
  <c r="BV94" i="5"/>
  <c r="BS94" i="5"/>
  <c r="BP94" i="5"/>
  <c r="BM94" i="5"/>
  <c r="BJ94" i="5"/>
  <c r="BG94" i="5"/>
  <c r="BD94" i="5"/>
  <c r="BA94" i="5"/>
  <c r="AX94" i="5"/>
  <c r="AU94" i="5"/>
  <c r="AR94" i="5"/>
  <c r="AO94" i="5"/>
  <c r="AL94" i="5"/>
  <c r="AI94" i="5"/>
  <c r="AF94" i="5"/>
  <c r="AC94" i="5"/>
  <c r="Z94" i="5"/>
  <c r="W94" i="5"/>
  <c r="T94" i="5"/>
  <c r="Q94" i="5"/>
  <c r="N94" i="5"/>
  <c r="K94" i="5"/>
  <c r="H94" i="5"/>
  <c r="E94" i="5"/>
  <c r="CV93" i="5"/>
  <c r="CU93" i="5"/>
  <c r="CW93" i="5" s="1"/>
  <c r="CT93" i="5"/>
  <c r="CQ93" i="5"/>
  <c r="CN93" i="5"/>
  <c r="CK93" i="5"/>
  <c r="CH93" i="5"/>
  <c r="CE93" i="5"/>
  <c r="CB93" i="5"/>
  <c r="BY93" i="5"/>
  <c r="BV93" i="5"/>
  <c r="BS93" i="5"/>
  <c r="BP93" i="5"/>
  <c r="BM93" i="5"/>
  <c r="BJ93" i="5"/>
  <c r="BG93" i="5"/>
  <c r="BD93" i="5"/>
  <c r="BA93" i="5"/>
  <c r="AX93" i="5"/>
  <c r="AU93" i="5"/>
  <c r="AR93" i="5"/>
  <c r="AO93" i="5"/>
  <c r="AL93" i="5"/>
  <c r="AI93" i="5"/>
  <c r="AF93" i="5"/>
  <c r="AC93" i="5"/>
  <c r="Z93" i="5"/>
  <c r="W93" i="5"/>
  <c r="T93" i="5"/>
  <c r="Q93" i="5"/>
  <c r="N93" i="5"/>
  <c r="K93" i="5"/>
  <c r="H93" i="5"/>
  <c r="E93" i="5"/>
  <c r="CV92" i="5"/>
  <c r="CW92" i="5" s="1"/>
  <c r="CU92" i="5"/>
  <c r="CT92" i="5"/>
  <c r="CQ92" i="5"/>
  <c r="CN92" i="5"/>
  <c r="CK92" i="5"/>
  <c r="CH92" i="5"/>
  <c r="CE92" i="5"/>
  <c r="CB92" i="5"/>
  <c r="BY92" i="5"/>
  <c r="BV92" i="5"/>
  <c r="BS92" i="5"/>
  <c r="BP92" i="5"/>
  <c r="BM92" i="5"/>
  <c r="BJ92" i="5"/>
  <c r="BG92" i="5"/>
  <c r="BD92" i="5"/>
  <c r="BA92" i="5"/>
  <c r="AX92" i="5"/>
  <c r="AU92" i="5"/>
  <c r="AR92" i="5"/>
  <c r="AO92" i="5"/>
  <c r="AL92" i="5"/>
  <c r="AI92" i="5"/>
  <c r="AF92" i="5"/>
  <c r="AC92" i="5"/>
  <c r="Z92" i="5"/>
  <c r="W92" i="5"/>
  <c r="T92" i="5"/>
  <c r="Q92" i="5"/>
  <c r="N92" i="5"/>
  <c r="K92" i="5"/>
  <c r="H92" i="5"/>
  <c r="E92" i="5"/>
  <c r="CV91" i="5"/>
  <c r="CU91" i="5"/>
  <c r="CW91" i="5" s="1"/>
  <c r="CT91" i="5"/>
  <c r="CQ91" i="5"/>
  <c r="CN91" i="5"/>
  <c r="CK91" i="5"/>
  <c r="CH91" i="5"/>
  <c r="CE91" i="5"/>
  <c r="CB91" i="5"/>
  <c r="BY91" i="5"/>
  <c r="BV91" i="5"/>
  <c r="BS91" i="5"/>
  <c r="BP91" i="5"/>
  <c r="BM91" i="5"/>
  <c r="BJ91" i="5"/>
  <c r="BG91" i="5"/>
  <c r="BD91" i="5"/>
  <c r="BA91" i="5"/>
  <c r="AX91" i="5"/>
  <c r="AU91" i="5"/>
  <c r="AR91" i="5"/>
  <c r="AO91" i="5"/>
  <c r="AL91" i="5"/>
  <c r="AI91" i="5"/>
  <c r="AF91" i="5"/>
  <c r="AC91" i="5"/>
  <c r="Z91" i="5"/>
  <c r="W91" i="5"/>
  <c r="T91" i="5"/>
  <c r="Q91" i="5"/>
  <c r="N91" i="5"/>
  <c r="K91" i="5"/>
  <c r="H91" i="5"/>
  <c r="E91" i="5"/>
  <c r="CV90" i="5"/>
  <c r="CW90" i="5" s="1"/>
  <c r="CU90" i="5"/>
  <c r="CT90" i="5"/>
  <c r="CQ90" i="5"/>
  <c r="CN90" i="5"/>
  <c r="CK90" i="5"/>
  <c r="CH90" i="5"/>
  <c r="CE90" i="5"/>
  <c r="CB90" i="5"/>
  <c r="BY90" i="5"/>
  <c r="BV90" i="5"/>
  <c r="BS90" i="5"/>
  <c r="BP90" i="5"/>
  <c r="BM90" i="5"/>
  <c r="BJ90" i="5"/>
  <c r="BG90" i="5"/>
  <c r="BD90" i="5"/>
  <c r="BA90" i="5"/>
  <c r="AX90" i="5"/>
  <c r="AU90" i="5"/>
  <c r="AR90" i="5"/>
  <c r="AO90" i="5"/>
  <c r="AL90" i="5"/>
  <c r="AI90" i="5"/>
  <c r="AF90" i="5"/>
  <c r="AC90" i="5"/>
  <c r="Z90" i="5"/>
  <c r="W90" i="5"/>
  <c r="T90" i="5"/>
  <c r="Q90" i="5"/>
  <c r="N90" i="5"/>
  <c r="K90" i="5"/>
  <c r="H90" i="5"/>
  <c r="E90" i="5"/>
  <c r="CW89" i="5"/>
  <c r="CV89" i="5"/>
  <c r="CU89" i="5"/>
  <c r="CT89" i="5"/>
  <c r="CQ89" i="5"/>
  <c r="CN89" i="5"/>
  <c r="CK89" i="5"/>
  <c r="CH89" i="5"/>
  <c r="CE89" i="5"/>
  <c r="CB89" i="5"/>
  <c r="BY89" i="5"/>
  <c r="BV89" i="5"/>
  <c r="BS89" i="5"/>
  <c r="BP89" i="5"/>
  <c r="BM89" i="5"/>
  <c r="BJ89" i="5"/>
  <c r="BD89" i="5"/>
  <c r="BA89" i="5"/>
  <c r="AX89" i="5"/>
  <c r="AU89" i="5"/>
  <c r="AR89" i="5"/>
  <c r="AO89" i="5"/>
  <c r="AL89" i="5"/>
  <c r="AF89" i="5"/>
  <c r="AC89" i="5"/>
  <c r="Z89" i="5"/>
  <c r="W89" i="5"/>
  <c r="T89" i="5"/>
  <c r="Q89" i="5"/>
  <c r="N89" i="5"/>
  <c r="H89" i="5"/>
  <c r="E89" i="5"/>
  <c r="CW88" i="5"/>
  <c r="CV88" i="5"/>
  <c r="CU88" i="5"/>
  <c r="CT88" i="5"/>
  <c r="CQ88" i="5"/>
  <c r="CN88" i="5"/>
  <c r="CK88" i="5"/>
  <c r="CH88" i="5"/>
  <c r="CE88" i="5"/>
  <c r="CB88" i="5"/>
  <c r="BY88" i="5"/>
  <c r="BV88" i="5"/>
  <c r="BS88" i="5"/>
  <c r="BP88" i="5"/>
  <c r="BM88" i="5"/>
  <c r="BJ88" i="5"/>
  <c r="BG88" i="5"/>
  <c r="BD88" i="5"/>
  <c r="BA88" i="5"/>
  <c r="AX88" i="5"/>
  <c r="AU88" i="5"/>
  <c r="AR88" i="5"/>
  <c r="AO88" i="5"/>
  <c r="AL88" i="5"/>
  <c r="AI88" i="5"/>
  <c r="AF88" i="5"/>
  <c r="AC88" i="5"/>
  <c r="Z88" i="5"/>
  <c r="W88" i="5"/>
  <c r="T88" i="5"/>
  <c r="Q88" i="5"/>
  <c r="N88" i="5"/>
  <c r="K88" i="5"/>
  <c r="H88" i="5"/>
  <c r="E88" i="5"/>
  <c r="CV87" i="5"/>
  <c r="CU87" i="5"/>
  <c r="CW87" i="5" s="1"/>
  <c r="CT87" i="5"/>
  <c r="CQ87" i="5"/>
  <c r="CN87" i="5"/>
  <c r="CK87" i="5"/>
  <c r="CH87" i="5"/>
  <c r="CE87" i="5"/>
  <c r="CB87" i="5"/>
  <c r="BY87" i="5"/>
  <c r="BV87" i="5"/>
  <c r="BP87" i="5"/>
  <c r="BM87" i="5"/>
  <c r="BJ87" i="5"/>
  <c r="BD87" i="5"/>
  <c r="BA87" i="5"/>
  <c r="AX87" i="5"/>
  <c r="AU87" i="5"/>
  <c r="AR87" i="5"/>
  <c r="AO87" i="5"/>
  <c r="AL87" i="5"/>
  <c r="AI87" i="5"/>
  <c r="AF87" i="5"/>
  <c r="AC87" i="5"/>
  <c r="W87" i="5"/>
  <c r="T87" i="5"/>
  <c r="Q87" i="5"/>
  <c r="N87" i="5"/>
  <c r="K87" i="5"/>
  <c r="H87" i="5"/>
  <c r="E87" i="5"/>
  <c r="CV86" i="5"/>
  <c r="CU86" i="5"/>
  <c r="CW86" i="5" s="1"/>
  <c r="CT86" i="5"/>
  <c r="CQ86" i="5"/>
  <c r="CN86" i="5"/>
  <c r="CK86" i="5"/>
  <c r="CH86" i="5"/>
  <c r="CE86" i="5"/>
  <c r="CB86" i="5"/>
  <c r="BY86" i="5"/>
  <c r="BV86" i="5"/>
  <c r="BS86" i="5"/>
  <c r="BP86" i="5"/>
  <c r="BM86" i="5"/>
  <c r="BJ86" i="5"/>
  <c r="BD86" i="5"/>
  <c r="BA86" i="5"/>
  <c r="AX86" i="5"/>
  <c r="AU86" i="5"/>
  <c r="AR86" i="5"/>
  <c r="AO86" i="5"/>
  <c r="AL86" i="5"/>
  <c r="AI86" i="5"/>
  <c r="AF86" i="5"/>
  <c r="AC86" i="5"/>
  <c r="Z86" i="5"/>
  <c r="W86" i="5"/>
  <c r="T86" i="5"/>
  <c r="Q86" i="5"/>
  <c r="N86" i="5"/>
  <c r="K86" i="5"/>
  <c r="H86" i="5"/>
  <c r="E86" i="5"/>
  <c r="CV85" i="5"/>
  <c r="CW85" i="5" s="1"/>
  <c r="CU85" i="5"/>
  <c r="CT85" i="5"/>
  <c r="CQ85" i="5"/>
  <c r="CN85" i="5"/>
  <c r="CK85" i="5"/>
  <c r="CH85" i="5"/>
  <c r="CE85" i="5"/>
  <c r="CB85" i="5"/>
  <c r="BY85" i="5"/>
  <c r="BV85" i="5"/>
  <c r="BS85" i="5"/>
  <c r="BP85" i="5"/>
  <c r="BM85" i="5"/>
  <c r="BJ85" i="5"/>
  <c r="BD85" i="5"/>
  <c r="BA85" i="5"/>
  <c r="AX85" i="5"/>
  <c r="AU85" i="5"/>
  <c r="AR85" i="5"/>
  <c r="AO85" i="5"/>
  <c r="AL85" i="5"/>
  <c r="AI85" i="5"/>
  <c r="AF85" i="5"/>
  <c r="AC85" i="5"/>
  <c r="Z85" i="5"/>
  <c r="W85" i="5"/>
  <c r="T85" i="5"/>
  <c r="Q85" i="5"/>
  <c r="N85" i="5"/>
  <c r="K85" i="5"/>
  <c r="H85" i="5"/>
  <c r="E85" i="5"/>
  <c r="CV84" i="5"/>
  <c r="CW84" i="5" s="1"/>
  <c r="CU84" i="5"/>
  <c r="CT84" i="5"/>
  <c r="CQ84" i="5"/>
  <c r="CN84" i="5"/>
  <c r="CK84" i="5"/>
  <c r="CH84" i="5"/>
  <c r="CE84" i="5"/>
  <c r="CB84" i="5"/>
  <c r="BY84" i="5"/>
  <c r="BV84" i="5"/>
  <c r="BP84" i="5"/>
  <c r="BM84" i="5"/>
  <c r="BJ84" i="5"/>
  <c r="BG84" i="5"/>
  <c r="BD84" i="5"/>
  <c r="BA84" i="5"/>
  <c r="AX84" i="5"/>
  <c r="AU84" i="5"/>
  <c r="AR84" i="5"/>
  <c r="AO84" i="5"/>
  <c r="AL84" i="5"/>
  <c r="AI84" i="5"/>
  <c r="AF84" i="5"/>
  <c r="AC84" i="5"/>
  <c r="Z84" i="5"/>
  <c r="W84" i="5"/>
  <c r="T84" i="5"/>
  <c r="Q84" i="5"/>
  <c r="N84" i="5"/>
  <c r="K84" i="5"/>
  <c r="H84" i="5"/>
  <c r="E84" i="5"/>
  <c r="CV83" i="5"/>
  <c r="CU83" i="5"/>
  <c r="CW83" i="5" s="1"/>
  <c r="CT83" i="5"/>
  <c r="CQ83" i="5"/>
  <c r="CN83" i="5"/>
  <c r="CK83" i="5"/>
  <c r="CH83" i="5"/>
  <c r="CE83" i="5"/>
  <c r="CB83" i="5"/>
  <c r="BY83" i="5"/>
  <c r="BV83" i="5"/>
  <c r="BS83" i="5"/>
  <c r="BP83" i="5"/>
  <c r="BM83" i="5"/>
  <c r="BJ83" i="5"/>
  <c r="BG83" i="5"/>
  <c r="BD83" i="5"/>
  <c r="BA83" i="5"/>
  <c r="AX83" i="5"/>
  <c r="AU83" i="5"/>
  <c r="AR83" i="5"/>
  <c r="AO83" i="5"/>
  <c r="AL83" i="5"/>
  <c r="AI83" i="5"/>
  <c r="AF83" i="5"/>
  <c r="AC83" i="5"/>
  <c r="Z83" i="5"/>
  <c r="W83" i="5"/>
  <c r="T83" i="5"/>
  <c r="Q83" i="5"/>
  <c r="N83" i="5"/>
  <c r="K83" i="5"/>
  <c r="H83" i="5"/>
  <c r="E83" i="5"/>
  <c r="CV82" i="5"/>
  <c r="CU82" i="5"/>
  <c r="CW82" i="5" s="1"/>
  <c r="CT82" i="5"/>
  <c r="CQ82" i="5"/>
  <c r="CN82" i="5"/>
  <c r="CK82" i="5"/>
  <c r="CH82" i="5"/>
  <c r="CE82" i="5"/>
  <c r="CB82" i="5"/>
  <c r="BY82" i="5"/>
  <c r="BV82" i="5"/>
  <c r="BS82" i="5"/>
  <c r="BP82" i="5"/>
  <c r="BM82" i="5"/>
  <c r="BJ82" i="5"/>
  <c r="BG82" i="5"/>
  <c r="BD82" i="5"/>
  <c r="BA82" i="5"/>
  <c r="AX82" i="5"/>
  <c r="AU82" i="5"/>
  <c r="AR82" i="5"/>
  <c r="AO82" i="5"/>
  <c r="AL82" i="5"/>
  <c r="AI82" i="5"/>
  <c r="AF82" i="5"/>
  <c r="AC82" i="5"/>
  <c r="Z82" i="5"/>
  <c r="W82" i="5"/>
  <c r="T82" i="5"/>
  <c r="Q82" i="5"/>
  <c r="N82" i="5"/>
  <c r="K82" i="5"/>
  <c r="H82" i="5"/>
  <c r="E82" i="5"/>
  <c r="CV81" i="5"/>
  <c r="CW81" i="5" s="1"/>
  <c r="CU81" i="5"/>
  <c r="CT81" i="5"/>
  <c r="CQ81" i="5"/>
  <c r="CN81" i="5"/>
  <c r="CK81" i="5"/>
  <c r="CH81" i="5"/>
  <c r="CE81" i="5"/>
  <c r="CB81" i="5"/>
  <c r="BY81" i="5"/>
  <c r="BV81" i="5"/>
  <c r="BS81" i="5"/>
  <c r="BP81" i="5"/>
  <c r="BM81" i="5"/>
  <c r="BJ81" i="5"/>
  <c r="BG81" i="5"/>
  <c r="BD81" i="5"/>
  <c r="BA81" i="5"/>
  <c r="AX81" i="5"/>
  <c r="AU81" i="5"/>
  <c r="AR81" i="5"/>
  <c r="AO81" i="5"/>
  <c r="AL81" i="5"/>
  <c r="AI81" i="5"/>
  <c r="AF81" i="5"/>
  <c r="AC81" i="5"/>
  <c r="Z81" i="5"/>
  <c r="W81" i="5"/>
  <c r="T81" i="5"/>
  <c r="Q81" i="5"/>
  <c r="N81" i="5"/>
  <c r="K81" i="5"/>
  <c r="H81" i="5"/>
  <c r="E81" i="5"/>
  <c r="CV80" i="5"/>
  <c r="CW80" i="5" s="1"/>
  <c r="CU80" i="5"/>
  <c r="CT80" i="5"/>
  <c r="CQ80" i="5"/>
  <c r="CN80" i="5"/>
  <c r="CK80" i="5"/>
  <c r="CH80" i="5"/>
  <c r="CE80" i="5"/>
  <c r="CB80" i="5"/>
  <c r="BY80" i="5"/>
  <c r="BV80" i="5"/>
  <c r="BS80" i="5"/>
  <c r="BP80" i="5"/>
  <c r="BM80" i="5"/>
  <c r="BJ80" i="5"/>
  <c r="BG80" i="5"/>
  <c r="BD80" i="5"/>
  <c r="BA80" i="5"/>
  <c r="AX80" i="5"/>
  <c r="AU80" i="5"/>
  <c r="AR80" i="5"/>
  <c r="AO80" i="5"/>
  <c r="AL80" i="5"/>
  <c r="AI80" i="5"/>
  <c r="AF80" i="5"/>
  <c r="AC80" i="5"/>
  <c r="Z80" i="5"/>
  <c r="W80" i="5"/>
  <c r="T80" i="5"/>
  <c r="Q80" i="5"/>
  <c r="N80" i="5"/>
  <c r="K80" i="5"/>
  <c r="H80" i="5"/>
  <c r="E80" i="5"/>
  <c r="CV79" i="5"/>
  <c r="CW79" i="5" s="1"/>
  <c r="CU79" i="5"/>
  <c r="CT79" i="5"/>
  <c r="CQ79" i="5"/>
  <c r="CN79" i="5"/>
  <c r="CK79" i="5"/>
  <c r="CH79" i="5"/>
  <c r="CE79" i="5"/>
  <c r="CB79" i="5"/>
  <c r="BY79" i="5"/>
  <c r="BV79" i="5"/>
  <c r="BS79" i="5"/>
  <c r="BP79" i="5"/>
  <c r="BM79" i="5"/>
  <c r="BJ79" i="5"/>
  <c r="BG79" i="5"/>
  <c r="BD79" i="5"/>
  <c r="BA79" i="5"/>
  <c r="AX79" i="5"/>
  <c r="AU79" i="5"/>
  <c r="AR79" i="5"/>
  <c r="AO79" i="5"/>
  <c r="AL79" i="5"/>
  <c r="AI79" i="5"/>
  <c r="AF79" i="5"/>
  <c r="AC79" i="5"/>
  <c r="Z79" i="5"/>
  <c r="W79" i="5"/>
  <c r="T79" i="5"/>
  <c r="Q79" i="5"/>
  <c r="N79" i="5"/>
  <c r="K79" i="5"/>
  <c r="H79" i="5"/>
  <c r="E79" i="5"/>
  <c r="CW78" i="5"/>
  <c r="CV78" i="5"/>
  <c r="CU78" i="5"/>
  <c r="CT78" i="5"/>
  <c r="CQ78" i="5"/>
  <c r="CN78" i="5"/>
  <c r="CK78" i="5"/>
  <c r="CH78" i="5"/>
  <c r="CE78" i="5"/>
  <c r="CB78" i="5"/>
  <c r="BY78" i="5"/>
  <c r="BV78" i="5"/>
  <c r="BP78" i="5"/>
  <c r="BM78" i="5"/>
  <c r="BJ78" i="5"/>
  <c r="BG78" i="5"/>
  <c r="BD78" i="5"/>
  <c r="BA78" i="5"/>
  <c r="AX78" i="5"/>
  <c r="AU78" i="5"/>
  <c r="AR78" i="5"/>
  <c r="AO78" i="5"/>
  <c r="AL78" i="5"/>
  <c r="AI78" i="5"/>
  <c r="AF78" i="5"/>
  <c r="AC78" i="5"/>
  <c r="Z78" i="5"/>
  <c r="W78" i="5"/>
  <c r="T78" i="5"/>
  <c r="Q78" i="5"/>
  <c r="N78" i="5"/>
  <c r="H78" i="5"/>
  <c r="E78" i="5"/>
  <c r="CV77" i="5"/>
  <c r="CU77" i="5"/>
  <c r="CW77" i="5" s="1"/>
  <c r="CT77" i="5"/>
  <c r="CQ77" i="5"/>
  <c r="CN77" i="5"/>
  <c r="CK77" i="5"/>
  <c r="CH77" i="5"/>
  <c r="CE77" i="5"/>
  <c r="CB77" i="5"/>
  <c r="BY77" i="5"/>
  <c r="BV77" i="5"/>
  <c r="BS77" i="5"/>
  <c r="BP77" i="5"/>
  <c r="BM77" i="5"/>
  <c r="BJ77" i="5"/>
  <c r="BG77" i="5"/>
  <c r="BD77" i="5"/>
  <c r="BA77" i="5"/>
  <c r="AX77" i="5"/>
  <c r="AU77" i="5"/>
  <c r="AR77" i="5"/>
  <c r="AO77" i="5"/>
  <c r="AL77" i="5"/>
  <c r="AI77" i="5"/>
  <c r="AF77" i="5"/>
  <c r="AC77" i="5"/>
  <c r="Z77" i="5"/>
  <c r="W77" i="5"/>
  <c r="T77" i="5"/>
  <c r="Q77" i="5"/>
  <c r="N77" i="5"/>
  <c r="K77" i="5"/>
  <c r="H77" i="5"/>
  <c r="E77" i="5"/>
  <c r="CV76" i="5"/>
  <c r="CU76" i="5"/>
  <c r="CW76" i="5" s="1"/>
  <c r="CT76" i="5"/>
  <c r="CQ76" i="5"/>
  <c r="CN76" i="5"/>
  <c r="CK76" i="5"/>
  <c r="CH76" i="5"/>
  <c r="CE76" i="5"/>
  <c r="CB76" i="5"/>
  <c r="BY76" i="5"/>
  <c r="BV76" i="5"/>
  <c r="BS76" i="5"/>
  <c r="BP76" i="5"/>
  <c r="BM76" i="5"/>
  <c r="BJ76" i="5"/>
  <c r="BG76" i="5"/>
  <c r="BD76" i="5"/>
  <c r="BA76" i="5"/>
  <c r="AX76" i="5"/>
  <c r="AU76" i="5"/>
  <c r="AR76" i="5"/>
  <c r="AO76" i="5"/>
  <c r="AL76" i="5"/>
  <c r="AI76" i="5"/>
  <c r="AF76" i="5"/>
  <c r="AC76" i="5"/>
  <c r="Z76" i="5"/>
  <c r="W76" i="5"/>
  <c r="T76" i="5"/>
  <c r="Q76" i="5"/>
  <c r="N76" i="5"/>
  <c r="K76" i="5"/>
  <c r="H76" i="5"/>
  <c r="E76" i="5"/>
  <c r="CV75" i="5"/>
  <c r="CW75" i="5" s="1"/>
  <c r="CU75" i="5"/>
  <c r="CT75" i="5"/>
  <c r="CQ75" i="5"/>
  <c r="CN75" i="5"/>
  <c r="CK75" i="5"/>
  <c r="CH75" i="5"/>
  <c r="CE75" i="5"/>
  <c r="CB75" i="5"/>
  <c r="BY75" i="5"/>
  <c r="BV75" i="5"/>
  <c r="BS75" i="5"/>
  <c r="BP75" i="5"/>
  <c r="BM75" i="5"/>
  <c r="BJ75" i="5"/>
  <c r="BG75" i="5"/>
  <c r="BD75" i="5"/>
  <c r="BA75" i="5"/>
  <c r="AX75" i="5"/>
  <c r="AU75" i="5"/>
  <c r="AR75" i="5"/>
  <c r="AO75" i="5"/>
  <c r="AL75" i="5"/>
  <c r="AF75" i="5"/>
  <c r="AC75" i="5"/>
  <c r="Z75" i="5"/>
  <c r="W75" i="5"/>
  <c r="T75" i="5"/>
  <c r="Q75" i="5"/>
  <c r="N75" i="5"/>
  <c r="K75" i="5"/>
  <c r="H75" i="5"/>
  <c r="E75" i="5"/>
  <c r="CV74" i="5"/>
  <c r="CU74" i="5"/>
  <c r="CW74" i="5" s="1"/>
  <c r="CT74" i="5"/>
  <c r="CQ74" i="5"/>
  <c r="CN74" i="5"/>
  <c r="CK74" i="5"/>
  <c r="CH74" i="5"/>
  <c r="CE74" i="5"/>
  <c r="CB74" i="5"/>
  <c r="BY74" i="5"/>
  <c r="BV74" i="5"/>
  <c r="BP74" i="5"/>
  <c r="BM74" i="5"/>
  <c r="BJ74" i="5"/>
  <c r="BD74" i="5"/>
  <c r="BA74" i="5"/>
  <c r="AX74" i="5"/>
  <c r="AU74" i="5"/>
  <c r="AR74" i="5"/>
  <c r="AO74" i="5"/>
  <c r="AL74" i="5"/>
  <c r="AF74" i="5"/>
  <c r="AC74" i="5"/>
  <c r="W74" i="5"/>
  <c r="T74" i="5"/>
  <c r="Q74" i="5"/>
  <c r="N74" i="5"/>
  <c r="H74" i="5"/>
  <c r="E74" i="5"/>
  <c r="CV73" i="5"/>
  <c r="CW73" i="5" s="1"/>
  <c r="CU73" i="5"/>
  <c r="CT73" i="5"/>
  <c r="CQ73" i="5"/>
  <c r="CN73" i="5"/>
  <c r="CK73" i="5"/>
  <c r="CH73" i="5"/>
  <c r="CE73" i="5"/>
  <c r="CB73" i="5"/>
  <c r="BY73" i="5"/>
  <c r="BV73" i="5"/>
  <c r="BP73" i="5"/>
  <c r="BM73" i="5"/>
  <c r="BJ73" i="5"/>
  <c r="BG73" i="5"/>
  <c r="BD73" i="5"/>
  <c r="BA73" i="5"/>
  <c r="AX73" i="5"/>
  <c r="AU73" i="5"/>
  <c r="AR73" i="5"/>
  <c r="AO73" i="5"/>
  <c r="AL73" i="5"/>
  <c r="AF73" i="5"/>
  <c r="AC73" i="5"/>
  <c r="W73" i="5"/>
  <c r="T73" i="5"/>
  <c r="Q73" i="5"/>
  <c r="N73" i="5"/>
  <c r="H73" i="5"/>
  <c r="E73" i="5"/>
  <c r="CW72" i="5"/>
  <c r="CV72" i="5"/>
  <c r="CU72" i="5"/>
  <c r="CT72" i="5"/>
  <c r="CQ72" i="5"/>
  <c r="CN72" i="5"/>
  <c r="CK72" i="5"/>
  <c r="CH72" i="5"/>
  <c r="CE72" i="5"/>
  <c r="CB72" i="5"/>
  <c r="BY72" i="5"/>
  <c r="BV72" i="5"/>
  <c r="BP72" i="5"/>
  <c r="BM72" i="5"/>
  <c r="BJ72" i="5"/>
  <c r="BG72" i="5"/>
  <c r="BD72" i="5"/>
  <c r="BA72" i="5"/>
  <c r="AX72" i="5"/>
  <c r="AU72" i="5"/>
  <c r="AR72" i="5"/>
  <c r="AO72" i="5"/>
  <c r="AL72" i="5"/>
  <c r="AF72" i="5"/>
  <c r="AC72" i="5"/>
  <c r="Z72" i="5"/>
  <c r="W72" i="5"/>
  <c r="T72" i="5"/>
  <c r="Q72" i="5"/>
  <c r="N72" i="5"/>
  <c r="H72" i="5"/>
  <c r="E72" i="5"/>
  <c r="CW71" i="5"/>
  <c r="CV71" i="5"/>
  <c r="CU71" i="5"/>
  <c r="CT71" i="5"/>
  <c r="CQ71" i="5"/>
  <c r="CN71" i="5"/>
  <c r="CK71" i="5"/>
  <c r="CH71" i="5"/>
  <c r="CE71" i="5"/>
  <c r="CB71" i="5"/>
  <c r="BY71" i="5"/>
  <c r="BV71" i="5"/>
  <c r="BP71" i="5"/>
  <c r="BM71" i="5"/>
  <c r="BJ71" i="5"/>
  <c r="BD71" i="5"/>
  <c r="BA71" i="5"/>
  <c r="AX71" i="5"/>
  <c r="AU71" i="5"/>
  <c r="AR71" i="5"/>
  <c r="AO71" i="5"/>
  <c r="AL71" i="5"/>
  <c r="AF71" i="5"/>
  <c r="AC71" i="5"/>
  <c r="W71" i="5"/>
  <c r="T71" i="5"/>
  <c r="Q71" i="5"/>
  <c r="N71" i="5"/>
  <c r="H71" i="5"/>
  <c r="E71" i="5"/>
  <c r="CX70" i="5"/>
  <c r="CV70" i="5"/>
  <c r="CW70" i="5" s="1"/>
  <c r="CU70" i="5"/>
  <c r="CT70" i="5"/>
  <c r="CQ70" i="5"/>
  <c r="CN70" i="5"/>
  <c r="CK70" i="5"/>
  <c r="CH70" i="5"/>
  <c r="CE70" i="5"/>
  <c r="CB70" i="5"/>
  <c r="BY70" i="5"/>
  <c r="BV70" i="5"/>
  <c r="BS70" i="5"/>
  <c r="BP70" i="5"/>
  <c r="BM70" i="5"/>
  <c r="BJ70" i="5"/>
  <c r="BG70" i="5"/>
  <c r="BD70" i="5"/>
  <c r="BA70" i="5"/>
  <c r="AX70" i="5"/>
  <c r="AU70" i="5"/>
  <c r="AR70" i="5"/>
  <c r="AO70" i="5"/>
  <c r="AL70" i="5"/>
  <c r="AI70" i="5"/>
  <c r="AF70" i="5"/>
  <c r="AC70" i="5"/>
  <c r="Z70" i="5"/>
  <c r="W70" i="5"/>
  <c r="T70" i="5"/>
  <c r="Q70" i="5"/>
  <c r="N70" i="5"/>
  <c r="H70" i="5"/>
  <c r="E70" i="5"/>
  <c r="CV69" i="5"/>
  <c r="CW69" i="5" s="1"/>
  <c r="CU69" i="5"/>
  <c r="CT69" i="5"/>
  <c r="CQ69" i="5"/>
  <c r="CN69" i="5"/>
  <c r="CK69" i="5"/>
  <c r="CH69" i="5"/>
  <c r="CE69" i="5"/>
  <c r="CB69" i="5"/>
  <c r="BY69" i="5"/>
  <c r="BV69" i="5"/>
  <c r="BS69" i="5"/>
  <c r="BP69" i="5"/>
  <c r="BM69" i="5"/>
  <c r="BJ69" i="5"/>
  <c r="BG69" i="5"/>
  <c r="BD69" i="5"/>
  <c r="BA69" i="5"/>
  <c r="AX69" i="5"/>
  <c r="AU69" i="5"/>
  <c r="AR69" i="5"/>
  <c r="AO69" i="5"/>
  <c r="AL69" i="5"/>
  <c r="AI69" i="5"/>
  <c r="AF69" i="5"/>
  <c r="AC69" i="5"/>
  <c r="Z69" i="5"/>
  <c r="W69" i="5"/>
  <c r="T69" i="5"/>
  <c r="Q69" i="5"/>
  <c r="N69" i="5"/>
  <c r="H69" i="5"/>
  <c r="E69" i="5"/>
  <c r="CV68" i="5"/>
  <c r="CU68" i="5"/>
  <c r="CW68" i="5" s="1"/>
  <c r="CT68" i="5"/>
  <c r="CQ68" i="5"/>
  <c r="CN68" i="5"/>
  <c r="CK68" i="5"/>
  <c r="CH68" i="5"/>
  <c r="CE68" i="5"/>
  <c r="CB68" i="5"/>
  <c r="BY68" i="5"/>
  <c r="BV68" i="5"/>
  <c r="BS68" i="5"/>
  <c r="BP68" i="5"/>
  <c r="BM68" i="5"/>
  <c r="BJ68" i="5"/>
  <c r="BG68" i="5"/>
  <c r="BD68" i="5"/>
  <c r="BA68" i="5"/>
  <c r="AX68" i="5"/>
  <c r="AU68" i="5"/>
  <c r="AR68" i="5"/>
  <c r="AO68" i="5"/>
  <c r="AL68" i="5"/>
  <c r="AI68" i="5"/>
  <c r="AF68" i="5"/>
  <c r="AC68" i="5"/>
  <c r="W68" i="5"/>
  <c r="T68" i="5"/>
  <c r="Q68" i="5"/>
  <c r="N68" i="5"/>
  <c r="K68" i="5"/>
  <c r="H68" i="5"/>
  <c r="E68" i="5"/>
  <c r="CV67" i="5"/>
  <c r="CU67" i="5"/>
  <c r="CW67" i="5" s="1"/>
  <c r="CT67" i="5"/>
  <c r="CQ67" i="5"/>
  <c r="CN67" i="5"/>
  <c r="CK67" i="5"/>
  <c r="CH67" i="5"/>
  <c r="CE67" i="5"/>
  <c r="CB67" i="5"/>
  <c r="BY67" i="5"/>
  <c r="BV67" i="5"/>
  <c r="BS67" i="5"/>
  <c r="BP67" i="5"/>
  <c r="BM67" i="5"/>
  <c r="BJ67" i="5"/>
  <c r="BG67" i="5"/>
  <c r="BD67" i="5"/>
  <c r="BA67" i="5"/>
  <c r="AX67" i="5"/>
  <c r="AU67" i="5"/>
  <c r="AR67" i="5"/>
  <c r="AO67" i="5"/>
  <c r="AL67" i="5"/>
  <c r="AI67" i="5"/>
  <c r="AF67" i="5"/>
  <c r="AC67" i="5"/>
  <c r="W67" i="5"/>
  <c r="T67" i="5"/>
  <c r="Q67" i="5"/>
  <c r="N67" i="5"/>
  <c r="K67" i="5"/>
  <c r="E67" i="5"/>
  <c r="CV66" i="5"/>
  <c r="CU66" i="5"/>
  <c r="CW66" i="5" s="1"/>
  <c r="CT66" i="5"/>
  <c r="CQ66" i="5"/>
  <c r="CN66" i="5"/>
  <c r="CK66" i="5"/>
  <c r="CH66" i="5"/>
  <c r="CE66" i="5"/>
  <c r="CB66" i="5"/>
  <c r="BY66" i="5"/>
  <c r="BV66" i="5"/>
  <c r="BS66" i="5"/>
  <c r="BP66" i="5"/>
  <c r="BM66" i="5"/>
  <c r="BJ66" i="5"/>
  <c r="BG66" i="5"/>
  <c r="BD66" i="5"/>
  <c r="BA66" i="5"/>
  <c r="AX66" i="5"/>
  <c r="AU66" i="5"/>
  <c r="AR66" i="5"/>
  <c r="AO66" i="5"/>
  <c r="AL66" i="5"/>
  <c r="AI66" i="5"/>
  <c r="AF66" i="5"/>
  <c r="AC66" i="5"/>
  <c r="Z66" i="5"/>
  <c r="W66" i="5"/>
  <c r="T66" i="5"/>
  <c r="Q66" i="5"/>
  <c r="N66" i="5"/>
  <c r="K66" i="5"/>
  <c r="H66" i="5"/>
  <c r="E66" i="5"/>
  <c r="CV65" i="5"/>
  <c r="CW65" i="5" s="1"/>
  <c r="CU65" i="5"/>
  <c r="CT65" i="5"/>
  <c r="CQ65" i="5"/>
  <c r="CN65" i="5"/>
  <c r="CK65" i="5"/>
  <c r="CH65" i="5"/>
  <c r="CE65" i="5"/>
  <c r="CB65" i="5"/>
  <c r="BY65" i="5"/>
  <c r="BV65" i="5"/>
  <c r="BS65" i="5"/>
  <c r="BP65" i="5"/>
  <c r="BM65" i="5"/>
  <c r="BJ65" i="5"/>
  <c r="BD65" i="5"/>
  <c r="BA65" i="5"/>
  <c r="AX65" i="5"/>
  <c r="AU65" i="5"/>
  <c r="AR65" i="5"/>
  <c r="AO65" i="5"/>
  <c r="AL65" i="5"/>
  <c r="AF65" i="5"/>
  <c r="AC65" i="5"/>
  <c r="W65" i="5"/>
  <c r="T65" i="5"/>
  <c r="Q65" i="5"/>
  <c r="N65" i="5"/>
  <c r="K65" i="5"/>
  <c r="H65" i="5"/>
  <c r="E65" i="5"/>
  <c r="CV64" i="5"/>
  <c r="CW64" i="5" s="1"/>
  <c r="CU64" i="5"/>
  <c r="CT64" i="5"/>
  <c r="CQ64" i="5"/>
  <c r="CN64" i="5"/>
  <c r="CK64" i="5"/>
  <c r="CH64" i="5"/>
  <c r="CE64" i="5"/>
  <c r="CB64" i="5"/>
  <c r="BY64" i="5"/>
  <c r="BV64" i="5"/>
  <c r="BP64" i="5"/>
  <c r="BM64" i="5"/>
  <c r="BJ64" i="5"/>
  <c r="BD64" i="5"/>
  <c r="BA64" i="5"/>
  <c r="AX64" i="5"/>
  <c r="AU64" i="5"/>
  <c r="AR64" i="5"/>
  <c r="AO64" i="5"/>
  <c r="AL64" i="5"/>
  <c r="AF64" i="5"/>
  <c r="AC64" i="5"/>
  <c r="W64" i="5"/>
  <c r="T64" i="5"/>
  <c r="Q64" i="5"/>
  <c r="N64" i="5"/>
  <c r="H64" i="5"/>
  <c r="E64" i="5"/>
  <c r="CV63" i="5"/>
  <c r="CW63" i="5" s="1"/>
  <c r="CU63" i="5"/>
  <c r="CT63" i="5"/>
  <c r="CQ63" i="5"/>
  <c r="CN63" i="5"/>
  <c r="CK63" i="5"/>
  <c r="CH63" i="5"/>
  <c r="CE63" i="5"/>
  <c r="CB63" i="5"/>
  <c r="BY63" i="5"/>
  <c r="BV63" i="5"/>
  <c r="BP63" i="5"/>
  <c r="BM63" i="5"/>
  <c r="BJ63" i="5"/>
  <c r="BD63" i="5"/>
  <c r="BA63" i="5"/>
  <c r="AX63" i="5"/>
  <c r="AU63" i="5"/>
  <c r="AR63" i="5"/>
  <c r="AO63" i="5"/>
  <c r="AL63" i="5"/>
  <c r="AF63" i="5"/>
  <c r="AC63" i="5"/>
  <c r="Z63" i="5"/>
  <c r="W63" i="5"/>
  <c r="T63" i="5"/>
  <c r="N63" i="5"/>
  <c r="K63" i="5"/>
  <c r="H63" i="5"/>
  <c r="E63" i="5"/>
  <c r="CV62" i="5"/>
  <c r="CU62" i="5"/>
  <c r="CT62" i="5"/>
  <c r="CQ62" i="5"/>
  <c r="CN62" i="5"/>
  <c r="CK62" i="5"/>
  <c r="CH62" i="5"/>
  <c r="CE62" i="5"/>
  <c r="CB62" i="5"/>
  <c r="BY62" i="5"/>
  <c r="BV62" i="5"/>
  <c r="BP62" i="5"/>
  <c r="BM62" i="5"/>
  <c r="BJ62" i="5"/>
  <c r="BG62" i="5"/>
  <c r="BD62" i="5"/>
  <c r="BA62" i="5"/>
  <c r="AX62" i="5"/>
  <c r="AU62" i="5"/>
  <c r="AR62" i="5"/>
  <c r="AO62" i="5"/>
  <c r="AL62" i="5"/>
  <c r="AF62" i="5"/>
  <c r="AC62" i="5"/>
  <c r="Z62" i="5"/>
  <c r="W62" i="5"/>
  <c r="T62" i="5"/>
  <c r="Q62" i="5"/>
  <c r="N62" i="5"/>
  <c r="H62" i="5"/>
  <c r="E62" i="5"/>
  <c r="CV61" i="5"/>
  <c r="CU61" i="5"/>
  <c r="CW61" i="5" s="1"/>
  <c r="CT61" i="5"/>
  <c r="CQ61" i="5"/>
  <c r="CN61" i="5"/>
  <c r="CK61" i="5"/>
  <c r="CH61" i="5"/>
  <c r="CE61" i="5"/>
  <c r="CB61" i="5"/>
  <c r="BY61" i="5"/>
  <c r="BV61" i="5"/>
  <c r="BS61" i="5"/>
  <c r="BP61" i="5"/>
  <c r="BM61" i="5"/>
  <c r="BJ61" i="5"/>
  <c r="BG61" i="5"/>
  <c r="BD61" i="5"/>
  <c r="BA61" i="5"/>
  <c r="AX61" i="5"/>
  <c r="AU61" i="5"/>
  <c r="AR61" i="5"/>
  <c r="AO61" i="5"/>
  <c r="AL61" i="5"/>
  <c r="AI61" i="5"/>
  <c r="AF61" i="5"/>
  <c r="AC61" i="5"/>
  <c r="W61" i="5"/>
  <c r="T61" i="5"/>
  <c r="Q61" i="5"/>
  <c r="N61" i="5"/>
  <c r="K61" i="5"/>
  <c r="H61" i="5"/>
  <c r="E61" i="5"/>
  <c r="CW60" i="5"/>
  <c r="CV60" i="5"/>
  <c r="CU60" i="5"/>
  <c r="CT60" i="5"/>
  <c r="CQ60" i="5"/>
  <c r="CN60" i="5"/>
  <c r="CK60" i="5"/>
  <c r="CH60" i="5"/>
  <c r="CE60" i="5"/>
  <c r="CB60" i="5"/>
  <c r="BY60" i="5"/>
  <c r="BV60" i="5"/>
  <c r="BS60" i="5"/>
  <c r="BP60" i="5"/>
  <c r="BM60" i="5"/>
  <c r="BJ60" i="5"/>
  <c r="BD60" i="5"/>
  <c r="BA60" i="5"/>
  <c r="AX60" i="5"/>
  <c r="AU60" i="5"/>
  <c r="AR60" i="5"/>
  <c r="AO60" i="5"/>
  <c r="AL60" i="5"/>
  <c r="AI60" i="5"/>
  <c r="AF60" i="5"/>
  <c r="AC60" i="5"/>
  <c r="W60" i="5"/>
  <c r="T60" i="5"/>
  <c r="Q60" i="5"/>
  <c r="N60" i="5"/>
  <c r="K60" i="5"/>
  <c r="H60" i="5"/>
  <c r="E60" i="5"/>
  <c r="CV59" i="5"/>
  <c r="CW59" i="5" s="1"/>
  <c r="CU59" i="5"/>
  <c r="CT59" i="5"/>
  <c r="CQ59" i="5"/>
  <c r="CN59" i="5"/>
  <c r="CK59" i="5"/>
  <c r="CH59" i="5"/>
  <c r="CE59" i="5"/>
  <c r="CB59" i="5"/>
  <c r="BY59" i="5"/>
  <c r="BV59" i="5"/>
  <c r="BP59" i="5"/>
  <c r="BM59" i="5"/>
  <c r="BJ59" i="5"/>
  <c r="BD59" i="5"/>
  <c r="BA59" i="5"/>
  <c r="AX59" i="5"/>
  <c r="AU59" i="5"/>
  <c r="AR59" i="5"/>
  <c r="AO59" i="5"/>
  <c r="AL59" i="5"/>
  <c r="AF59" i="5"/>
  <c r="AC59" i="5"/>
  <c r="Z59" i="5"/>
  <c r="W59" i="5"/>
  <c r="T59" i="5"/>
  <c r="Q59" i="5"/>
  <c r="K59" i="5"/>
  <c r="H59" i="5"/>
  <c r="E59" i="5"/>
  <c r="CW58" i="5"/>
  <c r="CV58" i="5"/>
  <c r="CU58" i="5"/>
  <c r="CT58" i="5"/>
  <c r="CQ58" i="5"/>
  <c r="CN58" i="5"/>
  <c r="CK58" i="5"/>
  <c r="CH58" i="5"/>
  <c r="CE58" i="5"/>
  <c r="CB58" i="5"/>
  <c r="BY58" i="5"/>
  <c r="BV58" i="5"/>
  <c r="BS58" i="5"/>
  <c r="BP58" i="5"/>
  <c r="BM58" i="5"/>
  <c r="BJ58" i="5"/>
  <c r="BG58" i="5"/>
  <c r="BD58" i="5"/>
  <c r="BA58" i="5"/>
  <c r="AX58" i="5"/>
  <c r="AU58" i="5"/>
  <c r="AR58" i="5"/>
  <c r="AO58" i="5"/>
  <c r="AL58" i="5"/>
  <c r="AI58" i="5"/>
  <c r="AF58" i="5"/>
  <c r="AC58" i="5"/>
  <c r="Z58" i="5"/>
  <c r="W58" i="5"/>
  <c r="T58" i="5"/>
  <c r="Q58" i="5"/>
  <c r="N58" i="5"/>
  <c r="K58" i="5"/>
  <c r="H58" i="5"/>
  <c r="E58" i="5"/>
  <c r="CV57" i="5"/>
  <c r="CU57" i="5"/>
  <c r="CW57" i="5" s="1"/>
  <c r="CT57" i="5"/>
  <c r="CQ57" i="5"/>
  <c r="CN57" i="5"/>
  <c r="CK57" i="5"/>
  <c r="CH57" i="5"/>
  <c r="CE57" i="5"/>
  <c r="CB57" i="5"/>
  <c r="BY57" i="5"/>
  <c r="BV57" i="5"/>
  <c r="BS57" i="5"/>
  <c r="BP57" i="5"/>
  <c r="BM57" i="5"/>
  <c r="BJ57" i="5"/>
  <c r="BD57" i="5"/>
  <c r="BA57" i="5"/>
  <c r="AX57" i="5"/>
  <c r="AU57" i="5"/>
  <c r="AR57" i="5"/>
  <c r="AO57" i="5"/>
  <c r="AL57" i="5"/>
  <c r="AI57" i="5"/>
  <c r="AF57" i="5"/>
  <c r="AC57" i="5"/>
  <c r="Z57" i="5"/>
  <c r="W57" i="5"/>
  <c r="T57" i="5"/>
  <c r="Q57" i="5"/>
  <c r="N57" i="5"/>
  <c r="K57" i="5"/>
  <c r="H57" i="5"/>
  <c r="E57" i="5"/>
  <c r="CV56" i="5"/>
  <c r="CU56" i="5"/>
  <c r="CW56" i="5" s="1"/>
  <c r="CT56" i="5"/>
  <c r="CQ56" i="5"/>
  <c r="CN56" i="5"/>
  <c r="CK56" i="5"/>
  <c r="CH56" i="5"/>
  <c r="CE56" i="5"/>
  <c r="CB56" i="5"/>
  <c r="BY56" i="5"/>
  <c r="BV56" i="5"/>
  <c r="BS56" i="5"/>
  <c r="BP56" i="5"/>
  <c r="BM56" i="5"/>
  <c r="BJ56" i="5"/>
  <c r="BG56" i="5"/>
  <c r="BD56" i="5"/>
  <c r="BA56" i="5"/>
  <c r="AX56" i="5"/>
  <c r="AU56" i="5"/>
  <c r="AR56" i="5"/>
  <c r="AO56" i="5"/>
  <c r="AL56" i="5"/>
  <c r="AI56" i="5"/>
  <c r="AF56" i="5"/>
  <c r="AC56" i="5"/>
  <c r="Z56" i="5"/>
  <c r="W56" i="5"/>
  <c r="T56" i="5"/>
  <c r="Q56" i="5"/>
  <c r="N56" i="5"/>
  <c r="K56" i="5"/>
  <c r="H56" i="5"/>
  <c r="E56" i="5"/>
  <c r="CW55" i="5"/>
  <c r="CV55" i="5"/>
  <c r="CU55" i="5"/>
  <c r="CT55" i="5"/>
  <c r="CQ55" i="5"/>
  <c r="CN55" i="5"/>
  <c r="CK55" i="5"/>
  <c r="CH55" i="5"/>
  <c r="CE55" i="5"/>
  <c r="CB55" i="5"/>
  <c r="BY55" i="5"/>
  <c r="BV55" i="5"/>
  <c r="BS55" i="5"/>
  <c r="BP55" i="5"/>
  <c r="BM55" i="5"/>
  <c r="BJ55" i="5"/>
  <c r="BG55" i="5"/>
  <c r="BD55" i="5"/>
  <c r="BA55" i="5"/>
  <c r="AX55" i="5"/>
  <c r="AU55" i="5"/>
  <c r="AR55" i="5"/>
  <c r="AO55" i="5"/>
  <c r="AL55" i="5"/>
  <c r="AI55" i="5"/>
  <c r="AF55" i="5"/>
  <c r="AC55" i="5"/>
  <c r="Z55" i="5"/>
  <c r="W55" i="5"/>
  <c r="T55" i="5"/>
  <c r="Q55" i="5"/>
  <c r="N55" i="5"/>
  <c r="K55" i="5"/>
  <c r="H55" i="5"/>
  <c r="E55" i="5"/>
  <c r="CV54" i="5"/>
  <c r="CU54" i="5"/>
  <c r="CW54" i="5" s="1"/>
  <c r="CT54" i="5"/>
  <c r="CQ54" i="5"/>
  <c r="CN54" i="5"/>
  <c r="CK54" i="5"/>
  <c r="CH54" i="5"/>
  <c r="CE54" i="5"/>
  <c r="CB54" i="5"/>
  <c r="BY54" i="5"/>
  <c r="BV54" i="5"/>
  <c r="BS54" i="5"/>
  <c r="BP54" i="5"/>
  <c r="BM54" i="5"/>
  <c r="BJ54" i="5"/>
  <c r="BG54" i="5"/>
  <c r="BD54" i="5"/>
  <c r="BA54" i="5"/>
  <c r="AX54" i="5"/>
  <c r="AU54" i="5"/>
  <c r="AR54" i="5"/>
  <c r="AO54" i="5"/>
  <c r="AL54" i="5"/>
  <c r="AF54" i="5"/>
  <c r="AC54" i="5"/>
  <c r="Z54" i="5"/>
  <c r="W54" i="5"/>
  <c r="T54" i="5"/>
  <c r="Q54" i="5"/>
  <c r="N54" i="5"/>
  <c r="K54" i="5"/>
  <c r="H54" i="5"/>
  <c r="E54" i="5"/>
  <c r="CV53" i="5"/>
  <c r="CU53" i="5"/>
  <c r="CW53" i="5" s="1"/>
  <c r="CT53" i="5"/>
  <c r="CQ53" i="5"/>
  <c r="CN53" i="5"/>
  <c r="CK53" i="5"/>
  <c r="CH53" i="5"/>
  <c r="CE53" i="5"/>
  <c r="CB53" i="5"/>
  <c r="BY53" i="5"/>
  <c r="BV53" i="5"/>
  <c r="BP53" i="5"/>
  <c r="BM53" i="5"/>
  <c r="BJ53" i="5"/>
  <c r="BG53" i="5"/>
  <c r="BD53" i="5"/>
  <c r="BA53" i="5"/>
  <c r="AX53" i="5"/>
  <c r="AU53" i="5"/>
  <c r="AR53" i="5"/>
  <c r="AO53" i="5"/>
  <c r="AL53" i="5"/>
  <c r="AF53" i="5"/>
  <c r="AC53" i="5"/>
  <c r="Z53" i="5"/>
  <c r="W53" i="5"/>
  <c r="T53" i="5"/>
  <c r="Q53" i="5"/>
  <c r="N53" i="5"/>
  <c r="K53" i="5"/>
  <c r="H53" i="5"/>
  <c r="E53" i="5"/>
  <c r="CV52" i="5"/>
  <c r="CU52" i="5"/>
  <c r="CW52" i="5" s="1"/>
  <c r="CT52" i="5"/>
  <c r="CQ52" i="5"/>
  <c r="CN52" i="5"/>
  <c r="CK52" i="5"/>
  <c r="CH52" i="5"/>
  <c r="CE52" i="5"/>
  <c r="CB52" i="5"/>
  <c r="BY52" i="5"/>
  <c r="BV52" i="5"/>
  <c r="BS52" i="5"/>
  <c r="BP52" i="5"/>
  <c r="BM52" i="5"/>
  <c r="BJ52" i="5"/>
  <c r="BG52" i="5"/>
  <c r="BD52" i="5"/>
  <c r="BA52" i="5"/>
  <c r="AX52" i="5"/>
  <c r="AU52" i="5"/>
  <c r="AR52" i="5"/>
  <c r="AO52" i="5"/>
  <c r="AL52" i="5"/>
  <c r="AI52" i="5"/>
  <c r="AF52" i="5"/>
  <c r="AC52" i="5"/>
  <c r="Z52" i="5"/>
  <c r="W52" i="5"/>
  <c r="T52" i="5"/>
  <c r="Q52" i="5"/>
  <c r="N52" i="5"/>
  <c r="K52" i="5"/>
  <c r="H52" i="5"/>
  <c r="E52" i="5"/>
  <c r="CV51" i="5"/>
  <c r="CW51" i="5" s="1"/>
  <c r="CU51" i="5"/>
  <c r="CT51" i="5"/>
  <c r="CQ51" i="5"/>
  <c r="CN51" i="5"/>
  <c r="CK51" i="5"/>
  <c r="CH51" i="5"/>
  <c r="CE51" i="5"/>
  <c r="CB51" i="5"/>
  <c r="BY51" i="5"/>
  <c r="BV51" i="5"/>
  <c r="BS51" i="5"/>
  <c r="BP51" i="5"/>
  <c r="BM51" i="5"/>
  <c r="BJ51" i="5"/>
  <c r="BG51" i="5"/>
  <c r="BD51" i="5"/>
  <c r="BA51" i="5"/>
  <c r="AX51" i="5"/>
  <c r="AU51" i="5"/>
  <c r="AR51" i="5"/>
  <c r="AO51" i="5"/>
  <c r="AL51" i="5"/>
  <c r="AI51" i="5"/>
  <c r="AF51" i="5"/>
  <c r="AC51" i="5"/>
  <c r="Z51" i="5"/>
  <c r="W51" i="5"/>
  <c r="T51" i="5"/>
  <c r="Q51" i="5"/>
  <c r="N51" i="5"/>
  <c r="K51" i="5"/>
  <c r="H51" i="5"/>
  <c r="E51" i="5"/>
  <c r="CV50" i="5"/>
  <c r="CW50" i="5" s="1"/>
  <c r="CU50" i="5"/>
  <c r="CT50" i="5"/>
  <c r="CQ50" i="5"/>
  <c r="CN50" i="5"/>
  <c r="CK50" i="5"/>
  <c r="CH50" i="5"/>
  <c r="CE50" i="5"/>
  <c r="CB50" i="5"/>
  <c r="BY50" i="5"/>
  <c r="BV50" i="5"/>
  <c r="BS50" i="5"/>
  <c r="BP50" i="5"/>
  <c r="BM50" i="5"/>
  <c r="BJ50" i="5"/>
  <c r="BG50" i="5"/>
  <c r="BD50" i="5"/>
  <c r="BA50" i="5"/>
  <c r="AX50" i="5"/>
  <c r="AU50" i="5"/>
  <c r="AR50" i="5"/>
  <c r="AO50" i="5"/>
  <c r="AL50" i="5"/>
  <c r="AI50" i="5"/>
  <c r="AF50" i="5"/>
  <c r="AC50" i="5"/>
  <c r="Z50" i="5"/>
  <c r="W50" i="5"/>
  <c r="T50" i="5"/>
  <c r="Q50" i="5"/>
  <c r="N50" i="5"/>
  <c r="K50" i="5"/>
  <c r="H50" i="5"/>
  <c r="E50" i="5"/>
  <c r="CV49" i="5"/>
  <c r="CW49" i="5" s="1"/>
  <c r="CU49" i="5"/>
  <c r="CT49" i="5"/>
  <c r="CQ49" i="5"/>
  <c r="CN49" i="5"/>
  <c r="CK49" i="5"/>
  <c r="CH49" i="5"/>
  <c r="CE49" i="5"/>
  <c r="CB49" i="5"/>
  <c r="BY49" i="5"/>
  <c r="BV49" i="5"/>
  <c r="BP49" i="5"/>
  <c r="BJ49" i="5"/>
  <c r="BD49" i="5"/>
  <c r="BA49" i="5"/>
  <c r="AX49" i="5"/>
  <c r="AR49" i="5"/>
  <c r="AO49" i="5"/>
  <c r="AL49" i="5"/>
  <c r="AF49" i="5"/>
  <c r="AC49" i="5"/>
  <c r="W49" i="5"/>
  <c r="T49" i="5"/>
  <c r="Q49" i="5"/>
  <c r="N49" i="5"/>
  <c r="E49" i="5"/>
  <c r="CW48" i="5"/>
  <c r="CV48" i="5"/>
  <c r="CU48" i="5"/>
  <c r="CT48" i="5"/>
  <c r="CQ48" i="5"/>
  <c r="CN48" i="5"/>
  <c r="CK48" i="5"/>
  <c r="CH48" i="5"/>
  <c r="CE48" i="5"/>
  <c r="CB48" i="5"/>
  <c r="BY48" i="5"/>
  <c r="BV48" i="5"/>
  <c r="BS48" i="5"/>
  <c r="BP48" i="5"/>
  <c r="BM48" i="5"/>
  <c r="BJ48" i="5"/>
  <c r="BG48" i="5"/>
  <c r="BD48" i="5"/>
  <c r="BA48" i="5"/>
  <c r="AX48" i="5"/>
  <c r="AU48" i="5"/>
  <c r="AR48" i="5"/>
  <c r="AO48" i="5"/>
  <c r="AL48" i="5"/>
  <c r="AI48" i="5"/>
  <c r="AF48" i="5"/>
  <c r="AC48" i="5"/>
  <c r="Z48" i="5"/>
  <c r="W48" i="5"/>
  <c r="T48" i="5"/>
  <c r="Q48" i="5"/>
  <c r="N48" i="5"/>
  <c r="K48" i="5"/>
  <c r="H48" i="5"/>
  <c r="E48" i="5"/>
  <c r="CV47" i="5"/>
  <c r="CU47" i="5"/>
  <c r="CW47" i="5" s="1"/>
  <c r="CT47" i="5"/>
  <c r="CQ47" i="5"/>
  <c r="CN47" i="5"/>
  <c r="CK47" i="5"/>
  <c r="CH47" i="5"/>
  <c r="CE47" i="5"/>
  <c r="CB47" i="5"/>
  <c r="BY47" i="5"/>
  <c r="BV47" i="5"/>
  <c r="BP47" i="5"/>
  <c r="BM47" i="5"/>
  <c r="BJ47" i="5"/>
  <c r="BG47" i="5"/>
  <c r="BD47" i="5"/>
  <c r="BA47" i="5"/>
  <c r="AX47" i="5"/>
  <c r="AU47" i="5"/>
  <c r="AR47" i="5"/>
  <c r="AO47" i="5"/>
  <c r="AL47" i="5"/>
  <c r="AF47" i="5"/>
  <c r="AC47" i="5"/>
  <c r="Z47" i="5"/>
  <c r="W47" i="5"/>
  <c r="T47" i="5"/>
  <c r="Q47" i="5"/>
  <c r="N47" i="5"/>
  <c r="H47" i="5"/>
  <c r="E47" i="5"/>
  <c r="CV46" i="5"/>
  <c r="CU46" i="5"/>
  <c r="CW46" i="5" s="1"/>
  <c r="CT46" i="5"/>
  <c r="CQ46" i="5"/>
  <c r="CN46" i="5"/>
  <c r="CK46" i="5"/>
  <c r="CH46" i="5"/>
  <c r="CE46" i="5"/>
  <c r="CB46" i="5"/>
  <c r="BY46" i="5"/>
  <c r="BV46" i="5"/>
  <c r="BS46" i="5"/>
  <c r="BP46" i="5"/>
  <c r="BM46" i="5"/>
  <c r="BJ46" i="5"/>
  <c r="BD46" i="5"/>
  <c r="BA46" i="5"/>
  <c r="AX46" i="5"/>
  <c r="AU46" i="5"/>
  <c r="AR46" i="5"/>
  <c r="AO46" i="5"/>
  <c r="AL46" i="5"/>
  <c r="AI46" i="5"/>
  <c r="AF46" i="5"/>
  <c r="AC46" i="5"/>
  <c r="W46" i="5"/>
  <c r="T46" i="5"/>
  <c r="Q46" i="5"/>
  <c r="N46" i="5"/>
  <c r="E46" i="5"/>
  <c r="CV45" i="5"/>
  <c r="CW45" i="5" s="1"/>
  <c r="CU45" i="5"/>
  <c r="CT45" i="5"/>
  <c r="CQ45" i="5"/>
  <c r="CN45" i="5"/>
  <c r="CK45" i="5"/>
  <c r="CH45" i="5"/>
  <c r="CE45" i="5"/>
  <c r="CB45" i="5"/>
  <c r="BY45" i="5"/>
  <c r="BV45" i="5"/>
  <c r="BP45" i="5"/>
  <c r="BM45" i="5"/>
  <c r="BJ45" i="5"/>
  <c r="BD45" i="5"/>
  <c r="BA45" i="5"/>
  <c r="AX45" i="5"/>
  <c r="AU45" i="5"/>
  <c r="AR45" i="5"/>
  <c r="AO45" i="5"/>
  <c r="AL45" i="5"/>
  <c r="AF45" i="5"/>
  <c r="AC45" i="5"/>
  <c r="W45" i="5"/>
  <c r="T45" i="5"/>
  <c r="Q45" i="5"/>
  <c r="N45" i="5"/>
  <c r="E45" i="5"/>
  <c r="CV44" i="5"/>
  <c r="CW44" i="5" s="1"/>
  <c r="CU44" i="5"/>
  <c r="CT44" i="5"/>
  <c r="CQ44" i="5"/>
  <c r="CN44" i="5"/>
  <c r="CK44" i="5"/>
  <c r="CH44" i="5"/>
  <c r="CE44" i="5"/>
  <c r="CB44" i="5"/>
  <c r="BY44" i="5"/>
  <c r="BV44" i="5"/>
  <c r="BS44" i="5"/>
  <c r="BP44" i="5"/>
  <c r="BM44" i="5"/>
  <c r="BJ44" i="5"/>
  <c r="BG44" i="5"/>
  <c r="BD44" i="5"/>
  <c r="BA44" i="5"/>
  <c r="AX44" i="5"/>
  <c r="AU44" i="5"/>
  <c r="AR44" i="5"/>
  <c r="AO44" i="5"/>
  <c r="AL44" i="5"/>
  <c r="AI44" i="5"/>
  <c r="AF44" i="5"/>
  <c r="AC44" i="5"/>
  <c r="Z44" i="5"/>
  <c r="W44" i="5"/>
  <c r="T44" i="5"/>
  <c r="Q44" i="5"/>
  <c r="N44" i="5"/>
  <c r="K44" i="5"/>
  <c r="H44" i="5"/>
  <c r="E44" i="5"/>
  <c r="CV43" i="5"/>
  <c r="CW43" i="5" s="1"/>
  <c r="CU43" i="5"/>
  <c r="CT43" i="5"/>
  <c r="CQ43" i="5"/>
  <c r="CN43" i="5"/>
  <c r="CK43" i="5"/>
  <c r="CH43" i="5"/>
  <c r="CE43" i="5"/>
  <c r="CB43" i="5"/>
  <c r="BY43" i="5"/>
  <c r="BV43" i="5"/>
  <c r="BS43" i="5"/>
  <c r="BP43" i="5"/>
  <c r="BM43" i="5"/>
  <c r="BJ43" i="5"/>
  <c r="BG43" i="5"/>
  <c r="BD43" i="5"/>
  <c r="BA43" i="5"/>
  <c r="AX43" i="5"/>
  <c r="AU43" i="5"/>
  <c r="AR43" i="5"/>
  <c r="AO43" i="5"/>
  <c r="AL43" i="5"/>
  <c r="AI43" i="5"/>
  <c r="AF43" i="5"/>
  <c r="AC43" i="5"/>
  <c r="Z43" i="5"/>
  <c r="W43" i="5"/>
  <c r="T43" i="5"/>
  <c r="Q43" i="5"/>
  <c r="N43" i="5"/>
  <c r="K43" i="5"/>
  <c r="H43" i="5"/>
  <c r="E43" i="5"/>
  <c r="CW42" i="5"/>
  <c r="CV42" i="5"/>
  <c r="CU42" i="5"/>
  <c r="CT42" i="5"/>
  <c r="CQ42" i="5"/>
  <c r="CN42" i="5"/>
  <c r="CK42" i="5"/>
  <c r="CH42" i="5"/>
  <c r="CE42" i="5"/>
  <c r="CB42" i="5"/>
  <c r="BY42" i="5"/>
  <c r="BV42" i="5"/>
  <c r="BS42" i="5"/>
  <c r="BP42" i="5"/>
  <c r="BJ42" i="5"/>
  <c r="BG42" i="5"/>
  <c r="BD42" i="5"/>
  <c r="BA42" i="5"/>
  <c r="AX42" i="5"/>
  <c r="AR42" i="5"/>
  <c r="AO42" i="5"/>
  <c r="AL42" i="5"/>
  <c r="AI42" i="5"/>
  <c r="AF42" i="5"/>
  <c r="AC42" i="5"/>
  <c r="Z42" i="5"/>
  <c r="W42" i="5"/>
  <c r="T42" i="5"/>
  <c r="Q42" i="5"/>
  <c r="N42" i="5"/>
  <c r="K42" i="5"/>
  <c r="H42" i="5"/>
  <c r="E42" i="5"/>
  <c r="CW41" i="5"/>
  <c r="CV41" i="5"/>
  <c r="CU41" i="5"/>
  <c r="CT41" i="5"/>
  <c r="CQ41" i="5"/>
  <c r="CN41" i="5"/>
  <c r="CK41" i="5"/>
  <c r="CH41" i="5"/>
  <c r="CE41" i="5"/>
  <c r="CB41" i="5"/>
  <c r="BY41" i="5"/>
  <c r="BV41" i="5"/>
  <c r="BS41" i="5"/>
  <c r="BP41" i="5"/>
  <c r="BM41" i="5"/>
  <c r="BJ41" i="5"/>
  <c r="BG41" i="5"/>
  <c r="BD41" i="5"/>
  <c r="BA41" i="5"/>
  <c r="AX41" i="5"/>
  <c r="AU41" i="5"/>
  <c r="AR41" i="5"/>
  <c r="AO41" i="5"/>
  <c r="AL41" i="5"/>
  <c r="AI41" i="5"/>
  <c r="AF41" i="5"/>
  <c r="AC41" i="5"/>
  <c r="Z41" i="5"/>
  <c r="W41" i="5"/>
  <c r="T41" i="5"/>
  <c r="Q41" i="5"/>
  <c r="N41" i="5"/>
  <c r="K41" i="5"/>
  <c r="H41" i="5"/>
  <c r="E41" i="5"/>
  <c r="CV40" i="5"/>
  <c r="CU40" i="5"/>
  <c r="CW40" i="5" s="1"/>
  <c r="CT40" i="5"/>
  <c r="CQ40" i="5"/>
  <c r="CN40" i="5"/>
  <c r="CK40" i="5"/>
  <c r="CH40" i="5"/>
  <c r="CE40" i="5"/>
  <c r="CB40" i="5"/>
  <c r="BY40" i="5"/>
  <c r="BV40" i="5"/>
  <c r="BS40" i="5"/>
  <c r="BP40" i="5"/>
  <c r="BM40" i="5"/>
  <c r="BJ40" i="5"/>
  <c r="BD40" i="5"/>
  <c r="BA40" i="5"/>
  <c r="AX40" i="5"/>
  <c r="AU40" i="5"/>
  <c r="AR40" i="5"/>
  <c r="AO40" i="5"/>
  <c r="AL40" i="5"/>
  <c r="AI40" i="5"/>
  <c r="AF40" i="5"/>
  <c r="AC40" i="5"/>
  <c r="W40" i="5"/>
  <c r="T40" i="5"/>
  <c r="Q40" i="5"/>
  <c r="N40" i="5"/>
  <c r="K40" i="5"/>
  <c r="H40" i="5"/>
  <c r="E40" i="5"/>
  <c r="CV39" i="5"/>
  <c r="CW39" i="5" s="1"/>
  <c r="CU39" i="5"/>
  <c r="CT39" i="5"/>
  <c r="CQ39" i="5"/>
  <c r="CN39" i="5"/>
  <c r="CK39" i="5"/>
  <c r="CH39" i="5"/>
  <c r="CE39" i="5"/>
  <c r="CB39" i="5"/>
  <c r="BY39" i="5"/>
  <c r="BV39" i="5"/>
  <c r="BP39" i="5"/>
  <c r="BM39" i="5"/>
  <c r="BJ39" i="5"/>
  <c r="BG39" i="5"/>
  <c r="BD39" i="5"/>
  <c r="BA39" i="5"/>
  <c r="AX39" i="5"/>
  <c r="AU39" i="5"/>
  <c r="AR39" i="5"/>
  <c r="AO39" i="5"/>
  <c r="AL39" i="5"/>
  <c r="AF39" i="5"/>
  <c r="AC39" i="5"/>
  <c r="W39" i="5"/>
  <c r="T39" i="5"/>
  <c r="Q39" i="5"/>
  <c r="N39" i="5"/>
  <c r="H39" i="5"/>
  <c r="E39" i="5"/>
  <c r="CV38" i="5"/>
  <c r="CU38" i="5"/>
  <c r="CW38" i="5" s="1"/>
  <c r="CT38" i="5"/>
  <c r="CQ38" i="5"/>
  <c r="CN38" i="5"/>
  <c r="CK38" i="5"/>
  <c r="CH38" i="5"/>
  <c r="CE38" i="5"/>
  <c r="CB38" i="5"/>
  <c r="BY38" i="5"/>
  <c r="BV38" i="5"/>
  <c r="BS38" i="5"/>
  <c r="BP38" i="5"/>
  <c r="BM38" i="5"/>
  <c r="BJ38" i="5"/>
  <c r="BG38" i="5"/>
  <c r="BD38" i="5"/>
  <c r="BA38" i="5"/>
  <c r="AX38" i="5"/>
  <c r="AU38" i="5"/>
  <c r="AR38" i="5"/>
  <c r="AO38" i="5"/>
  <c r="AL38" i="5"/>
  <c r="AI38" i="5"/>
  <c r="AF38" i="5"/>
  <c r="AC38" i="5"/>
  <c r="W38" i="5"/>
  <c r="T38" i="5"/>
  <c r="Q38" i="5"/>
  <c r="N38" i="5"/>
  <c r="K38" i="5"/>
  <c r="H38" i="5"/>
  <c r="E38" i="5"/>
  <c r="CV37" i="5"/>
  <c r="CU37" i="5"/>
  <c r="CW37" i="5" s="1"/>
  <c r="CT37" i="5"/>
  <c r="CQ37" i="5"/>
  <c r="CN37" i="5"/>
  <c r="CK37" i="5"/>
  <c r="CH37" i="5"/>
  <c r="CE37" i="5"/>
  <c r="CB37" i="5"/>
  <c r="BY37" i="5"/>
  <c r="BV37" i="5"/>
  <c r="BS37" i="5"/>
  <c r="BP37" i="5"/>
  <c r="BM37" i="5"/>
  <c r="BJ37" i="5"/>
  <c r="BG37" i="5"/>
  <c r="BD37" i="5"/>
  <c r="BA37" i="5"/>
  <c r="AX37" i="5"/>
  <c r="AU37" i="5"/>
  <c r="AR37" i="5"/>
  <c r="AO37" i="5"/>
  <c r="AL37" i="5"/>
  <c r="AI37" i="5"/>
  <c r="AF37" i="5"/>
  <c r="AC37" i="5"/>
  <c r="Z37" i="5"/>
  <c r="W37" i="5"/>
  <c r="T37" i="5"/>
  <c r="Q37" i="5"/>
  <c r="N37" i="5"/>
  <c r="K37" i="5"/>
  <c r="H37" i="5"/>
  <c r="E37" i="5"/>
  <c r="CW36" i="5"/>
  <c r="CV36" i="5"/>
  <c r="CU36" i="5"/>
  <c r="CT36" i="5"/>
  <c r="CQ36" i="5"/>
  <c r="CN36" i="5"/>
  <c r="CK36" i="5"/>
  <c r="CH36" i="5"/>
  <c r="CE36" i="5"/>
  <c r="CB36" i="5"/>
  <c r="BY36" i="5"/>
  <c r="BV36" i="5"/>
  <c r="BM36" i="5"/>
  <c r="BJ36" i="5"/>
  <c r="BG36" i="5"/>
  <c r="BD36" i="5"/>
  <c r="BA36" i="5"/>
  <c r="AX36" i="5"/>
  <c r="AU36" i="5"/>
  <c r="AR36" i="5"/>
  <c r="AO36" i="5"/>
  <c r="AL36" i="5"/>
  <c r="AI36" i="5"/>
  <c r="AF36" i="5"/>
  <c r="Z36" i="5"/>
  <c r="W36" i="5"/>
  <c r="T36" i="5"/>
  <c r="Q36" i="5"/>
  <c r="N36" i="5"/>
  <c r="K36" i="5"/>
  <c r="E36" i="5"/>
  <c r="CV35" i="5"/>
  <c r="CW35" i="5" s="1"/>
  <c r="CU35" i="5"/>
  <c r="CT35" i="5"/>
  <c r="CQ35" i="5"/>
  <c r="CN35" i="5"/>
  <c r="CK35" i="5"/>
  <c r="CH35" i="5"/>
  <c r="CE35" i="5"/>
  <c r="CB35" i="5"/>
  <c r="BY35" i="5"/>
  <c r="BV35" i="5"/>
  <c r="BS35" i="5"/>
  <c r="BP35" i="5"/>
  <c r="BM35" i="5"/>
  <c r="BJ35" i="5"/>
  <c r="BG35" i="5"/>
  <c r="BD35" i="5"/>
  <c r="BA35" i="5"/>
  <c r="AX35" i="5"/>
  <c r="AU35" i="5"/>
  <c r="AR35" i="5"/>
  <c r="AO35" i="5"/>
  <c r="AL35" i="5"/>
  <c r="AF35" i="5"/>
  <c r="AC35" i="5"/>
  <c r="Z35" i="5"/>
  <c r="W35" i="5"/>
  <c r="T35" i="5"/>
  <c r="Q35" i="5"/>
  <c r="N35" i="5"/>
  <c r="H35" i="5"/>
  <c r="E35" i="5"/>
  <c r="CW34" i="5"/>
  <c r="CV34" i="5"/>
  <c r="CU34" i="5"/>
  <c r="CT34" i="5"/>
  <c r="CQ34" i="5"/>
  <c r="CN34" i="5"/>
  <c r="CK34" i="5"/>
  <c r="CH34" i="5"/>
  <c r="CE34" i="5"/>
  <c r="CB34" i="5"/>
  <c r="BY34" i="5"/>
  <c r="BV34" i="5"/>
  <c r="BP34" i="5"/>
  <c r="BM34" i="5"/>
  <c r="BJ34" i="5"/>
  <c r="BD34" i="5"/>
  <c r="BA34" i="5"/>
  <c r="AX34" i="5"/>
  <c r="AU34" i="5"/>
  <c r="AR34" i="5"/>
  <c r="AO34" i="5"/>
  <c r="AL34" i="5"/>
  <c r="AF34" i="5"/>
  <c r="AC34" i="5"/>
  <c r="W34" i="5"/>
  <c r="T34" i="5"/>
  <c r="Q34" i="5"/>
  <c r="N34" i="5"/>
  <c r="E34" i="5"/>
  <c r="CV33" i="5"/>
  <c r="CU33" i="5"/>
  <c r="CW33" i="5" s="1"/>
  <c r="CT33" i="5"/>
  <c r="CQ33" i="5"/>
  <c r="CN33" i="5"/>
  <c r="CK33" i="5"/>
  <c r="CH33" i="5"/>
  <c r="CE33" i="5"/>
  <c r="CB33" i="5"/>
  <c r="BY33" i="5"/>
  <c r="BV33" i="5"/>
  <c r="BP33" i="5"/>
  <c r="BM33" i="5"/>
  <c r="BJ33" i="5"/>
  <c r="BG33" i="5"/>
  <c r="BD33" i="5"/>
  <c r="BA33" i="5"/>
  <c r="AX33" i="5"/>
  <c r="AU33" i="5"/>
  <c r="AR33" i="5"/>
  <c r="AO33" i="5"/>
  <c r="AL33" i="5"/>
  <c r="AF33" i="5"/>
  <c r="AC33" i="5"/>
  <c r="W33" i="5"/>
  <c r="T33" i="5"/>
  <c r="Q33" i="5"/>
  <c r="N33" i="5"/>
  <c r="H33" i="5"/>
  <c r="E33" i="5"/>
  <c r="CV32" i="5"/>
  <c r="CW32" i="5" s="1"/>
  <c r="CU32" i="5"/>
  <c r="CT32" i="5"/>
  <c r="CQ32" i="5"/>
  <c r="CN32" i="5"/>
  <c r="CK32" i="5"/>
  <c r="CH32" i="5"/>
  <c r="CE32" i="5"/>
  <c r="CB32" i="5"/>
  <c r="BY32" i="5"/>
  <c r="BV32" i="5"/>
  <c r="BS32" i="5"/>
  <c r="BP32" i="5"/>
  <c r="BM32" i="5"/>
  <c r="BJ32" i="5"/>
  <c r="BG32" i="5"/>
  <c r="BD32" i="5"/>
  <c r="BA32" i="5"/>
  <c r="AX32" i="5"/>
  <c r="AU32" i="5"/>
  <c r="AR32" i="5"/>
  <c r="AO32" i="5"/>
  <c r="AL32" i="5"/>
  <c r="AI32" i="5"/>
  <c r="AF32" i="5"/>
  <c r="AC32" i="5"/>
  <c r="Z32" i="5"/>
  <c r="W32" i="5"/>
  <c r="T32" i="5"/>
  <c r="Q32" i="5"/>
  <c r="N32" i="5"/>
  <c r="K32" i="5"/>
  <c r="H32" i="5"/>
  <c r="E32" i="5"/>
  <c r="CW31" i="5"/>
  <c r="CV31" i="5"/>
  <c r="CU31" i="5"/>
  <c r="CT31" i="5"/>
  <c r="CQ31" i="5"/>
  <c r="CN31" i="5"/>
  <c r="CK31" i="5"/>
  <c r="CH31" i="5"/>
  <c r="CE31" i="5"/>
  <c r="CB31" i="5"/>
  <c r="BY31" i="5"/>
  <c r="BV31" i="5"/>
  <c r="BP31" i="5"/>
  <c r="BM31" i="5"/>
  <c r="BJ31" i="5"/>
  <c r="BG31" i="5"/>
  <c r="BD31" i="5"/>
  <c r="BA31" i="5"/>
  <c r="AX31" i="5"/>
  <c r="AU31" i="5"/>
  <c r="AR31" i="5"/>
  <c r="AO31" i="5"/>
  <c r="AL31" i="5"/>
  <c r="AF31" i="5"/>
  <c r="AC31" i="5"/>
  <c r="W31" i="5"/>
  <c r="T31" i="5"/>
  <c r="Q31" i="5"/>
  <c r="N31" i="5"/>
  <c r="H31" i="5"/>
  <c r="E31" i="5"/>
  <c r="CV30" i="5"/>
  <c r="CU30" i="5"/>
  <c r="CW30" i="5" s="1"/>
  <c r="CT30" i="5"/>
  <c r="CQ30" i="5"/>
  <c r="CN30" i="5"/>
  <c r="CK30" i="5"/>
  <c r="CH30" i="5"/>
  <c r="CE30" i="5"/>
  <c r="CB30" i="5"/>
  <c r="BY30" i="5"/>
  <c r="BV30" i="5"/>
  <c r="BS30" i="5"/>
  <c r="BP30" i="5"/>
  <c r="BM30" i="5"/>
  <c r="BJ30" i="5"/>
  <c r="BG30" i="5"/>
  <c r="BD30" i="5"/>
  <c r="BA30" i="5"/>
  <c r="AX30" i="5"/>
  <c r="AU30" i="5"/>
  <c r="AR30" i="5"/>
  <c r="AO30" i="5"/>
  <c r="AL30" i="5"/>
  <c r="AI30" i="5"/>
  <c r="AF30" i="5"/>
  <c r="AC30" i="5"/>
  <c r="W30" i="5"/>
  <c r="T30" i="5"/>
  <c r="Q30" i="5"/>
  <c r="N30" i="5"/>
  <c r="K30" i="5"/>
  <c r="H30" i="5"/>
  <c r="E30" i="5"/>
  <c r="CW29" i="5"/>
  <c r="CV29" i="5"/>
  <c r="CU29" i="5"/>
  <c r="CT29" i="5"/>
  <c r="CQ29" i="5"/>
  <c r="CN29" i="5"/>
  <c r="CK29" i="5"/>
  <c r="CH29" i="5"/>
  <c r="CE29" i="5"/>
  <c r="CB29" i="5"/>
  <c r="BY29" i="5"/>
  <c r="BV29" i="5"/>
  <c r="BP29" i="5"/>
  <c r="BM29" i="5"/>
  <c r="BJ29" i="5"/>
  <c r="BG29" i="5"/>
  <c r="BD29" i="5"/>
  <c r="BA29" i="5"/>
  <c r="AX29" i="5"/>
  <c r="AU29" i="5"/>
  <c r="AR29" i="5"/>
  <c r="AO29" i="5"/>
  <c r="AL29" i="5"/>
  <c r="AI29" i="5"/>
  <c r="AF29" i="5"/>
  <c r="AC29" i="5"/>
  <c r="W29" i="5"/>
  <c r="T29" i="5"/>
  <c r="Q29" i="5"/>
  <c r="N29" i="5"/>
  <c r="K29" i="5"/>
  <c r="H29" i="5"/>
  <c r="E29" i="5"/>
  <c r="CV28" i="5"/>
  <c r="CW28" i="5" s="1"/>
  <c r="CU28" i="5"/>
  <c r="CT28" i="5"/>
  <c r="CQ28" i="5"/>
  <c r="CN28" i="5"/>
  <c r="CK28" i="5"/>
  <c r="CH28" i="5"/>
  <c r="CE28" i="5"/>
  <c r="CB28" i="5"/>
  <c r="BY28" i="5"/>
  <c r="BV28" i="5"/>
  <c r="BP28" i="5"/>
  <c r="BM28" i="5"/>
  <c r="BJ28" i="5"/>
  <c r="BD28" i="5"/>
  <c r="BA28" i="5"/>
  <c r="AX28" i="5"/>
  <c r="AU28" i="5"/>
  <c r="AR28" i="5"/>
  <c r="AO28" i="5"/>
  <c r="AL28" i="5"/>
  <c r="AI28" i="5"/>
  <c r="AF28" i="5"/>
  <c r="AC28" i="5"/>
  <c r="W28" i="5"/>
  <c r="T28" i="5"/>
  <c r="Q28" i="5"/>
  <c r="N28" i="5"/>
  <c r="H28" i="5"/>
  <c r="E28" i="5"/>
  <c r="CW27" i="5"/>
  <c r="CV27" i="5"/>
  <c r="CU27" i="5"/>
  <c r="CT27" i="5"/>
  <c r="CQ27" i="5"/>
  <c r="CN27" i="5"/>
  <c r="CK27" i="5"/>
  <c r="CH27" i="5"/>
  <c r="CE27" i="5"/>
  <c r="CB27" i="5"/>
  <c r="BY27" i="5"/>
  <c r="BV27" i="5"/>
  <c r="BS27" i="5"/>
  <c r="BP27" i="5"/>
  <c r="BM27" i="5"/>
  <c r="BJ27" i="5"/>
  <c r="BG27" i="5"/>
  <c r="BD27" i="5"/>
  <c r="BA27" i="5"/>
  <c r="AX27" i="5"/>
  <c r="AU27" i="5"/>
  <c r="AR27" i="5"/>
  <c r="AO27" i="5"/>
  <c r="AL27" i="5"/>
  <c r="AI27" i="5"/>
  <c r="AF27" i="5"/>
  <c r="AC27" i="5"/>
  <c r="Z27" i="5"/>
  <c r="W27" i="5"/>
  <c r="T27" i="5"/>
  <c r="Q27" i="5"/>
  <c r="N27" i="5"/>
  <c r="K27" i="5"/>
  <c r="H27" i="5"/>
  <c r="E27" i="5"/>
  <c r="CV26" i="5"/>
  <c r="CU26" i="5"/>
  <c r="CW26" i="5" s="1"/>
  <c r="CT26" i="5"/>
  <c r="CQ26" i="5"/>
  <c r="CN26" i="5"/>
  <c r="CK26" i="5"/>
  <c r="CH26" i="5"/>
  <c r="CE26" i="5"/>
  <c r="CB26" i="5"/>
  <c r="BY26" i="5"/>
  <c r="BV26" i="5"/>
  <c r="BP26" i="5"/>
  <c r="BM26" i="5"/>
  <c r="BJ26" i="5"/>
  <c r="BG26" i="5"/>
  <c r="BD26" i="5"/>
  <c r="BA26" i="5"/>
  <c r="AX26" i="5"/>
  <c r="AU26" i="5"/>
  <c r="AR26" i="5"/>
  <c r="AO26" i="5"/>
  <c r="AL26" i="5"/>
  <c r="AF26" i="5"/>
  <c r="AC26" i="5"/>
  <c r="W26" i="5"/>
  <c r="T26" i="5"/>
  <c r="Q26" i="5"/>
  <c r="N26" i="5"/>
  <c r="K26" i="5"/>
  <c r="H26" i="5"/>
  <c r="E26" i="5"/>
  <c r="CV25" i="5"/>
  <c r="CU25" i="5"/>
  <c r="CW25" i="5" s="1"/>
  <c r="CT25" i="5"/>
  <c r="CQ25" i="5"/>
  <c r="CN25" i="5"/>
  <c r="CK25" i="5"/>
  <c r="CH25" i="5"/>
  <c r="CE25" i="5"/>
  <c r="CB25" i="5"/>
  <c r="BY25" i="5"/>
  <c r="BV25" i="5"/>
  <c r="BS25" i="5"/>
  <c r="BP25" i="5"/>
  <c r="BM25" i="5"/>
  <c r="BJ25" i="5"/>
  <c r="BG25" i="5"/>
  <c r="BD25" i="5"/>
  <c r="BA25" i="5"/>
  <c r="AX25" i="5"/>
  <c r="AU25" i="5"/>
  <c r="AR25" i="5"/>
  <c r="AO25" i="5"/>
  <c r="AL25" i="5"/>
  <c r="AI25" i="5"/>
  <c r="AF25" i="5"/>
  <c r="AC25" i="5"/>
  <c r="Z25" i="5"/>
  <c r="W25" i="5"/>
  <c r="T25" i="5"/>
  <c r="Q25" i="5"/>
  <c r="N25" i="5"/>
  <c r="K25" i="5"/>
  <c r="H25" i="5"/>
  <c r="E25" i="5"/>
  <c r="CV24" i="5"/>
  <c r="CU24" i="5"/>
  <c r="CW24" i="5" s="1"/>
  <c r="CT24" i="5"/>
  <c r="CQ24" i="5"/>
  <c r="CN24" i="5"/>
  <c r="CK24" i="5"/>
  <c r="CH24" i="5"/>
  <c r="CE24" i="5"/>
  <c r="CB24" i="5"/>
  <c r="BY24" i="5"/>
  <c r="BV24" i="5"/>
  <c r="BS24" i="5"/>
  <c r="BP24" i="5"/>
  <c r="BM24" i="5"/>
  <c r="BJ24" i="5"/>
  <c r="BG24" i="5"/>
  <c r="BD24" i="5"/>
  <c r="BA24" i="5"/>
  <c r="AX24" i="5"/>
  <c r="AU24" i="5"/>
  <c r="AR24" i="5"/>
  <c r="AO24" i="5"/>
  <c r="AL24" i="5"/>
  <c r="AI24" i="5"/>
  <c r="AF24" i="5"/>
  <c r="AC24" i="5"/>
  <c r="Z24" i="5"/>
  <c r="W24" i="5"/>
  <c r="T24" i="5"/>
  <c r="Q24" i="5"/>
  <c r="N24" i="5"/>
  <c r="K24" i="5"/>
  <c r="H24" i="5"/>
  <c r="E24" i="5"/>
  <c r="CV23" i="5"/>
  <c r="CW23" i="5" s="1"/>
  <c r="CU23" i="5"/>
  <c r="CT23" i="5"/>
  <c r="CQ23" i="5"/>
  <c r="CN23" i="5"/>
  <c r="CK23" i="5"/>
  <c r="CH23" i="5"/>
  <c r="CE23" i="5"/>
  <c r="CB23" i="5"/>
  <c r="BY23" i="5"/>
  <c r="BV23" i="5"/>
  <c r="BS23" i="5"/>
  <c r="BP23" i="5"/>
  <c r="BM23" i="5"/>
  <c r="BJ23" i="5"/>
  <c r="BG23" i="5"/>
  <c r="BD23" i="5"/>
  <c r="BA23" i="5"/>
  <c r="AX23" i="5"/>
  <c r="AU23" i="5"/>
  <c r="AR23" i="5"/>
  <c r="AO23" i="5"/>
  <c r="AL23" i="5"/>
  <c r="AI23" i="5"/>
  <c r="AF23" i="5"/>
  <c r="AC23" i="5"/>
  <c r="Z23" i="5"/>
  <c r="W23" i="5"/>
  <c r="T23" i="5"/>
  <c r="Q23" i="5"/>
  <c r="N23" i="5"/>
  <c r="K23" i="5"/>
  <c r="H23" i="5"/>
  <c r="E23" i="5"/>
  <c r="CV22" i="5"/>
  <c r="CW22" i="5" s="1"/>
  <c r="CU22" i="5"/>
  <c r="CT22" i="5"/>
  <c r="CQ22" i="5"/>
  <c r="CN22" i="5"/>
  <c r="CK22" i="5"/>
  <c r="CH22" i="5"/>
  <c r="CE22" i="5"/>
  <c r="CB22" i="5"/>
  <c r="BY22" i="5"/>
  <c r="BV22" i="5"/>
  <c r="BP22" i="5"/>
  <c r="BM22" i="5"/>
  <c r="BJ22" i="5"/>
  <c r="BD22" i="5"/>
  <c r="BA22" i="5"/>
  <c r="AX22" i="5"/>
  <c r="AU22" i="5"/>
  <c r="AR22" i="5"/>
  <c r="AO22" i="5"/>
  <c r="AL22" i="5"/>
  <c r="AI22" i="5"/>
  <c r="AF22" i="5"/>
  <c r="AC22" i="5"/>
  <c r="W22" i="5"/>
  <c r="T22" i="5"/>
  <c r="Q22" i="5"/>
  <c r="N22" i="5"/>
  <c r="E22" i="5"/>
  <c r="CW21" i="5"/>
  <c r="CV21" i="5"/>
  <c r="CU21" i="5"/>
  <c r="CT21" i="5"/>
  <c r="CQ21" i="5"/>
  <c r="CN21" i="5"/>
  <c r="CK21" i="5"/>
  <c r="CH21" i="5"/>
  <c r="CE21" i="5"/>
  <c r="CB21" i="5"/>
  <c r="BY21" i="5"/>
  <c r="BV21" i="5"/>
  <c r="BP21" i="5"/>
  <c r="BM21" i="5"/>
  <c r="BJ21" i="5"/>
  <c r="BG21" i="5"/>
  <c r="BD21" i="5"/>
  <c r="BA21" i="5"/>
  <c r="AX21" i="5"/>
  <c r="AU21" i="5"/>
  <c r="AR21" i="5"/>
  <c r="AO21" i="5"/>
  <c r="AL21" i="5"/>
  <c r="AI21" i="5"/>
  <c r="AF21" i="5"/>
  <c r="AC21" i="5"/>
  <c r="W21" i="5"/>
  <c r="T21" i="5"/>
  <c r="Q21" i="5"/>
  <c r="N21" i="5"/>
  <c r="K21" i="5"/>
  <c r="H21" i="5"/>
  <c r="E21" i="5"/>
  <c r="CV20" i="5"/>
  <c r="CU20" i="5"/>
  <c r="CW20" i="5" s="1"/>
  <c r="CT20" i="5"/>
  <c r="CQ20" i="5"/>
  <c r="CN20" i="5"/>
  <c r="CK20" i="5"/>
  <c r="CH20" i="5"/>
  <c r="CE20" i="5"/>
  <c r="CB20" i="5"/>
  <c r="BY20" i="5"/>
  <c r="BV20" i="5"/>
  <c r="BP20" i="5"/>
  <c r="BM20" i="5"/>
  <c r="BJ20" i="5"/>
  <c r="BD20" i="5"/>
  <c r="BA20" i="5"/>
  <c r="AX20" i="5"/>
  <c r="AU20" i="5"/>
  <c r="AR20" i="5"/>
  <c r="AO20" i="5"/>
  <c r="AL20" i="5"/>
  <c r="AI20" i="5"/>
  <c r="AF20" i="5"/>
  <c r="AC20" i="5"/>
  <c r="W20" i="5"/>
  <c r="T20" i="5"/>
  <c r="Q20" i="5"/>
  <c r="N20" i="5"/>
  <c r="H20" i="5"/>
  <c r="E20" i="5"/>
  <c r="CW19" i="5"/>
  <c r="CV19" i="5"/>
  <c r="CU19" i="5"/>
  <c r="CT19" i="5"/>
  <c r="CQ19" i="5"/>
  <c r="CN19" i="5"/>
  <c r="CK19" i="5"/>
  <c r="CH19" i="5"/>
  <c r="CE19" i="5"/>
  <c r="CB19" i="5"/>
  <c r="BV19" i="5"/>
  <c r="BS19" i="5"/>
  <c r="BP19" i="5"/>
  <c r="BM19" i="5"/>
  <c r="BJ19" i="5"/>
  <c r="BG19" i="5"/>
  <c r="BD19" i="5"/>
  <c r="BA19" i="5"/>
  <c r="AX19" i="5"/>
  <c r="AU19" i="5"/>
  <c r="AR19" i="5"/>
  <c r="AO19" i="5"/>
  <c r="AL19" i="5"/>
  <c r="AI19" i="5"/>
  <c r="AF19" i="5"/>
  <c r="AC19" i="5"/>
  <c r="Z19" i="5"/>
  <c r="W19" i="5"/>
  <c r="T19" i="5"/>
  <c r="Q19" i="5"/>
  <c r="N19" i="5"/>
  <c r="K19" i="5"/>
  <c r="H19" i="5"/>
  <c r="E19" i="5"/>
  <c r="CV18" i="5"/>
  <c r="CW18" i="5" s="1"/>
  <c r="CU18" i="5"/>
  <c r="CT18" i="5"/>
  <c r="CQ18" i="5"/>
  <c r="CN18" i="5"/>
  <c r="CK18" i="5"/>
  <c r="CH18" i="5"/>
  <c r="CE18" i="5"/>
  <c r="CB18" i="5"/>
  <c r="BY18" i="5"/>
  <c r="BV18" i="5"/>
  <c r="BS18" i="5"/>
  <c r="BP18" i="5"/>
  <c r="BM18" i="5"/>
  <c r="BJ18" i="5"/>
  <c r="BG18" i="5"/>
  <c r="BD18" i="5"/>
  <c r="BA18" i="5"/>
  <c r="AX18" i="5"/>
  <c r="AU18" i="5"/>
  <c r="AR18" i="5"/>
  <c r="AO18" i="5"/>
  <c r="AL18" i="5"/>
  <c r="AI18" i="5"/>
  <c r="AF18" i="5"/>
  <c r="AC18" i="5"/>
  <c r="Z18" i="5"/>
  <c r="W18" i="5"/>
  <c r="T18" i="5"/>
  <c r="Q18" i="5"/>
  <c r="N18" i="5"/>
  <c r="K18" i="5"/>
  <c r="H18" i="5"/>
  <c r="E18" i="5"/>
  <c r="CV17" i="5"/>
  <c r="CW17" i="5" s="1"/>
  <c r="CU17" i="5"/>
  <c r="CT17" i="5"/>
  <c r="CQ17" i="5"/>
  <c r="CN17" i="5"/>
  <c r="CK17" i="5"/>
  <c r="CH17" i="5"/>
  <c r="CE17" i="5"/>
  <c r="CB17" i="5"/>
  <c r="BY17" i="5"/>
  <c r="BV17" i="5"/>
  <c r="BP17" i="5"/>
  <c r="BM17" i="5"/>
  <c r="BJ17" i="5"/>
  <c r="BD17" i="5"/>
  <c r="BA17" i="5"/>
  <c r="AX17" i="5"/>
  <c r="AU17" i="5"/>
  <c r="AR17" i="5"/>
  <c r="AO17" i="5"/>
  <c r="AL17" i="5"/>
  <c r="AI17" i="5"/>
  <c r="AF17" i="5"/>
  <c r="AC17" i="5"/>
  <c r="W17" i="5"/>
  <c r="T17" i="5"/>
  <c r="Q17" i="5"/>
  <c r="N17" i="5"/>
  <c r="H17" i="5"/>
  <c r="E17" i="5"/>
  <c r="CV16" i="5"/>
  <c r="CU16" i="5"/>
  <c r="CT16" i="5"/>
  <c r="CQ16" i="5"/>
  <c r="CN16" i="5"/>
  <c r="CK16" i="5"/>
  <c r="CH16" i="5"/>
  <c r="CE16" i="5"/>
  <c r="CB16" i="5"/>
  <c r="BY16" i="5"/>
  <c r="BV16" i="5"/>
  <c r="BP16" i="5"/>
  <c r="BM16" i="5"/>
  <c r="BJ16" i="5"/>
  <c r="BD16" i="5"/>
  <c r="BA16" i="5"/>
  <c r="AX16" i="5"/>
  <c r="AU16" i="5"/>
  <c r="AR16" i="5"/>
  <c r="AO16" i="5"/>
  <c r="AL16" i="5"/>
  <c r="AI16" i="5"/>
  <c r="AF16" i="5"/>
  <c r="AC16" i="5"/>
  <c r="W16" i="5"/>
  <c r="T16" i="5"/>
  <c r="Q16" i="5"/>
  <c r="N16" i="5"/>
  <c r="K16" i="5"/>
  <c r="E16" i="5"/>
  <c r="CV15" i="5"/>
  <c r="CU15" i="5"/>
  <c r="CW15" i="5" s="1"/>
  <c r="CT15" i="5"/>
  <c r="CQ15" i="5"/>
  <c r="CN15" i="5"/>
  <c r="CK15" i="5"/>
  <c r="CH15" i="5"/>
  <c r="CE15" i="5"/>
  <c r="CB15" i="5"/>
  <c r="BY15" i="5"/>
  <c r="BV15" i="5"/>
  <c r="BS15" i="5"/>
  <c r="BP15" i="5"/>
  <c r="BM15" i="5"/>
  <c r="BJ15" i="5"/>
  <c r="BG15" i="5"/>
  <c r="BD15" i="5"/>
  <c r="BA15" i="5"/>
  <c r="AX15" i="5"/>
  <c r="AU15" i="5"/>
  <c r="AR15" i="5"/>
  <c r="AO15" i="5"/>
  <c r="AL15" i="5"/>
  <c r="AI15" i="5"/>
  <c r="AF15" i="5"/>
  <c r="AC15" i="5"/>
  <c r="W15" i="5"/>
  <c r="T15" i="5"/>
  <c r="Q15" i="5"/>
  <c r="N15" i="5"/>
  <c r="K15" i="5"/>
  <c r="H15" i="5"/>
  <c r="E15" i="5"/>
  <c r="CV14" i="5"/>
  <c r="CW14" i="5" s="1"/>
  <c r="CU14" i="5"/>
  <c r="CT14" i="5"/>
  <c r="CQ14" i="5"/>
  <c r="CN14" i="5"/>
  <c r="CK14" i="5"/>
  <c r="CH14" i="5"/>
  <c r="CE14" i="5"/>
  <c r="CB14" i="5"/>
  <c r="BY14" i="5"/>
  <c r="BV14" i="5"/>
  <c r="BS14" i="5"/>
  <c r="BP14" i="5"/>
  <c r="BM14" i="5"/>
  <c r="BJ14" i="5"/>
  <c r="BG14" i="5"/>
  <c r="BD14" i="5"/>
  <c r="BA14" i="5"/>
  <c r="AX14" i="5"/>
  <c r="AU14" i="5"/>
  <c r="AR14" i="5"/>
  <c r="AO14" i="5"/>
  <c r="AL14" i="5"/>
  <c r="AI14" i="5"/>
  <c r="AF14" i="5"/>
  <c r="AC14" i="5"/>
  <c r="Z14" i="5"/>
  <c r="W14" i="5"/>
  <c r="T14" i="5"/>
  <c r="Q14" i="5"/>
  <c r="N14" i="5"/>
  <c r="K14" i="5"/>
  <c r="H14" i="5"/>
  <c r="E14" i="5"/>
  <c r="CW13" i="5"/>
  <c r="CV13" i="5"/>
  <c r="CU13" i="5"/>
  <c r="CT13" i="5"/>
  <c r="CQ13" i="5"/>
  <c r="CN13" i="5"/>
  <c r="CK13" i="5"/>
  <c r="CH13" i="5"/>
  <c r="CE13" i="5"/>
  <c r="CB13" i="5"/>
  <c r="BY13" i="5"/>
  <c r="BV13" i="5"/>
  <c r="BS13" i="5"/>
  <c r="BP13" i="5"/>
  <c r="BM13" i="5"/>
  <c r="BJ13" i="5"/>
  <c r="BD13" i="5"/>
  <c r="BA13" i="5"/>
  <c r="AX13" i="5"/>
  <c r="AU13" i="5"/>
  <c r="AR13" i="5"/>
  <c r="AO13" i="5"/>
  <c r="AL13" i="5"/>
  <c r="AI13" i="5"/>
  <c r="AF13" i="5"/>
  <c r="AC13" i="5"/>
  <c r="W13" i="5"/>
  <c r="T13" i="5"/>
  <c r="Q13" i="5"/>
  <c r="N13" i="5"/>
  <c r="K13" i="5"/>
  <c r="E13" i="5"/>
  <c r="CW12" i="5"/>
  <c r="CV12" i="5"/>
  <c r="CU12" i="5"/>
  <c r="CT12" i="5"/>
  <c r="CQ12" i="5"/>
  <c r="CN12" i="5"/>
  <c r="CK12" i="5"/>
  <c r="CH12" i="5"/>
  <c r="CE12" i="5"/>
  <c r="CB12" i="5"/>
  <c r="BY12" i="5"/>
  <c r="BV12" i="5"/>
  <c r="BS12" i="5"/>
  <c r="BP12" i="5"/>
  <c r="BM12" i="5"/>
  <c r="BJ12" i="5"/>
  <c r="BG12" i="5"/>
  <c r="BD12" i="5"/>
  <c r="BA12" i="5"/>
  <c r="AX12" i="5"/>
  <c r="AU12" i="5"/>
  <c r="AR12" i="5"/>
  <c r="AO12" i="5"/>
  <c r="AL12" i="5"/>
  <c r="AI12" i="5"/>
  <c r="AF12" i="5"/>
  <c r="AC12" i="5"/>
  <c r="Z12" i="5"/>
  <c r="W12" i="5"/>
  <c r="T12" i="5"/>
  <c r="Q12" i="5"/>
  <c r="N12" i="5"/>
  <c r="K12" i="5"/>
  <c r="H12" i="5"/>
  <c r="E12" i="5"/>
  <c r="CV11" i="5"/>
  <c r="CU11" i="5"/>
  <c r="CW11" i="5" s="1"/>
  <c r="CT11" i="5"/>
  <c r="CQ11" i="5"/>
  <c r="CN11" i="5"/>
  <c r="CK11" i="5"/>
  <c r="CH11" i="5"/>
  <c r="CE11" i="5"/>
  <c r="CB11" i="5"/>
  <c r="BY11" i="5"/>
  <c r="BV11" i="5"/>
  <c r="BS11" i="5"/>
  <c r="BP11" i="5"/>
  <c r="BM11" i="5"/>
  <c r="BJ11" i="5"/>
  <c r="BG11" i="5"/>
  <c r="BD11" i="5"/>
  <c r="BA11" i="5"/>
  <c r="AX11" i="5"/>
  <c r="AU11" i="5"/>
  <c r="AR11" i="5"/>
  <c r="AO11" i="5"/>
  <c r="AL11" i="5"/>
  <c r="AF11" i="5"/>
  <c r="AC11" i="5"/>
  <c r="Z11" i="5"/>
  <c r="W11" i="5"/>
  <c r="T11" i="5"/>
  <c r="Q11" i="5"/>
  <c r="N11" i="5"/>
  <c r="K11" i="5"/>
  <c r="H11" i="5"/>
  <c r="E11" i="5"/>
  <c r="CW10" i="5"/>
  <c r="CV10" i="5"/>
  <c r="CU10" i="5"/>
  <c r="CT10" i="5"/>
  <c r="CQ10" i="5"/>
  <c r="CN10" i="5"/>
  <c r="CK10" i="5"/>
  <c r="CH10" i="5"/>
  <c r="CE10" i="5"/>
  <c r="CB10" i="5"/>
  <c r="BY10" i="5"/>
  <c r="BV10" i="5"/>
  <c r="BP10" i="5"/>
  <c r="BM10" i="5"/>
  <c r="BJ10" i="5"/>
  <c r="BG10" i="5"/>
  <c r="BD10" i="5"/>
  <c r="BA10" i="5"/>
  <c r="AX10" i="5"/>
  <c r="AU10" i="5"/>
  <c r="AR10" i="5"/>
  <c r="AO10" i="5"/>
  <c r="AL10" i="5"/>
  <c r="AI10" i="5"/>
  <c r="AF10" i="5"/>
  <c r="AC10" i="5"/>
  <c r="W10" i="5"/>
  <c r="T10" i="5"/>
  <c r="Q10" i="5"/>
  <c r="N10" i="5"/>
  <c r="H10" i="5"/>
  <c r="E10" i="5"/>
  <c r="CW9" i="5"/>
  <c r="CV9" i="5"/>
  <c r="CU9" i="5"/>
  <c r="CT9" i="5"/>
  <c r="CQ9" i="5"/>
  <c r="CN9" i="5"/>
  <c r="CK9" i="5"/>
  <c r="CH9" i="5"/>
  <c r="CE9" i="5"/>
  <c r="CB9" i="5"/>
  <c r="BY9" i="5"/>
  <c r="BV9" i="5"/>
  <c r="BP9" i="5"/>
  <c r="BM9" i="5"/>
  <c r="BJ9" i="5"/>
  <c r="BD9" i="5"/>
  <c r="BA9" i="5"/>
  <c r="AX9" i="5"/>
  <c r="AU9" i="5"/>
  <c r="AR9" i="5"/>
  <c r="AO9" i="5"/>
  <c r="AL9" i="5"/>
  <c r="AI9" i="5"/>
  <c r="AF9" i="5"/>
  <c r="AC9" i="5"/>
  <c r="W9" i="5"/>
  <c r="T9" i="5"/>
  <c r="Q9" i="5"/>
  <c r="N9" i="5"/>
  <c r="E9" i="5"/>
  <c r="CV8" i="5"/>
  <c r="CU8" i="5"/>
  <c r="CW8" i="5" s="1"/>
  <c r="CT8" i="5"/>
  <c r="CQ8" i="5"/>
  <c r="CN8" i="5"/>
  <c r="CK8" i="5"/>
  <c r="CH8" i="5"/>
  <c r="CE8" i="5"/>
  <c r="CB8" i="5"/>
  <c r="BY8" i="5"/>
  <c r="BV8" i="5"/>
  <c r="BS8" i="5"/>
  <c r="BP8" i="5"/>
  <c r="BM8" i="5"/>
  <c r="BJ8" i="5"/>
  <c r="BG8" i="5"/>
  <c r="BD8" i="5"/>
  <c r="BA8" i="5"/>
  <c r="AX8" i="5"/>
  <c r="AU8" i="5"/>
  <c r="AR8" i="5"/>
  <c r="AO8" i="5"/>
  <c r="AL8" i="5"/>
  <c r="AI8" i="5"/>
  <c r="AF8" i="5"/>
  <c r="AC8" i="5"/>
  <c r="W8" i="5"/>
  <c r="T8" i="5"/>
  <c r="Q8" i="5"/>
  <c r="N8" i="5"/>
  <c r="K8" i="5"/>
  <c r="H8" i="5"/>
  <c r="E8" i="5"/>
  <c r="CV7" i="5"/>
  <c r="CW7" i="5" s="1"/>
  <c r="CU7" i="5"/>
  <c r="CT7" i="5"/>
  <c r="CQ7" i="5"/>
  <c r="CN7" i="5"/>
  <c r="CK7" i="5"/>
  <c r="CH7" i="5"/>
  <c r="CE7" i="5"/>
  <c r="CB7" i="5"/>
  <c r="BY7" i="5"/>
  <c r="BV7" i="5"/>
  <c r="BS7" i="5"/>
  <c r="BP7" i="5"/>
  <c r="BM7" i="5"/>
  <c r="BJ7" i="5"/>
  <c r="BD7" i="5"/>
  <c r="BA7" i="5"/>
  <c r="AX7" i="5"/>
  <c r="AU7" i="5"/>
  <c r="AR7" i="5"/>
  <c r="AO7" i="5"/>
  <c r="AL7" i="5"/>
  <c r="AF7" i="5"/>
  <c r="AC7" i="5"/>
  <c r="Z7" i="5"/>
  <c r="W7" i="5"/>
  <c r="T7" i="5"/>
  <c r="Q7" i="5"/>
  <c r="N7" i="5"/>
  <c r="H7" i="5"/>
  <c r="E7" i="5"/>
  <c r="CV6" i="5"/>
  <c r="CW6" i="5" s="1"/>
  <c r="CU6" i="5"/>
  <c r="CT6" i="5"/>
  <c r="CQ6" i="5"/>
  <c r="CN6" i="5"/>
  <c r="CK6" i="5"/>
  <c r="CH6" i="5"/>
  <c r="CE6" i="5"/>
  <c r="CB6" i="5"/>
  <c r="BY6" i="5"/>
  <c r="BV6" i="5"/>
  <c r="BS6" i="5"/>
  <c r="BP6" i="5"/>
  <c r="BM6" i="5"/>
  <c r="BJ6" i="5"/>
  <c r="BG6" i="5"/>
  <c r="BD6" i="5"/>
  <c r="BA6" i="5"/>
  <c r="AX6" i="5"/>
  <c r="AU6" i="5"/>
  <c r="AR6" i="5"/>
  <c r="AO6" i="5"/>
  <c r="AL6" i="5"/>
  <c r="AI6" i="5"/>
  <c r="AF6" i="5"/>
  <c r="AC6" i="5"/>
  <c r="Z6" i="5"/>
  <c r="W6" i="5"/>
  <c r="T6" i="5"/>
  <c r="Q6" i="5"/>
  <c r="N6" i="5"/>
  <c r="K6" i="5"/>
  <c r="H6" i="5"/>
  <c r="E6" i="5"/>
  <c r="CW5" i="5"/>
  <c r="CV5" i="5"/>
  <c r="CU5" i="5"/>
  <c r="CT5" i="5"/>
  <c r="CQ5" i="5"/>
  <c r="CN5" i="5"/>
  <c r="CK5" i="5"/>
  <c r="CH5" i="5"/>
  <c r="CE5" i="5"/>
  <c r="CB5" i="5"/>
  <c r="BY5" i="5"/>
  <c r="BV5" i="5"/>
  <c r="BP5" i="5"/>
  <c r="BM5" i="5"/>
  <c r="BJ5" i="5"/>
  <c r="BG5" i="5"/>
  <c r="BD5" i="5"/>
  <c r="BA5" i="5"/>
  <c r="AX5" i="5"/>
  <c r="AU5" i="5"/>
  <c r="AR5" i="5"/>
  <c r="AO5" i="5"/>
  <c r="AL5" i="5"/>
  <c r="AI5" i="5"/>
  <c r="AF5" i="5"/>
  <c r="AC5" i="5"/>
  <c r="Z5" i="5"/>
  <c r="W5" i="5"/>
  <c r="T5" i="5"/>
  <c r="Q5" i="5"/>
  <c r="N5" i="5"/>
  <c r="K5" i="5"/>
  <c r="H5" i="5"/>
  <c r="E5" i="5"/>
  <c r="CV4" i="5"/>
  <c r="CW4" i="5" s="1"/>
  <c r="CU4" i="5"/>
  <c r="CT4" i="5"/>
  <c r="CQ4" i="5"/>
  <c r="CN4" i="5"/>
  <c r="CK4" i="5"/>
  <c r="CH4" i="5"/>
  <c r="CE4" i="5"/>
  <c r="CB4" i="5"/>
  <c r="BY4" i="5"/>
  <c r="BV4" i="5"/>
  <c r="BS4" i="5"/>
  <c r="BP4" i="5"/>
  <c r="BM4" i="5"/>
  <c r="BJ4" i="5"/>
  <c r="BG4" i="5"/>
  <c r="BD4" i="5"/>
  <c r="BA4" i="5"/>
  <c r="AX4" i="5"/>
  <c r="AU4" i="5"/>
  <c r="AR4" i="5"/>
  <c r="AO4" i="5"/>
  <c r="AL4" i="5"/>
  <c r="AI4" i="5"/>
  <c r="AF4" i="5"/>
  <c r="AC4" i="5"/>
  <c r="Z4" i="5"/>
  <c r="W4" i="5"/>
  <c r="T4" i="5"/>
  <c r="Q4" i="5"/>
  <c r="N4" i="5"/>
  <c r="K4" i="5"/>
  <c r="H4" i="5"/>
  <c r="E4" i="5"/>
  <c r="CV3" i="5"/>
  <c r="CW3" i="5" s="1"/>
  <c r="CU3" i="5"/>
  <c r="CT3" i="5"/>
  <c r="CQ3" i="5"/>
  <c r="CN3" i="5"/>
  <c r="CK3" i="5"/>
  <c r="CH3" i="5"/>
  <c r="CE3" i="5"/>
  <c r="CB3" i="5"/>
  <c r="BY3" i="5"/>
  <c r="BV3" i="5"/>
  <c r="BP3" i="5"/>
  <c r="BM3" i="5"/>
  <c r="BJ3" i="5"/>
  <c r="BD3" i="5"/>
  <c r="BA3" i="5"/>
  <c r="AX3" i="5"/>
  <c r="AU3" i="5"/>
  <c r="AR3" i="5"/>
  <c r="AO3" i="5"/>
  <c r="AL3" i="5"/>
  <c r="AF3" i="5"/>
  <c r="AC3" i="5"/>
  <c r="W3" i="5"/>
  <c r="T3" i="5"/>
  <c r="Q3" i="5"/>
  <c r="N3" i="5"/>
  <c r="H3" i="5"/>
  <c r="E3" i="5"/>
  <c r="CV38" i="4"/>
  <c r="CU38" i="4"/>
  <c r="CW38" i="4" s="1"/>
  <c r="CT38" i="4"/>
  <c r="CQ38" i="4"/>
  <c r="CN38" i="4"/>
  <c r="CK38" i="4"/>
  <c r="CH38" i="4"/>
  <c r="CE38" i="4"/>
  <c r="CB38" i="4"/>
  <c r="BY38" i="4"/>
  <c r="BP38" i="4"/>
  <c r="BM38" i="4"/>
  <c r="BJ38" i="4"/>
  <c r="BG38" i="4"/>
  <c r="BD38" i="4"/>
  <c r="BA38" i="4"/>
  <c r="AX38" i="4"/>
  <c r="AU38" i="4"/>
  <c r="AR38" i="4"/>
  <c r="AI38" i="4"/>
  <c r="AF38" i="4"/>
  <c r="AC38" i="4"/>
  <c r="Z38" i="4"/>
  <c r="W38" i="4"/>
  <c r="T38" i="4"/>
  <c r="Q38" i="4"/>
  <c r="N38" i="4"/>
  <c r="H38" i="4"/>
  <c r="E38" i="4"/>
  <c r="CV37" i="4"/>
  <c r="CW37" i="4" s="1"/>
  <c r="CU37" i="4"/>
  <c r="CT37" i="4"/>
  <c r="CQ37" i="4"/>
  <c r="CN37" i="4"/>
  <c r="CK37" i="4"/>
  <c r="CH37" i="4"/>
  <c r="CE37" i="4"/>
  <c r="CB37" i="4"/>
  <c r="BY37" i="4"/>
  <c r="BP37" i="4"/>
  <c r="BM37" i="4"/>
  <c r="BJ37" i="4"/>
  <c r="BG37" i="4"/>
  <c r="BD37" i="4"/>
  <c r="BA37" i="4"/>
  <c r="AX37" i="4"/>
  <c r="AU37" i="4"/>
  <c r="AR37" i="4"/>
  <c r="AL37" i="4"/>
  <c r="AF37" i="4"/>
  <c r="AC37" i="4"/>
  <c r="Z37" i="4"/>
  <c r="W37" i="4"/>
  <c r="T37" i="4"/>
  <c r="Q37" i="4"/>
  <c r="N37" i="4"/>
  <c r="K37" i="4"/>
  <c r="H37" i="4"/>
  <c r="E37" i="4"/>
  <c r="CW36" i="4"/>
  <c r="CV36" i="4"/>
  <c r="CU36" i="4"/>
  <c r="CT36" i="4"/>
  <c r="CQ36" i="4"/>
  <c r="CN36" i="4"/>
  <c r="CK36" i="4"/>
  <c r="CH36" i="4"/>
  <c r="CE36" i="4"/>
  <c r="CB36" i="4"/>
  <c r="BY36" i="4"/>
  <c r="BP36" i="4"/>
  <c r="BM36" i="4"/>
  <c r="BJ36" i="4"/>
  <c r="BG36" i="4"/>
  <c r="BD36" i="4"/>
  <c r="BA36" i="4"/>
  <c r="AX36" i="4"/>
  <c r="AU36" i="4"/>
  <c r="AR36" i="4"/>
  <c r="AL36" i="4"/>
  <c r="AF36" i="4"/>
  <c r="AC36" i="4"/>
  <c r="Z36" i="4"/>
  <c r="W36" i="4"/>
  <c r="T36" i="4"/>
  <c r="Q36" i="4"/>
  <c r="N36" i="4"/>
  <c r="K36" i="4"/>
  <c r="H36" i="4"/>
  <c r="E36" i="4"/>
  <c r="CV35" i="4"/>
  <c r="CW35" i="4" s="1"/>
  <c r="CU35" i="4"/>
  <c r="CT35" i="4"/>
  <c r="CQ35" i="4"/>
  <c r="CN35" i="4"/>
  <c r="CK35" i="4"/>
  <c r="CH35" i="4"/>
  <c r="CE35" i="4"/>
  <c r="CB35" i="4"/>
  <c r="BY35" i="4"/>
  <c r="BP35" i="4"/>
  <c r="BM35" i="4"/>
  <c r="BJ35" i="4"/>
  <c r="BG35" i="4"/>
  <c r="BD35" i="4"/>
  <c r="BA35" i="4"/>
  <c r="AX35" i="4"/>
  <c r="AU35" i="4"/>
  <c r="AR35" i="4"/>
  <c r="AO35" i="4"/>
  <c r="AF35" i="4"/>
  <c r="AC35" i="4"/>
  <c r="Z35" i="4"/>
  <c r="W35" i="4"/>
  <c r="T35" i="4"/>
  <c r="Q35" i="4"/>
  <c r="N35" i="4"/>
  <c r="K35" i="4"/>
  <c r="H35" i="4"/>
  <c r="E35" i="4"/>
  <c r="CW34" i="4"/>
  <c r="CV34" i="4"/>
  <c r="CU34" i="4"/>
  <c r="CT34" i="4"/>
  <c r="CQ34" i="4"/>
  <c r="CN34" i="4"/>
  <c r="CK34" i="4"/>
  <c r="CH34" i="4"/>
  <c r="CE34" i="4"/>
  <c r="CB34" i="4"/>
  <c r="BY34" i="4"/>
  <c r="BP34" i="4"/>
  <c r="BM34" i="4"/>
  <c r="BJ34" i="4"/>
  <c r="BG34" i="4"/>
  <c r="BD34" i="4"/>
  <c r="BA34" i="4"/>
  <c r="AX34" i="4"/>
  <c r="AU34" i="4"/>
  <c r="AR34" i="4"/>
  <c r="AO34" i="4"/>
  <c r="AF34" i="4"/>
  <c r="AC34" i="4"/>
  <c r="Z34" i="4"/>
  <c r="W34" i="4"/>
  <c r="T34" i="4"/>
  <c r="Q34" i="4"/>
  <c r="N34" i="4"/>
  <c r="K34" i="4"/>
  <c r="H34" i="4"/>
  <c r="E34" i="4"/>
  <c r="CV33" i="4"/>
  <c r="CW33" i="4" s="1"/>
  <c r="CU33" i="4"/>
  <c r="CT33" i="4"/>
  <c r="CQ33" i="4"/>
  <c r="CN33" i="4"/>
  <c r="CK33" i="4"/>
  <c r="CH33" i="4"/>
  <c r="CE33" i="4"/>
  <c r="CB33" i="4"/>
  <c r="BY33" i="4"/>
  <c r="BP33" i="4"/>
  <c r="BM33" i="4"/>
  <c r="BJ33" i="4"/>
  <c r="BG33" i="4"/>
  <c r="BD33" i="4"/>
  <c r="BA33" i="4"/>
  <c r="AX33" i="4"/>
  <c r="AU33" i="4"/>
  <c r="AR33" i="4"/>
  <c r="AO33" i="4"/>
  <c r="AF33" i="4"/>
  <c r="AC33" i="4"/>
  <c r="Z33" i="4"/>
  <c r="W33" i="4"/>
  <c r="T33" i="4"/>
  <c r="Q33" i="4"/>
  <c r="N33" i="4"/>
  <c r="K33" i="4"/>
  <c r="H33" i="4"/>
  <c r="E33" i="4"/>
  <c r="CV32" i="4"/>
  <c r="CW32" i="4" s="1"/>
  <c r="CU32" i="4"/>
  <c r="CT32" i="4"/>
  <c r="CQ32" i="4"/>
  <c r="CN32" i="4"/>
  <c r="CK32" i="4"/>
  <c r="CH32" i="4"/>
  <c r="CE32" i="4"/>
  <c r="CB32" i="4"/>
  <c r="BY32" i="4"/>
  <c r="BP32" i="4"/>
  <c r="BM32" i="4"/>
  <c r="BJ32" i="4"/>
  <c r="BG32" i="4"/>
  <c r="BD32" i="4"/>
  <c r="BA32" i="4"/>
  <c r="AX32" i="4"/>
  <c r="AU32" i="4"/>
  <c r="AR32" i="4"/>
  <c r="AO32" i="4"/>
  <c r="AF32" i="4"/>
  <c r="AC32" i="4"/>
  <c r="Z32" i="4"/>
  <c r="W32" i="4"/>
  <c r="T32" i="4"/>
  <c r="Q32" i="4"/>
  <c r="N32" i="4"/>
  <c r="K32" i="4"/>
  <c r="H32" i="4"/>
  <c r="E32" i="4"/>
  <c r="CV31" i="4"/>
  <c r="CU31" i="4"/>
  <c r="CW31" i="4" s="1"/>
  <c r="CT31" i="4"/>
  <c r="CQ31" i="4"/>
  <c r="CN31" i="4"/>
  <c r="CK31" i="4"/>
  <c r="CH31" i="4"/>
  <c r="CE31" i="4"/>
  <c r="CB31" i="4"/>
  <c r="BY31" i="4"/>
  <c r="BP31" i="4"/>
  <c r="BM31" i="4"/>
  <c r="BJ31" i="4"/>
  <c r="BG31" i="4"/>
  <c r="BD31" i="4"/>
  <c r="BA31" i="4"/>
  <c r="AX31" i="4"/>
  <c r="AU31" i="4"/>
  <c r="AR31" i="4"/>
  <c r="AO31" i="4"/>
  <c r="AF31" i="4"/>
  <c r="AC31" i="4"/>
  <c r="Z31" i="4"/>
  <c r="W31" i="4"/>
  <c r="T31" i="4"/>
  <c r="Q31" i="4"/>
  <c r="N31" i="4"/>
  <c r="K31" i="4"/>
  <c r="H31" i="4"/>
  <c r="E31" i="4"/>
  <c r="CU30" i="4"/>
  <c r="CT30" i="4"/>
  <c r="CQ30" i="4"/>
  <c r="CN30" i="4"/>
  <c r="CK30" i="4"/>
  <c r="CH30" i="4"/>
  <c r="CE30" i="4"/>
  <c r="CB30" i="4"/>
  <c r="BY30" i="4"/>
  <c r="BP30" i="4"/>
  <c r="BM30" i="4"/>
  <c r="BJ30" i="4"/>
  <c r="BG30" i="4"/>
  <c r="BD30" i="4"/>
  <c r="BA30" i="4"/>
  <c r="AX30" i="4"/>
  <c r="AU30" i="4"/>
  <c r="AR30" i="4"/>
  <c r="AK30" i="4"/>
  <c r="CV30" i="4" s="1"/>
  <c r="CW30" i="4" s="1"/>
  <c r="AF30" i="4"/>
  <c r="AC30" i="4"/>
  <c r="Z30" i="4"/>
  <c r="W30" i="4"/>
  <c r="T30" i="4"/>
  <c r="Q30" i="4"/>
  <c r="N30" i="4"/>
  <c r="K30" i="4"/>
  <c r="H30" i="4"/>
  <c r="E30" i="4"/>
  <c r="CV29" i="4"/>
  <c r="CW29" i="4" s="1"/>
  <c r="CU29" i="4"/>
  <c r="CT29" i="4"/>
  <c r="CQ29" i="4"/>
  <c r="CN29" i="4"/>
  <c r="CK29" i="4"/>
  <c r="CH29" i="4"/>
  <c r="CE29" i="4"/>
  <c r="CB29" i="4"/>
  <c r="BY29" i="4"/>
  <c r="BV29" i="4"/>
  <c r="BP29" i="4"/>
  <c r="BM29" i="4"/>
  <c r="BJ29" i="4"/>
  <c r="BG29" i="4"/>
  <c r="BD29" i="4"/>
  <c r="BA29" i="4"/>
  <c r="AX29" i="4"/>
  <c r="AU29" i="4"/>
  <c r="AR29" i="4"/>
  <c r="AF29" i="4"/>
  <c r="AC29" i="4"/>
  <c r="Z29" i="4"/>
  <c r="W29" i="4"/>
  <c r="T29" i="4"/>
  <c r="Q29" i="4"/>
  <c r="N29" i="4"/>
  <c r="K29" i="4"/>
  <c r="H29" i="4"/>
  <c r="E29" i="4"/>
  <c r="CW28" i="4"/>
  <c r="CV28" i="4"/>
  <c r="CU28" i="4"/>
  <c r="CT28" i="4"/>
  <c r="CQ28" i="4"/>
  <c r="CN28" i="4"/>
  <c r="CK28" i="4"/>
  <c r="CH28" i="4"/>
  <c r="CE28" i="4"/>
  <c r="CB28" i="4"/>
  <c r="BY28" i="4"/>
  <c r="BP28" i="4"/>
  <c r="BM28" i="4"/>
  <c r="BJ28" i="4"/>
  <c r="BG28" i="4"/>
  <c r="BD28" i="4"/>
  <c r="BA28" i="4"/>
  <c r="AX28" i="4"/>
  <c r="AU28" i="4"/>
  <c r="AR28" i="4"/>
  <c r="AF28" i="4"/>
  <c r="AC28" i="4"/>
  <c r="Z28" i="4"/>
  <c r="W28" i="4"/>
  <c r="T28" i="4"/>
  <c r="Q28" i="4"/>
  <c r="N28" i="4"/>
  <c r="K28" i="4"/>
  <c r="H28" i="4"/>
  <c r="E28" i="4"/>
  <c r="CU27" i="4"/>
  <c r="CT27" i="4"/>
  <c r="CQ27" i="4"/>
  <c r="CN27" i="4"/>
  <c r="CK27" i="4"/>
  <c r="CH27" i="4"/>
  <c r="CE27" i="4"/>
  <c r="CB27" i="4"/>
  <c r="BY27" i="4"/>
  <c r="BP27" i="4"/>
  <c r="BM27" i="4"/>
  <c r="BJ27" i="4"/>
  <c r="BG27" i="4"/>
  <c r="BD27" i="4"/>
  <c r="BA27" i="4"/>
  <c r="AW27" i="4"/>
  <c r="CV27" i="4" s="1"/>
  <c r="CW27" i="4" s="1"/>
  <c r="AU27" i="4"/>
  <c r="AR27" i="4"/>
  <c r="AF27" i="4"/>
  <c r="AC27" i="4"/>
  <c r="Z27" i="4"/>
  <c r="W27" i="4"/>
  <c r="T27" i="4"/>
  <c r="Q27" i="4"/>
  <c r="N27" i="4"/>
  <c r="K27" i="4"/>
  <c r="H27" i="4"/>
  <c r="E27" i="4"/>
  <c r="CV26" i="4"/>
  <c r="CW26" i="4" s="1"/>
  <c r="CU26" i="4"/>
  <c r="CT26" i="4"/>
  <c r="CQ26" i="4"/>
  <c r="CN26" i="4"/>
  <c r="CK26" i="4"/>
  <c r="CH26" i="4"/>
  <c r="CE26" i="4"/>
  <c r="CB26" i="4"/>
  <c r="BY26" i="4"/>
  <c r="BP26" i="4"/>
  <c r="BM26" i="4"/>
  <c r="BJ26" i="4"/>
  <c r="BG26" i="4"/>
  <c r="BD26" i="4"/>
  <c r="AU26" i="4"/>
  <c r="AR26" i="4"/>
  <c r="AF26" i="4"/>
  <c r="AC26" i="4"/>
  <c r="Z26" i="4"/>
  <c r="W26" i="4"/>
  <c r="T26" i="4"/>
  <c r="Q26" i="4"/>
  <c r="N26" i="4"/>
  <c r="K26" i="4"/>
  <c r="H26" i="4"/>
  <c r="E26" i="4"/>
  <c r="CW25" i="4"/>
  <c r="CV25" i="4"/>
  <c r="CU25" i="4"/>
  <c r="CT25" i="4"/>
  <c r="CQ25" i="4"/>
  <c r="CN25" i="4"/>
  <c r="CK25" i="4"/>
  <c r="CH25" i="4"/>
  <c r="CE25" i="4"/>
  <c r="CB25" i="4"/>
  <c r="BY25" i="4"/>
  <c r="BP25" i="4"/>
  <c r="BM25" i="4"/>
  <c r="BJ25" i="4"/>
  <c r="BG25" i="4"/>
  <c r="BD25" i="4"/>
  <c r="BA25" i="4"/>
  <c r="AU25" i="4"/>
  <c r="AR25" i="4"/>
  <c r="AO25" i="4"/>
  <c r="AF25" i="4"/>
  <c r="AC25" i="4"/>
  <c r="Z25" i="4"/>
  <c r="W25" i="4"/>
  <c r="T25" i="4"/>
  <c r="Q25" i="4"/>
  <c r="N25" i="4"/>
  <c r="K25" i="4"/>
  <c r="H25" i="4"/>
  <c r="E25" i="4"/>
  <c r="CW24" i="4"/>
  <c r="CV24" i="4"/>
  <c r="CU24" i="4"/>
  <c r="CT24" i="4"/>
  <c r="CQ24" i="4"/>
  <c r="CN24" i="4"/>
  <c r="CK24" i="4"/>
  <c r="CH24" i="4"/>
  <c r="CE24" i="4"/>
  <c r="CB24" i="4"/>
  <c r="BY24" i="4"/>
  <c r="BP24" i="4"/>
  <c r="BM24" i="4"/>
  <c r="BJ24" i="4"/>
  <c r="BG24" i="4"/>
  <c r="BD24" i="4"/>
  <c r="BA24" i="4"/>
  <c r="AU24" i="4"/>
  <c r="AR24" i="4"/>
  <c r="AF24" i="4"/>
  <c r="AC24" i="4"/>
  <c r="Z24" i="4"/>
  <c r="W24" i="4"/>
  <c r="T24" i="4"/>
  <c r="Q24" i="4"/>
  <c r="N24" i="4"/>
  <c r="K24" i="4"/>
  <c r="H24" i="4"/>
  <c r="E24" i="4"/>
  <c r="CV23" i="4"/>
  <c r="CU23" i="4"/>
  <c r="CW23" i="4" s="1"/>
  <c r="CT23" i="4"/>
  <c r="CQ23" i="4"/>
  <c r="CN23" i="4"/>
  <c r="CK23" i="4"/>
  <c r="CH23" i="4"/>
  <c r="CE23" i="4"/>
  <c r="CB23" i="4"/>
  <c r="BY23" i="4"/>
  <c r="BS23" i="4"/>
  <c r="BP23" i="4"/>
  <c r="BM23" i="4"/>
  <c r="BJ23" i="4"/>
  <c r="BG23" i="4"/>
  <c r="BD23" i="4"/>
  <c r="AR23" i="4"/>
  <c r="AO23" i="4"/>
  <c r="AF23" i="4"/>
  <c r="AC23" i="4"/>
  <c r="Z23" i="4"/>
  <c r="W23" i="4"/>
  <c r="T23" i="4"/>
  <c r="N23" i="4"/>
  <c r="H23" i="4"/>
  <c r="E23" i="4"/>
  <c r="CW22" i="4"/>
  <c r="CV22" i="4"/>
  <c r="CU22" i="4"/>
  <c r="CT22" i="4"/>
  <c r="CQ22" i="4"/>
  <c r="CN22" i="4"/>
  <c r="CK22" i="4"/>
  <c r="CH22" i="4"/>
  <c r="CE22" i="4"/>
  <c r="CB22" i="4"/>
  <c r="BY22" i="4"/>
  <c r="BV22" i="4"/>
  <c r="BP22" i="4"/>
  <c r="BM22" i="4"/>
  <c r="BJ22" i="4"/>
  <c r="BG22" i="4"/>
  <c r="BD22" i="4"/>
  <c r="AU22" i="4"/>
  <c r="AR22" i="4"/>
  <c r="AF22" i="4"/>
  <c r="AC22" i="4"/>
  <c r="Z22" i="4"/>
  <c r="W22" i="4"/>
  <c r="T22" i="4"/>
  <c r="Q22" i="4"/>
  <c r="N22" i="4"/>
  <c r="K22" i="4"/>
  <c r="H22" i="4"/>
  <c r="E22" i="4"/>
  <c r="CV21" i="4"/>
  <c r="CU21" i="4"/>
  <c r="CW21" i="4" s="1"/>
  <c r="CT21" i="4"/>
  <c r="CQ21" i="4"/>
  <c r="CN21" i="4"/>
  <c r="CK21" i="4"/>
  <c r="CH21" i="4"/>
  <c r="CE21" i="4"/>
  <c r="CB21" i="4"/>
  <c r="BY21" i="4"/>
  <c r="BV21" i="4"/>
  <c r="BP21" i="4"/>
  <c r="BJ21" i="4"/>
  <c r="BG21" i="4"/>
  <c r="BD21" i="4"/>
  <c r="BA21" i="4"/>
  <c r="AX21" i="4"/>
  <c r="AR21" i="4"/>
  <c r="AO21" i="4"/>
  <c r="AL21" i="4"/>
  <c r="AF21" i="4"/>
  <c r="Z21" i="4"/>
  <c r="W21" i="4"/>
  <c r="T21" i="4"/>
  <c r="Q21" i="4"/>
  <c r="E21" i="4"/>
  <c r="CW20" i="4"/>
  <c r="CV20" i="4"/>
  <c r="CU20" i="4"/>
  <c r="CT20" i="4"/>
  <c r="CQ20" i="4"/>
  <c r="CN20" i="4"/>
  <c r="CK20" i="4"/>
  <c r="CH20" i="4"/>
  <c r="CE20" i="4"/>
  <c r="CB20" i="4"/>
  <c r="BY20" i="4"/>
  <c r="BV20" i="4"/>
  <c r="BS20" i="4"/>
  <c r="BP20" i="4"/>
  <c r="BM20" i="4"/>
  <c r="BJ20" i="4"/>
  <c r="BG20" i="4"/>
  <c r="BD20" i="4"/>
  <c r="BA20" i="4"/>
  <c r="AX20" i="4"/>
  <c r="AR20" i="4"/>
  <c r="AO20" i="4"/>
  <c r="AL20" i="4"/>
  <c r="AI20" i="4"/>
  <c r="AF20" i="4"/>
  <c r="AC20" i="4"/>
  <c r="Z20" i="4"/>
  <c r="W20" i="4"/>
  <c r="T20" i="4"/>
  <c r="Q20" i="4"/>
  <c r="N20" i="4"/>
  <c r="K20" i="4"/>
  <c r="H20" i="4"/>
  <c r="E20" i="4"/>
  <c r="CW19" i="4"/>
  <c r="CV19" i="4"/>
  <c r="CU19" i="4"/>
  <c r="CT19" i="4"/>
  <c r="CQ19" i="4"/>
  <c r="CN19" i="4"/>
  <c r="CK19" i="4"/>
  <c r="CH19" i="4"/>
  <c r="CE19" i="4"/>
  <c r="CB19" i="4"/>
  <c r="BY19" i="4"/>
  <c r="BV19" i="4"/>
  <c r="BS19" i="4"/>
  <c r="BP19" i="4"/>
  <c r="BM19" i="4"/>
  <c r="BJ19" i="4"/>
  <c r="BG19" i="4"/>
  <c r="BD19" i="4"/>
  <c r="BA19" i="4"/>
  <c r="AX19" i="4"/>
  <c r="AU19" i="4"/>
  <c r="AR19" i="4"/>
  <c r="AO19" i="4"/>
  <c r="AL19" i="4"/>
  <c r="AI19" i="4"/>
  <c r="AF19" i="4"/>
  <c r="AC19" i="4"/>
  <c r="Z19" i="4"/>
  <c r="W19" i="4"/>
  <c r="T19" i="4"/>
  <c r="Q19" i="4"/>
  <c r="N19" i="4"/>
  <c r="K19" i="4"/>
  <c r="H19" i="4"/>
  <c r="E19" i="4"/>
  <c r="CV18" i="4"/>
  <c r="CU18" i="4"/>
  <c r="CW18" i="4" s="1"/>
  <c r="CT18" i="4"/>
  <c r="CQ18" i="4"/>
  <c r="CN18" i="4"/>
  <c r="CK18" i="4"/>
  <c r="CH18" i="4"/>
  <c r="CE18" i="4"/>
  <c r="CB18" i="4"/>
  <c r="BY18" i="4"/>
  <c r="BV18" i="4"/>
  <c r="BS18" i="4"/>
  <c r="BP18" i="4"/>
  <c r="BM18" i="4"/>
  <c r="BJ18" i="4"/>
  <c r="BG18" i="4"/>
  <c r="BD18" i="4"/>
  <c r="AX18" i="4"/>
  <c r="AU18" i="4"/>
  <c r="AR18" i="4"/>
  <c r="AO18" i="4"/>
  <c r="AL18" i="4"/>
  <c r="AF18" i="4"/>
  <c r="AC18" i="4"/>
  <c r="Z18" i="4"/>
  <c r="W18" i="4"/>
  <c r="T18" i="4"/>
  <c r="Q18" i="4"/>
  <c r="N18" i="4"/>
  <c r="K18" i="4"/>
  <c r="H18" i="4"/>
  <c r="E18" i="4"/>
  <c r="CV17" i="4"/>
  <c r="CW17" i="4" s="1"/>
  <c r="CU17" i="4"/>
  <c r="CT17" i="4"/>
  <c r="CQ17" i="4"/>
  <c r="CN17" i="4"/>
  <c r="CK17" i="4"/>
  <c r="CH17" i="4"/>
  <c r="CE17" i="4"/>
  <c r="CB17" i="4"/>
  <c r="BY17" i="4"/>
  <c r="BV17" i="4"/>
  <c r="BS17" i="4"/>
  <c r="BP17" i="4"/>
  <c r="BM17" i="4"/>
  <c r="BJ17" i="4"/>
  <c r="BG17" i="4"/>
  <c r="BD17" i="4"/>
  <c r="BA17" i="4"/>
  <c r="AX17" i="4"/>
  <c r="AU17" i="4"/>
  <c r="AR17" i="4"/>
  <c r="AO17" i="4"/>
  <c r="AL17" i="4"/>
  <c r="AI17" i="4"/>
  <c r="AF17" i="4"/>
  <c r="AC17" i="4"/>
  <c r="Z17" i="4"/>
  <c r="W17" i="4"/>
  <c r="T17" i="4"/>
  <c r="Q17" i="4"/>
  <c r="N17" i="4"/>
  <c r="K17" i="4"/>
  <c r="H17" i="4"/>
  <c r="E17" i="4"/>
  <c r="CV16" i="4"/>
  <c r="CW16" i="4" s="1"/>
  <c r="CU16" i="4"/>
  <c r="CT16" i="4"/>
  <c r="CQ16" i="4"/>
  <c r="CN16" i="4"/>
  <c r="CK16" i="4"/>
  <c r="CH16" i="4"/>
  <c r="CE16" i="4"/>
  <c r="CB16" i="4"/>
  <c r="BY16" i="4"/>
  <c r="BV16" i="4"/>
  <c r="BS16" i="4"/>
  <c r="BP16" i="4"/>
  <c r="BM16" i="4"/>
  <c r="BJ16" i="4"/>
  <c r="BG16" i="4"/>
  <c r="BD16" i="4"/>
  <c r="BA16" i="4"/>
  <c r="AX16" i="4"/>
  <c r="AU16" i="4"/>
  <c r="AR16" i="4"/>
  <c r="AL16" i="4"/>
  <c r="AF16" i="4"/>
  <c r="AC16" i="4"/>
  <c r="Z16" i="4"/>
  <c r="T16" i="4"/>
  <c r="Q16" i="4"/>
  <c r="N16" i="4"/>
  <c r="K16" i="4"/>
  <c r="H16" i="4"/>
  <c r="E16" i="4"/>
  <c r="CV15" i="4"/>
  <c r="CW15" i="4" s="1"/>
  <c r="CU15" i="4"/>
  <c r="CT15" i="4"/>
  <c r="CQ15" i="4"/>
  <c r="CN15" i="4"/>
  <c r="CK15" i="4"/>
  <c r="CH15" i="4"/>
  <c r="CE15" i="4"/>
  <c r="CB15" i="4"/>
  <c r="BY15" i="4"/>
  <c r="BV15" i="4"/>
  <c r="BS15" i="4"/>
  <c r="BP15" i="4"/>
  <c r="BM15" i="4"/>
  <c r="BJ15" i="4"/>
  <c r="BG15" i="4"/>
  <c r="BA15" i="4"/>
  <c r="AX15" i="4"/>
  <c r="AU15" i="4"/>
  <c r="AR15" i="4"/>
  <c r="AO15" i="4"/>
  <c r="AL15" i="4"/>
  <c r="AI15" i="4"/>
  <c r="AF15" i="4"/>
  <c r="AC15" i="4"/>
  <c r="Z15" i="4"/>
  <c r="W15" i="4"/>
  <c r="T15" i="4"/>
  <c r="Q15" i="4"/>
  <c r="N15" i="4"/>
  <c r="K15" i="4"/>
  <c r="H15" i="4"/>
  <c r="E15" i="4"/>
  <c r="CV14" i="4"/>
  <c r="CW14" i="4" s="1"/>
  <c r="CU14" i="4"/>
  <c r="CT14" i="4"/>
  <c r="CQ14" i="4"/>
  <c r="CN14" i="4"/>
  <c r="CK14" i="4"/>
  <c r="CH14" i="4"/>
  <c r="CE14" i="4"/>
  <c r="CB14" i="4"/>
  <c r="BY14" i="4"/>
  <c r="BV14" i="4"/>
  <c r="BS14" i="4"/>
  <c r="BP14" i="4"/>
  <c r="BM14" i="4"/>
  <c r="BJ14" i="4"/>
  <c r="BG14" i="4"/>
  <c r="BD14" i="4"/>
  <c r="BA14" i="4"/>
  <c r="AX14" i="4"/>
  <c r="AU14" i="4"/>
  <c r="AR14" i="4"/>
  <c r="AO14" i="4"/>
  <c r="AL14" i="4"/>
  <c r="AI14" i="4"/>
  <c r="AF14" i="4"/>
  <c r="AC14" i="4"/>
  <c r="Z14" i="4"/>
  <c r="W14" i="4"/>
  <c r="T14" i="4"/>
  <c r="Q14" i="4"/>
  <c r="N14" i="4"/>
  <c r="K14" i="4"/>
  <c r="H14" i="4"/>
  <c r="E14" i="4"/>
  <c r="CV13" i="4"/>
  <c r="CU13" i="4"/>
  <c r="CT13" i="4"/>
  <c r="CQ13" i="4"/>
  <c r="CN13" i="4"/>
  <c r="CK13" i="4"/>
  <c r="CH13" i="4"/>
  <c r="CE13" i="4"/>
  <c r="CB13" i="4"/>
  <c r="BY13" i="4"/>
  <c r="BV13" i="4"/>
  <c r="BS13" i="4"/>
  <c r="BP13" i="4"/>
  <c r="BM13" i="4"/>
  <c r="BJ13" i="4"/>
  <c r="BG13" i="4"/>
  <c r="BD13" i="4"/>
  <c r="BA13" i="4"/>
  <c r="AX13" i="4"/>
  <c r="AU13" i="4"/>
  <c r="AR13" i="4"/>
  <c r="AO13" i="4"/>
  <c r="AL13" i="4"/>
  <c r="AI13" i="4"/>
  <c r="AF13" i="4"/>
  <c r="AC13" i="4"/>
  <c r="Z13" i="4"/>
  <c r="W13" i="4"/>
  <c r="T13" i="4"/>
  <c r="Q13" i="4"/>
  <c r="N13" i="4"/>
  <c r="K13" i="4"/>
  <c r="H13" i="4"/>
  <c r="E13" i="4"/>
  <c r="CV12" i="4"/>
  <c r="CW12" i="4" s="1"/>
  <c r="CU12" i="4"/>
  <c r="CT12" i="4"/>
  <c r="CQ12" i="4"/>
  <c r="CN12" i="4"/>
  <c r="CK12" i="4"/>
  <c r="CH12" i="4"/>
  <c r="CE12" i="4"/>
  <c r="CB12" i="4"/>
  <c r="BY12" i="4"/>
  <c r="BV12" i="4"/>
  <c r="BS12" i="4"/>
  <c r="BP12" i="4"/>
  <c r="BJ12" i="4"/>
  <c r="AX12" i="4"/>
  <c r="AU12" i="4"/>
  <c r="AO12" i="4"/>
  <c r="AL12" i="4"/>
  <c r="AF12" i="4"/>
  <c r="T12" i="4"/>
  <c r="E12" i="4"/>
  <c r="CV11" i="4"/>
  <c r="CW11" i="4" s="1"/>
  <c r="CU11" i="4"/>
  <c r="CT11" i="4"/>
  <c r="CQ11" i="4"/>
  <c r="CN11" i="4"/>
  <c r="CK11" i="4"/>
  <c r="CH11" i="4"/>
  <c r="CE11" i="4"/>
  <c r="CB11" i="4"/>
  <c r="BY11" i="4"/>
  <c r="BV11" i="4"/>
  <c r="BS11" i="4"/>
  <c r="BP11" i="4"/>
  <c r="BM11" i="4"/>
  <c r="BJ11" i="4"/>
  <c r="BG11" i="4"/>
  <c r="BD11" i="4"/>
  <c r="BA11" i="4"/>
  <c r="AX11" i="4"/>
  <c r="AU11" i="4"/>
  <c r="AR11" i="4"/>
  <c r="AO11" i="4"/>
  <c r="AL11" i="4"/>
  <c r="AI11" i="4"/>
  <c r="AF11" i="4"/>
  <c r="AC11" i="4"/>
  <c r="Z11" i="4"/>
  <c r="W11" i="4"/>
  <c r="T11" i="4"/>
  <c r="Q11" i="4"/>
  <c r="N11" i="4"/>
  <c r="K11" i="4"/>
  <c r="H11" i="4"/>
  <c r="E11" i="4"/>
  <c r="CV10" i="4"/>
  <c r="CU10" i="4"/>
  <c r="CW10" i="4" s="1"/>
  <c r="CT10" i="4"/>
  <c r="CQ10" i="4"/>
  <c r="CN10" i="4"/>
  <c r="CK10" i="4"/>
  <c r="CH10" i="4"/>
  <c r="CE10" i="4"/>
  <c r="CB10" i="4"/>
  <c r="BY10" i="4"/>
  <c r="BV10" i="4"/>
  <c r="BS10" i="4"/>
  <c r="BP10" i="4"/>
  <c r="BM10" i="4"/>
  <c r="BJ10" i="4"/>
  <c r="BG10" i="4"/>
  <c r="BD10" i="4"/>
  <c r="BA10" i="4"/>
  <c r="AX10" i="4"/>
  <c r="AU10" i="4"/>
  <c r="AR10" i="4"/>
  <c r="AO10" i="4"/>
  <c r="AL10" i="4"/>
  <c r="AI10" i="4"/>
  <c r="AC10" i="4"/>
  <c r="Z10" i="4"/>
  <c r="W10" i="4"/>
  <c r="T10" i="4"/>
  <c r="Q10" i="4"/>
  <c r="N10" i="4"/>
  <c r="K10" i="4"/>
  <c r="H10" i="4"/>
  <c r="E10" i="4"/>
  <c r="CV9" i="4"/>
  <c r="CW9" i="4" s="1"/>
  <c r="CU9" i="4"/>
  <c r="CT9" i="4"/>
  <c r="CQ9" i="4"/>
  <c r="CN9" i="4"/>
  <c r="CK9" i="4"/>
  <c r="CH9" i="4"/>
  <c r="CE9" i="4"/>
  <c r="CB9" i="4"/>
  <c r="BY9" i="4"/>
  <c r="BV9" i="4"/>
  <c r="BS9" i="4"/>
  <c r="BP9" i="4"/>
  <c r="BM9" i="4"/>
  <c r="BJ9" i="4"/>
  <c r="BG9" i="4"/>
  <c r="BD9" i="4"/>
  <c r="BA9" i="4"/>
  <c r="AX9" i="4"/>
  <c r="AU9" i="4"/>
  <c r="AR9" i="4"/>
  <c r="AO9" i="4"/>
  <c r="AL9" i="4"/>
  <c r="AI9" i="4"/>
  <c r="AF9" i="4"/>
  <c r="AC9" i="4"/>
  <c r="Z9" i="4"/>
  <c r="W9" i="4"/>
  <c r="T9" i="4"/>
  <c r="Q9" i="4"/>
  <c r="N9" i="4"/>
  <c r="K9" i="4"/>
  <c r="H9" i="4"/>
  <c r="E9" i="4"/>
  <c r="CV8" i="4"/>
  <c r="CW8" i="4" s="1"/>
  <c r="CU8" i="4"/>
  <c r="CT8" i="4"/>
  <c r="CQ8" i="4"/>
  <c r="CN8" i="4"/>
  <c r="CK8" i="4"/>
  <c r="CH8" i="4"/>
  <c r="CE8" i="4"/>
  <c r="CB8" i="4"/>
  <c r="BY8" i="4"/>
  <c r="BV8" i="4"/>
  <c r="BS8" i="4"/>
  <c r="BP8" i="4"/>
  <c r="BM8" i="4"/>
  <c r="BJ8" i="4"/>
  <c r="BG8" i="4"/>
  <c r="BD8" i="4"/>
  <c r="AX8" i="4"/>
  <c r="AU8" i="4"/>
  <c r="AR8" i="4"/>
  <c r="AO8" i="4"/>
  <c r="AL8" i="4"/>
  <c r="AF8" i="4"/>
  <c r="AC8" i="4"/>
  <c r="Z8" i="4"/>
  <c r="W8" i="4"/>
  <c r="T8" i="4"/>
  <c r="Q8" i="4"/>
  <c r="N8" i="4"/>
  <c r="K8" i="4"/>
  <c r="H8" i="4"/>
  <c r="E8" i="4"/>
  <c r="CW7" i="4"/>
  <c r="CV7" i="4"/>
  <c r="CU7" i="4"/>
  <c r="CT7" i="4"/>
  <c r="CQ7" i="4"/>
  <c r="CN7" i="4"/>
  <c r="CH7" i="4"/>
  <c r="CE7" i="4"/>
  <c r="CB7" i="4"/>
  <c r="BY7" i="4"/>
  <c r="BV7" i="4"/>
  <c r="BS7" i="4"/>
  <c r="BP7" i="4"/>
  <c r="BM7" i="4"/>
  <c r="BJ7" i="4"/>
  <c r="BG7" i="4"/>
  <c r="BD7" i="4"/>
  <c r="AX7" i="4"/>
  <c r="AR7" i="4"/>
  <c r="AO7" i="4"/>
  <c r="AL7" i="4"/>
  <c r="AI7" i="4"/>
  <c r="AC7" i="4"/>
  <c r="Z7" i="4"/>
  <c r="W7" i="4"/>
  <c r="T7" i="4"/>
  <c r="Q7" i="4"/>
  <c r="N7" i="4"/>
  <c r="K7" i="4"/>
  <c r="H7" i="4"/>
  <c r="E7" i="4"/>
  <c r="CV6" i="4"/>
  <c r="CW6" i="4" s="1"/>
  <c r="CU6" i="4"/>
  <c r="CT6" i="4"/>
  <c r="CQ6" i="4"/>
  <c r="CN6" i="4"/>
  <c r="CK6" i="4"/>
  <c r="CH6" i="4"/>
  <c r="CE6" i="4"/>
  <c r="CB6" i="4"/>
  <c r="BY6" i="4"/>
  <c r="BV6" i="4"/>
  <c r="BS6" i="4"/>
  <c r="BP6" i="4"/>
  <c r="BM6" i="4"/>
  <c r="BJ6" i="4"/>
  <c r="BG6" i="4"/>
  <c r="BD6" i="4"/>
  <c r="AX6" i="4"/>
  <c r="AU6" i="4"/>
  <c r="AR6" i="4"/>
  <c r="AO6" i="4"/>
  <c r="AL6" i="4"/>
  <c r="AI6" i="4"/>
  <c r="AF6" i="4"/>
  <c r="AC6" i="4"/>
  <c r="Z6" i="4"/>
  <c r="W6" i="4"/>
  <c r="T6" i="4"/>
  <c r="Q6" i="4"/>
  <c r="N6" i="4"/>
  <c r="K6" i="4"/>
  <c r="H6" i="4"/>
  <c r="E6" i="4"/>
  <c r="CV5" i="4"/>
  <c r="CW5" i="4" s="1"/>
  <c r="CU5" i="4"/>
  <c r="CT5" i="4"/>
  <c r="CQ5" i="4"/>
  <c r="CN5" i="4"/>
  <c r="CK5" i="4"/>
  <c r="CH5" i="4"/>
  <c r="CE5" i="4"/>
  <c r="CB5" i="4"/>
  <c r="BY5" i="4"/>
  <c r="BV5" i="4"/>
  <c r="BS5" i="4"/>
  <c r="BP5" i="4"/>
  <c r="BM5" i="4"/>
  <c r="BG5" i="4"/>
  <c r="BD5" i="4"/>
  <c r="BA5" i="4"/>
  <c r="AX5" i="4"/>
  <c r="AU5" i="4"/>
  <c r="AR5" i="4"/>
  <c r="AO5" i="4"/>
  <c r="AL5" i="4"/>
  <c r="AF5" i="4"/>
  <c r="AC5" i="4"/>
  <c r="Z5" i="4"/>
  <c r="W5" i="4"/>
  <c r="T5" i="4"/>
  <c r="Q5" i="4"/>
  <c r="N5" i="4"/>
  <c r="K5" i="4"/>
  <c r="H5" i="4"/>
  <c r="E5" i="4"/>
  <c r="CV4" i="4"/>
  <c r="CU4" i="4"/>
  <c r="CW4" i="4" s="1"/>
  <c r="CT4" i="4"/>
  <c r="CQ4" i="4"/>
  <c r="CN4" i="4"/>
  <c r="CK4" i="4"/>
  <c r="CH4" i="4"/>
  <c r="CE4" i="4"/>
  <c r="CB4" i="4"/>
  <c r="BY4" i="4"/>
  <c r="BV4" i="4"/>
  <c r="BS4" i="4"/>
  <c r="BP4" i="4"/>
  <c r="BM4" i="4"/>
  <c r="BJ4" i="4"/>
  <c r="BG4" i="4"/>
  <c r="BD4" i="4"/>
  <c r="BA4" i="4"/>
  <c r="AU4" i="4"/>
  <c r="AR4" i="4"/>
  <c r="AO4" i="4"/>
  <c r="AL4" i="4"/>
  <c r="AI4" i="4"/>
  <c r="AF4" i="4"/>
  <c r="AC4" i="4"/>
  <c r="Z4" i="4"/>
  <c r="W4" i="4"/>
  <c r="T4" i="4"/>
  <c r="Q4" i="4"/>
  <c r="N4" i="4"/>
  <c r="K4" i="4"/>
  <c r="H4" i="4"/>
  <c r="E4" i="4"/>
  <c r="CV3" i="4"/>
  <c r="CW3" i="4" s="1"/>
  <c r="CU3" i="4"/>
  <c r="CT3" i="4"/>
  <c r="CQ3" i="4"/>
  <c r="CN3" i="4"/>
  <c r="CK3" i="4"/>
  <c r="CH3" i="4"/>
  <c r="CE3" i="4"/>
  <c r="CB3" i="4"/>
  <c r="BY3" i="4"/>
  <c r="BV3" i="4"/>
  <c r="BS3" i="4"/>
  <c r="BP3" i="4"/>
  <c r="BM3" i="4"/>
  <c r="BJ3" i="4"/>
  <c r="BG3" i="4"/>
  <c r="BD3" i="4"/>
  <c r="BA3" i="4"/>
  <c r="AU3" i="4"/>
  <c r="AR3" i="4"/>
  <c r="AO3" i="4"/>
  <c r="AL3" i="4"/>
  <c r="AC3" i="4"/>
  <c r="Z3" i="4"/>
  <c r="W3" i="4"/>
  <c r="T3" i="4"/>
  <c r="Q3" i="4"/>
  <c r="N3" i="4"/>
  <c r="K3" i="4"/>
  <c r="H3" i="4"/>
  <c r="E3" i="4"/>
  <c r="CV55" i="3"/>
  <c r="CW55" i="3" s="1"/>
  <c r="CU55" i="3"/>
  <c r="CT55" i="3"/>
  <c r="CQ55" i="3"/>
  <c r="CN55" i="3"/>
  <c r="CK55" i="3"/>
  <c r="CH55" i="3"/>
  <c r="CE55" i="3"/>
  <c r="CB55" i="3"/>
  <c r="BY55" i="3"/>
  <c r="BV55" i="3"/>
  <c r="BS55" i="3"/>
  <c r="BP55" i="3"/>
  <c r="BL55" i="3"/>
  <c r="AU55" i="3"/>
  <c r="AR55" i="3"/>
  <c r="AO55" i="3"/>
  <c r="AI55" i="3"/>
  <c r="AF55" i="3"/>
  <c r="AC55" i="3"/>
  <c r="Z55" i="3"/>
  <c r="W55" i="3"/>
  <c r="T55" i="3"/>
  <c r="N55" i="3"/>
  <c r="K55" i="3"/>
  <c r="H55" i="3"/>
  <c r="E55" i="3"/>
  <c r="CW54" i="3"/>
  <c r="CV54" i="3"/>
  <c r="CU54" i="3"/>
  <c r="CT54" i="3"/>
  <c r="CQ54" i="3"/>
  <c r="CN54" i="3"/>
  <c r="CK54" i="3"/>
  <c r="CH54" i="3"/>
  <c r="CE54" i="3"/>
  <c r="CB54" i="3"/>
  <c r="BY54" i="3"/>
  <c r="BV54" i="3"/>
  <c r="BS54" i="3"/>
  <c r="BP54" i="3"/>
  <c r="BM54" i="3"/>
  <c r="BJ54" i="3"/>
  <c r="BG54" i="3"/>
  <c r="BD54" i="3"/>
  <c r="BA54" i="3"/>
  <c r="AX54" i="3"/>
  <c r="AU54" i="3"/>
  <c r="AR54" i="3"/>
  <c r="AO54" i="3"/>
  <c r="AL54" i="3"/>
  <c r="AI54" i="3"/>
  <c r="AF54" i="3"/>
  <c r="AC54" i="3"/>
  <c r="Z54" i="3"/>
  <c r="W54" i="3"/>
  <c r="T54" i="3"/>
  <c r="Q54" i="3"/>
  <c r="N54" i="3"/>
  <c r="K54" i="3"/>
  <c r="H54" i="3"/>
  <c r="E54" i="3"/>
  <c r="CV53" i="3"/>
  <c r="CU53" i="3"/>
  <c r="CW53" i="3" s="1"/>
  <c r="CT53" i="3"/>
  <c r="CQ53" i="3"/>
  <c r="CN53" i="3"/>
  <c r="CK53" i="3"/>
  <c r="CH53" i="3"/>
  <c r="CE53" i="3"/>
  <c r="CB53" i="3"/>
  <c r="BY53" i="3"/>
  <c r="BV53" i="3"/>
  <c r="BS53" i="3"/>
  <c r="BP53" i="3"/>
  <c r="BM53" i="3"/>
  <c r="BG53" i="3"/>
  <c r="BD53" i="3"/>
  <c r="BA53" i="3"/>
  <c r="AX53" i="3"/>
  <c r="AU53" i="3"/>
  <c r="AR53" i="3"/>
  <c r="AO53" i="3"/>
  <c r="AL53" i="3"/>
  <c r="AI53" i="3"/>
  <c r="AF53" i="3"/>
  <c r="AC53" i="3"/>
  <c r="Z53" i="3"/>
  <c r="W53" i="3"/>
  <c r="T53" i="3"/>
  <c r="Q53" i="3"/>
  <c r="N53" i="3"/>
  <c r="K53" i="3"/>
  <c r="H53" i="3"/>
  <c r="E53" i="3"/>
  <c r="CV52" i="3"/>
  <c r="CU52" i="3"/>
  <c r="CW52" i="3" s="1"/>
  <c r="CT52" i="3"/>
  <c r="CQ52" i="3"/>
  <c r="CN52" i="3"/>
  <c r="CK52" i="3"/>
  <c r="CH52" i="3"/>
  <c r="CE52" i="3"/>
  <c r="CB52" i="3"/>
  <c r="BY52" i="3"/>
  <c r="BV52" i="3"/>
  <c r="BS52" i="3"/>
  <c r="BP52" i="3"/>
  <c r="BM52" i="3"/>
  <c r="BJ52" i="3"/>
  <c r="BG52" i="3"/>
  <c r="BD52" i="3"/>
  <c r="BA52" i="3"/>
  <c r="AX52" i="3"/>
  <c r="AU52" i="3"/>
  <c r="AR52" i="3"/>
  <c r="AO52" i="3"/>
  <c r="AL52" i="3"/>
  <c r="AI52" i="3"/>
  <c r="AF52" i="3"/>
  <c r="AC52" i="3"/>
  <c r="Z52" i="3"/>
  <c r="W52" i="3"/>
  <c r="T52" i="3"/>
  <c r="Q52" i="3"/>
  <c r="N52" i="3"/>
  <c r="K52" i="3"/>
  <c r="H52" i="3"/>
  <c r="E52" i="3"/>
  <c r="CW51" i="3"/>
  <c r="CV51" i="3"/>
  <c r="CU51" i="3"/>
  <c r="CT51" i="3"/>
  <c r="CQ51" i="3"/>
  <c r="CN51" i="3"/>
  <c r="CK51" i="3"/>
  <c r="CH51" i="3"/>
  <c r="CE51" i="3"/>
  <c r="CB51" i="3"/>
  <c r="BY51" i="3"/>
  <c r="BV51" i="3"/>
  <c r="BS51" i="3"/>
  <c r="BP51" i="3"/>
  <c r="BM51" i="3"/>
  <c r="BJ51" i="3"/>
  <c r="BG51" i="3"/>
  <c r="BD51" i="3"/>
  <c r="BA51" i="3"/>
  <c r="AX51" i="3"/>
  <c r="AU51" i="3"/>
  <c r="AR51" i="3"/>
  <c r="AO51" i="3"/>
  <c r="AL51" i="3"/>
  <c r="AI51" i="3"/>
  <c r="AF51" i="3"/>
  <c r="AC51" i="3"/>
  <c r="Z51" i="3"/>
  <c r="W51" i="3"/>
  <c r="T51" i="3"/>
  <c r="Q51" i="3"/>
  <c r="N51" i="3"/>
  <c r="K51" i="3"/>
  <c r="H51" i="3"/>
  <c r="E51" i="3"/>
  <c r="CV50" i="3"/>
  <c r="CU50" i="3"/>
  <c r="CW50" i="3" s="1"/>
  <c r="CT50" i="3"/>
  <c r="CQ50" i="3"/>
  <c r="CN50" i="3"/>
  <c r="CK50" i="3"/>
  <c r="CH50" i="3"/>
  <c r="CE50" i="3"/>
  <c r="CB50" i="3"/>
  <c r="BY50" i="3"/>
  <c r="BV50" i="3"/>
  <c r="BS50" i="3"/>
  <c r="BP50" i="3"/>
  <c r="BM50" i="3"/>
  <c r="BJ50" i="3"/>
  <c r="BG50" i="3"/>
  <c r="BD50" i="3"/>
  <c r="BA50" i="3"/>
  <c r="AX50" i="3"/>
  <c r="AU50" i="3"/>
  <c r="AR50" i="3"/>
  <c r="AO50" i="3"/>
  <c r="AL50" i="3"/>
  <c r="AI50" i="3"/>
  <c r="AF50" i="3"/>
  <c r="AC50" i="3"/>
  <c r="Z50" i="3"/>
  <c r="W50" i="3"/>
  <c r="T50" i="3"/>
  <c r="Q50" i="3"/>
  <c r="N50" i="3"/>
  <c r="K50" i="3"/>
  <c r="H50" i="3"/>
  <c r="E50" i="3"/>
  <c r="CV49" i="3"/>
  <c r="CU49" i="3"/>
  <c r="CW49" i="3" s="1"/>
  <c r="CT49" i="3"/>
  <c r="CQ49" i="3"/>
  <c r="CN49" i="3"/>
  <c r="CK49" i="3"/>
  <c r="CH49" i="3"/>
  <c r="CE49" i="3"/>
  <c r="CB49" i="3"/>
  <c r="BY49" i="3"/>
  <c r="BV49" i="3"/>
  <c r="BS49" i="3"/>
  <c r="BP49" i="3"/>
  <c r="BM49" i="3"/>
  <c r="BJ49" i="3"/>
  <c r="BG49" i="3"/>
  <c r="BD49" i="3"/>
  <c r="BA49" i="3"/>
  <c r="AX49" i="3"/>
  <c r="AU49" i="3"/>
  <c r="AR49" i="3"/>
  <c r="AO49" i="3"/>
  <c r="AL49" i="3"/>
  <c r="AI49" i="3"/>
  <c r="AF49" i="3"/>
  <c r="AC49" i="3"/>
  <c r="Z49" i="3"/>
  <c r="W49" i="3"/>
  <c r="T49" i="3"/>
  <c r="Q49" i="3"/>
  <c r="N49" i="3"/>
  <c r="K49" i="3"/>
  <c r="H49" i="3"/>
  <c r="E49" i="3"/>
  <c r="CV48" i="3"/>
  <c r="CW48" i="3" s="1"/>
  <c r="CU48" i="3"/>
  <c r="CT48" i="3"/>
  <c r="CQ48" i="3"/>
  <c r="CN48" i="3"/>
  <c r="CK48" i="3"/>
  <c r="CH48" i="3"/>
  <c r="CE48" i="3"/>
  <c r="CB48" i="3"/>
  <c r="BV48" i="3"/>
  <c r="BS48" i="3"/>
  <c r="BP48" i="3"/>
  <c r="BM48" i="3"/>
  <c r="BJ48" i="3"/>
  <c r="BG48" i="3"/>
  <c r="BD48" i="3"/>
  <c r="BA48" i="3"/>
  <c r="AX48" i="3"/>
  <c r="AU48" i="3"/>
  <c r="AR48" i="3"/>
  <c r="AO48" i="3"/>
  <c r="AL48" i="3"/>
  <c r="AI48" i="3"/>
  <c r="AF48" i="3"/>
  <c r="AC48" i="3"/>
  <c r="Z48" i="3"/>
  <c r="W48" i="3"/>
  <c r="T48" i="3"/>
  <c r="Q48" i="3"/>
  <c r="N48" i="3"/>
  <c r="K48" i="3"/>
  <c r="H48" i="3"/>
  <c r="E48" i="3"/>
  <c r="CV47" i="3"/>
  <c r="CU47" i="3"/>
  <c r="CW47" i="3" s="1"/>
  <c r="CT47" i="3"/>
  <c r="CQ47" i="3"/>
  <c r="CN47" i="3"/>
  <c r="CK47" i="3"/>
  <c r="CH47" i="3"/>
  <c r="CE47" i="3"/>
  <c r="CB47" i="3"/>
  <c r="BY47" i="3"/>
  <c r="BV47" i="3"/>
  <c r="BS47" i="3"/>
  <c r="BP47" i="3"/>
  <c r="BM47" i="3"/>
  <c r="BJ47" i="3"/>
  <c r="BG47" i="3"/>
  <c r="BD47" i="3"/>
  <c r="BA47" i="3"/>
  <c r="AX47" i="3"/>
  <c r="AU47" i="3"/>
  <c r="AR47" i="3"/>
  <c r="AO47" i="3"/>
  <c r="AL47" i="3"/>
  <c r="AI47" i="3"/>
  <c r="AF47" i="3"/>
  <c r="AC47" i="3"/>
  <c r="Z47" i="3"/>
  <c r="W47" i="3"/>
  <c r="T47" i="3"/>
  <c r="Q47" i="3"/>
  <c r="N47" i="3"/>
  <c r="K47" i="3"/>
  <c r="H47" i="3"/>
  <c r="E47" i="3"/>
  <c r="CV46" i="3"/>
  <c r="CU46" i="3"/>
  <c r="CW46" i="3" s="1"/>
  <c r="CT46" i="3"/>
  <c r="CQ46" i="3"/>
  <c r="CN46" i="3"/>
  <c r="CK46" i="3"/>
  <c r="CH46" i="3"/>
  <c r="CE46" i="3"/>
  <c r="CB46" i="3"/>
  <c r="BY46" i="3"/>
  <c r="BV46" i="3"/>
  <c r="BS46" i="3"/>
  <c r="BP46" i="3"/>
  <c r="BM46" i="3"/>
  <c r="BJ46" i="3"/>
  <c r="BG46" i="3"/>
  <c r="BD46" i="3"/>
  <c r="AX46" i="3"/>
  <c r="AU46" i="3"/>
  <c r="AR46" i="3"/>
  <c r="AO46" i="3"/>
  <c r="AL46" i="3"/>
  <c r="AI46" i="3"/>
  <c r="W46" i="3"/>
  <c r="T46" i="3"/>
  <c r="Q46" i="3"/>
  <c r="N46" i="3"/>
  <c r="K46" i="3"/>
  <c r="E46" i="3"/>
  <c r="CV45" i="3"/>
  <c r="CW45" i="3" s="1"/>
  <c r="CU45" i="3"/>
  <c r="CT45" i="3"/>
  <c r="CQ45" i="3"/>
  <c r="CN45" i="3"/>
  <c r="CK45" i="3"/>
  <c r="CH45" i="3"/>
  <c r="CE45" i="3"/>
  <c r="CB45" i="3"/>
  <c r="BY45" i="3"/>
  <c r="BV45" i="3"/>
  <c r="BS45" i="3"/>
  <c r="BP45" i="3"/>
  <c r="BM45" i="3"/>
  <c r="BJ45" i="3"/>
  <c r="BG45" i="3"/>
  <c r="BD45" i="3"/>
  <c r="BA45" i="3"/>
  <c r="AX45" i="3"/>
  <c r="AU45" i="3"/>
  <c r="AO45" i="3"/>
  <c r="AL45" i="3"/>
  <c r="AI45" i="3"/>
  <c r="AF45" i="3"/>
  <c r="AC45" i="3"/>
  <c r="Z45" i="3"/>
  <c r="W45" i="3"/>
  <c r="T45" i="3"/>
  <c r="Q45" i="3"/>
  <c r="N45" i="3"/>
  <c r="K45" i="3"/>
  <c r="E45" i="3"/>
  <c r="CV44" i="3"/>
  <c r="CU44" i="3"/>
  <c r="CW44" i="3" s="1"/>
  <c r="CT44" i="3"/>
  <c r="CQ44" i="3"/>
  <c r="CN44" i="3"/>
  <c r="CK44" i="3"/>
  <c r="CH44" i="3"/>
  <c r="CE44" i="3"/>
  <c r="CB44" i="3"/>
  <c r="BY44" i="3"/>
  <c r="BV44" i="3"/>
  <c r="BS44" i="3"/>
  <c r="BP44" i="3"/>
  <c r="BM44" i="3"/>
  <c r="BJ44" i="3"/>
  <c r="BG44" i="3"/>
  <c r="BD44" i="3"/>
  <c r="BA44" i="3"/>
  <c r="AX44" i="3"/>
  <c r="AU44" i="3"/>
  <c r="AR44" i="3"/>
  <c r="AO44" i="3"/>
  <c r="AL44" i="3"/>
  <c r="AI44" i="3"/>
  <c r="AF44" i="3"/>
  <c r="AC44" i="3"/>
  <c r="Z44" i="3"/>
  <c r="W44" i="3"/>
  <c r="T44" i="3"/>
  <c r="Q44" i="3"/>
  <c r="N44" i="3"/>
  <c r="K44" i="3"/>
  <c r="H44" i="3"/>
  <c r="E44" i="3"/>
  <c r="CW43" i="3"/>
  <c r="CV43" i="3"/>
  <c r="CU43" i="3"/>
  <c r="CT43" i="3"/>
  <c r="CQ43" i="3"/>
  <c r="CN43" i="3"/>
  <c r="CK43" i="3"/>
  <c r="CH43" i="3"/>
  <c r="CE43" i="3"/>
  <c r="CB43" i="3"/>
  <c r="BY43" i="3"/>
  <c r="BV43" i="3"/>
  <c r="BS43" i="3"/>
  <c r="BP43" i="3"/>
  <c r="BM43" i="3"/>
  <c r="BJ43" i="3"/>
  <c r="BG43" i="3"/>
  <c r="BD43" i="3"/>
  <c r="BA43" i="3"/>
  <c r="AX43" i="3"/>
  <c r="AU43" i="3"/>
  <c r="AR43" i="3"/>
  <c r="AO43" i="3"/>
  <c r="AL43" i="3"/>
  <c r="AI43" i="3"/>
  <c r="AF43" i="3"/>
  <c r="AC43" i="3"/>
  <c r="Z43" i="3"/>
  <c r="W43" i="3"/>
  <c r="T43" i="3"/>
  <c r="Q43" i="3"/>
  <c r="N43" i="3"/>
  <c r="K43" i="3"/>
  <c r="H43" i="3"/>
  <c r="E43" i="3"/>
  <c r="CV42" i="3"/>
  <c r="CU42" i="3"/>
  <c r="CW42" i="3" s="1"/>
  <c r="CT42" i="3"/>
  <c r="CQ42" i="3"/>
  <c r="CN42" i="3"/>
  <c r="CK42" i="3"/>
  <c r="CH42" i="3"/>
  <c r="CE42" i="3"/>
  <c r="CB42" i="3"/>
  <c r="BY42" i="3"/>
  <c r="BV42" i="3"/>
  <c r="BS42" i="3"/>
  <c r="BP42" i="3"/>
  <c r="BM42" i="3"/>
  <c r="BJ42" i="3"/>
  <c r="BG42" i="3"/>
  <c r="BD42" i="3"/>
  <c r="BA42" i="3"/>
  <c r="AX42" i="3"/>
  <c r="AU42" i="3"/>
  <c r="AR42" i="3"/>
  <c r="AO42" i="3"/>
  <c r="AL42" i="3"/>
  <c r="AI42" i="3"/>
  <c r="AF42" i="3"/>
  <c r="AC42" i="3"/>
  <c r="Z42" i="3"/>
  <c r="W42" i="3"/>
  <c r="T42" i="3"/>
  <c r="Q42" i="3"/>
  <c r="N42" i="3"/>
  <c r="K42" i="3"/>
  <c r="H42" i="3"/>
  <c r="E42" i="3"/>
  <c r="CV41" i="3"/>
  <c r="CU41" i="3"/>
  <c r="CT41" i="3"/>
  <c r="CQ41" i="3"/>
  <c r="CN41" i="3"/>
  <c r="CK41" i="3"/>
  <c r="CH41" i="3"/>
  <c r="CE41" i="3"/>
  <c r="CB41" i="3"/>
  <c r="BY41" i="3"/>
  <c r="BV41" i="3"/>
  <c r="BS41" i="3"/>
  <c r="BP41" i="3"/>
  <c r="BM41" i="3"/>
  <c r="BJ41" i="3"/>
  <c r="BG41" i="3"/>
  <c r="BD41" i="3"/>
  <c r="AX41" i="3"/>
  <c r="AU41" i="3"/>
  <c r="AR41" i="3"/>
  <c r="AO41" i="3"/>
  <c r="AL41" i="3"/>
  <c r="AI41" i="3"/>
  <c r="AF41" i="3"/>
  <c r="AC41" i="3"/>
  <c r="Z41" i="3"/>
  <c r="W41" i="3"/>
  <c r="T41" i="3"/>
  <c r="Q41" i="3"/>
  <c r="N41" i="3"/>
  <c r="K41" i="3"/>
  <c r="H41" i="3"/>
  <c r="E41" i="3"/>
  <c r="CW40" i="3"/>
  <c r="CV40" i="3"/>
  <c r="CU40" i="3"/>
  <c r="CT40" i="3"/>
  <c r="CQ40" i="3"/>
  <c r="CN40" i="3"/>
  <c r="CK40" i="3"/>
  <c r="CH40" i="3"/>
  <c r="CE40" i="3"/>
  <c r="CB40" i="3"/>
  <c r="BY40" i="3"/>
  <c r="BV40" i="3"/>
  <c r="BS40" i="3"/>
  <c r="BP40" i="3"/>
  <c r="BM40" i="3"/>
  <c r="BJ40" i="3"/>
  <c r="BG40" i="3"/>
  <c r="BD40" i="3"/>
  <c r="BA40" i="3"/>
  <c r="AX40" i="3"/>
  <c r="AU40" i="3"/>
  <c r="AR40" i="3"/>
  <c r="AO40" i="3"/>
  <c r="AL40" i="3"/>
  <c r="AI40" i="3"/>
  <c r="AF40" i="3"/>
  <c r="AC40" i="3"/>
  <c r="Z40" i="3"/>
  <c r="W40" i="3"/>
  <c r="T40" i="3"/>
  <c r="Q40" i="3"/>
  <c r="N40" i="3"/>
  <c r="K40" i="3"/>
  <c r="H40" i="3"/>
  <c r="E40" i="3"/>
  <c r="CV39" i="3"/>
  <c r="CU39" i="3"/>
  <c r="CW39" i="3" s="1"/>
  <c r="CT39" i="3"/>
  <c r="CQ39" i="3"/>
  <c r="CN39" i="3"/>
  <c r="CK39" i="3"/>
  <c r="CH39" i="3"/>
  <c r="CE39" i="3"/>
  <c r="CB39" i="3"/>
  <c r="BY39" i="3"/>
  <c r="BV39" i="3"/>
  <c r="BS39" i="3"/>
  <c r="BP39" i="3"/>
  <c r="BJ39" i="3"/>
  <c r="BG39" i="3"/>
  <c r="BD39" i="3"/>
  <c r="BA39" i="3"/>
  <c r="AX39" i="3"/>
  <c r="AU39" i="3"/>
  <c r="AR39" i="3"/>
  <c r="AO39" i="3"/>
  <c r="AL39" i="3"/>
  <c r="AI39" i="3"/>
  <c r="AF39" i="3"/>
  <c r="AC39" i="3"/>
  <c r="Z39" i="3"/>
  <c r="W39" i="3"/>
  <c r="T39" i="3"/>
  <c r="Q39" i="3"/>
  <c r="N39" i="3"/>
  <c r="K39" i="3"/>
  <c r="H39" i="3"/>
  <c r="E39" i="3"/>
  <c r="CV38" i="3"/>
  <c r="CU38" i="3"/>
  <c r="CW38" i="3" s="1"/>
  <c r="CT38" i="3"/>
  <c r="CQ38" i="3"/>
  <c r="CN38" i="3"/>
  <c r="CK38" i="3"/>
  <c r="CH38" i="3"/>
  <c r="CE38" i="3"/>
  <c r="CB38" i="3"/>
  <c r="BY38" i="3"/>
  <c r="BV38" i="3"/>
  <c r="BS38" i="3"/>
  <c r="BP38" i="3"/>
  <c r="BM38" i="3"/>
  <c r="BJ38" i="3"/>
  <c r="BG38" i="3"/>
  <c r="BD38" i="3"/>
  <c r="BA38" i="3"/>
  <c r="AX38" i="3"/>
  <c r="AU38" i="3"/>
  <c r="AR38" i="3"/>
  <c r="AO38" i="3"/>
  <c r="AL38" i="3"/>
  <c r="AF38" i="3"/>
  <c r="AC38" i="3"/>
  <c r="Z38" i="3"/>
  <c r="W38" i="3"/>
  <c r="T38" i="3"/>
  <c r="Q38" i="3"/>
  <c r="N38" i="3"/>
  <c r="K38" i="3"/>
  <c r="H38" i="3"/>
  <c r="E38" i="3"/>
  <c r="CW37" i="3"/>
  <c r="CV37" i="3"/>
  <c r="CU37" i="3"/>
  <c r="CT37" i="3"/>
  <c r="CQ37" i="3"/>
  <c r="CN37" i="3"/>
  <c r="CK37" i="3"/>
  <c r="CH37" i="3"/>
  <c r="CE37" i="3"/>
  <c r="CB37" i="3"/>
  <c r="BY37" i="3"/>
  <c r="BV37" i="3"/>
  <c r="BS37" i="3"/>
  <c r="BP37" i="3"/>
  <c r="BM37" i="3"/>
  <c r="BJ37" i="3"/>
  <c r="BG37" i="3"/>
  <c r="BD37" i="3"/>
  <c r="BA37" i="3"/>
  <c r="AX37" i="3"/>
  <c r="AU37" i="3"/>
  <c r="AR37" i="3"/>
  <c r="AO37" i="3"/>
  <c r="AL37" i="3"/>
  <c r="AI37" i="3"/>
  <c r="AF37" i="3"/>
  <c r="AC37" i="3"/>
  <c r="Z37" i="3"/>
  <c r="W37" i="3"/>
  <c r="T37" i="3"/>
  <c r="Q37" i="3"/>
  <c r="N37" i="3"/>
  <c r="K37" i="3"/>
  <c r="H37" i="3"/>
  <c r="E37" i="3"/>
  <c r="CV36" i="3"/>
  <c r="CU36" i="3"/>
  <c r="CW36" i="3" s="1"/>
  <c r="CT36" i="3"/>
  <c r="CQ36" i="3"/>
  <c r="CN36" i="3"/>
  <c r="CK36" i="3"/>
  <c r="CH36" i="3"/>
  <c r="CE36" i="3"/>
  <c r="CB36" i="3"/>
  <c r="BY36" i="3"/>
  <c r="BV36" i="3"/>
  <c r="BS36" i="3"/>
  <c r="BP36" i="3"/>
  <c r="BM36" i="3"/>
  <c r="BJ36" i="3"/>
  <c r="BD36" i="3"/>
  <c r="BA36" i="3"/>
  <c r="AX36" i="3"/>
  <c r="AU36" i="3"/>
  <c r="AR36" i="3"/>
  <c r="AO36" i="3"/>
  <c r="AL36" i="3"/>
  <c r="AI36" i="3"/>
  <c r="AF36" i="3"/>
  <c r="AC36" i="3"/>
  <c r="Z36" i="3"/>
  <c r="W36" i="3"/>
  <c r="T36" i="3"/>
  <c r="N36" i="3"/>
  <c r="K36" i="3"/>
  <c r="H36" i="3"/>
  <c r="E36" i="3"/>
  <c r="CV35" i="3"/>
  <c r="CU35" i="3"/>
  <c r="CW35" i="3" s="1"/>
  <c r="CT35" i="3"/>
  <c r="CQ35" i="3"/>
  <c r="CN35" i="3"/>
  <c r="CK35" i="3"/>
  <c r="CH35" i="3"/>
  <c r="CE35" i="3"/>
  <c r="CB35" i="3"/>
  <c r="BY35" i="3"/>
  <c r="BV35" i="3"/>
  <c r="BM35" i="3"/>
  <c r="BJ35" i="3"/>
  <c r="BG35" i="3"/>
  <c r="BD35" i="3"/>
  <c r="BA35" i="3"/>
  <c r="AX35" i="3"/>
  <c r="AU35" i="3"/>
  <c r="AR35" i="3"/>
  <c r="AO35" i="3"/>
  <c r="AL35" i="3"/>
  <c r="AI35" i="3"/>
  <c r="AF35" i="3"/>
  <c r="Z35" i="3"/>
  <c r="W35" i="3"/>
  <c r="T35" i="3"/>
  <c r="Q35" i="3"/>
  <c r="N35" i="3"/>
  <c r="K35" i="3"/>
  <c r="E35" i="3"/>
  <c r="CV34" i="3"/>
  <c r="CU34" i="3"/>
  <c r="CW34" i="3" s="1"/>
  <c r="CT34" i="3"/>
  <c r="CQ34" i="3"/>
  <c r="CN34" i="3"/>
  <c r="CK34" i="3"/>
  <c r="CH34" i="3"/>
  <c r="CE34" i="3"/>
  <c r="CB34" i="3"/>
  <c r="BY34" i="3"/>
  <c r="BV34" i="3"/>
  <c r="BS34" i="3"/>
  <c r="BP34" i="3"/>
  <c r="BM34" i="3"/>
  <c r="BJ34" i="3"/>
  <c r="BG34" i="3"/>
  <c r="BD34" i="3"/>
  <c r="BA34" i="3"/>
  <c r="AX34" i="3"/>
  <c r="AU34" i="3"/>
  <c r="AR34" i="3"/>
  <c r="AO34" i="3"/>
  <c r="AL34" i="3"/>
  <c r="AI34" i="3"/>
  <c r="AF34" i="3"/>
  <c r="AC34" i="3"/>
  <c r="Z34" i="3"/>
  <c r="W34" i="3"/>
  <c r="T34" i="3"/>
  <c r="Q34" i="3"/>
  <c r="N34" i="3"/>
  <c r="K34" i="3"/>
  <c r="H34" i="3"/>
  <c r="E34" i="3"/>
  <c r="CV33" i="3"/>
  <c r="CU33" i="3"/>
  <c r="CW33" i="3" s="1"/>
  <c r="CT33" i="3"/>
  <c r="CQ33" i="3"/>
  <c r="CN33" i="3"/>
  <c r="CK33" i="3"/>
  <c r="CH33" i="3"/>
  <c r="CE33" i="3"/>
  <c r="CB33" i="3"/>
  <c r="BY33" i="3"/>
  <c r="BV33" i="3"/>
  <c r="BS33" i="3"/>
  <c r="BP33" i="3"/>
  <c r="BM33" i="3"/>
  <c r="BJ33" i="3"/>
  <c r="BG33" i="3"/>
  <c r="BD33" i="3"/>
  <c r="BA33" i="3"/>
  <c r="AX33" i="3"/>
  <c r="AU33" i="3"/>
  <c r="AR33" i="3"/>
  <c r="AO33" i="3"/>
  <c r="AL33" i="3"/>
  <c r="AI33" i="3"/>
  <c r="AF33" i="3"/>
  <c r="AC33" i="3"/>
  <c r="Z33" i="3"/>
  <c r="W33" i="3"/>
  <c r="T33" i="3"/>
  <c r="Q33" i="3"/>
  <c r="N33" i="3"/>
  <c r="K33" i="3"/>
  <c r="H33" i="3"/>
  <c r="E33" i="3"/>
  <c r="CW32" i="3"/>
  <c r="CV32" i="3"/>
  <c r="CU32" i="3"/>
  <c r="CT32" i="3"/>
  <c r="CQ32" i="3"/>
  <c r="CN32" i="3"/>
  <c r="CK32" i="3"/>
  <c r="CH32" i="3"/>
  <c r="CE32" i="3"/>
  <c r="CB32" i="3"/>
  <c r="BY32" i="3"/>
  <c r="BV32" i="3"/>
  <c r="BS32" i="3"/>
  <c r="BP32" i="3"/>
  <c r="BM32" i="3"/>
  <c r="BJ32" i="3"/>
  <c r="BG32" i="3"/>
  <c r="BD32" i="3"/>
  <c r="BA32" i="3"/>
  <c r="AX32" i="3"/>
  <c r="AU32" i="3"/>
  <c r="AR32" i="3"/>
  <c r="AO32" i="3"/>
  <c r="AL32" i="3"/>
  <c r="AI32" i="3"/>
  <c r="AF32" i="3"/>
  <c r="AC32" i="3"/>
  <c r="Z32" i="3"/>
  <c r="W32" i="3"/>
  <c r="T32" i="3"/>
  <c r="Q32" i="3"/>
  <c r="N32" i="3"/>
  <c r="K32" i="3"/>
  <c r="H32" i="3"/>
  <c r="E32" i="3"/>
  <c r="CV31" i="3"/>
  <c r="CU31" i="3"/>
  <c r="CW31" i="3" s="1"/>
  <c r="CT31" i="3"/>
  <c r="CQ31" i="3"/>
  <c r="CN31" i="3"/>
  <c r="CK31" i="3"/>
  <c r="CH31" i="3"/>
  <c r="CE31" i="3"/>
  <c r="CB31" i="3"/>
  <c r="BY31" i="3"/>
  <c r="BV31" i="3"/>
  <c r="BS31" i="3"/>
  <c r="BP31" i="3"/>
  <c r="BM31" i="3"/>
  <c r="BJ31" i="3"/>
  <c r="BG31" i="3"/>
  <c r="BD31" i="3"/>
  <c r="BA31" i="3"/>
  <c r="AX31" i="3"/>
  <c r="AU31" i="3"/>
  <c r="AR31" i="3"/>
  <c r="AO31" i="3"/>
  <c r="AI31" i="3"/>
  <c r="AF31" i="3"/>
  <c r="AC31" i="3"/>
  <c r="Z31" i="3"/>
  <c r="W31" i="3"/>
  <c r="T31" i="3"/>
  <c r="N31" i="3"/>
  <c r="K31" i="3"/>
  <c r="H31" i="3"/>
  <c r="E31" i="3"/>
  <c r="CV30" i="3"/>
  <c r="CW30" i="3" s="1"/>
  <c r="CU30" i="3"/>
  <c r="CT30" i="3"/>
  <c r="CQ30" i="3"/>
  <c r="CN30" i="3"/>
  <c r="CK30" i="3"/>
  <c r="CH30" i="3"/>
  <c r="CE30" i="3"/>
  <c r="CB30" i="3"/>
  <c r="BY30" i="3"/>
  <c r="BV30" i="3"/>
  <c r="BS30" i="3"/>
  <c r="BP30" i="3"/>
  <c r="BM30" i="3"/>
  <c r="BJ30" i="3"/>
  <c r="BG30" i="3"/>
  <c r="BD30" i="3"/>
  <c r="BA30" i="3"/>
  <c r="AX30" i="3"/>
  <c r="AU30" i="3"/>
  <c r="AR30" i="3"/>
  <c r="AO30" i="3"/>
  <c r="AL30" i="3"/>
  <c r="AI30" i="3"/>
  <c r="AF30" i="3"/>
  <c r="AC30" i="3"/>
  <c r="Z30" i="3"/>
  <c r="W30" i="3"/>
  <c r="T30" i="3"/>
  <c r="Q30" i="3"/>
  <c r="N30" i="3"/>
  <c r="K30" i="3"/>
  <c r="H30" i="3"/>
  <c r="E30" i="3"/>
  <c r="CW29" i="3"/>
  <c r="CV29" i="3"/>
  <c r="CU29" i="3"/>
  <c r="CT29" i="3"/>
  <c r="CQ29" i="3"/>
  <c r="CN29" i="3"/>
  <c r="CK29" i="3"/>
  <c r="CH29" i="3"/>
  <c r="CE29" i="3"/>
  <c r="CB29" i="3"/>
  <c r="BY29" i="3"/>
  <c r="BV29" i="3"/>
  <c r="BS29" i="3"/>
  <c r="BP29" i="3"/>
  <c r="BM29" i="3"/>
  <c r="BJ29" i="3"/>
  <c r="BG29" i="3"/>
  <c r="BD29" i="3"/>
  <c r="BA29" i="3"/>
  <c r="AX29" i="3"/>
  <c r="AU29" i="3"/>
  <c r="AR29" i="3"/>
  <c r="AO29" i="3"/>
  <c r="AL29" i="3"/>
  <c r="AI29" i="3"/>
  <c r="AF29" i="3"/>
  <c r="AC29" i="3"/>
  <c r="Z29" i="3"/>
  <c r="W29" i="3"/>
  <c r="T29" i="3"/>
  <c r="Q29" i="3"/>
  <c r="N29" i="3"/>
  <c r="K29" i="3"/>
  <c r="H29" i="3"/>
  <c r="E29" i="3"/>
  <c r="CV28" i="3"/>
  <c r="CU28" i="3"/>
  <c r="CW28" i="3" s="1"/>
  <c r="CT28" i="3"/>
  <c r="CQ28" i="3"/>
  <c r="CN28" i="3"/>
  <c r="CK28" i="3"/>
  <c r="CH28" i="3"/>
  <c r="CE28" i="3"/>
  <c r="CB28" i="3"/>
  <c r="BY28" i="3"/>
  <c r="BV28" i="3"/>
  <c r="BS28" i="3"/>
  <c r="BP28" i="3"/>
  <c r="BM28" i="3"/>
  <c r="BJ28" i="3"/>
  <c r="BG28" i="3"/>
  <c r="BD28" i="3"/>
  <c r="BA28" i="3"/>
  <c r="AX28" i="3"/>
  <c r="AU28" i="3"/>
  <c r="AR28" i="3"/>
  <c r="AO28" i="3"/>
  <c r="AL28" i="3"/>
  <c r="AI28" i="3"/>
  <c r="AF28" i="3"/>
  <c r="AC28" i="3"/>
  <c r="Z28" i="3"/>
  <c r="W28" i="3"/>
  <c r="T28" i="3"/>
  <c r="Q28" i="3"/>
  <c r="N28" i="3"/>
  <c r="K28" i="3"/>
  <c r="H28" i="3"/>
  <c r="E28" i="3"/>
  <c r="CV27" i="3"/>
  <c r="CU27" i="3"/>
  <c r="CW27" i="3" s="1"/>
  <c r="CT27" i="3"/>
  <c r="CQ27" i="3"/>
  <c r="CN27" i="3"/>
  <c r="CK27" i="3"/>
  <c r="CH27" i="3"/>
  <c r="CE27" i="3"/>
  <c r="CB27" i="3"/>
  <c r="BY27" i="3"/>
  <c r="BV27" i="3"/>
  <c r="BS27" i="3"/>
  <c r="BP27" i="3"/>
  <c r="BM27" i="3"/>
  <c r="BJ27" i="3"/>
  <c r="BG27" i="3"/>
  <c r="BD27" i="3"/>
  <c r="BA27" i="3"/>
  <c r="AX27" i="3"/>
  <c r="AU27" i="3"/>
  <c r="AR27" i="3"/>
  <c r="AO27" i="3"/>
  <c r="AL27" i="3"/>
  <c r="AI27" i="3"/>
  <c r="AF27" i="3"/>
  <c r="AC27" i="3"/>
  <c r="Z27" i="3"/>
  <c r="W27" i="3"/>
  <c r="T27" i="3"/>
  <c r="Q27" i="3"/>
  <c r="N27" i="3"/>
  <c r="K27" i="3"/>
  <c r="H27" i="3"/>
  <c r="E27" i="3"/>
  <c r="CW26" i="3"/>
  <c r="CV26" i="3"/>
  <c r="CU26" i="3"/>
  <c r="CT26" i="3"/>
  <c r="CQ26" i="3"/>
  <c r="CN26" i="3"/>
  <c r="CK26" i="3"/>
  <c r="CH26" i="3"/>
  <c r="CE26" i="3"/>
  <c r="CB26" i="3"/>
  <c r="BY26" i="3"/>
  <c r="BV26" i="3"/>
  <c r="BS26" i="3"/>
  <c r="BP26" i="3"/>
  <c r="BM26" i="3"/>
  <c r="BJ26" i="3"/>
  <c r="BG26" i="3"/>
  <c r="BD26" i="3"/>
  <c r="BA26" i="3"/>
  <c r="AX26" i="3"/>
  <c r="AU26" i="3"/>
  <c r="AR26" i="3"/>
  <c r="AO26" i="3"/>
  <c r="AL26" i="3"/>
  <c r="AI26" i="3"/>
  <c r="AF26" i="3"/>
  <c r="AC26" i="3"/>
  <c r="Z26" i="3"/>
  <c r="W26" i="3"/>
  <c r="T26" i="3"/>
  <c r="Q26" i="3"/>
  <c r="N26" i="3"/>
  <c r="K26" i="3"/>
  <c r="H26" i="3"/>
  <c r="E26" i="3"/>
  <c r="CV25" i="3"/>
  <c r="CU25" i="3"/>
  <c r="CW25" i="3" s="1"/>
  <c r="CT25" i="3"/>
  <c r="CQ25" i="3"/>
  <c r="CN25" i="3"/>
  <c r="CK25" i="3"/>
  <c r="CH25" i="3"/>
  <c r="CE25" i="3"/>
  <c r="CB25" i="3"/>
  <c r="BY25" i="3"/>
  <c r="BV25" i="3"/>
  <c r="BS25" i="3"/>
  <c r="BP25" i="3"/>
  <c r="BM25" i="3"/>
  <c r="BJ25" i="3"/>
  <c r="BG25" i="3"/>
  <c r="BD25" i="3"/>
  <c r="BA25" i="3"/>
  <c r="AX25" i="3"/>
  <c r="AR25" i="3"/>
  <c r="AO25" i="3"/>
  <c r="AL25" i="3"/>
  <c r="AI25" i="3"/>
  <c r="AF25" i="3"/>
  <c r="AC25" i="3"/>
  <c r="Z25" i="3"/>
  <c r="W25" i="3"/>
  <c r="T25" i="3"/>
  <c r="Q25" i="3"/>
  <c r="N25" i="3"/>
  <c r="K25" i="3"/>
  <c r="H25" i="3"/>
  <c r="E25" i="3"/>
  <c r="CV24" i="3"/>
  <c r="CU24" i="3"/>
  <c r="CW24" i="3" s="1"/>
  <c r="CT24" i="3"/>
  <c r="CQ24" i="3"/>
  <c r="CN24" i="3"/>
  <c r="CK24" i="3"/>
  <c r="CH24" i="3"/>
  <c r="CE24" i="3"/>
  <c r="CB24" i="3"/>
  <c r="BY24" i="3"/>
  <c r="BV24" i="3"/>
  <c r="BS24" i="3"/>
  <c r="BP24" i="3"/>
  <c r="BM24" i="3"/>
  <c r="BJ24" i="3"/>
  <c r="BG24" i="3"/>
  <c r="BD24" i="3"/>
  <c r="BA24" i="3"/>
  <c r="AX24" i="3"/>
  <c r="AU24" i="3"/>
  <c r="AR24" i="3"/>
  <c r="AO24" i="3"/>
  <c r="AL24" i="3"/>
  <c r="AI24" i="3"/>
  <c r="AF24" i="3"/>
  <c r="AC24" i="3"/>
  <c r="Z24" i="3"/>
  <c r="W24" i="3"/>
  <c r="T24" i="3"/>
  <c r="Q24" i="3"/>
  <c r="N24" i="3"/>
  <c r="K24" i="3"/>
  <c r="H24" i="3"/>
  <c r="E24" i="3"/>
  <c r="CW23" i="3"/>
  <c r="CV23" i="3"/>
  <c r="CU23" i="3"/>
  <c r="CT23" i="3"/>
  <c r="CQ23" i="3"/>
  <c r="CN23" i="3"/>
  <c r="CK23" i="3"/>
  <c r="CH23" i="3"/>
  <c r="CE23" i="3"/>
  <c r="CB23" i="3"/>
  <c r="BY23" i="3"/>
  <c r="BV23" i="3"/>
  <c r="BS23" i="3"/>
  <c r="BP23" i="3"/>
  <c r="BM23" i="3"/>
  <c r="BJ23" i="3"/>
  <c r="BG23" i="3"/>
  <c r="BD23" i="3"/>
  <c r="AX23" i="3"/>
  <c r="AU23" i="3"/>
  <c r="AR23" i="3"/>
  <c r="AO23" i="3"/>
  <c r="AL23" i="3"/>
  <c r="AI23" i="3"/>
  <c r="AF23" i="3"/>
  <c r="AC23" i="3"/>
  <c r="Z23" i="3"/>
  <c r="W23" i="3"/>
  <c r="T23" i="3"/>
  <c r="Q23" i="3"/>
  <c r="N23" i="3"/>
  <c r="K23" i="3"/>
  <c r="H23" i="3"/>
  <c r="E23" i="3"/>
  <c r="CV22" i="3"/>
  <c r="CU22" i="3"/>
  <c r="CW22" i="3" s="1"/>
  <c r="CT22" i="3"/>
  <c r="CQ22" i="3"/>
  <c r="CN22" i="3"/>
  <c r="CK22" i="3"/>
  <c r="CH22" i="3"/>
  <c r="CE22" i="3"/>
  <c r="CB22" i="3"/>
  <c r="BY22" i="3"/>
  <c r="BV22" i="3"/>
  <c r="BS22" i="3"/>
  <c r="BP22" i="3"/>
  <c r="BM22" i="3"/>
  <c r="BJ22" i="3"/>
  <c r="BG22" i="3"/>
  <c r="BD22" i="3"/>
  <c r="BA22" i="3"/>
  <c r="AX22" i="3"/>
  <c r="AU22" i="3"/>
  <c r="AR22" i="3"/>
  <c r="AO22" i="3"/>
  <c r="AL22" i="3"/>
  <c r="AI22" i="3"/>
  <c r="AF22" i="3"/>
  <c r="AC22" i="3"/>
  <c r="Z22" i="3"/>
  <c r="W22" i="3"/>
  <c r="T22" i="3"/>
  <c r="Q22" i="3"/>
  <c r="N22" i="3"/>
  <c r="K22" i="3"/>
  <c r="H22" i="3"/>
  <c r="E22" i="3"/>
  <c r="CV21" i="3"/>
  <c r="CU21" i="3"/>
  <c r="CW21" i="3" s="1"/>
  <c r="CT21" i="3"/>
  <c r="CQ21" i="3"/>
  <c r="CN21" i="3"/>
  <c r="CK21" i="3"/>
  <c r="CH21" i="3"/>
  <c r="CE21" i="3"/>
  <c r="CB21" i="3"/>
  <c r="BY21" i="3"/>
  <c r="BV21" i="3"/>
  <c r="BS21" i="3"/>
  <c r="BP21" i="3"/>
  <c r="BM21" i="3"/>
  <c r="BJ21" i="3"/>
  <c r="BG21" i="3"/>
  <c r="BD21" i="3"/>
  <c r="BA21" i="3"/>
  <c r="AX21" i="3"/>
  <c r="AU21" i="3"/>
  <c r="AR21" i="3"/>
  <c r="AO21" i="3"/>
  <c r="AL21" i="3"/>
  <c r="AI21" i="3"/>
  <c r="AF21" i="3"/>
  <c r="AC21" i="3"/>
  <c r="Z21" i="3"/>
  <c r="W21" i="3"/>
  <c r="T21" i="3"/>
  <c r="Q21" i="3"/>
  <c r="N21" i="3"/>
  <c r="K21" i="3"/>
  <c r="H21" i="3"/>
  <c r="E21" i="3"/>
  <c r="CW20" i="3"/>
  <c r="CV20" i="3"/>
  <c r="CU20" i="3"/>
  <c r="CT20" i="3"/>
  <c r="CQ20" i="3"/>
  <c r="CN20" i="3"/>
  <c r="CK20" i="3"/>
  <c r="CH20" i="3"/>
  <c r="CE20" i="3"/>
  <c r="CB20" i="3"/>
  <c r="BY20" i="3"/>
  <c r="BV20" i="3"/>
  <c r="BS20" i="3"/>
  <c r="BP20" i="3"/>
  <c r="BM20" i="3"/>
  <c r="BJ20" i="3"/>
  <c r="BG20" i="3"/>
  <c r="BD20" i="3"/>
  <c r="BA20" i="3"/>
  <c r="AX20" i="3"/>
  <c r="AU20" i="3"/>
  <c r="AR20" i="3"/>
  <c r="AO20" i="3"/>
  <c r="AL20" i="3"/>
  <c r="AI20" i="3"/>
  <c r="AF20" i="3"/>
  <c r="AC20" i="3"/>
  <c r="Z20" i="3"/>
  <c r="W20" i="3"/>
  <c r="T20" i="3"/>
  <c r="Q20" i="3"/>
  <c r="N20" i="3"/>
  <c r="K20" i="3"/>
  <c r="H20" i="3"/>
  <c r="E20" i="3"/>
  <c r="CV19" i="3"/>
  <c r="CU19" i="3"/>
  <c r="CW19" i="3" s="1"/>
  <c r="CT19" i="3"/>
  <c r="CQ19" i="3"/>
  <c r="CN19" i="3"/>
  <c r="CK19" i="3"/>
  <c r="CH19" i="3"/>
  <c r="CE19" i="3"/>
  <c r="CB19" i="3"/>
  <c r="BY19" i="3"/>
  <c r="BV19" i="3"/>
  <c r="BS19" i="3"/>
  <c r="BP19" i="3"/>
  <c r="BM19" i="3"/>
  <c r="BJ19" i="3"/>
  <c r="BG19" i="3"/>
  <c r="BD19" i="3"/>
  <c r="BA19" i="3"/>
  <c r="AX19" i="3"/>
  <c r="AU19" i="3"/>
  <c r="AR19" i="3"/>
  <c r="AO19" i="3"/>
  <c r="AL19" i="3"/>
  <c r="AI19" i="3"/>
  <c r="AF19" i="3"/>
  <c r="AC19" i="3"/>
  <c r="Z19" i="3"/>
  <c r="W19" i="3"/>
  <c r="T19" i="3"/>
  <c r="Q19" i="3"/>
  <c r="N19" i="3"/>
  <c r="K19" i="3"/>
  <c r="H19" i="3"/>
  <c r="E19" i="3"/>
  <c r="CV18" i="3"/>
  <c r="CU18" i="3"/>
  <c r="CT18" i="3"/>
  <c r="CQ18" i="3"/>
  <c r="CN18" i="3"/>
  <c r="CK18" i="3"/>
  <c r="CH18" i="3"/>
  <c r="CE18" i="3"/>
  <c r="CB18" i="3"/>
  <c r="BY18" i="3"/>
  <c r="BV18" i="3"/>
  <c r="BS18" i="3"/>
  <c r="BP18" i="3"/>
  <c r="BM18" i="3"/>
  <c r="BJ18" i="3"/>
  <c r="BG18" i="3"/>
  <c r="BD18" i="3"/>
  <c r="BA18" i="3"/>
  <c r="AX18" i="3"/>
  <c r="AU18" i="3"/>
  <c r="AR18" i="3"/>
  <c r="AO18" i="3"/>
  <c r="AL18" i="3"/>
  <c r="AI18" i="3"/>
  <c r="AF18" i="3"/>
  <c r="AC18" i="3"/>
  <c r="Z18" i="3"/>
  <c r="W18" i="3"/>
  <c r="T18" i="3"/>
  <c r="Q18" i="3"/>
  <c r="N18" i="3"/>
  <c r="K18" i="3"/>
  <c r="H18" i="3"/>
  <c r="E18" i="3"/>
  <c r="CV17" i="3"/>
  <c r="CW17" i="3" s="1"/>
  <c r="CU17" i="3"/>
  <c r="CT17" i="3"/>
  <c r="CQ17" i="3"/>
  <c r="CN17" i="3"/>
  <c r="CK17" i="3"/>
  <c r="CH17" i="3"/>
  <c r="CE17" i="3"/>
  <c r="CB17" i="3"/>
  <c r="BY17" i="3"/>
  <c r="BV17" i="3"/>
  <c r="BS17" i="3"/>
  <c r="BP17" i="3"/>
  <c r="BM17" i="3"/>
  <c r="BJ17" i="3"/>
  <c r="BG17" i="3"/>
  <c r="BD17" i="3"/>
  <c r="BA17" i="3"/>
  <c r="AX17" i="3"/>
  <c r="AU17" i="3"/>
  <c r="AR17" i="3"/>
  <c r="AO17" i="3"/>
  <c r="AL17" i="3"/>
  <c r="AI17" i="3"/>
  <c r="AF17" i="3"/>
  <c r="AC17" i="3"/>
  <c r="Z17" i="3"/>
  <c r="W17" i="3"/>
  <c r="T17" i="3"/>
  <c r="Q17" i="3"/>
  <c r="N17" i="3"/>
  <c r="K17" i="3"/>
  <c r="H17" i="3"/>
  <c r="E17" i="3"/>
  <c r="CV16" i="3"/>
  <c r="CW16" i="3" s="1"/>
  <c r="CU16" i="3"/>
  <c r="CT16" i="3"/>
  <c r="CQ16" i="3"/>
  <c r="CN16" i="3"/>
  <c r="CK16" i="3"/>
  <c r="CH16" i="3"/>
  <c r="CE16" i="3"/>
  <c r="CB16" i="3"/>
  <c r="BY16" i="3"/>
  <c r="BV16" i="3"/>
  <c r="BS16" i="3"/>
  <c r="BP16" i="3"/>
  <c r="BM16" i="3"/>
  <c r="BJ16" i="3"/>
  <c r="BG16" i="3"/>
  <c r="BD16" i="3"/>
  <c r="BA16" i="3"/>
  <c r="AX16" i="3"/>
  <c r="AU16" i="3"/>
  <c r="AR16" i="3"/>
  <c r="AO16" i="3"/>
  <c r="AL16" i="3"/>
  <c r="AI16" i="3"/>
  <c r="AF16" i="3"/>
  <c r="AC16" i="3"/>
  <c r="Z16" i="3"/>
  <c r="W16" i="3"/>
  <c r="T16" i="3"/>
  <c r="Q16" i="3"/>
  <c r="N16" i="3"/>
  <c r="K16" i="3"/>
  <c r="H16" i="3"/>
  <c r="E16" i="3"/>
  <c r="CW15" i="3"/>
  <c r="CV15" i="3"/>
  <c r="CU15" i="3"/>
  <c r="CT15" i="3"/>
  <c r="CQ15" i="3"/>
  <c r="CN15" i="3"/>
  <c r="CK15" i="3"/>
  <c r="CH15" i="3"/>
  <c r="CE15" i="3"/>
  <c r="CB15" i="3"/>
  <c r="BY15" i="3"/>
  <c r="BV15" i="3"/>
  <c r="BS15" i="3"/>
  <c r="BP15" i="3"/>
  <c r="BM15" i="3"/>
  <c r="BJ15" i="3"/>
  <c r="BD15" i="3"/>
  <c r="BA15" i="3"/>
  <c r="AX15" i="3"/>
  <c r="AU15" i="3"/>
  <c r="AR15" i="3"/>
  <c r="AO15" i="3"/>
  <c r="AL15" i="3"/>
  <c r="AI15" i="3"/>
  <c r="AF15" i="3"/>
  <c r="AC15" i="3"/>
  <c r="Z15" i="3"/>
  <c r="W15" i="3"/>
  <c r="T15" i="3"/>
  <c r="Q15" i="3"/>
  <c r="N15" i="3"/>
  <c r="K15" i="3"/>
  <c r="H15" i="3"/>
  <c r="E15" i="3"/>
  <c r="CV14" i="3"/>
  <c r="CW14" i="3" s="1"/>
  <c r="CU14" i="3"/>
  <c r="CT14" i="3"/>
  <c r="CQ14" i="3"/>
  <c r="CN14" i="3"/>
  <c r="CK14" i="3"/>
  <c r="CH14" i="3"/>
  <c r="CE14" i="3"/>
  <c r="CB14" i="3"/>
  <c r="BY14" i="3"/>
  <c r="BV14" i="3"/>
  <c r="BS14" i="3"/>
  <c r="BP14" i="3"/>
  <c r="BM14" i="3"/>
  <c r="BJ14" i="3"/>
  <c r="BG14" i="3"/>
  <c r="BD14" i="3"/>
  <c r="BA14" i="3"/>
  <c r="AX14" i="3"/>
  <c r="AU14" i="3"/>
  <c r="AR14" i="3"/>
  <c r="AO14" i="3"/>
  <c r="AL14" i="3"/>
  <c r="AI14" i="3"/>
  <c r="AF14" i="3"/>
  <c r="AC14" i="3"/>
  <c r="Z14" i="3"/>
  <c r="W14" i="3"/>
  <c r="T14" i="3"/>
  <c r="Q14" i="3"/>
  <c r="N14" i="3"/>
  <c r="K14" i="3"/>
  <c r="H14" i="3"/>
  <c r="E14" i="3"/>
  <c r="CV13" i="3"/>
  <c r="CW13" i="3" s="1"/>
  <c r="CU13" i="3"/>
  <c r="CT13" i="3"/>
  <c r="CQ13" i="3"/>
  <c r="CN13" i="3"/>
  <c r="CK13" i="3"/>
  <c r="CH13" i="3"/>
  <c r="CE13" i="3"/>
  <c r="CB13" i="3"/>
  <c r="BY13" i="3"/>
  <c r="BV13" i="3"/>
  <c r="BS13" i="3"/>
  <c r="BP13" i="3"/>
  <c r="BM13" i="3"/>
  <c r="BJ13" i="3"/>
  <c r="BG13" i="3"/>
  <c r="BD13" i="3"/>
  <c r="BA13" i="3"/>
  <c r="AX13" i="3"/>
  <c r="AU13" i="3"/>
  <c r="AR13" i="3"/>
  <c r="AO13" i="3"/>
  <c r="AL13" i="3"/>
  <c r="AI13" i="3"/>
  <c r="AF13" i="3"/>
  <c r="AC13" i="3"/>
  <c r="Z13" i="3"/>
  <c r="W13" i="3"/>
  <c r="T13" i="3"/>
  <c r="Q13" i="3"/>
  <c r="N13" i="3"/>
  <c r="K13" i="3"/>
  <c r="H13" i="3"/>
  <c r="E13" i="3"/>
  <c r="CV12" i="3"/>
  <c r="CW12" i="3" s="1"/>
  <c r="CU12" i="3"/>
  <c r="CT12" i="3"/>
  <c r="CQ12" i="3"/>
  <c r="CN12" i="3"/>
  <c r="CK12" i="3"/>
  <c r="CH12" i="3"/>
  <c r="CE12" i="3"/>
  <c r="CB12" i="3"/>
  <c r="BY12" i="3"/>
  <c r="BV12" i="3"/>
  <c r="BS12" i="3"/>
  <c r="BP12" i="3"/>
  <c r="BM12" i="3"/>
  <c r="BJ12" i="3"/>
  <c r="BG12" i="3"/>
  <c r="BD12" i="3"/>
  <c r="BA12" i="3"/>
  <c r="AX12" i="3"/>
  <c r="AU12" i="3"/>
  <c r="AR12" i="3"/>
  <c r="AO12" i="3"/>
  <c r="AL12" i="3"/>
  <c r="AI12" i="3"/>
  <c r="AF12" i="3"/>
  <c r="AC12" i="3"/>
  <c r="Z12" i="3"/>
  <c r="W12" i="3"/>
  <c r="T12" i="3"/>
  <c r="Q12" i="3"/>
  <c r="N12" i="3"/>
  <c r="H12" i="3"/>
  <c r="E12" i="3"/>
  <c r="CV11" i="3"/>
  <c r="CW11" i="3" s="1"/>
  <c r="CU11" i="3"/>
  <c r="CT11" i="3"/>
  <c r="CQ11" i="3"/>
  <c r="CN11" i="3"/>
  <c r="CK11" i="3"/>
  <c r="CH11" i="3"/>
  <c r="CE11" i="3"/>
  <c r="CB11" i="3"/>
  <c r="BY11" i="3"/>
  <c r="BV11" i="3"/>
  <c r="BS11" i="3"/>
  <c r="BP11" i="3"/>
  <c r="BM11" i="3"/>
  <c r="BJ11" i="3"/>
  <c r="BG11" i="3"/>
  <c r="BA11" i="3"/>
  <c r="AX11" i="3"/>
  <c r="AU11" i="3"/>
  <c r="AR11" i="3"/>
  <c r="AO11" i="3"/>
  <c r="AL11" i="3"/>
  <c r="AI11" i="3"/>
  <c r="AF11" i="3"/>
  <c r="AC11" i="3"/>
  <c r="Z11" i="3"/>
  <c r="W11" i="3"/>
  <c r="T11" i="3"/>
  <c r="Q11" i="3"/>
  <c r="N11" i="3"/>
  <c r="K11" i="3"/>
  <c r="H11" i="3"/>
  <c r="E11" i="3"/>
  <c r="CV10" i="3"/>
  <c r="CU10" i="3"/>
  <c r="CW10" i="3" s="1"/>
  <c r="CT10" i="3"/>
  <c r="CQ10" i="3"/>
  <c r="CN10" i="3"/>
  <c r="CK10" i="3"/>
  <c r="CH10" i="3"/>
  <c r="CE10" i="3"/>
  <c r="CB10" i="3"/>
  <c r="BY10" i="3"/>
  <c r="BV10" i="3"/>
  <c r="BS10" i="3"/>
  <c r="BP10" i="3"/>
  <c r="BM10" i="3"/>
  <c r="BJ10" i="3"/>
  <c r="BG10" i="3"/>
  <c r="BD10" i="3"/>
  <c r="BA10" i="3"/>
  <c r="AX10" i="3"/>
  <c r="AU10" i="3"/>
  <c r="AR10" i="3"/>
  <c r="AO10" i="3"/>
  <c r="AL10" i="3"/>
  <c r="AI10" i="3"/>
  <c r="AF10" i="3"/>
  <c r="AC10" i="3"/>
  <c r="Z10" i="3"/>
  <c r="W10" i="3"/>
  <c r="T10" i="3"/>
  <c r="Q10" i="3"/>
  <c r="N10" i="3"/>
  <c r="K10" i="3"/>
  <c r="H10" i="3"/>
  <c r="E10" i="3"/>
  <c r="CV9" i="3"/>
  <c r="CU9" i="3"/>
  <c r="CW9" i="3" s="1"/>
  <c r="CT9" i="3"/>
  <c r="CQ9" i="3"/>
  <c r="CN9" i="3"/>
  <c r="CK9" i="3"/>
  <c r="CH9" i="3"/>
  <c r="CE9" i="3"/>
  <c r="CB9" i="3"/>
  <c r="BY9" i="3"/>
  <c r="BV9" i="3"/>
  <c r="BS9" i="3"/>
  <c r="BP9" i="3"/>
  <c r="BM9" i="3"/>
  <c r="BJ9" i="3"/>
  <c r="BG9" i="3"/>
  <c r="BD9" i="3"/>
  <c r="BA9" i="3"/>
  <c r="AX9" i="3"/>
  <c r="AU9" i="3"/>
  <c r="AR9" i="3"/>
  <c r="AO9" i="3"/>
  <c r="AL9" i="3"/>
  <c r="AI9" i="3"/>
  <c r="AF9" i="3"/>
  <c r="AC9" i="3"/>
  <c r="Z9" i="3"/>
  <c r="W9" i="3"/>
  <c r="T9" i="3"/>
  <c r="Q9" i="3"/>
  <c r="K9" i="3"/>
  <c r="H9" i="3"/>
  <c r="E9" i="3"/>
  <c r="CW8" i="3"/>
  <c r="CV8" i="3"/>
  <c r="CU8" i="3"/>
  <c r="CT8" i="3"/>
  <c r="CQ8" i="3"/>
  <c r="CN8" i="3"/>
  <c r="CK8" i="3"/>
  <c r="CH8" i="3"/>
  <c r="CE8" i="3"/>
  <c r="CB8" i="3"/>
  <c r="BY8" i="3"/>
  <c r="BV8" i="3"/>
  <c r="BS8" i="3"/>
  <c r="BP8" i="3"/>
  <c r="BM8" i="3"/>
  <c r="BJ8" i="3"/>
  <c r="BG8" i="3"/>
  <c r="BD8" i="3"/>
  <c r="BA8" i="3"/>
  <c r="AX8" i="3"/>
  <c r="AU8" i="3"/>
  <c r="AR8" i="3"/>
  <c r="AO8" i="3"/>
  <c r="AI8" i="3"/>
  <c r="AF8" i="3"/>
  <c r="AC8" i="3"/>
  <c r="Z8" i="3"/>
  <c r="W8" i="3"/>
  <c r="T8" i="3"/>
  <c r="Q8" i="3"/>
  <c r="N8" i="3"/>
  <c r="K8" i="3"/>
  <c r="H8" i="3"/>
  <c r="E8" i="3"/>
  <c r="CV7" i="3"/>
  <c r="CU7" i="3"/>
  <c r="CW7" i="3" s="1"/>
  <c r="CT7" i="3"/>
  <c r="CQ7" i="3"/>
  <c r="CN7" i="3"/>
  <c r="CK7" i="3"/>
  <c r="CH7" i="3"/>
  <c r="CB7" i="3"/>
  <c r="BY7" i="3"/>
  <c r="BV7" i="3"/>
  <c r="BS7" i="3"/>
  <c r="BM7" i="3"/>
  <c r="BJ7" i="3"/>
  <c r="BG7" i="3"/>
  <c r="BA7" i="3"/>
  <c r="AX7" i="3"/>
  <c r="AU7" i="3"/>
  <c r="AR7" i="3"/>
  <c r="AO7" i="3"/>
  <c r="AI7" i="3"/>
  <c r="AF7" i="3"/>
  <c r="AC7" i="3"/>
  <c r="Z7" i="3"/>
  <c r="W7" i="3"/>
  <c r="T7" i="3"/>
  <c r="N7" i="3"/>
  <c r="K7" i="3"/>
  <c r="H7" i="3"/>
  <c r="E7" i="3"/>
  <c r="CW6" i="3"/>
  <c r="CV6" i="3"/>
  <c r="CU6" i="3"/>
  <c r="CT6" i="3"/>
  <c r="CQ6" i="3"/>
  <c r="CN6" i="3"/>
  <c r="CK6" i="3"/>
  <c r="CH6" i="3"/>
  <c r="CE6" i="3"/>
  <c r="CB6" i="3"/>
  <c r="BY6" i="3"/>
  <c r="BV6" i="3"/>
  <c r="BS6" i="3"/>
  <c r="BP6" i="3"/>
  <c r="BM6" i="3"/>
  <c r="BJ6" i="3"/>
  <c r="BG6" i="3"/>
  <c r="BD6" i="3"/>
  <c r="BA6" i="3"/>
  <c r="AX6" i="3"/>
  <c r="AU6" i="3"/>
  <c r="AR6" i="3"/>
  <c r="AO6" i="3"/>
  <c r="AL6" i="3"/>
  <c r="AI6" i="3"/>
  <c r="AF6" i="3"/>
  <c r="AC6" i="3"/>
  <c r="Z6" i="3"/>
  <c r="W6" i="3"/>
  <c r="T6" i="3"/>
  <c r="Q6" i="3"/>
  <c r="N6" i="3"/>
  <c r="K6" i="3"/>
  <c r="H6" i="3"/>
  <c r="E6" i="3"/>
  <c r="CV5" i="3"/>
  <c r="CU5" i="3"/>
  <c r="CW5" i="3" s="1"/>
  <c r="CT5" i="3"/>
  <c r="CQ5" i="3"/>
  <c r="CN5" i="3"/>
  <c r="CK5" i="3"/>
  <c r="CH5" i="3"/>
  <c r="CE5" i="3"/>
  <c r="CB5" i="3"/>
  <c r="BY5" i="3"/>
  <c r="BV5" i="3"/>
  <c r="BS5" i="3"/>
  <c r="BP5" i="3"/>
  <c r="BM5" i="3"/>
  <c r="BJ5" i="3"/>
  <c r="BG5" i="3"/>
  <c r="BD5" i="3"/>
  <c r="BA5" i="3"/>
  <c r="AX5" i="3"/>
  <c r="AU5" i="3"/>
  <c r="AR5" i="3"/>
  <c r="AO5" i="3"/>
  <c r="AL5" i="3"/>
  <c r="AI5" i="3"/>
  <c r="AF5" i="3"/>
  <c r="AC5" i="3"/>
  <c r="Z5" i="3"/>
  <c r="W5" i="3"/>
  <c r="T5" i="3"/>
  <c r="Q5" i="3"/>
  <c r="N5" i="3"/>
  <c r="K5" i="3"/>
  <c r="H5" i="3"/>
  <c r="E5" i="3"/>
  <c r="CV4" i="3"/>
  <c r="CU4" i="3"/>
  <c r="CT4" i="3"/>
  <c r="CQ4" i="3"/>
  <c r="CN4" i="3"/>
  <c r="CK4" i="3"/>
  <c r="CH4" i="3"/>
  <c r="CE4" i="3"/>
  <c r="CB4" i="3"/>
  <c r="BY4" i="3"/>
  <c r="BV4" i="3"/>
  <c r="BS4" i="3"/>
  <c r="BP4" i="3"/>
  <c r="BM4" i="3"/>
  <c r="BJ4" i="3"/>
  <c r="BG4" i="3"/>
  <c r="BD4" i="3"/>
  <c r="BA4" i="3"/>
  <c r="AX4" i="3"/>
  <c r="AU4" i="3"/>
  <c r="AR4" i="3"/>
  <c r="AO4" i="3"/>
  <c r="AL4" i="3"/>
  <c r="AI4" i="3"/>
  <c r="AF4" i="3"/>
  <c r="AC4" i="3"/>
  <c r="Z4" i="3"/>
  <c r="W4" i="3"/>
  <c r="T4" i="3"/>
  <c r="Q4" i="3"/>
  <c r="N4" i="3"/>
  <c r="K4" i="3"/>
  <c r="H4" i="3"/>
  <c r="E4" i="3"/>
  <c r="CV3" i="3"/>
  <c r="CW3" i="3" s="1"/>
  <c r="CU3" i="3"/>
  <c r="CT3" i="3"/>
  <c r="CQ3" i="3"/>
  <c r="CN3" i="3"/>
  <c r="CK3" i="3"/>
  <c r="CH3" i="3"/>
  <c r="CE3" i="3"/>
  <c r="CB3" i="3"/>
  <c r="BY3" i="3"/>
  <c r="BV3" i="3"/>
  <c r="BS3" i="3"/>
  <c r="BP3" i="3"/>
  <c r="BM3" i="3"/>
  <c r="BJ3" i="3"/>
  <c r="BG3" i="3"/>
  <c r="BD3" i="3"/>
  <c r="BA3" i="3"/>
  <c r="AX3" i="3"/>
  <c r="AU3" i="3"/>
  <c r="AR3" i="3"/>
  <c r="AO3" i="3"/>
  <c r="AL3" i="3"/>
  <c r="AI3" i="3"/>
  <c r="AF3" i="3"/>
  <c r="AC3" i="3"/>
  <c r="Z3" i="3"/>
  <c r="W3" i="3"/>
  <c r="T3" i="3"/>
  <c r="Q3" i="3"/>
  <c r="N3" i="3"/>
  <c r="K3" i="3"/>
  <c r="H3" i="3"/>
  <c r="E3" i="3"/>
  <c r="CV98" i="2"/>
  <c r="CW98" i="2" s="1"/>
  <c r="CU98" i="2"/>
  <c r="CT98" i="2"/>
  <c r="CQ98" i="2"/>
  <c r="CN98" i="2"/>
  <c r="CK98" i="2"/>
  <c r="CH98" i="2"/>
  <c r="CE98" i="2"/>
  <c r="CB98" i="2"/>
  <c r="BY98" i="2"/>
  <c r="BV98" i="2"/>
  <c r="BS98" i="2"/>
  <c r="BP98" i="2"/>
  <c r="BM98" i="2"/>
  <c r="BJ98" i="2"/>
  <c r="BG98" i="2"/>
  <c r="BD98" i="2"/>
  <c r="BA98" i="2"/>
  <c r="AX98" i="2"/>
  <c r="AU98" i="2"/>
  <c r="AR98" i="2"/>
  <c r="AO98" i="2"/>
  <c r="AL98" i="2"/>
  <c r="AI98" i="2"/>
  <c r="AF98" i="2"/>
  <c r="AC98" i="2"/>
  <c r="Z98" i="2"/>
  <c r="W98" i="2"/>
  <c r="T98" i="2"/>
  <c r="Q98" i="2"/>
  <c r="N98" i="2"/>
  <c r="K98" i="2"/>
  <c r="CV97" i="2"/>
  <c r="CU97" i="2"/>
  <c r="CW97" i="2" s="1"/>
  <c r="CT97" i="2"/>
  <c r="CQ97" i="2"/>
  <c r="CN97" i="2"/>
  <c r="CK97" i="2"/>
  <c r="CH97" i="2"/>
  <c r="CE97" i="2"/>
  <c r="CB97" i="2"/>
  <c r="BY97" i="2"/>
  <c r="BV97" i="2"/>
  <c r="BS97" i="2"/>
  <c r="BP97" i="2"/>
  <c r="BM97" i="2"/>
  <c r="BJ97" i="2"/>
  <c r="BG97" i="2"/>
  <c r="BD97" i="2"/>
  <c r="BA97" i="2"/>
  <c r="AX97" i="2"/>
  <c r="AU97" i="2"/>
  <c r="AR97" i="2"/>
  <c r="AO97" i="2"/>
  <c r="AL97" i="2"/>
  <c r="AI97" i="2"/>
  <c r="AF97" i="2"/>
  <c r="AC97" i="2"/>
  <c r="Z97" i="2"/>
  <c r="W97" i="2"/>
  <c r="T97" i="2"/>
  <c r="Q97" i="2"/>
  <c r="N97" i="2"/>
  <c r="K97" i="2"/>
  <c r="H97" i="2"/>
  <c r="CV96" i="2"/>
  <c r="CW96" i="2" s="1"/>
  <c r="CU96" i="2"/>
  <c r="CT96" i="2"/>
  <c r="CQ96" i="2"/>
  <c r="CN96" i="2"/>
  <c r="CK96" i="2"/>
  <c r="CH96" i="2"/>
  <c r="CE96" i="2"/>
  <c r="CB96" i="2"/>
  <c r="BY96" i="2"/>
  <c r="BV96" i="2"/>
  <c r="BS96" i="2"/>
  <c r="BP96" i="2"/>
  <c r="BM96" i="2"/>
  <c r="BJ96" i="2"/>
  <c r="BG96" i="2"/>
  <c r="BD96" i="2"/>
  <c r="BA96" i="2"/>
  <c r="AX96" i="2"/>
  <c r="AU96" i="2"/>
  <c r="AR96" i="2"/>
  <c r="AO96" i="2"/>
  <c r="AL96" i="2"/>
  <c r="AI96" i="2"/>
  <c r="AF96" i="2"/>
  <c r="AC96" i="2"/>
  <c r="Z96" i="2"/>
  <c r="W96" i="2"/>
  <c r="T96" i="2"/>
  <c r="Q96" i="2"/>
  <c r="N96" i="2"/>
  <c r="K96" i="2"/>
  <c r="H96" i="2"/>
  <c r="CV95" i="2"/>
  <c r="CW95" i="2" s="1"/>
  <c r="CU95" i="2"/>
  <c r="CT95" i="2"/>
  <c r="CQ95" i="2"/>
  <c r="CN95" i="2"/>
  <c r="CK95" i="2"/>
  <c r="CH95" i="2"/>
  <c r="CE95" i="2"/>
  <c r="CB95" i="2"/>
  <c r="BY95" i="2"/>
  <c r="BV95" i="2"/>
  <c r="BS95" i="2"/>
  <c r="BP95" i="2"/>
  <c r="BM95" i="2"/>
  <c r="BJ95" i="2"/>
  <c r="BG95" i="2"/>
  <c r="BD95" i="2"/>
  <c r="BA95" i="2"/>
  <c r="AX95" i="2"/>
  <c r="AU95" i="2"/>
  <c r="AR95" i="2"/>
  <c r="AO95" i="2"/>
  <c r="AL95" i="2"/>
  <c r="AI95" i="2"/>
  <c r="AF95" i="2"/>
  <c r="AC95" i="2"/>
  <c r="Z95" i="2"/>
  <c r="W95" i="2"/>
  <c r="T95" i="2"/>
  <c r="Q95" i="2"/>
  <c r="N95" i="2"/>
  <c r="K95" i="2"/>
  <c r="H95" i="2"/>
  <c r="CV94" i="2"/>
  <c r="CU94" i="2"/>
  <c r="CW94" i="2" s="1"/>
  <c r="CT94" i="2"/>
  <c r="CQ94" i="2"/>
  <c r="CN94" i="2"/>
  <c r="CK94" i="2"/>
  <c r="CH94" i="2"/>
  <c r="CE94" i="2"/>
  <c r="CB94" i="2"/>
  <c r="BV94" i="2"/>
  <c r="BP94" i="2"/>
  <c r="BG94" i="2"/>
  <c r="BD94" i="2"/>
  <c r="AX94" i="2"/>
  <c r="AU94" i="2"/>
  <c r="AC94" i="2"/>
  <c r="W94" i="2"/>
  <c r="CV93" i="2"/>
  <c r="CU93" i="2"/>
  <c r="CW93" i="2" s="1"/>
  <c r="CT93" i="2"/>
  <c r="CQ93" i="2"/>
  <c r="CN93" i="2"/>
  <c r="CK93" i="2"/>
  <c r="CH93" i="2"/>
  <c r="CE93" i="2"/>
  <c r="CB93" i="2"/>
  <c r="BY93" i="2"/>
  <c r="BV93" i="2"/>
  <c r="BS93" i="2"/>
  <c r="BP93" i="2"/>
  <c r="BM93" i="2"/>
  <c r="BJ93" i="2"/>
  <c r="BG93" i="2"/>
  <c r="BD93" i="2"/>
  <c r="BA93" i="2"/>
  <c r="AX93" i="2"/>
  <c r="AU93" i="2"/>
  <c r="AR93" i="2"/>
  <c r="AO93" i="2"/>
  <c r="AL93" i="2"/>
  <c r="AI93" i="2"/>
  <c r="AF93" i="2"/>
  <c r="AC93" i="2"/>
  <c r="Z93" i="2"/>
  <c r="W93" i="2"/>
  <c r="T93" i="2"/>
  <c r="Q93" i="2"/>
  <c r="N93" i="2"/>
  <c r="K93" i="2"/>
  <c r="H93" i="2"/>
  <c r="CW92" i="2"/>
  <c r="CV92" i="2"/>
  <c r="CU92" i="2"/>
  <c r="CT92" i="2"/>
  <c r="CQ92" i="2"/>
  <c r="CN92" i="2"/>
  <c r="CK92" i="2"/>
  <c r="CH92" i="2"/>
  <c r="CE92" i="2"/>
  <c r="CB92" i="2"/>
  <c r="BY92" i="2"/>
  <c r="BV92" i="2"/>
  <c r="BS92" i="2"/>
  <c r="BP92" i="2"/>
  <c r="BM92" i="2"/>
  <c r="BJ92" i="2"/>
  <c r="BG92" i="2"/>
  <c r="BD92" i="2"/>
  <c r="BA92" i="2"/>
  <c r="AX92" i="2"/>
  <c r="AU92" i="2"/>
  <c r="AR92" i="2"/>
  <c r="AO92" i="2"/>
  <c r="AL92" i="2"/>
  <c r="AI92" i="2"/>
  <c r="AC92" i="2"/>
  <c r="Z92" i="2"/>
  <c r="W92" i="2"/>
  <c r="T92" i="2"/>
  <c r="Q92" i="2"/>
  <c r="N92" i="2"/>
  <c r="K92" i="2"/>
  <c r="H92" i="2"/>
  <c r="CW91" i="2"/>
  <c r="CV91" i="2"/>
  <c r="CU91" i="2"/>
  <c r="CT91" i="2"/>
  <c r="CQ91" i="2"/>
  <c r="CN91" i="2"/>
  <c r="CK91" i="2"/>
  <c r="CH91" i="2"/>
  <c r="CE91" i="2"/>
  <c r="CB91" i="2"/>
  <c r="BY91" i="2"/>
  <c r="BV91" i="2"/>
  <c r="BS91" i="2"/>
  <c r="BP91" i="2"/>
  <c r="BM91" i="2"/>
  <c r="BJ91" i="2"/>
  <c r="BG91" i="2"/>
  <c r="BD91" i="2"/>
  <c r="BA91" i="2"/>
  <c r="AX91" i="2"/>
  <c r="AU91" i="2"/>
  <c r="AR91" i="2"/>
  <c r="AO91" i="2"/>
  <c r="AL91" i="2"/>
  <c r="AI91" i="2"/>
  <c r="AF91" i="2"/>
  <c r="AC91" i="2"/>
  <c r="Z91" i="2"/>
  <c r="W91" i="2"/>
  <c r="T91" i="2"/>
  <c r="Q91" i="2"/>
  <c r="N91" i="2"/>
  <c r="K91" i="2"/>
  <c r="H91" i="2"/>
  <c r="CV90" i="2"/>
  <c r="CU90" i="2"/>
  <c r="CW90" i="2" s="1"/>
  <c r="CT90" i="2"/>
  <c r="CQ90" i="2"/>
  <c r="CN90" i="2"/>
  <c r="CK90" i="2"/>
  <c r="CH90" i="2"/>
  <c r="CE90" i="2"/>
  <c r="CB90" i="2"/>
  <c r="BY90" i="2"/>
  <c r="BV90" i="2"/>
  <c r="BS90" i="2"/>
  <c r="BP90" i="2"/>
  <c r="BM90" i="2"/>
  <c r="BJ90" i="2"/>
  <c r="BD90" i="2"/>
  <c r="AX90" i="2"/>
  <c r="AU90" i="2"/>
  <c r="AO90" i="2"/>
  <c r="AL90" i="2"/>
  <c r="AI90" i="2"/>
  <c r="AF90" i="2"/>
  <c r="AC90" i="2"/>
  <c r="Z90" i="2"/>
  <c r="W90" i="2"/>
  <c r="T90" i="2"/>
  <c r="N90" i="2"/>
  <c r="K90" i="2"/>
  <c r="H90" i="2"/>
  <c r="CW89" i="2"/>
  <c r="CV89" i="2"/>
  <c r="CU89" i="2"/>
  <c r="CT89" i="2"/>
  <c r="CQ89" i="2"/>
  <c r="CN89" i="2"/>
  <c r="CK89" i="2"/>
  <c r="CH89" i="2"/>
  <c r="CE89" i="2"/>
  <c r="CB89" i="2"/>
  <c r="BY89" i="2"/>
  <c r="BV89" i="2"/>
  <c r="BS89" i="2"/>
  <c r="BP89" i="2"/>
  <c r="BM89" i="2"/>
  <c r="BJ89" i="2"/>
  <c r="BG89" i="2"/>
  <c r="BD89" i="2"/>
  <c r="BA89" i="2"/>
  <c r="AX89" i="2"/>
  <c r="AU89" i="2"/>
  <c r="AR89" i="2"/>
  <c r="AO89" i="2"/>
  <c r="AL89" i="2"/>
  <c r="AI89" i="2"/>
  <c r="AF89" i="2"/>
  <c r="AC89" i="2"/>
  <c r="Z89" i="2"/>
  <c r="W89" i="2"/>
  <c r="T89" i="2"/>
  <c r="Q89" i="2"/>
  <c r="N89" i="2"/>
  <c r="K89" i="2"/>
  <c r="H89" i="2"/>
  <c r="CV88" i="2"/>
  <c r="CU88" i="2"/>
  <c r="CW88" i="2" s="1"/>
  <c r="CT88" i="2"/>
  <c r="CQ88" i="2"/>
  <c r="CN88" i="2"/>
  <c r="CK88" i="2"/>
  <c r="CH88" i="2"/>
  <c r="CE88" i="2"/>
  <c r="CB88" i="2"/>
  <c r="BV88" i="2"/>
  <c r="BS88" i="2"/>
  <c r="BP88" i="2"/>
  <c r="BM88" i="2"/>
  <c r="BJ88" i="2"/>
  <c r="BG88" i="2"/>
  <c r="BD88" i="2"/>
  <c r="BA88" i="2"/>
  <c r="AX88" i="2"/>
  <c r="AU88" i="2"/>
  <c r="AR88" i="2"/>
  <c r="AO88" i="2"/>
  <c r="AL88" i="2"/>
  <c r="AI88" i="2"/>
  <c r="AF88" i="2"/>
  <c r="AC88" i="2"/>
  <c r="Z88" i="2"/>
  <c r="W88" i="2"/>
  <c r="T88" i="2"/>
  <c r="Q88" i="2"/>
  <c r="N88" i="2"/>
  <c r="H88" i="2"/>
  <c r="CV87" i="2"/>
  <c r="CU87" i="2"/>
  <c r="CW87" i="2" s="1"/>
  <c r="CT87" i="2"/>
  <c r="CQ87" i="2"/>
  <c r="CN87" i="2"/>
  <c r="CK87" i="2"/>
  <c r="CH87" i="2"/>
  <c r="CE87" i="2"/>
  <c r="CB87" i="2"/>
  <c r="BY87" i="2"/>
  <c r="BV87" i="2"/>
  <c r="BS87" i="2"/>
  <c r="BP87" i="2"/>
  <c r="BM87" i="2"/>
  <c r="BJ87" i="2"/>
  <c r="BG87" i="2"/>
  <c r="BD87" i="2"/>
  <c r="BA87" i="2"/>
  <c r="AX87" i="2"/>
  <c r="AU87" i="2"/>
  <c r="AR87" i="2"/>
  <c r="AO87" i="2"/>
  <c r="AL87" i="2"/>
  <c r="AI87" i="2"/>
  <c r="AF87" i="2"/>
  <c r="AC87" i="2"/>
  <c r="Z87" i="2"/>
  <c r="W87" i="2"/>
  <c r="T87" i="2"/>
  <c r="Q87" i="2"/>
  <c r="N87" i="2"/>
  <c r="K87" i="2"/>
  <c r="H87" i="2"/>
  <c r="CV86" i="2"/>
  <c r="CW86" i="2" s="1"/>
  <c r="CU86" i="2"/>
  <c r="CT86" i="2"/>
  <c r="CQ86" i="2"/>
  <c r="CN86" i="2"/>
  <c r="CK86" i="2"/>
  <c r="CH86" i="2"/>
  <c r="CE86" i="2"/>
  <c r="CB86" i="2"/>
  <c r="BY86" i="2"/>
  <c r="BV86" i="2"/>
  <c r="BS86" i="2"/>
  <c r="BP86" i="2"/>
  <c r="BM86" i="2"/>
  <c r="BJ86" i="2"/>
  <c r="BG86" i="2"/>
  <c r="BD86" i="2"/>
  <c r="BA86" i="2"/>
  <c r="AX86" i="2"/>
  <c r="AU86" i="2"/>
  <c r="AR86" i="2"/>
  <c r="AO86" i="2"/>
  <c r="AL86" i="2"/>
  <c r="AI86" i="2"/>
  <c r="AF86" i="2"/>
  <c r="AC86" i="2"/>
  <c r="Z86" i="2"/>
  <c r="W86" i="2"/>
  <c r="T86" i="2"/>
  <c r="Q86" i="2"/>
  <c r="N86" i="2"/>
  <c r="K86" i="2"/>
  <c r="H86" i="2"/>
  <c r="CV85" i="2"/>
  <c r="CU85" i="2"/>
  <c r="CW85" i="2" s="1"/>
  <c r="CT85" i="2"/>
  <c r="CQ85" i="2"/>
  <c r="CN85" i="2"/>
  <c r="CK85" i="2"/>
  <c r="CH85" i="2"/>
  <c r="CE85" i="2"/>
  <c r="CB85" i="2"/>
  <c r="BY85" i="2"/>
  <c r="BV85" i="2"/>
  <c r="BS85" i="2"/>
  <c r="BP85" i="2"/>
  <c r="BM85" i="2"/>
  <c r="BJ85" i="2"/>
  <c r="BG85" i="2"/>
  <c r="BD85" i="2"/>
  <c r="BA85" i="2"/>
  <c r="AX85" i="2"/>
  <c r="AU85" i="2"/>
  <c r="AR85" i="2"/>
  <c r="AO85" i="2"/>
  <c r="AL85" i="2"/>
  <c r="AI85" i="2"/>
  <c r="AF85" i="2"/>
  <c r="AC85" i="2"/>
  <c r="Z85" i="2"/>
  <c r="W85" i="2"/>
  <c r="T85" i="2"/>
  <c r="Q85" i="2"/>
  <c r="N85" i="2"/>
  <c r="K85" i="2"/>
  <c r="H85" i="2"/>
  <c r="CW84" i="2"/>
  <c r="CV84" i="2"/>
  <c r="CU84" i="2"/>
  <c r="CT84" i="2"/>
  <c r="CQ84" i="2"/>
  <c r="CN84" i="2"/>
  <c r="CK84" i="2"/>
  <c r="CH84" i="2"/>
  <c r="CE84" i="2"/>
  <c r="CB84" i="2"/>
  <c r="BY84" i="2"/>
  <c r="BV84" i="2"/>
  <c r="BS84" i="2"/>
  <c r="BP84" i="2"/>
  <c r="BM84" i="2"/>
  <c r="BJ84" i="2"/>
  <c r="BG84" i="2"/>
  <c r="BD84" i="2"/>
  <c r="BA84" i="2"/>
  <c r="AX84" i="2"/>
  <c r="AU84" i="2"/>
  <c r="AR84" i="2"/>
  <c r="AO84" i="2"/>
  <c r="AL84" i="2"/>
  <c r="AI84" i="2"/>
  <c r="AF84" i="2"/>
  <c r="AC84" i="2"/>
  <c r="Z84" i="2"/>
  <c r="W84" i="2"/>
  <c r="T84" i="2"/>
  <c r="Q84" i="2"/>
  <c r="N84" i="2"/>
  <c r="K84" i="2"/>
  <c r="H84" i="2"/>
  <c r="CV83" i="2"/>
  <c r="CU83" i="2"/>
  <c r="CW83" i="2" s="1"/>
  <c r="CT83" i="2"/>
  <c r="CQ83" i="2"/>
  <c r="CN83" i="2"/>
  <c r="CK83" i="2"/>
  <c r="CH83" i="2"/>
  <c r="CE83" i="2"/>
  <c r="CB83" i="2"/>
  <c r="BV83" i="2"/>
  <c r="BP83" i="2"/>
  <c r="BM83" i="2"/>
  <c r="BJ83" i="2"/>
  <c r="BG83" i="2"/>
  <c r="BD83" i="2"/>
  <c r="BA83" i="2"/>
  <c r="AX83" i="2"/>
  <c r="AU83" i="2"/>
  <c r="AR83" i="2"/>
  <c r="AO83" i="2"/>
  <c r="AL83" i="2"/>
  <c r="AI83" i="2"/>
  <c r="AF83" i="2"/>
  <c r="AC83" i="2"/>
  <c r="Z83" i="2"/>
  <c r="W83" i="2"/>
  <c r="Q83" i="2"/>
  <c r="N83" i="2"/>
  <c r="K83" i="2"/>
  <c r="H83" i="2"/>
  <c r="CV82" i="2"/>
  <c r="CW82" i="2" s="1"/>
  <c r="CU82" i="2"/>
  <c r="CT82" i="2"/>
  <c r="CQ82" i="2"/>
  <c r="CN82" i="2"/>
  <c r="CK82" i="2"/>
  <c r="CH82" i="2"/>
  <c r="CE82" i="2"/>
  <c r="CB82" i="2"/>
  <c r="BY82" i="2"/>
  <c r="BV82" i="2"/>
  <c r="BS82" i="2"/>
  <c r="BP82" i="2"/>
  <c r="BM82" i="2"/>
  <c r="BJ82" i="2"/>
  <c r="BG82" i="2"/>
  <c r="BD82" i="2"/>
  <c r="BA82" i="2"/>
  <c r="AX82" i="2"/>
  <c r="AU82" i="2"/>
  <c r="AR82" i="2"/>
  <c r="AO82" i="2"/>
  <c r="AL82" i="2"/>
  <c r="AI82" i="2"/>
  <c r="AF82" i="2"/>
  <c r="AC82" i="2"/>
  <c r="Z82" i="2"/>
  <c r="W82" i="2"/>
  <c r="T82" i="2"/>
  <c r="Q82" i="2"/>
  <c r="N82" i="2"/>
  <c r="K82" i="2"/>
  <c r="H82" i="2"/>
  <c r="CV81" i="2"/>
  <c r="CU81" i="2"/>
  <c r="CW81" i="2" s="1"/>
  <c r="CT81" i="2"/>
  <c r="CQ81" i="2"/>
  <c r="CN81" i="2"/>
  <c r="CK81" i="2"/>
  <c r="CH81" i="2"/>
  <c r="CE81" i="2"/>
  <c r="CB81" i="2"/>
  <c r="BY81" i="2"/>
  <c r="BV81" i="2"/>
  <c r="BS81" i="2"/>
  <c r="BM81" i="2"/>
  <c r="BJ81" i="2"/>
  <c r="BG81" i="2"/>
  <c r="BD81" i="2"/>
  <c r="BA81" i="2"/>
  <c r="AX81" i="2"/>
  <c r="AU81" i="2"/>
  <c r="AO81" i="2"/>
  <c r="AL81" i="2"/>
  <c r="AI81" i="2"/>
  <c r="AF81" i="2"/>
  <c r="AC81" i="2"/>
  <c r="Z81" i="2"/>
  <c r="W81" i="2"/>
  <c r="T81" i="2"/>
  <c r="Q81" i="2"/>
  <c r="N81" i="2"/>
  <c r="K81" i="2"/>
  <c r="H81" i="2"/>
  <c r="CV80" i="2"/>
  <c r="CU80" i="2"/>
  <c r="CW80" i="2" s="1"/>
  <c r="CT80" i="2"/>
  <c r="CQ80" i="2"/>
  <c r="CN80" i="2"/>
  <c r="CK80" i="2"/>
  <c r="CH80" i="2"/>
  <c r="CE80" i="2"/>
  <c r="CB80" i="2"/>
  <c r="BY80" i="2"/>
  <c r="BV80" i="2"/>
  <c r="BS80" i="2"/>
  <c r="BP80" i="2"/>
  <c r="BM80" i="2"/>
  <c r="BJ80" i="2"/>
  <c r="BG80" i="2"/>
  <c r="BD80" i="2"/>
  <c r="BA80" i="2"/>
  <c r="AX80" i="2"/>
  <c r="AU80" i="2"/>
  <c r="AR80" i="2"/>
  <c r="AO80" i="2"/>
  <c r="AL80" i="2"/>
  <c r="AI80" i="2"/>
  <c r="AF80" i="2"/>
  <c r="AC80" i="2"/>
  <c r="Z80" i="2"/>
  <c r="W80" i="2"/>
  <c r="T80" i="2"/>
  <c r="Q80" i="2"/>
  <c r="N80" i="2"/>
  <c r="K80" i="2"/>
  <c r="H80" i="2"/>
  <c r="CV79" i="2"/>
  <c r="CU79" i="2"/>
  <c r="CW79" i="2" s="1"/>
  <c r="CT79" i="2"/>
  <c r="CQ79" i="2"/>
  <c r="CN79" i="2"/>
  <c r="CK79" i="2"/>
  <c r="CH79" i="2"/>
  <c r="CE79" i="2"/>
  <c r="CB79" i="2"/>
  <c r="BV79" i="2"/>
  <c r="BS79" i="2"/>
  <c r="BP79" i="2"/>
  <c r="BM79" i="2"/>
  <c r="BJ79" i="2"/>
  <c r="BG79" i="2"/>
  <c r="BD79" i="2"/>
  <c r="BA79" i="2"/>
  <c r="AX79" i="2"/>
  <c r="AU79" i="2"/>
  <c r="AR79" i="2"/>
  <c r="AO79" i="2"/>
  <c r="AL79" i="2"/>
  <c r="AI79" i="2"/>
  <c r="AF79" i="2"/>
  <c r="AC79" i="2"/>
  <c r="Z79" i="2"/>
  <c r="W79" i="2"/>
  <c r="T79" i="2"/>
  <c r="Q79" i="2"/>
  <c r="N79" i="2"/>
  <c r="H79" i="2"/>
  <c r="CV78" i="2"/>
  <c r="CU78" i="2"/>
  <c r="CW78" i="2" s="1"/>
  <c r="CT78" i="2"/>
  <c r="CQ78" i="2"/>
  <c r="CN78" i="2"/>
  <c r="CK78" i="2"/>
  <c r="CH78" i="2"/>
  <c r="CE78" i="2"/>
  <c r="CB78" i="2"/>
  <c r="BY78" i="2"/>
  <c r="BV78" i="2"/>
  <c r="BS78" i="2"/>
  <c r="BP78" i="2"/>
  <c r="BM78" i="2"/>
  <c r="BJ78" i="2"/>
  <c r="BG78" i="2"/>
  <c r="BD78" i="2"/>
  <c r="BA78" i="2"/>
  <c r="AX78" i="2"/>
  <c r="AU78" i="2"/>
  <c r="AR78" i="2"/>
  <c r="AO78" i="2"/>
  <c r="AL78" i="2"/>
  <c r="AI78" i="2"/>
  <c r="AF78" i="2"/>
  <c r="AC78" i="2"/>
  <c r="Z78" i="2"/>
  <c r="W78" i="2"/>
  <c r="T78" i="2"/>
  <c r="Q78" i="2"/>
  <c r="N78" i="2"/>
  <c r="K78" i="2"/>
  <c r="H78" i="2"/>
  <c r="CV77" i="2"/>
  <c r="CW77" i="2" s="1"/>
  <c r="CU77" i="2"/>
  <c r="CT77" i="2"/>
  <c r="CQ77" i="2"/>
  <c r="CN77" i="2"/>
  <c r="CK77" i="2"/>
  <c r="CH77" i="2"/>
  <c r="CE77" i="2"/>
  <c r="CB77" i="2"/>
  <c r="BY77" i="2"/>
  <c r="BV77" i="2"/>
  <c r="BS77" i="2"/>
  <c r="BP77" i="2"/>
  <c r="BM77" i="2"/>
  <c r="BJ77" i="2"/>
  <c r="BG77" i="2"/>
  <c r="BD77" i="2"/>
  <c r="BA77" i="2"/>
  <c r="AX77" i="2"/>
  <c r="AU77" i="2"/>
  <c r="AR77" i="2"/>
  <c r="AO77" i="2"/>
  <c r="AL77" i="2"/>
  <c r="AI77" i="2"/>
  <c r="AF77" i="2"/>
  <c r="AC77" i="2"/>
  <c r="Z77" i="2"/>
  <c r="W77" i="2"/>
  <c r="T77" i="2"/>
  <c r="Q77" i="2"/>
  <c r="N77" i="2"/>
  <c r="K77" i="2"/>
  <c r="H77" i="2"/>
  <c r="CV76" i="2"/>
  <c r="CW76" i="2" s="1"/>
  <c r="CU76" i="2"/>
  <c r="CT76" i="2"/>
  <c r="CQ76" i="2"/>
  <c r="CN76" i="2"/>
  <c r="CK76" i="2"/>
  <c r="CH76" i="2"/>
  <c r="CE76" i="2"/>
  <c r="CB76" i="2"/>
  <c r="BY76" i="2"/>
  <c r="BV76" i="2"/>
  <c r="BS76" i="2"/>
  <c r="BM76" i="2"/>
  <c r="BJ76" i="2"/>
  <c r="BG76" i="2"/>
  <c r="BD76" i="2"/>
  <c r="BA76" i="2"/>
  <c r="AX76" i="2"/>
  <c r="AO76" i="2"/>
  <c r="AL76" i="2"/>
  <c r="AI76" i="2"/>
  <c r="AF76" i="2"/>
  <c r="AC76" i="2"/>
  <c r="Z76" i="2"/>
  <c r="W76" i="2"/>
  <c r="T76" i="2"/>
  <c r="Q76" i="2"/>
  <c r="N76" i="2"/>
  <c r="K76" i="2"/>
  <c r="H76" i="2"/>
  <c r="CW75" i="2"/>
  <c r="CV75" i="2"/>
  <c r="CU75" i="2"/>
  <c r="CT75" i="2"/>
  <c r="CQ75" i="2"/>
  <c r="CN75" i="2"/>
  <c r="CK75" i="2"/>
  <c r="CH75" i="2"/>
  <c r="CE75" i="2"/>
  <c r="CB75" i="2"/>
  <c r="BY75" i="2"/>
  <c r="BV75" i="2"/>
  <c r="BS75" i="2"/>
  <c r="BP75" i="2"/>
  <c r="BJ75" i="2"/>
  <c r="BG75" i="2"/>
  <c r="BD75" i="2"/>
  <c r="BA75" i="2"/>
  <c r="AX75" i="2"/>
  <c r="AU75" i="2"/>
  <c r="AR75" i="2"/>
  <c r="AO75" i="2"/>
  <c r="AL75" i="2"/>
  <c r="AI75" i="2"/>
  <c r="AF75" i="2"/>
  <c r="AC75" i="2"/>
  <c r="Z75" i="2"/>
  <c r="W75" i="2"/>
  <c r="T75" i="2"/>
  <c r="Q75" i="2"/>
  <c r="N75" i="2"/>
  <c r="K75" i="2"/>
  <c r="H75" i="2"/>
  <c r="CV74" i="2"/>
  <c r="CW74" i="2" s="1"/>
  <c r="CU74" i="2"/>
  <c r="CT74" i="2"/>
  <c r="CQ74" i="2"/>
  <c r="CN74" i="2"/>
  <c r="CK74" i="2"/>
  <c r="CH74" i="2"/>
  <c r="CE74" i="2"/>
  <c r="CB74" i="2"/>
  <c r="BY74" i="2"/>
  <c r="BV74" i="2"/>
  <c r="BS74" i="2"/>
  <c r="BP74" i="2"/>
  <c r="BM74" i="2"/>
  <c r="BJ74" i="2"/>
  <c r="BG74" i="2"/>
  <c r="BD74" i="2"/>
  <c r="BA74" i="2"/>
  <c r="AX74" i="2"/>
  <c r="AU74" i="2"/>
  <c r="AR74" i="2"/>
  <c r="AO74" i="2"/>
  <c r="AL74" i="2"/>
  <c r="AI74" i="2"/>
  <c r="AF74" i="2"/>
  <c r="AC74" i="2"/>
  <c r="Z74" i="2"/>
  <c r="W74" i="2"/>
  <c r="T74" i="2"/>
  <c r="Q74" i="2"/>
  <c r="N74" i="2"/>
  <c r="K74" i="2"/>
  <c r="H74" i="2"/>
  <c r="CV73" i="2"/>
  <c r="CU73" i="2"/>
  <c r="CW73" i="2" s="1"/>
  <c r="CT73" i="2"/>
  <c r="CQ73" i="2"/>
  <c r="CN73" i="2"/>
  <c r="CK73" i="2"/>
  <c r="CH73" i="2"/>
  <c r="CE73" i="2"/>
  <c r="CB73" i="2"/>
  <c r="BY73" i="2"/>
  <c r="BV73" i="2"/>
  <c r="BS73" i="2"/>
  <c r="BP73" i="2"/>
  <c r="BM73" i="2"/>
  <c r="BJ73" i="2"/>
  <c r="BG73" i="2"/>
  <c r="BD73" i="2"/>
  <c r="BA73" i="2"/>
  <c r="AU73" i="2"/>
  <c r="AR73" i="2"/>
  <c r="AO73" i="2"/>
  <c r="AL73" i="2"/>
  <c r="AI73" i="2"/>
  <c r="AF73" i="2"/>
  <c r="AC73" i="2"/>
  <c r="Z73" i="2"/>
  <c r="W73" i="2"/>
  <c r="T73" i="2"/>
  <c r="Q73" i="2"/>
  <c r="N73" i="2"/>
  <c r="K73" i="2"/>
  <c r="H73" i="2"/>
  <c r="CV72" i="2"/>
  <c r="CW72" i="2" s="1"/>
  <c r="CU72" i="2"/>
  <c r="CT72" i="2"/>
  <c r="CQ72" i="2"/>
  <c r="CN72" i="2"/>
  <c r="CK72" i="2"/>
  <c r="CH72" i="2"/>
  <c r="CE72" i="2"/>
  <c r="CB72" i="2"/>
  <c r="BY72" i="2"/>
  <c r="BV72" i="2"/>
  <c r="BS72" i="2"/>
  <c r="BP72" i="2"/>
  <c r="BM72" i="2"/>
  <c r="BJ72" i="2"/>
  <c r="BG72" i="2"/>
  <c r="BD72" i="2"/>
  <c r="BA72" i="2"/>
  <c r="AX72" i="2"/>
  <c r="AU72" i="2"/>
  <c r="AR72" i="2"/>
  <c r="AO72" i="2"/>
  <c r="AL72" i="2"/>
  <c r="AI72" i="2"/>
  <c r="AF72" i="2"/>
  <c r="AC72" i="2"/>
  <c r="Z72" i="2"/>
  <c r="W72" i="2"/>
  <c r="T72" i="2"/>
  <c r="Q72" i="2"/>
  <c r="N72" i="2"/>
  <c r="K72" i="2"/>
  <c r="H72" i="2"/>
  <c r="CV71" i="2"/>
  <c r="CU71" i="2"/>
  <c r="CW71" i="2" s="1"/>
  <c r="CT71" i="2"/>
  <c r="CQ71" i="2"/>
  <c r="CN71" i="2"/>
  <c r="CK71" i="2"/>
  <c r="CH71" i="2"/>
  <c r="CE71" i="2"/>
  <c r="CB71" i="2"/>
  <c r="BY71" i="2"/>
  <c r="BV71" i="2"/>
  <c r="BS71" i="2"/>
  <c r="BP71" i="2"/>
  <c r="BM71" i="2"/>
  <c r="BJ71" i="2"/>
  <c r="BG71" i="2"/>
  <c r="BD71" i="2"/>
  <c r="BA71" i="2"/>
  <c r="AX71" i="2"/>
  <c r="AO71" i="2"/>
  <c r="AL71" i="2"/>
  <c r="AI71" i="2"/>
  <c r="AF71" i="2"/>
  <c r="AC71" i="2"/>
  <c r="Z71" i="2"/>
  <c r="W71" i="2"/>
  <c r="T71" i="2"/>
  <c r="Q71" i="2"/>
  <c r="N71" i="2"/>
  <c r="K71" i="2"/>
  <c r="H71" i="2"/>
  <c r="CV70" i="2"/>
  <c r="CU70" i="2"/>
  <c r="CW70" i="2" s="1"/>
  <c r="CT70" i="2"/>
  <c r="CQ70" i="2"/>
  <c r="CN70" i="2"/>
  <c r="CK70" i="2"/>
  <c r="CH70" i="2"/>
  <c r="CE70" i="2"/>
  <c r="CB70" i="2"/>
  <c r="BY70" i="2"/>
  <c r="BV70" i="2"/>
  <c r="BS70" i="2"/>
  <c r="BP70" i="2"/>
  <c r="BM70" i="2"/>
  <c r="BJ70" i="2"/>
  <c r="BG70" i="2"/>
  <c r="BD70" i="2"/>
  <c r="BA70" i="2"/>
  <c r="AX70" i="2"/>
  <c r="AU70" i="2"/>
  <c r="AR70" i="2"/>
  <c r="AO70" i="2"/>
  <c r="AL70" i="2"/>
  <c r="AI70" i="2"/>
  <c r="AF70" i="2"/>
  <c r="AC70" i="2"/>
  <c r="Z70" i="2"/>
  <c r="W70" i="2"/>
  <c r="T70" i="2"/>
  <c r="Q70" i="2"/>
  <c r="N70" i="2"/>
  <c r="K70" i="2"/>
  <c r="H70" i="2"/>
  <c r="CW69" i="2"/>
  <c r="CV69" i="2"/>
  <c r="CU69" i="2"/>
  <c r="CT69" i="2"/>
  <c r="CQ69" i="2"/>
  <c r="CN69" i="2"/>
  <c r="CK69" i="2"/>
  <c r="CH69" i="2"/>
  <c r="CE69" i="2"/>
  <c r="CB69" i="2"/>
  <c r="BY69" i="2"/>
  <c r="BV69" i="2"/>
  <c r="BS69" i="2"/>
  <c r="BM69" i="2"/>
  <c r="BJ69" i="2"/>
  <c r="BG69" i="2"/>
  <c r="BD69" i="2"/>
  <c r="BA69" i="2"/>
  <c r="AX69" i="2"/>
  <c r="AU69" i="2"/>
  <c r="AR69" i="2"/>
  <c r="AO69" i="2"/>
  <c r="AL69" i="2"/>
  <c r="AI69" i="2"/>
  <c r="AF69" i="2"/>
  <c r="AC69" i="2"/>
  <c r="Z69" i="2"/>
  <c r="W69" i="2"/>
  <c r="T69" i="2"/>
  <c r="Q69" i="2"/>
  <c r="N69" i="2"/>
  <c r="K69" i="2"/>
  <c r="H69" i="2"/>
  <c r="CV68" i="2"/>
  <c r="CW68" i="2" s="1"/>
  <c r="CU68" i="2"/>
  <c r="CT68" i="2"/>
  <c r="CQ68" i="2"/>
  <c r="CN68" i="2"/>
  <c r="CK68" i="2"/>
  <c r="CH68" i="2"/>
  <c r="CE68" i="2"/>
  <c r="CB68" i="2"/>
  <c r="BY68" i="2"/>
  <c r="BV68" i="2"/>
  <c r="BS68" i="2"/>
  <c r="BP68" i="2"/>
  <c r="BM68" i="2"/>
  <c r="BJ68" i="2"/>
  <c r="BG68" i="2"/>
  <c r="BD68" i="2"/>
  <c r="BA68" i="2"/>
  <c r="AX68" i="2"/>
  <c r="AU68" i="2"/>
  <c r="AR68" i="2"/>
  <c r="AO68" i="2"/>
  <c r="AL68" i="2"/>
  <c r="AI68" i="2"/>
  <c r="AF68" i="2"/>
  <c r="AC68" i="2"/>
  <c r="W68" i="2"/>
  <c r="T68" i="2"/>
  <c r="Q68" i="2"/>
  <c r="N68" i="2"/>
  <c r="K68" i="2"/>
  <c r="H68" i="2"/>
  <c r="CV67" i="2"/>
  <c r="CU67" i="2"/>
  <c r="CW67" i="2" s="1"/>
  <c r="CT67" i="2"/>
  <c r="CQ67" i="2"/>
  <c r="CN67" i="2"/>
  <c r="CK67" i="2"/>
  <c r="CH67" i="2"/>
  <c r="CE67" i="2"/>
  <c r="CB67" i="2"/>
  <c r="BY67" i="2"/>
  <c r="BV67" i="2"/>
  <c r="BP67" i="2"/>
  <c r="BM67" i="2"/>
  <c r="BJ67" i="2"/>
  <c r="BG67" i="2"/>
  <c r="BD67" i="2"/>
  <c r="BA67" i="2"/>
  <c r="AX67" i="2"/>
  <c r="AU67" i="2"/>
  <c r="AR67" i="2"/>
  <c r="AO67" i="2"/>
  <c r="AL67" i="2"/>
  <c r="AI67" i="2"/>
  <c r="AF67" i="2"/>
  <c r="AC67" i="2"/>
  <c r="Z67" i="2"/>
  <c r="W67" i="2"/>
  <c r="T67" i="2"/>
  <c r="Q67" i="2"/>
  <c r="N67" i="2"/>
  <c r="K67" i="2"/>
  <c r="H67" i="2"/>
  <c r="CV66" i="2"/>
  <c r="CU66" i="2"/>
  <c r="CW66" i="2" s="1"/>
  <c r="CT66" i="2"/>
  <c r="CQ66" i="2"/>
  <c r="CN66" i="2"/>
  <c r="CK66" i="2"/>
  <c r="CH66" i="2"/>
  <c r="CE66" i="2"/>
  <c r="CB66" i="2"/>
  <c r="BY66" i="2"/>
  <c r="BV66" i="2"/>
  <c r="BS66" i="2"/>
  <c r="BP66" i="2"/>
  <c r="BM66" i="2"/>
  <c r="BJ66" i="2"/>
  <c r="BG66" i="2"/>
  <c r="BD66" i="2"/>
  <c r="BA66" i="2"/>
  <c r="AX66" i="2"/>
  <c r="AU66" i="2"/>
  <c r="AR66" i="2"/>
  <c r="AO66" i="2"/>
  <c r="AL66" i="2"/>
  <c r="AI66" i="2"/>
  <c r="AF66" i="2"/>
  <c r="AC66" i="2"/>
  <c r="Z66" i="2"/>
  <c r="W66" i="2"/>
  <c r="T66" i="2"/>
  <c r="Q66" i="2"/>
  <c r="N66" i="2"/>
  <c r="K66" i="2"/>
  <c r="H66" i="2"/>
  <c r="CV65" i="2"/>
  <c r="CU65" i="2"/>
  <c r="CW65" i="2" s="1"/>
  <c r="CT65" i="2"/>
  <c r="CQ65" i="2"/>
  <c r="CN65" i="2"/>
  <c r="CK65" i="2"/>
  <c r="CH65" i="2"/>
  <c r="CE65" i="2"/>
  <c r="CB65" i="2"/>
  <c r="BY65" i="2"/>
  <c r="BV65" i="2"/>
  <c r="BS65" i="2"/>
  <c r="BM65" i="2"/>
  <c r="BJ65" i="2"/>
  <c r="BG65" i="2"/>
  <c r="BD65" i="2"/>
  <c r="BA65" i="2"/>
  <c r="AX65" i="2"/>
  <c r="AO65" i="2"/>
  <c r="AL65" i="2"/>
  <c r="AI65" i="2"/>
  <c r="AF65" i="2"/>
  <c r="AC65" i="2"/>
  <c r="W65" i="2"/>
  <c r="T65" i="2"/>
  <c r="Q65" i="2"/>
  <c r="N65" i="2"/>
  <c r="K65" i="2"/>
  <c r="H65" i="2"/>
  <c r="CV64" i="2"/>
  <c r="CU64" i="2"/>
  <c r="CW64" i="2" s="1"/>
  <c r="CT64" i="2"/>
  <c r="CQ64" i="2"/>
  <c r="CN64" i="2"/>
  <c r="CK64" i="2"/>
  <c r="CH64" i="2"/>
  <c r="CE64" i="2"/>
  <c r="CB64" i="2"/>
  <c r="BY64" i="2"/>
  <c r="BV64" i="2"/>
  <c r="BS64" i="2"/>
  <c r="BP64" i="2"/>
  <c r="BM64" i="2"/>
  <c r="BJ64" i="2"/>
  <c r="BG64" i="2"/>
  <c r="BD64" i="2"/>
  <c r="BA64" i="2"/>
  <c r="AX64" i="2"/>
  <c r="AU64" i="2"/>
  <c r="AR64" i="2"/>
  <c r="AO64" i="2"/>
  <c r="AL64" i="2"/>
  <c r="AI64" i="2"/>
  <c r="AF64" i="2"/>
  <c r="AC64" i="2"/>
  <c r="Z64" i="2"/>
  <c r="W64" i="2"/>
  <c r="T64" i="2"/>
  <c r="Q64" i="2"/>
  <c r="N64" i="2"/>
  <c r="K64" i="2"/>
  <c r="H64" i="2"/>
  <c r="CV63" i="2"/>
  <c r="CU63" i="2"/>
  <c r="CW63" i="2" s="1"/>
  <c r="CT63" i="2"/>
  <c r="CQ63" i="2"/>
  <c r="CN63" i="2"/>
  <c r="CK63" i="2"/>
  <c r="CH63" i="2"/>
  <c r="CE63" i="2"/>
  <c r="CB63" i="2"/>
  <c r="BY63" i="2"/>
  <c r="BV63" i="2"/>
  <c r="BS63" i="2"/>
  <c r="BP63" i="2"/>
  <c r="BM63" i="2"/>
  <c r="BJ63" i="2"/>
  <c r="BG63" i="2"/>
  <c r="BD63" i="2"/>
  <c r="BA63" i="2"/>
  <c r="AX63" i="2"/>
  <c r="AU63" i="2"/>
  <c r="AR63" i="2"/>
  <c r="AO63" i="2"/>
  <c r="AL63" i="2"/>
  <c r="AI63" i="2"/>
  <c r="AF63" i="2"/>
  <c r="AC63" i="2"/>
  <c r="Z63" i="2"/>
  <c r="W63" i="2"/>
  <c r="T63" i="2"/>
  <c r="Q63" i="2"/>
  <c r="N63" i="2"/>
  <c r="K63" i="2"/>
  <c r="H63" i="2"/>
  <c r="CV62" i="2"/>
  <c r="CW62" i="2" s="1"/>
  <c r="CU62" i="2"/>
  <c r="CT62" i="2"/>
  <c r="CQ62" i="2"/>
  <c r="CN62" i="2"/>
  <c r="CK62" i="2"/>
  <c r="CH62" i="2"/>
  <c r="CE62" i="2"/>
  <c r="CB62" i="2"/>
  <c r="BY62" i="2"/>
  <c r="BV62" i="2"/>
  <c r="BS62" i="2"/>
  <c r="BP62" i="2"/>
  <c r="BM62" i="2"/>
  <c r="BJ62" i="2"/>
  <c r="BG62" i="2"/>
  <c r="BD62" i="2"/>
  <c r="BA62" i="2"/>
  <c r="AX62" i="2"/>
  <c r="AU62" i="2"/>
  <c r="AR62" i="2"/>
  <c r="AO62" i="2"/>
  <c r="AL62" i="2"/>
  <c r="AI62" i="2"/>
  <c r="AF62" i="2"/>
  <c r="AC62" i="2"/>
  <c r="Z62" i="2"/>
  <c r="W62" i="2"/>
  <c r="T62" i="2"/>
  <c r="Q62" i="2"/>
  <c r="N62" i="2"/>
  <c r="K62" i="2"/>
  <c r="H62" i="2"/>
  <c r="CV61" i="2"/>
  <c r="CW61" i="2" s="1"/>
  <c r="CU61" i="2"/>
  <c r="CT61" i="2"/>
  <c r="CQ61" i="2"/>
  <c r="CN61" i="2"/>
  <c r="CK61" i="2"/>
  <c r="CH61" i="2"/>
  <c r="CE61" i="2"/>
  <c r="CB61" i="2"/>
  <c r="BY61" i="2"/>
  <c r="BV61" i="2"/>
  <c r="BS61" i="2"/>
  <c r="BM61" i="2"/>
  <c r="BJ61" i="2"/>
  <c r="BG61" i="2"/>
  <c r="BD61" i="2"/>
  <c r="BA61" i="2"/>
  <c r="AX61" i="2"/>
  <c r="AO61" i="2"/>
  <c r="AL61" i="2"/>
  <c r="AI61" i="2"/>
  <c r="AF61" i="2"/>
  <c r="AC61" i="2"/>
  <c r="Z61" i="2"/>
  <c r="W61" i="2"/>
  <c r="T61" i="2"/>
  <c r="Q61" i="2"/>
  <c r="N61" i="2"/>
  <c r="K61" i="2"/>
  <c r="H61" i="2"/>
  <c r="CW60" i="2"/>
  <c r="CV60" i="2"/>
  <c r="CU60" i="2"/>
  <c r="CT60" i="2"/>
  <c r="CQ60" i="2"/>
  <c r="CN60" i="2"/>
  <c r="CK60" i="2"/>
  <c r="CH60" i="2"/>
  <c r="CE60" i="2"/>
  <c r="CB60" i="2"/>
  <c r="BY60" i="2"/>
  <c r="BV60" i="2"/>
  <c r="BS60" i="2"/>
  <c r="BP60" i="2"/>
  <c r="BM60" i="2"/>
  <c r="BJ60" i="2"/>
  <c r="BG60" i="2"/>
  <c r="BD60" i="2"/>
  <c r="BA60" i="2"/>
  <c r="AX60" i="2"/>
  <c r="AU60" i="2"/>
  <c r="AR60" i="2"/>
  <c r="AO60" i="2"/>
  <c r="AL60" i="2"/>
  <c r="AI60" i="2"/>
  <c r="AF60" i="2"/>
  <c r="AC60" i="2"/>
  <c r="Z60" i="2"/>
  <c r="W60" i="2"/>
  <c r="T60" i="2"/>
  <c r="Q60" i="2"/>
  <c r="N60" i="2"/>
  <c r="K60" i="2"/>
  <c r="H60" i="2"/>
  <c r="CV59" i="2"/>
  <c r="CU59" i="2"/>
  <c r="CW59" i="2" s="1"/>
  <c r="CT59" i="2"/>
  <c r="CQ59" i="2"/>
  <c r="CN59" i="2"/>
  <c r="CK59" i="2"/>
  <c r="CH59" i="2"/>
  <c r="CE59" i="2"/>
  <c r="CB59" i="2"/>
  <c r="BY59" i="2"/>
  <c r="BV59" i="2"/>
  <c r="BS59" i="2"/>
  <c r="BP59" i="2"/>
  <c r="BM59" i="2"/>
  <c r="BJ59" i="2"/>
  <c r="BG59" i="2"/>
  <c r="BD59" i="2"/>
  <c r="BA59" i="2"/>
  <c r="AX59" i="2"/>
  <c r="AU59" i="2"/>
  <c r="AR59" i="2"/>
  <c r="AO59" i="2"/>
  <c r="AL59" i="2"/>
  <c r="AI59" i="2"/>
  <c r="AF59" i="2"/>
  <c r="AC59" i="2"/>
  <c r="Z59" i="2"/>
  <c r="W59" i="2"/>
  <c r="T59" i="2"/>
  <c r="Q59" i="2"/>
  <c r="N59" i="2"/>
  <c r="K59" i="2"/>
  <c r="H59" i="2"/>
  <c r="CV58" i="2"/>
  <c r="CW58" i="2" s="1"/>
  <c r="CU58" i="2"/>
  <c r="CT58" i="2"/>
  <c r="CQ58" i="2"/>
  <c r="CN58" i="2"/>
  <c r="CK58" i="2"/>
  <c r="CH58" i="2"/>
  <c r="CE58" i="2"/>
  <c r="CB58" i="2"/>
  <c r="BY58" i="2"/>
  <c r="BV58" i="2"/>
  <c r="BS58" i="2"/>
  <c r="BP58" i="2"/>
  <c r="BM58" i="2"/>
  <c r="BJ58" i="2"/>
  <c r="BG58" i="2"/>
  <c r="BD58" i="2"/>
  <c r="BA58" i="2"/>
  <c r="AX58" i="2"/>
  <c r="AU58" i="2"/>
  <c r="AR58" i="2"/>
  <c r="AO58" i="2"/>
  <c r="AL58" i="2"/>
  <c r="AI58" i="2"/>
  <c r="AF58" i="2"/>
  <c r="AC58" i="2"/>
  <c r="Z58" i="2"/>
  <c r="W58" i="2"/>
  <c r="T58" i="2"/>
  <c r="Q58" i="2"/>
  <c r="N58" i="2"/>
  <c r="K58" i="2"/>
  <c r="H58" i="2"/>
  <c r="CV57" i="2"/>
  <c r="CU57" i="2"/>
  <c r="CW57" i="2" s="1"/>
  <c r="CT57" i="2"/>
  <c r="CQ57" i="2"/>
  <c r="CN57" i="2"/>
  <c r="CK57" i="2"/>
  <c r="CH57" i="2"/>
  <c r="CE57" i="2"/>
  <c r="CB57" i="2"/>
  <c r="BY57" i="2"/>
  <c r="BV57" i="2"/>
  <c r="BP57" i="2"/>
  <c r="BM57" i="2"/>
  <c r="BJ57" i="2"/>
  <c r="BG57" i="2"/>
  <c r="BD57" i="2"/>
  <c r="BA57" i="2"/>
  <c r="AX57" i="2"/>
  <c r="AU57" i="2"/>
  <c r="AR57" i="2"/>
  <c r="AO57" i="2"/>
  <c r="AL57" i="2"/>
  <c r="AI57" i="2"/>
  <c r="AF57" i="2"/>
  <c r="AC57" i="2"/>
  <c r="Z57" i="2"/>
  <c r="W57" i="2"/>
  <c r="T57" i="2"/>
  <c r="Q57" i="2"/>
  <c r="N57" i="2"/>
  <c r="K57" i="2"/>
  <c r="H57" i="2"/>
  <c r="CV56" i="2"/>
  <c r="CW56" i="2" s="1"/>
  <c r="CU56" i="2"/>
  <c r="CT56" i="2"/>
  <c r="CQ56" i="2"/>
  <c r="CN56" i="2"/>
  <c r="CK56" i="2"/>
  <c r="CH56" i="2"/>
  <c r="CE56" i="2"/>
  <c r="CB56" i="2"/>
  <c r="BY56" i="2"/>
  <c r="BV56" i="2"/>
  <c r="BS56" i="2"/>
  <c r="BP56" i="2"/>
  <c r="BM56" i="2"/>
  <c r="BJ56" i="2"/>
  <c r="BG56" i="2"/>
  <c r="BD56" i="2"/>
  <c r="BA56" i="2"/>
  <c r="AX56" i="2"/>
  <c r="AU56" i="2"/>
  <c r="AR56" i="2"/>
  <c r="AO56" i="2"/>
  <c r="AL56" i="2"/>
  <c r="AI56" i="2"/>
  <c r="AF56" i="2"/>
  <c r="AC56" i="2"/>
  <c r="Z56" i="2"/>
  <c r="W56" i="2"/>
  <c r="T56" i="2"/>
  <c r="Q56" i="2"/>
  <c r="N56" i="2"/>
  <c r="K56" i="2"/>
  <c r="H56" i="2"/>
  <c r="CV55" i="2"/>
  <c r="CW55" i="2" s="1"/>
  <c r="CU55" i="2"/>
  <c r="CT55" i="2"/>
  <c r="CQ55" i="2"/>
  <c r="CN55" i="2"/>
  <c r="CK55" i="2"/>
  <c r="CH55" i="2"/>
  <c r="CE55" i="2"/>
  <c r="CB55" i="2"/>
  <c r="BY55" i="2"/>
  <c r="BV55" i="2"/>
  <c r="BS55" i="2"/>
  <c r="BP55" i="2"/>
  <c r="BM55" i="2"/>
  <c r="BJ55" i="2"/>
  <c r="BG55" i="2"/>
  <c r="BD55" i="2"/>
  <c r="BA55" i="2"/>
  <c r="AX55" i="2"/>
  <c r="AU55" i="2"/>
  <c r="AR55" i="2"/>
  <c r="AO55" i="2"/>
  <c r="AL55" i="2"/>
  <c r="AI55" i="2"/>
  <c r="AF55" i="2"/>
  <c r="AC55" i="2"/>
  <c r="Z55" i="2"/>
  <c r="W55" i="2"/>
  <c r="T55" i="2"/>
  <c r="Q55" i="2"/>
  <c r="N55" i="2"/>
  <c r="K55" i="2"/>
  <c r="H55" i="2"/>
  <c r="CV54" i="2"/>
  <c r="CU54" i="2"/>
  <c r="CW54" i="2" s="1"/>
  <c r="CT54" i="2"/>
  <c r="CQ54" i="2"/>
  <c r="CN54" i="2"/>
  <c r="CK54" i="2"/>
  <c r="CH54" i="2"/>
  <c r="CE54" i="2"/>
  <c r="CB54" i="2"/>
  <c r="BY54" i="2"/>
  <c r="BV54" i="2"/>
  <c r="BS54" i="2"/>
  <c r="BP54" i="2"/>
  <c r="BM54" i="2"/>
  <c r="BJ54" i="2"/>
  <c r="BG54" i="2"/>
  <c r="BD54" i="2"/>
  <c r="BA54" i="2"/>
  <c r="AX54" i="2"/>
  <c r="AU54" i="2"/>
  <c r="AR54" i="2"/>
  <c r="AO54" i="2"/>
  <c r="AL54" i="2"/>
  <c r="AI54" i="2"/>
  <c r="AF54" i="2"/>
  <c r="AC54" i="2"/>
  <c r="Z54" i="2"/>
  <c r="W54" i="2"/>
  <c r="T54" i="2"/>
  <c r="Q54" i="2"/>
  <c r="N54" i="2"/>
  <c r="K54" i="2"/>
  <c r="H54" i="2"/>
  <c r="CV53" i="2"/>
  <c r="CU53" i="2"/>
  <c r="CW53" i="2" s="1"/>
  <c r="CT53" i="2"/>
  <c r="CQ53" i="2"/>
  <c r="CN53" i="2"/>
  <c r="CK53" i="2"/>
  <c r="CH53" i="2"/>
  <c r="CE53" i="2"/>
  <c r="CB53" i="2"/>
  <c r="BY53" i="2"/>
  <c r="BV53" i="2"/>
  <c r="BS53" i="2"/>
  <c r="BP53" i="2"/>
  <c r="BM53" i="2"/>
  <c r="BJ53" i="2"/>
  <c r="BG53" i="2"/>
  <c r="BD53" i="2"/>
  <c r="BA53" i="2"/>
  <c r="AX53" i="2"/>
  <c r="AU53" i="2"/>
  <c r="AR53" i="2"/>
  <c r="AO53" i="2"/>
  <c r="AL53" i="2"/>
  <c r="AI53" i="2"/>
  <c r="AC53" i="2"/>
  <c r="Z53" i="2"/>
  <c r="W53" i="2"/>
  <c r="T53" i="2"/>
  <c r="Q53" i="2"/>
  <c r="N53" i="2"/>
  <c r="K53" i="2"/>
  <c r="H53" i="2"/>
  <c r="CV52" i="2"/>
  <c r="CU52" i="2"/>
  <c r="CT52" i="2"/>
  <c r="CQ52" i="2"/>
  <c r="CN52" i="2"/>
  <c r="CK52" i="2"/>
  <c r="CH52" i="2"/>
  <c r="CE52" i="2"/>
  <c r="CB52" i="2"/>
  <c r="BY52" i="2"/>
  <c r="BV52" i="2"/>
  <c r="BS52" i="2"/>
  <c r="BM52" i="2"/>
  <c r="BJ52" i="2"/>
  <c r="BG52" i="2"/>
  <c r="BD52" i="2"/>
  <c r="BA52" i="2"/>
  <c r="AX52" i="2"/>
  <c r="AU52" i="2"/>
  <c r="AO52" i="2"/>
  <c r="AL52" i="2"/>
  <c r="AI52" i="2"/>
  <c r="AF52" i="2"/>
  <c r="AC52" i="2"/>
  <c r="Z52" i="2"/>
  <c r="W52" i="2"/>
  <c r="T52" i="2"/>
  <c r="Q52" i="2"/>
  <c r="N52" i="2"/>
  <c r="K52" i="2"/>
  <c r="H52" i="2"/>
  <c r="CV51" i="2"/>
  <c r="CU51" i="2"/>
  <c r="CW51" i="2" s="1"/>
  <c r="CT51" i="2"/>
  <c r="CQ51" i="2"/>
  <c r="CN51" i="2"/>
  <c r="CK51" i="2"/>
  <c r="CH51" i="2"/>
  <c r="CE51" i="2"/>
  <c r="CB51" i="2"/>
  <c r="BY51" i="2"/>
  <c r="BV51" i="2"/>
  <c r="BS51" i="2"/>
  <c r="BM51" i="2"/>
  <c r="BJ51" i="2"/>
  <c r="BG51" i="2"/>
  <c r="BD51" i="2"/>
  <c r="BA51" i="2"/>
  <c r="AX51" i="2"/>
  <c r="AO51" i="2"/>
  <c r="AL51" i="2"/>
  <c r="AI51" i="2"/>
  <c r="AF51" i="2"/>
  <c r="AC51" i="2"/>
  <c r="Z51" i="2"/>
  <c r="W51" i="2"/>
  <c r="T51" i="2"/>
  <c r="Q51" i="2"/>
  <c r="N51" i="2"/>
  <c r="K51" i="2"/>
  <c r="H51" i="2"/>
  <c r="CV50" i="2"/>
  <c r="CU50" i="2"/>
  <c r="CW50" i="2" s="1"/>
  <c r="CT50" i="2"/>
  <c r="CQ50" i="2"/>
  <c r="CN50" i="2"/>
  <c r="CK50" i="2"/>
  <c r="CH50" i="2"/>
  <c r="CE50" i="2"/>
  <c r="CB50" i="2"/>
  <c r="BY50" i="2"/>
  <c r="BV50" i="2"/>
  <c r="BS50" i="2"/>
  <c r="BP50" i="2"/>
  <c r="BM50" i="2"/>
  <c r="BJ50" i="2"/>
  <c r="BG50" i="2"/>
  <c r="BD50" i="2"/>
  <c r="BA50" i="2"/>
  <c r="AX50" i="2"/>
  <c r="AU50" i="2"/>
  <c r="AR50" i="2"/>
  <c r="AO50" i="2"/>
  <c r="AL50" i="2"/>
  <c r="AI50" i="2"/>
  <c r="AC50" i="2"/>
  <c r="Z50" i="2"/>
  <c r="W50" i="2"/>
  <c r="T50" i="2"/>
  <c r="Q50" i="2"/>
  <c r="N50" i="2"/>
  <c r="H50" i="2"/>
  <c r="CV49" i="2"/>
  <c r="CU49" i="2"/>
  <c r="CW49" i="2" s="1"/>
  <c r="CT49" i="2"/>
  <c r="CQ49" i="2"/>
  <c r="CN49" i="2"/>
  <c r="CK49" i="2"/>
  <c r="CH49" i="2"/>
  <c r="CE49" i="2"/>
  <c r="CB49" i="2"/>
  <c r="BY49" i="2"/>
  <c r="BV49" i="2"/>
  <c r="BS49" i="2"/>
  <c r="BP49" i="2"/>
  <c r="BM49" i="2"/>
  <c r="BJ49" i="2"/>
  <c r="BG49" i="2"/>
  <c r="BD49" i="2"/>
  <c r="BA49" i="2"/>
  <c r="AX49" i="2"/>
  <c r="AU49" i="2"/>
  <c r="AR49" i="2"/>
  <c r="AO49" i="2"/>
  <c r="AL49" i="2"/>
  <c r="AI49" i="2"/>
  <c r="AF49" i="2"/>
  <c r="AC49" i="2"/>
  <c r="Z49" i="2"/>
  <c r="W49" i="2"/>
  <c r="T49" i="2"/>
  <c r="Q49" i="2"/>
  <c r="N49" i="2"/>
  <c r="H49" i="2"/>
  <c r="CV48" i="2"/>
  <c r="CU48" i="2"/>
  <c r="CW48" i="2" s="1"/>
  <c r="CT48" i="2"/>
  <c r="CQ48" i="2"/>
  <c r="CN48" i="2"/>
  <c r="CK48" i="2"/>
  <c r="CH48" i="2"/>
  <c r="CE48" i="2"/>
  <c r="CB48" i="2"/>
  <c r="BY48" i="2"/>
  <c r="BV48" i="2"/>
  <c r="BS48" i="2"/>
  <c r="BM48" i="2"/>
  <c r="BJ48" i="2"/>
  <c r="BG48" i="2"/>
  <c r="BD48" i="2"/>
  <c r="BA48" i="2"/>
  <c r="AX48" i="2"/>
  <c r="AO48" i="2"/>
  <c r="AL48" i="2"/>
  <c r="AI48" i="2"/>
  <c r="AF48" i="2"/>
  <c r="AC48" i="2"/>
  <c r="W48" i="2"/>
  <c r="T48" i="2"/>
  <c r="Q48" i="2"/>
  <c r="N48" i="2"/>
  <c r="K48" i="2"/>
  <c r="H48" i="2"/>
  <c r="CV47" i="2"/>
  <c r="CW47" i="2" s="1"/>
  <c r="CU47" i="2"/>
  <c r="CT47" i="2"/>
  <c r="CQ47" i="2"/>
  <c r="CN47" i="2"/>
  <c r="CK47" i="2"/>
  <c r="CH47" i="2"/>
  <c r="CE47" i="2"/>
  <c r="CB47" i="2"/>
  <c r="BY47" i="2"/>
  <c r="BV47" i="2"/>
  <c r="BS47" i="2"/>
  <c r="BP47" i="2"/>
  <c r="BM47" i="2"/>
  <c r="BJ47" i="2"/>
  <c r="BG47" i="2"/>
  <c r="BD47" i="2"/>
  <c r="BA47" i="2"/>
  <c r="AX47" i="2"/>
  <c r="AU47" i="2"/>
  <c r="AR47" i="2"/>
  <c r="AO47" i="2"/>
  <c r="AL47" i="2"/>
  <c r="AI47" i="2"/>
  <c r="AF47" i="2"/>
  <c r="AC47" i="2"/>
  <c r="Z47" i="2"/>
  <c r="W47" i="2"/>
  <c r="T47" i="2"/>
  <c r="Q47" i="2"/>
  <c r="N47" i="2"/>
  <c r="K47" i="2"/>
  <c r="H47" i="2"/>
  <c r="CV46" i="2"/>
  <c r="CU46" i="2"/>
  <c r="CW46" i="2" s="1"/>
  <c r="CT46" i="2"/>
  <c r="CQ46" i="2"/>
  <c r="CN46" i="2"/>
  <c r="CK46" i="2"/>
  <c r="CH46" i="2"/>
  <c r="CE46" i="2"/>
  <c r="CB46" i="2"/>
  <c r="BY46" i="2"/>
  <c r="BV46" i="2"/>
  <c r="BS46" i="2"/>
  <c r="BM46" i="2"/>
  <c r="BJ46" i="2"/>
  <c r="BG46" i="2"/>
  <c r="BD46" i="2"/>
  <c r="BA46" i="2"/>
  <c r="AX46" i="2"/>
  <c r="AO46" i="2"/>
  <c r="AL46" i="2"/>
  <c r="AI46" i="2"/>
  <c r="AF46" i="2"/>
  <c r="AC46" i="2"/>
  <c r="W46" i="2"/>
  <c r="T46" i="2"/>
  <c r="Q46" i="2"/>
  <c r="N46" i="2"/>
  <c r="K46" i="2"/>
  <c r="H46" i="2"/>
  <c r="CV45" i="2"/>
  <c r="CW45" i="2" s="1"/>
  <c r="CU45" i="2"/>
  <c r="CT45" i="2"/>
  <c r="CQ45" i="2"/>
  <c r="CN45" i="2"/>
  <c r="CK45" i="2"/>
  <c r="CH45" i="2"/>
  <c r="CE45" i="2"/>
  <c r="CB45" i="2"/>
  <c r="BY45" i="2"/>
  <c r="BV45" i="2"/>
  <c r="BS45" i="2"/>
  <c r="BP45" i="2"/>
  <c r="BM45" i="2"/>
  <c r="BJ45" i="2"/>
  <c r="BG45" i="2"/>
  <c r="BD45" i="2"/>
  <c r="BA45" i="2"/>
  <c r="AX45" i="2"/>
  <c r="AU45" i="2"/>
  <c r="AR45" i="2"/>
  <c r="AO45" i="2"/>
  <c r="AL45" i="2"/>
  <c r="AI45" i="2"/>
  <c r="AF45" i="2"/>
  <c r="AC45" i="2"/>
  <c r="Z45" i="2"/>
  <c r="W45" i="2"/>
  <c r="T45" i="2"/>
  <c r="Q45" i="2"/>
  <c r="N45" i="2"/>
  <c r="K45" i="2"/>
  <c r="H45" i="2"/>
  <c r="CV44" i="2"/>
  <c r="CU44" i="2"/>
  <c r="CT44" i="2"/>
  <c r="CQ44" i="2"/>
  <c r="CN44" i="2"/>
  <c r="CK44" i="2"/>
  <c r="CH44" i="2"/>
  <c r="CE44" i="2"/>
  <c r="CB44" i="2"/>
  <c r="BY44" i="2"/>
  <c r="BV44" i="2"/>
  <c r="BS44" i="2"/>
  <c r="BP44" i="2"/>
  <c r="BM44" i="2"/>
  <c r="BJ44" i="2"/>
  <c r="BG44" i="2"/>
  <c r="BD44" i="2"/>
  <c r="BA44" i="2"/>
  <c r="AU44" i="2"/>
  <c r="AR44" i="2"/>
  <c r="AO44" i="2"/>
  <c r="AL44" i="2"/>
  <c r="AI44" i="2"/>
  <c r="AF44" i="2"/>
  <c r="AC44" i="2"/>
  <c r="Z44" i="2"/>
  <c r="W44" i="2"/>
  <c r="T44" i="2"/>
  <c r="Q44" i="2"/>
  <c r="N44" i="2"/>
  <c r="K44" i="2"/>
  <c r="H44" i="2"/>
  <c r="CW43" i="2"/>
  <c r="CV43" i="2"/>
  <c r="CU43" i="2"/>
  <c r="CT43" i="2"/>
  <c r="CQ43" i="2"/>
  <c r="CN43" i="2"/>
  <c r="CK43" i="2"/>
  <c r="CH43" i="2"/>
  <c r="CE43" i="2"/>
  <c r="CB43" i="2"/>
  <c r="BY43" i="2"/>
  <c r="BV43" i="2"/>
  <c r="BS43" i="2"/>
  <c r="BP43" i="2"/>
  <c r="BM43" i="2"/>
  <c r="BJ43" i="2"/>
  <c r="BG43" i="2"/>
  <c r="BD43" i="2"/>
  <c r="BA43" i="2"/>
  <c r="AX43" i="2"/>
  <c r="AU43" i="2"/>
  <c r="AR43" i="2"/>
  <c r="AO43" i="2"/>
  <c r="AL43" i="2"/>
  <c r="AI43" i="2"/>
  <c r="AF43" i="2"/>
  <c r="AC43" i="2"/>
  <c r="Z43" i="2"/>
  <c r="W43" i="2"/>
  <c r="T43" i="2"/>
  <c r="Q43" i="2"/>
  <c r="N43" i="2"/>
  <c r="K43" i="2"/>
  <c r="H43" i="2"/>
  <c r="CV42" i="2"/>
  <c r="CW42" i="2" s="1"/>
  <c r="CU42" i="2"/>
  <c r="CT42" i="2"/>
  <c r="CQ42" i="2"/>
  <c r="CN42" i="2"/>
  <c r="CK42" i="2"/>
  <c r="CH42" i="2"/>
  <c r="CE42" i="2"/>
  <c r="CB42" i="2"/>
  <c r="BY42" i="2"/>
  <c r="BV42" i="2"/>
  <c r="BS42" i="2"/>
  <c r="BP42" i="2"/>
  <c r="BM42" i="2"/>
  <c r="BJ42" i="2"/>
  <c r="BG42" i="2"/>
  <c r="BD42" i="2"/>
  <c r="BA42" i="2"/>
  <c r="AX42" i="2"/>
  <c r="AU42" i="2"/>
  <c r="AR42" i="2"/>
  <c r="AO42" i="2"/>
  <c r="AL42" i="2"/>
  <c r="AI42" i="2"/>
  <c r="AF42" i="2"/>
  <c r="AC42" i="2"/>
  <c r="Z42" i="2"/>
  <c r="W42" i="2"/>
  <c r="T42" i="2"/>
  <c r="Q42" i="2"/>
  <c r="N42" i="2"/>
  <c r="K42" i="2"/>
  <c r="H42" i="2"/>
  <c r="CV41" i="2"/>
  <c r="CU41" i="2"/>
  <c r="CW41" i="2" s="1"/>
  <c r="CT41" i="2"/>
  <c r="CQ41" i="2"/>
  <c r="CN41" i="2"/>
  <c r="CK41" i="2"/>
  <c r="CH41" i="2"/>
  <c r="CE41" i="2"/>
  <c r="CB41" i="2"/>
  <c r="BY41" i="2"/>
  <c r="BV41" i="2"/>
  <c r="BS41" i="2"/>
  <c r="BM41" i="2"/>
  <c r="BJ41" i="2"/>
  <c r="BG41" i="2"/>
  <c r="BD41" i="2"/>
  <c r="BA41" i="2"/>
  <c r="AX41" i="2"/>
  <c r="AO41" i="2"/>
  <c r="AL41" i="2"/>
  <c r="AI41" i="2"/>
  <c r="AF41" i="2"/>
  <c r="AC41" i="2"/>
  <c r="Z41" i="2"/>
  <c r="W41" i="2"/>
  <c r="T41" i="2"/>
  <c r="Q41" i="2"/>
  <c r="N41" i="2"/>
  <c r="K41" i="2"/>
  <c r="CV40" i="2"/>
  <c r="CW40" i="2" s="1"/>
  <c r="CU40" i="2"/>
  <c r="CT40" i="2"/>
  <c r="CQ40" i="2"/>
  <c r="CN40" i="2"/>
  <c r="CK40" i="2"/>
  <c r="CH40" i="2"/>
  <c r="CE40" i="2"/>
  <c r="CB40" i="2"/>
  <c r="BY40" i="2"/>
  <c r="BV40" i="2"/>
  <c r="BS40" i="2"/>
  <c r="BP40" i="2"/>
  <c r="BM40" i="2"/>
  <c r="BJ40" i="2"/>
  <c r="BG40" i="2"/>
  <c r="BD40" i="2"/>
  <c r="BA40" i="2"/>
  <c r="AX40" i="2"/>
  <c r="AU40" i="2"/>
  <c r="AR40" i="2"/>
  <c r="AO40" i="2"/>
  <c r="AL40" i="2"/>
  <c r="AI40" i="2"/>
  <c r="AF40" i="2"/>
  <c r="AC40" i="2"/>
  <c r="Z40" i="2"/>
  <c r="W40" i="2"/>
  <c r="T40" i="2"/>
  <c r="Q40" i="2"/>
  <c r="N40" i="2"/>
  <c r="K40" i="2"/>
  <c r="H40" i="2"/>
  <c r="CV39" i="2"/>
  <c r="CU39" i="2"/>
  <c r="CW39" i="2" s="1"/>
  <c r="CT39" i="2"/>
  <c r="CQ39" i="2"/>
  <c r="CN39" i="2"/>
  <c r="CK39" i="2"/>
  <c r="CH39" i="2"/>
  <c r="CE39" i="2"/>
  <c r="CB39" i="2"/>
  <c r="BY39" i="2"/>
  <c r="BV39" i="2"/>
  <c r="BS39" i="2"/>
  <c r="BP39" i="2"/>
  <c r="BM39" i="2"/>
  <c r="BJ39" i="2"/>
  <c r="BG39" i="2"/>
  <c r="BD39" i="2"/>
  <c r="BA39" i="2"/>
  <c r="AX39" i="2"/>
  <c r="AU39" i="2"/>
  <c r="AR39" i="2"/>
  <c r="AO39" i="2"/>
  <c r="AL39" i="2"/>
  <c r="AI39" i="2"/>
  <c r="AF39" i="2"/>
  <c r="AC39" i="2"/>
  <c r="Z39" i="2"/>
  <c r="W39" i="2"/>
  <c r="T39" i="2"/>
  <c r="Q39" i="2"/>
  <c r="N39" i="2"/>
  <c r="K39" i="2"/>
  <c r="H39" i="2"/>
  <c r="CV38" i="2"/>
  <c r="CU38" i="2"/>
  <c r="CW38" i="2" s="1"/>
  <c r="CT38" i="2"/>
  <c r="CQ38" i="2"/>
  <c r="CN38" i="2"/>
  <c r="CK38" i="2"/>
  <c r="CH38" i="2"/>
  <c r="CE38" i="2"/>
  <c r="CB38" i="2"/>
  <c r="BY38" i="2"/>
  <c r="BV38" i="2"/>
  <c r="BS38" i="2"/>
  <c r="BP38" i="2"/>
  <c r="BM38" i="2"/>
  <c r="BJ38" i="2"/>
  <c r="BG38" i="2"/>
  <c r="BD38" i="2"/>
  <c r="BA38" i="2"/>
  <c r="AX38" i="2"/>
  <c r="AU38" i="2"/>
  <c r="AR38" i="2"/>
  <c r="AO38" i="2"/>
  <c r="AL38" i="2"/>
  <c r="AI38" i="2"/>
  <c r="AF38" i="2"/>
  <c r="AC38" i="2"/>
  <c r="Z38" i="2"/>
  <c r="W38" i="2"/>
  <c r="T38" i="2"/>
  <c r="Q38" i="2"/>
  <c r="N38" i="2"/>
  <c r="K38" i="2"/>
  <c r="H38" i="2"/>
  <c r="CV37" i="2"/>
  <c r="CW37" i="2" s="1"/>
  <c r="CU37" i="2"/>
  <c r="CT37" i="2"/>
  <c r="CQ37" i="2"/>
  <c r="CN37" i="2"/>
  <c r="CK37" i="2"/>
  <c r="CH37" i="2"/>
  <c r="CE37" i="2"/>
  <c r="CB37" i="2"/>
  <c r="BY37" i="2"/>
  <c r="BV37" i="2"/>
  <c r="BS37" i="2"/>
  <c r="BP37" i="2"/>
  <c r="BM37" i="2"/>
  <c r="BJ37" i="2"/>
  <c r="BG37" i="2"/>
  <c r="BA37" i="2"/>
  <c r="AU37" i="2"/>
  <c r="AR37" i="2"/>
  <c r="AO37" i="2"/>
  <c r="AL37" i="2"/>
  <c r="AF37" i="2"/>
  <c r="AC37" i="2"/>
  <c r="W37" i="2"/>
  <c r="T37" i="2"/>
  <c r="N37" i="2"/>
  <c r="H37" i="2"/>
  <c r="CV36" i="2"/>
  <c r="CU36" i="2"/>
  <c r="CW36" i="2" s="1"/>
  <c r="CT36" i="2"/>
  <c r="CQ36" i="2"/>
  <c r="CN36" i="2"/>
  <c r="CK36" i="2"/>
  <c r="CH36" i="2"/>
  <c r="CE36" i="2"/>
  <c r="CB36" i="2"/>
  <c r="BY36" i="2"/>
  <c r="BV36" i="2"/>
  <c r="BS36" i="2"/>
  <c r="BM36" i="2"/>
  <c r="BJ36" i="2"/>
  <c r="BG36" i="2"/>
  <c r="BD36" i="2"/>
  <c r="BA36" i="2"/>
  <c r="AX36" i="2"/>
  <c r="AO36" i="2"/>
  <c r="AL36" i="2"/>
  <c r="AI36" i="2"/>
  <c r="AF36" i="2"/>
  <c r="AC36" i="2"/>
  <c r="Z36" i="2"/>
  <c r="T36" i="2"/>
  <c r="Q36" i="2"/>
  <c r="N36" i="2"/>
  <c r="H36" i="2"/>
  <c r="CW35" i="2"/>
  <c r="CV35" i="2"/>
  <c r="CU35" i="2"/>
  <c r="CT35" i="2"/>
  <c r="CQ35" i="2"/>
  <c r="CN35" i="2"/>
  <c r="CK35" i="2"/>
  <c r="CH35" i="2"/>
  <c r="CE35" i="2"/>
  <c r="CB35" i="2"/>
  <c r="BY35" i="2"/>
  <c r="BV35" i="2"/>
  <c r="BS35" i="2"/>
  <c r="BP35" i="2"/>
  <c r="BM35" i="2"/>
  <c r="BJ35" i="2"/>
  <c r="BG35" i="2"/>
  <c r="BD35" i="2"/>
  <c r="BA35" i="2"/>
  <c r="AX35" i="2"/>
  <c r="AU35" i="2"/>
  <c r="AR35" i="2"/>
  <c r="AO35" i="2"/>
  <c r="AL35" i="2"/>
  <c r="AI35" i="2"/>
  <c r="AF35" i="2"/>
  <c r="AC35" i="2"/>
  <c r="Z35" i="2"/>
  <c r="W35" i="2"/>
  <c r="T35" i="2"/>
  <c r="Q35" i="2"/>
  <c r="N35" i="2"/>
  <c r="K35" i="2"/>
  <c r="H35" i="2"/>
  <c r="CV34" i="2"/>
  <c r="CU34" i="2"/>
  <c r="CW34" i="2" s="1"/>
  <c r="CT34" i="2"/>
  <c r="CQ34" i="2"/>
  <c r="CN34" i="2"/>
  <c r="CK34" i="2"/>
  <c r="CH34" i="2"/>
  <c r="CE34" i="2"/>
  <c r="CB34" i="2"/>
  <c r="BY34" i="2"/>
  <c r="BV34" i="2"/>
  <c r="BS34" i="2"/>
  <c r="BM34" i="2"/>
  <c r="BJ34" i="2"/>
  <c r="BG34" i="2"/>
  <c r="BD34" i="2"/>
  <c r="BA34" i="2"/>
  <c r="AX34" i="2"/>
  <c r="AO34" i="2"/>
  <c r="AL34" i="2"/>
  <c r="AI34" i="2"/>
  <c r="AF34" i="2"/>
  <c r="AC34" i="2"/>
  <c r="Z34" i="2"/>
  <c r="W34" i="2"/>
  <c r="T34" i="2"/>
  <c r="Q34" i="2"/>
  <c r="N34" i="2"/>
  <c r="K34" i="2"/>
  <c r="H34" i="2"/>
  <c r="CV33" i="2"/>
  <c r="CW33" i="2" s="1"/>
  <c r="CU33" i="2"/>
  <c r="CT33" i="2"/>
  <c r="CQ33" i="2"/>
  <c r="CN33" i="2"/>
  <c r="CK33" i="2"/>
  <c r="CH33" i="2"/>
  <c r="CE33" i="2"/>
  <c r="CB33" i="2"/>
  <c r="BY33" i="2"/>
  <c r="BV33" i="2"/>
  <c r="BS33" i="2"/>
  <c r="BP33" i="2"/>
  <c r="BM33" i="2"/>
  <c r="BJ33" i="2"/>
  <c r="BG33" i="2"/>
  <c r="BD33" i="2"/>
  <c r="BA33" i="2"/>
  <c r="AX33" i="2"/>
  <c r="AU33" i="2"/>
  <c r="AR33" i="2"/>
  <c r="AO33" i="2"/>
  <c r="AL33" i="2"/>
  <c r="AI33" i="2"/>
  <c r="AF33" i="2"/>
  <c r="AC33" i="2"/>
  <c r="Z33" i="2"/>
  <c r="W33" i="2"/>
  <c r="T33" i="2"/>
  <c r="Q33" i="2"/>
  <c r="N33" i="2"/>
  <c r="K33" i="2"/>
  <c r="H33" i="2"/>
  <c r="CV32" i="2"/>
  <c r="CU32" i="2"/>
  <c r="CW32" i="2" s="1"/>
  <c r="CT32" i="2"/>
  <c r="CQ32" i="2"/>
  <c r="CN32" i="2"/>
  <c r="CK32" i="2"/>
  <c r="CH32" i="2"/>
  <c r="CE32" i="2"/>
  <c r="CB32" i="2"/>
  <c r="BY32" i="2"/>
  <c r="BV32" i="2"/>
  <c r="BS32" i="2"/>
  <c r="BP32" i="2"/>
  <c r="BM32" i="2"/>
  <c r="BJ32" i="2"/>
  <c r="BG32" i="2"/>
  <c r="BD32" i="2"/>
  <c r="BA32" i="2"/>
  <c r="AX32" i="2"/>
  <c r="AU32" i="2"/>
  <c r="AR32" i="2"/>
  <c r="AO32" i="2"/>
  <c r="AL32" i="2"/>
  <c r="AI32" i="2"/>
  <c r="AF32" i="2"/>
  <c r="AC32" i="2"/>
  <c r="Z32" i="2"/>
  <c r="W32" i="2"/>
  <c r="T32" i="2"/>
  <c r="Q32" i="2"/>
  <c r="N32" i="2"/>
  <c r="K32" i="2"/>
  <c r="H32" i="2"/>
  <c r="CV31" i="2"/>
  <c r="CU31" i="2"/>
  <c r="CW31" i="2" s="1"/>
  <c r="CT31" i="2"/>
  <c r="CQ31" i="2"/>
  <c r="CN31" i="2"/>
  <c r="CK31" i="2"/>
  <c r="CH31" i="2"/>
  <c r="CE31" i="2"/>
  <c r="CB31" i="2"/>
  <c r="BY31" i="2"/>
  <c r="BV31" i="2"/>
  <c r="BS31" i="2"/>
  <c r="BM31" i="2"/>
  <c r="BJ31" i="2"/>
  <c r="BG31" i="2"/>
  <c r="BD31" i="2"/>
  <c r="BA31" i="2"/>
  <c r="AX31" i="2"/>
  <c r="AU31" i="2"/>
  <c r="AR31" i="2"/>
  <c r="AO31" i="2"/>
  <c r="AL31" i="2"/>
  <c r="AI31" i="2"/>
  <c r="AF31" i="2"/>
  <c r="AC31" i="2"/>
  <c r="Z31" i="2"/>
  <c r="W31" i="2"/>
  <c r="T31" i="2"/>
  <c r="Q31" i="2"/>
  <c r="N31" i="2"/>
  <c r="K31" i="2"/>
  <c r="H31" i="2"/>
  <c r="CV30" i="2"/>
  <c r="CU30" i="2"/>
  <c r="CW30" i="2" s="1"/>
  <c r="CT30" i="2"/>
  <c r="CQ30" i="2"/>
  <c r="CN30" i="2"/>
  <c r="CK30" i="2"/>
  <c r="CH30" i="2"/>
  <c r="CE30" i="2"/>
  <c r="CB30" i="2"/>
  <c r="BY30" i="2"/>
  <c r="BV30" i="2"/>
  <c r="BS30" i="2"/>
  <c r="BP30" i="2"/>
  <c r="BM30" i="2"/>
  <c r="BJ30" i="2"/>
  <c r="BG30" i="2"/>
  <c r="BD30" i="2"/>
  <c r="BA30" i="2"/>
  <c r="AX30" i="2"/>
  <c r="AU30" i="2"/>
  <c r="AR30" i="2"/>
  <c r="AO30" i="2"/>
  <c r="AL30" i="2"/>
  <c r="AI30" i="2"/>
  <c r="AF30" i="2"/>
  <c r="AC30" i="2"/>
  <c r="Z30" i="2"/>
  <c r="W30" i="2"/>
  <c r="T30" i="2"/>
  <c r="Q30" i="2"/>
  <c r="N30" i="2"/>
  <c r="K30" i="2"/>
  <c r="H30" i="2"/>
  <c r="CW29" i="2"/>
  <c r="CV29" i="2"/>
  <c r="CU29" i="2"/>
  <c r="CT29" i="2"/>
  <c r="CQ29" i="2"/>
  <c r="CN29" i="2"/>
  <c r="CK29" i="2"/>
  <c r="CH29" i="2"/>
  <c r="CE29" i="2"/>
  <c r="CB29" i="2"/>
  <c r="BY29" i="2"/>
  <c r="BV29" i="2"/>
  <c r="BS29" i="2"/>
  <c r="BP29" i="2"/>
  <c r="BM29" i="2"/>
  <c r="BJ29" i="2"/>
  <c r="BG29" i="2"/>
  <c r="BD29" i="2"/>
  <c r="BA29" i="2"/>
  <c r="AX29" i="2"/>
  <c r="AO29" i="2"/>
  <c r="AL29" i="2"/>
  <c r="AI29" i="2"/>
  <c r="AF29" i="2"/>
  <c r="AC29" i="2"/>
  <c r="Z29" i="2"/>
  <c r="W29" i="2"/>
  <c r="T29" i="2"/>
  <c r="Q29" i="2"/>
  <c r="N29" i="2"/>
  <c r="K29" i="2"/>
  <c r="H29" i="2"/>
  <c r="CW28" i="2"/>
  <c r="CV28" i="2"/>
  <c r="CU28" i="2"/>
  <c r="CT28" i="2"/>
  <c r="CQ28" i="2"/>
  <c r="CN28" i="2"/>
  <c r="CK28" i="2"/>
  <c r="CH28" i="2"/>
  <c r="CE28" i="2"/>
  <c r="CB28" i="2"/>
  <c r="BY28" i="2"/>
  <c r="BV28" i="2"/>
  <c r="BS28" i="2"/>
  <c r="BP28" i="2"/>
  <c r="BM28" i="2"/>
  <c r="BJ28" i="2"/>
  <c r="BG28" i="2"/>
  <c r="BD28" i="2"/>
  <c r="BA28" i="2"/>
  <c r="AX28" i="2"/>
  <c r="AU28" i="2"/>
  <c r="AR28" i="2"/>
  <c r="AO28" i="2"/>
  <c r="AL28" i="2"/>
  <c r="AI28" i="2"/>
  <c r="AF28" i="2"/>
  <c r="AC28" i="2"/>
  <c r="Z28" i="2"/>
  <c r="W28" i="2"/>
  <c r="T28" i="2"/>
  <c r="Q28" i="2"/>
  <c r="N28" i="2"/>
  <c r="K28" i="2"/>
  <c r="H28" i="2"/>
  <c r="CV27" i="2"/>
  <c r="CU27" i="2"/>
  <c r="CW27" i="2" s="1"/>
  <c r="CT27" i="2"/>
  <c r="CQ27" i="2"/>
  <c r="CN27" i="2"/>
  <c r="CK27" i="2"/>
  <c r="CH27" i="2"/>
  <c r="CE27" i="2"/>
  <c r="CB27" i="2"/>
  <c r="BY27" i="2"/>
  <c r="BV27" i="2"/>
  <c r="BS27" i="2"/>
  <c r="BM27" i="2"/>
  <c r="BJ27" i="2"/>
  <c r="BG27" i="2"/>
  <c r="BD27" i="2"/>
  <c r="BA27" i="2"/>
  <c r="AX27" i="2"/>
  <c r="AO27" i="2"/>
  <c r="AL27" i="2"/>
  <c r="AI27" i="2"/>
  <c r="AF27" i="2"/>
  <c r="AC27" i="2"/>
  <c r="Z27" i="2"/>
  <c r="W27" i="2"/>
  <c r="T27" i="2"/>
  <c r="Q27" i="2"/>
  <c r="N27" i="2"/>
  <c r="K27" i="2"/>
  <c r="H27" i="2"/>
  <c r="CV26" i="2"/>
  <c r="CW26" i="2" s="1"/>
  <c r="CU26" i="2"/>
  <c r="CT26" i="2"/>
  <c r="CQ26" i="2"/>
  <c r="CN26" i="2"/>
  <c r="CK26" i="2"/>
  <c r="CH26" i="2"/>
  <c r="CE26" i="2"/>
  <c r="CB26" i="2"/>
  <c r="BY26" i="2"/>
  <c r="BV26" i="2"/>
  <c r="BS26" i="2"/>
  <c r="BP26" i="2"/>
  <c r="BM26" i="2"/>
  <c r="BJ26" i="2"/>
  <c r="BG26" i="2"/>
  <c r="BD26" i="2"/>
  <c r="BA26" i="2"/>
  <c r="AX26" i="2"/>
  <c r="AO26" i="2"/>
  <c r="AL26" i="2"/>
  <c r="AI26" i="2"/>
  <c r="AF26" i="2"/>
  <c r="AC26" i="2"/>
  <c r="Z26" i="2"/>
  <c r="W26" i="2"/>
  <c r="T26" i="2"/>
  <c r="Q26" i="2"/>
  <c r="N26" i="2"/>
  <c r="K26" i="2"/>
  <c r="H26" i="2"/>
  <c r="CV25" i="2"/>
  <c r="CW25" i="2" s="1"/>
  <c r="CU25" i="2"/>
  <c r="CT25" i="2"/>
  <c r="CQ25" i="2"/>
  <c r="CN25" i="2"/>
  <c r="CK25" i="2"/>
  <c r="CH25" i="2"/>
  <c r="CE25" i="2"/>
  <c r="CB25" i="2"/>
  <c r="BV25" i="2"/>
  <c r="BS25" i="2"/>
  <c r="BM25" i="2"/>
  <c r="BJ25" i="2"/>
  <c r="BG25" i="2"/>
  <c r="BD25" i="2"/>
  <c r="BA25" i="2"/>
  <c r="AX25" i="2"/>
  <c r="AO25" i="2"/>
  <c r="AL25" i="2"/>
  <c r="AI25" i="2"/>
  <c r="AF25" i="2"/>
  <c r="AC25" i="2"/>
  <c r="Z25" i="2"/>
  <c r="W25" i="2"/>
  <c r="T25" i="2"/>
  <c r="Q25" i="2"/>
  <c r="N25" i="2"/>
  <c r="K25" i="2"/>
  <c r="H25" i="2"/>
  <c r="CV24" i="2"/>
  <c r="CW24" i="2" s="1"/>
  <c r="CU24" i="2"/>
  <c r="CT24" i="2"/>
  <c r="CQ24" i="2"/>
  <c r="CN24" i="2"/>
  <c r="CK24" i="2"/>
  <c r="CH24" i="2"/>
  <c r="CE24" i="2"/>
  <c r="CB24" i="2"/>
  <c r="BY24" i="2"/>
  <c r="BV24" i="2"/>
  <c r="BS24" i="2"/>
  <c r="BP24" i="2"/>
  <c r="BM24" i="2"/>
  <c r="BJ24" i="2"/>
  <c r="BG24" i="2"/>
  <c r="BD24" i="2"/>
  <c r="BA24" i="2"/>
  <c r="AX24" i="2"/>
  <c r="AU24" i="2"/>
  <c r="AR24" i="2"/>
  <c r="AO24" i="2"/>
  <c r="AL24" i="2"/>
  <c r="AI24" i="2"/>
  <c r="AF24" i="2"/>
  <c r="AC24" i="2"/>
  <c r="Z24" i="2"/>
  <c r="W24" i="2"/>
  <c r="T24" i="2"/>
  <c r="Q24" i="2"/>
  <c r="N24" i="2"/>
  <c r="K24" i="2"/>
  <c r="H24" i="2"/>
  <c r="CV23" i="2"/>
  <c r="CW23" i="2" s="1"/>
  <c r="CU23" i="2"/>
  <c r="CT23" i="2"/>
  <c r="CQ23" i="2"/>
  <c r="CN23" i="2"/>
  <c r="CK23" i="2"/>
  <c r="CH23" i="2"/>
  <c r="CE23" i="2"/>
  <c r="CB23" i="2"/>
  <c r="BY23" i="2"/>
  <c r="BV23" i="2"/>
  <c r="BS23" i="2"/>
  <c r="BP23" i="2"/>
  <c r="BM23" i="2"/>
  <c r="BJ23" i="2"/>
  <c r="BG23" i="2"/>
  <c r="BD23" i="2"/>
  <c r="BA23" i="2"/>
  <c r="AX23" i="2"/>
  <c r="AU23" i="2"/>
  <c r="AR23" i="2"/>
  <c r="AO23" i="2"/>
  <c r="AL23" i="2"/>
  <c r="AI23" i="2"/>
  <c r="AF23" i="2"/>
  <c r="AC23" i="2"/>
  <c r="Z23" i="2"/>
  <c r="W23" i="2"/>
  <c r="T23" i="2"/>
  <c r="Q23" i="2"/>
  <c r="N23" i="2"/>
  <c r="K23" i="2"/>
  <c r="H23" i="2"/>
  <c r="CV22" i="2"/>
  <c r="CU22" i="2"/>
  <c r="CW22" i="2" s="1"/>
  <c r="CT22" i="2"/>
  <c r="CQ22" i="2"/>
  <c r="CN22" i="2"/>
  <c r="CK22" i="2"/>
  <c r="CH22" i="2"/>
  <c r="CE22" i="2"/>
  <c r="CB22" i="2"/>
  <c r="BY22" i="2"/>
  <c r="BV22" i="2"/>
  <c r="BS22" i="2"/>
  <c r="BP22" i="2"/>
  <c r="BJ22" i="2"/>
  <c r="BG22" i="2"/>
  <c r="BD22" i="2"/>
  <c r="BA22" i="2"/>
  <c r="AX22" i="2"/>
  <c r="AU22" i="2"/>
  <c r="AR22" i="2"/>
  <c r="AO22" i="2"/>
  <c r="AL22" i="2"/>
  <c r="AI22" i="2"/>
  <c r="AF22" i="2"/>
  <c r="AC22" i="2"/>
  <c r="Z22" i="2"/>
  <c r="W22" i="2"/>
  <c r="T22" i="2"/>
  <c r="Q22" i="2"/>
  <c r="K22" i="2"/>
  <c r="H22" i="2"/>
  <c r="CV21" i="2"/>
  <c r="CU21" i="2"/>
  <c r="CW21" i="2" s="1"/>
  <c r="CT21" i="2"/>
  <c r="CQ21" i="2"/>
  <c r="CN21" i="2"/>
  <c r="CK21" i="2"/>
  <c r="CH21" i="2"/>
  <c r="CE21" i="2"/>
  <c r="CB21" i="2"/>
  <c r="BY21" i="2"/>
  <c r="BV21" i="2"/>
  <c r="BS21" i="2"/>
  <c r="BP21" i="2"/>
  <c r="BM21" i="2"/>
  <c r="BJ21" i="2"/>
  <c r="BG21" i="2"/>
  <c r="BD21" i="2"/>
  <c r="BA21" i="2"/>
  <c r="AX21" i="2"/>
  <c r="AU21" i="2"/>
  <c r="AR21" i="2"/>
  <c r="AO21" i="2"/>
  <c r="AL21" i="2"/>
  <c r="AI21" i="2"/>
  <c r="AF21" i="2"/>
  <c r="AC21" i="2"/>
  <c r="Z21" i="2"/>
  <c r="W21" i="2"/>
  <c r="T21" i="2"/>
  <c r="Q21" i="2"/>
  <c r="N21" i="2"/>
  <c r="K21" i="2"/>
  <c r="H21" i="2"/>
  <c r="CW20" i="2"/>
  <c r="CV20" i="2"/>
  <c r="CU20" i="2"/>
  <c r="CT20" i="2"/>
  <c r="CQ20" i="2"/>
  <c r="CN20" i="2"/>
  <c r="CK20" i="2"/>
  <c r="CH20" i="2"/>
  <c r="CE20" i="2"/>
  <c r="CB20" i="2"/>
  <c r="BY20" i="2"/>
  <c r="BV20" i="2"/>
  <c r="BS20" i="2"/>
  <c r="BP20" i="2"/>
  <c r="BM20" i="2"/>
  <c r="BJ20" i="2"/>
  <c r="BG20" i="2"/>
  <c r="BD20" i="2"/>
  <c r="BA20" i="2"/>
  <c r="AX20" i="2"/>
  <c r="AO20" i="2"/>
  <c r="AL20" i="2"/>
  <c r="AI20" i="2"/>
  <c r="AF20" i="2"/>
  <c r="AC20" i="2"/>
  <c r="Z20" i="2"/>
  <c r="W20" i="2"/>
  <c r="T20" i="2"/>
  <c r="Q20" i="2"/>
  <c r="N20" i="2"/>
  <c r="K20" i="2"/>
  <c r="H20" i="2"/>
  <c r="CW19" i="2"/>
  <c r="CV19" i="2"/>
  <c r="CU19" i="2"/>
  <c r="CT19" i="2"/>
  <c r="CQ19" i="2"/>
  <c r="CN19" i="2"/>
  <c r="CK19" i="2"/>
  <c r="CH19" i="2"/>
  <c r="CE19" i="2"/>
  <c r="CB19" i="2"/>
  <c r="BY19" i="2"/>
  <c r="BV19" i="2"/>
  <c r="BS19" i="2"/>
  <c r="BP19" i="2"/>
  <c r="BM19" i="2"/>
  <c r="BJ19" i="2"/>
  <c r="BG19" i="2"/>
  <c r="BD19" i="2"/>
  <c r="BA19" i="2"/>
  <c r="AX19" i="2"/>
  <c r="AU19" i="2"/>
  <c r="AR19" i="2"/>
  <c r="AO19" i="2"/>
  <c r="AL19" i="2"/>
  <c r="AI19" i="2"/>
  <c r="AF19" i="2"/>
  <c r="AC19" i="2"/>
  <c r="Z19" i="2"/>
  <c r="W19" i="2"/>
  <c r="T19" i="2"/>
  <c r="Q19" i="2"/>
  <c r="N19" i="2"/>
  <c r="K19" i="2"/>
  <c r="H19" i="2"/>
  <c r="CW18" i="2"/>
  <c r="CV18" i="2"/>
  <c r="CU18" i="2"/>
  <c r="CT18" i="2"/>
  <c r="CQ18" i="2"/>
  <c r="CN18" i="2"/>
  <c r="CK18" i="2"/>
  <c r="CH18" i="2"/>
  <c r="CE18" i="2"/>
  <c r="CB18" i="2"/>
  <c r="BY18" i="2"/>
  <c r="BV18" i="2"/>
  <c r="BS18" i="2"/>
  <c r="BM18" i="2"/>
  <c r="BJ18" i="2"/>
  <c r="BG18" i="2"/>
  <c r="BD18" i="2"/>
  <c r="BA18" i="2"/>
  <c r="AX18" i="2"/>
  <c r="AO18" i="2"/>
  <c r="AL18" i="2"/>
  <c r="AI18" i="2"/>
  <c r="AF18" i="2"/>
  <c r="AC18" i="2"/>
  <c r="Z18" i="2"/>
  <c r="W18" i="2"/>
  <c r="T18" i="2"/>
  <c r="Q18" i="2"/>
  <c r="N18" i="2"/>
  <c r="H18" i="2"/>
  <c r="CW17" i="2"/>
  <c r="CV17" i="2"/>
  <c r="CU17" i="2"/>
  <c r="CT17" i="2"/>
  <c r="CQ17" i="2"/>
  <c r="CN17" i="2"/>
  <c r="CK17" i="2"/>
  <c r="CH17" i="2"/>
  <c r="CE17" i="2"/>
  <c r="CB17" i="2"/>
  <c r="BY17" i="2"/>
  <c r="BV17" i="2"/>
  <c r="BS17" i="2"/>
  <c r="BP17" i="2"/>
  <c r="BM17" i="2"/>
  <c r="BJ17" i="2"/>
  <c r="BG17" i="2"/>
  <c r="BD17" i="2"/>
  <c r="BA17" i="2"/>
  <c r="AX17" i="2"/>
  <c r="AU17" i="2"/>
  <c r="AR17" i="2"/>
  <c r="AO17" i="2"/>
  <c r="AL17" i="2"/>
  <c r="AI17" i="2"/>
  <c r="AF17" i="2"/>
  <c r="AC17" i="2"/>
  <c r="W17" i="2"/>
  <c r="T17" i="2"/>
  <c r="Q17" i="2"/>
  <c r="N17" i="2"/>
  <c r="K17" i="2"/>
  <c r="H17" i="2"/>
  <c r="CV16" i="2"/>
  <c r="CU16" i="2"/>
  <c r="CT16" i="2"/>
  <c r="CQ16" i="2"/>
  <c r="CN16" i="2"/>
  <c r="CK16" i="2"/>
  <c r="CH16" i="2"/>
  <c r="CE16" i="2"/>
  <c r="CB16" i="2"/>
  <c r="BY16" i="2"/>
  <c r="BV16" i="2"/>
  <c r="BS16" i="2"/>
  <c r="BP16" i="2"/>
  <c r="BM16" i="2"/>
  <c r="BJ16" i="2"/>
  <c r="BG16" i="2"/>
  <c r="BD16" i="2"/>
  <c r="BA16" i="2"/>
  <c r="AX16" i="2"/>
  <c r="AU16" i="2"/>
  <c r="AR16" i="2"/>
  <c r="AO16" i="2"/>
  <c r="AL16" i="2"/>
  <c r="AI16" i="2"/>
  <c r="AF16" i="2"/>
  <c r="AC16" i="2"/>
  <c r="Z16" i="2"/>
  <c r="W16" i="2"/>
  <c r="T16" i="2"/>
  <c r="Q16" i="2"/>
  <c r="N16" i="2"/>
  <c r="K16" i="2"/>
  <c r="H16" i="2"/>
  <c r="CW15" i="2"/>
  <c r="CV15" i="2"/>
  <c r="CU15" i="2"/>
  <c r="CT15" i="2"/>
  <c r="CQ15" i="2"/>
  <c r="CN15" i="2"/>
  <c r="CK15" i="2"/>
  <c r="CH15" i="2"/>
  <c r="CE15" i="2"/>
  <c r="CB15" i="2"/>
  <c r="BY15" i="2"/>
  <c r="BV15" i="2"/>
  <c r="BS15" i="2"/>
  <c r="BP15" i="2"/>
  <c r="BM15" i="2"/>
  <c r="BJ15" i="2"/>
  <c r="BG15" i="2"/>
  <c r="BD15" i="2"/>
  <c r="BA15" i="2"/>
  <c r="AX15" i="2"/>
  <c r="AU15" i="2"/>
  <c r="AR15" i="2"/>
  <c r="AO15" i="2"/>
  <c r="AL15" i="2"/>
  <c r="AI15" i="2"/>
  <c r="AF15" i="2"/>
  <c r="AC15" i="2"/>
  <c r="Z15" i="2"/>
  <c r="W15" i="2"/>
  <c r="T15" i="2"/>
  <c r="Q15" i="2"/>
  <c r="N15" i="2"/>
  <c r="K15" i="2"/>
  <c r="H15" i="2"/>
  <c r="CV14" i="2"/>
  <c r="CU14" i="2"/>
  <c r="CW14" i="2" s="1"/>
  <c r="CT14" i="2"/>
  <c r="CQ14" i="2"/>
  <c r="CN14" i="2"/>
  <c r="CK14" i="2"/>
  <c r="CH14" i="2"/>
  <c r="CE14" i="2"/>
  <c r="CB14" i="2"/>
  <c r="BY14" i="2"/>
  <c r="BV14" i="2"/>
  <c r="BS14" i="2"/>
  <c r="BM14" i="2"/>
  <c r="BJ14" i="2"/>
  <c r="BG14" i="2"/>
  <c r="BD14" i="2"/>
  <c r="BA14" i="2"/>
  <c r="AX14" i="2"/>
  <c r="AU14" i="2"/>
  <c r="AR14" i="2"/>
  <c r="AO14" i="2"/>
  <c r="AL14" i="2"/>
  <c r="AI14" i="2"/>
  <c r="AF14" i="2"/>
  <c r="AC14" i="2"/>
  <c r="Z14" i="2"/>
  <c r="W14" i="2"/>
  <c r="T14" i="2"/>
  <c r="Q14" i="2"/>
  <c r="N14" i="2"/>
  <c r="K14" i="2"/>
  <c r="H14" i="2"/>
  <c r="CV13" i="2"/>
  <c r="CU13" i="2"/>
  <c r="CW13" i="2" s="1"/>
  <c r="CT13" i="2"/>
  <c r="CQ13" i="2"/>
  <c r="CN13" i="2"/>
  <c r="CK13" i="2"/>
  <c r="CH13" i="2"/>
  <c r="CE13" i="2"/>
  <c r="CB13" i="2"/>
  <c r="BY13" i="2"/>
  <c r="BV13" i="2"/>
  <c r="BP13" i="2"/>
  <c r="BM13" i="2"/>
  <c r="BJ13" i="2"/>
  <c r="BG13" i="2"/>
  <c r="BD13" i="2"/>
  <c r="BA13" i="2"/>
  <c r="AX13" i="2"/>
  <c r="AO13" i="2"/>
  <c r="AL13" i="2"/>
  <c r="AI13" i="2"/>
  <c r="AF13" i="2"/>
  <c r="AC13" i="2"/>
  <c r="Z13" i="2"/>
  <c r="W13" i="2"/>
  <c r="T13" i="2"/>
  <c r="Q13" i="2"/>
  <c r="N13" i="2"/>
  <c r="K13" i="2"/>
  <c r="H13" i="2"/>
  <c r="CV12" i="2"/>
  <c r="CU12" i="2"/>
  <c r="CW12" i="2" s="1"/>
  <c r="CT12" i="2"/>
  <c r="CQ12" i="2"/>
  <c r="CN12" i="2"/>
  <c r="CK12" i="2"/>
  <c r="CH12" i="2"/>
  <c r="CE12" i="2"/>
  <c r="CB12" i="2"/>
  <c r="BY12" i="2"/>
  <c r="BV12" i="2"/>
  <c r="BS12" i="2"/>
  <c r="BM12" i="2"/>
  <c r="BJ12" i="2"/>
  <c r="BG12" i="2"/>
  <c r="BD12" i="2"/>
  <c r="BA12" i="2"/>
  <c r="AX12" i="2"/>
  <c r="AO12" i="2"/>
  <c r="AL12" i="2"/>
  <c r="AI12" i="2"/>
  <c r="AF12" i="2"/>
  <c r="AC12" i="2"/>
  <c r="W12" i="2"/>
  <c r="T12" i="2"/>
  <c r="Q12" i="2"/>
  <c r="N12" i="2"/>
  <c r="K12" i="2"/>
  <c r="H12" i="2"/>
  <c r="CW11" i="2"/>
  <c r="CV11" i="2"/>
  <c r="CU11" i="2"/>
  <c r="CT11" i="2"/>
  <c r="CQ11" i="2"/>
  <c r="CN11" i="2"/>
  <c r="CK11" i="2"/>
  <c r="CH11" i="2"/>
  <c r="CE11" i="2"/>
  <c r="CB11" i="2"/>
  <c r="BY11" i="2"/>
  <c r="BV11" i="2"/>
  <c r="BS11" i="2"/>
  <c r="BM11" i="2"/>
  <c r="BJ11" i="2"/>
  <c r="BG11" i="2"/>
  <c r="BD11" i="2"/>
  <c r="BA11" i="2"/>
  <c r="AX11" i="2"/>
  <c r="AO11" i="2"/>
  <c r="AL11" i="2"/>
  <c r="AI11" i="2"/>
  <c r="AF11" i="2"/>
  <c r="AC11" i="2"/>
  <c r="Z11" i="2"/>
  <c r="W11" i="2"/>
  <c r="T11" i="2"/>
  <c r="Q11" i="2"/>
  <c r="N11" i="2"/>
  <c r="H11" i="2"/>
  <c r="CV10" i="2"/>
  <c r="CU10" i="2"/>
  <c r="CW10" i="2" s="1"/>
  <c r="CT10" i="2"/>
  <c r="CQ10" i="2"/>
  <c r="CN10" i="2"/>
  <c r="CK10" i="2"/>
  <c r="CH10" i="2"/>
  <c r="CE10" i="2"/>
  <c r="CB10" i="2"/>
  <c r="BY10" i="2"/>
  <c r="BV10" i="2"/>
  <c r="BS10" i="2"/>
  <c r="BP10" i="2"/>
  <c r="BM10" i="2"/>
  <c r="BJ10" i="2"/>
  <c r="BG10" i="2"/>
  <c r="BD10" i="2"/>
  <c r="BA10" i="2"/>
  <c r="AX10" i="2"/>
  <c r="AU10" i="2"/>
  <c r="AR10" i="2"/>
  <c r="AO10" i="2"/>
  <c r="AL10" i="2"/>
  <c r="AI10" i="2"/>
  <c r="AF10" i="2"/>
  <c r="AC10" i="2"/>
  <c r="Z10" i="2"/>
  <c r="W10" i="2"/>
  <c r="T10" i="2"/>
  <c r="Q10" i="2"/>
  <c r="N10" i="2"/>
  <c r="K10" i="2"/>
  <c r="H10" i="2"/>
  <c r="CW9" i="2"/>
  <c r="CV9" i="2"/>
  <c r="CU9" i="2"/>
  <c r="CT9" i="2"/>
  <c r="CQ9" i="2"/>
  <c r="CN9" i="2"/>
  <c r="CK9" i="2"/>
  <c r="CH9" i="2"/>
  <c r="CE9" i="2"/>
  <c r="CB9" i="2"/>
  <c r="BY9" i="2"/>
  <c r="BV9" i="2"/>
  <c r="BS9" i="2"/>
  <c r="BP9" i="2"/>
  <c r="BM9" i="2"/>
  <c r="BJ9" i="2"/>
  <c r="BG9" i="2"/>
  <c r="BD9" i="2"/>
  <c r="BA9" i="2"/>
  <c r="AX9" i="2"/>
  <c r="AO9" i="2"/>
  <c r="AL9" i="2"/>
  <c r="AI9" i="2"/>
  <c r="AF9" i="2"/>
  <c r="AC9" i="2"/>
  <c r="Z9" i="2"/>
  <c r="W9" i="2"/>
  <c r="T9" i="2"/>
  <c r="Q9" i="2"/>
  <c r="N9" i="2"/>
  <c r="K9" i="2"/>
  <c r="H9" i="2"/>
  <c r="CW8" i="2"/>
  <c r="CV8" i="2"/>
  <c r="CU8" i="2"/>
  <c r="CT8" i="2"/>
  <c r="CQ8" i="2"/>
  <c r="CN8" i="2"/>
  <c r="CK8" i="2"/>
  <c r="CH8" i="2"/>
  <c r="CE8" i="2"/>
  <c r="CB8" i="2"/>
  <c r="BY8" i="2"/>
  <c r="BV8" i="2"/>
  <c r="BS8" i="2"/>
  <c r="BP8" i="2"/>
  <c r="BM8" i="2"/>
  <c r="BJ8" i="2"/>
  <c r="BG8" i="2"/>
  <c r="BD8" i="2"/>
  <c r="BA8" i="2"/>
  <c r="AX8" i="2"/>
  <c r="AU8" i="2"/>
  <c r="AR8" i="2"/>
  <c r="AO8" i="2"/>
  <c r="AL8" i="2"/>
  <c r="AI8" i="2"/>
  <c r="AF8" i="2"/>
  <c r="AC8" i="2"/>
  <c r="Z8" i="2"/>
  <c r="W8" i="2"/>
  <c r="T8" i="2"/>
  <c r="Q8" i="2"/>
  <c r="N8" i="2"/>
  <c r="K8" i="2"/>
  <c r="H8" i="2"/>
  <c r="CV7" i="2"/>
  <c r="CU7" i="2"/>
  <c r="CW7" i="2" s="1"/>
  <c r="CT7" i="2"/>
  <c r="CQ7" i="2"/>
  <c r="CN7" i="2"/>
  <c r="CK7" i="2"/>
  <c r="CH7" i="2"/>
  <c r="CE7" i="2"/>
  <c r="CB7" i="2"/>
  <c r="BY7" i="2"/>
  <c r="BV7" i="2"/>
  <c r="BS7" i="2"/>
  <c r="BP7" i="2"/>
  <c r="BM7" i="2"/>
  <c r="BJ7" i="2"/>
  <c r="BG7" i="2"/>
  <c r="BD7" i="2"/>
  <c r="BA7" i="2"/>
  <c r="AX7" i="2"/>
  <c r="AO7" i="2"/>
  <c r="AL7" i="2"/>
  <c r="AI7" i="2"/>
  <c r="AF7" i="2"/>
  <c r="AC7" i="2"/>
  <c r="Z7" i="2"/>
  <c r="W7" i="2"/>
  <c r="T7" i="2"/>
  <c r="Q7" i="2"/>
  <c r="N7" i="2"/>
  <c r="K7" i="2"/>
  <c r="H7" i="2"/>
  <c r="CV6" i="2"/>
  <c r="CU6" i="2"/>
  <c r="CW6" i="2" s="1"/>
  <c r="CT6" i="2"/>
  <c r="CQ6" i="2"/>
  <c r="CN6" i="2"/>
  <c r="CK6" i="2"/>
  <c r="CH6" i="2"/>
  <c r="CE6" i="2"/>
  <c r="CB6" i="2"/>
  <c r="BY6" i="2"/>
  <c r="BV6" i="2"/>
  <c r="BS6" i="2"/>
  <c r="BP6" i="2"/>
  <c r="BM6" i="2"/>
  <c r="BJ6" i="2"/>
  <c r="BG6" i="2"/>
  <c r="BD6" i="2"/>
  <c r="BA6" i="2"/>
  <c r="AX6" i="2"/>
  <c r="AU6" i="2"/>
  <c r="AR6" i="2"/>
  <c r="AO6" i="2"/>
  <c r="AL6" i="2"/>
  <c r="AI6" i="2"/>
  <c r="AF6" i="2"/>
  <c r="AC6" i="2"/>
  <c r="Z6" i="2"/>
  <c r="W6" i="2"/>
  <c r="T6" i="2"/>
  <c r="Q6" i="2"/>
  <c r="N6" i="2"/>
  <c r="K6" i="2"/>
  <c r="H6" i="2"/>
  <c r="CV5" i="2"/>
  <c r="CW5" i="2" s="1"/>
  <c r="CU5" i="2"/>
  <c r="CT5" i="2"/>
  <c r="CQ5" i="2"/>
  <c r="CN5" i="2"/>
  <c r="CK5" i="2"/>
  <c r="CH5" i="2"/>
  <c r="CE5" i="2"/>
  <c r="CB5" i="2"/>
  <c r="BY5" i="2"/>
  <c r="BV5" i="2"/>
  <c r="BS5" i="2"/>
  <c r="BP5" i="2"/>
  <c r="BM5" i="2"/>
  <c r="BJ5" i="2"/>
  <c r="BG5" i="2"/>
  <c r="BD5" i="2"/>
  <c r="BA5" i="2"/>
  <c r="AX5" i="2"/>
  <c r="AU5" i="2"/>
  <c r="AR5" i="2"/>
  <c r="AO5" i="2"/>
  <c r="AL5" i="2"/>
  <c r="AI5" i="2"/>
  <c r="AF5" i="2"/>
  <c r="AC5" i="2"/>
  <c r="Z5" i="2"/>
  <c r="W5" i="2"/>
  <c r="T5" i="2"/>
  <c r="Q5" i="2"/>
  <c r="N5" i="2"/>
  <c r="K5" i="2"/>
  <c r="H5" i="2"/>
  <c r="CV4" i="2"/>
  <c r="CU4" i="2"/>
  <c r="CT4" i="2"/>
  <c r="CQ4" i="2"/>
  <c r="CN4" i="2"/>
  <c r="CK4" i="2"/>
  <c r="CH4" i="2"/>
  <c r="CE4" i="2"/>
  <c r="CB4" i="2"/>
  <c r="BY4" i="2"/>
  <c r="BV4" i="2"/>
  <c r="BS4" i="2"/>
  <c r="BM4" i="2"/>
  <c r="BJ4" i="2"/>
  <c r="BG4" i="2"/>
  <c r="BD4" i="2"/>
  <c r="BA4" i="2"/>
  <c r="AX4" i="2"/>
  <c r="AO4" i="2"/>
  <c r="AL4" i="2"/>
  <c r="AI4" i="2"/>
  <c r="AF4" i="2"/>
  <c r="AC4" i="2"/>
  <c r="Z4" i="2"/>
  <c r="W4" i="2"/>
  <c r="T4" i="2"/>
  <c r="Q4" i="2"/>
  <c r="N4" i="2"/>
  <c r="K4" i="2"/>
  <c r="H4" i="2"/>
  <c r="CV3" i="2"/>
  <c r="CU3" i="2"/>
  <c r="CW3" i="2" s="1"/>
  <c r="CT3" i="2"/>
  <c r="CQ3" i="2"/>
  <c r="CN3" i="2"/>
  <c r="CK3" i="2"/>
  <c r="CH3" i="2"/>
  <c r="CE3" i="2"/>
  <c r="CB3" i="2"/>
  <c r="BY3" i="2"/>
  <c r="BV3" i="2"/>
  <c r="BS3" i="2"/>
  <c r="BP3" i="2"/>
  <c r="BM3" i="2"/>
  <c r="BJ3" i="2"/>
  <c r="BG3" i="2"/>
  <c r="BD3" i="2"/>
  <c r="BA3" i="2"/>
  <c r="AX3" i="2"/>
  <c r="AU3" i="2"/>
  <c r="AR3" i="2"/>
  <c r="AO3" i="2"/>
  <c r="AL3" i="2"/>
  <c r="AI3" i="2"/>
  <c r="AF3" i="2"/>
  <c r="AC3" i="2"/>
  <c r="Z3" i="2"/>
  <c r="W3" i="2"/>
  <c r="T3" i="2"/>
  <c r="Q3" i="2"/>
  <c r="N3" i="2"/>
  <c r="K3" i="2"/>
  <c r="H3" i="2"/>
  <c r="CW74" i="1"/>
  <c r="CV74" i="1"/>
  <c r="CU74" i="1"/>
  <c r="CT74" i="1"/>
  <c r="CQ74" i="1"/>
  <c r="CN74" i="1"/>
  <c r="CK74" i="1"/>
  <c r="CH74" i="1"/>
  <c r="CE74" i="1"/>
  <c r="CB74" i="1"/>
  <c r="BY74" i="1"/>
  <c r="BV74" i="1"/>
  <c r="BS74" i="1"/>
  <c r="BP74" i="1"/>
  <c r="BJ74" i="1"/>
  <c r="BG74" i="1"/>
  <c r="BD74" i="1"/>
  <c r="BA74" i="1"/>
  <c r="AU74" i="1"/>
  <c r="AR74" i="1"/>
  <c r="AO74" i="1"/>
  <c r="AL74" i="1"/>
  <c r="AF74" i="1"/>
  <c r="AC74" i="1"/>
  <c r="Z74" i="1"/>
  <c r="W74" i="1"/>
  <c r="T74" i="1"/>
  <c r="N74" i="1"/>
  <c r="K74" i="1"/>
  <c r="H74" i="1"/>
  <c r="CV73" i="1"/>
  <c r="CU73" i="1"/>
  <c r="CW73" i="1" s="1"/>
  <c r="CT73" i="1"/>
  <c r="CQ73" i="1"/>
  <c r="CN73" i="1"/>
  <c r="CK73" i="1"/>
  <c r="CH73" i="1"/>
  <c r="CE73" i="1"/>
  <c r="CB73" i="1"/>
  <c r="BY73" i="1"/>
  <c r="BV73" i="1"/>
  <c r="BS73" i="1"/>
  <c r="BP73" i="1"/>
  <c r="BM73" i="1"/>
  <c r="BJ73" i="1"/>
  <c r="BG73" i="1"/>
  <c r="BD73" i="1"/>
  <c r="BA73" i="1"/>
  <c r="AX73" i="1"/>
  <c r="AU73" i="1"/>
  <c r="AR73" i="1"/>
  <c r="AO73" i="1"/>
  <c r="AL73" i="1"/>
  <c r="AI73" i="1"/>
  <c r="AC73" i="1"/>
  <c r="Z73" i="1"/>
  <c r="W73" i="1"/>
  <c r="T73" i="1"/>
  <c r="Q73" i="1"/>
  <c r="N73" i="1"/>
  <c r="K73" i="1"/>
  <c r="H73" i="1"/>
  <c r="CV72" i="1"/>
  <c r="CU72" i="1"/>
  <c r="CW72" i="1" s="1"/>
  <c r="CT72" i="1"/>
  <c r="CQ72" i="1"/>
  <c r="CN72" i="1"/>
  <c r="CK72" i="1"/>
  <c r="CH72" i="1"/>
  <c r="CE72" i="1"/>
  <c r="CB72" i="1"/>
  <c r="BY72" i="1"/>
  <c r="BV72" i="1"/>
  <c r="BS72" i="1"/>
  <c r="BP72" i="1"/>
  <c r="BM72" i="1"/>
  <c r="BJ72" i="1"/>
  <c r="BG72" i="1"/>
  <c r="BD72" i="1"/>
  <c r="BA72" i="1"/>
  <c r="AX72" i="1"/>
  <c r="AU72" i="1"/>
  <c r="AR72" i="1"/>
  <c r="AO72" i="1"/>
  <c r="AL72" i="1"/>
  <c r="AI72" i="1"/>
  <c r="AF72" i="1"/>
  <c r="AC72" i="1"/>
  <c r="Z72" i="1"/>
  <c r="W72" i="1"/>
  <c r="T72" i="1"/>
  <c r="Q72" i="1"/>
  <c r="N72" i="1"/>
  <c r="K72" i="1"/>
  <c r="H72" i="1"/>
  <c r="CW71" i="1"/>
  <c r="CV71" i="1"/>
  <c r="CU71" i="1"/>
  <c r="CT71" i="1"/>
  <c r="CQ71" i="1"/>
  <c r="CN71" i="1"/>
  <c r="CK71" i="1"/>
  <c r="CH71" i="1"/>
  <c r="CE71" i="1"/>
  <c r="CB71" i="1"/>
  <c r="BY71" i="1"/>
  <c r="BV71" i="1"/>
  <c r="BS71" i="1"/>
  <c r="BP71" i="1"/>
  <c r="BM71" i="1"/>
  <c r="BJ71" i="1"/>
  <c r="BG71" i="1"/>
  <c r="BD71" i="1"/>
  <c r="BA71" i="1"/>
  <c r="AU71" i="1"/>
  <c r="AR71" i="1"/>
  <c r="AO71" i="1"/>
  <c r="AL71" i="1"/>
  <c r="AI71" i="1"/>
  <c r="AC71" i="1"/>
  <c r="Z71" i="1"/>
  <c r="W71" i="1"/>
  <c r="T71" i="1"/>
  <c r="Q71" i="1"/>
  <c r="N71" i="1"/>
  <c r="H71" i="1"/>
  <c r="CV70" i="1"/>
  <c r="CW70" i="1" s="1"/>
  <c r="CU70" i="1"/>
  <c r="CT70" i="1"/>
  <c r="CQ70" i="1"/>
  <c r="CN70" i="1"/>
  <c r="CK70" i="1"/>
  <c r="CH70" i="1"/>
  <c r="CE70" i="1"/>
  <c r="CB70" i="1"/>
  <c r="BV70" i="1"/>
  <c r="BS70" i="1"/>
  <c r="BP70" i="1"/>
  <c r="BM70" i="1"/>
  <c r="BJ70" i="1"/>
  <c r="BG70" i="1"/>
  <c r="BD70" i="1"/>
  <c r="BA70" i="1"/>
  <c r="AX70" i="1"/>
  <c r="AU70" i="1"/>
  <c r="AR70" i="1"/>
  <c r="AO70" i="1"/>
  <c r="AL70" i="1"/>
  <c r="AI70" i="1"/>
  <c r="AF70" i="1"/>
  <c r="AC70" i="1"/>
  <c r="Z70" i="1"/>
  <c r="W70" i="1"/>
  <c r="T70" i="1"/>
  <c r="Q70" i="1"/>
  <c r="N70" i="1"/>
  <c r="K70" i="1"/>
  <c r="H70" i="1"/>
  <c r="CW69" i="1"/>
  <c r="CV69" i="1"/>
  <c r="CU69" i="1"/>
  <c r="CT69" i="1"/>
  <c r="CQ69" i="1"/>
  <c r="CN69" i="1"/>
  <c r="CK69" i="1"/>
  <c r="CH69" i="1"/>
  <c r="CE69" i="1"/>
  <c r="CB69" i="1"/>
  <c r="BY69" i="1"/>
  <c r="BV69" i="1"/>
  <c r="BS69" i="1"/>
  <c r="BP69" i="1"/>
  <c r="BM69" i="1"/>
  <c r="BJ69" i="1"/>
  <c r="BG69" i="1"/>
  <c r="BD69" i="1"/>
  <c r="BA69" i="1"/>
  <c r="AX69" i="1"/>
  <c r="AU69" i="1"/>
  <c r="AR69" i="1"/>
  <c r="AO69" i="1"/>
  <c r="AL69" i="1"/>
  <c r="AI69" i="1"/>
  <c r="AF69" i="1"/>
  <c r="AC69" i="1"/>
  <c r="Z69" i="1"/>
  <c r="W69" i="1"/>
  <c r="T69" i="1"/>
  <c r="Q69" i="1"/>
  <c r="N69" i="1"/>
  <c r="K69" i="1"/>
  <c r="H69" i="1"/>
  <c r="CV68" i="1"/>
  <c r="CU68" i="1"/>
  <c r="CW68" i="1" s="1"/>
  <c r="CT68" i="1"/>
  <c r="CQ68" i="1"/>
  <c r="CN68" i="1"/>
  <c r="CK68" i="1"/>
  <c r="CH68" i="1"/>
  <c r="CE68" i="1"/>
  <c r="CB68" i="1"/>
  <c r="BY68" i="1"/>
  <c r="BV68" i="1"/>
  <c r="BS68" i="1"/>
  <c r="BP68" i="1"/>
  <c r="BM68" i="1"/>
  <c r="BJ68" i="1"/>
  <c r="BG68" i="1"/>
  <c r="BD68" i="1"/>
  <c r="BA68" i="1"/>
  <c r="AX68" i="1"/>
  <c r="AU68" i="1"/>
  <c r="AR68" i="1"/>
  <c r="AO68" i="1"/>
  <c r="AL68" i="1"/>
  <c r="AI68" i="1"/>
  <c r="AF68" i="1"/>
  <c r="AC68" i="1"/>
  <c r="Z68" i="1"/>
  <c r="W68" i="1"/>
  <c r="T68" i="1"/>
  <c r="Q68" i="1"/>
  <c r="N68" i="1"/>
  <c r="K68" i="1"/>
  <c r="H68" i="1"/>
  <c r="CV67" i="1"/>
  <c r="CW67" i="1" s="1"/>
  <c r="CU67" i="1"/>
  <c r="CT67" i="1"/>
  <c r="CQ67" i="1"/>
  <c r="CN67" i="1"/>
  <c r="CK67" i="1"/>
  <c r="CH67" i="1"/>
  <c r="CE67" i="1"/>
  <c r="CB67" i="1"/>
  <c r="BY67" i="1"/>
  <c r="BV67" i="1"/>
  <c r="BS67" i="1"/>
  <c r="BP67" i="1"/>
  <c r="BM67" i="1"/>
  <c r="BJ67" i="1"/>
  <c r="BG67" i="1"/>
  <c r="BD67" i="1"/>
  <c r="BA67" i="1"/>
  <c r="AX67" i="1"/>
  <c r="AU67" i="1"/>
  <c r="AR67" i="1"/>
  <c r="AO67" i="1"/>
  <c r="AL67" i="1"/>
  <c r="AI67" i="1"/>
  <c r="AF67" i="1"/>
  <c r="AC67" i="1"/>
  <c r="Z67" i="1"/>
  <c r="W67" i="1"/>
  <c r="T67" i="1"/>
  <c r="Q67" i="1"/>
  <c r="N67" i="1"/>
  <c r="K67" i="1"/>
  <c r="H67" i="1"/>
  <c r="CV66" i="1"/>
  <c r="CU66" i="1"/>
  <c r="CW66" i="1" s="1"/>
  <c r="CT66" i="1"/>
  <c r="CQ66" i="1"/>
  <c r="CN66" i="1"/>
  <c r="CK66" i="1"/>
  <c r="CH66" i="1"/>
  <c r="CE66" i="1"/>
  <c r="CB66" i="1"/>
  <c r="BY66" i="1"/>
  <c r="BV66" i="1"/>
  <c r="BS66" i="1"/>
  <c r="BP66" i="1"/>
  <c r="BM66" i="1"/>
  <c r="BJ66" i="1"/>
  <c r="BG66" i="1"/>
  <c r="BD66" i="1"/>
  <c r="BA66" i="1"/>
  <c r="AX66" i="1"/>
  <c r="AR66" i="1"/>
  <c r="AO66" i="1"/>
  <c r="AI66" i="1"/>
  <c r="AC66" i="1"/>
  <c r="Z66" i="1"/>
  <c r="T66" i="1"/>
  <c r="Q66" i="1"/>
  <c r="N66" i="1"/>
  <c r="K66" i="1"/>
  <c r="H66" i="1"/>
  <c r="CV65" i="1"/>
  <c r="CW65" i="1" s="1"/>
  <c r="CU65" i="1"/>
  <c r="CT65" i="1"/>
  <c r="CQ65" i="1"/>
  <c r="CN65" i="1"/>
  <c r="CK65" i="1"/>
  <c r="CH65" i="1"/>
  <c r="CE65" i="1"/>
  <c r="CB65" i="1"/>
  <c r="BY65" i="1"/>
  <c r="BV65" i="1"/>
  <c r="BS65" i="1"/>
  <c r="BP65" i="1"/>
  <c r="BM65" i="1"/>
  <c r="BJ65" i="1"/>
  <c r="BG65" i="1"/>
  <c r="BD65" i="1"/>
  <c r="BA65" i="1"/>
  <c r="AX65" i="1"/>
  <c r="AU65" i="1"/>
  <c r="AR65" i="1"/>
  <c r="AO65" i="1"/>
  <c r="AL65" i="1"/>
  <c r="AI65" i="1"/>
  <c r="AF65" i="1"/>
  <c r="AC65" i="1"/>
  <c r="Z65" i="1"/>
  <c r="W65" i="1"/>
  <c r="T65" i="1"/>
  <c r="Q65" i="1"/>
  <c r="N65" i="1"/>
  <c r="K65" i="1"/>
  <c r="H65" i="1"/>
  <c r="CV64" i="1"/>
  <c r="CU64" i="1"/>
  <c r="CW64" i="1" s="1"/>
  <c r="CT64" i="1"/>
  <c r="CQ64" i="1"/>
  <c r="CN64" i="1"/>
  <c r="CK64" i="1"/>
  <c r="CH64" i="1"/>
  <c r="CE64" i="1"/>
  <c r="CB64" i="1"/>
  <c r="BY64" i="1"/>
  <c r="BV64" i="1"/>
  <c r="BS64" i="1"/>
  <c r="BP64" i="1"/>
  <c r="BM64" i="1"/>
  <c r="BJ64" i="1"/>
  <c r="BG64" i="1"/>
  <c r="BD64" i="1"/>
  <c r="BA64" i="1"/>
  <c r="AX64" i="1"/>
  <c r="AU64" i="1"/>
  <c r="AR64" i="1"/>
  <c r="AO64" i="1"/>
  <c r="AL64" i="1"/>
  <c r="AI64" i="1"/>
  <c r="Z64" i="1"/>
  <c r="W64" i="1"/>
  <c r="T64" i="1"/>
  <c r="Q64" i="1"/>
  <c r="N64" i="1"/>
  <c r="H64" i="1"/>
  <c r="CW63" i="1"/>
  <c r="CV63" i="1"/>
  <c r="CU63" i="1"/>
  <c r="CT63" i="1"/>
  <c r="CQ63" i="1"/>
  <c r="CN63" i="1"/>
  <c r="CK63" i="1"/>
  <c r="CH63" i="1"/>
  <c r="CE63" i="1"/>
  <c r="CB63" i="1"/>
  <c r="BY63" i="1"/>
  <c r="BV63" i="1"/>
  <c r="BS63" i="1"/>
  <c r="BP63" i="1"/>
  <c r="BM63" i="1"/>
  <c r="BJ63" i="1"/>
  <c r="BG63" i="1"/>
  <c r="BD63" i="1"/>
  <c r="BA63" i="1"/>
  <c r="AU63" i="1"/>
  <c r="AR63" i="1"/>
  <c r="AO63" i="1"/>
  <c r="AL63" i="1"/>
  <c r="AI63" i="1"/>
  <c r="AF63" i="1"/>
  <c r="AC63" i="1"/>
  <c r="W63" i="1"/>
  <c r="T63" i="1"/>
  <c r="Q63" i="1"/>
  <c r="N63" i="1"/>
  <c r="K63" i="1"/>
  <c r="H63" i="1"/>
  <c r="CW62" i="1"/>
  <c r="CV62" i="1"/>
  <c r="CU62" i="1"/>
  <c r="CT62" i="1"/>
  <c r="CQ62" i="1"/>
  <c r="CN62" i="1"/>
  <c r="CK62" i="1"/>
  <c r="CH62" i="1"/>
  <c r="CE62" i="1"/>
  <c r="CB62" i="1"/>
  <c r="BY62" i="1"/>
  <c r="BV62" i="1"/>
  <c r="BS62" i="1"/>
  <c r="BP62" i="1"/>
  <c r="BM62" i="1"/>
  <c r="BJ62" i="1"/>
  <c r="BG62" i="1"/>
  <c r="BD62" i="1"/>
  <c r="BA62" i="1"/>
  <c r="AX62" i="1"/>
  <c r="AU62" i="1"/>
  <c r="AR62" i="1"/>
  <c r="AO62" i="1"/>
  <c r="AL62" i="1"/>
  <c r="AI62" i="1"/>
  <c r="AF62" i="1"/>
  <c r="AC62" i="1"/>
  <c r="Z62" i="1"/>
  <c r="W62" i="1"/>
  <c r="T62" i="1"/>
  <c r="Q62" i="1"/>
  <c r="N62" i="1"/>
  <c r="K62" i="1"/>
  <c r="H62" i="1"/>
  <c r="CV61" i="1"/>
  <c r="CW61" i="1" s="1"/>
  <c r="CU61" i="1"/>
  <c r="CT61" i="1"/>
  <c r="CQ61" i="1"/>
  <c r="CN61" i="1"/>
  <c r="CK61" i="1"/>
  <c r="CH61" i="1"/>
  <c r="CE61" i="1"/>
  <c r="CB61" i="1"/>
  <c r="BY61" i="1"/>
  <c r="BS61" i="1"/>
  <c r="BP61" i="1"/>
  <c r="BM61" i="1"/>
  <c r="BJ61" i="1"/>
  <c r="BG61" i="1"/>
  <c r="BA61" i="1"/>
  <c r="AU61" i="1"/>
  <c r="AR61" i="1"/>
  <c r="AO61" i="1"/>
  <c r="AL61" i="1"/>
  <c r="AF61" i="1"/>
  <c r="AC61" i="1"/>
  <c r="W61" i="1"/>
  <c r="T61" i="1"/>
  <c r="N61" i="1"/>
  <c r="H61" i="1"/>
  <c r="CV60" i="1"/>
  <c r="CU60" i="1"/>
  <c r="CW60" i="1" s="1"/>
  <c r="CT60" i="1"/>
  <c r="CQ60" i="1"/>
  <c r="CN60" i="1"/>
  <c r="CK60" i="1"/>
  <c r="CH60" i="1"/>
  <c r="CE60" i="1"/>
  <c r="CB60" i="1"/>
  <c r="BY60" i="1"/>
  <c r="BV60" i="1"/>
  <c r="BS60" i="1"/>
  <c r="BP60" i="1"/>
  <c r="BM60" i="1"/>
  <c r="BJ60" i="1"/>
  <c r="BG60" i="1"/>
  <c r="BD60" i="1"/>
  <c r="BA60" i="1"/>
  <c r="AX60" i="1"/>
  <c r="AU60" i="1"/>
  <c r="AR60" i="1"/>
  <c r="AO60" i="1"/>
  <c r="AL60" i="1"/>
  <c r="AI60" i="1"/>
  <c r="AF60" i="1"/>
  <c r="AC60" i="1"/>
  <c r="Z60" i="1"/>
  <c r="W60" i="1"/>
  <c r="T60" i="1"/>
  <c r="Q60" i="1"/>
  <c r="N60" i="1"/>
  <c r="K60" i="1"/>
  <c r="H60" i="1"/>
  <c r="CV59" i="1"/>
  <c r="CW59" i="1" s="1"/>
  <c r="CU59" i="1"/>
  <c r="CT59" i="1"/>
  <c r="CQ59" i="1"/>
  <c r="CN59" i="1"/>
  <c r="CK59" i="1"/>
  <c r="CH59" i="1"/>
  <c r="CE59" i="1"/>
  <c r="CB59" i="1"/>
  <c r="BY59" i="1"/>
  <c r="BV59" i="1"/>
  <c r="BS59" i="1"/>
  <c r="BP59" i="1"/>
  <c r="BM59" i="1"/>
  <c r="BJ59" i="1"/>
  <c r="BG59" i="1"/>
  <c r="BD59" i="1"/>
  <c r="BA59" i="1"/>
  <c r="AX59" i="1"/>
  <c r="AU59" i="1"/>
  <c r="AR59" i="1"/>
  <c r="AO59" i="1"/>
  <c r="AL59" i="1"/>
  <c r="AI59" i="1"/>
  <c r="AF59" i="1"/>
  <c r="AC59" i="1"/>
  <c r="Z59" i="1"/>
  <c r="W59" i="1"/>
  <c r="T59" i="1"/>
  <c r="Q59" i="1"/>
  <c r="N59" i="1"/>
  <c r="K59" i="1"/>
  <c r="H59" i="1"/>
  <c r="CV58" i="1"/>
  <c r="CU58" i="1"/>
  <c r="CW58" i="1" s="1"/>
  <c r="CT58" i="1"/>
  <c r="CQ58" i="1"/>
  <c r="CN58" i="1"/>
  <c r="CK58" i="1"/>
  <c r="CH58" i="1"/>
  <c r="CE58" i="1"/>
  <c r="CB58" i="1"/>
  <c r="BY58" i="1"/>
  <c r="BV58" i="1"/>
  <c r="BS58" i="1"/>
  <c r="BP58" i="1"/>
  <c r="BM58" i="1"/>
  <c r="BJ58" i="1"/>
  <c r="BG58" i="1"/>
  <c r="BD58" i="1"/>
  <c r="BA58" i="1"/>
  <c r="AX58" i="1"/>
  <c r="AU58" i="1"/>
  <c r="AR58" i="1"/>
  <c r="AO58" i="1"/>
  <c r="AL58" i="1"/>
  <c r="AI58" i="1"/>
  <c r="AF58" i="1"/>
  <c r="AC58" i="1"/>
  <c r="Z58" i="1"/>
  <c r="W58" i="1"/>
  <c r="T58" i="1"/>
  <c r="Q58" i="1"/>
  <c r="N58" i="1"/>
  <c r="K58" i="1"/>
  <c r="H58" i="1"/>
  <c r="CW57" i="1"/>
  <c r="CV57" i="1"/>
  <c r="CU57" i="1"/>
  <c r="CT57" i="1"/>
  <c r="CQ57" i="1"/>
  <c r="CN57" i="1"/>
  <c r="CK57" i="1"/>
  <c r="CH57" i="1"/>
  <c r="CE57" i="1"/>
  <c r="CB57" i="1"/>
  <c r="BY57" i="1"/>
  <c r="BS57" i="1"/>
  <c r="BM57" i="1"/>
  <c r="BJ57" i="1"/>
  <c r="BG57" i="1"/>
  <c r="BA57" i="1"/>
  <c r="AX57" i="1"/>
  <c r="AU57" i="1"/>
  <c r="AR57" i="1"/>
  <c r="AO57" i="1"/>
  <c r="AL57" i="1"/>
  <c r="AI57" i="1"/>
  <c r="AF57" i="1"/>
  <c r="AC57" i="1"/>
  <c r="W57" i="1"/>
  <c r="T57" i="1"/>
  <c r="Q57" i="1"/>
  <c r="N57" i="1"/>
  <c r="CV56" i="1"/>
  <c r="CW56" i="1" s="1"/>
  <c r="CU56" i="1"/>
  <c r="CT56" i="1"/>
  <c r="CQ56" i="1"/>
  <c r="CN56" i="1"/>
  <c r="CK56" i="1"/>
  <c r="CH56" i="1"/>
  <c r="CE56" i="1"/>
  <c r="CB56" i="1"/>
  <c r="BY56" i="1"/>
  <c r="BV56" i="1"/>
  <c r="BS56" i="1"/>
  <c r="BP56" i="1"/>
  <c r="BM56" i="1"/>
  <c r="BJ56" i="1"/>
  <c r="BG56" i="1"/>
  <c r="BD56" i="1"/>
  <c r="BA56" i="1"/>
  <c r="AX56" i="1"/>
  <c r="AU56" i="1"/>
  <c r="AR56" i="1"/>
  <c r="AO56" i="1"/>
  <c r="AL56" i="1"/>
  <c r="AI56" i="1"/>
  <c r="AC56" i="1"/>
  <c r="Z56" i="1"/>
  <c r="W56" i="1"/>
  <c r="T56" i="1"/>
  <c r="Q56" i="1"/>
  <c r="N56" i="1"/>
  <c r="H56" i="1"/>
  <c r="CV55" i="1"/>
  <c r="CW55" i="1" s="1"/>
  <c r="CU55" i="1"/>
  <c r="CT55" i="1"/>
  <c r="CQ55" i="1"/>
  <c r="CN55" i="1"/>
  <c r="CK55" i="1"/>
  <c r="CH55" i="1"/>
  <c r="CE55" i="1"/>
  <c r="CB55" i="1"/>
  <c r="BY55" i="1"/>
  <c r="BV55" i="1"/>
  <c r="BS55" i="1"/>
  <c r="BP55" i="1"/>
  <c r="BM55" i="1"/>
  <c r="BJ55" i="1"/>
  <c r="BG55" i="1"/>
  <c r="BD55" i="1"/>
  <c r="BA55" i="1"/>
  <c r="AX55" i="1"/>
  <c r="AU55" i="1"/>
  <c r="AR55" i="1"/>
  <c r="AO55" i="1"/>
  <c r="AL55" i="1"/>
  <c r="AI55" i="1"/>
  <c r="AC55" i="1"/>
  <c r="Z55" i="1"/>
  <c r="W55" i="1"/>
  <c r="T55" i="1"/>
  <c r="Q55" i="1"/>
  <c r="N55" i="1"/>
  <c r="K55" i="1"/>
  <c r="H55" i="1"/>
  <c r="CV54" i="1"/>
  <c r="CU54" i="1"/>
  <c r="CW54" i="1" s="1"/>
  <c r="CT54" i="1"/>
  <c r="CQ54" i="1"/>
  <c r="CN54" i="1"/>
  <c r="CK54" i="1"/>
  <c r="CH54" i="1"/>
  <c r="CE54" i="1"/>
  <c r="CB54" i="1"/>
  <c r="BY54" i="1"/>
  <c r="BV54" i="1"/>
  <c r="BS54" i="1"/>
  <c r="BP54" i="1"/>
  <c r="BM54" i="1"/>
  <c r="BJ54" i="1"/>
  <c r="BG54" i="1"/>
  <c r="BD54" i="1"/>
  <c r="BA54" i="1"/>
  <c r="AX54" i="1"/>
  <c r="AU54" i="1"/>
  <c r="AR54" i="1"/>
  <c r="AO54" i="1"/>
  <c r="AL54" i="1"/>
  <c r="AI54" i="1"/>
  <c r="AF54" i="1"/>
  <c r="AC54" i="1"/>
  <c r="Z54" i="1"/>
  <c r="W54" i="1"/>
  <c r="T54" i="1"/>
  <c r="Q54" i="1"/>
  <c r="N54" i="1"/>
  <c r="K54" i="1"/>
  <c r="H54" i="1"/>
  <c r="CV53" i="1"/>
  <c r="CW53" i="1" s="1"/>
  <c r="CU53" i="1"/>
  <c r="CT53" i="1"/>
  <c r="CQ53" i="1"/>
  <c r="CN53" i="1"/>
  <c r="CK53" i="1"/>
  <c r="CH53" i="1"/>
  <c r="CE53" i="1"/>
  <c r="CB53" i="1"/>
  <c r="BY53" i="1"/>
  <c r="BV53" i="1"/>
  <c r="BS53" i="1"/>
  <c r="BP53" i="1"/>
  <c r="BM53" i="1"/>
  <c r="BJ53" i="1"/>
  <c r="BD53" i="1"/>
  <c r="BA53" i="1"/>
  <c r="AX53" i="1"/>
  <c r="AU53" i="1"/>
  <c r="AR53" i="1"/>
  <c r="AO53" i="1"/>
  <c r="AL53" i="1"/>
  <c r="AI53" i="1"/>
  <c r="AF53" i="1"/>
  <c r="AC53" i="1"/>
  <c r="Z53" i="1"/>
  <c r="W53" i="1"/>
  <c r="T53" i="1"/>
  <c r="Q53" i="1"/>
  <c r="N53" i="1"/>
  <c r="K53" i="1"/>
  <c r="H53" i="1"/>
  <c r="CW52" i="1"/>
  <c r="CV52" i="1"/>
  <c r="CU52" i="1"/>
  <c r="CT52" i="1"/>
  <c r="CQ52" i="1"/>
  <c r="CN52" i="1"/>
  <c r="CK52" i="1"/>
  <c r="CH52" i="1"/>
  <c r="CE52" i="1"/>
  <c r="CB52" i="1"/>
  <c r="BY52" i="1"/>
  <c r="BS52" i="1"/>
  <c r="BP52" i="1"/>
  <c r="BM52" i="1"/>
  <c r="BJ52" i="1"/>
  <c r="BG52" i="1"/>
  <c r="BA52" i="1"/>
  <c r="AX52" i="1"/>
  <c r="AU52" i="1"/>
  <c r="AR52" i="1"/>
  <c r="AO52" i="1"/>
  <c r="AL52" i="1"/>
  <c r="AF52" i="1"/>
  <c r="AC52" i="1"/>
  <c r="Z52" i="1"/>
  <c r="W52" i="1"/>
  <c r="T52" i="1"/>
  <c r="Q52" i="1"/>
  <c r="N52" i="1"/>
  <c r="K52" i="1"/>
  <c r="H52" i="1"/>
  <c r="CV51" i="1"/>
  <c r="CW51" i="1" s="1"/>
  <c r="CU51" i="1"/>
  <c r="CT51" i="1"/>
  <c r="CQ51" i="1"/>
  <c r="CN51" i="1"/>
  <c r="CK51" i="1"/>
  <c r="CH51" i="1"/>
  <c r="CE51" i="1"/>
  <c r="CB51" i="1"/>
  <c r="BV51" i="1"/>
  <c r="BS51" i="1"/>
  <c r="BP51" i="1"/>
  <c r="BM51" i="1"/>
  <c r="BJ51" i="1"/>
  <c r="BG51" i="1"/>
  <c r="BD51" i="1"/>
  <c r="BA51" i="1"/>
  <c r="AX51" i="1"/>
  <c r="AU51" i="1"/>
  <c r="AR51" i="1"/>
  <c r="AL51" i="1"/>
  <c r="AI51" i="1"/>
  <c r="AF51" i="1"/>
  <c r="Z51" i="1"/>
  <c r="W51" i="1"/>
  <c r="Q51" i="1"/>
  <c r="N51" i="1"/>
  <c r="K51" i="1"/>
  <c r="H51" i="1"/>
  <c r="CV50" i="1"/>
  <c r="CU50" i="1"/>
  <c r="CW50" i="1" s="1"/>
  <c r="CT50" i="1"/>
  <c r="CQ50" i="1"/>
  <c r="CN50" i="1"/>
  <c r="CK50" i="1"/>
  <c r="CH50" i="1"/>
  <c r="CE50" i="1"/>
  <c r="CB50" i="1"/>
  <c r="BY50" i="1"/>
  <c r="BV50" i="1"/>
  <c r="BS50" i="1"/>
  <c r="BP50" i="1"/>
  <c r="BM50" i="1"/>
  <c r="BJ50" i="1"/>
  <c r="BG50" i="1"/>
  <c r="BD50" i="1"/>
  <c r="BA50" i="1"/>
  <c r="AX50" i="1"/>
  <c r="AU50" i="1"/>
  <c r="AR50" i="1"/>
  <c r="AO50" i="1"/>
  <c r="AL50" i="1"/>
  <c r="AI50" i="1"/>
  <c r="AF50" i="1"/>
  <c r="AC50" i="1"/>
  <c r="Z50" i="1"/>
  <c r="W50" i="1"/>
  <c r="T50" i="1"/>
  <c r="Q50" i="1"/>
  <c r="N50" i="1"/>
  <c r="K50" i="1"/>
  <c r="H50" i="1"/>
  <c r="CV49" i="1"/>
  <c r="CW49" i="1" s="1"/>
  <c r="CU49" i="1"/>
  <c r="CT49" i="1"/>
  <c r="CQ49" i="1"/>
  <c r="CN49" i="1"/>
  <c r="CK49" i="1"/>
  <c r="CH49" i="1"/>
  <c r="CE49" i="1"/>
  <c r="CB49" i="1"/>
  <c r="BY49" i="1"/>
  <c r="BS49" i="1"/>
  <c r="BP49" i="1"/>
  <c r="BM49" i="1"/>
  <c r="BJ49" i="1"/>
  <c r="BG49" i="1"/>
  <c r="BD49" i="1"/>
  <c r="BA49" i="1"/>
  <c r="AU49" i="1"/>
  <c r="AR49" i="1"/>
  <c r="AO49" i="1"/>
  <c r="AL49" i="1"/>
  <c r="AI49" i="1"/>
  <c r="Z49" i="1"/>
  <c r="W49" i="1"/>
  <c r="T49" i="1"/>
  <c r="Q49" i="1"/>
  <c r="N49" i="1"/>
  <c r="K49" i="1"/>
  <c r="CV48" i="1"/>
  <c r="CW48" i="1" s="1"/>
  <c r="CU48" i="1"/>
  <c r="CT48" i="1"/>
  <c r="CQ48" i="1"/>
  <c r="CN48" i="1"/>
  <c r="CK48" i="1"/>
  <c r="CH48" i="1"/>
  <c r="CE48" i="1"/>
  <c r="CB48" i="1"/>
  <c r="BY48" i="1"/>
  <c r="BV48" i="1"/>
  <c r="BS48" i="1"/>
  <c r="BP48" i="1"/>
  <c r="BM48" i="1"/>
  <c r="BJ48" i="1"/>
  <c r="BG48" i="1"/>
  <c r="BD48" i="1"/>
  <c r="BA48" i="1"/>
  <c r="AX48" i="1"/>
  <c r="AU48" i="1"/>
  <c r="AR48" i="1"/>
  <c r="AO48" i="1"/>
  <c r="AL48" i="1"/>
  <c r="AI48" i="1"/>
  <c r="AF48" i="1"/>
  <c r="AC48" i="1"/>
  <c r="Z48" i="1"/>
  <c r="W48" i="1"/>
  <c r="T48" i="1"/>
  <c r="Q48" i="1"/>
  <c r="N48" i="1"/>
  <c r="K48" i="1"/>
  <c r="H48" i="1"/>
  <c r="CV47" i="1"/>
  <c r="CU47" i="1"/>
  <c r="CT47" i="1"/>
  <c r="CQ47" i="1"/>
  <c r="CN47" i="1"/>
  <c r="CK47" i="1"/>
  <c r="CH47" i="1"/>
  <c r="CE47" i="1"/>
  <c r="CB47" i="1"/>
  <c r="BY47" i="1"/>
  <c r="BV47" i="1"/>
  <c r="BS47" i="1"/>
  <c r="BP47" i="1"/>
  <c r="BM47" i="1"/>
  <c r="BJ47" i="1"/>
  <c r="BG47" i="1"/>
  <c r="BD47" i="1"/>
  <c r="BA47" i="1"/>
  <c r="AX47" i="1"/>
  <c r="AU47" i="1"/>
  <c r="AR47" i="1"/>
  <c r="AO47" i="1"/>
  <c r="AL47" i="1"/>
  <c r="AI47" i="1"/>
  <c r="AF47" i="1"/>
  <c r="AC47" i="1"/>
  <c r="Z47" i="1"/>
  <c r="W47" i="1"/>
  <c r="T47" i="1"/>
  <c r="Q47" i="1"/>
  <c r="N47" i="1"/>
  <c r="K47" i="1"/>
  <c r="H47" i="1"/>
  <c r="CW46" i="1"/>
  <c r="CV46" i="1"/>
  <c r="CU46" i="1"/>
  <c r="CT46" i="1"/>
  <c r="CQ46" i="1"/>
  <c r="CN46" i="1"/>
  <c r="CK46" i="1"/>
  <c r="CH46" i="1"/>
  <c r="CE46" i="1"/>
  <c r="CB46" i="1"/>
  <c r="BY46" i="1"/>
  <c r="BV46" i="1"/>
  <c r="BS46" i="1"/>
  <c r="BP46" i="1"/>
  <c r="BM46" i="1"/>
  <c r="BJ46" i="1"/>
  <c r="BG46" i="1"/>
  <c r="BD46" i="1"/>
  <c r="BA46" i="1"/>
  <c r="AX46" i="1"/>
  <c r="AU46" i="1"/>
  <c r="AR46" i="1"/>
  <c r="AO46" i="1"/>
  <c r="AL46" i="1"/>
  <c r="AI46" i="1"/>
  <c r="AF46" i="1"/>
  <c r="AC46" i="1"/>
  <c r="Z46" i="1"/>
  <c r="W46" i="1"/>
  <c r="T46" i="1"/>
  <c r="Q46" i="1"/>
  <c r="N46" i="1"/>
  <c r="K46" i="1"/>
  <c r="H46" i="1"/>
  <c r="CV45" i="1"/>
  <c r="CU45" i="1"/>
  <c r="CW45" i="1" s="1"/>
  <c r="CT45" i="1"/>
  <c r="CQ45" i="1"/>
  <c r="CN45" i="1"/>
  <c r="CK45" i="1"/>
  <c r="CH45" i="1"/>
  <c r="CE45" i="1"/>
  <c r="CB45" i="1"/>
  <c r="BY45" i="1"/>
  <c r="BV45" i="1"/>
  <c r="BS45" i="1"/>
  <c r="BP45" i="1"/>
  <c r="BM45" i="1"/>
  <c r="BJ45" i="1"/>
  <c r="BG45" i="1"/>
  <c r="BD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Q45" i="1"/>
  <c r="N45" i="1"/>
  <c r="K45" i="1"/>
  <c r="H45" i="1"/>
  <c r="CV44" i="1"/>
  <c r="CW44" i="1" s="1"/>
  <c r="CU44" i="1"/>
  <c r="CT44" i="1"/>
  <c r="CQ44" i="1"/>
  <c r="CN44" i="1"/>
  <c r="CK44" i="1"/>
  <c r="CH44" i="1"/>
  <c r="CE44" i="1"/>
  <c r="CB44" i="1"/>
  <c r="BY44" i="1"/>
  <c r="BV44" i="1"/>
  <c r="BS44" i="1"/>
  <c r="BP44" i="1"/>
  <c r="BM44" i="1"/>
  <c r="BJ44" i="1"/>
  <c r="BG44" i="1"/>
  <c r="BD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Q44" i="1"/>
  <c r="N44" i="1"/>
  <c r="K44" i="1"/>
  <c r="H44" i="1"/>
  <c r="CV43" i="1"/>
  <c r="CU43" i="1"/>
  <c r="CT43" i="1"/>
  <c r="CQ43" i="1"/>
  <c r="CN43" i="1"/>
  <c r="CK43" i="1"/>
  <c r="CH43" i="1"/>
  <c r="CE43" i="1"/>
  <c r="CB43" i="1"/>
  <c r="BY43" i="1"/>
  <c r="BV43" i="1"/>
  <c r="BS43" i="1"/>
  <c r="BP43" i="1"/>
  <c r="BJ43" i="1"/>
  <c r="BG43" i="1"/>
  <c r="BD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Q43" i="1"/>
  <c r="N43" i="1"/>
  <c r="K43" i="1"/>
  <c r="H43" i="1"/>
  <c r="CW42" i="1"/>
  <c r="CV42" i="1"/>
  <c r="CU42" i="1"/>
  <c r="CT42" i="1"/>
  <c r="CQ42" i="1"/>
  <c r="CN42" i="1"/>
  <c r="CK42" i="1"/>
  <c r="CH42" i="1"/>
  <c r="CE42" i="1"/>
  <c r="CB42" i="1"/>
  <c r="BY42" i="1"/>
  <c r="BV42" i="1"/>
  <c r="BS42" i="1"/>
  <c r="BP42" i="1"/>
  <c r="BM42" i="1"/>
  <c r="BJ42" i="1"/>
  <c r="BG42" i="1"/>
  <c r="BD42" i="1"/>
  <c r="BA42" i="1"/>
  <c r="AX42" i="1"/>
  <c r="AU42" i="1"/>
  <c r="AR42" i="1"/>
  <c r="AO42" i="1"/>
  <c r="AL42" i="1"/>
  <c r="AI42" i="1"/>
  <c r="AF42" i="1"/>
  <c r="AC42" i="1"/>
  <c r="Z42" i="1"/>
  <c r="W42" i="1"/>
  <c r="T42" i="1"/>
  <c r="Q42" i="1"/>
  <c r="N42" i="1"/>
  <c r="K42" i="1"/>
  <c r="H42" i="1"/>
  <c r="CW41" i="1"/>
  <c r="CV41" i="1"/>
  <c r="CU41" i="1"/>
  <c r="CT41" i="1"/>
  <c r="CQ41" i="1"/>
  <c r="CN41" i="1"/>
  <c r="CK41" i="1"/>
  <c r="CH41" i="1"/>
  <c r="CE41" i="1"/>
  <c r="CB41" i="1"/>
  <c r="BY41" i="1"/>
  <c r="BV41" i="1"/>
  <c r="BS41" i="1"/>
  <c r="BP41" i="1"/>
  <c r="BM41" i="1"/>
  <c r="BJ41" i="1"/>
  <c r="BG41" i="1"/>
  <c r="BD41" i="1"/>
  <c r="BA41" i="1"/>
  <c r="AX41" i="1"/>
  <c r="AU41" i="1"/>
  <c r="AR41" i="1"/>
  <c r="AO41" i="1"/>
  <c r="AL41" i="1"/>
  <c r="AI41" i="1"/>
  <c r="AF41" i="1"/>
  <c r="AC41" i="1"/>
  <c r="Z41" i="1"/>
  <c r="W41" i="1"/>
  <c r="T41" i="1"/>
  <c r="Q41" i="1"/>
  <c r="N41" i="1"/>
  <c r="K41" i="1"/>
  <c r="H41" i="1"/>
  <c r="CV40" i="1"/>
  <c r="CU40" i="1"/>
  <c r="CW40" i="1" s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H40" i="1"/>
  <c r="CV39" i="1"/>
  <c r="CU39" i="1"/>
  <c r="CW39" i="1" s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C39" i="1"/>
  <c r="Z39" i="1"/>
  <c r="W39" i="1"/>
  <c r="T39" i="1"/>
  <c r="Q39" i="1"/>
  <c r="N39" i="1"/>
  <c r="K39" i="1"/>
  <c r="H39" i="1"/>
  <c r="CV38" i="1"/>
  <c r="CW38" i="1" s="1"/>
  <c r="CU38" i="1"/>
  <c r="CT38" i="1"/>
  <c r="CQ38" i="1"/>
  <c r="CN38" i="1"/>
  <c r="CK38" i="1"/>
  <c r="CH38" i="1"/>
  <c r="CE38" i="1"/>
  <c r="CB38" i="1"/>
  <c r="BY38" i="1"/>
  <c r="BS38" i="1"/>
  <c r="BP38" i="1"/>
  <c r="BM38" i="1"/>
  <c r="BJ38" i="1"/>
  <c r="BG38" i="1"/>
  <c r="BD38" i="1"/>
  <c r="BA38" i="1"/>
  <c r="AX38" i="1"/>
  <c r="AU38" i="1"/>
  <c r="AO38" i="1"/>
  <c r="AL38" i="1"/>
  <c r="AI38" i="1"/>
  <c r="AF38" i="1"/>
  <c r="AC38" i="1"/>
  <c r="Z38" i="1"/>
  <c r="W38" i="1"/>
  <c r="T38" i="1"/>
  <c r="N38" i="1"/>
  <c r="K38" i="1"/>
  <c r="H38" i="1"/>
  <c r="CV37" i="1"/>
  <c r="CU37" i="1"/>
  <c r="CW37" i="1" s="1"/>
  <c r="CT37" i="1"/>
  <c r="CQ37" i="1"/>
  <c r="CN37" i="1"/>
  <c r="CH37" i="1"/>
  <c r="CE37" i="1"/>
  <c r="CB37" i="1"/>
  <c r="BY37" i="1"/>
  <c r="BV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N37" i="1"/>
  <c r="K37" i="1"/>
  <c r="CV36" i="1"/>
  <c r="CU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CW35" i="1"/>
  <c r="CV35" i="1"/>
  <c r="CU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A35" i="1"/>
  <c r="AX35" i="1"/>
  <c r="AU35" i="1"/>
  <c r="AR35" i="1"/>
  <c r="AO35" i="1"/>
  <c r="AL35" i="1"/>
  <c r="AI35" i="1"/>
  <c r="AF35" i="1"/>
  <c r="AC35" i="1"/>
  <c r="W35" i="1"/>
  <c r="T35" i="1"/>
  <c r="N35" i="1"/>
  <c r="K35" i="1"/>
  <c r="CV34" i="1"/>
  <c r="CU34" i="1"/>
  <c r="CW34" i="1" s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CV33" i="1"/>
  <c r="CU33" i="1"/>
  <c r="CW33" i="1" s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CW32" i="1"/>
  <c r="CV32" i="1"/>
  <c r="CU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CV31" i="1"/>
  <c r="CU31" i="1"/>
  <c r="CW31" i="1" s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CV30" i="1"/>
  <c r="CW30" i="1" s="1"/>
  <c r="CU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CV29" i="1"/>
  <c r="CU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D29" i="1"/>
  <c r="BA29" i="1"/>
  <c r="AX29" i="1"/>
  <c r="AR29" i="1"/>
  <c r="AO29" i="1"/>
  <c r="AL29" i="1"/>
  <c r="AF29" i="1"/>
  <c r="AC29" i="1"/>
  <c r="Z29" i="1"/>
  <c r="Q29" i="1"/>
  <c r="K29" i="1"/>
  <c r="H29" i="1"/>
  <c r="CV28" i="1"/>
  <c r="CU28" i="1"/>
  <c r="CW28" i="1" s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CV27" i="1"/>
  <c r="CW27" i="1" s="1"/>
  <c r="CU27" i="1"/>
  <c r="CT27" i="1"/>
  <c r="CQ27" i="1"/>
  <c r="CN27" i="1"/>
  <c r="CK27" i="1"/>
  <c r="CH27" i="1"/>
  <c r="CE27" i="1"/>
  <c r="CB27" i="1"/>
  <c r="BY27" i="1"/>
  <c r="BV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T27" i="1"/>
  <c r="Q27" i="1"/>
  <c r="N27" i="1"/>
  <c r="K27" i="1"/>
  <c r="H27" i="1"/>
  <c r="CV26" i="1"/>
  <c r="CW26" i="1" s="1"/>
  <c r="CU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CV25" i="1"/>
  <c r="CU25" i="1"/>
  <c r="CW25" i="1" s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W25" i="1"/>
  <c r="T25" i="1"/>
  <c r="N25" i="1"/>
  <c r="K25" i="1"/>
  <c r="H25" i="1"/>
  <c r="CV24" i="1"/>
  <c r="CU24" i="1"/>
  <c r="CW24" i="1" s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CW23" i="1"/>
  <c r="CV23" i="1"/>
  <c r="CU23" i="1"/>
  <c r="CT23" i="1"/>
  <c r="CQ23" i="1"/>
  <c r="CN23" i="1"/>
  <c r="CK23" i="1"/>
  <c r="CH23" i="1"/>
  <c r="CE23" i="1"/>
  <c r="CB23" i="1"/>
  <c r="BY23" i="1"/>
  <c r="BV23" i="1"/>
  <c r="BS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CW22" i="1"/>
  <c r="CV22" i="1"/>
  <c r="CU22" i="1"/>
  <c r="CT22" i="1"/>
  <c r="CQ22" i="1"/>
  <c r="CN22" i="1"/>
  <c r="CK22" i="1"/>
  <c r="CH22" i="1"/>
  <c r="CE22" i="1"/>
  <c r="CB22" i="1"/>
  <c r="BY22" i="1"/>
  <c r="BS22" i="1"/>
  <c r="BP22" i="1"/>
  <c r="BM22" i="1"/>
  <c r="BJ22" i="1"/>
  <c r="BD22" i="1"/>
  <c r="BA22" i="1"/>
  <c r="AU22" i="1"/>
  <c r="AR22" i="1"/>
  <c r="AO22" i="1"/>
  <c r="AL22" i="1"/>
  <c r="AI22" i="1"/>
  <c r="AF22" i="1"/>
  <c r="AC22" i="1"/>
  <c r="W22" i="1"/>
  <c r="T22" i="1"/>
  <c r="Q22" i="1"/>
  <c r="N22" i="1"/>
  <c r="K22" i="1"/>
  <c r="H22" i="1"/>
  <c r="CV21" i="1"/>
  <c r="CW21" i="1" s="1"/>
  <c r="CU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CW20" i="1"/>
  <c r="CV20" i="1"/>
  <c r="CU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Q20" i="1"/>
  <c r="N20" i="1"/>
  <c r="K20" i="1"/>
  <c r="H20" i="1"/>
  <c r="CV19" i="1"/>
  <c r="CU19" i="1"/>
  <c r="CW19" i="1" s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CV18" i="1"/>
  <c r="CW18" i="1" s="1"/>
  <c r="CU18" i="1"/>
  <c r="CT18" i="1"/>
  <c r="CQ18" i="1"/>
  <c r="CN18" i="1"/>
  <c r="CK18" i="1"/>
  <c r="CH18" i="1"/>
  <c r="CE18" i="1"/>
  <c r="CB18" i="1"/>
  <c r="BY18" i="1"/>
  <c r="BV18" i="1"/>
  <c r="BS18" i="1"/>
  <c r="BP18" i="1"/>
  <c r="BJ18" i="1"/>
  <c r="BG18" i="1"/>
  <c r="BD18" i="1"/>
  <c r="BA18" i="1"/>
  <c r="AU18" i="1"/>
  <c r="AR18" i="1"/>
  <c r="AO18" i="1"/>
  <c r="AL18" i="1"/>
  <c r="AF18" i="1"/>
  <c r="AC18" i="1"/>
  <c r="Z18" i="1"/>
  <c r="W18" i="1"/>
  <c r="T18" i="1"/>
  <c r="N18" i="1"/>
  <c r="K18" i="1"/>
  <c r="H18" i="1"/>
  <c r="CV17" i="1"/>
  <c r="CU17" i="1"/>
  <c r="CW17" i="1" s="1"/>
  <c r="CT17" i="1"/>
  <c r="CQ17" i="1"/>
  <c r="CN17" i="1"/>
  <c r="CK17" i="1"/>
  <c r="CH17" i="1"/>
  <c r="CE17" i="1"/>
  <c r="CB17" i="1"/>
  <c r="BY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F17" i="1"/>
  <c r="AC17" i="1"/>
  <c r="Z17" i="1"/>
  <c r="W17" i="1"/>
  <c r="T17" i="1"/>
  <c r="Q17" i="1"/>
  <c r="N17" i="1"/>
  <c r="K17" i="1"/>
  <c r="H17" i="1"/>
  <c r="CV16" i="1"/>
  <c r="CU16" i="1"/>
  <c r="CW16" i="1" s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I16" i="1"/>
  <c r="AF16" i="1"/>
  <c r="AC16" i="1"/>
  <c r="Z16" i="1"/>
  <c r="W16" i="1"/>
  <c r="T16" i="1"/>
  <c r="Q16" i="1"/>
  <c r="N16" i="1"/>
  <c r="K16" i="1"/>
  <c r="H16" i="1"/>
  <c r="CV15" i="1"/>
  <c r="CU15" i="1"/>
  <c r="CW15" i="1" s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CW14" i="1"/>
  <c r="CV14" i="1"/>
  <c r="CU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CV13" i="1"/>
  <c r="CW13" i="1" s="1"/>
  <c r="CU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CW12" i="1"/>
  <c r="CV12" i="1"/>
  <c r="CU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A12" i="1"/>
  <c r="AX12" i="1"/>
  <c r="AU12" i="1"/>
  <c r="AR12" i="1"/>
  <c r="AO12" i="1"/>
  <c r="AL12" i="1"/>
  <c r="AF12" i="1"/>
  <c r="AC12" i="1"/>
  <c r="Z12" i="1"/>
  <c r="W12" i="1"/>
  <c r="T12" i="1"/>
  <c r="Q12" i="1"/>
  <c r="N12" i="1"/>
  <c r="H12" i="1"/>
  <c r="CW11" i="1"/>
  <c r="CV11" i="1"/>
  <c r="CU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CV10" i="1"/>
  <c r="CU10" i="1"/>
  <c r="CW10" i="1" s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Q10" i="1"/>
  <c r="N10" i="1"/>
  <c r="K10" i="1"/>
  <c r="H10" i="1"/>
  <c r="CV9" i="1"/>
  <c r="CU9" i="1"/>
  <c r="CW9" i="1" s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U9" i="1"/>
  <c r="AR9" i="1"/>
  <c r="AO9" i="1"/>
  <c r="AL9" i="1"/>
  <c r="AI9" i="1"/>
  <c r="AC9" i="1"/>
  <c r="Z9" i="1"/>
  <c r="W9" i="1"/>
  <c r="T9" i="1"/>
  <c r="Q9" i="1"/>
  <c r="N9" i="1"/>
  <c r="K9" i="1"/>
  <c r="H9" i="1"/>
  <c r="CV8" i="1"/>
  <c r="CU8" i="1"/>
  <c r="CW8" i="1" s="1"/>
  <c r="CT8" i="1"/>
  <c r="CQ8" i="1"/>
  <c r="CN8" i="1"/>
  <c r="CK8" i="1"/>
  <c r="CH8" i="1"/>
  <c r="CE8" i="1"/>
  <c r="CB8" i="1"/>
  <c r="BY8" i="1"/>
  <c r="BV8" i="1"/>
  <c r="BS8" i="1"/>
  <c r="BP8" i="1"/>
  <c r="BM8" i="1"/>
  <c r="BJ8" i="1"/>
  <c r="BG8" i="1"/>
  <c r="BD8" i="1"/>
  <c r="BA8" i="1"/>
  <c r="AX8" i="1"/>
  <c r="AU8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CW7" i="1"/>
  <c r="CV7" i="1"/>
  <c r="CU7" i="1"/>
  <c r="CT7" i="1"/>
  <c r="CQ7" i="1"/>
  <c r="CN7" i="1"/>
  <c r="CK7" i="1"/>
  <c r="CH7" i="1"/>
  <c r="CE7" i="1"/>
  <c r="CB7" i="1"/>
  <c r="BY7" i="1"/>
  <c r="BV7" i="1"/>
  <c r="BS7" i="1"/>
  <c r="BP7" i="1"/>
  <c r="BM7" i="1"/>
  <c r="BJ7" i="1"/>
  <c r="BG7" i="1"/>
  <c r="BD7" i="1"/>
  <c r="BA7" i="1"/>
  <c r="AX7" i="1"/>
  <c r="AU7" i="1"/>
  <c r="AR7" i="1"/>
  <c r="AO7" i="1"/>
  <c r="AL7" i="1"/>
  <c r="AI7" i="1"/>
  <c r="AF7" i="1"/>
  <c r="AC7" i="1"/>
  <c r="Z7" i="1"/>
  <c r="W7" i="1"/>
  <c r="T7" i="1"/>
  <c r="Q7" i="1"/>
  <c r="N7" i="1"/>
  <c r="K7" i="1"/>
  <c r="H7" i="1"/>
  <c r="CV6" i="1"/>
  <c r="CW6" i="1" s="1"/>
  <c r="CU6" i="1"/>
  <c r="CT6" i="1"/>
  <c r="CQ6" i="1"/>
  <c r="CN6" i="1"/>
  <c r="CK6" i="1"/>
  <c r="CH6" i="1"/>
  <c r="CE6" i="1"/>
  <c r="CB6" i="1"/>
  <c r="BY6" i="1"/>
  <c r="BV6" i="1"/>
  <c r="BS6" i="1"/>
  <c r="BP6" i="1"/>
  <c r="BM6" i="1"/>
  <c r="BJ6" i="1"/>
  <c r="BG6" i="1"/>
  <c r="BD6" i="1"/>
  <c r="BA6" i="1"/>
  <c r="AX6" i="1"/>
  <c r="AU6" i="1"/>
  <c r="AR6" i="1"/>
  <c r="AO6" i="1"/>
  <c r="AI6" i="1"/>
  <c r="AF6" i="1"/>
  <c r="AC6" i="1"/>
  <c r="Z6" i="1"/>
  <c r="W6" i="1"/>
  <c r="T6" i="1"/>
  <c r="Q6" i="1"/>
  <c r="N6" i="1"/>
  <c r="K6" i="1"/>
  <c r="H6" i="1"/>
  <c r="CW5" i="1"/>
  <c r="CV5" i="1"/>
  <c r="CU5" i="1"/>
  <c r="CT5" i="1"/>
  <c r="CQ5" i="1"/>
  <c r="CN5" i="1"/>
  <c r="CK5" i="1"/>
  <c r="CH5" i="1"/>
  <c r="CE5" i="1"/>
  <c r="CB5" i="1"/>
  <c r="BY5" i="1"/>
  <c r="BS5" i="1"/>
  <c r="BP5" i="1"/>
  <c r="BM5" i="1"/>
  <c r="BJ5" i="1"/>
  <c r="BG5" i="1"/>
  <c r="BA5" i="1"/>
  <c r="AU5" i="1"/>
  <c r="AR5" i="1"/>
  <c r="AO5" i="1"/>
  <c r="AL5" i="1"/>
  <c r="AF5" i="1"/>
  <c r="AC5" i="1"/>
  <c r="W5" i="1"/>
  <c r="T5" i="1"/>
  <c r="Q5" i="1"/>
  <c r="N5" i="1"/>
  <c r="K5" i="1"/>
  <c r="H5" i="1"/>
  <c r="CW4" i="1"/>
  <c r="CV4" i="1"/>
  <c r="CU4" i="1"/>
  <c r="CT4" i="1"/>
  <c r="CQ4" i="1"/>
  <c r="CN4" i="1"/>
  <c r="CK4" i="1"/>
  <c r="CH4" i="1"/>
  <c r="CE4" i="1"/>
  <c r="CB4" i="1"/>
  <c r="BY4" i="1"/>
  <c r="BS4" i="1"/>
  <c r="BP4" i="1"/>
  <c r="BM4" i="1"/>
  <c r="BJ4" i="1"/>
  <c r="BG4" i="1"/>
  <c r="BD4" i="1"/>
  <c r="BA4" i="1"/>
  <c r="AU4" i="1"/>
  <c r="AR4" i="1"/>
  <c r="AO4" i="1"/>
  <c r="AL4" i="1"/>
  <c r="AI4" i="1"/>
  <c r="AF4" i="1"/>
  <c r="Z4" i="1"/>
  <c r="W4" i="1"/>
  <c r="T4" i="1"/>
  <c r="Q4" i="1"/>
  <c r="N4" i="1"/>
  <c r="H4" i="1"/>
  <c r="CV3" i="1"/>
  <c r="CU3" i="1"/>
  <c r="CW3" i="1" s="1"/>
  <c r="CT3" i="1"/>
  <c r="CQ3" i="1"/>
  <c r="CN3" i="1"/>
  <c r="CK3" i="1"/>
  <c r="CH3" i="1"/>
  <c r="CE3" i="1"/>
  <c r="CB3" i="1"/>
  <c r="BV3" i="1"/>
  <c r="BS3" i="1"/>
  <c r="BP3" i="1"/>
  <c r="BM3" i="1"/>
  <c r="BJ3" i="1"/>
  <c r="BG3" i="1"/>
  <c r="BD3" i="1"/>
  <c r="BA3" i="1"/>
  <c r="AX3" i="1"/>
  <c r="AU3" i="1"/>
  <c r="AR3" i="1"/>
  <c r="AO3" i="1"/>
  <c r="AL3" i="1"/>
  <c r="AI3" i="1"/>
  <c r="AF3" i="1"/>
  <c r="W3" i="1"/>
  <c r="T3" i="1"/>
  <c r="Q3" i="1"/>
  <c r="N3" i="1"/>
  <c r="K3" i="1"/>
  <c r="H3" i="1"/>
  <c r="CW29" i="1" l="1"/>
  <c r="CW52" i="2"/>
  <c r="CW4" i="3"/>
  <c r="B5" i="7" s="1"/>
  <c r="CW62" i="5"/>
  <c r="CW36" i="1"/>
  <c r="CW47" i="1"/>
  <c r="B8" i="7"/>
  <c r="CW13" i="4"/>
  <c r="B3" i="7"/>
  <c r="CW43" i="1"/>
  <c r="CW4" i="2"/>
  <c r="CW16" i="2"/>
  <c r="B4" i="7" s="1"/>
  <c r="CW44" i="2"/>
  <c r="CW18" i="3"/>
  <c r="CW41" i="3"/>
  <c r="CW16" i="5"/>
  <c r="B6" i="7" s="1"/>
  <c r="B9" i="7" l="1"/>
</calcChain>
</file>

<file path=xl/sharedStrings.xml><?xml version="1.0" encoding="utf-8"?>
<sst xmlns="http://schemas.openxmlformats.org/spreadsheetml/2006/main" count="4717" uniqueCount="1074">
  <si>
    <t>Día</t>
  </si>
  <si>
    <t>Categoría (Pestaña)</t>
  </si>
  <si>
    <t>Ítem (Exacto en tu Excel)</t>
  </si>
  <si>
    <t>Descripción Original (PDF)</t>
  </si>
  <si>
    <t>Cantidad</t>
  </si>
  <si>
    <t>Costo Unitario</t>
  </si>
  <si>
    <t>Vr. Compra (Total)</t>
  </si>
  <si>
    <t>Servicios</t>
  </si>
  <si>
    <t>Pago turnos</t>
  </si>
  <si>
    <t>PAGO TURNO WILSON DIA MARTES</t>
  </si>
  <si>
    <t>Carnes</t>
  </si>
  <si>
    <t>Pernil de pollo</t>
  </si>
  <si>
    <t>15 medio Pernil de pollo campesino</t>
  </si>
  <si>
    <t>Acopi</t>
  </si>
  <si>
    <t>A COP</t>
  </si>
  <si>
    <t>Desechables</t>
  </si>
  <si>
    <t>Mercancias Varias Excentas</t>
  </si>
  <si>
    <t>RALLADOR Y VASOS</t>
  </si>
  <si>
    <t>Verduras</t>
  </si>
  <si>
    <t>Mazorca</t>
  </si>
  <si>
    <t>MAZORCA</t>
  </si>
  <si>
    <t>Grano</t>
  </si>
  <si>
    <t>Pasta la muñeca</t>
  </si>
  <si>
    <t>PASTA LA MUNECA*250g (Varias)</t>
  </si>
  <si>
    <t>Detergente</t>
  </si>
  <si>
    <t>DETER 3D 2000g MULTI USOS</t>
  </si>
  <si>
    <t>PAPELERIA</t>
  </si>
  <si>
    <t>Alimento donkat</t>
  </si>
  <si>
    <t>ALIMENTO DONKAT 1000g ADULTO</t>
  </si>
  <si>
    <t>PAGO TURNOS</t>
  </si>
  <si>
    <t>Aguacate común</t>
  </si>
  <si>
    <t>AQUACATES</t>
  </si>
  <si>
    <t>COMIDA PARA LA GATA</t>
  </si>
  <si>
    <t>ACOPI</t>
  </si>
  <si>
    <t>Mazamorra</t>
  </si>
  <si>
    <t>MAZAMORRA</t>
  </si>
  <si>
    <t>PERNIL DE POLLO</t>
  </si>
  <si>
    <t>Detergente dersax 1000</t>
  </si>
  <si>
    <t>DETERGENTE DERSA LIMON X 1000X20</t>
  </si>
  <si>
    <t>Cubierto grande x 3 cja x 28pq x 50un</t>
  </si>
  <si>
    <t>CUBIERTO GRANDE X 3 CJA X 28PQ X 50UN</t>
  </si>
  <si>
    <t>Copa troforma 1/2</t>
  </si>
  <si>
    <t>COPA TROFORMA 1/2 ONZ X 50 x 90</t>
  </si>
  <si>
    <t>Bolsa basura 65 x 90 # 2</t>
  </si>
  <si>
    <t>BOLSA BASURA 65 X 90 #2</t>
  </si>
  <si>
    <t>Azucar sobre x 200</t>
  </si>
  <si>
    <t>AZUCAR EN SOBRE X 200 X 10</t>
  </si>
  <si>
    <t>Bolsa basura blanca x 10</t>
  </si>
  <si>
    <t>BOLSA BASURA BLANCA 65X90</t>
  </si>
  <si>
    <t>Resma de papel</t>
  </si>
  <si>
    <t>RESMA DE PAPEL CARTA</t>
  </si>
  <si>
    <t>Bolsa maniguetat40</t>
  </si>
  <si>
    <t>BOLSA MANIGUETA T40 BLANCA ECON</t>
  </si>
  <si>
    <t>Tapa copa troforma 1 1/2</t>
  </si>
  <si>
    <t>TAPA COPA TROFORMA 1 Y 1/2 ONZ X 50 X 2000 X 6</t>
  </si>
  <si>
    <t>Lomo de cerdo</t>
  </si>
  <si>
    <t>LOMO DE CERDO</t>
  </si>
  <si>
    <t>Bebidas</t>
  </si>
  <si>
    <t>Bloque media</t>
  </si>
  <si>
    <t>BLOQUE MEDIA</t>
  </si>
  <si>
    <t>Bolsa 5kl tubular</t>
  </si>
  <si>
    <t>BOLSA X 5 KL TUBULAR</t>
  </si>
  <si>
    <t xml:space="preserve">Higado </t>
  </si>
  <si>
    <t>HIGADO</t>
  </si>
  <si>
    <t>Sabor original</t>
  </si>
  <si>
    <t>SABOR ORIGINAL INSTITUCIONAL 1100ML</t>
  </si>
  <si>
    <t>Crema de leche</t>
  </si>
  <si>
    <t>CREMA DE LECHE 1000G</t>
  </si>
  <si>
    <t>Lengua de res</t>
  </si>
  <si>
    <t>LENGUA</t>
  </si>
  <si>
    <t>Sobrebarriga delgada</t>
  </si>
  <si>
    <t>SOBREBARRIGA</t>
  </si>
  <si>
    <t>hielo (bloque)</t>
  </si>
  <si>
    <t>Mombara</t>
  </si>
  <si>
    <t>Cocos</t>
  </si>
  <si>
    <t>Aguacate</t>
  </si>
  <si>
    <t xml:space="preserve">Hoja de tamal </t>
  </si>
  <si>
    <t>Hojas Tamal</t>
  </si>
  <si>
    <t>Tomate milano</t>
  </si>
  <si>
    <t>16 de Tomate</t>
  </si>
  <si>
    <t>Platano verde</t>
  </si>
  <si>
    <t>platano verde</t>
  </si>
  <si>
    <t>Aji</t>
  </si>
  <si>
    <t>aji</t>
  </si>
  <si>
    <t>hielo (bolsa)</t>
  </si>
  <si>
    <t xml:space="preserve">Papa amarilla </t>
  </si>
  <si>
    <t>K- Amarilla</t>
  </si>
  <si>
    <t>Comino</t>
  </si>
  <si>
    <t>Arreglo Tubos x Materiales</t>
  </si>
  <si>
    <t>valvula para olla pitadora</t>
  </si>
  <si>
    <t>Lampara led antipolvo</t>
  </si>
  <si>
    <t>lampara led</t>
  </si>
  <si>
    <t xml:space="preserve">Laurel </t>
  </si>
  <si>
    <t>limoncillo brocoli laurel</t>
  </si>
  <si>
    <t>Compras Wilson</t>
  </si>
  <si>
    <t>compras wilson</t>
  </si>
  <si>
    <t>pago turnos</t>
  </si>
  <si>
    <t>acopi</t>
  </si>
  <si>
    <t>Copa 2 onz</t>
  </si>
  <si>
    <t>COPA 2.0 X 100 X 25 HOUSE</t>
  </si>
  <si>
    <t>Contenedor 8 onz.</t>
  </si>
  <si>
    <t>CONTENEDOR DARNEL 8 ONZ T X 20X25</t>
  </si>
  <si>
    <t>Bolsa basura industrial gruesa 90 x 120</t>
  </si>
  <si>
    <t>BOLSA BASURA INDUSTRIAL GRUESA 90 X 120</t>
  </si>
  <si>
    <t>Bananas x 24</t>
  </si>
  <si>
    <t>BANANA MORITAS X 24</t>
  </si>
  <si>
    <t>Ambientador</t>
  </si>
  <si>
    <t>AMBIENTADOR LAVANDA YILOP X 3800</t>
  </si>
  <si>
    <t>Tarrina 14 x 25 unid</t>
  </si>
  <si>
    <t>TARRINA 14 ONZ X 25UND X 20PQ PRODUCT</t>
  </si>
  <si>
    <t>Desengrasante</t>
  </si>
  <si>
    <t>DESENGRASANTE TAK TAX X 3800</t>
  </si>
  <si>
    <t>Bolsa manigueta t25</t>
  </si>
  <si>
    <t>BOLSA MANIGUETA T25 ECON</t>
  </si>
  <si>
    <t>Vaso cartón 7 onz.</t>
  </si>
  <si>
    <t>VASO CARTON 7 OZ PREXXA X 50</t>
  </si>
  <si>
    <t>Cinta impronta 24x80mm</t>
  </si>
  <si>
    <t>CINTA IMPRONTA 24X80MM</t>
  </si>
  <si>
    <t>Pitillos</t>
  </si>
  <si>
    <t>PITILLO FORRADO BIO 25cm X 500 HOUSE X 20</t>
  </si>
  <si>
    <t>Acento x 500</t>
  </si>
  <si>
    <t>ACENTO X 500 LB</t>
  </si>
  <si>
    <t>Tapa copa 20nz domingo x100 x25</t>
  </si>
  <si>
    <t>TAPA COPA 2.0 X 100 HOUSE</t>
  </si>
  <si>
    <t>Humo</t>
  </si>
  <si>
    <t>HUMO LIQUIDO GALON</t>
  </si>
  <si>
    <t>Color azafran</t>
  </si>
  <si>
    <t>COLOR AZAFRAN 1/4 ARROBA</t>
  </si>
  <si>
    <t>Vinagre differ galon 3000</t>
  </si>
  <si>
    <t>VINAGRE DIFFER GALON X 3000 X 6</t>
  </si>
  <si>
    <t>Vasote 3.5 tansl x 50 x 60</t>
  </si>
  <si>
    <t>VASOTE 3,5 TANSL X 50 X 60 PQ</t>
  </si>
  <si>
    <t>Tapa vaso 3.5</t>
  </si>
  <si>
    <t>TAPA VASO 3,5 Y 7 ONZ WAU X 50 X 90</t>
  </si>
  <si>
    <t>Contenedor 16 onz. darnel 20x20</t>
  </si>
  <si>
    <t>CONTENEDOR 16 ONZ DARNEL X 20X20 PAQ</t>
  </si>
  <si>
    <t>Harina de trigo x 25</t>
  </si>
  <si>
    <t>HARINA DE TRIGO X 25</t>
  </si>
  <si>
    <t>Salsa negra differ galon x 3000 x 6</t>
  </si>
  <si>
    <t>SALSA NEGRA DIFFER GALON X 3000 X 6</t>
  </si>
  <si>
    <t>Salsa mayonezax4000</t>
  </si>
  <si>
    <t>SALSA MAYONESA DIFFER X 4000 X 3</t>
  </si>
  <si>
    <t>Salsa bbq</t>
  </si>
  <si>
    <t>SALSA BBQ X 4000</t>
  </si>
  <si>
    <t>Sabras</t>
  </si>
  <si>
    <t>SABRAS COLORES X36UDS X9PQT</t>
  </si>
  <si>
    <t>Servilletas</t>
  </si>
  <si>
    <t>SERVILLETA NUBE 1A 1 X 60PQ X 100UND</t>
  </si>
  <si>
    <t>Porta comida j-2</t>
  </si>
  <si>
    <t>PORTACOMIDA DARNEL J2 X 200</t>
  </si>
  <si>
    <t>Porta comida j-1</t>
  </si>
  <si>
    <t>PORTACOMIDA DARNEL J1 X 200</t>
  </si>
  <si>
    <t>Salsa mostaza differ x 4000</t>
  </si>
  <si>
    <t>SALSA MOSTAZA DIFFER BOLSA X 4000 X 3</t>
  </si>
  <si>
    <t>Porta comida c-1</t>
  </si>
  <si>
    <t>PORTACOMIDA C1 X 200 WAU</t>
  </si>
  <si>
    <t>Toalla mano v natural mio 24x150h</t>
  </si>
  <si>
    <t>TOALLA MANO Z NATURAL GARDEN X150UDS</t>
  </si>
  <si>
    <t>Coca cola 3 litros</t>
  </si>
  <si>
    <t>COCA COLA 3LT PET(6) Nvo</t>
  </si>
  <si>
    <t>Mix de verdura</t>
  </si>
  <si>
    <t>MIX DE VERDURAS PAQ</t>
  </si>
  <si>
    <t>Camaron precocido</t>
  </si>
  <si>
    <t>CAMARON DE CULTIVO</t>
  </si>
  <si>
    <t>Tilapia y truchas</t>
  </si>
  <si>
    <t>TILAPIA ROJA SIN ESCAMAS</t>
  </si>
  <si>
    <t>SOBREBARRIGA DELGADA</t>
  </si>
  <si>
    <t>Trucha</t>
  </si>
  <si>
    <t>TRUCHA</t>
  </si>
  <si>
    <t>Papa a la francesa paq 2.5 kl</t>
  </si>
  <si>
    <t>PAPA A LA FRANCESA PAQ 2.5 KL</t>
  </si>
  <si>
    <t>Tocineta barril</t>
  </si>
  <si>
    <t>TOCINETA BARRIL</t>
  </si>
  <si>
    <t>Bagre de mar</t>
  </si>
  <si>
    <t>BAGRE DE MAR</t>
  </si>
  <si>
    <t>Sobaco</t>
  </si>
  <si>
    <t>SOBACO</t>
  </si>
  <si>
    <t>Bidon de aceite</t>
  </si>
  <si>
    <t>ACEITE</t>
  </si>
  <si>
    <t>BOLSA X 5 KL TUB</t>
  </si>
  <si>
    <t>AGUACATES (Caja Menor)</t>
  </si>
  <si>
    <t>AGUACATE COMUN*und</t>
  </si>
  <si>
    <t xml:space="preserve">Platano </t>
  </si>
  <si>
    <t>PLATANO A GRANEL</t>
  </si>
  <si>
    <t>Bolsa mercamio reciclable</t>
  </si>
  <si>
    <t>BOLSA CANAVERAL</t>
  </si>
  <si>
    <t>Guante nitrilo</t>
  </si>
  <si>
    <t>GUANTE DE NITRILO NEGRO L HOUSE CJX 10</t>
  </si>
  <si>
    <t>Filete de pollo x 350</t>
  </si>
  <si>
    <t>FILETE DE POLLO</t>
  </si>
  <si>
    <t>Chorizo coctelero x 40</t>
  </si>
  <si>
    <t>CHORIZO PREMIUM COCTELERO PAQ</t>
  </si>
  <si>
    <t>Chorizo Premium</t>
  </si>
  <si>
    <t>CHORIZO PREMIUM PAQ X 12 UND</t>
  </si>
  <si>
    <t>Mango 100gr</t>
  </si>
  <si>
    <t>N Mango 100 gr</t>
  </si>
  <si>
    <t>Lulo 100 gr</t>
  </si>
  <si>
    <t>O Lulo 100 gr</t>
  </si>
  <si>
    <t>Guanabana 100g</t>
  </si>
  <si>
    <t>R Guanabana 100 gr</t>
  </si>
  <si>
    <t>Cerezada</t>
  </si>
  <si>
    <t>Z.E Limonada Cerezada 143 gr</t>
  </si>
  <si>
    <t>Arepas</t>
  </si>
  <si>
    <t>700 arepas</t>
  </si>
  <si>
    <t>400 arepas</t>
  </si>
  <si>
    <t>AGUACATES</t>
  </si>
  <si>
    <t>LIJA</t>
  </si>
  <si>
    <t>Yuca pelada</t>
  </si>
  <si>
    <t>YUCA PELADA</t>
  </si>
  <si>
    <t xml:space="preserve">Limonada coco </t>
  </si>
  <si>
    <t>LIMONADA DE COCO</t>
  </si>
  <si>
    <t>PAGO AREPAS</t>
  </si>
  <si>
    <t>3 lija agua</t>
  </si>
  <si>
    <t>22 Aguacates</t>
  </si>
  <si>
    <t>Harina para apanar</t>
  </si>
  <si>
    <t>HARINA PARA APANAR LB</t>
  </si>
  <si>
    <t>MERCANCIAS VARIAS EXCENTAS</t>
  </si>
  <si>
    <t>Arroz</t>
  </si>
  <si>
    <t>ARROZ PROARROZ X 50 KL</t>
  </si>
  <si>
    <t>Sal</t>
  </si>
  <si>
    <t>SAL NATUSAL X 50 KL</t>
  </si>
  <si>
    <t>Panela</t>
  </si>
  <si>
    <t>PANELA REDONDA UNIDAD</t>
  </si>
  <si>
    <t>H2o</t>
  </si>
  <si>
    <t>TORONCHELLO H2OH</t>
  </si>
  <si>
    <t>LIMONATA H2OH</t>
  </si>
  <si>
    <t>MARACUYA H2OH</t>
  </si>
  <si>
    <t>Gatorade</t>
  </si>
  <si>
    <t>MARACUYA GATORADE</t>
  </si>
  <si>
    <t>MANDARINA GATORADE</t>
  </si>
  <si>
    <t>Lomo viche</t>
  </si>
  <si>
    <t>LOMO VICHE</t>
  </si>
  <si>
    <t>LIMONADA DE COCO FUSIONADA X 10</t>
  </si>
  <si>
    <t>Costilla san luis jr</t>
  </si>
  <si>
    <t>COSTILLA SAN LUIS JUNIOR</t>
  </si>
  <si>
    <t>Soda bretaña</t>
  </si>
  <si>
    <t>BRETAÑA 350</t>
  </si>
  <si>
    <t>Gaseosa 1.5 lit</t>
  </si>
  <si>
    <t>COLOMBIANA NACIONAL 1750</t>
  </si>
  <si>
    <t>FRUTAS TROPICAL GATORADE</t>
  </si>
  <si>
    <t>Gaseosa 350 ml</t>
  </si>
  <si>
    <t>POPULAR 350</t>
  </si>
  <si>
    <t>COLOMBIANA NACIONAL 350</t>
  </si>
  <si>
    <t>UVA POSTOBON 350</t>
  </si>
  <si>
    <t>Itamarindo postobo n 1500 ml pet x 12</t>
  </si>
  <si>
    <t>TAMARINDO POSTOBON 1500</t>
  </si>
  <si>
    <t>Piña nacional 350 ml vidrio r x 30</t>
  </si>
  <si>
    <t>PIÑA NACIONAL 350</t>
  </si>
  <si>
    <t>Mezcla liquida de limon</t>
  </si>
  <si>
    <t>MEZCLA DE LIMON 2000ml</t>
  </si>
  <si>
    <t>20 Aguacates</t>
  </si>
  <si>
    <t>BOLSA CANAVERAL 100% MATERIAL RECICL</t>
  </si>
  <si>
    <t>Pezuña</t>
  </si>
  <si>
    <t>PEZUNA CERDO A GRANEL</t>
  </si>
  <si>
    <t>Callo</t>
  </si>
  <si>
    <t>CALLO DE RES</t>
  </si>
  <si>
    <t>Costilla ahumada</t>
  </si>
  <si>
    <t>COSTILLA DE CERDO AHUMADA ROJA</t>
  </si>
  <si>
    <t>FILETE X 5 UND DE 350 GR</t>
  </si>
  <si>
    <t>Pn sr</t>
  </si>
  <si>
    <t>PAPA AMARILLA A GRANEL</t>
  </si>
  <si>
    <t>Espinazo de cerdo</t>
  </si>
  <si>
    <t>ESPINAZO CERDO A GRANEL</t>
  </si>
  <si>
    <t>lomo de cerdo</t>
  </si>
  <si>
    <t>coca-cola</t>
  </si>
  <si>
    <t>hielo</t>
  </si>
  <si>
    <t>FILETE DE POLLO X 350G</t>
  </si>
  <si>
    <t>Coca cola zero 350</t>
  </si>
  <si>
    <t>COCA COLA ZERO 350ML VR(30)KZ</t>
  </si>
  <si>
    <t>Coca cola 350</t>
  </si>
  <si>
    <t>COCA-COLA 350ML VIR(30)</t>
  </si>
  <si>
    <t>Costilla Especial</t>
  </si>
  <si>
    <t>COSTILLA CERDO ESP</t>
  </si>
  <si>
    <t>Pan F Andes</t>
  </si>
  <si>
    <t>Caja de 1lb</t>
  </si>
  <si>
    <t>Turno Martha 3 y Mayo (Jul 7)</t>
  </si>
  <si>
    <t>Alas de pollo</t>
  </si>
  <si>
    <t>ALAS CAMPOLIO CAMPO</t>
  </si>
  <si>
    <t>DETER DERSA 2000g</t>
  </si>
  <si>
    <t>TURNOS (GV 672)</t>
  </si>
  <si>
    <t>BLOQUE MEDIA (SF Nevado)</t>
  </si>
  <si>
    <t>BOLSA X 5 KL TUB (SF Nevado)</t>
  </si>
  <si>
    <t>VASO 6 CARTON</t>
  </si>
  <si>
    <t>PASTA LA MUNECA*1000g CONCHA</t>
  </si>
  <si>
    <t>DISPENSADOR DE CINTA, BORRADOR</t>
  </si>
  <si>
    <t>Café</t>
  </si>
  <si>
    <t>CAFE X 1 LB X 25</t>
  </si>
  <si>
    <t>VASO CARTON 7ONZ X50UND X30PQ INCOLPA</t>
  </si>
  <si>
    <t>Pato tanque azul</t>
  </si>
  <si>
    <t>PATO TANQUE AZUL</t>
  </si>
  <si>
    <t>Bolsa maniguetat19</t>
  </si>
  <si>
    <t>BOLSA MANIGUETA T19 ECON</t>
  </si>
  <si>
    <t>Bolsa basura verde x 10</t>
  </si>
  <si>
    <t>BOLSA BASURA VERDE 70 X 90 X 10UND</t>
  </si>
  <si>
    <t>BOLSA BASURA BLANCA 70 X 90 X 10UND</t>
  </si>
  <si>
    <t>Rollos termicos</t>
  </si>
  <si>
    <t>ROLLO TERMICO 80MM X 60MM REGISTRADORA CJA</t>
  </si>
  <si>
    <t>Salsa tomate sobre zafran x 120</t>
  </si>
  <si>
    <t>SALSA TOMATE SOBRE ZAFRAN X120 CJ X7</t>
  </si>
  <si>
    <t>Vaso tami 12x25</t>
  </si>
  <si>
    <t>VASO TAMI 12 X 25 TRANSP X 126 PQ</t>
  </si>
  <si>
    <t>Tapa vaso 12 onz. tami</t>
  </si>
  <si>
    <t>TAPA VASO 12 ONZ TAMI X 50 UND X 20 PQ</t>
  </si>
  <si>
    <t>Canela entera x 125gr</t>
  </si>
  <si>
    <t>CANELA ENTERA 125 GR</t>
  </si>
  <si>
    <t>Contenedor 12 onz.</t>
  </si>
  <si>
    <t>CONTENEDOR DARNEL 12 ONZ X 20X25T ESPUMADO</t>
  </si>
  <si>
    <t>CONTENEDOR DARNEL 8 ONZ TX 20X25</t>
  </si>
  <si>
    <t>CUBIERTO GRANDE X 3 CJAX 28PQ X 50UN</t>
  </si>
  <si>
    <t>BOLSA MANIGUETA T40 BLANCAECON</t>
  </si>
  <si>
    <t>Palo doble punta sol</t>
  </si>
  <si>
    <t>PALO DOBLE PUNTA EL SOLX 180X144</t>
  </si>
  <si>
    <t>Papel higienico jumbo</t>
  </si>
  <si>
    <t>PAPEL H. JUMBO INST. BCO X 8 X 250 NUBE</t>
  </si>
  <si>
    <t>Contenedor t1</t>
  </si>
  <si>
    <t>PORTACOMIDA DARNEL T1 X200</t>
  </si>
  <si>
    <t>SALSA MOSTAZA DIFFER BOLSAX 4000 X 3</t>
  </si>
  <si>
    <t>TAPA VASO 3,5 Y 7 ONZ WAUX 50 X 90</t>
  </si>
  <si>
    <t>BANANA EXTRA X 24</t>
  </si>
  <si>
    <t>Cuchara grande suraplas x 100</t>
  </si>
  <si>
    <t>CUCHARA GRANDE SURAPLAS X 100X60</t>
  </si>
  <si>
    <t>Aromaticasx 20</t>
  </si>
  <si>
    <t>AROMATICAS X 20 X 24CJ</t>
  </si>
  <si>
    <t>Banano</t>
  </si>
  <si>
    <t>Banano Bocadillo</t>
  </si>
  <si>
    <t>mayo</t>
  </si>
  <si>
    <t>Queso mozarella</t>
  </si>
  <si>
    <t>Queso Alkosto Mozar</t>
  </si>
  <si>
    <t>Cebolla cabezona</t>
  </si>
  <si>
    <t>Cebolla Cabezona</t>
  </si>
  <si>
    <t>Limon tahiti</t>
  </si>
  <si>
    <t>Limon Tahiti</t>
  </si>
  <si>
    <t>Lechuga batavia</t>
  </si>
  <si>
    <t>Lech. Verde Crespa</t>
  </si>
  <si>
    <t>Tomate chonto</t>
  </si>
  <si>
    <t>Tomate Chonto</t>
  </si>
  <si>
    <t>Aguacate Variedad</t>
  </si>
  <si>
    <t>Lechuga Batavia</t>
  </si>
  <si>
    <t xml:space="preserve">Pulpas de frutas </t>
  </si>
  <si>
    <t>Papaya</t>
  </si>
  <si>
    <t>Queso Colanta Crema</t>
  </si>
  <si>
    <t>Maq Afeit</t>
  </si>
  <si>
    <t>Lavaloza Dersa</t>
  </si>
  <si>
    <t>Detergen Liq</t>
  </si>
  <si>
    <t>Sand KALLEY</t>
  </si>
  <si>
    <t>Vent 3en1 KALLEY</t>
  </si>
  <si>
    <t>Nosotras</t>
  </si>
  <si>
    <t>Maracuya 100gr</t>
  </si>
  <si>
    <t>Maracuya kg</t>
  </si>
  <si>
    <t>Quesito Colanta</t>
  </si>
  <si>
    <t>Costilla de cerdo especial</t>
  </si>
  <si>
    <t>COSTILLA DE CERDO IBP 244L</t>
  </si>
  <si>
    <t>Barcino de res</t>
  </si>
  <si>
    <t>BARCINO DE RES</t>
  </si>
  <si>
    <t>Trozos e pechuga</t>
  </si>
  <si>
    <t>TROZOS DE PECHUGA</t>
  </si>
  <si>
    <t>LENGUA DE RES IMP X KL</t>
  </si>
  <si>
    <t>BAGRE DE MAR Y TRUCHA</t>
  </si>
  <si>
    <t>Plato Hondo CAZ 5133</t>
  </si>
  <si>
    <t>PLATO HONDO CAZ 5133-100 (Mayo 8)</t>
  </si>
  <si>
    <t>ALAS CAMPO C GOSTIL</t>
  </si>
  <si>
    <t>Pernil de pollo blanco</t>
  </si>
  <si>
    <t>BOLSA CANAVERAL 100%</t>
  </si>
  <si>
    <t>PASTA LA MUNECA 1000g CONCHA</t>
  </si>
  <si>
    <t>Maiz tierno</t>
  </si>
  <si>
    <t>Maiz (Mazorcas)</t>
  </si>
  <si>
    <t>MARUYA</t>
  </si>
  <si>
    <t>15 Aguacates</t>
  </si>
  <si>
    <t xml:space="preserve">Hielo trozos </t>
  </si>
  <si>
    <t>Hielo (Recibo de $8,500)</t>
  </si>
  <si>
    <t>Hojas</t>
  </si>
  <si>
    <t>Guasca</t>
  </si>
  <si>
    <t>Guasca 1 kls</t>
  </si>
  <si>
    <t>Chorizo de pollo</t>
  </si>
  <si>
    <t>1 pk chorizo pollo</t>
  </si>
  <si>
    <t>Taxi restaurante casa</t>
  </si>
  <si>
    <t>Taxi / Acopi</t>
  </si>
  <si>
    <t>Servicios temporales</t>
  </si>
  <si>
    <t>Honorarios Contadora</t>
  </si>
  <si>
    <t>PASTA LA MUNECA*1000g ESPAGUETI</t>
  </si>
  <si>
    <t>Salmon</t>
  </si>
  <si>
    <t>Filete de Salmon Grande</t>
  </si>
  <si>
    <t>Marisco</t>
  </si>
  <si>
    <t>Mix de Mariscos</t>
  </si>
  <si>
    <t>Aromatizador 250CC</t>
  </si>
  <si>
    <t>AROMATIZADOR BRISA EN SPRAY 250 CC</t>
  </si>
  <si>
    <t>TILAPIA ROJA SIN ESCAMAS 550-650</t>
  </si>
  <si>
    <t>Servicios Públicos</t>
  </si>
  <si>
    <t>EMCALI TELEFONIA</t>
  </si>
  <si>
    <t>COSTILLA ESPECIAL DE RES</t>
  </si>
  <si>
    <t>Caderita</t>
  </si>
  <si>
    <t>CADERITA DE RES</t>
  </si>
  <si>
    <t>PERNIL BLANCO</t>
  </si>
  <si>
    <t>Turno Deisy</t>
  </si>
  <si>
    <t>Pago Dataco</t>
  </si>
  <si>
    <t>S Maracuya 100 gr</t>
  </si>
  <si>
    <t>Mora 100gr</t>
  </si>
  <si>
    <t>P Mora 100 gr</t>
  </si>
  <si>
    <t>Domicilio</t>
  </si>
  <si>
    <t>Domicilio D.M</t>
  </si>
  <si>
    <t>B Lulo 125 gr</t>
  </si>
  <si>
    <t>A Mango 125 gr</t>
  </si>
  <si>
    <t>G Maracuya 125 gr</t>
  </si>
  <si>
    <t>F Guanabana 125 gr</t>
  </si>
  <si>
    <t>DM Domicilio</t>
  </si>
  <si>
    <t>Turno Deysi</t>
  </si>
  <si>
    <t>Otros servicios de salud</t>
  </si>
  <si>
    <t>DOLEX FORTE 500 MG 100 TBS</t>
  </si>
  <si>
    <t>Sazonador</t>
  </si>
  <si>
    <t>SAZONATODO MAGGI 200g D/P</t>
  </si>
  <si>
    <t>Panal SR</t>
  </si>
  <si>
    <t>Tranporte alameda diego molina</t>
  </si>
  <si>
    <t>Transporte</t>
  </si>
  <si>
    <t>SALSA MAYONESA DIFFER X 4000 X3</t>
  </si>
  <si>
    <t>Saleros</t>
  </si>
  <si>
    <t>SAL SALERO REFISAL X 24</t>
  </si>
  <si>
    <t>Limpido</t>
  </si>
  <si>
    <t>LIMPIDO CUYETE</t>
  </si>
  <si>
    <t>Base p3 negro</t>
  </si>
  <si>
    <t>BASE 3 DIV BOPS NEGRO CT</t>
  </si>
  <si>
    <t>GUANTE NITRILO LX100UDS MEGA</t>
  </si>
  <si>
    <t>Mezclador</t>
  </si>
  <si>
    <t>MEZCLADOR BAMBU 11CM X500 EL SOL</t>
  </si>
  <si>
    <t>Computación en la Nube Plan Empresarial 4000 documentos mes</t>
  </si>
  <si>
    <t>Dataico Plan Empresarial</t>
  </si>
  <si>
    <t>CAMARON DE CULTIVO PRECOCIDO</t>
  </si>
  <si>
    <t>Punta de anca</t>
  </si>
  <si>
    <t>PUNTA DE ANCA PORC. PARRILLA</t>
  </si>
  <si>
    <t>Lomo de caracho</t>
  </si>
  <si>
    <t>LOMO CARACHO PORCIONADO PARRILLA</t>
  </si>
  <si>
    <t>NOTA CREDITO ZZCL 1007350</t>
  </si>
  <si>
    <t>Poker</t>
  </si>
  <si>
    <t>CERV.POKER*330 LATA</t>
  </si>
  <si>
    <t>Cerveza Light</t>
  </si>
  <si>
    <t>CERV.LIGH*330 LATA</t>
  </si>
  <si>
    <t>Club colombia</t>
  </si>
  <si>
    <t>CERV.CLUB DOR LATA*330</t>
  </si>
  <si>
    <t>Corona</t>
  </si>
  <si>
    <t>CERV.CORONA*330ml</t>
  </si>
  <si>
    <t>Cerv Stel Artois</t>
  </si>
  <si>
    <t>CERV.STEL ARTOIS*300ml BOT</t>
  </si>
  <si>
    <t>CERV.CORONITA*210ml</t>
  </si>
  <si>
    <t>Costeñita</t>
  </si>
  <si>
    <t>CERV.COSTENITA*175 BOT</t>
  </si>
  <si>
    <t>Pony malta x caja</t>
  </si>
  <si>
    <t>PONY MALTA*330ml PET</t>
  </si>
  <si>
    <t>Bloque hielo</t>
  </si>
  <si>
    <t>BOQUE BER (Bloque)</t>
  </si>
  <si>
    <t>12000 arepas</t>
  </si>
  <si>
    <t>Morcilla</t>
  </si>
  <si>
    <t>Morcillo 5 kilos</t>
  </si>
  <si>
    <t>Bola negra</t>
  </si>
  <si>
    <t>BOLA NEGRA DE RES</t>
  </si>
  <si>
    <t>PIÑA NACIONAL 350 ML</t>
  </si>
  <si>
    <t>Azucar</t>
  </si>
  <si>
    <t>AZUCAR BLANCA 50KL</t>
  </si>
  <si>
    <t>PANELA REDONDA EL REY</t>
  </si>
  <si>
    <t>LIMA LIMON H2Oh</t>
  </si>
  <si>
    <t>BRETAÑA 350 ML</t>
  </si>
  <si>
    <t>COSTILLA CERDO ESP CR</t>
  </si>
  <si>
    <t>Aguacates</t>
  </si>
  <si>
    <t>Pn sl</t>
  </si>
  <si>
    <t>PEZUNA CERDO A GRANEL (Mayo 12)</t>
  </si>
  <si>
    <t>AGUACATE COMUN (Mayo 12)</t>
  </si>
  <si>
    <t>Turno Eliana</t>
  </si>
  <si>
    <t>mazomorra</t>
  </si>
  <si>
    <t>Descanso (2) Lina Castro</t>
  </si>
  <si>
    <t>LIMON TAHITY KL</t>
  </si>
  <si>
    <t>Pimenton</t>
  </si>
  <si>
    <t>PIMENTON KL</t>
  </si>
  <si>
    <t>Arveja</t>
  </si>
  <si>
    <t>ARVEJA VERDE KL</t>
  </si>
  <si>
    <t>Apio</t>
  </si>
  <si>
    <t>APIO KL</t>
  </si>
  <si>
    <t>CEBOLLA CABEZONA KL</t>
  </si>
  <si>
    <t>TOMATE CHONTO KL</t>
  </si>
  <si>
    <t>Ulluco Limpio</t>
  </si>
  <si>
    <t>ULLUCOS LIMPIO KL</t>
  </si>
  <si>
    <t xml:space="preserve">Habichuela </t>
  </si>
  <si>
    <t>HABICHUELA KL</t>
  </si>
  <si>
    <t>Pepino comun</t>
  </si>
  <si>
    <t>PEPINO COMUN KL</t>
  </si>
  <si>
    <t>Zanahoria</t>
  </si>
  <si>
    <t>ZANAHORIA KL</t>
  </si>
  <si>
    <t>Platano maduro</t>
  </si>
  <si>
    <t>PLATANO MADURO KL</t>
  </si>
  <si>
    <t>PLATANO VERDE KL</t>
  </si>
  <si>
    <t>LECHUGA BATAVIA KL</t>
  </si>
  <si>
    <t>Tomillo</t>
  </si>
  <si>
    <t>TOMILLO</t>
  </si>
  <si>
    <t>Hiervas</t>
  </si>
  <si>
    <t>HIERVAS</t>
  </si>
  <si>
    <t>Perejil</t>
  </si>
  <si>
    <t>PEREJIL POR ATADO</t>
  </si>
  <si>
    <t>Cilantro</t>
  </si>
  <si>
    <t>CILANTRO</t>
  </si>
  <si>
    <t>Cebolla Larga Atado</t>
  </si>
  <si>
    <t>CEBOLLA LARGA ATADO</t>
  </si>
  <si>
    <t>MAZORCA UND</t>
  </si>
  <si>
    <t>ZANAHORIA*KL</t>
  </si>
  <si>
    <t>Papa Capira bulto</t>
  </si>
  <si>
    <t>PAPA CAPIRA BULTO UND</t>
  </si>
  <si>
    <t>Repollo morado</t>
  </si>
  <si>
    <t>REPOLLO MORADO KL</t>
  </si>
  <si>
    <t>PAPA AMARILLA CRIOLLA KL</t>
  </si>
  <si>
    <t>TOMATE MILANO KL</t>
  </si>
  <si>
    <t>PAPA CAPIRA BULTO*UND</t>
  </si>
  <si>
    <t>PLATANO VERDE*KL</t>
  </si>
  <si>
    <t>Papa pollera</t>
  </si>
  <si>
    <t>PAPA POYERA KI</t>
  </si>
  <si>
    <t>Coca cola zero 400ml pet(12)kz</t>
  </si>
  <si>
    <t>COCA COLA ZERO 400ML PET(12)KZ</t>
  </si>
  <si>
    <t>Pago Plan Tigo</t>
  </si>
  <si>
    <t>TIGO SERVICIOS HOGAR Y MOVIL</t>
  </si>
  <si>
    <t>Esponja de brillo</t>
  </si>
  <si>
    <t>ESPIRAL ACERO LIMPIAYA</t>
  </si>
  <si>
    <t>DETER DERSA 2000g VINAGRE+LIMON</t>
  </si>
  <si>
    <t>DETER DERSA 1000g VINAGRE+LIMON</t>
  </si>
  <si>
    <t>Casio (Tubos PVC)</t>
  </si>
  <si>
    <t>ARRENDAMIENTO LOCAL CALLE 13-72-01</t>
  </si>
  <si>
    <t>Leche de coco</t>
  </si>
  <si>
    <t>leche coco</t>
  </si>
  <si>
    <t>Ferreteria Espatula</t>
  </si>
  <si>
    <t>Empaques Para la llave</t>
  </si>
  <si>
    <t>LIMON TAHITY*KL</t>
  </si>
  <si>
    <t>AJI *250 GRAMOS</t>
  </si>
  <si>
    <t>TOMATE CHONTO*KL</t>
  </si>
  <si>
    <t>CEBOLLA CABEZONA*KL</t>
  </si>
  <si>
    <t>PAPA AMARILLA CRIOLLA*KL</t>
  </si>
  <si>
    <t>PIMENTON TULA</t>
  </si>
  <si>
    <t>ULLUCOS LIMPIO*KL</t>
  </si>
  <si>
    <t>COSTILLA CERDO ESP CR (BS) X 500 GR</t>
  </si>
  <si>
    <t>Mango tommy</t>
  </si>
  <si>
    <t>Mango 18.0 kg x 1500</t>
  </si>
  <si>
    <t>150 arepas</t>
  </si>
  <si>
    <t>CHORIZO PREMIUM COCTELERO</t>
  </si>
  <si>
    <t>CHORIZO PREMIUM PAQ</t>
  </si>
  <si>
    <t>Estrategia de posicionamiento digital</t>
  </si>
  <si>
    <t>IMPRESION DIGITAL</t>
  </si>
  <si>
    <t>AIU FISCAL</t>
  </si>
  <si>
    <t>SERVICIOS TEMPORALES</t>
  </si>
  <si>
    <t>HIGADO DE RES</t>
  </si>
  <si>
    <t>TILAPIA ROJA SIN ESCAMAS 450-550</t>
  </si>
  <si>
    <t>Ajo pelado</t>
  </si>
  <si>
    <t>AJO PELADO X 1KG</t>
  </si>
  <si>
    <t>Margarina la buena*125g barra</t>
  </si>
  <si>
    <t>MARGARINA LA FINA 110g SUAVE CON SAL</t>
  </si>
  <si>
    <t>PASTA LA MUNECA*250g CORBATA (x7)</t>
  </si>
  <si>
    <t>Quincena Antonio Diaz</t>
  </si>
  <si>
    <t>Quincena del 1 al 15 de Julio</t>
  </si>
  <si>
    <t>Aguacate 20 x 6000</t>
  </si>
  <si>
    <t>YUCA PELADO</t>
  </si>
  <si>
    <t>transporte Alameda traida domicilio</t>
  </si>
  <si>
    <t>turno Wilson</t>
  </si>
  <si>
    <t>Examenes ingreso jhonatan ocampo</t>
  </si>
  <si>
    <t>Evaluaciones Medicas y Laboratorio</t>
  </si>
  <si>
    <t>Knoor</t>
  </si>
  <si>
    <t>CALDO KNORR 1500g</t>
  </si>
  <si>
    <t>Brisa 600 ml</t>
  </si>
  <si>
    <t>AGUA BRISA PET 600ML (24)</t>
  </si>
  <si>
    <t>GASES DE OCCIDENTE</t>
  </si>
  <si>
    <t>Dataico Plan Empresarial 4000</t>
  </si>
  <si>
    <t>Bolsa 5kl escarcha</t>
  </si>
  <si>
    <t>BOLSA X 5 KL ESCARCHA</t>
  </si>
  <si>
    <t>Quincena enrique suarez</t>
  </si>
  <si>
    <t>Pago 15na Vigilancia</t>
  </si>
  <si>
    <t>2 bts arroz</t>
  </si>
  <si>
    <t>PAGO TURNOS (Mayo 17)</t>
  </si>
  <si>
    <t>Chocolate</t>
  </si>
  <si>
    <t>CHOCOLATE (Mayo 17)</t>
  </si>
  <si>
    <t>BLOQUE MEDIA (Mayo 17)</t>
  </si>
  <si>
    <t>CERV.COSTENITA*175 (Mayo 17)</t>
  </si>
  <si>
    <t>CERV.CORONITA*210ml (Mayo 17)</t>
  </si>
  <si>
    <t>PONY MALTA 330 (Mayo 17)</t>
  </si>
  <si>
    <t>CERV.CLUB DOR (Mayo 17)</t>
  </si>
  <si>
    <t>Mazamorra (Mayo 17)</t>
  </si>
  <si>
    <t>LENGUA DE RES IMP</t>
  </si>
  <si>
    <t>YUCA A GRANEL (2.530 + 2.535 kg)</t>
  </si>
  <si>
    <t>Cuchuco de maiz</t>
  </si>
  <si>
    <t>CUCHUCO EL CHOCLO*500g</t>
  </si>
  <si>
    <t>CUAD.105 ECO STD ARGOLLA</t>
  </si>
  <si>
    <t>600 arepas</t>
  </si>
  <si>
    <t>1150 arepas</t>
  </si>
  <si>
    <t>Descanso (2) Angie Caicedo</t>
  </si>
  <si>
    <t>Descanso (2) Yanith Mosquera</t>
  </si>
  <si>
    <t>Rellena</t>
  </si>
  <si>
    <t>Rellena 3,0 kg</t>
  </si>
  <si>
    <t>SAL REFISAL 800g</t>
  </si>
  <si>
    <t>CUCHUCO EL CHOCLO 500g</t>
  </si>
  <si>
    <t>Descanso (2) Ana Valencia</t>
  </si>
  <si>
    <t>COPA TROFORMA 1/2 ONZ X 50x90</t>
  </si>
  <si>
    <t>Salsa mostaza differ x 400</t>
  </si>
  <si>
    <t>SALSA MOSTAZA DIFFER BOLSA KILO X 12</t>
  </si>
  <si>
    <t>Salsa mayoneza differ 1 kl</t>
  </si>
  <si>
    <t>SALSA MAYONESA DIFFER BOLSA KILO X 12</t>
  </si>
  <si>
    <t>PORTACOMIDA DARNEL T1 X 200</t>
  </si>
  <si>
    <t>PORTACOMIDA DARNEL J2x200</t>
  </si>
  <si>
    <t>Papel aluminio</t>
  </si>
  <si>
    <t>ALUMINIO 300M DIFFER CJX6</t>
  </si>
  <si>
    <t>COSTILLA DE CERDO CR X 4KL</t>
  </si>
  <si>
    <t>Aceite de soya</t>
  </si>
  <si>
    <t>ACEITE DE SOY</t>
  </si>
  <si>
    <t>Porcionador Arroz</t>
  </si>
  <si>
    <t>AGUAR ANTIOQUENO*375ml SIN AZUCAR</t>
  </si>
  <si>
    <t>BONFIEST 8und PLUS</t>
  </si>
  <si>
    <t>100 arepas</t>
  </si>
  <si>
    <t>Compra Platano (Wilson)</t>
  </si>
  <si>
    <t>20- Aguacates</t>
  </si>
  <si>
    <t>10- Esponjas</t>
  </si>
  <si>
    <t>CHORIZO PREMIUM PAQ (Mayo 20)</t>
  </si>
  <si>
    <t xml:space="preserve">Zumo de limon tarro </t>
  </si>
  <si>
    <t>5 de Zomos (Mayo 20)</t>
  </si>
  <si>
    <t>CHORIZO PREMIUM COCTELERO PAQ (Mayo 20)</t>
  </si>
  <si>
    <t>Oregano</t>
  </si>
  <si>
    <t>OREGANO (Mayo 20)</t>
  </si>
  <si>
    <t>BOLSA CANAVERAL (Mayo 20)</t>
  </si>
  <si>
    <t>AGUACATE COMUN (Mayo 20)</t>
  </si>
  <si>
    <t>DETER DERSA 1000g (Mayo 20)</t>
  </si>
  <si>
    <t>Mortadela</t>
  </si>
  <si>
    <t>MORTADELA RICA 450g (Mayo 20)</t>
  </si>
  <si>
    <t>Esparcible rama</t>
  </si>
  <si>
    <t>ESPARCIBLE RAMA 125g (Mayo 20)</t>
  </si>
  <si>
    <t>PAGO TURNOS (Mayo 20)</t>
  </si>
  <si>
    <t>Transporte Acopi (Mayo 20)</t>
  </si>
  <si>
    <t>BOLSA X 5 KL TUB (Mayo 20)</t>
  </si>
  <si>
    <t>Maracuya 100 gr (Mayo 20)</t>
  </si>
  <si>
    <t>R Guanabana 100 gr (Mayo 20)</t>
  </si>
  <si>
    <t>N Mango 100 gr (Mayo 20)</t>
  </si>
  <si>
    <t>O Lulo 100 gr (Mayo 20)</t>
  </si>
  <si>
    <t>SABOR ORIGINAL INSTITUCIONAL</t>
  </si>
  <si>
    <t>UVA POSTOBON 350 ML</t>
  </si>
  <si>
    <t xml:space="preserve">Papa manbera </t>
  </si>
  <si>
    <t>PAPA MAMBERA</t>
  </si>
  <si>
    <t>AGUA CRISTAL 600 ML</t>
  </si>
  <si>
    <t>TAMARINDO P. PET 1750</t>
  </si>
  <si>
    <t>Itamarindo postobo n 350 ml vidrio r x 30</t>
  </si>
  <si>
    <t>TAMARINDO POSTOBON 350 ML</t>
  </si>
  <si>
    <t>ARVEJA VERDE</t>
  </si>
  <si>
    <t>PEPINO COMUN</t>
  </si>
  <si>
    <t>SOBREBARRIGA DE RES</t>
  </si>
  <si>
    <t>Costilla de res</t>
  </si>
  <si>
    <t>COSTILLA DE RES</t>
  </si>
  <si>
    <t>PAPA AMARILLA CRIOLLA</t>
  </si>
  <si>
    <t>CEBOLLA CABEZONA</t>
  </si>
  <si>
    <t>PIMENTON</t>
  </si>
  <si>
    <t>HABICHUELA</t>
  </si>
  <si>
    <t>PLATANO VERDE</t>
  </si>
  <si>
    <t>TOMATE CHONTO</t>
  </si>
  <si>
    <t>LIMON TAHITY</t>
  </si>
  <si>
    <t>PAPA CAPIRA BULTO</t>
  </si>
  <si>
    <t>ZANAHORIA</t>
  </si>
  <si>
    <t>Arracacha</t>
  </si>
  <si>
    <t>ARRACACHA</t>
  </si>
  <si>
    <t xml:space="preserve">Remolacha </t>
  </si>
  <si>
    <t>REMOLACHA</t>
  </si>
  <si>
    <t>LECHUGA BATAVIA CAJA</t>
  </si>
  <si>
    <t>TOMATE MILANO</t>
  </si>
  <si>
    <t>AJI 250 GRAMOS</t>
  </si>
  <si>
    <t>DETER DERSA*1000g VINAGRE+LIMON</t>
  </si>
  <si>
    <t>Coliflor</t>
  </si>
  <si>
    <t>COLIFLOR A GRANEL</t>
  </si>
  <si>
    <t>REPOLLO BLANCO A GRANEL</t>
  </si>
  <si>
    <t>Brocoly</t>
  </si>
  <si>
    <t>BROCOLI A GRANEL</t>
  </si>
  <si>
    <t>Mezcla Liquida de Limón x 2.000ml</t>
  </si>
  <si>
    <t>Gorro tipo oruga negro x 100 mega</t>
  </si>
  <si>
    <t>GORRO TIPO ORUGA NEGRO X 100</t>
  </si>
  <si>
    <t>CONTENEDOR DARNEL 12 ONZ X 20X25</t>
  </si>
  <si>
    <t>TARRINA 14 ONZ X 25UND X 20PQ</t>
  </si>
  <si>
    <t>Alcohol industrial</t>
  </si>
  <si>
    <t>ALCOHOL GALON</t>
  </si>
  <si>
    <t>LIMPIDO CUVETE</t>
  </si>
  <si>
    <t>TAPA COPA TROFORMA 1 Y 1/2 ONZ</t>
  </si>
  <si>
    <t>Tapa boca</t>
  </si>
  <si>
    <t>ТАРАВОСА X 50</t>
  </si>
  <si>
    <t>COSTILLA DE CERDO IBP 244M</t>
  </si>
  <si>
    <t>LOMO VICHE MAGRO</t>
  </si>
  <si>
    <t>LOMO CARACHO PARRILLA</t>
  </si>
  <si>
    <t>PUNTA DE ANCA PARRILLA</t>
  </si>
  <si>
    <t>CERV.STEL ARTOIS 300ml BOT</t>
  </si>
  <si>
    <t>Copo</t>
  </si>
  <si>
    <t>Cuarton color</t>
  </si>
  <si>
    <t>Cuarton Color</t>
  </si>
  <si>
    <t>LAMPARA LED 72W ANTIPOLVO</t>
  </si>
  <si>
    <t>15 Mombara (Mayo 24)</t>
  </si>
  <si>
    <t>Bolsa industrial</t>
  </si>
  <si>
    <t>12 bolsas Industriales (Mayo 24)</t>
  </si>
  <si>
    <t>Espinazo</t>
  </si>
  <si>
    <t>6 lb. Espinazo (Mayo 24)</t>
  </si>
  <si>
    <t>pimiento (Mayo 24)</t>
  </si>
  <si>
    <t>10 alas pollo (Mayo 24)</t>
  </si>
  <si>
    <t>5 Cocos (Mayo 24)</t>
  </si>
  <si>
    <t>15 Aguacates (Mayo 24)</t>
  </si>
  <si>
    <t>PEZUNA CERDO A GRANEL (Mayo 24)</t>
  </si>
  <si>
    <t>Mazamorra (Mayo 24)</t>
  </si>
  <si>
    <t>MEZCLA DE LIMON 2000ml (Mayo 24)</t>
  </si>
  <si>
    <t>Camara de Comercio</t>
  </si>
  <si>
    <t>25 - BLOQUE MEDIA</t>
  </si>
  <si>
    <t>QUESO EL PORTAL*400g D/CREMA TAJADO</t>
  </si>
  <si>
    <t>MORTADELA RICA*450g</t>
  </si>
  <si>
    <t>Pasa a granel</t>
  </si>
  <si>
    <t>PASAS SANTAFEREÑO*200g</t>
  </si>
  <si>
    <t>BOLSA CAÑAVERAL 100% MATERIAL RECICL</t>
  </si>
  <si>
    <t>Aceite x 3</t>
  </si>
  <si>
    <t>ALAS MACPOLLO CAMPO C/COS MARIN A GRAN</t>
  </si>
  <si>
    <t>A cop.</t>
  </si>
  <si>
    <t>Acopi Taxi</t>
  </si>
  <si>
    <t>Atados hojas</t>
  </si>
  <si>
    <t>35 - Atados Hojas</t>
  </si>
  <si>
    <t>Masa t</t>
  </si>
  <si>
    <t>8 kls. Masa</t>
  </si>
  <si>
    <t>5 - Cocos</t>
  </si>
  <si>
    <t>Yerbas</t>
  </si>
  <si>
    <t>Sopera 16 onz.</t>
  </si>
  <si>
    <t>Sopera 16</t>
  </si>
  <si>
    <t>PAGO Eliana 3 dias Martes, Miercoles, Jueves</t>
  </si>
  <si>
    <t>2 x 5,800 AREPA CHORISERA X 50</t>
  </si>
  <si>
    <t>Alverja</t>
  </si>
  <si>
    <t>ARVEJA X LIBRAS</t>
  </si>
  <si>
    <t>CHOCOLATE X 500gr</t>
  </si>
  <si>
    <t>PIMENTON*KL</t>
  </si>
  <si>
    <t>HABICHUELA*KL</t>
  </si>
  <si>
    <t>REMOLACHA*KL</t>
  </si>
  <si>
    <t>LECHUGA BATAVIA*KL</t>
  </si>
  <si>
    <t>PANELA REDONDA EL REY X 48UN</t>
  </si>
  <si>
    <t>Carbon</t>
  </si>
  <si>
    <t>CAARBON BULTO</t>
  </si>
  <si>
    <t>ARRACACHA*KL</t>
  </si>
  <si>
    <t>PEPINO COMUN*KL</t>
  </si>
  <si>
    <t>TOMATE MILANO*KL</t>
  </si>
  <si>
    <t>PLATANO MADURO*KL</t>
  </si>
  <si>
    <t xml:space="preserve">Agua con gas </t>
  </si>
  <si>
    <t>AGUA BRISA GAS PET 600ML (24)</t>
  </si>
  <si>
    <t>Filete de pollo x 120</t>
  </si>
  <si>
    <t>FILETE X 10 UND DE 120 GR</t>
  </si>
  <si>
    <t>Extrato de coco premium 1000 mL</t>
  </si>
  <si>
    <t>REPOLLO MORADO*KL</t>
  </si>
  <si>
    <t>PAPA MAMBERA*KL</t>
  </si>
  <si>
    <t>ARVEJA VERDE*KL</t>
  </si>
  <si>
    <t>MAZORCA*UND</t>
  </si>
  <si>
    <t>Papa parda</t>
  </si>
  <si>
    <t>PAPA PARDA *BTO</t>
  </si>
  <si>
    <t>Huevos</t>
  </si>
  <si>
    <t>HUEVO TIPO A</t>
  </si>
  <si>
    <t>CAFE AGUILA ROJA*380g MOLIDO</t>
  </si>
  <si>
    <t>Champinon*250g tajado setas</t>
  </si>
  <si>
    <t>CHAMPINON CHAMPIS*250g TAJADO</t>
  </si>
  <si>
    <t>PUNTAS DE ALAS MACPOLLO CAMPO A GRANEL</t>
  </si>
  <si>
    <t>PASTA LA MUNECA*500g CONCHA</t>
  </si>
  <si>
    <t>PASTA LA MUNECA*500g ESPAGUETI</t>
  </si>
  <si>
    <t>Recibo de Caja</t>
  </si>
  <si>
    <t>Impresora TM-T88V con cable de datos, cargador original</t>
  </si>
  <si>
    <t>15 panal / pn sr</t>
  </si>
  <si>
    <t>1/2 lb chocolate</t>
  </si>
  <si>
    <t>Aguarientes 20 x 6000</t>
  </si>
  <si>
    <t>Insecticida</t>
  </si>
  <si>
    <t>Veneno</t>
  </si>
  <si>
    <t>2 coladores</t>
  </si>
  <si>
    <t>DETER DERSA*2000g VINAGRE+LIMON</t>
  </si>
  <si>
    <t>SAL. DIFFER/NEGRA*3000GR</t>
  </si>
  <si>
    <t>4- Aguacates</t>
  </si>
  <si>
    <t>Maracuya</t>
  </si>
  <si>
    <t>5- Lbs- Maracuya</t>
  </si>
  <si>
    <t>1- Aji</t>
  </si>
  <si>
    <t>Rejilla</t>
  </si>
  <si>
    <t>1- Rejilla</t>
  </si>
  <si>
    <t>1 caja Guantes</t>
  </si>
  <si>
    <t>A Mango</t>
  </si>
  <si>
    <t>G Maracuya</t>
  </si>
  <si>
    <t>F Guanabana</t>
  </si>
  <si>
    <t>C Mora</t>
  </si>
  <si>
    <t>B Lulo</t>
  </si>
  <si>
    <t>pago 3 dias. Eliana</t>
  </si>
  <si>
    <t>5- lts- lechecoco</t>
  </si>
  <si>
    <t>13 KL yuca pelada</t>
  </si>
  <si>
    <t>Arepas diario</t>
  </si>
  <si>
    <t>850 arepas</t>
  </si>
  <si>
    <t>50 arepas</t>
  </si>
  <si>
    <t>Brocha uduke 3'</t>
  </si>
  <si>
    <t>1 Brocha uduke 3'</t>
  </si>
  <si>
    <t>1 copa 2 tapa</t>
  </si>
  <si>
    <t>Soda</t>
  </si>
  <si>
    <t>3 SODA 350</t>
  </si>
  <si>
    <t>Domicilio Surtilicores El Danubio (+ 7.000)</t>
  </si>
  <si>
    <t>DON KAT ADULTOS X 1.1KG</t>
  </si>
  <si>
    <t>7.2 kl lomo viche magro</t>
  </si>
  <si>
    <t>BRETAÑA 350 ML VIDRIO R X 30</t>
  </si>
  <si>
    <t>COLOMBIANA NACIONAL 350 ML VIDRIO R X 30</t>
  </si>
  <si>
    <t>POPULAR 350 ML VIDRIO R X 30</t>
  </si>
  <si>
    <t>MARACUYA H2OH! 600 ML PET X 15</t>
  </si>
  <si>
    <t>LIMONATA H2OH! 600 ML PET X 15</t>
  </si>
  <si>
    <t>MANZANA POSTOBON 1.750 ML PET X 12 PM</t>
  </si>
  <si>
    <t>COLOMBIANA NACIONAL 1.750 ML PET X 12 PM</t>
  </si>
  <si>
    <t>AGUA CRISTAL 600 ML PET X 24</t>
  </si>
  <si>
    <t>MARACUYA GATORADE 500 ML PET X 12</t>
  </si>
  <si>
    <t>MANDARINA GATORADE 500 ML PET X 12</t>
  </si>
  <si>
    <t>Filete basa</t>
  </si>
  <si>
    <t>FILETE BASA</t>
  </si>
  <si>
    <t>TILAPIA ROJA SIN ESCAM A Y AGALLAS 450-550 LIBRA</t>
  </si>
  <si>
    <t>Coca cola 1,5 lt pet (12) nvo</t>
  </si>
  <si>
    <t>COCA COLA 1.5LT PET(12) Nvo</t>
  </si>
  <si>
    <t>EMPRESAS MUNICIPALES DE CALI - SERVICIOS PUBLICOS</t>
  </si>
  <si>
    <t>Costilla san luis</t>
  </si>
  <si>
    <t>COSTILLA DE CERDO SAN LUIS</t>
  </si>
  <si>
    <t>CAMARON DE CULTIVO PRECOCIDO 91-110P</t>
  </si>
  <si>
    <t>Carne molida</t>
  </si>
  <si>
    <t>CARNE MOLIDA 73-27 ANGUS URUGUAYA</t>
  </si>
  <si>
    <t>Aji pequeo x 40</t>
  </si>
  <si>
    <t>AJI DIFFER PEQUEÑO X40</t>
  </si>
  <si>
    <t>Caf</t>
  </si>
  <si>
    <t>Toalla z 24pqx150</t>
  </si>
  <si>
    <t>TOALLA Z NUBE NAT 24PQ X 150</t>
  </si>
  <si>
    <t>Bolsa tina</t>
  </si>
  <si>
    <t>BOLSA TINA X 100</t>
  </si>
  <si>
    <t>SERVILLETA NUBE 1 A 1 X 60PQ X 100UND</t>
  </si>
  <si>
    <t>Vaso cartn 7 onz.</t>
  </si>
  <si>
    <t>Escobas</t>
  </si>
  <si>
    <t>ESCOBA ZULIA</t>
  </si>
  <si>
    <t>Recogedor fino</t>
  </si>
  <si>
    <t>RECOGEDOR FINO</t>
  </si>
  <si>
    <t>Trapero industrial</t>
  </si>
  <si>
    <t>TRAPERO SUPER INDUSTRIAL</t>
  </si>
  <si>
    <t>CONTENEDOR DARNEL 12 ONZ X 20X25 T ESPUMADO</t>
  </si>
  <si>
    <t>GUANTE NITRILO L X100UDS MEGA</t>
  </si>
  <si>
    <t>Aguacate comn</t>
  </si>
  <si>
    <t>Mazamorra.</t>
  </si>
  <si>
    <t>7709046020616 - BOLSA X 5 KL TUBULAR</t>
  </si>
  <si>
    <t>ABLANDA CARNE COCINERITO*150</t>
  </si>
  <si>
    <t>Total mes</t>
  </si>
  <si>
    <t>Producto</t>
  </si>
  <si>
    <t>Medidas</t>
  </si>
  <si>
    <t xml:space="preserve">Valor </t>
  </si>
  <si>
    <t>Total</t>
  </si>
  <si>
    <t>Cantid</t>
  </si>
  <si>
    <t>Costo unit</t>
  </si>
  <si>
    <t>Vr. compra</t>
  </si>
  <si>
    <t>Costo</t>
  </si>
  <si>
    <t>Kg</t>
  </si>
  <si>
    <t>Bondiola importada</t>
  </si>
  <si>
    <t>Cabeza de lomo</t>
  </si>
  <si>
    <t>Callo distribuidora myc sas</t>
  </si>
  <si>
    <t>Pecho</t>
  </si>
  <si>
    <t xml:space="preserve">Muchacho res </t>
  </si>
  <si>
    <t>Churrasco</t>
  </si>
  <si>
    <t>Costilla corte americano</t>
  </si>
  <si>
    <t>Empella</t>
  </si>
  <si>
    <t>Und</t>
  </si>
  <si>
    <t>Filete de pollo x 400</t>
  </si>
  <si>
    <t>Filete de pollox 320 gr</t>
  </si>
  <si>
    <t>Francesa</t>
  </si>
  <si>
    <t>Paq</t>
  </si>
  <si>
    <t>Gallina</t>
  </si>
  <si>
    <t>Chorizo paisa</t>
  </si>
  <si>
    <t>Morrillo</t>
  </si>
  <si>
    <t xml:space="preserve">Chorizo mediano </t>
  </si>
  <si>
    <t>Panceta de cerdo</t>
  </si>
  <si>
    <t>Pata de res</t>
  </si>
  <si>
    <t xml:space="preserve">Chorizo grande </t>
  </si>
  <si>
    <t xml:space="preserve">Pernil de cerdo </t>
  </si>
  <si>
    <t xml:space="preserve">Pescado bagre </t>
  </si>
  <si>
    <t>Salchicha</t>
  </si>
  <si>
    <t>Tamal</t>
  </si>
  <si>
    <t>Tilapia 350/450</t>
  </si>
  <si>
    <t>Tilapia x 300</t>
  </si>
  <si>
    <t>Tocineta premium</t>
  </si>
  <si>
    <t>Visceras</t>
  </si>
  <si>
    <t>Gallina gigante</t>
  </si>
  <si>
    <t>Salchicha ranchera</t>
  </si>
  <si>
    <t>Pechuga mcpollo</t>
  </si>
  <si>
    <t>Atunes</t>
  </si>
  <si>
    <t>Medida</t>
  </si>
  <si>
    <t>Inv -inicial</t>
  </si>
  <si>
    <t>Valor</t>
  </si>
  <si>
    <t>Zapayo</t>
  </si>
  <si>
    <t>Yuca</t>
  </si>
  <si>
    <t>Uva</t>
  </si>
  <si>
    <t xml:space="preserve">Tortillas </t>
  </si>
  <si>
    <t>Atados</t>
  </si>
  <si>
    <t>Tomate tahiti</t>
  </si>
  <si>
    <t>Raices  chinas</t>
  </si>
  <si>
    <t>Kl</t>
  </si>
  <si>
    <t xml:space="preserve">Platano Promocion </t>
  </si>
  <si>
    <t>Platano guineo</t>
  </si>
  <si>
    <t>Piña oromiel</t>
  </si>
  <si>
    <t>Piña</t>
  </si>
  <si>
    <t>Atado</t>
  </si>
  <si>
    <t>Papa potera kl</t>
  </si>
  <si>
    <t>Papa lavada</t>
  </si>
  <si>
    <t xml:space="preserve">Papa cero </t>
  </si>
  <si>
    <t>Bulto</t>
  </si>
  <si>
    <t>Papa capira</t>
  </si>
  <si>
    <t xml:space="preserve">Olluco </t>
  </si>
  <si>
    <t>Melon</t>
  </si>
  <si>
    <t>Mazorca Bulto</t>
  </si>
  <si>
    <t xml:space="preserve">Maza de tamal </t>
  </si>
  <si>
    <t>Manzana</t>
  </si>
  <si>
    <t>Lechuga batavia x Caja</t>
  </si>
  <si>
    <t>Lb</t>
  </si>
  <si>
    <t xml:space="preserve">Frijol verdes </t>
  </si>
  <si>
    <t>Fresa</t>
  </si>
  <si>
    <t xml:space="preserve">Espinaca </t>
  </si>
  <si>
    <t>Coco unidad</t>
  </si>
  <si>
    <t xml:space="preserve">Coco rallado </t>
  </si>
  <si>
    <t>Cimarron</t>
  </si>
  <si>
    <t>Champiñon</t>
  </si>
  <si>
    <t>Cebolla larga</t>
  </si>
  <si>
    <t>Archuchas</t>
  </si>
  <si>
    <t xml:space="preserve">Alverjas verdes </t>
  </si>
  <si>
    <t xml:space="preserve">Aguacate </t>
  </si>
  <si>
    <t>Arveja propapas</t>
  </si>
  <si>
    <t>Arveja doña lupe</t>
  </si>
  <si>
    <t>Pulpas de frutas</t>
  </si>
  <si>
    <t>Color isabel</t>
  </si>
  <si>
    <t>Frijol propapas 200 g</t>
  </si>
  <si>
    <t>Limonada de coco</t>
  </si>
  <si>
    <t>Comino santafereno</t>
  </si>
  <si>
    <t>Tarro de maiz</t>
  </si>
  <si>
    <t>Naranjo</t>
  </si>
  <si>
    <t>Mora x 100 gr</t>
  </si>
  <si>
    <t>Guanabana x 100 gr</t>
  </si>
  <si>
    <t>Choclo x 350g</t>
  </si>
  <si>
    <t>Granos</t>
  </si>
  <si>
    <t>Aceite por 3000</t>
  </si>
  <si>
    <t xml:space="preserve">Arepas de sal </t>
  </si>
  <si>
    <t>Blanquillo</t>
  </si>
  <si>
    <t>Lib</t>
  </si>
  <si>
    <t>Comino molido</t>
  </si>
  <si>
    <t xml:space="preserve">Crema leche </t>
  </si>
  <si>
    <t>Lt</t>
  </si>
  <si>
    <t>Empanadas</t>
  </si>
  <si>
    <t>Espaguetti</t>
  </si>
  <si>
    <t xml:space="preserve">Fecula de maiz </t>
  </si>
  <si>
    <t>Frijol</t>
  </si>
  <si>
    <t>Garbanzo</t>
  </si>
  <si>
    <t>Grasa</t>
  </si>
  <si>
    <t>Pqte</t>
  </si>
  <si>
    <t>Leche condensada</t>
  </si>
  <si>
    <t>Leche entera</t>
  </si>
  <si>
    <t>Lenteja</t>
  </si>
  <si>
    <t>Manteca</t>
  </si>
  <si>
    <t>Caja</t>
  </si>
  <si>
    <t>Mantequilla</t>
  </si>
  <si>
    <t xml:space="preserve">Milo </t>
  </si>
  <si>
    <t xml:space="preserve">Pasta para sopa </t>
  </si>
  <si>
    <t>Pasta spaguetti</t>
  </si>
  <si>
    <t>Sal marina</t>
  </si>
  <si>
    <t>Zumo limon polvo</t>
  </si>
  <si>
    <t>Aliño xlab</t>
  </si>
  <si>
    <t>Humo liquido x3000 differ cjx6</t>
  </si>
  <si>
    <t>Maizena</t>
  </si>
  <si>
    <t>Salsa constancia soya</t>
  </si>
  <si>
    <t>Donkat adult</t>
  </si>
  <si>
    <t>Panela victoria</t>
  </si>
  <si>
    <t>Caldo maggi</t>
  </si>
  <si>
    <t>Aceite doña lupe</t>
  </si>
  <si>
    <t>Azucar, sal y arroz</t>
  </si>
  <si>
    <t>Servicio</t>
  </si>
  <si>
    <t>Examenes Médicos Jesus, Lucero, Daniela</t>
  </si>
  <si>
    <t>Cancelación compra césar alvarado</t>
  </si>
  <si>
    <t>Pts postos</t>
  </si>
  <si>
    <t>Arreglo licuadora</t>
  </si>
  <si>
    <t>Quincena periodo 1 al 16 Junio 2026</t>
  </si>
  <si>
    <t>Tablero</t>
  </si>
  <si>
    <t>Arreglo Tubos</t>
  </si>
  <si>
    <t>Aromatizador y Jabón Líquido</t>
  </si>
  <si>
    <t>Cesar Inmunocal</t>
  </si>
  <si>
    <t>Papel Aluminio x Rollos</t>
  </si>
  <si>
    <t>Aspa Ventilador</t>
  </si>
  <si>
    <t>Prestamo Angie Caicedo</t>
  </si>
  <si>
    <t>Semana Wilson</t>
  </si>
  <si>
    <t>Turno Alejandro</t>
  </si>
  <si>
    <t>Transporte Evento Enitl Mosquera</t>
  </si>
  <si>
    <t>Transporte Evento Deisy</t>
  </si>
  <si>
    <t>Transporte Evento Lina</t>
  </si>
  <si>
    <t>Arreglo Asador</t>
  </si>
  <si>
    <t>Aji pequeño x 40</t>
  </si>
  <si>
    <t>Tubos</t>
  </si>
  <si>
    <t>Gal</t>
  </si>
  <si>
    <t>Aluminio 300mts</t>
  </si>
  <si>
    <t>Bolsa 7 x 12</t>
  </si>
  <si>
    <t>Bolsa basura negra</t>
  </si>
  <si>
    <t>Bolsa de cubiertos</t>
  </si>
  <si>
    <t>Bolsa manigueta t40 bio</t>
  </si>
  <si>
    <t>Cajas de palillos</t>
  </si>
  <si>
    <t>Cintas</t>
  </si>
  <si>
    <t>Contenedor darnel 8 onz. x 20 x 25</t>
  </si>
  <si>
    <t>Cuchara</t>
  </si>
  <si>
    <t>Gorro ogura</t>
  </si>
  <si>
    <t>Portacomida t1x 200</t>
  </si>
  <si>
    <t>Hipoclorito</t>
  </si>
  <si>
    <t>Jabon de manos</t>
  </si>
  <si>
    <t>Limpia vidrio</t>
  </si>
  <si>
    <t>Cuyete</t>
  </si>
  <si>
    <t>Mostazax4000</t>
  </si>
  <si>
    <t>Paprika</t>
  </si>
  <si>
    <t>Papel de impresora</t>
  </si>
  <si>
    <t>Tarro</t>
  </si>
  <si>
    <t>Salsa negra</t>
  </si>
  <si>
    <t>Salsa tomate x 4000</t>
  </si>
  <si>
    <t>Set de cubiertos</t>
  </si>
  <si>
    <t>Sopero # 12</t>
  </si>
  <si>
    <t>Sopero # 8</t>
  </si>
  <si>
    <t>Tapa 2 onz</t>
  </si>
  <si>
    <t>Tapa vaso tami x 126</t>
  </si>
  <si>
    <t>Tomate sobre</t>
  </si>
  <si>
    <t>Trio de cubiertos</t>
  </si>
  <si>
    <t>Vaso 3.5 tansl</t>
  </si>
  <si>
    <t>Tapa copa 1/2</t>
  </si>
  <si>
    <t>Veladoras</t>
  </si>
  <si>
    <t>Vinagre</t>
  </si>
  <si>
    <t>Bolsa canaveral 100% material recicl f</t>
  </si>
  <si>
    <t>Mantenimiento preventivo de tablero electrico</t>
  </si>
  <si>
    <t>Plato circular plano pequeño</t>
  </si>
  <si>
    <t>Cabuya polipropileno</t>
  </si>
  <si>
    <t>Bandeja 12'' boca redonda tres colores</t>
  </si>
  <si>
    <t>Silicona liquida x250</t>
  </si>
  <si>
    <t>Bombas r9 x 50 uds</t>
  </si>
  <si>
    <t>Fomi escarchado</t>
  </si>
  <si>
    <t>Cinta seda roolo colores surtido</t>
  </si>
  <si>
    <t>Vaso cartón 9.0 onz x 50</t>
  </si>
  <si>
    <t>Gorro tipo oruga blanco</t>
  </si>
  <si>
    <t>Bolsa manigueta t19 bio</t>
  </si>
  <si>
    <t>Resma de papel oficio</t>
  </si>
  <si>
    <t>Bolsa manigueta t25 bio</t>
  </si>
  <si>
    <t>Cuchilla picahielo con anillo de goma</t>
  </si>
  <si>
    <t>Laurel</t>
  </si>
  <si>
    <t>Cuchillas para licuadora</t>
  </si>
  <si>
    <t>Extrato de coco Premium</t>
  </si>
  <si>
    <t>Lampara para el Baño</t>
  </si>
  <si>
    <t>Rollo Fibra Amarrar tamales</t>
  </si>
  <si>
    <t>Cable 2RCA x 12 mts</t>
  </si>
  <si>
    <t>Tomas Dobles</t>
  </si>
  <si>
    <t>Botella Thiner</t>
  </si>
  <si>
    <t>Banderines</t>
  </si>
  <si>
    <t>Cuchillo YIWU #1</t>
  </si>
  <si>
    <t>Cuchillo YIWU #2</t>
  </si>
  <si>
    <t>Bicarbonato La Mansion</t>
  </si>
  <si>
    <t>Mini Brownies</t>
  </si>
  <si>
    <t>Extension PT Naranja</t>
  </si>
  <si>
    <t>miga</t>
  </si>
  <si>
    <t>Accesorios Maquina Moler</t>
  </si>
  <si>
    <t>Desechables Doña Mery</t>
  </si>
  <si>
    <t>Licores</t>
  </si>
  <si>
    <t xml:space="preserve">Stella </t>
  </si>
  <si>
    <t>Agua</t>
  </si>
  <si>
    <t>Gaseosa 3 litros</t>
  </si>
  <si>
    <t>Gaseosa 400 ml</t>
  </si>
  <si>
    <t>Hit nr</t>
  </si>
  <si>
    <t>Hit vidrio</t>
  </si>
  <si>
    <t>Jug del valle</t>
  </si>
  <si>
    <t>Mr. tea</t>
  </si>
  <si>
    <t>Pany malta</t>
  </si>
  <si>
    <t>Vive 100</t>
  </si>
  <si>
    <t>Mango biche</t>
  </si>
  <si>
    <t xml:space="preserve">Bloque hielo </t>
  </si>
  <si>
    <t>Bloques</t>
  </si>
  <si>
    <t>Bloque</t>
  </si>
  <si>
    <t>Coca cola 3ltrs pet</t>
  </si>
  <si>
    <t>Coca cola zero 1,5 ltrs</t>
  </si>
  <si>
    <t>Manzana postobo n 1.500 ml pet x 12 p.e.</t>
  </si>
  <si>
    <t>Manzana postobo n 350 ml vidrio r x 30</t>
  </si>
  <si>
    <t>Coca-cola 400 ml pet (24)</t>
  </si>
  <si>
    <t>Manzana postobo n 500 ml vidrio r x 30</t>
  </si>
  <si>
    <t>Hielo</t>
  </si>
  <si>
    <t>Cerveza costeña x caja</t>
  </si>
  <si>
    <t>Zumo de limon</t>
  </si>
  <si>
    <t>Total compras Julio - 2026</t>
  </si>
  <si>
    <t>Total  carnes</t>
  </si>
  <si>
    <t>Total verduras</t>
  </si>
  <si>
    <t>Total granos</t>
  </si>
  <si>
    <t>Total desechables</t>
  </si>
  <si>
    <t>Total bebidas y licores</t>
  </si>
  <si>
    <t>Otros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</si>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</sst>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_-* #,##0.00_-;\-* #,##0.00_-;_-* \-??_-;_-@_-"/>
    <numFmt numFmtId="165" formatCode="0.0"/>
    <numFmt numFmtId="166" formatCode="_-* #,##0.0_-;\-* #,##0.0_-;_-* \-??_-;_-@_-"/>
    <numFmt numFmtId="167" formatCode="_-* #,##0_-;\-* #,##0_-;_-* \-??_-;_-@_-"/>
    <numFmt numFmtId="168" formatCode="&quot;$ &quot;#,##0.00"/>
    <numFmt numFmtId="169" formatCode="_-&quot;$ &quot;* #,##0.00_-;&quot;-$ &quot;* #,##0.00_-;_-&quot;$ &quot;* \-??_-;_-@_-"/>
    <numFmt numFmtId="170" formatCode="&quot;$&quot;#,##0"/>
    <numFmt numFmtId="171" formatCode="_-&quot;$&quot;\ * #,##0_-;\-&quot;$&quot;\ * #,##0_-;_-&quot;$&quot;\ * &quot;-&quot;??_-;_-@_-"/>
    <numFmt numFmtId="172" formatCode="#,##0.##"/>
    <numFmt numFmtId="173" formatCode="\$#,##0"/>
    <numFmt numFmtId="174" formatCode="\$#,##0.00"/>
    <numFmt numFmtId="175" formatCode="0.###"/>
  </numFmts>
  <fonts count="18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1"/>
      <color theme="1"/>
      <name val="Calibri"/>
      <charset val="1"/>
    </font>
    <font>
      <b/>
      <sz val="18"/>
      <color theme="1"/>
      <name val="Calibri"/>
      <family val="2"/>
      <charset val="1"/>
    </font>
    <font>
      <sz val="11"/>
      <color theme="1"/>
      <name val="Arial"/>
      <charset val="1"/>
    </font>
    <font>
      <sz val="12"/>
      <color theme="1"/>
      <name val="Arial"/>
      <family val="2"/>
      <charset val="1"/>
    </font>
    <font>
      <sz val="11"/>
      <color theme="1"/>
      <name val="Calibri"/>
      <charset val="1"/>
    </font>
    <font>
      <sz val="11"/>
      <name val="Calibri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u/>
      <sz val="11"/>
      <color theme="1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b/>
      <u/>
      <sz val="11"/>
      <color rgb="FFFFFFFF"/>
      <name val="Calibri"/>
      <family val="2"/>
    </font>
    <font>
      <u/>
      <sz val="11"/>
      <name val="Calibri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DDEBF7"/>
        <bgColor rgb="FFDDEBF7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7" fillId="0" borderId="0"/>
  </cellStyleXfs>
  <cellXfs count="160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4" fontId="3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4" fontId="2" fillId="0" borderId="1" xfId="0" applyNumberFormat="1" applyFont="1" applyBorder="1"/>
    <xf numFmtId="164" fontId="4" fillId="3" borderId="1" xfId="0" applyNumberFormat="1" applyFont="1" applyFill="1" applyBorder="1"/>
    <xf numFmtId="3" fontId="5" fillId="3" borderId="1" xfId="0" applyNumberFormat="1" applyFont="1" applyFill="1" applyBorder="1"/>
    <xf numFmtId="168" fontId="5" fillId="3" borderId="1" xfId="0" applyNumberFormat="1" applyFont="1" applyFill="1" applyBorder="1"/>
    <xf numFmtId="3" fontId="5" fillId="0" borderId="1" xfId="0" applyNumberFormat="1" applyFont="1" applyBorder="1"/>
    <xf numFmtId="168" fontId="5" fillId="0" borderId="1" xfId="0" applyNumberFormat="1" applyFont="1" applyBorder="1"/>
    <xf numFmtId="168" fontId="4" fillId="0" borderId="1" xfId="0" applyNumberFormat="1" applyFont="1" applyBorder="1"/>
    <xf numFmtId="3" fontId="4" fillId="0" borderId="1" xfId="0" applyNumberFormat="1" applyFont="1" applyBorder="1"/>
    <xf numFmtId="164" fontId="5" fillId="0" borderId="0" xfId="0" applyNumberFormat="1" applyFont="1"/>
    <xf numFmtId="3" fontId="0" fillId="0" borderId="1" xfId="0" applyNumberFormat="1" applyBorder="1"/>
    <xf numFmtId="168" fontId="0" fillId="0" borderId="1" xfId="0" applyNumberFormat="1" applyBorder="1"/>
    <xf numFmtId="0" fontId="7" fillId="0" borderId="1" xfId="0" applyFont="1" applyBorder="1"/>
    <xf numFmtId="168" fontId="7" fillId="0" borderId="1" xfId="0" applyNumberFormat="1" applyFont="1" applyBorder="1"/>
    <xf numFmtId="167" fontId="8" fillId="0" borderId="0" xfId="0" applyNumberFormat="1" applyFont="1"/>
    <xf numFmtId="166" fontId="8" fillId="0" borderId="0" xfId="0" applyNumberFormat="1" applyFont="1"/>
    <xf numFmtId="167" fontId="9" fillId="0" borderId="1" xfId="0" applyNumberFormat="1" applyFont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6" fillId="3" borderId="1" xfId="0" applyNumberFormat="1" applyFont="1" applyFill="1" applyBorder="1"/>
    <xf numFmtId="164" fontId="6" fillId="3" borderId="1" xfId="0" applyNumberFormat="1" applyFont="1" applyFill="1" applyBorder="1"/>
    <xf numFmtId="168" fontId="6" fillId="3" borderId="1" xfId="0" applyNumberFormat="1" applyFont="1" applyFill="1" applyBorder="1"/>
    <xf numFmtId="3" fontId="8" fillId="3" borderId="1" xfId="0" applyNumberFormat="1" applyFont="1" applyFill="1" applyBorder="1"/>
    <xf numFmtId="168" fontId="8" fillId="3" borderId="1" xfId="0" applyNumberFormat="1" applyFont="1" applyFill="1" applyBorder="1"/>
    <xf numFmtId="3" fontId="6" fillId="3" borderId="1" xfId="0" applyNumberFormat="1" applyFont="1" applyFill="1" applyBorder="1"/>
    <xf numFmtId="164" fontId="8" fillId="3" borderId="1" xfId="0" applyNumberFormat="1" applyFont="1" applyFill="1" applyBorder="1"/>
    <xf numFmtId="167" fontId="8" fillId="0" borderId="1" xfId="0" applyNumberFormat="1" applyFont="1" applyBorder="1"/>
    <xf numFmtId="167" fontId="8" fillId="3" borderId="1" xfId="0" applyNumberFormat="1" applyFont="1" applyFill="1" applyBorder="1"/>
    <xf numFmtId="0" fontId="6" fillId="0" borderId="1" xfId="0" applyFont="1" applyBorder="1"/>
    <xf numFmtId="167" fontId="6" fillId="0" borderId="1" xfId="0" applyNumberFormat="1" applyFont="1" applyBorder="1"/>
    <xf numFmtId="164" fontId="8" fillId="0" borderId="0" xfId="0" applyNumberFormat="1" applyFont="1"/>
    <xf numFmtId="164" fontId="9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3" fontId="8" fillId="0" borderId="1" xfId="0" applyNumberFormat="1" applyFont="1" applyBorder="1"/>
    <xf numFmtId="168" fontId="8" fillId="0" borderId="1" xfId="0" applyNumberFormat="1" applyFont="1" applyBorder="1"/>
    <xf numFmtId="3" fontId="7" fillId="0" borderId="1" xfId="0" applyNumberFormat="1" applyFont="1" applyBorder="1"/>
    <xf numFmtId="164" fontId="9" fillId="0" borderId="2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/>
    <xf numFmtId="164" fontId="6" fillId="2" borderId="1" xfId="0" applyNumberFormat="1" applyFont="1" applyFill="1" applyBorder="1" applyAlignment="1">
      <alignment horizontal="center"/>
    </xf>
    <xf numFmtId="3" fontId="9" fillId="0" borderId="1" xfId="0" applyNumberFormat="1" applyFont="1" applyBorder="1"/>
    <xf numFmtId="168" fontId="9" fillId="0" borderId="1" xfId="0" applyNumberFormat="1" applyFont="1" applyBorder="1"/>
    <xf numFmtId="164" fontId="9" fillId="0" borderId="0" xfId="0" applyNumberFormat="1" applyFont="1" applyAlignment="1">
      <alignment horizontal="center"/>
    </xf>
    <xf numFmtId="169" fontId="6" fillId="0" borderId="1" xfId="0" applyNumberFormat="1" applyFont="1" applyBorder="1" applyAlignment="1">
      <alignment horizontal="left"/>
    </xf>
    <xf numFmtId="169" fontId="6" fillId="2" borderId="1" xfId="0" applyNumberFormat="1" applyFont="1" applyFill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168" fontId="8" fillId="0" borderId="1" xfId="0" applyNumberFormat="1" applyFont="1" applyBorder="1" applyAlignment="1">
      <alignment horizontal="left"/>
    </xf>
    <xf numFmtId="168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169" fontId="6" fillId="4" borderId="1" xfId="0" applyNumberFormat="1" applyFont="1" applyFill="1" applyBorder="1" applyAlignment="1">
      <alignment horizontal="left"/>
    </xf>
    <xf numFmtId="3" fontId="8" fillId="4" borderId="1" xfId="0" applyNumberFormat="1" applyFont="1" applyFill="1" applyBorder="1" applyAlignment="1">
      <alignment horizontal="left"/>
    </xf>
    <xf numFmtId="168" fontId="8" fillId="4" borderId="1" xfId="0" applyNumberFormat="1" applyFont="1" applyFill="1" applyBorder="1" applyAlignment="1">
      <alignment horizontal="left"/>
    </xf>
    <xf numFmtId="169" fontId="2" fillId="0" borderId="1" xfId="0" applyNumberFormat="1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8" fontId="9" fillId="0" borderId="1" xfId="0" applyNumberFormat="1" applyFont="1" applyBorder="1" applyAlignment="1">
      <alignment horizontal="left"/>
    </xf>
    <xf numFmtId="3" fontId="6" fillId="2" borderId="1" xfId="0" applyNumberFormat="1" applyFont="1" applyFill="1" applyBorder="1" applyAlignment="1">
      <alignment horizontal="left"/>
    </xf>
    <xf numFmtId="168" fontId="6" fillId="2" borderId="1" xfId="0" applyNumberFormat="1" applyFont="1" applyFill="1" applyBorder="1" applyAlignment="1">
      <alignment horizontal="left"/>
    </xf>
    <xf numFmtId="169" fontId="2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left"/>
    </xf>
    <xf numFmtId="168" fontId="9" fillId="3" borderId="1" xfId="0" applyNumberFormat="1" applyFont="1" applyFill="1" applyBorder="1" applyAlignment="1">
      <alignment horizontal="left"/>
    </xf>
    <xf numFmtId="169" fontId="6" fillId="0" borderId="1" xfId="0" applyNumberFormat="1" applyFont="1" applyBorder="1" applyAlignment="1">
      <alignment horizontal="left" vertical="center"/>
    </xf>
    <xf numFmtId="167" fontId="0" fillId="0" borderId="0" xfId="0" applyNumberFormat="1"/>
    <xf numFmtId="0" fontId="10" fillId="0" borderId="0" xfId="0" applyFont="1"/>
    <xf numFmtId="167" fontId="10" fillId="0" borderId="0" xfId="0" applyNumberFormat="1" applyFont="1"/>
    <xf numFmtId="0" fontId="6" fillId="5" borderId="1" xfId="0" applyFont="1" applyFill="1" applyBorder="1"/>
    <xf numFmtId="168" fontId="6" fillId="5" borderId="1" xfId="0" applyNumberFormat="1" applyFont="1" applyFill="1" applyBorder="1"/>
    <xf numFmtId="164" fontId="8" fillId="0" borderId="1" xfId="0" applyNumberFormat="1" applyFont="1" applyBorder="1"/>
    <xf numFmtId="168" fontId="11" fillId="0" borderId="1" xfId="0" applyNumberFormat="1" applyFont="1" applyBorder="1"/>
    <xf numFmtId="168" fontId="6" fillId="0" borderId="1" xfId="0" applyNumberFormat="1" applyFont="1" applyBorder="1"/>
    <xf numFmtId="0" fontId="12" fillId="0" borderId="1" xfId="0" applyFont="1" applyBorder="1"/>
    <xf numFmtId="0" fontId="0" fillId="0" borderId="1" xfId="0" applyBorder="1"/>
    <xf numFmtId="164" fontId="6" fillId="0" borderId="4" xfId="0" applyNumberFormat="1" applyFont="1" applyBorder="1"/>
    <xf numFmtId="0" fontId="7" fillId="0" borderId="4" xfId="0" applyFont="1" applyBorder="1"/>
    <xf numFmtId="164" fontId="4" fillId="6" borderId="1" xfId="0" applyNumberFormat="1" applyFont="1" applyFill="1" applyBorder="1"/>
    <xf numFmtId="3" fontId="5" fillId="6" borderId="1" xfId="0" applyNumberFormat="1" applyFont="1" applyFill="1" applyBorder="1"/>
    <xf numFmtId="168" fontId="5" fillId="6" borderId="1" xfId="0" applyNumberFormat="1" applyFont="1" applyFill="1" applyBorder="1"/>
    <xf numFmtId="3" fontId="5" fillId="7" borderId="1" xfId="0" applyNumberFormat="1" applyFont="1" applyFill="1" applyBorder="1"/>
    <xf numFmtId="168" fontId="5" fillId="7" borderId="1" xfId="0" applyNumberFormat="1" applyFont="1" applyFill="1" applyBorder="1"/>
    <xf numFmtId="168" fontId="4" fillId="7" borderId="1" xfId="0" applyNumberFormat="1" applyFont="1" applyFill="1" applyBorder="1"/>
    <xf numFmtId="3" fontId="4" fillId="7" borderId="1" xfId="0" applyNumberFormat="1" applyFont="1" applyFill="1" applyBorder="1"/>
    <xf numFmtId="0" fontId="0" fillId="0" borderId="1" xfId="0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8" borderId="5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5" fillId="8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170" fontId="0" fillId="0" borderId="0" xfId="0" applyNumberFormat="1"/>
    <xf numFmtId="171" fontId="13" fillId="8" borderId="1" xfId="1" applyNumberFormat="1" applyFont="1" applyFill="1" applyBorder="1" applyAlignment="1">
      <alignment vertical="center"/>
    </xf>
    <xf numFmtId="171" fontId="0" fillId="0" borderId="1" xfId="1" applyNumberFormat="1" applyFont="1" applyBorder="1" applyAlignment="1">
      <alignment vertical="center"/>
    </xf>
    <xf numFmtId="171" fontId="0" fillId="9" borderId="1" xfId="1" applyNumberFormat="1" applyFont="1" applyFill="1" applyBorder="1" applyAlignment="1">
      <alignment vertical="center"/>
    </xf>
    <xf numFmtId="171" fontId="0" fillId="0" borderId="0" xfId="1" applyNumberFormat="1" applyFont="1" applyAlignment="1">
      <alignment vertical="center"/>
    </xf>
    <xf numFmtId="0" fontId="16" fillId="10" borderId="1" xfId="0" applyFont="1" applyFill="1" applyBorder="1" applyAlignment="1">
      <alignment vertical="center"/>
    </xf>
    <xf numFmtId="171" fontId="16" fillId="10" borderId="1" xfId="1" applyNumberFormat="1" applyFont="1" applyFill="1" applyBorder="1" applyAlignment="1">
      <alignment vertical="center"/>
    </xf>
    <xf numFmtId="0" fontId="16" fillId="10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left"/>
    </xf>
    <xf numFmtId="0" fontId="16" fillId="10" borderId="7" xfId="0" applyFont="1" applyFill="1" applyBorder="1" applyAlignment="1">
      <alignment horizontal="right"/>
    </xf>
    <xf numFmtId="0" fontId="16" fillId="12" borderId="9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left" vertical="center"/>
    </xf>
    <xf numFmtId="3" fontId="16" fillId="12" borderId="9" xfId="0" applyNumberFormat="1" applyFont="1" applyFill="1" applyBorder="1" applyAlignment="1">
      <alignment horizontal="right" vertical="center"/>
    </xf>
    <xf numFmtId="173" fontId="16" fillId="12" borderId="9" xfId="0" applyNumberFormat="1" applyFont="1" applyFill="1" applyBorder="1" applyAlignment="1">
      <alignment horizontal="right" vertical="center"/>
    </xf>
    <xf numFmtId="4" fontId="16" fillId="12" borderId="9" xfId="0" applyNumberFormat="1" applyFont="1" applyFill="1" applyBorder="1" applyAlignment="1">
      <alignment horizontal="right" vertical="center"/>
    </xf>
    <xf numFmtId="174" fontId="16" fillId="12" borderId="9" xfId="0" applyNumberFormat="1" applyFont="1" applyFill="1" applyBorder="1" applyAlignment="1">
      <alignment horizontal="right" vertical="center"/>
    </xf>
    <xf numFmtId="1" fontId="16" fillId="12" borderId="9" xfId="0" applyNumberFormat="1" applyFont="1" applyFill="1" applyBorder="1" applyAlignment="1">
      <alignment horizontal="center" vertical="center"/>
    </xf>
    <xf numFmtId="175" fontId="16" fillId="12" borderId="9" xfId="0" applyNumberFormat="1" applyFont="1" applyFill="1" applyBorder="1" applyAlignment="1">
      <alignment horizontal="right" vertical="center"/>
    </xf>
    <xf numFmtId="1" fontId="16" fillId="12" borderId="1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vertical="center"/>
    </xf>
    <xf numFmtId="0" fontId="16" fillId="10" borderId="9" xfId="0" applyFont="1" applyFill="1" applyBorder="1" applyAlignment="1">
      <alignment horizontal="center"/>
    </xf>
    <xf numFmtId="0" fontId="16" fillId="10" borderId="6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16" fillId="10" borderId="7" xfId="0" applyFont="1" applyFill="1" applyBorder="1" applyAlignment="1">
      <alignment vertical="center"/>
    </xf>
    <xf numFmtId="0" fontId="16" fillId="11" borderId="9" xfId="0" applyFont="1" applyFill="1" applyBorder="1" applyAlignment="1">
      <alignment horizontal="center"/>
    </xf>
    <xf numFmtId="0" fontId="16" fillId="10" borderId="8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6" fillId="12" borderId="1" xfId="0" applyFont="1" applyFill="1" applyBorder="1" applyAlignment="1">
      <alignment horizontal="left" vertical="center"/>
    </xf>
    <xf numFmtId="0" fontId="16" fillId="10" borderId="9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/>
    </xf>
    <xf numFmtId="0" fontId="16" fillId="11" borderId="9" xfId="0" applyFont="1" applyFill="1" applyBorder="1" applyAlignment="1">
      <alignment horizontal="left"/>
    </xf>
    <xf numFmtId="0" fontId="16" fillId="10" borderId="8" xfId="0" applyFont="1" applyFill="1" applyBorder="1" applyAlignment="1">
      <alignment horizontal="left"/>
    </xf>
    <xf numFmtId="3" fontId="16" fillId="12" borderId="1" xfId="0" applyNumberFormat="1" applyFont="1" applyFill="1" applyBorder="1" applyAlignment="1">
      <alignment horizontal="right" vertical="center"/>
    </xf>
    <xf numFmtId="0" fontId="16" fillId="10" borderId="9" xfId="0" applyFont="1" applyFill="1" applyBorder="1" applyAlignment="1">
      <alignment horizontal="right"/>
    </xf>
    <xf numFmtId="0" fontId="16" fillId="10" borderId="1" xfId="0" applyFont="1" applyFill="1" applyBorder="1" applyAlignment="1">
      <alignment horizontal="right"/>
    </xf>
    <xf numFmtId="172" fontId="16" fillId="10" borderId="9" xfId="0" applyNumberFormat="1" applyFont="1" applyFill="1" applyBorder="1" applyAlignment="1">
      <alignment horizontal="right"/>
    </xf>
    <xf numFmtId="172" fontId="16" fillId="11" borderId="9" xfId="0" applyNumberFormat="1" applyFont="1" applyFill="1" applyBorder="1" applyAlignment="1">
      <alignment horizontal="right"/>
    </xf>
    <xf numFmtId="0" fontId="16" fillId="10" borderId="8" xfId="0" applyFont="1" applyFill="1" applyBorder="1" applyAlignment="1">
      <alignment horizontal="right"/>
    </xf>
    <xf numFmtId="4" fontId="16" fillId="12" borderId="1" xfId="0" applyNumberFormat="1" applyFont="1" applyFill="1" applyBorder="1" applyAlignment="1">
      <alignment horizontal="right" vertical="center"/>
    </xf>
    <xf numFmtId="175" fontId="16" fillId="12" borderId="1" xfId="0" applyNumberFormat="1" applyFont="1" applyFill="1" applyBorder="1" applyAlignment="1">
      <alignment horizontal="right" vertical="center"/>
    </xf>
    <xf numFmtId="172" fontId="16" fillId="12" borderId="1" xfId="0" applyNumberFormat="1" applyFont="1" applyFill="1" applyBorder="1" applyAlignment="1">
      <alignment horizontal="right" vertical="center"/>
    </xf>
    <xf numFmtId="173" fontId="16" fillId="12" borderId="1" xfId="0" applyNumberFormat="1" applyFont="1" applyFill="1" applyBorder="1" applyAlignment="1">
      <alignment horizontal="right" vertical="center"/>
    </xf>
    <xf numFmtId="171" fontId="16" fillId="10" borderId="9" xfId="1" applyNumberFormat="1" applyFont="1" applyFill="1" applyBorder="1" applyAlignment="1">
      <alignment vertical="center"/>
    </xf>
    <xf numFmtId="171" fontId="16" fillId="10" borderId="9" xfId="1" applyNumberFormat="1" applyFont="1" applyFill="1" applyBorder="1" applyAlignment="1">
      <alignment horizontal="right"/>
    </xf>
    <xf numFmtId="171" fontId="16" fillId="10" borderId="6" xfId="1" applyNumberFormat="1" applyFont="1" applyFill="1" applyBorder="1" applyAlignment="1">
      <alignment vertical="center"/>
    </xf>
    <xf numFmtId="171" fontId="16" fillId="10" borderId="1" xfId="1" applyNumberFormat="1" applyFont="1" applyFill="1" applyBorder="1" applyAlignment="1">
      <alignment horizontal="right"/>
    </xf>
    <xf numFmtId="171" fontId="0" fillId="0" borderId="6" xfId="1" applyNumberFormat="1" applyFont="1" applyBorder="1" applyAlignment="1">
      <alignment vertical="center"/>
    </xf>
    <xf numFmtId="173" fontId="16" fillId="10" borderId="9" xfId="0" applyNumberFormat="1" applyFont="1" applyFill="1" applyBorder="1" applyAlignment="1">
      <alignment horizontal="right"/>
    </xf>
    <xf numFmtId="171" fontId="16" fillId="10" borderId="7" xfId="1" applyNumberFormat="1" applyFont="1" applyFill="1" applyBorder="1" applyAlignment="1">
      <alignment horizontal="right"/>
    </xf>
    <xf numFmtId="171" fontId="16" fillId="10" borderId="7" xfId="1" applyNumberFormat="1" applyFont="1" applyFill="1" applyBorder="1" applyAlignment="1">
      <alignment vertical="center"/>
    </xf>
    <xf numFmtId="173" fontId="16" fillId="11" borderId="9" xfId="0" applyNumberFormat="1" applyFont="1" applyFill="1" applyBorder="1" applyAlignment="1">
      <alignment horizontal="right"/>
    </xf>
    <xf numFmtId="171" fontId="16" fillId="10" borderId="8" xfId="1" applyNumberFormat="1" applyFont="1" applyFill="1" applyBorder="1" applyAlignment="1">
      <alignment horizontal="right"/>
    </xf>
    <xf numFmtId="171" fontId="0" fillId="0" borderId="9" xfId="1" applyNumberFormat="1" applyFont="1" applyBorder="1" applyAlignment="1">
      <alignment vertical="center"/>
    </xf>
    <xf numFmtId="167" fontId="2" fillId="5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J75"/>
  <sheetViews>
    <sheetView zoomScale="91" zoomScaleNormal="91" workbookViewId="0">
      <pane xSplit="1" topLeftCell="BK1" activePane="topRight" state="frozen"/>
      <selection activeCell="A40" sqref="A40"/>
      <selection pane="topRight" activeCell="A8" sqref="A8"/>
    </sheetView>
  </sheetViews>
  <sheetFormatPr baseColWidth="10" defaultColWidth="11.453125" defaultRowHeight="18.5" x14ac:dyDescent="0.45"/>
  <cols>
    <col min="1" max="1" width="34" style="1" customWidth="1"/>
    <col min="2" max="2" width="14.7265625" style="1" customWidth="1"/>
    <col min="3" max="3" width="14.81640625" style="1" customWidth="1"/>
    <col min="4" max="4" width="12.453125" style="1" customWidth="1"/>
    <col min="5" max="5" width="11.54296875" style="1" customWidth="1"/>
    <col min="6" max="6" width="9.1796875" style="2" customWidth="1"/>
    <col min="7" max="7" width="13.7265625" style="3" customWidth="1"/>
    <col min="8" max="8" width="14.26953125" style="4" customWidth="1"/>
    <col min="9" max="9" width="10.453125" style="1" customWidth="1"/>
    <col min="10" max="10" width="13.7265625" style="1" customWidth="1"/>
    <col min="11" max="11" width="14.26953125" style="1" customWidth="1"/>
    <col min="12" max="12" width="10.453125" style="1" customWidth="1"/>
    <col min="13" max="13" width="14.54296875" style="1" bestFit="1" customWidth="1"/>
    <col min="14" max="14" width="14.26953125" style="1" customWidth="1"/>
    <col min="15" max="15" width="10.453125" style="1" customWidth="1"/>
    <col min="16" max="16" width="13.7265625" style="1" customWidth="1"/>
    <col min="17" max="17" width="14.7265625" style="1" customWidth="1"/>
    <col min="18" max="18" width="10.453125" style="1" customWidth="1"/>
    <col min="19" max="19" width="13.26953125" style="1" bestFit="1" customWidth="1"/>
    <col min="20" max="20" width="14.26953125" style="1" bestFit="1" customWidth="1"/>
    <col min="21" max="21" width="10.453125" style="1" customWidth="1"/>
    <col min="22" max="22" width="13.7265625" style="1" customWidth="1"/>
    <col min="23" max="23" width="14.7265625" style="1" customWidth="1"/>
    <col min="24" max="24" width="10.453125" style="1" customWidth="1"/>
    <col min="25" max="25" width="13.7265625" style="1" customWidth="1"/>
    <col min="26" max="26" width="14.26953125" style="1" customWidth="1"/>
    <col min="27" max="27" width="10.453125" style="1" customWidth="1"/>
    <col min="28" max="28" width="13.7265625" style="1" customWidth="1"/>
    <col min="29" max="29" width="14.26953125" style="1" customWidth="1"/>
    <col min="30" max="30" width="10.453125" style="1" customWidth="1"/>
    <col min="31" max="31" width="13.7265625" style="1" customWidth="1"/>
    <col min="32" max="32" width="17.1796875" style="1" customWidth="1"/>
    <col min="33" max="33" width="10.453125" style="1" customWidth="1"/>
    <col min="34" max="34" width="14.54296875" style="1" bestFit="1" customWidth="1"/>
    <col min="35" max="35" width="15.81640625" style="1" bestFit="1" customWidth="1"/>
    <col min="36" max="36" width="10.453125" style="1" customWidth="1"/>
    <col min="37" max="37" width="14.453125" style="1" customWidth="1"/>
    <col min="38" max="38" width="14.7265625" style="1" customWidth="1"/>
    <col min="39" max="39" width="10.453125" style="1" customWidth="1"/>
    <col min="40" max="40" width="13.7265625" style="1" customWidth="1"/>
    <col min="41" max="41" width="14.26953125" style="1" customWidth="1"/>
    <col min="42" max="42" width="10.453125" style="1" customWidth="1"/>
    <col min="43" max="43" width="15.453125" style="1" customWidth="1"/>
    <col min="44" max="44" width="14.26953125" style="1" customWidth="1"/>
    <col min="45" max="45" width="10.453125" style="1" customWidth="1"/>
    <col min="46" max="46" width="13.7265625" style="1" customWidth="1"/>
    <col min="47" max="47" width="14.7265625" style="1" customWidth="1"/>
    <col min="48" max="48" width="10.453125" style="1" customWidth="1"/>
    <col min="49" max="49" width="14.54296875" style="1" bestFit="1" customWidth="1"/>
    <col min="50" max="50" width="14.26953125" style="1" customWidth="1"/>
    <col min="51" max="51" width="10.453125" style="1" customWidth="1"/>
    <col min="52" max="52" width="13.7265625" style="1" customWidth="1"/>
    <col min="53" max="53" width="14.26953125" style="1" customWidth="1"/>
    <col min="54" max="54" width="10.453125" style="1" customWidth="1"/>
    <col min="55" max="55" width="14.453125" style="1" customWidth="1"/>
    <col min="56" max="56" width="14.26953125" style="1" customWidth="1"/>
    <col min="57" max="57" width="10.453125" style="1" customWidth="1"/>
    <col min="58" max="58" width="13.7265625" style="1" customWidth="1"/>
    <col min="59" max="59" width="14.26953125" style="1" customWidth="1"/>
    <col min="60" max="60" width="10.453125" style="1" customWidth="1"/>
    <col min="61" max="61" width="13.7265625" style="1" customWidth="1"/>
    <col min="62" max="62" width="14.26953125" style="1" customWidth="1"/>
    <col min="63" max="63" width="10.453125" style="1" customWidth="1"/>
    <col min="64" max="64" width="14.453125" style="1" bestFit="1" customWidth="1"/>
    <col min="65" max="65" width="14.26953125" style="1" customWidth="1"/>
    <col min="66" max="66" width="10.453125" style="1" customWidth="1"/>
    <col min="67" max="67" width="14.54296875" style="1" bestFit="1" customWidth="1"/>
    <col min="68" max="68" width="14.26953125" style="1" customWidth="1"/>
    <col min="69" max="69" width="10.453125" style="1" customWidth="1"/>
    <col min="70" max="70" width="13.7265625" style="1" customWidth="1"/>
    <col min="71" max="71" width="14.26953125" style="1" customWidth="1"/>
    <col min="72" max="72" width="10.453125" style="1" customWidth="1"/>
    <col min="73" max="73" width="13.7265625" style="1" customWidth="1"/>
    <col min="74" max="74" width="14.26953125" style="1" customWidth="1"/>
    <col min="75" max="75" width="10.453125" style="1" customWidth="1"/>
    <col min="76" max="76" width="13.7265625" style="1" customWidth="1"/>
    <col min="77" max="77" width="14.26953125" style="1" customWidth="1"/>
    <col min="78" max="78" width="10.453125" style="1" customWidth="1"/>
    <col min="79" max="79" width="13.7265625" style="1" customWidth="1"/>
    <col min="80" max="80" width="14.26953125" style="1" customWidth="1"/>
    <col min="81" max="81" width="10.453125" style="1" customWidth="1"/>
    <col min="82" max="82" width="13.7265625" style="1" customWidth="1"/>
    <col min="83" max="83" width="14.26953125" style="1" customWidth="1"/>
    <col min="84" max="84" width="10.453125" style="1" customWidth="1"/>
    <col min="85" max="85" width="13.7265625" style="1" customWidth="1"/>
    <col min="86" max="86" width="14.26953125" style="1" customWidth="1"/>
    <col min="87" max="87" width="10.453125" style="1" customWidth="1"/>
    <col min="88" max="88" width="13.7265625" style="1" customWidth="1"/>
    <col min="89" max="89" width="14.26953125" style="1" customWidth="1"/>
    <col min="90" max="90" width="10.453125" style="1" customWidth="1"/>
    <col min="91" max="91" width="13.7265625" style="1" customWidth="1"/>
    <col min="92" max="92" width="14.26953125" style="1" customWidth="1"/>
    <col min="93" max="93" width="10.453125" style="1" customWidth="1"/>
    <col min="94" max="94" width="13.7265625" style="1" customWidth="1"/>
    <col min="95" max="95" width="14.26953125" style="1" customWidth="1"/>
    <col min="96" max="96" width="10.453125" style="1" customWidth="1"/>
    <col min="97" max="97" width="13.7265625" style="1" customWidth="1"/>
    <col min="98" max="98" width="14.26953125" style="1" customWidth="1"/>
    <col min="99" max="99" width="14.453125" style="1" bestFit="1" customWidth="1"/>
    <col min="100" max="100" width="18.1796875" style="1" bestFit="1" customWidth="1"/>
    <col min="101" max="101" width="21" style="1" bestFit="1" customWidth="1"/>
    <col min="102" max="105" width="18.1796875" style="1" customWidth="1"/>
    <col min="106" max="106" width="23.54296875" style="1" customWidth="1"/>
    <col min="107" max="111" width="18.1796875" style="1" customWidth="1"/>
    <col min="112" max="112" width="15.81640625" style="4" customWidth="1"/>
    <col min="113" max="113" width="16" style="4" customWidth="1"/>
    <col min="114" max="114" width="19.54296875" style="4" customWidth="1"/>
    <col min="115" max="124" width="11.453125" style="1" customWidth="1"/>
    <col min="125" max="16384" width="11.453125" style="1"/>
  </cols>
  <sheetData>
    <row r="1" spans="1:101" ht="23.25" customHeight="1" x14ac:dyDescent="0.55000000000000004">
      <c r="A1" s="95" t="s">
        <v>10</v>
      </c>
      <c r="B1" s="5"/>
      <c r="C1" s="5"/>
      <c r="D1" s="5"/>
      <c r="E1" s="5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3" t="s">
        <v>828</v>
      </c>
      <c r="CV1" s="154"/>
      <c r="CW1" s="155"/>
    </row>
    <row r="2" spans="1:101" ht="19.5" customHeight="1" x14ac:dyDescent="0.45">
      <c r="A2" s="6" t="s">
        <v>829</v>
      </c>
      <c r="B2" s="6" t="s">
        <v>830</v>
      </c>
      <c r="C2" s="6" t="s">
        <v>4</v>
      </c>
      <c r="D2" s="6" t="s">
        <v>831</v>
      </c>
      <c r="E2" s="6" t="s">
        <v>832</v>
      </c>
      <c r="F2" s="7" t="s">
        <v>833</v>
      </c>
      <c r="G2" s="8" t="s">
        <v>834</v>
      </c>
      <c r="H2" s="9" t="s">
        <v>835</v>
      </c>
      <c r="I2" s="10" t="s">
        <v>833</v>
      </c>
      <c r="J2" s="9" t="s">
        <v>834</v>
      </c>
      <c r="K2" s="9" t="s">
        <v>835</v>
      </c>
      <c r="L2" s="10" t="s">
        <v>833</v>
      </c>
      <c r="M2" s="9" t="s">
        <v>834</v>
      </c>
      <c r="N2" s="9" t="s">
        <v>835</v>
      </c>
      <c r="O2" s="10" t="s">
        <v>833</v>
      </c>
      <c r="P2" s="9" t="s">
        <v>834</v>
      </c>
      <c r="Q2" s="9" t="s">
        <v>835</v>
      </c>
      <c r="R2" s="10" t="s">
        <v>833</v>
      </c>
      <c r="S2" s="10" t="s">
        <v>836</v>
      </c>
      <c r="T2" s="9" t="s">
        <v>835</v>
      </c>
      <c r="U2" s="10" t="s">
        <v>833</v>
      </c>
      <c r="V2" s="9" t="s">
        <v>834</v>
      </c>
      <c r="W2" s="9" t="s">
        <v>835</v>
      </c>
      <c r="X2" s="10" t="s">
        <v>833</v>
      </c>
      <c r="Y2" s="9" t="s">
        <v>834</v>
      </c>
      <c r="Z2" s="9" t="s">
        <v>835</v>
      </c>
      <c r="AA2" s="10" t="s">
        <v>833</v>
      </c>
      <c r="AB2" s="9" t="s">
        <v>834</v>
      </c>
      <c r="AC2" s="9" t="s">
        <v>835</v>
      </c>
      <c r="AD2" s="10" t="s">
        <v>833</v>
      </c>
      <c r="AE2" s="9" t="s">
        <v>834</v>
      </c>
      <c r="AF2" s="9" t="s">
        <v>835</v>
      </c>
      <c r="AG2" s="10" t="s">
        <v>833</v>
      </c>
      <c r="AH2" s="9" t="s">
        <v>834</v>
      </c>
      <c r="AI2" s="9" t="s">
        <v>835</v>
      </c>
      <c r="AJ2" s="10" t="s">
        <v>833</v>
      </c>
      <c r="AK2" s="9" t="s">
        <v>834</v>
      </c>
      <c r="AL2" s="9" t="s">
        <v>835</v>
      </c>
      <c r="AM2" s="10" t="s">
        <v>833</v>
      </c>
      <c r="AN2" s="9" t="s">
        <v>834</v>
      </c>
      <c r="AO2" s="9" t="s">
        <v>835</v>
      </c>
      <c r="AP2" s="10" t="s">
        <v>833</v>
      </c>
      <c r="AQ2" s="10" t="s">
        <v>836</v>
      </c>
      <c r="AR2" s="9" t="s">
        <v>835</v>
      </c>
      <c r="AS2" s="10" t="s">
        <v>833</v>
      </c>
      <c r="AT2" s="9" t="s">
        <v>834</v>
      </c>
      <c r="AU2" s="9" t="s">
        <v>835</v>
      </c>
      <c r="AV2" s="10" t="s">
        <v>833</v>
      </c>
      <c r="AW2" s="9" t="s">
        <v>834</v>
      </c>
      <c r="AX2" s="9" t="s">
        <v>835</v>
      </c>
      <c r="AY2" s="10" t="s">
        <v>833</v>
      </c>
      <c r="AZ2" s="9" t="s">
        <v>834</v>
      </c>
      <c r="BA2" s="9" t="s">
        <v>835</v>
      </c>
      <c r="BB2" s="10" t="s">
        <v>833</v>
      </c>
      <c r="BC2" s="9" t="s">
        <v>834</v>
      </c>
      <c r="BD2" s="9" t="s">
        <v>835</v>
      </c>
      <c r="BE2" s="10" t="s">
        <v>833</v>
      </c>
      <c r="BF2" s="9" t="s">
        <v>834</v>
      </c>
      <c r="BG2" s="9" t="s">
        <v>835</v>
      </c>
      <c r="BH2" s="10" t="s">
        <v>833</v>
      </c>
      <c r="BI2" s="9" t="s">
        <v>834</v>
      </c>
      <c r="BJ2" s="9" t="s">
        <v>835</v>
      </c>
      <c r="BK2" s="10" t="s">
        <v>833</v>
      </c>
      <c r="BL2" s="9" t="s">
        <v>834</v>
      </c>
      <c r="BM2" s="9" t="s">
        <v>835</v>
      </c>
      <c r="BN2" s="10" t="s">
        <v>833</v>
      </c>
      <c r="BO2" s="10" t="s">
        <v>836</v>
      </c>
      <c r="BP2" s="9" t="s">
        <v>835</v>
      </c>
      <c r="BQ2" s="10" t="s">
        <v>833</v>
      </c>
      <c r="BR2" s="9" t="s">
        <v>834</v>
      </c>
      <c r="BS2" s="9" t="s">
        <v>835</v>
      </c>
      <c r="BT2" s="10" t="s">
        <v>833</v>
      </c>
      <c r="BU2" s="9" t="s">
        <v>834</v>
      </c>
      <c r="BV2" s="9" t="s">
        <v>835</v>
      </c>
      <c r="BW2" s="10" t="s">
        <v>833</v>
      </c>
      <c r="BX2" s="9" t="s">
        <v>834</v>
      </c>
      <c r="BY2" s="9" t="s">
        <v>835</v>
      </c>
      <c r="BZ2" s="10" t="s">
        <v>833</v>
      </c>
      <c r="CA2" s="9" t="s">
        <v>834</v>
      </c>
      <c r="CB2" s="9" t="s">
        <v>835</v>
      </c>
      <c r="CC2" s="10" t="s">
        <v>833</v>
      </c>
      <c r="CD2" s="9" t="s">
        <v>834</v>
      </c>
      <c r="CE2" s="9" t="s">
        <v>835</v>
      </c>
      <c r="CF2" s="10" t="s">
        <v>833</v>
      </c>
      <c r="CG2" s="9" t="s">
        <v>834</v>
      </c>
      <c r="CH2" s="9" t="s">
        <v>835</v>
      </c>
      <c r="CI2" s="10" t="s">
        <v>833</v>
      </c>
      <c r="CJ2" s="9" t="s">
        <v>834</v>
      </c>
      <c r="CK2" s="9" t="s">
        <v>835</v>
      </c>
      <c r="CL2" s="10" t="s">
        <v>833</v>
      </c>
      <c r="CM2" s="9" t="s">
        <v>834</v>
      </c>
      <c r="CN2" s="9" t="s">
        <v>835</v>
      </c>
      <c r="CO2" s="10" t="s">
        <v>833</v>
      </c>
      <c r="CP2" s="9" t="s">
        <v>834</v>
      </c>
      <c r="CQ2" s="9" t="s">
        <v>835</v>
      </c>
      <c r="CR2" s="10" t="s">
        <v>833</v>
      </c>
      <c r="CS2" s="9" t="s">
        <v>834</v>
      </c>
      <c r="CT2" s="9" t="s">
        <v>835</v>
      </c>
      <c r="CU2" s="9" t="s">
        <v>833</v>
      </c>
      <c r="CV2" s="9" t="s">
        <v>834</v>
      </c>
      <c r="CW2" s="9" t="s">
        <v>835</v>
      </c>
    </row>
    <row r="3" spans="1:101" s="18" customFormat="1" ht="15" customHeight="1" x14ac:dyDescent="0.35">
      <c r="A3" s="11" t="s">
        <v>276</v>
      </c>
      <c r="B3" s="11" t="s">
        <v>837</v>
      </c>
      <c r="C3" s="12"/>
      <c r="D3" s="13"/>
      <c r="E3" s="13">
        <v>0</v>
      </c>
      <c r="F3" s="14"/>
      <c r="G3" s="15"/>
      <c r="H3" s="16">
        <f t="shared" ref="H3:H33" si="0">IFERROR(F3*G3, 0)</f>
        <v>0</v>
      </c>
      <c r="I3" s="14"/>
      <c r="J3" s="15"/>
      <c r="K3" s="16">
        <f>IFERROR(I3*J3, 0)</f>
        <v>0</v>
      </c>
      <c r="L3" s="14"/>
      <c r="M3" s="15"/>
      <c r="N3" s="16">
        <f t="shared" ref="N3:N28" si="1">IFERROR(L3*M3, 0)</f>
        <v>0</v>
      </c>
      <c r="O3" s="14"/>
      <c r="P3" s="15"/>
      <c r="Q3" s="16">
        <f t="shared" ref="Q3:Q17" si="2">IFERROR(O3*P3, 0)</f>
        <v>0</v>
      </c>
      <c r="R3" s="14"/>
      <c r="S3" s="15"/>
      <c r="T3" s="16">
        <f t="shared" ref="T3:T9" si="3">IFERROR(R3*S3, 0)</f>
        <v>0</v>
      </c>
      <c r="U3" s="14"/>
      <c r="V3" s="15"/>
      <c r="W3" s="16">
        <f t="shared" ref="W3:W26" si="4">IFERROR(U3*V3, 0)</f>
        <v>0</v>
      </c>
      <c r="X3" s="14">
        <v>3.1760000000000002</v>
      </c>
      <c r="Y3" s="15">
        <v>14500</v>
      </c>
      <c r="Z3" s="16">
        <v>46052</v>
      </c>
      <c r="AA3" s="14">
        <v>3.145</v>
      </c>
      <c r="AB3" s="15">
        <v>14500</v>
      </c>
      <c r="AC3" s="16">
        <v>45603</v>
      </c>
      <c r="AD3" s="14"/>
      <c r="AE3" s="15"/>
      <c r="AF3" s="16">
        <f t="shared" ref="AF3:AF8" si="5">IFERROR(AD3*AE3, 0)</f>
        <v>0</v>
      </c>
      <c r="AG3" s="14"/>
      <c r="AH3" s="15"/>
      <c r="AI3" s="16">
        <f>IFERROR(AG3*AH3, 0)</f>
        <v>0</v>
      </c>
      <c r="AJ3" s="14"/>
      <c r="AK3" s="15"/>
      <c r="AL3" s="16">
        <f>IFERROR(AJ3*AK3, 0)</f>
        <v>0</v>
      </c>
      <c r="AM3" s="14"/>
      <c r="AN3" s="15"/>
      <c r="AO3" s="16">
        <f t="shared" ref="AO3:AO50" si="6">IFERROR(AM3*AN3, 0)</f>
        <v>0</v>
      </c>
      <c r="AP3" s="14"/>
      <c r="AQ3" s="15"/>
      <c r="AR3" s="16">
        <f t="shared" ref="AR3:AR37" si="7">IFERROR(AP3*AQ3, 0)</f>
        <v>0</v>
      </c>
      <c r="AS3" s="14"/>
      <c r="AT3" s="15"/>
      <c r="AU3" s="16">
        <f t="shared" ref="AU3:AU28" si="8">IFERROR(AS3*AT3, 0)</f>
        <v>0</v>
      </c>
      <c r="AV3" s="14"/>
      <c r="AW3" s="15"/>
      <c r="AX3" s="16">
        <f>IFERROR(AV3*AW3, 0)</f>
        <v>0</v>
      </c>
      <c r="AY3" s="14"/>
      <c r="AZ3" s="15"/>
      <c r="BA3" s="16">
        <f t="shared" ref="BA3:BA34" si="9">IFERROR(AY3*AZ3, 0)</f>
        <v>0</v>
      </c>
      <c r="BB3" s="14"/>
      <c r="BC3" s="15"/>
      <c r="BD3" s="16">
        <f>IFERROR(BB3*BC3, 0)</f>
        <v>0</v>
      </c>
      <c r="BE3" s="14"/>
      <c r="BF3" s="15"/>
      <c r="BG3" s="16">
        <f t="shared" ref="BG3:BG21" si="10">IFERROR(BE3*BF3, 0)</f>
        <v>0</v>
      </c>
      <c r="BH3" s="14"/>
      <c r="BI3" s="15"/>
      <c r="BJ3" s="16">
        <f t="shared" ref="BJ3:BJ34" si="11">IFERROR(BH3*BI3, 0)</f>
        <v>0</v>
      </c>
      <c r="BK3" s="14"/>
      <c r="BL3" s="15"/>
      <c r="BM3" s="16">
        <f t="shared" ref="BM3:BM15" si="12">IFERROR(BK3*BL3, 0)</f>
        <v>0</v>
      </c>
      <c r="BN3" s="14"/>
      <c r="BO3" s="15"/>
      <c r="BP3" s="16">
        <f t="shared" ref="BP3:BP22" si="13">IFERROR(BN3*BO3, 0)</f>
        <v>0</v>
      </c>
      <c r="BQ3" s="14"/>
      <c r="BR3" s="15"/>
      <c r="BS3" s="16">
        <f t="shared" ref="BS3:BS26" si="14">IFERROR(BQ3*BR3, 0)</f>
        <v>0</v>
      </c>
      <c r="BT3" s="14"/>
      <c r="BU3" s="15"/>
      <c r="BV3" s="16">
        <f>IFERROR(BT3*BU3, 0)</f>
        <v>0</v>
      </c>
      <c r="BW3" s="14">
        <v>10</v>
      </c>
      <c r="BX3" s="15">
        <v>5000</v>
      </c>
      <c r="BY3" s="16">
        <v>50000</v>
      </c>
      <c r="BZ3" s="14"/>
      <c r="CA3" s="15"/>
      <c r="CB3" s="16">
        <f t="shared" ref="CB3:CB34" si="15">IFERROR(BZ3*CA3, 0)</f>
        <v>0</v>
      </c>
      <c r="CC3" s="14"/>
      <c r="CD3" s="15"/>
      <c r="CE3" s="16">
        <f t="shared" ref="CE3:CE34" si="16">IFERROR(CC3*CD3, 0)</f>
        <v>0</v>
      </c>
      <c r="CF3" s="14"/>
      <c r="CG3" s="15"/>
      <c r="CH3" s="16">
        <f t="shared" ref="CH3:CH34" si="17">IFERROR(CF3*CG3, 0)</f>
        <v>0</v>
      </c>
      <c r="CI3" s="14"/>
      <c r="CJ3" s="15"/>
      <c r="CK3" s="16">
        <f t="shared" ref="CK3:CK36" si="18">IFERROR(CI3*CJ3, 0)</f>
        <v>0</v>
      </c>
      <c r="CL3" s="14"/>
      <c r="CM3" s="15"/>
      <c r="CN3" s="16">
        <f t="shared" ref="CN3:CN34" si="19">IFERROR(CL3*CM3, 0)</f>
        <v>0</v>
      </c>
      <c r="CO3" s="14"/>
      <c r="CP3" s="15"/>
      <c r="CQ3" s="16">
        <f t="shared" ref="CQ3:CQ34" si="20">IFERROR(CO3*CP3, 0)</f>
        <v>0</v>
      </c>
      <c r="CR3" s="14"/>
      <c r="CS3" s="15"/>
      <c r="CT3" s="16">
        <f t="shared" ref="CT3:CT34" si="21">IFERROR(CR3*CS3, 0)</f>
        <v>0</v>
      </c>
      <c r="CU3" s="17">
        <f t="shared" ref="CU3:CU34" si="22">IFERROR(SUM(F3,I3,L3,O3,R3,U3,X3,AA3,AD3,AG3,AJ3,AM3,AP3,AS3,AV3,AY3,BB3,BE3,BH3,BK3,BN3,BQ3,BT3,BW3,BZ3,CC3,CF3,CI3,CL3,CO3,CR3), 0)</f>
        <v>16.320999999999998</v>
      </c>
      <c r="CV3" s="16">
        <f t="shared" ref="CV3:CV34" si="23">IFERROR(AVERAGE(G3,J3,M3,P3,S3,V3,Y3,AB3,AE3,AH3,AK3,AN3,AQ3,AT3,AW3,AZ3,BC3,BF3,BI3,BL3,BO3,BR3,BU3,BX3,CA3,CD3,CG3,CJ3,CM3,CP3,CS3), 0)</f>
        <v>11333.333333333334</v>
      </c>
      <c r="CW3" s="16">
        <f t="shared" ref="CW3:CW34" si="24">CU3*CV3</f>
        <v>184971.33333333331</v>
      </c>
    </row>
    <row r="4" spans="1:101" s="18" customFormat="1" ht="15" customHeight="1" x14ac:dyDescent="0.35">
      <c r="A4" s="11" t="s">
        <v>173</v>
      </c>
      <c r="B4" s="11" t="s">
        <v>837</v>
      </c>
      <c r="C4" s="12"/>
      <c r="D4" s="13"/>
      <c r="E4" s="13">
        <v>0</v>
      </c>
      <c r="F4" s="14"/>
      <c r="G4" s="15"/>
      <c r="H4" s="16">
        <f t="shared" si="0"/>
        <v>0</v>
      </c>
      <c r="I4" s="14">
        <v>20</v>
      </c>
      <c r="J4" s="15">
        <v>16500</v>
      </c>
      <c r="K4" s="16">
        <v>330000</v>
      </c>
      <c r="L4" s="14"/>
      <c r="M4" s="15"/>
      <c r="N4" s="16">
        <f t="shared" si="1"/>
        <v>0</v>
      </c>
      <c r="O4" s="14"/>
      <c r="P4" s="15"/>
      <c r="Q4" s="16">
        <f t="shared" si="2"/>
        <v>0</v>
      </c>
      <c r="R4" s="14"/>
      <c r="S4" s="15"/>
      <c r="T4" s="16">
        <f t="shared" si="3"/>
        <v>0</v>
      </c>
      <c r="U4" s="14"/>
      <c r="V4" s="15"/>
      <c r="W4" s="16">
        <f t="shared" si="4"/>
        <v>0</v>
      </c>
      <c r="X4" s="14"/>
      <c r="Y4" s="15"/>
      <c r="Z4" s="16">
        <f>IFERROR(X4*Y4, 0)</f>
        <v>0</v>
      </c>
      <c r="AA4" s="14">
        <v>21</v>
      </c>
      <c r="AB4" s="15">
        <v>16500</v>
      </c>
      <c r="AC4" s="16">
        <v>759000</v>
      </c>
      <c r="AD4" s="14"/>
      <c r="AE4" s="15"/>
      <c r="AF4" s="16">
        <f t="shared" si="5"/>
        <v>0</v>
      </c>
      <c r="AG4" s="14"/>
      <c r="AH4" s="15"/>
      <c r="AI4" s="16">
        <f>IFERROR(AG4*AH4, 0)</f>
        <v>0</v>
      </c>
      <c r="AJ4" s="14"/>
      <c r="AK4" s="15"/>
      <c r="AL4" s="16">
        <f>IFERROR(AJ4*AK4, 0)</f>
        <v>0</v>
      </c>
      <c r="AM4" s="14"/>
      <c r="AN4" s="15"/>
      <c r="AO4" s="16">
        <f t="shared" si="6"/>
        <v>0</v>
      </c>
      <c r="AP4" s="14"/>
      <c r="AQ4" s="15"/>
      <c r="AR4" s="16">
        <f t="shared" si="7"/>
        <v>0</v>
      </c>
      <c r="AS4" s="14"/>
      <c r="AT4" s="15"/>
      <c r="AU4" s="16">
        <f t="shared" si="8"/>
        <v>0</v>
      </c>
      <c r="AV4" s="14">
        <v>26</v>
      </c>
      <c r="AW4" s="15">
        <v>16500</v>
      </c>
      <c r="AX4" s="16">
        <v>429000</v>
      </c>
      <c r="AY4" s="14"/>
      <c r="AZ4" s="15"/>
      <c r="BA4" s="16">
        <f t="shared" si="9"/>
        <v>0</v>
      </c>
      <c r="BB4" s="14"/>
      <c r="BC4" s="15"/>
      <c r="BD4" s="16">
        <f>IFERROR(BB4*BC4, 0)</f>
        <v>0</v>
      </c>
      <c r="BE4" s="14"/>
      <c r="BF4" s="15"/>
      <c r="BG4" s="16">
        <f t="shared" si="10"/>
        <v>0</v>
      </c>
      <c r="BH4" s="14"/>
      <c r="BI4" s="15"/>
      <c r="BJ4" s="16">
        <f t="shared" si="11"/>
        <v>0</v>
      </c>
      <c r="BK4" s="14"/>
      <c r="BL4" s="15"/>
      <c r="BM4" s="16">
        <f t="shared" si="12"/>
        <v>0</v>
      </c>
      <c r="BN4" s="14"/>
      <c r="BO4" s="15"/>
      <c r="BP4" s="16">
        <f t="shared" si="13"/>
        <v>0</v>
      </c>
      <c r="BQ4" s="14"/>
      <c r="BR4" s="15"/>
      <c r="BS4" s="16">
        <f t="shared" si="14"/>
        <v>0</v>
      </c>
      <c r="BT4" s="14">
        <v>22.12</v>
      </c>
      <c r="BU4" s="15">
        <v>17000</v>
      </c>
      <c r="BV4" s="16">
        <v>376040</v>
      </c>
      <c r="BW4" s="14"/>
      <c r="BX4" s="15"/>
      <c r="BY4" s="16">
        <f t="shared" ref="BY4:BY50" si="25">IFERROR(BW4*BX4, 0)</f>
        <v>0</v>
      </c>
      <c r="BZ4" s="14"/>
      <c r="CA4" s="15"/>
      <c r="CB4" s="16">
        <f t="shared" si="15"/>
        <v>0</v>
      </c>
      <c r="CC4" s="14"/>
      <c r="CD4" s="15"/>
      <c r="CE4" s="16">
        <f t="shared" si="16"/>
        <v>0</v>
      </c>
      <c r="CF4" s="14"/>
      <c r="CG4" s="15"/>
      <c r="CH4" s="16">
        <f t="shared" si="17"/>
        <v>0</v>
      </c>
      <c r="CI4" s="14"/>
      <c r="CJ4" s="15"/>
      <c r="CK4" s="16">
        <f t="shared" si="18"/>
        <v>0</v>
      </c>
      <c r="CL4" s="14"/>
      <c r="CM4" s="15"/>
      <c r="CN4" s="16">
        <f t="shared" si="19"/>
        <v>0</v>
      </c>
      <c r="CO4" s="14"/>
      <c r="CP4" s="15"/>
      <c r="CQ4" s="16">
        <f t="shared" si="20"/>
        <v>0</v>
      </c>
      <c r="CR4" s="14"/>
      <c r="CS4" s="15"/>
      <c r="CT4" s="16">
        <f t="shared" si="21"/>
        <v>0</v>
      </c>
      <c r="CU4" s="17">
        <f t="shared" si="22"/>
        <v>89.12</v>
      </c>
      <c r="CV4" s="16">
        <f t="shared" si="23"/>
        <v>16625</v>
      </c>
      <c r="CW4" s="16">
        <f t="shared" si="24"/>
        <v>1481620</v>
      </c>
    </row>
    <row r="5" spans="1:101" s="18" customFormat="1" ht="15.75" customHeight="1" x14ac:dyDescent="0.35">
      <c r="A5" s="11" t="s">
        <v>352</v>
      </c>
      <c r="B5" s="11" t="s">
        <v>837</v>
      </c>
      <c r="C5" s="12"/>
      <c r="D5" s="13"/>
      <c r="E5" s="13">
        <v>0</v>
      </c>
      <c r="F5" s="14"/>
      <c r="G5" s="15"/>
      <c r="H5" s="16">
        <f t="shared" si="0"/>
        <v>0</v>
      </c>
      <c r="I5" s="14"/>
      <c r="J5" s="15"/>
      <c r="K5" s="16">
        <f t="shared" ref="K5:K11" si="26">IFERROR(I5*J5, 0)</f>
        <v>0</v>
      </c>
      <c r="L5" s="14"/>
      <c r="M5" s="15"/>
      <c r="N5" s="16">
        <f t="shared" si="1"/>
        <v>0</v>
      </c>
      <c r="O5" s="14"/>
      <c r="P5" s="15"/>
      <c r="Q5" s="16">
        <f t="shared" si="2"/>
        <v>0</v>
      </c>
      <c r="R5" s="14"/>
      <c r="S5" s="15"/>
      <c r="T5" s="16">
        <f t="shared" si="3"/>
        <v>0</v>
      </c>
      <c r="U5" s="14"/>
      <c r="V5" s="15"/>
      <c r="W5" s="16">
        <f t="shared" si="4"/>
        <v>0</v>
      </c>
      <c r="X5" s="14">
        <v>19.55</v>
      </c>
      <c r="Y5" s="15">
        <v>26900</v>
      </c>
      <c r="Z5" s="16">
        <v>525895</v>
      </c>
      <c r="AA5" s="14"/>
      <c r="AB5" s="15"/>
      <c r="AC5" s="16">
        <f t="shared" ref="AC5:AC48" si="27">IFERROR(AA5*AB5, 0)</f>
        <v>0</v>
      </c>
      <c r="AD5" s="14"/>
      <c r="AE5" s="15"/>
      <c r="AF5" s="16">
        <f t="shared" si="5"/>
        <v>0</v>
      </c>
      <c r="AG5" s="14">
        <v>27.1</v>
      </c>
      <c r="AH5" s="15">
        <v>26900</v>
      </c>
      <c r="AI5" s="16">
        <v>728990</v>
      </c>
      <c r="AJ5" s="14"/>
      <c r="AK5" s="15"/>
      <c r="AL5" s="16">
        <f>IFERROR(AJ5*AK5, 0)</f>
        <v>0</v>
      </c>
      <c r="AM5" s="14"/>
      <c r="AN5" s="15"/>
      <c r="AO5" s="16">
        <f t="shared" si="6"/>
        <v>0</v>
      </c>
      <c r="AP5" s="14"/>
      <c r="AQ5" s="15"/>
      <c r="AR5" s="16">
        <f t="shared" si="7"/>
        <v>0</v>
      </c>
      <c r="AS5" s="14"/>
      <c r="AT5" s="15"/>
      <c r="AU5" s="16">
        <f t="shared" si="8"/>
        <v>0</v>
      </c>
      <c r="AV5" s="14">
        <v>23.2</v>
      </c>
      <c r="AW5" s="15">
        <v>26900</v>
      </c>
      <c r="AX5" s="16">
        <v>624080</v>
      </c>
      <c r="AY5" s="14"/>
      <c r="AZ5" s="15"/>
      <c r="BA5" s="16">
        <f t="shared" si="9"/>
        <v>0</v>
      </c>
      <c r="BB5" s="14">
        <v>24.2</v>
      </c>
      <c r="BC5" s="15">
        <v>26900</v>
      </c>
      <c r="BD5" s="16">
        <v>650980</v>
      </c>
      <c r="BE5" s="14"/>
      <c r="BF5" s="15"/>
      <c r="BG5" s="16">
        <f t="shared" si="10"/>
        <v>0</v>
      </c>
      <c r="BH5" s="14"/>
      <c r="BI5" s="15"/>
      <c r="BJ5" s="16">
        <f t="shared" si="11"/>
        <v>0</v>
      </c>
      <c r="BK5" s="14"/>
      <c r="BL5" s="15"/>
      <c r="BM5" s="16">
        <f t="shared" si="12"/>
        <v>0</v>
      </c>
      <c r="BN5" s="14"/>
      <c r="BO5" s="15"/>
      <c r="BP5" s="16">
        <f t="shared" si="13"/>
        <v>0</v>
      </c>
      <c r="BQ5" s="14"/>
      <c r="BR5" s="15"/>
      <c r="BS5" s="16">
        <f t="shared" si="14"/>
        <v>0</v>
      </c>
      <c r="BT5" s="14">
        <v>21.5</v>
      </c>
      <c r="BU5" s="15">
        <v>26900</v>
      </c>
      <c r="BV5" s="16">
        <v>578350</v>
      </c>
      <c r="BW5" s="14"/>
      <c r="BX5" s="15"/>
      <c r="BY5" s="16">
        <f t="shared" si="25"/>
        <v>0</v>
      </c>
      <c r="BZ5" s="14"/>
      <c r="CA5" s="15"/>
      <c r="CB5" s="16">
        <f t="shared" si="15"/>
        <v>0</v>
      </c>
      <c r="CC5" s="14"/>
      <c r="CD5" s="15"/>
      <c r="CE5" s="16">
        <f t="shared" si="16"/>
        <v>0</v>
      </c>
      <c r="CF5" s="14"/>
      <c r="CG5" s="15"/>
      <c r="CH5" s="16">
        <f t="shared" si="17"/>
        <v>0</v>
      </c>
      <c r="CI5" s="14"/>
      <c r="CJ5" s="15"/>
      <c r="CK5" s="16">
        <f t="shared" si="18"/>
        <v>0</v>
      </c>
      <c r="CL5" s="14"/>
      <c r="CM5" s="15"/>
      <c r="CN5" s="16">
        <f t="shared" si="19"/>
        <v>0</v>
      </c>
      <c r="CO5" s="14"/>
      <c r="CP5" s="15"/>
      <c r="CQ5" s="16">
        <f t="shared" si="20"/>
        <v>0</v>
      </c>
      <c r="CR5" s="14"/>
      <c r="CS5" s="15"/>
      <c r="CT5" s="16">
        <f t="shared" si="21"/>
        <v>0</v>
      </c>
      <c r="CU5" s="17">
        <f t="shared" si="22"/>
        <v>115.55000000000001</v>
      </c>
      <c r="CV5" s="16">
        <f t="shared" si="23"/>
        <v>26900</v>
      </c>
      <c r="CW5" s="16">
        <f t="shared" si="24"/>
        <v>3108295.0000000005</v>
      </c>
    </row>
    <row r="6" spans="1:101" s="18" customFormat="1" ht="15" customHeight="1" x14ac:dyDescent="0.35">
      <c r="A6" s="11" t="s">
        <v>451</v>
      </c>
      <c r="B6" s="11" t="s">
        <v>837</v>
      </c>
      <c r="C6" s="12"/>
      <c r="D6" s="13"/>
      <c r="E6" s="13">
        <v>0</v>
      </c>
      <c r="F6" s="14"/>
      <c r="G6" s="15"/>
      <c r="H6" s="16">
        <f t="shared" si="0"/>
        <v>0</v>
      </c>
      <c r="I6" s="14"/>
      <c r="J6" s="15"/>
      <c r="K6" s="16">
        <f t="shared" si="26"/>
        <v>0</v>
      </c>
      <c r="L6" s="14"/>
      <c r="M6" s="15"/>
      <c r="N6" s="16">
        <f t="shared" si="1"/>
        <v>0</v>
      </c>
      <c r="O6" s="14"/>
      <c r="P6" s="15"/>
      <c r="Q6" s="16">
        <f t="shared" si="2"/>
        <v>0</v>
      </c>
      <c r="R6" s="14"/>
      <c r="S6" s="15"/>
      <c r="T6" s="16">
        <f t="shared" si="3"/>
        <v>0</v>
      </c>
      <c r="U6" s="14"/>
      <c r="V6" s="15"/>
      <c r="W6" s="16">
        <f t="shared" si="4"/>
        <v>0</v>
      </c>
      <c r="X6" s="14"/>
      <c r="Y6" s="15"/>
      <c r="Z6" s="16">
        <f t="shared" ref="Z6:Z21" si="28">IFERROR(X6*Y6, 0)</f>
        <v>0</v>
      </c>
      <c r="AA6" s="14"/>
      <c r="AB6" s="15"/>
      <c r="AC6" s="16">
        <f t="shared" si="27"/>
        <v>0</v>
      </c>
      <c r="AD6" s="14"/>
      <c r="AE6" s="15"/>
      <c r="AF6" s="16">
        <f t="shared" si="5"/>
        <v>0</v>
      </c>
      <c r="AG6" s="14"/>
      <c r="AH6" s="15"/>
      <c r="AI6" s="16">
        <f t="shared" ref="AI6:AI11" si="29">IFERROR(AG6*AH6, 0)</f>
        <v>0</v>
      </c>
      <c r="AJ6" s="14">
        <v>8.07</v>
      </c>
      <c r="AK6" s="15">
        <v>34000</v>
      </c>
      <c r="AL6" s="16">
        <v>274380</v>
      </c>
      <c r="AM6" s="14"/>
      <c r="AN6" s="15"/>
      <c r="AO6" s="16">
        <f t="shared" si="6"/>
        <v>0</v>
      </c>
      <c r="AP6" s="14"/>
      <c r="AQ6" s="15"/>
      <c r="AR6" s="16">
        <f t="shared" si="7"/>
        <v>0</v>
      </c>
      <c r="AS6" s="14"/>
      <c r="AT6" s="15"/>
      <c r="AU6" s="16">
        <f t="shared" si="8"/>
        <v>0</v>
      </c>
      <c r="AV6" s="14"/>
      <c r="AW6" s="15"/>
      <c r="AX6" s="16">
        <f>IFERROR(AV6*AW6, 0)</f>
        <v>0</v>
      </c>
      <c r="AY6" s="14"/>
      <c r="AZ6" s="15"/>
      <c r="BA6" s="16">
        <f t="shared" si="9"/>
        <v>0</v>
      </c>
      <c r="BB6" s="14"/>
      <c r="BC6" s="15"/>
      <c r="BD6" s="16">
        <f t="shared" ref="BD6:BD11" si="30">IFERROR(BB6*BC6, 0)</f>
        <v>0</v>
      </c>
      <c r="BE6" s="14"/>
      <c r="BF6" s="15"/>
      <c r="BG6" s="16">
        <f t="shared" si="10"/>
        <v>0</v>
      </c>
      <c r="BH6" s="14"/>
      <c r="BI6" s="15"/>
      <c r="BJ6" s="16">
        <f t="shared" si="11"/>
        <v>0</v>
      </c>
      <c r="BK6" s="14"/>
      <c r="BL6" s="15"/>
      <c r="BM6" s="16">
        <f t="shared" si="12"/>
        <v>0</v>
      </c>
      <c r="BN6" s="14"/>
      <c r="BO6" s="15"/>
      <c r="BP6" s="16">
        <f t="shared" si="13"/>
        <v>0</v>
      </c>
      <c r="BQ6" s="14"/>
      <c r="BR6" s="15"/>
      <c r="BS6" s="16">
        <f t="shared" si="14"/>
        <v>0</v>
      </c>
      <c r="BT6" s="14"/>
      <c r="BU6" s="15"/>
      <c r="BV6" s="16">
        <f t="shared" ref="BV6:BV16" si="31">IFERROR(BT6*BU6, 0)</f>
        <v>0</v>
      </c>
      <c r="BW6" s="14"/>
      <c r="BX6" s="15"/>
      <c r="BY6" s="16">
        <f t="shared" si="25"/>
        <v>0</v>
      </c>
      <c r="BZ6" s="14"/>
      <c r="CA6" s="15"/>
      <c r="CB6" s="16">
        <f t="shared" si="15"/>
        <v>0</v>
      </c>
      <c r="CC6" s="14"/>
      <c r="CD6" s="15"/>
      <c r="CE6" s="16">
        <f t="shared" si="16"/>
        <v>0</v>
      </c>
      <c r="CF6" s="14"/>
      <c r="CG6" s="15"/>
      <c r="CH6" s="16">
        <f t="shared" si="17"/>
        <v>0</v>
      </c>
      <c r="CI6" s="14"/>
      <c r="CJ6" s="15"/>
      <c r="CK6" s="16">
        <f t="shared" si="18"/>
        <v>0</v>
      </c>
      <c r="CL6" s="14"/>
      <c r="CM6" s="15"/>
      <c r="CN6" s="16">
        <f t="shared" si="19"/>
        <v>0</v>
      </c>
      <c r="CO6" s="14"/>
      <c r="CP6" s="15"/>
      <c r="CQ6" s="16">
        <f t="shared" si="20"/>
        <v>0</v>
      </c>
      <c r="CR6" s="14"/>
      <c r="CS6" s="15"/>
      <c r="CT6" s="16">
        <f t="shared" si="21"/>
        <v>0</v>
      </c>
      <c r="CU6" s="17">
        <f t="shared" si="22"/>
        <v>8.07</v>
      </c>
      <c r="CV6" s="16">
        <f t="shared" si="23"/>
        <v>34000</v>
      </c>
      <c r="CW6" s="16">
        <f t="shared" si="24"/>
        <v>274380</v>
      </c>
    </row>
    <row r="7" spans="1:101" s="18" customFormat="1" ht="15" customHeight="1" x14ac:dyDescent="0.35">
      <c r="A7" s="11" t="s">
        <v>838</v>
      </c>
      <c r="B7" s="11" t="s">
        <v>837</v>
      </c>
      <c r="C7" s="12"/>
      <c r="D7" s="13"/>
      <c r="E7" s="13">
        <v>0</v>
      </c>
      <c r="F7" s="14"/>
      <c r="G7" s="15"/>
      <c r="H7" s="16">
        <f t="shared" si="0"/>
        <v>0</v>
      </c>
      <c r="I7" s="14"/>
      <c r="J7" s="15"/>
      <c r="K7" s="16">
        <f t="shared" si="26"/>
        <v>0</v>
      </c>
      <c r="L7" s="14"/>
      <c r="M7" s="15"/>
      <c r="N7" s="16">
        <f t="shared" si="1"/>
        <v>0</v>
      </c>
      <c r="O7" s="14"/>
      <c r="P7" s="15"/>
      <c r="Q7" s="16">
        <f t="shared" si="2"/>
        <v>0</v>
      </c>
      <c r="R7" s="14"/>
      <c r="S7" s="15"/>
      <c r="T7" s="16">
        <f t="shared" si="3"/>
        <v>0</v>
      </c>
      <c r="U7" s="14"/>
      <c r="V7" s="15"/>
      <c r="W7" s="16">
        <f t="shared" si="4"/>
        <v>0</v>
      </c>
      <c r="X7" s="14"/>
      <c r="Y7" s="15"/>
      <c r="Z7" s="16">
        <f t="shared" si="28"/>
        <v>0</v>
      </c>
      <c r="AA7" s="14"/>
      <c r="AB7" s="15"/>
      <c r="AC7" s="16">
        <f t="shared" si="27"/>
        <v>0</v>
      </c>
      <c r="AD7" s="14"/>
      <c r="AE7" s="15"/>
      <c r="AF7" s="16">
        <f t="shared" si="5"/>
        <v>0</v>
      </c>
      <c r="AG7" s="14"/>
      <c r="AH7" s="15"/>
      <c r="AI7" s="16">
        <f t="shared" si="29"/>
        <v>0</v>
      </c>
      <c r="AJ7" s="14"/>
      <c r="AK7" s="15"/>
      <c r="AL7" s="16">
        <f t="shared" ref="AL7:AL15" si="32">IFERROR(AJ7*AK7, 0)</f>
        <v>0</v>
      </c>
      <c r="AM7" s="14"/>
      <c r="AN7" s="15"/>
      <c r="AO7" s="16">
        <f t="shared" si="6"/>
        <v>0</v>
      </c>
      <c r="AP7" s="14"/>
      <c r="AQ7" s="15"/>
      <c r="AR7" s="16">
        <f t="shared" si="7"/>
        <v>0</v>
      </c>
      <c r="AS7" s="14"/>
      <c r="AT7" s="15"/>
      <c r="AU7" s="16">
        <f t="shared" si="8"/>
        <v>0</v>
      </c>
      <c r="AV7" s="14"/>
      <c r="AW7" s="15"/>
      <c r="AX7" s="16">
        <f>IFERROR(AV7*AW7, 0)</f>
        <v>0</v>
      </c>
      <c r="AY7" s="14"/>
      <c r="AZ7" s="15"/>
      <c r="BA7" s="16">
        <f t="shared" si="9"/>
        <v>0</v>
      </c>
      <c r="BB7" s="14"/>
      <c r="BC7" s="15"/>
      <c r="BD7" s="16">
        <f t="shared" si="30"/>
        <v>0</v>
      </c>
      <c r="BE7" s="14"/>
      <c r="BF7" s="15"/>
      <c r="BG7" s="16">
        <f t="shared" si="10"/>
        <v>0</v>
      </c>
      <c r="BH7" s="14"/>
      <c r="BI7" s="15"/>
      <c r="BJ7" s="16">
        <f t="shared" si="11"/>
        <v>0</v>
      </c>
      <c r="BK7" s="14"/>
      <c r="BL7" s="15"/>
      <c r="BM7" s="16">
        <f t="shared" si="12"/>
        <v>0</v>
      </c>
      <c r="BN7" s="14"/>
      <c r="BO7" s="15"/>
      <c r="BP7" s="16">
        <f t="shared" si="13"/>
        <v>0</v>
      </c>
      <c r="BQ7" s="14"/>
      <c r="BR7" s="15"/>
      <c r="BS7" s="16">
        <f t="shared" si="14"/>
        <v>0</v>
      </c>
      <c r="BT7" s="14"/>
      <c r="BU7" s="15"/>
      <c r="BV7" s="16">
        <f t="shared" si="31"/>
        <v>0</v>
      </c>
      <c r="BW7" s="14"/>
      <c r="BX7" s="15"/>
      <c r="BY7" s="16">
        <f t="shared" si="25"/>
        <v>0</v>
      </c>
      <c r="BZ7" s="14"/>
      <c r="CA7" s="15"/>
      <c r="CB7" s="16">
        <f t="shared" si="15"/>
        <v>0</v>
      </c>
      <c r="CC7" s="14"/>
      <c r="CD7" s="15"/>
      <c r="CE7" s="16">
        <f t="shared" si="16"/>
        <v>0</v>
      </c>
      <c r="CF7" s="14"/>
      <c r="CG7" s="15"/>
      <c r="CH7" s="16">
        <f t="shared" si="17"/>
        <v>0</v>
      </c>
      <c r="CI7" s="14"/>
      <c r="CJ7" s="15"/>
      <c r="CK7" s="16">
        <f t="shared" si="18"/>
        <v>0</v>
      </c>
      <c r="CL7" s="14"/>
      <c r="CM7" s="15"/>
      <c r="CN7" s="16">
        <f t="shared" si="19"/>
        <v>0</v>
      </c>
      <c r="CO7" s="14"/>
      <c r="CP7" s="15"/>
      <c r="CQ7" s="16">
        <f t="shared" si="20"/>
        <v>0</v>
      </c>
      <c r="CR7" s="14"/>
      <c r="CS7" s="15"/>
      <c r="CT7" s="16">
        <f t="shared" si="21"/>
        <v>0</v>
      </c>
      <c r="CU7" s="17">
        <f t="shared" si="22"/>
        <v>0</v>
      </c>
      <c r="CV7" s="16">
        <f t="shared" si="23"/>
        <v>0</v>
      </c>
      <c r="CW7" s="16">
        <f t="shared" si="24"/>
        <v>0</v>
      </c>
    </row>
    <row r="8" spans="1:101" s="18" customFormat="1" ht="15.75" customHeight="1" x14ac:dyDescent="0.35">
      <c r="A8" s="11" t="s">
        <v>839</v>
      </c>
      <c r="B8" s="11" t="s">
        <v>837</v>
      </c>
      <c r="C8" s="12"/>
      <c r="D8" s="13"/>
      <c r="E8" s="13">
        <v>0</v>
      </c>
      <c r="F8" s="14"/>
      <c r="G8" s="15"/>
      <c r="H8" s="16">
        <f t="shared" si="0"/>
        <v>0</v>
      </c>
      <c r="I8" s="14"/>
      <c r="J8" s="15"/>
      <c r="K8" s="16">
        <f t="shared" si="26"/>
        <v>0</v>
      </c>
      <c r="L8" s="14"/>
      <c r="M8" s="15"/>
      <c r="N8" s="16">
        <f t="shared" si="1"/>
        <v>0</v>
      </c>
      <c r="O8" s="14"/>
      <c r="P8" s="15"/>
      <c r="Q8" s="16">
        <f t="shared" si="2"/>
        <v>0</v>
      </c>
      <c r="R8" s="14"/>
      <c r="S8" s="15"/>
      <c r="T8" s="16">
        <f t="shared" si="3"/>
        <v>0</v>
      </c>
      <c r="U8" s="14"/>
      <c r="V8" s="15"/>
      <c r="W8" s="16">
        <f t="shared" si="4"/>
        <v>0</v>
      </c>
      <c r="X8" s="14"/>
      <c r="Y8" s="15"/>
      <c r="Z8" s="16">
        <f t="shared" si="28"/>
        <v>0</v>
      </c>
      <c r="AA8" s="14"/>
      <c r="AB8" s="15"/>
      <c r="AC8" s="16">
        <f t="shared" si="27"/>
        <v>0</v>
      </c>
      <c r="AD8" s="14"/>
      <c r="AE8" s="15"/>
      <c r="AF8" s="16">
        <f t="shared" si="5"/>
        <v>0</v>
      </c>
      <c r="AG8" s="14"/>
      <c r="AH8" s="15"/>
      <c r="AI8" s="16">
        <f t="shared" si="29"/>
        <v>0</v>
      </c>
      <c r="AJ8" s="14"/>
      <c r="AK8" s="15"/>
      <c r="AL8" s="16">
        <f t="shared" si="32"/>
        <v>0</v>
      </c>
      <c r="AM8" s="14"/>
      <c r="AN8" s="15"/>
      <c r="AO8" s="16">
        <f t="shared" si="6"/>
        <v>0</v>
      </c>
      <c r="AP8" s="14"/>
      <c r="AQ8" s="15"/>
      <c r="AR8" s="16">
        <f t="shared" si="7"/>
        <v>0</v>
      </c>
      <c r="AS8" s="14"/>
      <c r="AT8" s="15"/>
      <c r="AU8" s="16">
        <f t="shared" si="8"/>
        <v>0</v>
      </c>
      <c r="AV8" s="14"/>
      <c r="AW8" s="15"/>
      <c r="AX8" s="16">
        <f>IFERROR(AV8*AW8, 0)</f>
        <v>0</v>
      </c>
      <c r="AY8" s="14"/>
      <c r="AZ8" s="15"/>
      <c r="BA8" s="16">
        <f t="shared" si="9"/>
        <v>0</v>
      </c>
      <c r="BB8" s="14"/>
      <c r="BC8" s="15"/>
      <c r="BD8" s="16">
        <f t="shared" si="30"/>
        <v>0</v>
      </c>
      <c r="BE8" s="14"/>
      <c r="BF8" s="15"/>
      <c r="BG8" s="16">
        <f t="shared" si="10"/>
        <v>0</v>
      </c>
      <c r="BH8" s="14"/>
      <c r="BI8" s="15"/>
      <c r="BJ8" s="16">
        <f t="shared" si="11"/>
        <v>0</v>
      </c>
      <c r="BK8" s="14"/>
      <c r="BL8" s="15"/>
      <c r="BM8" s="16">
        <f t="shared" si="12"/>
        <v>0</v>
      </c>
      <c r="BN8" s="14"/>
      <c r="BO8" s="15"/>
      <c r="BP8" s="16">
        <f t="shared" si="13"/>
        <v>0</v>
      </c>
      <c r="BQ8" s="14"/>
      <c r="BR8" s="15"/>
      <c r="BS8" s="16">
        <f t="shared" si="14"/>
        <v>0</v>
      </c>
      <c r="BT8" s="14"/>
      <c r="BU8" s="15"/>
      <c r="BV8" s="16">
        <f t="shared" si="31"/>
        <v>0</v>
      </c>
      <c r="BW8" s="14"/>
      <c r="BX8" s="15"/>
      <c r="BY8" s="16">
        <f t="shared" si="25"/>
        <v>0</v>
      </c>
      <c r="BZ8" s="14"/>
      <c r="CA8" s="15"/>
      <c r="CB8" s="16">
        <f t="shared" si="15"/>
        <v>0</v>
      </c>
      <c r="CC8" s="14"/>
      <c r="CD8" s="15"/>
      <c r="CE8" s="16">
        <f t="shared" si="16"/>
        <v>0</v>
      </c>
      <c r="CF8" s="14"/>
      <c r="CG8" s="15"/>
      <c r="CH8" s="16">
        <f t="shared" si="17"/>
        <v>0</v>
      </c>
      <c r="CI8" s="14"/>
      <c r="CJ8" s="15"/>
      <c r="CK8" s="16">
        <f t="shared" si="18"/>
        <v>0</v>
      </c>
      <c r="CL8" s="14"/>
      <c r="CM8" s="15"/>
      <c r="CN8" s="16">
        <f t="shared" si="19"/>
        <v>0</v>
      </c>
      <c r="CO8" s="14"/>
      <c r="CP8" s="15"/>
      <c r="CQ8" s="16">
        <f t="shared" si="20"/>
        <v>0</v>
      </c>
      <c r="CR8" s="14"/>
      <c r="CS8" s="15"/>
      <c r="CT8" s="16">
        <f t="shared" si="21"/>
        <v>0</v>
      </c>
      <c r="CU8" s="17">
        <f t="shared" si="22"/>
        <v>0</v>
      </c>
      <c r="CV8" s="16">
        <f t="shared" si="23"/>
        <v>0</v>
      </c>
      <c r="CW8" s="16">
        <f t="shared" si="24"/>
        <v>0</v>
      </c>
    </row>
    <row r="9" spans="1:101" s="18" customFormat="1" ht="15" customHeight="1" x14ac:dyDescent="0.35">
      <c r="A9" s="11" t="s">
        <v>390</v>
      </c>
      <c r="B9" s="11" t="s">
        <v>837</v>
      </c>
      <c r="C9" s="12"/>
      <c r="D9" s="13"/>
      <c r="E9" s="13">
        <v>0</v>
      </c>
      <c r="F9" s="14"/>
      <c r="G9" s="15"/>
      <c r="H9" s="16">
        <f t="shared" si="0"/>
        <v>0</v>
      </c>
      <c r="I9" s="14"/>
      <c r="J9" s="15"/>
      <c r="K9" s="16">
        <f t="shared" si="26"/>
        <v>0</v>
      </c>
      <c r="L9" s="14"/>
      <c r="M9" s="15"/>
      <c r="N9" s="16">
        <f t="shared" si="1"/>
        <v>0</v>
      </c>
      <c r="O9" s="14"/>
      <c r="P9" s="15"/>
      <c r="Q9" s="16">
        <f t="shared" si="2"/>
        <v>0</v>
      </c>
      <c r="R9" s="14"/>
      <c r="S9" s="15"/>
      <c r="T9" s="16">
        <f t="shared" si="3"/>
        <v>0</v>
      </c>
      <c r="U9" s="14"/>
      <c r="V9" s="15"/>
      <c r="W9" s="16">
        <f t="shared" si="4"/>
        <v>0</v>
      </c>
      <c r="X9" s="14"/>
      <c r="Y9" s="15"/>
      <c r="Z9" s="16">
        <f t="shared" si="28"/>
        <v>0</v>
      </c>
      <c r="AA9" s="14"/>
      <c r="AB9" s="15"/>
      <c r="AC9" s="16">
        <f t="shared" si="27"/>
        <v>0</v>
      </c>
      <c r="AD9" s="14">
        <v>6.04</v>
      </c>
      <c r="AE9" s="15">
        <v>34000</v>
      </c>
      <c r="AF9" s="16">
        <v>205360</v>
      </c>
      <c r="AG9" s="14"/>
      <c r="AH9" s="15"/>
      <c r="AI9" s="16">
        <f t="shared" si="29"/>
        <v>0</v>
      </c>
      <c r="AJ9" s="14"/>
      <c r="AK9" s="15"/>
      <c r="AL9" s="16">
        <f t="shared" si="32"/>
        <v>0</v>
      </c>
      <c r="AM9" s="14"/>
      <c r="AN9" s="15"/>
      <c r="AO9" s="16">
        <f t="shared" si="6"/>
        <v>0</v>
      </c>
      <c r="AP9" s="14"/>
      <c r="AQ9" s="15"/>
      <c r="AR9" s="16">
        <f t="shared" si="7"/>
        <v>0</v>
      </c>
      <c r="AS9" s="14"/>
      <c r="AT9" s="15"/>
      <c r="AU9" s="16">
        <f t="shared" si="8"/>
        <v>0</v>
      </c>
      <c r="AV9" s="14">
        <v>10.1</v>
      </c>
      <c r="AW9" s="15">
        <v>33000</v>
      </c>
      <c r="AX9" s="16">
        <v>333300</v>
      </c>
      <c r="AY9" s="14"/>
      <c r="AZ9" s="15"/>
      <c r="BA9" s="16">
        <f t="shared" si="9"/>
        <v>0</v>
      </c>
      <c r="BB9" s="14"/>
      <c r="BC9" s="15"/>
      <c r="BD9" s="16">
        <f t="shared" si="30"/>
        <v>0</v>
      </c>
      <c r="BE9" s="14"/>
      <c r="BF9" s="15"/>
      <c r="BG9" s="16">
        <f t="shared" si="10"/>
        <v>0</v>
      </c>
      <c r="BH9" s="14"/>
      <c r="BI9" s="15"/>
      <c r="BJ9" s="16">
        <f t="shared" si="11"/>
        <v>0</v>
      </c>
      <c r="BK9" s="14"/>
      <c r="BL9" s="15"/>
      <c r="BM9" s="16">
        <f t="shared" si="12"/>
        <v>0</v>
      </c>
      <c r="BN9" s="14"/>
      <c r="BO9" s="15"/>
      <c r="BP9" s="16">
        <f t="shared" si="13"/>
        <v>0</v>
      </c>
      <c r="BQ9" s="14"/>
      <c r="BR9" s="15"/>
      <c r="BS9" s="16">
        <f t="shared" si="14"/>
        <v>0</v>
      </c>
      <c r="BT9" s="14"/>
      <c r="BU9" s="15"/>
      <c r="BV9" s="16">
        <f t="shared" si="31"/>
        <v>0</v>
      </c>
      <c r="BW9" s="14"/>
      <c r="BX9" s="15"/>
      <c r="BY9" s="16">
        <f t="shared" si="25"/>
        <v>0</v>
      </c>
      <c r="BZ9" s="14"/>
      <c r="CA9" s="15"/>
      <c r="CB9" s="16">
        <f t="shared" si="15"/>
        <v>0</v>
      </c>
      <c r="CC9" s="14"/>
      <c r="CD9" s="15"/>
      <c r="CE9" s="16">
        <f t="shared" si="16"/>
        <v>0</v>
      </c>
      <c r="CF9" s="14"/>
      <c r="CG9" s="15"/>
      <c r="CH9" s="16">
        <f t="shared" si="17"/>
        <v>0</v>
      </c>
      <c r="CI9" s="14"/>
      <c r="CJ9" s="15"/>
      <c r="CK9" s="16">
        <f t="shared" si="18"/>
        <v>0</v>
      </c>
      <c r="CL9" s="14"/>
      <c r="CM9" s="15"/>
      <c r="CN9" s="16">
        <f t="shared" si="19"/>
        <v>0</v>
      </c>
      <c r="CO9" s="14"/>
      <c r="CP9" s="15"/>
      <c r="CQ9" s="16">
        <f t="shared" si="20"/>
        <v>0</v>
      </c>
      <c r="CR9" s="14"/>
      <c r="CS9" s="15"/>
      <c r="CT9" s="16">
        <f t="shared" si="21"/>
        <v>0</v>
      </c>
      <c r="CU9" s="17">
        <f t="shared" si="22"/>
        <v>16.14</v>
      </c>
      <c r="CV9" s="16">
        <f t="shared" si="23"/>
        <v>33500</v>
      </c>
      <c r="CW9" s="16">
        <f t="shared" si="24"/>
        <v>540690</v>
      </c>
    </row>
    <row r="10" spans="1:101" s="18" customFormat="1" ht="15.75" customHeight="1" x14ac:dyDescent="0.35">
      <c r="A10" s="11" t="s">
        <v>254</v>
      </c>
      <c r="B10" s="11" t="s">
        <v>837</v>
      </c>
      <c r="C10" s="12"/>
      <c r="D10" s="13"/>
      <c r="E10" s="13">
        <v>0</v>
      </c>
      <c r="F10" s="14"/>
      <c r="G10" s="15"/>
      <c r="H10" s="16">
        <f t="shared" si="0"/>
        <v>0</v>
      </c>
      <c r="I10" s="14"/>
      <c r="J10" s="15"/>
      <c r="K10" s="16">
        <f t="shared" si="26"/>
        <v>0</v>
      </c>
      <c r="L10" s="14"/>
      <c r="M10" s="15"/>
      <c r="N10" s="16">
        <f t="shared" si="1"/>
        <v>0</v>
      </c>
      <c r="O10" s="14"/>
      <c r="P10" s="15"/>
      <c r="Q10" s="16">
        <f t="shared" si="2"/>
        <v>0</v>
      </c>
      <c r="R10" s="14">
        <v>7.65</v>
      </c>
      <c r="S10" s="15">
        <v>18000</v>
      </c>
      <c r="T10" s="16">
        <v>137700</v>
      </c>
      <c r="U10" s="14"/>
      <c r="V10" s="15"/>
      <c r="W10" s="16">
        <f t="shared" si="4"/>
        <v>0</v>
      </c>
      <c r="X10" s="14"/>
      <c r="Y10" s="15"/>
      <c r="Z10" s="16">
        <f t="shared" si="28"/>
        <v>0</v>
      </c>
      <c r="AA10" s="14"/>
      <c r="AB10" s="15"/>
      <c r="AC10" s="16">
        <f t="shared" si="27"/>
        <v>0</v>
      </c>
      <c r="AD10" s="14"/>
      <c r="AE10" s="15"/>
      <c r="AF10" s="16">
        <f t="shared" ref="AF10:AF38" si="33">IFERROR(AD10*AE10, 0)</f>
        <v>0</v>
      </c>
      <c r="AG10" s="14"/>
      <c r="AH10" s="15"/>
      <c r="AI10" s="16">
        <f t="shared" si="29"/>
        <v>0</v>
      </c>
      <c r="AJ10" s="14"/>
      <c r="AK10" s="15"/>
      <c r="AL10" s="16">
        <f t="shared" si="32"/>
        <v>0</v>
      </c>
      <c r="AM10" s="14"/>
      <c r="AN10" s="15"/>
      <c r="AO10" s="16">
        <f t="shared" si="6"/>
        <v>0</v>
      </c>
      <c r="AP10" s="14"/>
      <c r="AQ10" s="15"/>
      <c r="AR10" s="16">
        <f t="shared" si="7"/>
        <v>0</v>
      </c>
      <c r="AS10" s="14"/>
      <c r="AT10" s="15"/>
      <c r="AU10" s="16">
        <f t="shared" si="8"/>
        <v>0</v>
      </c>
      <c r="AV10" s="14"/>
      <c r="AW10" s="15"/>
      <c r="AX10" s="16">
        <f t="shared" ref="AX10:AX17" si="34">IFERROR(AV10*AW10, 0)</f>
        <v>0</v>
      </c>
      <c r="AY10" s="14"/>
      <c r="AZ10" s="15"/>
      <c r="BA10" s="16">
        <f t="shared" si="9"/>
        <v>0</v>
      </c>
      <c r="BB10" s="14"/>
      <c r="BC10" s="15"/>
      <c r="BD10" s="16">
        <f t="shared" si="30"/>
        <v>0</v>
      </c>
      <c r="BE10" s="14"/>
      <c r="BF10" s="15"/>
      <c r="BG10" s="16">
        <f t="shared" si="10"/>
        <v>0</v>
      </c>
      <c r="BH10" s="14"/>
      <c r="BI10" s="15"/>
      <c r="BJ10" s="16">
        <f t="shared" si="11"/>
        <v>0</v>
      </c>
      <c r="BK10" s="14"/>
      <c r="BL10" s="15"/>
      <c r="BM10" s="16">
        <f t="shared" si="12"/>
        <v>0</v>
      </c>
      <c r="BN10" s="14"/>
      <c r="BO10" s="15"/>
      <c r="BP10" s="16">
        <f t="shared" si="13"/>
        <v>0</v>
      </c>
      <c r="BQ10" s="14"/>
      <c r="BR10" s="15"/>
      <c r="BS10" s="16">
        <f t="shared" si="14"/>
        <v>0</v>
      </c>
      <c r="BT10" s="14"/>
      <c r="BU10" s="15"/>
      <c r="BV10" s="16">
        <f t="shared" si="31"/>
        <v>0</v>
      </c>
      <c r="BW10" s="14"/>
      <c r="BX10" s="15"/>
      <c r="BY10" s="16">
        <f t="shared" si="25"/>
        <v>0</v>
      </c>
      <c r="BZ10" s="14"/>
      <c r="CA10" s="15"/>
      <c r="CB10" s="16">
        <f t="shared" si="15"/>
        <v>0</v>
      </c>
      <c r="CC10" s="14"/>
      <c r="CD10" s="15"/>
      <c r="CE10" s="16">
        <f t="shared" si="16"/>
        <v>0</v>
      </c>
      <c r="CF10" s="14"/>
      <c r="CG10" s="15"/>
      <c r="CH10" s="16">
        <f t="shared" si="17"/>
        <v>0</v>
      </c>
      <c r="CI10" s="14"/>
      <c r="CJ10" s="15"/>
      <c r="CK10" s="16">
        <f t="shared" si="18"/>
        <v>0</v>
      </c>
      <c r="CL10" s="14"/>
      <c r="CM10" s="15"/>
      <c r="CN10" s="16">
        <f t="shared" si="19"/>
        <v>0</v>
      </c>
      <c r="CO10" s="14"/>
      <c r="CP10" s="15"/>
      <c r="CQ10" s="16">
        <f t="shared" si="20"/>
        <v>0</v>
      </c>
      <c r="CR10" s="14"/>
      <c r="CS10" s="15"/>
      <c r="CT10" s="16">
        <f t="shared" si="21"/>
        <v>0</v>
      </c>
      <c r="CU10" s="17">
        <f t="shared" si="22"/>
        <v>7.65</v>
      </c>
      <c r="CV10" s="16">
        <f t="shared" si="23"/>
        <v>18000</v>
      </c>
      <c r="CW10" s="16">
        <f t="shared" si="24"/>
        <v>137700</v>
      </c>
    </row>
    <row r="11" spans="1:101" s="18" customFormat="1" ht="15.75" customHeight="1" x14ac:dyDescent="0.35">
      <c r="A11" s="11" t="s">
        <v>840</v>
      </c>
      <c r="B11" s="11" t="s">
        <v>837</v>
      </c>
      <c r="C11" s="12"/>
      <c r="D11" s="13"/>
      <c r="E11" s="13">
        <v>0</v>
      </c>
      <c r="F11" s="14"/>
      <c r="G11" s="15"/>
      <c r="H11" s="16">
        <f t="shared" si="0"/>
        <v>0</v>
      </c>
      <c r="I11" s="14"/>
      <c r="J11" s="15"/>
      <c r="K11" s="16">
        <f t="shared" si="26"/>
        <v>0</v>
      </c>
      <c r="L11" s="14"/>
      <c r="M11" s="15"/>
      <c r="N11" s="16">
        <f t="shared" si="1"/>
        <v>0</v>
      </c>
      <c r="O11" s="14"/>
      <c r="P11" s="15"/>
      <c r="Q11" s="16">
        <f t="shared" si="2"/>
        <v>0</v>
      </c>
      <c r="R11" s="14"/>
      <c r="S11" s="15"/>
      <c r="T11" s="16">
        <f t="shared" ref="T11:T19" si="35">IFERROR(R11*S11, 0)</f>
        <v>0</v>
      </c>
      <c r="U11" s="14"/>
      <c r="V11" s="15"/>
      <c r="W11" s="16">
        <f t="shared" si="4"/>
        <v>0</v>
      </c>
      <c r="X11" s="14"/>
      <c r="Y11" s="15"/>
      <c r="Z11" s="16">
        <f t="shared" si="28"/>
        <v>0</v>
      </c>
      <c r="AA11" s="14"/>
      <c r="AB11" s="15"/>
      <c r="AC11" s="16">
        <f t="shared" si="27"/>
        <v>0</v>
      </c>
      <c r="AD11" s="14"/>
      <c r="AE11" s="15"/>
      <c r="AF11" s="16">
        <f t="shared" si="33"/>
        <v>0</v>
      </c>
      <c r="AG11" s="14"/>
      <c r="AH11" s="15"/>
      <c r="AI11" s="16">
        <f t="shared" si="29"/>
        <v>0</v>
      </c>
      <c r="AJ11" s="14"/>
      <c r="AK11" s="15"/>
      <c r="AL11" s="16">
        <f t="shared" si="32"/>
        <v>0</v>
      </c>
      <c r="AM11" s="14"/>
      <c r="AN11" s="15"/>
      <c r="AO11" s="16">
        <f t="shared" si="6"/>
        <v>0</v>
      </c>
      <c r="AP11" s="14"/>
      <c r="AQ11" s="15"/>
      <c r="AR11" s="16">
        <f t="shared" si="7"/>
        <v>0</v>
      </c>
      <c r="AS11" s="14"/>
      <c r="AT11" s="15"/>
      <c r="AU11" s="16">
        <f t="shared" si="8"/>
        <v>0</v>
      </c>
      <c r="AV11" s="14"/>
      <c r="AW11" s="15"/>
      <c r="AX11" s="16">
        <f t="shared" si="34"/>
        <v>0</v>
      </c>
      <c r="AY11" s="14"/>
      <c r="AZ11" s="15"/>
      <c r="BA11" s="16">
        <f t="shared" si="9"/>
        <v>0</v>
      </c>
      <c r="BB11" s="14"/>
      <c r="BC11" s="15"/>
      <c r="BD11" s="16">
        <f t="shared" si="30"/>
        <v>0</v>
      </c>
      <c r="BE11" s="14"/>
      <c r="BF11" s="15"/>
      <c r="BG11" s="16">
        <f t="shared" si="10"/>
        <v>0</v>
      </c>
      <c r="BH11" s="14"/>
      <c r="BI11" s="15"/>
      <c r="BJ11" s="16">
        <f t="shared" si="11"/>
        <v>0</v>
      </c>
      <c r="BK11" s="14"/>
      <c r="BL11" s="15"/>
      <c r="BM11" s="16">
        <f t="shared" si="12"/>
        <v>0</v>
      </c>
      <c r="BN11" s="14"/>
      <c r="BO11" s="15"/>
      <c r="BP11" s="16">
        <f t="shared" si="13"/>
        <v>0</v>
      </c>
      <c r="BQ11" s="14"/>
      <c r="BR11" s="15"/>
      <c r="BS11" s="16">
        <f t="shared" si="14"/>
        <v>0</v>
      </c>
      <c r="BT11" s="14"/>
      <c r="BU11" s="15"/>
      <c r="BV11" s="16">
        <f t="shared" si="31"/>
        <v>0</v>
      </c>
      <c r="BW11" s="14"/>
      <c r="BX11" s="15"/>
      <c r="BY11" s="16">
        <f t="shared" si="25"/>
        <v>0</v>
      </c>
      <c r="BZ11" s="14"/>
      <c r="CA11" s="15"/>
      <c r="CB11" s="16">
        <f t="shared" si="15"/>
        <v>0</v>
      </c>
      <c r="CC11" s="14"/>
      <c r="CD11" s="15"/>
      <c r="CE11" s="16">
        <f t="shared" si="16"/>
        <v>0</v>
      </c>
      <c r="CF11" s="14"/>
      <c r="CG11" s="15"/>
      <c r="CH11" s="16">
        <f t="shared" si="17"/>
        <v>0</v>
      </c>
      <c r="CI11" s="14"/>
      <c r="CJ11" s="15"/>
      <c r="CK11" s="16">
        <f t="shared" si="18"/>
        <v>0</v>
      </c>
      <c r="CL11" s="14"/>
      <c r="CM11" s="15"/>
      <c r="CN11" s="16">
        <f t="shared" si="19"/>
        <v>0</v>
      </c>
      <c r="CO11" s="14"/>
      <c r="CP11" s="15"/>
      <c r="CQ11" s="16">
        <f t="shared" si="20"/>
        <v>0</v>
      </c>
      <c r="CR11" s="14"/>
      <c r="CS11" s="15"/>
      <c r="CT11" s="16">
        <f t="shared" si="21"/>
        <v>0</v>
      </c>
      <c r="CU11" s="17">
        <f t="shared" si="22"/>
        <v>0</v>
      </c>
      <c r="CV11" s="16">
        <f t="shared" si="23"/>
        <v>0</v>
      </c>
      <c r="CW11" s="16">
        <f t="shared" si="24"/>
        <v>0</v>
      </c>
    </row>
    <row r="12" spans="1:101" s="18" customFormat="1" ht="15" customHeight="1" x14ac:dyDescent="0.35">
      <c r="A12" s="11" t="s">
        <v>162</v>
      </c>
      <c r="B12" s="11" t="s">
        <v>837</v>
      </c>
      <c r="C12" s="12"/>
      <c r="D12" s="13"/>
      <c r="E12" s="13">
        <v>0</v>
      </c>
      <c r="F12" s="14"/>
      <c r="G12" s="15"/>
      <c r="H12" s="16">
        <f t="shared" si="0"/>
        <v>0</v>
      </c>
      <c r="I12" s="14">
        <v>30.7</v>
      </c>
      <c r="J12" s="15">
        <v>22900</v>
      </c>
      <c r="K12" s="16">
        <v>703030</v>
      </c>
      <c r="L12" s="14"/>
      <c r="M12" s="15"/>
      <c r="N12" s="16">
        <f t="shared" si="1"/>
        <v>0</v>
      </c>
      <c r="O12" s="14"/>
      <c r="P12" s="15"/>
      <c r="Q12" s="16">
        <f t="shared" si="2"/>
        <v>0</v>
      </c>
      <c r="R12" s="14"/>
      <c r="S12" s="15"/>
      <c r="T12" s="16">
        <f t="shared" si="35"/>
        <v>0</v>
      </c>
      <c r="U12" s="14"/>
      <c r="V12" s="15"/>
      <c r="W12" s="16">
        <f t="shared" si="4"/>
        <v>0</v>
      </c>
      <c r="X12" s="14"/>
      <c r="Y12" s="15"/>
      <c r="Z12" s="16">
        <f t="shared" si="28"/>
        <v>0</v>
      </c>
      <c r="AA12" s="14"/>
      <c r="AB12" s="15"/>
      <c r="AC12" s="16">
        <f t="shared" si="27"/>
        <v>0</v>
      </c>
      <c r="AD12" s="14"/>
      <c r="AE12" s="15"/>
      <c r="AF12" s="16">
        <f t="shared" si="33"/>
        <v>0</v>
      </c>
      <c r="AG12" s="14">
        <v>20.2</v>
      </c>
      <c r="AH12" s="15">
        <v>22900</v>
      </c>
      <c r="AI12" s="16">
        <v>462580</v>
      </c>
      <c r="AJ12" s="14"/>
      <c r="AK12" s="15"/>
      <c r="AL12" s="16">
        <f t="shared" si="32"/>
        <v>0</v>
      </c>
      <c r="AM12" s="14"/>
      <c r="AN12" s="15"/>
      <c r="AO12" s="16">
        <f t="shared" si="6"/>
        <v>0</v>
      </c>
      <c r="AP12" s="14"/>
      <c r="AQ12" s="15"/>
      <c r="AR12" s="16">
        <f t="shared" si="7"/>
        <v>0</v>
      </c>
      <c r="AS12" s="14"/>
      <c r="AT12" s="15"/>
      <c r="AU12" s="16">
        <f t="shared" si="8"/>
        <v>0</v>
      </c>
      <c r="AV12" s="14"/>
      <c r="AW12" s="15"/>
      <c r="AX12" s="16">
        <f t="shared" si="34"/>
        <v>0</v>
      </c>
      <c r="AY12" s="14"/>
      <c r="AZ12" s="15"/>
      <c r="BA12" s="16">
        <f t="shared" si="9"/>
        <v>0</v>
      </c>
      <c r="BB12" s="14">
        <v>20.2</v>
      </c>
      <c r="BC12" s="15">
        <v>22900</v>
      </c>
      <c r="BD12" s="16">
        <v>462580</v>
      </c>
      <c r="BE12" s="14"/>
      <c r="BF12" s="15"/>
      <c r="BG12" s="16">
        <f t="shared" si="10"/>
        <v>0</v>
      </c>
      <c r="BH12" s="14"/>
      <c r="BI12" s="15"/>
      <c r="BJ12" s="16">
        <f t="shared" si="11"/>
        <v>0</v>
      </c>
      <c r="BK12" s="14"/>
      <c r="BL12" s="15"/>
      <c r="BM12" s="16">
        <f t="shared" si="12"/>
        <v>0</v>
      </c>
      <c r="BN12" s="14"/>
      <c r="BO12" s="15"/>
      <c r="BP12" s="16">
        <f t="shared" si="13"/>
        <v>0</v>
      </c>
      <c r="BQ12" s="14"/>
      <c r="BR12" s="15"/>
      <c r="BS12" s="16">
        <f t="shared" si="14"/>
        <v>0</v>
      </c>
      <c r="BT12" s="14"/>
      <c r="BU12" s="15"/>
      <c r="BV12" s="16">
        <f t="shared" si="31"/>
        <v>0</v>
      </c>
      <c r="BW12" s="14"/>
      <c r="BX12" s="15"/>
      <c r="BY12" s="16">
        <f t="shared" si="25"/>
        <v>0</v>
      </c>
      <c r="BZ12" s="14"/>
      <c r="CA12" s="15"/>
      <c r="CB12" s="16">
        <f t="shared" si="15"/>
        <v>0</v>
      </c>
      <c r="CC12" s="14"/>
      <c r="CD12" s="15"/>
      <c r="CE12" s="16">
        <f t="shared" si="16"/>
        <v>0</v>
      </c>
      <c r="CF12" s="14"/>
      <c r="CG12" s="15"/>
      <c r="CH12" s="16">
        <f t="shared" si="17"/>
        <v>0</v>
      </c>
      <c r="CI12" s="14"/>
      <c r="CJ12" s="15"/>
      <c r="CK12" s="16">
        <f t="shared" si="18"/>
        <v>0</v>
      </c>
      <c r="CL12" s="14"/>
      <c r="CM12" s="15"/>
      <c r="CN12" s="16">
        <f t="shared" si="19"/>
        <v>0</v>
      </c>
      <c r="CO12" s="14"/>
      <c r="CP12" s="15"/>
      <c r="CQ12" s="16">
        <f t="shared" si="20"/>
        <v>0</v>
      </c>
      <c r="CR12" s="14"/>
      <c r="CS12" s="15"/>
      <c r="CT12" s="16">
        <f t="shared" si="21"/>
        <v>0</v>
      </c>
      <c r="CU12" s="17">
        <f t="shared" si="22"/>
        <v>71.099999999999994</v>
      </c>
      <c r="CV12" s="16">
        <f t="shared" si="23"/>
        <v>22900</v>
      </c>
      <c r="CW12" s="16">
        <f t="shared" si="24"/>
        <v>1628189.9999999998</v>
      </c>
    </row>
    <row r="13" spans="1:101" s="18" customFormat="1" ht="15.75" customHeight="1" x14ac:dyDescent="0.35">
      <c r="A13" s="11" t="s">
        <v>805</v>
      </c>
      <c r="B13" s="11" t="s">
        <v>837</v>
      </c>
      <c r="C13" s="12"/>
      <c r="D13" s="13"/>
      <c r="E13" s="13">
        <v>0</v>
      </c>
      <c r="F13" s="14"/>
      <c r="G13" s="15"/>
      <c r="H13" s="16">
        <f t="shared" si="0"/>
        <v>0</v>
      </c>
      <c r="I13" s="14"/>
      <c r="J13" s="15"/>
      <c r="K13" s="16">
        <f t="shared" ref="K13:K39" si="36">IFERROR(I13*J13, 0)</f>
        <v>0</v>
      </c>
      <c r="L13" s="14"/>
      <c r="M13" s="15"/>
      <c r="N13" s="16">
        <f t="shared" si="1"/>
        <v>0</v>
      </c>
      <c r="O13" s="14"/>
      <c r="P13" s="15"/>
      <c r="Q13" s="16">
        <f t="shared" si="2"/>
        <v>0</v>
      </c>
      <c r="R13" s="14"/>
      <c r="S13" s="15"/>
      <c r="T13" s="16">
        <f t="shared" si="35"/>
        <v>0</v>
      </c>
      <c r="U13" s="14"/>
      <c r="V13" s="15"/>
      <c r="W13" s="16">
        <f t="shared" si="4"/>
        <v>0</v>
      </c>
      <c r="X13" s="14"/>
      <c r="Y13" s="15"/>
      <c r="Z13" s="16">
        <f t="shared" si="28"/>
        <v>0</v>
      </c>
      <c r="AA13" s="14"/>
      <c r="AB13" s="15"/>
      <c r="AC13" s="16">
        <f t="shared" si="27"/>
        <v>0</v>
      </c>
      <c r="AD13" s="14"/>
      <c r="AE13" s="15"/>
      <c r="AF13" s="16">
        <f t="shared" si="33"/>
        <v>0</v>
      </c>
      <c r="AG13" s="14"/>
      <c r="AH13" s="15"/>
      <c r="AI13" s="16">
        <f>IFERROR(AG13*AH13, 0)</f>
        <v>0</v>
      </c>
      <c r="AJ13" s="14"/>
      <c r="AK13" s="15"/>
      <c r="AL13" s="16">
        <f t="shared" si="32"/>
        <v>0</v>
      </c>
      <c r="AM13" s="14"/>
      <c r="AN13" s="15"/>
      <c r="AO13" s="16">
        <f t="shared" si="6"/>
        <v>0</v>
      </c>
      <c r="AP13" s="14"/>
      <c r="AQ13" s="15"/>
      <c r="AR13" s="16">
        <f t="shared" si="7"/>
        <v>0</v>
      </c>
      <c r="AS13" s="14"/>
      <c r="AT13" s="15"/>
      <c r="AU13" s="16">
        <f t="shared" si="8"/>
        <v>0</v>
      </c>
      <c r="AV13" s="14"/>
      <c r="AW13" s="15"/>
      <c r="AX13" s="16">
        <f t="shared" si="34"/>
        <v>0</v>
      </c>
      <c r="AY13" s="14"/>
      <c r="AZ13" s="15"/>
      <c r="BA13" s="16">
        <f t="shared" si="9"/>
        <v>0</v>
      </c>
      <c r="BB13" s="14"/>
      <c r="BC13" s="15"/>
      <c r="BD13" s="16">
        <f t="shared" ref="BD13:BD34" si="37">IFERROR(BB13*BC13, 0)</f>
        <v>0</v>
      </c>
      <c r="BE13" s="14"/>
      <c r="BF13" s="15"/>
      <c r="BG13" s="16">
        <f t="shared" si="10"/>
        <v>0</v>
      </c>
      <c r="BH13" s="14"/>
      <c r="BI13" s="15"/>
      <c r="BJ13" s="16">
        <f t="shared" si="11"/>
        <v>0</v>
      </c>
      <c r="BK13" s="14"/>
      <c r="BL13" s="15"/>
      <c r="BM13" s="16">
        <f t="shared" si="12"/>
        <v>0</v>
      </c>
      <c r="BN13" s="14"/>
      <c r="BO13" s="15"/>
      <c r="BP13" s="16">
        <f t="shared" si="13"/>
        <v>0</v>
      </c>
      <c r="BQ13" s="14"/>
      <c r="BR13" s="15"/>
      <c r="BS13" s="16">
        <f t="shared" si="14"/>
        <v>0</v>
      </c>
      <c r="BT13" s="14"/>
      <c r="BU13" s="15"/>
      <c r="BV13" s="16">
        <f t="shared" si="31"/>
        <v>0</v>
      </c>
      <c r="BW13" s="14"/>
      <c r="BX13" s="15"/>
      <c r="BY13" s="16">
        <f t="shared" si="25"/>
        <v>0</v>
      </c>
      <c r="BZ13" s="14"/>
      <c r="CA13" s="15"/>
      <c r="CB13" s="16">
        <f t="shared" si="15"/>
        <v>0</v>
      </c>
      <c r="CC13" s="14"/>
      <c r="CD13" s="15"/>
      <c r="CE13" s="16">
        <f t="shared" si="16"/>
        <v>0</v>
      </c>
      <c r="CF13" s="14"/>
      <c r="CG13" s="15"/>
      <c r="CH13" s="16">
        <f t="shared" si="17"/>
        <v>0</v>
      </c>
      <c r="CI13" s="14"/>
      <c r="CJ13" s="15"/>
      <c r="CK13" s="16">
        <f t="shared" si="18"/>
        <v>0</v>
      </c>
      <c r="CL13" s="14"/>
      <c r="CM13" s="15"/>
      <c r="CN13" s="16">
        <f t="shared" si="19"/>
        <v>0</v>
      </c>
      <c r="CO13" s="14"/>
      <c r="CP13" s="15"/>
      <c r="CQ13" s="16">
        <f t="shared" si="20"/>
        <v>0</v>
      </c>
      <c r="CR13" s="14"/>
      <c r="CS13" s="15"/>
      <c r="CT13" s="16">
        <f t="shared" si="21"/>
        <v>0</v>
      </c>
      <c r="CU13" s="17">
        <f t="shared" si="22"/>
        <v>0</v>
      </c>
      <c r="CV13" s="16">
        <f t="shared" si="23"/>
        <v>0</v>
      </c>
      <c r="CW13" s="16">
        <f t="shared" si="24"/>
        <v>0</v>
      </c>
    </row>
    <row r="14" spans="1:101" s="18" customFormat="1" ht="15" customHeight="1" x14ac:dyDescent="0.35">
      <c r="A14" s="11" t="s">
        <v>841</v>
      </c>
      <c r="B14" s="11" t="s">
        <v>837</v>
      </c>
      <c r="C14" s="12"/>
      <c r="D14" s="13"/>
      <c r="E14" s="13">
        <v>0</v>
      </c>
      <c r="F14" s="14"/>
      <c r="G14" s="15"/>
      <c r="H14" s="16">
        <f t="shared" si="0"/>
        <v>0</v>
      </c>
      <c r="I14" s="14"/>
      <c r="J14" s="15"/>
      <c r="K14" s="16">
        <f t="shared" si="36"/>
        <v>0</v>
      </c>
      <c r="L14" s="14"/>
      <c r="M14" s="15"/>
      <c r="N14" s="16">
        <f t="shared" si="1"/>
        <v>0</v>
      </c>
      <c r="O14" s="14"/>
      <c r="P14" s="15"/>
      <c r="Q14" s="16">
        <f t="shared" si="2"/>
        <v>0</v>
      </c>
      <c r="R14" s="14"/>
      <c r="S14" s="15"/>
      <c r="T14" s="16">
        <f t="shared" si="35"/>
        <v>0</v>
      </c>
      <c r="U14" s="14"/>
      <c r="V14" s="15"/>
      <c r="W14" s="16">
        <f t="shared" si="4"/>
        <v>0</v>
      </c>
      <c r="X14" s="14"/>
      <c r="Y14" s="15"/>
      <c r="Z14" s="16">
        <f t="shared" si="28"/>
        <v>0</v>
      </c>
      <c r="AA14" s="14"/>
      <c r="AB14" s="15"/>
      <c r="AC14" s="16">
        <f t="shared" si="27"/>
        <v>0</v>
      </c>
      <c r="AD14" s="14"/>
      <c r="AE14" s="15"/>
      <c r="AF14" s="16">
        <f t="shared" si="33"/>
        <v>0</v>
      </c>
      <c r="AG14" s="14"/>
      <c r="AH14" s="15"/>
      <c r="AI14" s="16">
        <f>IFERROR(AG14*AH14, 0)</f>
        <v>0</v>
      </c>
      <c r="AJ14" s="14"/>
      <c r="AK14" s="15"/>
      <c r="AL14" s="16">
        <f t="shared" si="32"/>
        <v>0</v>
      </c>
      <c r="AM14" s="14"/>
      <c r="AN14" s="15"/>
      <c r="AO14" s="16">
        <f t="shared" si="6"/>
        <v>0</v>
      </c>
      <c r="AP14" s="14"/>
      <c r="AQ14" s="15"/>
      <c r="AR14" s="16">
        <f t="shared" si="7"/>
        <v>0</v>
      </c>
      <c r="AS14" s="14"/>
      <c r="AT14" s="15"/>
      <c r="AU14" s="16">
        <f t="shared" si="8"/>
        <v>0</v>
      </c>
      <c r="AV14" s="14"/>
      <c r="AW14" s="15"/>
      <c r="AX14" s="16">
        <f t="shared" si="34"/>
        <v>0</v>
      </c>
      <c r="AY14" s="14"/>
      <c r="AZ14" s="15"/>
      <c r="BA14" s="16">
        <f t="shared" si="9"/>
        <v>0</v>
      </c>
      <c r="BB14" s="14"/>
      <c r="BC14" s="15"/>
      <c r="BD14" s="16">
        <f t="shared" si="37"/>
        <v>0</v>
      </c>
      <c r="BE14" s="14"/>
      <c r="BF14" s="15"/>
      <c r="BG14" s="16">
        <f t="shared" si="10"/>
        <v>0</v>
      </c>
      <c r="BH14" s="14"/>
      <c r="BI14" s="15"/>
      <c r="BJ14" s="16">
        <f t="shared" si="11"/>
        <v>0</v>
      </c>
      <c r="BK14" s="14"/>
      <c r="BL14" s="15"/>
      <c r="BM14" s="16">
        <f t="shared" si="12"/>
        <v>0</v>
      </c>
      <c r="BN14" s="14"/>
      <c r="BO14" s="15"/>
      <c r="BP14" s="16">
        <f t="shared" si="13"/>
        <v>0</v>
      </c>
      <c r="BQ14" s="14"/>
      <c r="BR14" s="15"/>
      <c r="BS14" s="16">
        <f t="shared" si="14"/>
        <v>0</v>
      </c>
      <c r="BT14" s="14"/>
      <c r="BU14" s="15"/>
      <c r="BV14" s="16">
        <f t="shared" si="31"/>
        <v>0</v>
      </c>
      <c r="BW14" s="14"/>
      <c r="BX14" s="15"/>
      <c r="BY14" s="16">
        <f t="shared" si="25"/>
        <v>0</v>
      </c>
      <c r="BZ14" s="14"/>
      <c r="CA14" s="15"/>
      <c r="CB14" s="16">
        <f t="shared" si="15"/>
        <v>0</v>
      </c>
      <c r="CC14" s="14"/>
      <c r="CD14" s="15"/>
      <c r="CE14" s="16">
        <f t="shared" si="16"/>
        <v>0</v>
      </c>
      <c r="CF14" s="14"/>
      <c r="CG14" s="15"/>
      <c r="CH14" s="16">
        <f t="shared" si="17"/>
        <v>0</v>
      </c>
      <c r="CI14" s="14"/>
      <c r="CJ14" s="15"/>
      <c r="CK14" s="16">
        <f t="shared" si="18"/>
        <v>0</v>
      </c>
      <c r="CL14" s="14"/>
      <c r="CM14" s="15"/>
      <c r="CN14" s="16">
        <f t="shared" si="19"/>
        <v>0</v>
      </c>
      <c r="CO14" s="14"/>
      <c r="CP14" s="15"/>
      <c r="CQ14" s="16">
        <f t="shared" si="20"/>
        <v>0</v>
      </c>
      <c r="CR14" s="14"/>
      <c r="CS14" s="15"/>
      <c r="CT14" s="16">
        <f t="shared" si="21"/>
        <v>0</v>
      </c>
      <c r="CU14" s="17">
        <f t="shared" si="22"/>
        <v>0</v>
      </c>
      <c r="CV14" s="16">
        <f t="shared" si="23"/>
        <v>0</v>
      </c>
      <c r="CW14" s="16">
        <f t="shared" si="24"/>
        <v>0</v>
      </c>
    </row>
    <row r="15" spans="1:101" s="18" customFormat="1" ht="15" customHeight="1" x14ac:dyDescent="0.35">
      <c r="A15" s="11" t="s">
        <v>842</v>
      </c>
      <c r="B15" s="11" t="s">
        <v>837</v>
      </c>
      <c r="C15" s="12"/>
      <c r="D15" s="13"/>
      <c r="E15" s="13">
        <v>0</v>
      </c>
      <c r="F15" s="14"/>
      <c r="G15" s="15"/>
      <c r="H15" s="16">
        <f t="shared" si="0"/>
        <v>0</v>
      </c>
      <c r="I15" s="14"/>
      <c r="J15" s="15"/>
      <c r="K15" s="16">
        <f t="shared" si="36"/>
        <v>0</v>
      </c>
      <c r="L15" s="14"/>
      <c r="M15" s="15"/>
      <c r="N15" s="16">
        <f t="shared" si="1"/>
        <v>0</v>
      </c>
      <c r="O15" s="14"/>
      <c r="P15" s="15"/>
      <c r="Q15" s="16">
        <f t="shared" si="2"/>
        <v>0</v>
      </c>
      <c r="R15" s="14"/>
      <c r="S15" s="15"/>
      <c r="T15" s="16">
        <f t="shared" si="35"/>
        <v>0</v>
      </c>
      <c r="U15" s="14"/>
      <c r="V15" s="15"/>
      <c r="W15" s="16">
        <f t="shared" si="4"/>
        <v>0</v>
      </c>
      <c r="X15" s="14"/>
      <c r="Y15" s="15"/>
      <c r="Z15" s="16">
        <f t="shared" si="28"/>
        <v>0</v>
      </c>
      <c r="AA15" s="14"/>
      <c r="AB15" s="15"/>
      <c r="AC15" s="16">
        <f t="shared" si="27"/>
        <v>0</v>
      </c>
      <c r="AD15" s="14"/>
      <c r="AE15" s="15"/>
      <c r="AF15" s="16">
        <f t="shared" si="33"/>
        <v>0</v>
      </c>
      <c r="AG15" s="14"/>
      <c r="AH15" s="15"/>
      <c r="AI15" s="16">
        <f>IFERROR(AG15*AH15, 0)</f>
        <v>0</v>
      </c>
      <c r="AJ15" s="14"/>
      <c r="AK15" s="15"/>
      <c r="AL15" s="16">
        <f t="shared" si="32"/>
        <v>0</v>
      </c>
      <c r="AM15" s="14"/>
      <c r="AN15" s="15"/>
      <c r="AO15" s="16">
        <f t="shared" si="6"/>
        <v>0</v>
      </c>
      <c r="AP15" s="14"/>
      <c r="AQ15" s="15"/>
      <c r="AR15" s="16">
        <f t="shared" si="7"/>
        <v>0</v>
      </c>
      <c r="AS15" s="14"/>
      <c r="AT15" s="15"/>
      <c r="AU15" s="16">
        <f t="shared" si="8"/>
        <v>0</v>
      </c>
      <c r="AV15" s="14"/>
      <c r="AW15" s="15"/>
      <c r="AX15" s="16">
        <f t="shared" si="34"/>
        <v>0</v>
      </c>
      <c r="AY15" s="14"/>
      <c r="AZ15" s="15"/>
      <c r="BA15" s="16">
        <f t="shared" si="9"/>
        <v>0</v>
      </c>
      <c r="BB15" s="14"/>
      <c r="BC15" s="15"/>
      <c r="BD15" s="16">
        <f t="shared" si="37"/>
        <v>0</v>
      </c>
      <c r="BE15" s="14"/>
      <c r="BF15" s="15"/>
      <c r="BG15" s="16">
        <f t="shared" si="10"/>
        <v>0</v>
      </c>
      <c r="BH15" s="14"/>
      <c r="BI15" s="15"/>
      <c r="BJ15" s="16">
        <f t="shared" si="11"/>
        <v>0</v>
      </c>
      <c r="BK15" s="14"/>
      <c r="BL15" s="15"/>
      <c r="BM15" s="16">
        <f t="shared" si="12"/>
        <v>0</v>
      </c>
      <c r="BN15" s="14"/>
      <c r="BO15" s="15"/>
      <c r="BP15" s="16">
        <f t="shared" si="13"/>
        <v>0</v>
      </c>
      <c r="BQ15" s="14"/>
      <c r="BR15" s="15"/>
      <c r="BS15" s="16">
        <f t="shared" si="14"/>
        <v>0</v>
      </c>
      <c r="BT15" s="14"/>
      <c r="BU15" s="15"/>
      <c r="BV15" s="16">
        <f t="shared" si="31"/>
        <v>0</v>
      </c>
      <c r="BW15" s="14"/>
      <c r="BX15" s="15"/>
      <c r="BY15" s="16">
        <f t="shared" si="25"/>
        <v>0</v>
      </c>
      <c r="BZ15" s="14"/>
      <c r="CA15" s="15"/>
      <c r="CB15" s="16">
        <f t="shared" si="15"/>
        <v>0</v>
      </c>
      <c r="CC15" s="14"/>
      <c r="CD15" s="15"/>
      <c r="CE15" s="16">
        <f t="shared" si="16"/>
        <v>0</v>
      </c>
      <c r="CF15" s="14"/>
      <c r="CG15" s="15"/>
      <c r="CH15" s="16">
        <f t="shared" si="17"/>
        <v>0</v>
      </c>
      <c r="CI15" s="14"/>
      <c r="CJ15" s="15"/>
      <c r="CK15" s="16">
        <f t="shared" si="18"/>
        <v>0</v>
      </c>
      <c r="CL15" s="14"/>
      <c r="CM15" s="15"/>
      <c r="CN15" s="16">
        <f t="shared" si="19"/>
        <v>0</v>
      </c>
      <c r="CO15" s="14"/>
      <c r="CP15" s="15"/>
      <c r="CQ15" s="16">
        <f t="shared" si="20"/>
        <v>0</v>
      </c>
      <c r="CR15" s="14"/>
      <c r="CS15" s="15"/>
      <c r="CT15" s="16">
        <f t="shared" si="21"/>
        <v>0</v>
      </c>
      <c r="CU15" s="17">
        <f t="shared" si="22"/>
        <v>0</v>
      </c>
      <c r="CV15" s="16">
        <f t="shared" si="23"/>
        <v>0</v>
      </c>
      <c r="CW15" s="16">
        <f t="shared" si="24"/>
        <v>0</v>
      </c>
    </row>
    <row r="16" spans="1:101" s="18" customFormat="1" ht="15" customHeight="1" x14ac:dyDescent="0.35">
      <c r="A16" s="11" t="s">
        <v>449</v>
      </c>
      <c r="B16" s="11" t="s">
        <v>837</v>
      </c>
      <c r="C16" s="12"/>
      <c r="D16" s="13"/>
      <c r="E16" s="13">
        <v>0</v>
      </c>
      <c r="F16" s="14"/>
      <c r="G16" s="15"/>
      <c r="H16" s="16">
        <f t="shared" si="0"/>
        <v>0</v>
      </c>
      <c r="I16" s="14"/>
      <c r="J16" s="15"/>
      <c r="K16" s="16">
        <f t="shared" si="36"/>
        <v>0</v>
      </c>
      <c r="L16" s="14"/>
      <c r="M16" s="15"/>
      <c r="N16" s="16">
        <f t="shared" si="1"/>
        <v>0</v>
      </c>
      <c r="O16" s="14"/>
      <c r="P16" s="15"/>
      <c r="Q16" s="16">
        <f t="shared" si="2"/>
        <v>0</v>
      </c>
      <c r="R16" s="14"/>
      <c r="S16" s="15"/>
      <c r="T16" s="16">
        <f t="shared" si="35"/>
        <v>0</v>
      </c>
      <c r="U16" s="14"/>
      <c r="V16" s="15"/>
      <c r="W16" s="16">
        <f t="shared" si="4"/>
        <v>0</v>
      </c>
      <c r="X16" s="14"/>
      <c r="Y16" s="15"/>
      <c r="Z16" s="16">
        <f t="shared" si="28"/>
        <v>0</v>
      </c>
      <c r="AA16" s="14"/>
      <c r="AB16" s="15"/>
      <c r="AC16" s="16">
        <f t="shared" si="27"/>
        <v>0</v>
      </c>
      <c r="AD16" s="14"/>
      <c r="AE16" s="15"/>
      <c r="AF16" s="16">
        <f t="shared" si="33"/>
        <v>0</v>
      </c>
      <c r="AG16" s="14"/>
      <c r="AH16" s="15"/>
      <c r="AI16" s="16">
        <f>IFERROR(AG16*AH16, 0)</f>
        <v>0</v>
      </c>
      <c r="AJ16" s="14">
        <v>5</v>
      </c>
      <c r="AK16" s="15">
        <v>20000</v>
      </c>
      <c r="AL16" s="16">
        <v>100000</v>
      </c>
      <c r="AM16" s="14"/>
      <c r="AN16" s="15"/>
      <c r="AO16" s="16">
        <f t="shared" si="6"/>
        <v>0</v>
      </c>
      <c r="AP16" s="14"/>
      <c r="AQ16" s="15"/>
      <c r="AR16" s="16">
        <f t="shared" si="7"/>
        <v>0</v>
      </c>
      <c r="AS16" s="14"/>
      <c r="AT16" s="15"/>
      <c r="AU16" s="16">
        <f t="shared" si="8"/>
        <v>0</v>
      </c>
      <c r="AV16" s="14"/>
      <c r="AW16" s="15"/>
      <c r="AX16" s="16">
        <f t="shared" si="34"/>
        <v>0</v>
      </c>
      <c r="AY16" s="14"/>
      <c r="AZ16" s="15"/>
      <c r="BA16" s="16">
        <f t="shared" si="9"/>
        <v>0</v>
      </c>
      <c r="BB16" s="14"/>
      <c r="BC16" s="15"/>
      <c r="BD16" s="16">
        <f t="shared" si="37"/>
        <v>0</v>
      </c>
      <c r="BE16" s="14"/>
      <c r="BF16" s="15"/>
      <c r="BG16" s="16">
        <f t="shared" si="10"/>
        <v>0</v>
      </c>
      <c r="BH16" s="14"/>
      <c r="BI16" s="15"/>
      <c r="BJ16" s="16">
        <f t="shared" si="11"/>
        <v>0</v>
      </c>
      <c r="BK16" s="14"/>
      <c r="BL16" s="15"/>
      <c r="BM16" s="16">
        <f>BL16*BK16</f>
        <v>0</v>
      </c>
      <c r="BN16" s="14"/>
      <c r="BO16" s="15"/>
      <c r="BP16" s="16">
        <f t="shared" si="13"/>
        <v>0</v>
      </c>
      <c r="BQ16" s="14"/>
      <c r="BR16" s="15"/>
      <c r="BS16" s="16">
        <f t="shared" si="14"/>
        <v>0</v>
      </c>
      <c r="BT16" s="14"/>
      <c r="BU16" s="15"/>
      <c r="BV16" s="16">
        <f t="shared" si="31"/>
        <v>0</v>
      </c>
      <c r="BW16" s="14"/>
      <c r="BX16" s="15"/>
      <c r="BY16" s="16">
        <f t="shared" si="25"/>
        <v>0</v>
      </c>
      <c r="BZ16" s="14"/>
      <c r="CA16" s="15"/>
      <c r="CB16" s="16">
        <f t="shared" si="15"/>
        <v>0</v>
      </c>
      <c r="CC16" s="14"/>
      <c r="CD16" s="15"/>
      <c r="CE16" s="16">
        <f t="shared" si="16"/>
        <v>0</v>
      </c>
      <c r="CF16" s="14"/>
      <c r="CG16" s="15"/>
      <c r="CH16" s="16">
        <f t="shared" si="17"/>
        <v>0</v>
      </c>
      <c r="CI16" s="14"/>
      <c r="CJ16" s="15"/>
      <c r="CK16" s="16">
        <f t="shared" si="18"/>
        <v>0</v>
      </c>
      <c r="CL16" s="14"/>
      <c r="CM16" s="15"/>
      <c r="CN16" s="16">
        <f t="shared" si="19"/>
        <v>0</v>
      </c>
      <c r="CO16" s="14"/>
      <c r="CP16" s="15"/>
      <c r="CQ16" s="16">
        <f t="shared" si="20"/>
        <v>0</v>
      </c>
      <c r="CR16" s="14"/>
      <c r="CS16" s="15"/>
      <c r="CT16" s="16">
        <f t="shared" si="21"/>
        <v>0</v>
      </c>
      <c r="CU16" s="17">
        <f t="shared" si="22"/>
        <v>5</v>
      </c>
      <c r="CV16" s="16">
        <f t="shared" si="23"/>
        <v>20000</v>
      </c>
      <c r="CW16" s="16">
        <f t="shared" si="24"/>
        <v>100000</v>
      </c>
    </row>
    <row r="17" spans="1:101" s="18" customFormat="1" ht="15" customHeight="1" x14ac:dyDescent="0.35">
      <c r="A17" s="11" t="s">
        <v>428</v>
      </c>
      <c r="B17" s="11" t="s">
        <v>837</v>
      </c>
      <c r="C17" s="12"/>
      <c r="D17" s="13"/>
      <c r="E17" s="13">
        <v>0</v>
      </c>
      <c r="F17" s="14"/>
      <c r="G17" s="15"/>
      <c r="H17" s="16">
        <f t="shared" si="0"/>
        <v>0</v>
      </c>
      <c r="I17" s="14"/>
      <c r="J17" s="15"/>
      <c r="K17" s="16">
        <f t="shared" si="36"/>
        <v>0</v>
      </c>
      <c r="L17" s="14"/>
      <c r="M17" s="15"/>
      <c r="N17" s="16">
        <f t="shared" si="1"/>
        <v>0</v>
      </c>
      <c r="O17" s="14"/>
      <c r="P17" s="15"/>
      <c r="Q17" s="16">
        <f t="shared" si="2"/>
        <v>0</v>
      </c>
      <c r="R17" s="14"/>
      <c r="S17" s="15"/>
      <c r="T17" s="16">
        <f t="shared" si="35"/>
        <v>0</v>
      </c>
      <c r="U17" s="14"/>
      <c r="V17" s="15"/>
      <c r="W17" s="16">
        <f t="shared" si="4"/>
        <v>0</v>
      </c>
      <c r="X17" s="14"/>
      <c r="Y17" s="15"/>
      <c r="Z17" s="16">
        <f t="shared" si="28"/>
        <v>0</v>
      </c>
      <c r="AA17" s="14"/>
      <c r="AB17" s="15"/>
      <c r="AC17" s="16">
        <f t="shared" si="27"/>
        <v>0</v>
      </c>
      <c r="AD17" s="14"/>
      <c r="AE17" s="15"/>
      <c r="AF17" s="16">
        <f t="shared" si="33"/>
        <v>0</v>
      </c>
      <c r="AG17" s="14">
        <v>14.5</v>
      </c>
      <c r="AH17" s="15">
        <v>44000</v>
      </c>
      <c r="AI17" s="16">
        <v>638000</v>
      </c>
      <c r="AJ17" s="14"/>
      <c r="AK17" s="15"/>
      <c r="AL17" s="16">
        <f t="shared" ref="AL17:AL48" si="38">IFERROR(AJ17*AK17, 0)</f>
        <v>0</v>
      </c>
      <c r="AM17" s="14"/>
      <c r="AN17" s="15"/>
      <c r="AO17" s="16">
        <f t="shared" si="6"/>
        <v>0</v>
      </c>
      <c r="AP17" s="14"/>
      <c r="AQ17" s="15"/>
      <c r="AR17" s="16">
        <f t="shared" si="7"/>
        <v>0</v>
      </c>
      <c r="AS17" s="14"/>
      <c r="AT17" s="15"/>
      <c r="AU17" s="16">
        <f t="shared" si="8"/>
        <v>0</v>
      </c>
      <c r="AV17" s="14"/>
      <c r="AW17" s="15"/>
      <c r="AX17" s="16">
        <f t="shared" si="34"/>
        <v>0</v>
      </c>
      <c r="AY17" s="14"/>
      <c r="AZ17" s="15"/>
      <c r="BA17" s="16">
        <f t="shared" si="9"/>
        <v>0</v>
      </c>
      <c r="BB17" s="14"/>
      <c r="BC17" s="15"/>
      <c r="BD17" s="16">
        <f t="shared" si="37"/>
        <v>0</v>
      </c>
      <c r="BE17" s="14"/>
      <c r="BF17" s="15"/>
      <c r="BG17" s="16">
        <f t="shared" si="10"/>
        <v>0</v>
      </c>
      <c r="BH17" s="14"/>
      <c r="BI17" s="15"/>
      <c r="BJ17" s="16">
        <f t="shared" si="11"/>
        <v>0</v>
      </c>
      <c r="BK17" s="14"/>
      <c r="BL17" s="15"/>
      <c r="BM17" s="16">
        <f>IFERROR(BK17*BL17, 0)</f>
        <v>0</v>
      </c>
      <c r="BN17" s="14"/>
      <c r="BO17" s="15"/>
      <c r="BP17" s="16">
        <f t="shared" si="13"/>
        <v>0</v>
      </c>
      <c r="BQ17" s="14"/>
      <c r="BR17" s="15"/>
      <c r="BS17" s="16">
        <f t="shared" si="14"/>
        <v>0</v>
      </c>
      <c r="BT17" s="14">
        <v>6.71</v>
      </c>
      <c r="BU17" s="15">
        <v>50900</v>
      </c>
      <c r="BV17" s="16">
        <v>341539</v>
      </c>
      <c r="BW17" s="14"/>
      <c r="BX17" s="15"/>
      <c r="BY17" s="16">
        <f t="shared" si="25"/>
        <v>0</v>
      </c>
      <c r="BZ17" s="14"/>
      <c r="CA17" s="15"/>
      <c r="CB17" s="16">
        <f t="shared" si="15"/>
        <v>0</v>
      </c>
      <c r="CC17" s="14"/>
      <c r="CD17" s="15"/>
      <c r="CE17" s="16">
        <f t="shared" si="16"/>
        <v>0</v>
      </c>
      <c r="CF17" s="14"/>
      <c r="CG17" s="15"/>
      <c r="CH17" s="16">
        <f t="shared" si="17"/>
        <v>0</v>
      </c>
      <c r="CI17" s="14"/>
      <c r="CJ17" s="15"/>
      <c r="CK17" s="16">
        <f t="shared" si="18"/>
        <v>0</v>
      </c>
      <c r="CL17" s="14"/>
      <c r="CM17" s="15"/>
      <c r="CN17" s="16">
        <f t="shared" si="19"/>
        <v>0</v>
      </c>
      <c r="CO17" s="14"/>
      <c r="CP17" s="15"/>
      <c r="CQ17" s="16">
        <f t="shared" si="20"/>
        <v>0</v>
      </c>
      <c r="CR17" s="14"/>
      <c r="CS17" s="15"/>
      <c r="CT17" s="16">
        <f t="shared" si="21"/>
        <v>0</v>
      </c>
      <c r="CU17" s="17">
        <f t="shared" si="22"/>
        <v>21.21</v>
      </c>
      <c r="CV17" s="16">
        <f t="shared" si="23"/>
        <v>47450</v>
      </c>
      <c r="CW17" s="16">
        <f t="shared" si="24"/>
        <v>1006414.5</v>
      </c>
    </row>
    <row r="18" spans="1:101" s="18" customFormat="1" ht="15" customHeight="1" x14ac:dyDescent="0.35">
      <c r="A18" s="11" t="s">
        <v>192</v>
      </c>
      <c r="B18" s="11" t="s">
        <v>837</v>
      </c>
      <c r="C18" s="12"/>
      <c r="D18" s="13"/>
      <c r="E18" s="13">
        <v>0</v>
      </c>
      <c r="F18" s="14"/>
      <c r="G18" s="15"/>
      <c r="H18" s="16">
        <f t="shared" si="0"/>
        <v>0</v>
      </c>
      <c r="I18" s="14"/>
      <c r="J18" s="15"/>
      <c r="K18" s="16">
        <f t="shared" si="36"/>
        <v>0</v>
      </c>
      <c r="L18" s="14"/>
      <c r="M18" s="15"/>
      <c r="N18" s="16">
        <f t="shared" si="1"/>
        <v>0</v>
      </c>
      <c r="O18" s="14">
        <v>2</v>
      </c>
      <c r="P18" s="15">
        <v>46000</v>
      </c>
      <c r="Q18" s="16">
        <v>92000</v>
      </c>
      <c r="R18" s="14"/>
      <c r="S18" s="15"/>
      <c r="T18" s="16">
        <f t="shared" si="35"/>
        <v>0</v>
      </c>
      <c r="U18" s="14"/>
      <c r="V18" s="15"/>
      <c r="W18" s="16">
        <f t="shared" si="4"/>
        <v>0</v>
      </c>
      <c r="X18" s="14"/>
      <c r="Y18" s="15"/>
      <c r="Z18" s="16">
        <f t="shared" si="28"/>
        <v>0</v>
      </c>
      <c r="AA18" s="14"/>
      <c r="AB18" s="15"/>
      <c r="AC18" s="16">
        <f t="shared" si="27"/>
        <v>0</v>
      </c>
      <c r="AD18" s="14"/>
      <c r="AE18" s="15"/>
      <c r="AF18" s="16">
        <f t="shared" si="33"/>
        <v>0</v>
      </c>
      <c r="AG18" s="14">
        <v>2</v>
      </c>
      <c r="AH18" s="15">
        <v>46000</v>
      </c>
      <c r="AI18" s="16">
        <v>92000</v>
      </c>
      <c r="AJ18" s="14"/>
      <c r="AK18" s="15"/>
      <c r="AL18" s="16">
        <f t="shared" si="38"/>
        <v>0</v>
      </c>
      <c r="AM18" s="14"/>
      <c r="AN18" s="15"/>
      <c r="AO18" s="16">
        <f t="shared" si="6"/>
        <v>0</v>
      </c>
      <c r="AP18" s="14"/>
      <c r="AQ18" s="15"/>
      <c r="AR18" s="16">
        <f t="shared" si="7"/>
        <v>0</v>
      </c>
      <c r="AS18" s="14"/>
      <c r="AT18" s="15"/>
      <c r="AU18" s="16">
        <f t="shared" si="8"/>
        <v>0</v>
      </c>
      <c r="AV18" s="14">
        <v>2</v>
      </c>
      <c r="AW18" s="15">
        <v>46000</v>
      </c>
      <c r="AX18" s="16">
        <v>92000</v>
      </c>
      <c r="AY18" s="14"/>
      <c r="AZ18" s="15"/>
      <c r="BA18" s="16">
        <f t="shared" si="9"/>
        <v>0</v>
      </c>
      <c r="BB18" s="14"/>
      <c r="BC18" s="15"/>
      <c r="BD18" s="16">
        <f t="shared" si="37"/>
        <v>0</v>
      </c>
      <c r="BE18" s="14"/>
      <c r="BF18" s="15"/>
      <c r="BG18" s="16">
        <f t="shared" si="10"/>
        <v>0</v>
      </c>
      <c r="BH18" s="14"/>
      <c r="BI18" s="15"/>
      <c r="BJ18" s="16">
        <f t="shared" si="11"/>
        <v>0</v>
      </c>
      <c r="BK18" s="14">
        <v>5</v>
      </c>
      <c r="BL18" s="15">
        <v>46000</v>
      </c>
      <c r="BM18" s="16">
        <v>230000</v>
      </c>
      <c r="BN18" s="14"/>
      <c r="BO18" s="15"/>
      <c r="BP18" s="16">
        <f t="shared" si="13"/>
        <v>0</v>
      </c>
      <c r="BQ18" s="14"/>
      <c r="BR18" s="15"/>
      <c r="BS18" s="16">
        <f t="shared" si="14"/>
        <v>0</v>
      </c>
      <c r="BT18" s="14"/>
      <c r="BU18" s="15"/>
      <c r="BV18" s="16">
        <f>IFERROR(BT18*BU18, 0)</f>
        <v>0</v>
      </c>
      <c r="BW18" s="14"/>
      <c r="BX18" s="15"/>
      <c r="BY18" s="16">
        <f t="shared" si="25"/>
        <v>0</v>
      </c>
      <c r="BZ18" s="14"/>
      <c r="CA18" s="15"/>
      <c r="CB18" s="16">
        <f t="shared" si="15"/>
        <v>0</v>
      </c>
      <c r="CC18" s="14"/>
      <c r="CD18" s="15"/>
      <c r="CE18" s="16">
        <f t="shared" si="16"/>
        <v>0</v>
      </c>
      <c r="CF18" s="14"/>
      <c r="CG18" s="15"/>
      <c r="CH18" s="16">
        <f t="shared" si="17"/>
        <v>0</v>
      </c>
      <c r="CI18" s="14"/>
      <c r="CJ18" s="15"/>
      <c r="CK18" s="16">
        <f t="shared" si="18"/>
        <v>0</v>
      </c>
      <c r="CL18" s="14"/>
      <c r="CM18" s="15"/>
      <c r="CN18" s="16">
        <f t="shared" si="19"/>
        <v>0</v>
      </c>
      <c r="CO18" s="14"/>
      <c r="CP18" s="15"/>
      <c r="CQ18" s="16">
        <f t="shared" si="20"/>
        <v>0</v>
      </c>
      <c r="CR18" s="14"/>
      <c r="CS18" s="15"/>
      <c r="CT18" s="16">
        <f t="shared" si="21"/>
        <v>0</v>
      </c>
      <c r="CU18" s="17">
        <f t="shared" si="22"/>
        <v>11</v>
      </c>
      <c r="CV18" s="16">
        <f t="shared" si="23"/>
        <v>46000</v>
      </c>
      <c r="CW18" s="16">
        <f t="shared" si="24"/>
        <v>506000</v>
      </c>
    </row>
    <row r="19" spans="1:101" s="18" customFormat="1" ht="15" customHeight="1" x14ac:dyDescent="0.35">
      <c r="A19" s="11" t="s">
        <v>843</v>
      </c>
      <c r="B19" s="11" t="s">
        <v>837</v>
      </c>
      <c r="C19" s="12"/>
      <c r="D19" s="13"/>
      <c r="E19" s="13">
        <v>0</v>
      </c>
      <c r="F19" s="14"/>
      <c r="G19" s="15"/>
      <c r="H19" s="16">
        <f t="shared" si="0"/>
        <v>0</v>
      </c>
      <c r="I19" s="14"/>
      <c r="J19" s="15"/>
      <c r="K19" s="16">
        <f t="shared" si="36"/>
        <v>0</v>
      </c>
      <c r="L19" s="14"/>
      <c r="M19" s="15"/>
      <c r="N19" s="16">
        <f t="shared" si="1"/>
        <v>0</v>
      </c>
      <c r="O19" s="14"/>
      <c r="P19" s="15"/>
      <c r="Q19" s="16">
        <f t="shared" ref="Q19:Q24" si="39">IFERROR(O19*P19, 0)</f>
        <v>0</v>
      </c>
      <c r="R19" s="14"/>
      <c r="S19" s="15"/>
      <c r="T19" s="16">
        <f t="shared" si="35"/>
        <v>0</v>
      </c>
      <c r="U19" s="14"/>
      <c r="V19" s="15"/>
      <c r="W19" s="16">
        <f t="shared" si="4"/>
        <v>0</v>
      </c>
      <c r="X19" s="14"/>
      <c r="Y19" s="15"/>
      <c r="Z19" s="16">
        <f t="shared" si="28"/>
        <v>0</v>
      </c>
      <c r="AA19" s="14"/>
      <c r="AB19" s="15"/>
      <c r="AC19" s="16">
        <f t="shared" si="27"/>
        <v>0</v>
      </c>
      <c r="AD19" s="14"/>
      <c r="AE19" s="15"/>
      <c r="AF19" s="16">
        <f t="shared" si="33"/>
        <v>0</v>
      </c>
      <c r="AG19" s="14"/>
      <c r="AH19" s="15"/>
      <c r="AI19" s="16">
        <f t="shared" ref="AI19:AI28" si="40">IFERROR(AG19*AH19, 0)</f>
        <v>0</v>
      </c>
      <c r="AJ19" s="14"/>
      <c r="AK19" s="15"/>
      <c r="AL19" s="16">
        <f t="shared" si="38"/>
        <v>0</v>
      </c>
      <c r="AM19" s="14"/>
      <c r="AN19" s="15"/>
      <c r="AO19" s="16">
        <f t="shared" si="6"/>
        <v>0</v>
      </c>
      <c r="AP19" s="14"/>
      <c r="AQ19" s="15"/>
      <c r="AR19" s="16">
        <f t="shared" si="7"/>
        <v>0</v>
      </c>
      <c r="AS19" s="14"/>
      <c r="AT19" s="15"/>
      <c r="AU19" s="16">
        <f t="shared" si="8"/>
        <v>0</v>
      </c>
      <c r="AV19" s="14"/>
      <c r="AW19" s="15"/>
      <c r="AX19" s="16">
        <f>IFERROR(AV19*AW19, 0)</f>
        <v>0</v>
      </c>
      <c r="AY19" s="14"/>
      <c r="AZ19" s="15"/>
      <c r="BA19" s="16">
        <f t="shared" si="9"/>
        <v>0</v>
      </c>
      <c r="BB19" s="14"/>
      <c r="BC19" s="15"/>
      <c r="BD19" s="16">
        <f t="shared" si="37"/>
        <v>0</v>
      </c>
      <c r="BE19" s="14"/>
      <c r="BF19" s="15"/>
      <c r="BG19" s="16">
        <f t="shared" si="10"/>
        <v>0</v>
      </c>
      <c r="BH19" s="14"/>
      <c r="BI19" s="15"/>
      <c r="BJ19" s="16">
        <f t="shared" si="11"/>
        <v>0</v>
      </c>
      <c r="BK19" s="14"/>
      <c r="BL19" s="15"/>
      <c r="BM19" s="16">
        <f t="shared" ref="BM19:BM42" si="41">IFERROR(BK19*BL19, 0)</f>
        <v>0</v>
      </c>
      <c r="BN19" s="14"/>
      <c r="BO19" s="15"/>
      <c r="BP19" s="16">
        <f t="shared" si="13"/>
        <v>0</v>
      </c>
      <c r="BQ19" s="14"/>
      <c r="BR19" s="15"/>
      <c r="BS19" s="16">
        <f t="shared" si="14"/>
        <v>0</v>
      </c>
      <c r="BT19" s="14"/>
      <c r="BU19" s="15"/>
      <c r="BV19" s="16">
        <f>IFERROR(BT19*BU19, 0)</f>
        <v>0</v>
      </c>
      <c r="BW19" s="14"/>
      <c r="BX19" s="15"/>
      <c r="BY19" s="16">
        <f t="shared" si="25"/>
        <v>0</v>
      </c>
      <c r="BZ19" s="14"/>
      <c r="CA19" s="15"/>
      <c r="CB19" s="16">
        <f t="shared" si="15"/>
        <v>0</v>
      </c>
      <c r="CC19" s="14"/>
      <c r="CD19" s="15"/>
      <c r="CE19" s="16">
        <f t="shared" si="16"/>
        <v>0</v>
      </c>
      <c r="CF19" s="14"/>
      <c r="CG19" s="15"/>
      <c r="CH19" s="16">
        <f t="shared" si="17"/>
        <v>0</v>
      </c>
      <c r="CI19" s="14"/>
      <c r="CJ19" s="15"/>
      <c r="CK19" s="16">
        <f t="shared" si="18"/>
        <v>0</v>
      </c>
      <c r="CL19" s="14"/>
      <c r="CM19" s="15"/>
      <c r="CN19" s="16">
        <f t="shared" si="19"/>
        <v>0</v>
      </c>
      <c r="CO19" s="14"/>
      <c r="CP19" s="15"/>
      <c r="CQ19" s="16">
        <f t="shared" si="20"/>
        <v>0</v>
      </c>
      <c r="CR19" s="14"/>
      <c r="CS19" s="15"/>
      <c r="CT19" s="16">
        <f t="shared" si="21"/>
        <v>0</v>
      </c>
      <c r="CU19" s="17">
        <f t="shared" si="22"/>
        <v>0</v>
      </c>
      <c r="CV19" s="16">
        <f t="shared" si="23"/>
        <v>0</v>
      </c>
      <c r="CW19" s="16">
        <f t="shared" si="24"/>
        <v>0</v>
      </c>
    </row>
    <row r="20" spans="1:101" s="18" customFormat="1" ht="15" customHeight="1" x14ac:dyDescent="0.35">
      <c r="A20" s="11" t="s">
        <v>256</v>
      </c>
      <c r="B20" s="11" t="s">
        <v>837</v>
      </c>
      <c r="C20" s="12"/>
      <c r="D20" s="13"/>
      <c r="E20" s="13">
        <v>0</v>
      </c>
      <c r="F20" s="14"/>
      <c r="G20" s="15"/>
      <c r="H20" s="16">
        <f t="shared" si="0"/>
        <v>0</v>
      </c>
      <c r="I20" s="14"/>
      <c r="J20" s="15"/>
      <c r="K20" s="16">
        <f t="shared" si="36"/>
        <v>0</v>
      </c>
      <c r="L20" s="14"/>
      <c r="M20" s="15"/>
      <c r="N20" s="16">
        <f t="shared" si="1"/>
        <v>0</v>
      </c>
      <c r="O20" s="14"/>
      <c r="P20" s="15"/>
      <c r="Q20" s="16">
        <f t="shared" si="39"/>
        <v>0</v>
      </c>
      <c r="R20" s="14">
        <v>8</v>
      </c>
      <c r="S20" s="15">
        <v>22900</v>
      </c>
      <c r="T20" s="16">
        <v>183200</v>
      </c>
      <c r="U20" s="14"/>
      <c r="V20" s="15"/>
      <c r="W20" s="16">
        <f t="shared" si="4"/>
        <v>0</v>
      </c>
      <c r="X20" s="14"/>
      <c r="Y20" s="15"/>
      <c r="Z20" s="16">
        <f t="shared" si="28"/>
        <v>0</v>
      </c>
      <c r="AA20" s="14"/>
      <c r="AB20" s="15"/>
      <c r="AC20" s="16">
        <f t="shared" si="27"/>
        <v>0</v>
      </c>
      <c r="AD20" s="14"/>
      <c r="AE20" s="15"/>
      <c r="AF20" s="16">
        <f t="shared" si="33"/>
        <v>0</v>
      </c>
      <c r="AG20" s="14"/>
      <c r="AH20" s="15"/>
      <c r="AI20" s="16">
        <f t="shared" si="40"/>
        <v>0</v>
      </c>
      <c r="AJ20" s="14"/>
      <c r="AK20" s="15"/>
      <c r="AL20" s="16">
        <f t="shared" si="38"/>
        <v>0</v>
      </c>
      <c r="AM20" s="14"/>
      <c r="AN20" s="15"/>
      <c r="AO20" s="16">
        <f t="shared" si="6"/>
        <v>0</v>
      </c>
      <c r="AP20" s="14"/>
      <c r="AQ20" s="15"/>
      <c r="AR20" s="16">
        <f t="shared" si="7"/>
        <v>0</v>
      </c>
      <c r="AS20" s="14"/>
      <c r="AT20" s="15"/>
      <c r="AU20" s="16">
        <f t="shared" si="8"/>
        <v>0</v>
      </c>
      <c r="AV20" s="14"/>
      <c r="AW20" s="15"/>
      <c r="AX20" s="16">
        <f>IFERROR(AV20*AW20, 0)</f>
        <v>0</v>
      </c>
      <c r="AY20" s="14"/>
      <c r="AZ20" s="15"/>
      <c r="BA20" s="16">
        <f t="shared" si="9"/>
        <v>0</v>
      </c>
      <c r="BB20" s="14"/>
      <c r="BC20" s="15"/>
      <c r="BD20" s="16">
        <f t="shared" si="37"/>
        <v>0</v>
      </c>
      <c r="BE20" s="14"/>
      <c r="BF20" s="15"/>
      <c r="BG20" s="16">
        <f t="shared" si="10"/>
        <v>0</v>
      </c>
      <c r="BH20" s="14"/>
      <c r="BI20" s="15"/>
      <c r="BJ20" s="16">
        <f t="shared" si="11"/>
        <v>0</v>
      </c>
      <c r="BK20" s="14"/>
      <c r="BL20" s="15"/>
      <c r="BM20" s="16">
        <f t="shared" si="41"/>
        <v>0</v>
      </c>
      <c r="BN20" s="14"/>
      <c r="BO20" s="15"/>
      <c r="BP20" s="16">
        <f t="shared" si="13"/>
        <v>0</v>
      </c>
      <c r="BQ20" s="14"/>
      <c r="BR20" s="15"/>
      <c r="BS20" s="16">
        <f t="shared" si="14"/>
        <v>0</v>
      </c>
      <c r="BT20" s="14"/>
      <c r="BU20" s="15"/>
      <c r="BV20" s="16">
        <f>IFERROR(BT20*BU20, 0)</f>
        <v>0</v>
      </c>
      <c r="BW20" s="14"/>
      <c r="BX20" s="15"/>
      <c r="BY20" s="16">
        <f t="shared" si="25"/>
        <v>0</v>
      </c>
      <c r="BZ20" s="14"/>
      <c r="CA20" s="15"/>
      <c r="CB20" s="16">
        <f t="shared" si="15"/>
        <v>0</v>
      </c>
      <c r="CC20" s="14"/>
      <c r="CD20" s="15"/>
      <c r="CE20" s="16">
        <f t="shared" si="16"/>
        <v>0</v>
      </c>
      <c r="CF20" s="14"/>
      <c r="CG20" s="15"/>
      <c r="CH20" s="16">
        <f t="shared" si="17"/>
        <v>0</v>
      </c>
      <c r="CI20" s="14"/>
      <c r="CJ20" s="15"/>
      <c r="CK20" s="16">
        <f t="shared" si="18"/>
        <v>0</v>
      </c>
      <c r="CL20" s="14"/>
      <c r="CM20" s="15"/>
      <c r="CN20" s="16">
        <f t="shared" si="19"/>
        <v>0</v>
      </c>
      <c r="CO20" s="14"/>
      <c r="CP20" s="15"/>
      <c r="CQ20" s="16">
        <f t="shared" si="20"/>
        <v>0</v>
      </c>
      <c r="CR20" s="14"/>
      <c r="CS20" s="15"/>
      <c r="CT20" s="16">
        <f t="shared" si="21"/>
        <v>0</v>
      </c>
      <c r="CU20" s="17">
        <f t="shared" si="22"/>
        <v>8</v>
      </c>
      <c r="CV20" s="16">
        <f t="shared" si="23"/>
        <v>22900</v>
      </c>
      <c r="CW20" s="16">
        <f t="shared" si="24"/>
        <v>183200</v>
      </c>
    </row>
    <row r="21" spans="1:101" s="18" customFormat="1" ht="15" customHeight="1" x14ac:dyDescent="0.35">
      <c r="A21" s="11" t="s">
        <v>844</v>
      </c>
      <c r="B21" s="11" t="s">
        <v>837</v>
      </c>
      <c r="C21" s="12"/>
      <c r="D21" s="13"/>
      <c r="E21" s="13">
        <v>0</v>
      </c>
      <c r="F21" s="14"/>
      <c r="G21" s="15"/>
      <c r="H21" s="16">
        <f t="shared" si="0"/>
        <v>0</v>
      </c>
      <c r="I21" s="14"/>
      <c r="J21" s="15"/>
      <c r="K21" s="16">
        <f t="shared" si="36"/>
        <v>0</v>
      </c>
      <c r="L21" s="14"/>
      <c r="M21" s="15"/>
      <c r="N21" s="16">
        <f t="shared" si="1"/>
        <v>0</v>
      </c>
      <c r="O21" s="14"/>
      <c r="P21" s="15"/>
      <c r="Q21" s="16">
        <f t="shared" si="39"/>
        <v>0</v>
      </c>
      <c r="R21" s="14"/>
      <c r="S21" s="15"/>
      <c r="T21" s="16">
        <f t="shared" ref="T21:T28" si="42">IFERROR(R21*S21, 0)</f>
        <v>0</v>
      </c>
      <c r="U21" s="14"/>
      <c r="V21" s="15"/>
      <c r="W21" s="16">
        <f t="shared" si="4"/>
        <v>0</v>
      </c>
      <c r="X21" s="14"/>
      <c r="Y21" s="15"/>
      <c r="Z21" s="16">
        <f t="shared" si="28"/>
        <v>0</v>
      </c>
      <c r="AA21" s="14"/>
      <c r="AB21" s="15"/>
      <c r="AC21" s="16">
        <f t="shared" si="27"/>
        <v>0</v>
      </c>
      <c r="AD21" s="14"/>
      <c r="AE21" s="15"/>
      <c r="AF21" s="16">
        <f t="shared" si="33"/>
        <v>0</v>
      </c>
      <c r="AG21" s="14"/>
      <c r="AH21" s="15"/>
      <c r="AI21" s="16">
        <f t="shared" si="40"/>
        <v>0</v>
      </c>
      <c r="AJ21" s="14"/>
      <c r="AK21" s="15"/>
      <c r="AL21" s="16">
        <f t="shared" si="38"/>
        <v>0</v>
      </c>
      <c r="AM21" s="14"/>
      <c r="AN21" s="15"/>
      <c r="AO21" s="16">
        <f t="shared" si="6"/>
        <v>0</v>
      </c>
      <c r="AP21" s="14"/>
      <c r="AQ21" s="15"/>
      <c r="AR21" s="16">
        <f t="shared" si="7"/>
        <v>0</v>
      </c>
      <c r="AS21" s="14"/>
      <c r="AT21" s="15"/>
      <c r="AU21" s="16">
        <f t="shared" si="8"/>
        <v>0</v>
      </c>
      <c r="AV21" s="14"/>
      <c r="AW21" s="15"/>
      <c r="AX21" s="16">
        <f>IFERROR(AV21*AW21, 0)</f>
        <v>0</v>
      </c>
      <c r="AY21" s="14"/>
      <c r="AZ21" s="15"/>
      <c r="BA21" s="16">
        <f t="shared" si="9"/>
        <v>0</v>
      </c>
      <c r="BB21" s="14"/>
      <c r="BC21" s="15"/>
      <c r="BD21" s="16">
        <f t="shared" si="37"/>
        <v>0</v>
      </c>
      <c r="BE21" s="14"/>
      <c r="BF21" s="15"/>
      <c r="BG21" s="16">
        <f t="shared" si="10"/>
        <v>0</v>
      </c>
      <c r="BH21" s="14"/>
      <c r="BI21" s="15"/>
      <c r="BJ21" s="16">
        <f t="shared" si="11"/>
        <v>0</v>
      </c>
      <c r="BK21" s="14"/>
      <c r="BL21" s="15"/>
      <c r="BM21" s="16">
        <f t="shared" si="41"/>
        <v>0</v>
      </c>
      <c r="BN21" s="14"/>
      <c r="BO21" s="15"/>
      <c r="BP21" s="16">
        <f t="shared" si="13"/>
        <v>0</v>
      </c>
      <c r="BQ21" s="14"/>
      <c r="BR21" s="15"/>
      <c r="BS21" s="16">
        <f t="shared" si="14"/>
        <v>0</v>
      </c>
      <c r="BT21" s="14"/>
      <c r="BU21" s="15"/>
      <c r="BV21" s="16">
        <f>IFERROR(BT21*BU21, 0)</f>
        <v>0</v>
      </c>
      <c r="BW21" s="14"/>
      <c r="BX21" s="15"/>
      <c r="BY21" s="16">
        <f t="shared" si="25"/>
        <v>0</v>
      </c>
      <c r="BZ21" s="14"/>
      <c r="CA21" s="15"/>
      <c r="CB21" s="16">
        <f t="shared" si="15"/>
        <v>0</v>
      </c>
      <c r="CC21" s="14"/>
      <c r="CD21" s="15"/>
      <c r="CE21" s="16">
        <f t="shared" si="16"/>
        <v>0</v>
      </c>
      <c r="CF21" s="14"/>
      <c r="CG21" s="15"/>
      <c r="CH21" s="16">
        <f t="shared" si="17"/>
        <v>0</v>
      </c>
      <c r="CI21" s="14"/>
      <c r="CJ21" s="15"/>
      <c r="CK21" s="16">
        <f t="shared" si="18"/>
        <v>0</v>
      </c>
      <c r="CL21" s="14"/>
      <c r="CM21" s="15"/>
      <c r="CN21" s="16">
        <f t="shared" si="19"/>
        <v>0</v>
      </c>
      <c r="CO21" s="14"/>
      <c r="CP21" s="15"/>
      <c r="CQ21" s="16">
        <f t="shared" si="20"/>
        <v>0</v>
      </c>
      <c r="CR21" s="14"/>
      <c r="CS21" s="15"/>
      <c r="CT21" s="16">
        <f t="shared" si="21"/>
        <v>0</v>
      </c>
      <c r="CU21" s="17">
        <f t="shared" si="22"/>
        <v>0</v>
      </c>
      <c r="CV21" s="16">
        <f t="shared" si="23"/>
        <v>0</v>
      </c>
      <c r="CW21" s="16">
        <f t="shared" si="24"/>
        <v>0</v>
      </c>
    </row>
    <row r="22" spans="1:101" s="18" customFormat="1" ht="15.75" customHeight="1" x14ac:dyDescent="0.35">
      <c r="A22" s="11" t="s">
        <v>350</v>
      </c>
      <c r="B22" s="11" t="s">
        <v>837</v>
      </c>
      <c r="C22" s="12"/>
      <c r="D22" s="13"/>
      <c r="E22" s="13">
        <v>0</v>
      </c>
      <c r="F22" s="14"/>
      <c r="G22" s="15"/>
      <c r="H22" s="16">
        <f t="shared" si="0"/>
        <v>0</v>
      </c>
      <c r="I22" s="14"/>
      <c r="J22" s="15"/>
      <c r="K22" s="16">
        <f t="shared" si="36"/>
        <v>0</v>
      </c>
      <c r="L22" s="14"/>
      <c r="M22" s="15"/>
      <c r="N22" s="16">
        <f t="shared" si="1"/>
        <v>0</v>
      </c>
      <c r="O22" s="14"/>
      <c r="P22" s="15"/>
      <c r="Q22" s="16">
        <f t="shared" si="39"/>
        <v>0</v>
      </c>
      <c r="R22" s="14"/>
      <c r="S22" s="15"/>
      <c r="T22" s="16">
        <f t="shared" si="42"/>
        <v>0</v>
      </c>
      <c r="U22" s="14"/>
      <c r="V22" s="15"/>
      <c r="W22" s="16">
        <f t="shared" si="4"/>
        <v>0</v>
      </c>
      <c r="X22" s="14">
        <v>28.1</v>
      </c>
      <c r="Y22" s="15">
        <v>16700</v>
      </c>
      <c r="Z22" s="16">
        <v>469270</v>
      </c>
      <c r="AA22" s="14"/>
      <c r="AB22" s="15"/>
      <c r="AC22" s="16">
        <f t="shared" si="27"/>
        <v>0</v>
      </c>
      <c r="AD22" s="14"/>
      <c r="AE22" s="15"/>
      <c r="AF22" s="16">
        <f t="shared" si="33"/>
        <v>0</v>
      </c>
      <c r="AG22" s="14"/>
      <c r="AH22" s="15"/>
      <c r="AI22" s="16">
        <f t="shared" si="40"/>
        <v>0</v>
      </c>
      <c r="AJ22" s="14"/>
      <c r="AK22" s="15"/>
      <c r="AL22" s="16">
        <f t="shared" si="38"/>
        <v>0</v>
      </c>
      <c r="AM22" s="14"/>
      <c r="AN22" s="15"/>
      <c r="AO22" s="16">
        <f t="shared" si="6"/>
        <v>0</v>
      </c>
      <c r="AP22" s="14"/>
      <c r="AQ22" s="15"/>
      <c r="AR22" s="16">
        <f t="shared" si="7"/>
        <v>0</v>
      </c>
      <c r="AS22" s="14"/>
      <c r="AT22" s="15"/>
      <c r="AU22" s="16">
        <f t="shared" si="8"/>
        <v>0</v>
      </c>
      <c r="AV22" s="14">
        <v>28.1</v>
      </c>
      <c r="AW22" s="15">
        <v>15900</v>
      </c>
      <c r="AX22" s="16">
        <v>446790</v>
      </c>
      <c r="AY22" s="14"/>
      <c r="AZ22" s="15"/>
      <c r="BA22" s="16">
        <f t="shared" si="9"/>
        <v>0</v>
      </c>
      <c r="BB22" s="14"/>
      <c r="BC22" s="15"/>
      <c r="BD22" s="16">
        <f t="shared" si="37"/>
        <v>0</v>
      </c>
      <c r="BE22" s="14">
        <v>20</v>
      </c>
      <c r="BF22" s="15">
        <v>18200</v>
      </c>
      <c r="BG22" s="16">
        <v>364000</v>
      </c>
      <c r="BH22" s="14"/>
      <c r="BI22" s="15"/>
      <c r="BJ22" s="16">
        <f t="shared" si="11"/>
        <v>0</v>
      </c>
      <c r="BK22" s="14"/>
      <c r="BL22" s="15"/>
      <c r="BM22" s="16">
        <f t="shared" si="41"/>
        <v>0</v>
      </c>
      <c r="BN22" s="14"/>
      <c r="BO22" s="15"/>
      <c r="BP22" s="16">
        <f t="shared" si="13"/>
        <v>0</v>
      </c>
      <c r="BQ22" s="14"/>
      <c r="BR22" s="15"/>
      <c r="BS22" s="16">
        <f t="shared" si="14"/>
        <v>0</v>
      </c>
      <c r="BT22" s="14">
        <v>26.1</v>
      </c>
      <c r="BU22" s="15">
        <v>15400</v>
      </c>
      <c r="BV22" s="16">
        <v>401940</v>
      </c>
      <c r="BW22" s="14"/>
      <c r="BX22" s="15"/>
      <c r="BY22" s="16">
        <f t="shared" si="25"/>
        <v>0</v>
      </c>
      <c r="BZ22" s="14"/>
      <c r="CA22" s="15"/>
      <c r="CB22" s="16">
        <f t="shared" si="15"/>
        <v>0</v>
      </c>
      <c r="CC22" s="14"/>
      <c r="CD22" s="15"/>
      <c r="CE22" s="16">
        <f t="shared" si="16"/>
        <v>0</v>
      </c>
      <c r="CF22" s="14"/>
      <c r="CG22" s="15"/>
      <c r="CH22" s="16">
        <f t="shared" si="17"/>
        <v>0</v>
      </c>
      <c r="CI22" s="14"/>
      <c r="CJ22" s="15"/>
      <c r="CK22" s="16">
        <f t="shared" si="18"/>
        <v>0</v>
      </c>
      <c r="CL22" s="14"/>
      <c r="CM22" s="15"/>
      <c r="CN22" s="16">
        <f t="shared" si="19"/>
        <v>0</v>
      </c>
      <c r="CO22" s="14"/>
      <c r="CP22" s="15"/>
      <c r="CQ22" s="16">
        <f t="shared" si="20"/>
        <v>0</v>
      </c>
      <c r="CR22" s="14"/>
      <c r="CS22" s="15"/>
      <c r="CT22" s="16">
        <f t="shared" si="21"/>
        <v>0</v>
      </c>
      <c r="CU22" s="17">
        <f t="shared" si="22"/>
        <v>102.30000000000001</v>
      </c>
      <c r="CV22" s="16">
        <f t="shared" si="23"/>
        <v>16550</v>
      </c>
      <c r="CW22" s="16">
        <f t="shared" si="24"/>
        <v>1693065.0000000002</v>
      </c>
    </row>
    <row r="23" spans="1:101" s="18" customFormat="1" ht="15" customHeight="1" x14ac:dyDescent="0.35">
      <c r="A23" s="11" t="s">
        <v>640</v>
      </c>
      <c r="B23" s="11" t="s">
        <v>837</v>
      </c>
      <c r="C23" s="12"/>
      <c r="D23" s="13"/>
      <c r="E23" s="13">
        <v>0</v>
      </c>
      <c r="F23" s="14"/>
      <c r="G23" s="15"/>
      <c r="H23" s="16">
        <f t="shared" si="0"/>
        <v>0</v>
      </c>
      <c r="I23" s="14"/>
      <c r="J23" s="15"/>
      <c r="K23" s="16">
        <f t="shared" si="36"/>
        <v>0</v>
      </c>
      <c r="L23" s="14"/>
      <c r="M23" s="15"/>
      <c r="N23" s="16">
        <f t="shared" si="1"/>
        <v>0</v>
      </c>
      <c r="O23" s="14"/>
      <c r="P23" s="15"/>
      <c r="Q23" s="16">
        <f t="shared" si="39"/>
        <v>0</v>
      </c>
      <c r="R23" s="14"/>
      <c r="S23" s="15"/>
      <c r="T23" s="16">
        <f t="shared" si="42"/>
        <v>0</v>
      </c>
      <c r="U23" s="14"/>
      <c r="V23" s="15"/>
      <c r="W23" s="16">
        <f t="shared" si="4"/>
        <v>0</v>
      </c>
      <c r="X23" s="14"/>
      <c r="Y23" s="15"/>
      <c r="Z23" s="16">
        <f>IFERROR(X23*Y23, 0)</f>
        <v>0</v>
      </c>
      <c r="AA23" s="14"/>
      <c r="AB23" s="15"/>
      <c r="AC23" s="16">
        <f t="shared" si="27"/>
        <v>0</v>
      </c>
      <c r="AD23" s="14"/>
      <c r="AE23" s="15"/>
      <c r="AF23" s="16">
        <f t="shared" si="33"/>
        <v>0</v>
      </c>
      <c r="AG23" s="14"/>
      <c r="AH23" s="15"/>
      <c r="AI23" s="16">
        <f t="shared" si="40"/>
        <v>0</v>
      </c>
      <c r="AJ23" s="14"/>
      <c r="AK23" s="15"/>
      <c r="AL23" s="16">
        <f t="shared" si="38"/>
        <v>0</v>
      </c>
      <c r="AM23" s="14"/>
      <c r="AN23" s="15"/>
      <c r="AO23" s="16">
        <f t="shared" si="6"/>
        <v>0</v>
      </c>
      <c r="AP23" s="14"/>
      <c r="AQ23" s="15"/>
      <c r="AR23" s="16">
        <f t="shared" si="7"/>
        <v>0</v>
      </c>
      <c r="AS23" s="14"/>
      <c r="AT23" s="15"/>
      <c r="AU23" s="16">
        <f t="shared" si="8"/>
        <v>0</v>
      </c>
      <c r="AV23" s="14"/>
      <c r="AW23" s="15"/>
      <c r="AX23" s="16">
        <f t="shared" ref="AX23:AX33" si="43">IFERROR(AV23*AW23, 0)</f>
        <v>0</v>
      </c>
      <c r="AY23" s="14"/>
      <c r="AZ23" s="15"/>
      <c r="BA23" s="16">
        <f t="shared" si="9"/>
        <v>0</v>
      </c>
      <c r="BB23" s="14"/>
      <c r="BC23" s="15"/>
      <c r="BD23" s="16">
        <f t="shared" si="37"/>
        <v>0</v>
      </c>
      <c r="BE23" s="14"/>
      <c r="BF23" s="15"/>
      <c r="BG23" s="16">
        <f t="shared" ref="BG23:BG28" si="44">IFERROR(BE23*BF23, 0)</f>
        <v>0</v>
      </c>
      <c r="BH23" s="14"/>
      <c r="BI23" s="15"/>
      <c r="BJ23" s="16">
        <f t="shared" si="11"/>
        <v>0</v>
      </c>
      <c r="BK23" s="14"/>
      <c r="BL23" s="15"/>
      <c r="BM23" s="16">
        <f t="shared" si="41"/>
        <v>0</v>
      </c>
      <c r="BN23" s="14">
        <v>20.55</v>
      </c>
      <c r="BO23" s="15">
        <v>22000</v>
      </c>
      <c r="BP23" s="16">
        <v>452100</v>
      </c>
      <c r="BQ23" s="14"/>
      <c r="BR23" s="15"/>
      <c r="BS23" s="16">
        <f t="shared" si="14"/>
        <v>0</v>
      </c>
      <c r="BT23" s="14"/>
      <c r="BU23" s="15"/>
      <c r="BV23" s="16">
        <f t="shared" ref="BV23:BV37" si="45">IFERROR(BT23*BU23, 0)</f>
        <v>0</v>
      </c>
      <c r="BW23" s="14"/>
      <c r="BX23" s="15"/>
      <c r="BY23" s="16">
        <f t="shared" si="25"/>
        <v>0</v>
      </c>
      <c r="BZ23" s="14"/>
      <c r="CA23" s="15"/>
      <c r="CB23" s="16">
        <f t="shared" si="15"/>
        <v>0</v>
      </c>
      <c r="CC23" s="14"/>
      <c r="CD23" s="15"/>
      <c r="CE23" s="16">
        <f t="shared" si="16"/>
        <v>0</v>
      </c>
      <c r="CF23" s="14"/>
      <c r="CG23" s="15"/>
      <c r="CH23" s="16">
        <f t="shared" si="17"/>
        <v>0</v>
      </c>
      <c r="CI23" s="14"/>
      <c r="CJ23" s="15"/>
      <c r="CK23" s="16">
        <f t="shared" si="18"/>
        <v>0</v>
      </c>
      <c r="CL23" s="14"/>
      <c r="CM23" s="15"/>
      <c r="CN23" s="16">
        <f t="shared" si="19"/>
        <v>0</v>
      </c>
      <c r="CO23" s="14"/>
      <c r="CP23" s="15"/>
      <c r="CQ23" s="16">
        <f t="shared" si="20"/>
        <v>0</v>
      </c>
      <c r="CR23" s="14"/>
      <c r="CS23" s="15"/>
      <c r="CT23" s="16">
        <f t="shared" si="21"/>
        <v>0</v>
      </c>
      <c r="CU23" s="17">
        <f t="shared" si="22"/>
        <v>20.55</v>
      </c>
      <c r="CV23" s="16">
        <f t="shared" si="23"/>
        <v>22000</v>
      </c>
      <c r="CW23" s="16">
        <f t="shared" si="24"/>
        <v>452100</v>
      </c>
    </row>
    <row r="24" spans="1:101" s="18" customFormat="1" ht="15.75" customHeight="1" x14ac:dyDescent="0.35">
      <c r="A24" s="11" t="s">
        <v>802</v>
      </c>
      <c r="B24" s="11" t="s">
        <v>837</v>
      </c>
      <c r="C24" s="12"/>
      <c r="D24" s="13"/>
      <c r="E24" s="13">
        <v>0</v>
      </c>
      <c r="F24" s="14"/>
      <c r="G24" s="15"/>
      <c r="H24" s="16">
        <f t="shared" si="0"/>
        <v>0</v>
      </c>
      <c r="I24" s="14"/>
      <c r="J24" s="15"/>
      <c r="K24" s="16">
        <f t="shared" si="36"/>
        <v>0</v>
      </c>
      <c r="L24" s="14"/>
      <c r="M24" s="15"/>
      <c r="N24" s="16">
        <f t="shared" si="1"/>
        <v>0</v>
      </c>
      <c r="O24" s="14"/>
      <c r="P24" s="15"/>
      <c r="Q24" s="16">
        <f t="shared" si="39"/>
        <v>0</v>
      </c>
      <c r="R24" s="14"/>
      <c r="S24" s="15"/>
      <c r="T24" s="16">
        <f t="shared" si="42"/>
        <v>0</v>
      </c>
      <c r="U24" s="14"/>
      <c r="V24" s="15"/>
      <c r="W24" s="16">
        <f t="shared" si="4"/>
        <v>0</v>
      </c>
      <c r="X24" s="14"/>
      <c r="Y24" s="15"/>
      <c r="Z24" s="16">
        <f>IFERROR(X24*Y24, 0)</f>
        <v>0</v>
      </c>
      <c r="AA24" s="14"/>
      <c r="AB24" s="15"/>
      <c r="AC24" s="16">
        <f t="shared" si="27"/>
        <v>0</v>
      </c>
      <c r="AD24" s="14"/>
      <c r="AE24" s="15"/>
      <c r="AF24" s="16">
        <f t="shared" si="33"/>
        <v>0</v>
      </c>
      <c r="AG24" s="14"/>
      <c r="AH24" s="15"/>
      <c r="AI24" s="16">
        <f t="shared" si="40"/>
        <v>0</v>
      </c>
      <c r="AJ24" s="14"/>
      <c r="AK24" s="15"/>
      <c r="AL24" s="16">
        <f t="shared" si="38"/>
        <v>0</v>
      </c>
      <c r="AM24" s="14"/>
      <c r="AN24" s="15"/>
      <c r="AO24" s="16">
        <f t="shared" si="6"/>
        <v>0</v>
      </c>
      <c r="AP24" s="14"/>
      <c r="AQ24" s="15"/>
      <c r="AR24" s="16">
        <f t="shared" si="7"/>
        <v>0</v>
      </c>
      <c r="AS24" s="14"/>
      <c r="AT24" s="15"/>
      <c r="AU24" s="16">
        <f t="shared" si="8"/>
        <v>0</v>
      </c>
      <c r="AV24" s="14"/>
      <c r="AW24" s="15"/>
      <c r="AX24" s="16">
        <f t="shared" si="43"/>
        <v>0</v>
      </c>
      <c r="AY24" s="14"/>
      <c r="AZ24" s="15"/>
      <c r="BA24" s="16">
        <f t="shared" si="9"/>
        <v>0</v>
      </c>
      <c r="BB24" s="14"/>
      <c r="BC24" s="15"/>
      <c r="BD24" s="16">
        <f t="shared" si="37"/>
        <v>0</v>
      </c>
      <c r="BE24" s="14"/>
      <c r="BF24" s="15"/>
      <c r="BG24" s="16">
        <f t="shared" si="44"/>
        <v>0</v>
      </c>
      <c r="BH24" s="14"/>
      <c r="BI24" s="15"/>
      <c r="BJ24" s="16">
        <f t="shared" si="11"/>
        <v>0</v>
      </c>
      <c r="BK24" s="14"/>
      <c r="BL24" s="15"/>
      <c r="BM24" s="16">
        <f t="shared" si="41"/>
        <v>0</v>
      </c>
      <c r="BN24" s="14"/>
      <c r="BO24" s="15"/>
      <c r="BP24" s="16">
        <f t="shared" ref="BP24:BP36" si="46">IFERROR(BN24*BO24, 0)</f>
        <v>0</v>
      </c>
      <c r="BQ24" s="14"/>
      <c r="BR24" s="15"/>
      <c r="BS24" s="16">
        <f t="shared" si="14"/>
        <v>0</v>
      </c>
      <c r="BT24" s="14"/>
      <c r="BU24" s="15"/>
      <c r="BV24" s="16">
        <f t="shared" si="45"/>
        <v>0</v>
      </c>
      <c r="BW24" s="14"/>
      <c r="BX24" s="15"/>
      <c r="BY24" s="16">
        <f t="shared" si="25"/>
        <v>0</v>
      </c>
      <c r="BZ24" s="14"/>
      <c r="CA24" s="15"/>
      <c r="CB24" s="16">
        <f t="shared" si="15"/>
        <v>0</v>
      </c>
      <c r="CC24" s="14"/>
      <c r="CD24" s="15"/>
      <c r="CE24" s="16">
        <f t="shared" si="16"/>
        <v>0</v>
      </c>
      <c r="CF24" s="14"/>
      <c r="CG24" s="15"/>
      <c r="CH24" s="16">
        <f t="shared" si="17"/>
        <v>0</v>
      </c>
      <c r="CI24" s="14"/>
      <c r="CJ24" s="15"/>
      <c r="CK24" s="16">
        <f t="shared" si="18"/>
        <v>0</v>
      </c>
      <c r="CL24" s="14"/>
      <c r="CM24" s="15"/>
      <c r="CN24" s="16">
        <f t="shared" si="19"/>
        <v>0</v>
      </c>
      <c r="CO24" s="14"/>
      <c r="CP24" s="15"/>
      <c r="CQ24" s="16">
        <f t="shared" si="20"/>
        <v>0</v>
      </c>
      <c r="CR24" s="14"/>
      <c r="CS24" s="15"/>
      <c r="CT24" s="16">
        <f t="shared" si="21"/>
        <v>0</v>
      </c>
      <c r="CU24" s="17">
        <f t="shared" si="22"/>
        <v>0</v>
      </c>
      <c r="CV24" s="16">
        <f t="shared" si="23"/>
        <v>0</v>
      </c>
      <c r="CW24" s="16">
        <f t="shared" si="24"/>
        <v>0</v>
      </c>
    </row>
    <row r="25" spans="1:101" s="18" customFormat="1" ht="15" customHeight="1" x14ac:dyDescent="0.35">
      <c r="A25" s="11" t="s">
        <v>233</v>
      </c>
      <c r="B25" s="11" t="s">
        <v>837</v>
      </c>
      <c r="C25" s="12"/>
      <c r="D25" s="13"/>
      <c r="E25" s="13">
        <v>0</v>
      </c>
      <c r="F25" s="14"/>
      <c r="G25" s="15"/>
      <c r="H25" s="16">
        <f t="shared" si="0"/>
        <v>0</v>
      </c>
      <c r="I25" s="14"/>
      <c r="J25" s="15"/>
      <c r="K25" s="16">
        <f t="shared" si="36"/>
        <v>0</v>
      </c>
      <c r="L25" s="14"/>
      <c r="M25" s="15"/>
      <c r="N25" s="16">
        <f t="shared" si="1"/>
        <v>0</v>
      </c>
      <c r="O25" s="14">
        <v>20.2</v>
      </c>
      <c r="P25" s="15">
        <v>22000</v>
      </c>
      <c r="Q25" s="16">
        <v>444400</v>
      </c>
      <c r="R25" s="14"/>
      <c r="S25" s="15"/>
      <c r="T25" s="16">
        <f t="shared" si="42"/>
        <v>0</v>
      </c>
      <c r="U25" s="14"/>
      <c r="V25" s="15"/>
      <c r="W25" s="16">
        <f t="shared" si="4"/>
        <v>0</v>
      </c>
      <c r="X25" s="14">
        <v>48.66</v>
      </c>
      <c r="Y25" s="15">
        <v>21900</v>
      </c>
      <c r="Z25" s="16">
        <v>1065654</v>
      </c>
      <c r="AA25" s="14"/>
      <c r="AB25" s="15"/>
      <c r="AC25" s="16">
        <f t="shared" si="27"/>
        <v>0</v>
      </c>
      <c r="AD25" s="14"/>
      <c r="AE25" s="15"/>
      <c r="AF25" s="16">
        <f t="shared" si="33"/>
        <v>0</v>
      </c>
      <c r="AG25" s="14"/>
      <c r="AH25" s="15"/>
      <c r="AI25" s="16">
        <f t="shared" si="40"/>
        <v>0</v>
      </c>
      <c r="AJ25" s="14"/>
      <c r="AK25" s="15"/>
      <c r="AL25" s="16">
        <f t="shared" si="38"/>
        <v>0</v>
      </c>
      <c r="AM25" s="14"/>
      <c r="AN25" s="15"/>
      <c r="AO25" s="16">
        <f t="shared" si="6"/>
        <v>0</v>
      </c>
      <c r="AP25" s="14"/>
      <c r="AQ25" s="15"/>
      <c r="AR25" s="16">
        <f t="shared" si="7"/>
        <v>0</v>
      </c>
      <c r="AS25" s="14"/>
      <c r="AT25" s="15"/>
      <c r="AU25" s="16">
        <f t="shared" si="8"/>
        <v>0</v>
      </c>
      <c r="AV25" s="14"/>
      <c r="AW25" s="15"/>
      <c r="AX25" s="16">
        <f t="shared" si="43"/>
        <v>0</v>
      </c>
      <c r="AY25" s="14"/>
      <c r="AZ25" s="15"/>
      <c r="BA25" s="16">
        <f t="shared" si="9"/>
        <v>0</v>
      </c>
      <c r="BB25" s="14"/>
      <c r="BC25" s="15"/>
      <c r="BD25" s="16">
        <f t="shared" si="37"/>
        <v>0</v>
      </c>
      <c r="BE25" s="14"/>
      <c r="BF25" s="15"/>
      <c r="BG25" s="16">
        <f t="shared" si="44"/>
        <v>0</v>
      </c>
      <c r="BH25" s="14"/>
      <c r="BI25" s="15"/>
      <c r="BJ25" s="16">
        <f t="shared" si="11"/>
        <v>0</v>
      </c>
      <c r="BK25" s="14"/>
      <c r="BL25" s="15"/>
      <c r="BM25" s="16">
        <f t="shared" si="41"/>
        <v>0</v>
      </c>
      <c r="BN25" s="14"/>
      <c r="BO25" s="15"/>
      <c r="BP25" s="16">
        <f t="shared" si="46"/>
        <v>0</v>
      </c>
      <c r="BQ25" s="14"/>
      <c r="BR25" s="15"/>
      <c r="BS25" s="16">
        <f t="shared" si="14"/>
        <v>0</v>
      </c>
      <c r="BT25" s="14"/>
      <c r="BU25" s="15"/>
      <c r="BV25" s="16">
        <f t="shared" si="45"/>
        <v>0</v>
      </c>
      <c r="BW25" s="14"/>
      <c r="BX25" s="15"/>
      <c r="BY25" s="16">
        <f t="shared" si="25"/>
        <v>0</v>
      </c>
      <c r="BZ25" s="14"/>
      <c r="CA25" s="15"/>
      <c r="CB25" s="16">
        <f t="shared" si="15"/>
        <v>0</v>
      </c>
      <c r="CC25" s="14"/>
      <c r="CD25" s="15"/>
      <c r="CE25" s="16">
        <f t="shared" si="16"/>
        <v>0</v>
      </c>
      <c r="CF25" s="14"/>
      <c r="CG25" s="15"/>
      <c r="CH25" s="16">
        <f t="shared" si="17"/>
        <v>0</v>
      </c>
      <c r="CI25" s="14"/>
      <c r="CJ25" s="15"/>
      <c r="CK25" s="16">
        <f t="shared" si="18"/>
        <v>0</v>
      </c>
      <c r="CL25" s="14"/>
      <c r="CM25" s="15"/>
      <c r="CN25" s="16">
        <f t="shared" si="19"/>
        <v>0</v>
      </c>
      <c r="CO25" s="14"/>
      <c r="CP25" s="15"/>
      <c r="CQ25" s="16">
        <f t="shared" si="20"/>
        <v>0</v>
      </c>
      <c r="CR25" s="14"/>
      <c r="CS25" s="15"/>
      <c r="CT25" s="16">
        <f t="shared" si="21"/>
        <v>0</v>
      </c>
      <c r="CU25" s="17">
        <f t="shared" si="22"/>
        <v>68.86</v>
      </c>
      <c r="CV25" s="16">
        <f t="shared" si="23"/>
        <v>21950</v>
      </c>
      <c r="CW25" s="16">
        <f t="shared" si="24"/>
        <v>1511477</v>
      </c>
    </row>
    <row r="26" spans="1:101" s="18" customFormat="1" ht="15" customHeight="1" x14ac:dyDescent="0.35">
      <c r="A26" s="11" t="s">
        <v>845</v>
      </c>
      <c r="B26" s="11" t="s">
        <v>837</v>
      </c>
      <c r="C26" s="12"/>
      <c r="D26" s="13"/>
      <c r="E26" s="13">
        <v>0</v>
      </c>
      <c r="F26" s="14"/>
      <c r="G26" s="15"/>
      <c r="H26" s="16">
        <f t="shared" si="0"/>
        <v>0</v>
      </c>
      <c r="I26" s="14"/>
      <c r="J26" s="15"/>
      <c r="K26" s="16">
        <f t="shared" si="36"/>
        <v>0</v>
      </c>
      <c r="L26" s="14"/>
      <c r="M26" s="15"/>
      <c r="N26" s="16">
        <f t="shared" si="1"/>
        <v>0</v>
      </c>
      <c r="O26" s="14"/>
      <c r="P26" s="15"/>
      <c r="Q26" s="16">
        <f t="shared" ref="Q26:Q34" si="47">IFERROR(O26*P26, 0)</f>
        <v>0</v>
      </c>
      <c r="R26" s="14"/>
      <c r="S26" s="15"/>
      <c r="T26" s="16">
        <f t="shared" si="42"/>
        <v>0</v>
      </c>
      <c r="U26" s="14"/>
      <c r="V26" s="15"/>
      <c r="W26" s="16">
        <f t="shared" si="4"/>
        <v>0</v>
      </c>
      <c r="X26" s="14"/>
      <c r="Y26" s="15"/>
      <c r="Z26" s="16">
        <f t="shared" ref="Z26:Z34" si="48">IFERROR(X26*Y26, 0)</f>
        <v>0</v>
      </c>
      <c r="AA26" s="14"/>
      <c r="AB26" s="15"/>
      <c r="AC26" s="16">
        <f t="shared" si="27"/>
        <v>0</v>
      </c>
      <c r="AD26" s="14"/>
      <c r="AE26" s="15"/>
      <c r="AF26" s="16">
        <f t="shared" si="33"/>
        <v>0</v>
      </c>
      <c r="AG26" s="14"/>
      <c r="AH26" s="15"/>
      <c r="AI26" s="16">
        <f t="shared" si="40"/>
        <v>0</v>
      </c>
      <c r="AJ26" s="14"/>
      <c r="AK26" s="15"/>
      <c r="AL26" s="16">
        <f t="shared" si="38"/>
        <v>0</v>
      </c>
      <c r="AM26" s="14"/>
      <c r="AN26" s="15"/>
      <c r="AO26" s="16">
        <f t="shared" si="6"/>
        <v>0</v>
      </c>
      <c r="AP26" s="14"/>
      <c r="AQ26" s="15"/>
      <c r="AR26" s="16">
        <f t="shared" si="7"/>
        <v>0</v>
      </c>
      <c r="AS26" s="14"/>
      <c r="AT26" s="15"/>
      <c r="AU26" s="16">
        <f t="shared" si="8"/>
        <v>0</v>
      </c>
      <c r="AV26" s="14"/>
      <c r="AW26" s="15"/>
      <c r="AX26" s="16">
        <f t="shared" si="43"/>
        <v>0</v>
      </c>
      <c r="AY26" s="14"/>
      <c r="AZ26" s="15"/>
      <c r="BA26" s="16">
        <f t="shared" si="9"/>
        <v>0</v>
      </c>
      <c r="BB26" s="14"/>
      <c r="BC26" s="15"/>
      <c r="BD26" s="16">
        <f t="shared" si="37"/>
        <v>0</v>
      </c>
      <c r="BE26" s="14"/>
      <c r="BF26" s="15"/>
      <c r="BG26" s="16">
        <f t="shared" si="44"/>
        <v>0</v>
      </c>
      <c r="BH26" s="14"/>
      <c r="BI26" s="15"/>
      <c r="BJ26" s="16">
        <f t="shared" si="11"/>
        <v>0</v>
      </c>
      <c r="BK26" s="14"/>
      <c r="BL26" s="15"/>
      <c r="BM26" s="16">
        <f t="shared" si="41"/>
        <v>0</v>
      </c>
      <c r="BN26" s="14"/>
      <c r="BO26" s="15"/>
      <c r="BP26" s="16">
        <f t="shared" si="46"/>
        <v>0</v>
      </c>
      <c r="BQ26" s="14"/>
      <c r="BR26" s="15"/>
      <c r="BS26" s="16">
        <f t="shared" si="14"/>
        <v>0</v>
      </c>
      <c r="BT26" s="14"/>
      <c r="BU26" s="15"/>
      <c r="BV26" s="16">
        <f t="shared" si="45"/>
        <v>0</v>
      </c>
      <c r="BW26" s="14"/>
      <c r="BX26" s="15"/>
      <c r="BY26" s="16">
        <f t="shared" si="25"/>
        <v>0</v>
      </c>
      <c r="BZ26" s="14"/>
      <c r="CA26" s="15"/>
      <c r="CB26" s="16">
        <f t="shared" si="15"/>
        <v>0</v>
      </c>
      <c r="CC26" s="14"/>
      <c r="CD26" s="15"/>
      <c r="CE26" s="16">
        <f t="shared" si="16"/>
        <v>0</v>
      </c>
      <c r="CF26" s="14"/>
      <c r="CG26" s="15"/>
      <c r="CH26" s="16">
        <f t="shared" si="17"/>
        <v>0</v>
      </c>
      <c r="CI26" s="14"/>
      <c r="CJ26" s="15"/>
      <c r="CK26" s="16">
        <f t="shared" si="18"/>
        <v>0</v>
      </c>
      <c r="CL26" s="14"/>
      <c r="CM26" s="15"/>
      <c r="CN26" s="16">
        <f t="shared" si="19"/>
        <v>0</v>
      </c>
      <c r="CO26" s="14"/>
      <c r="CP26" s="15"/>
      <c r="CQ26" s="16">
        <f t="shared" si="20"/>
        <v>0</v>
      </c>
      <c r="CR26" s="14"/>
      <c r="CS26" s="15"/>
      <c r="CT26" s="16">
        <f t="shared" si="21"/>
        <v>0</v>
      </c>
      <c r="CU26" s="17">
        <f t="shared" si="22"/>
        <v>0</v>
      </c>
      <c r="CV26" s="16">
        <f t="shared" si="23"/>
        <v>0</v>
      </c>
      <c r="CW26" s="16">
        <f t="shared" si="24"/>
        <v>0</v>
      </c>
    </row>
    <row r="27" spans="1:101" s="18" customFormat="1" ht="15" customHeight="1" x14ac:dyDescent="0.35">
      <c r="A27" s="11" t="s">
        <v>261</v>
      </c>
      <c r="B27" s="11" t="s">
        <v>837</v>
      </c>
      <c r="C27" s="12"/>
      <c r="D27" s="13"/>
      <c r="E27" s="13">
        <v>0</v>
      </c>
      <c r="F27" s="14"/>
      <c r="G27" s="15"/>
      <c r="H27" s="16">
        <f t="shared" si="0"/>
        <v>0</v>
      </c>
      <c r="I27" s="14"/>
      <c r="J27" s="15"/>
      <c r="K27" s="16">
        <f t="shared" si="36"/>
        <v>0</v>
      </c>
      <c r="L27" s="14"/>
      <c r="M27" s="15"/>
      <c r="N27" s="16">
        <f t="shared" si="1"/>
        <v>0</v>
      </c>
      <c r="O27" s="14"/>
      <c r="P27" s="15"/>
      <c r="Q27" s="16">
        <f t="shared" si="47"/>
        <v>0</v>
      </c>
      <c r="R27" s="14"/>
      <c r="S27" s="15"/>
      <c r="T27" s="16">
        <f t="shared" si="42"/>
        <v>0</v>
      </c>
      <c r="U27" s="14">
        <v>3.036</v>
      </c>
      <c r="V27" s="15">
        <v>7350</v>
      </c>
      <c r="W27" s="16">
        <v>22315</v>
      </c>
      <c r="X27" s="14"/>
      <c r="Y27" s="15"/>
      <c r="Z27" s="16">
        <f t="shared" si="48"/>
        <v>0</v>
      </c>
      <c r="AA27" s="14"/>
      <c r="AB27" s="15"/>
      <c r="AC27" s="16">
        <f t="shared" si="27"/>
        <v>0</v>
      </c>
      <c r="AD27" s="14"/>
      <c r="AE27" s="15"/>
      <c r="AF27" s="16">
        <f t="shared" si="33"/>
        <v>0</v>
      </c>
      <c r="AG27" s="14"/>
      <c r="AH27" s="15"/>
      <c r="AI27" s="16">
        <f t="shared" si="40"/>
        <v>0</v>
      </c>
      <c r="AJ27" s="14"/>
      <c r="AK27" s="15"/>
      <c r="AL27" s="16">
        <f t="shared" si="38"/>
        <v>0</v>
      </c>
      <c r="AM27" s="14"/>
      <c r="AN27" s="15"/>
      <c r="AO27" s="16">
        <f t="shared" si="6"/>
        <v>0</v>
      </c>
      <c r="AP27" s="14"/>
      <c r="AQ27" s="15"/>
      <c r="AR27" s="16">
        <f t="shared" si="7"/>
        <v>0</v>
      </c>
      <c r="AS27" s="14"/>
      <c r="AT27" s="15"/>
      <c r="AU27" s="16">
        <f t="shared" si="8"/>
        <v>0</v>
      </c>
      <c r="AV27" s="14"/>
      <c r="AW27" s="15"/>
      <c r="AX27" s="16">
        <f t="shared" si="43"/>
        <v>0</v>
      </c>
      <c r="AY27" s="14"/>
      <c r="AZ27" s="15"/>
      <c r="BA27" s="16">
        <f t="shared" si="9"/>
        <v>0</v>
      </c>
      <c r="BB27" s="14"/>
      <c r="BC27" s="15"/>
      <c r="BD27" s="16">
        <f t="shared" si="37"/>
        <v>0</v>
      </c>
      <c r="BE27" s="14"/>
      <c r="BF27" s="15"/>
      <c r="BG27" s="16">
        <f t="shared" si="44"/>
        <v>0</v>
      </c>
      <c r="BH27" s="14"/>
      <c r="BI27" s="15"/>
      <c r="BJ27" s="16">
        <f t="shared" si="11"/>
        <v>0</v>
      </c>
      <c r="BK27" s="14"/>
      <c r="BL27" s="15"/>
      <c r="BM27" s="16">
        <f t="shared" si="41"/>
        <v>0</v>
      </c>
      <c r="BN27" s="14"/>
      <c r="BO27" s="15"/>
      <c r="BP27" s="16">
        <f t="shared" si="46"/>
        <v>0</v>
      </c>
      <c r="BQ27" s="14">
        <v>3.0579999999999998</v>
      </c>
      <c r="BR27" s="15">
        <v>9799</v>
      </c>
      <c r="BS27" s="16">
        <v>30066</v>
      </c>
      <c r="BT27" s="14"/>
      <c r="BU27" s="15"/>
      <c r="BV27" s="16">
        <f t="shared" si="45"/>
        <v>0</v>
      </c>
      <c r="BW27" s="14"/>
      <c r="BX27" s="15"/>
      <c r="BY27" s="16">
        <f t="shared" si="25"/>
        <v>0</v>
      </c>
      <c r="BZ27" s="14"/>
      <c r="CA27" s="15"/>
      <c r="CB27" s="16">
        <f t="shared" si="15"/>
        <v>0</v>
      </c>
      <c r="CC27" s="14"/>
      <c r="CD27" s="15"/>
      <c r="CE27" s="16">
        <f t="shared" si="16"/>
        <v>0</v>
      </c>
      <c r="CF27" s="14"/>
      <c r="CG27" s="15"/>
      <c r="CH27" s="16">
        <f t="shared" si="17"/>
        <v>0</v>
      </c>
      <c r="CI27" s="14"/>
      <c r="CJ27" s="15"/>
      <c r="CK27" s="16">
        <f t="shared" si="18"/>
        <v>0</v>
      </c>
      <c r="CL27" s="14"/>
      <c r="CM27" s="15"/>
      <c r="CN27" s="16">
        <f t="shared" si="19"/>
        <v>0</v>
      </c>
      <c r="CO27" s="14"/>
      <c r="CP27" s="15"/>
      <c r="CQ27" s="16">
        <f t="shared" si="20"/>
        <v>0</v>
      </c>
      <c r="CR27" s="14"/>
      <c r="CS27" s="15"/>
      <c r="CT27" s="16">
        <f t="shared" si="21"/>
        <v>0</v>
      </c>
      <c r="CU27" s="17">
        <f t="shared" si="22"/>
        <v>6.0939999999999994</v>
      </c>
      <c r="CV27" s="16">
        <f t="shared" si="23"/>
        <v>8574.5</v>
      </c>
      <c r="CW27" s="16">
        <f t="shared" si="24"/>
        <v>52253.002999999997</v>
      </c>
    </row>
    <row r="28" spans="1:101" s="18" customFormat="1" ht="15" customHeight="1" x14ac:dyDescent="0.35">
      <c r="A28" s="11" t="s">
        <v>733</v>
      </c>
      <c r="B28" s="11" t="s">
        <v>846</v>
      </c>
      <c r="C28" s="12"/>
      <c r="D28" s="13"/>
      <c r="E28" s="13">
        <v>0</v>
      </c>
      <c r="F28" s="14"/>
      <c r="G28" s="15"/>
      <c r="H28" s="16">
        <f t="shared" si="0"/>
        <v>0</v>
      </c>
      <c r="I28" s="14"/>
      <c r="J28" s="15"/>
      <c r="K28" s="16">
        <f t="shared" si="36"/>
        <v>0</v>
      </c>
      <c r="L28" s="14"/>
      <c r="M28" s="15"/>
      <c r="N28" s="16">
        <f t="shared" si="1"/>
        <v>0</v>
      </c>
      <c r="O28" s="14"/>
      <c r="P28" s="15"/>
      <c r="Q28" s="16">
        <f t="shared" si="47"/>
        <v>0</v>
      </c>
      <c r="R28" s="14"/>
      <c r="S28" s="15"/>
      <c r="T28" s="16">
        <f t="shared" si="42"/>
        <v>0</v>
      </c>
      <c r="U28" s="14"/>
      <c r="V28" s="15"/>
      <c r="W28" s="16">
        <f>IFERROR(U28*V28, 0)</f>
        <v>0</v>
      </c>
      <c r="X28" s="14"/>
      <c r="Y28" s="15"/>
      <c r="Z28" s="16">
        <f t="shared" si="48"/>
        <v>0</v>
      </c>
      <c r="AA28" s="14"/>
      <c r="AB28" s="15"/>
      <c r="AC28" s="16">
        <f t="shared" si="27"/>
        <v>0</v>
      </c>
      <c r="AD28" s="14"/>
      <c r="AE28" s="15"/>
      <c r="AF28" s="16">
        <f t="shared" si="33"/>
        <v>0</v>
      </c>
      <c r="AG28" s="14"/>
      <c r="AH28" s="15"/>
      <c r="AI28" s="16">
        <f t="shared" si="40"/>
        <v>0</v>
      </c>
      <c r="AJ28" s="14"/>
      <c r="AK28" s="15"/>
      <c r="AL28" s="16">
        <f t="shared" si="38"/>
        <v>0</v>
      </c>
      <c r="AM28" s="14"/>
      <c r="AN28" s="15"/>
      <c r="AO28" s="16">
        <f t="shared" si="6"/>
        <v>0</v>
      </c>
      <c r="AP28" s="14"/>
      <c r="AQ28" s="15"/>
      <c r="AR28" s="16">
        <f t="shared" si="7"/>
        <v>0</v>
      </c>
      <c r="AS28" s="14"/>
      <c r="AT28" s="15"/>
      <c r="AU28" s="16">
        <f t="shared" si="8"/>
        <v>0</v>
      </c>
      <c r="AV28" s="14"/>
      <c r="AW28" s="15"/>
      <c r="AX28" s="16">
        <f t="shared" si="43"/>
        <v>0</v>
      </c>
      <c r="AY28" s="14"/>
      <c r="AZ28" s="15"/>
      <c r="BA28" s="16">
        <f t="shared" si="9"/>
        <v>0</v>
      </c>
      <c r="BB28" s="14"/>
      <c r="BC28" s="15"/>
      <c r="BD28" s="16">
        <f t="shared" si="37"/>
        <v>0</v>
      </c>
      <c r="BE28" s="14"/>
      <c r="BF28" s="15"/>
      <c r="BG28" s="16">
        <f t="shared" si="44"/>
        <v>0</v>
      </c>
      <c r="BH28" s="14"/>
      <c r="BI28" s="15"/>
      <c r="BJ28" s="16">
        <f t="shared" si="11"/>
        <v>0</v>
      </c>
      <c r="BK28" s="14"/>
      <c r="BL28" s="15"/>
      <c r="BM28" s="16">
        <f t="shared" si="41"/>
        <v>0</v>
      </c>
      <c r="BN28" s="14"/>
      <c r="BO28" s="15"/>
      <c r="BP28" s="16">
        <f t="shared" si="46"/>
        <v>0</v>
      </c>
      <c r="BQ28" s="14"/>
      <c r="BR28" s="15"/>
      <c r="BS28" s="16">
        <f t="shared" ref="BS28:BS36" si="49">IFERROR(BQ28*BR28, 0)</f>
        <v>0</v>
      </c>
      <c r="BT28" s="14"/>
      <c r="BU28" s="15"/>
      <c r="BV28" s="16">
        <f t="shared" si="45"/>
        <v>0</v>
      </c>
      <c r="BW28" s="14"/>
      <c r="BX28" s="15"/>
      <c r="BY28" s="16">
        <f t="shared" si="25"/>
        <v>0</v>
      </c>
      <c r="BZ28" s="14"/>
      <c r="CA28" s="15"/>
      <c r="CB28" s="16">
        <f t="shared" si="15"/>
        <v>0</v>
      </c>
      <c r="CC28" s="14"/>
      <c r="CD28" s="15"/>
      <c r="CE28" s="16">
        <f t="shared" si="16"/>
        <v>0</v>
      </c>
      <c r="CF28" s="14"/>
      <c r="CG28" s="15"/>
      <c r="CH28" s="16">
        <f t="shared" si="17"/>
        <v>0</v>
      </c>
      <c r="CI28" s="14"/>
      <c r="CJ28" s="15"/>
      <c r="CK28" s="16">
        <f t="shared" si="18"/>
        <v>0</v>
      </c>
      <c r="CL28" s="14"/>
      <c r="CM28" s="15"/>
      <c r="CN28" s="16">
        <f t="shared" si="19"/>
        <v>0</v>
      </c>
      <c r="CO28" s="14"/>
      <c r="CP28" s="15"/>
      <c r="CQ28" s="16">
        <f t="shared" si="20"/>
        <v>0</v>
      </c>
      <c r="CR28" s="14"/>
      <c r="CS28" s="15"/>
      <c r="CT28" s="16">
        <f t="shared" si="21"/>
        <v>0</v>
      </c>
      <c r="CU28" s="17">
        <f t="shared" si="22"/>
        <v>0</v>
      </c>
      <c r="CV28" s="16">
        <f t="shared" si="23"/>
        <v>0</v>
      </c>
      <c r="CW28" s="16">
        <f t="shared" si="24"/>
        <v>0</v>
      </c>
    </row>
    <row r="29" spans="1:101" s="18" customFormat="1" ht="15" customHeight="1" x14ac:dyDescent="0.35">
      <c r="A29" s="11" t="s">
        <v>188</v>
      </c>
      <c r="B29" s="11" t="s">
        <v>837</v>
      </c>
      <c r="C29" s="12"/>
      <c r="D29" s="13"/>
      <c r="E29" s="13">
        <v>0</v>
      </c>
      <c r="F29" s="14"/>
      <c r="G29" s="15"/>
      <c r="H29" s="16">
        <f t="shared" si="0"/>
        <v>0</v>
      </c>
      <c r="I29" s="14"/>
      <c r="J29" s="15"/>
      <c r="K29" s="16">
        <f t="shared" si="36"/>
        <v>0</v>
      </c>
      <c r="L29" s="14">
        <v>10.36</v>
      </c>
      <c r="M29" s="15">
        <v>18500</v>
      </c>
      <c r="N29" s="16">
        <v>191660</v>
      </c>
      <c r="O29" s="14"/>
      <c r="P29" s="15"/>
      <c r="Q29" s="16">
        <f t="shared" si="47"/>
        <v>0</v>
      </c>
      <c r="R29" s="14">
        <v>4</v>
      </c>
      <c r="S29" s="15">
        <v>40250</v>
      </c>
      <c r="T29" s="16">
        <v>161000</v>
      </c>
      <c r="U29" s="14">
        <v>24.9</v>
      </c>
      <c r="V29" s="15">
        <v>18500</v>
      </c>
      <c r="W29" s="16">
        <v>460650</v>
      </c>
      <c r="X29" s="14"/>
      <c r="Y29" s="15"/>
      <c r="Z29" s="16">
        <f t="shared" si="48"/>
        <v>0</v>
      </c>
      <c r="AA29" s="14"/>
      <c r="AB29" s="15"/>
      <c r="AC29" s="16">
        <f t="shared" si="27"/>
        <v>0</v>
      </c>
      <c r="AD29" s="14"/>
      <c r="AE29" s="15"/>
      <c r="AF29" s="16">
        <f t="shared" si="33"/>
        <v>0</v>
      </c>
      <c r="AG29" s="14">
        <v>24.7</v>
      </c>
      <c r="AH29" s="15">
        <v>18500</v>
      </c>
      <c r="AI29" s="16">
        <v>456950</v>
      </c>
      <c r="AJ29" s="14"/>
      <c r="AK29" s="15"/>
      <c r="AL29" s="16">
        <f t="shared" si="38"/>
        <v>0</v>
      </c>
      <c r="AM29" s="14"/>
      <c r="AN29" s="15"/>
      <c r="AO29" s="16">
        <f t="shared" si="6"/>
        <v>0</v>
      </c>
      <c r="AP29" s="14"/>
      <c r="AQ29" s="15"/>
      <c r="AR29" s="16">
        <f t="shared" si="7"/>
        <v>0</v>
      </c>
      <c r="AS29" s="14">
        <v>10.6</v>
      </c>
      <c r="AT29" s="15">
        <v>18500</v>
      </c>
      <c r="AU29" s="16">
        <v>196100</v>
      </c>
      <c r="AV29" s="14"/>
      <c r="AW29" s="15"/>
      <c r="AX29" s="16">
        <f t="shared" si="43"/>
        <v>0</v>
      </c>
      <c r="AY29" s="14"/>
      <c r="AZ29" s="15"/>
      <c r="BA29" s="16">
        <f t="shared" si="9"/>
        <v>0</v>
      </c>
      <c r="BB29" s="14"/>
      <c r="BC29" s="15"/>
      <c r="BD29" s="16">
        <f t="shared" si="37"/>
        <v>0</v>
      </c>
      <c r="BE29" s="14">
        <v>24.3</v>
      </c>
      <c r="BF29" s="15">
        <v>18500</v>
      </c>
      <c r="BG29" s="16">
        <v>449550</v>
      </c>
      <c r="BH29" s="14"/>
      <c r="BI29" s="15"/>
      <c r="BJ29" s="16">
        <f t="shared" si="11"/>
        <v>0</v>
      </c>
      <c r="BK29" s="14"/>
      <c r="BL29" s="15"/>
      <c r="BM29" s="16">
        <f t="shared" si="41"/>
        <v>0</v>
      </c>
      <c r="BN29" s="14"/>
      <c r="BO29" s="15"/>
      <c r="BP29" s="16">
        <f t="shared" si="46"/>
        <v>0</v>
      </c>
      <c r="BQ29" s="14"/>
      <c r="BR29" s="15"/>
      <c r="BS29" s="16">
        <f t="shared" si="49"/>
        <v>0</v>
      </c>
      <c r="BT29" s="14"/>
      <c r="BU29" s="15"/>
      <c r="BV29" s="16">
        <f t="shared" si="45"/>
        <v>0</v>
      </c>
      <c r="BW29" s="14"/>
      <c r="BX29" s="15"/>
      <c r="BY29" s="16">
        <f t="shared" si="25"/>
        <v>0</v>
      </c>
      <c r="BZ29" s="14"/>
      <c r="CA29" s="15"/>
      <c r="CB29" s="16">
        <f t="shared" si="15"/>
        <v>0</v>
      </c>
      <c r="CC29" s="14"/>
      <c r="CD29" s="15"/>
      <c r="CE29" s="16">
        <f t="shared" si="16"/>
        <v>0</v>
      </c>
      <c r="CF29" s="14"/>
      <c r="CG29" s="15"/>
      <c r="CH29" s="16">
        <f t="shared" si="17"/>
        <v>0</v>
      </c>
      <c r="CI29" s="14"/>
      <c r="CJ29" s="15"/>
      <c r="CK29" s="16">
        <f t="shared" si="18"/>
        <v>0</v>
      </c>
      <c r="CL29" s="14"/>
      <c r="CM29" s="15"/>
      <c r="CN29" s="16">
        <f t="shared" si="19"/>
        <v>0</v>
      </c>
      <c r="CO29" s="14"/>
      <c r="CP29" s="15"/>
      <c r="CQ29" s="16">
        <f t="shared" si="20"/>
        <v>0</v>
      </c>
      <c r="CR29" s="14"/>
      <c r="CS29" s="15"/>
      <c r="CT29" s="16">
        <f t="shared" si="21"/>
        <v>0</v>
      </c>
      <c r="CU29" s="17">
        <f t="shared" si="22"/>
        <v>98.859999999999985</v>
      </c>
      <c r="CV29" s="16">
        <f t="shared" si="23"/>
        <v>22125</v>
      </c>
      <c r="CW29" s="16">
        <f t="shared" si="24"/>
        <v>2187277.4999999995</v>
      </c>
    </row>
    <row r="30" spans="1:101" s="18" customFormat="1" ht="15" customHeight="1" x14ac:dyDescent="0.35">
      <c r="A30" s="11" t="s">
        <v>847</v>
      </c>
      <c r="B30" s="11" t="s">
        <v>837</v>
      </c>
      <c r="C30" s="12"/>
      <c r="D30" s="13"/>
      <c r="E30" s="13">
        <v>0</v>
      </c>
      <c r="F30" s="14"/>
      <c r="G30" s="15"/>
      <c r="H30" s="16">
        <f t="shared" si="0"/>
        <v>0</v>
      </c>
      <c r="I30" s="14"/>
      <c r="J30" s="15"/>
      <c r="K30" s="16">
        <f t="shared" si="36"/>
        <v>0</v>
      </c>
      <c r="L30" s="14"/>
      <c r="M30" s="15"/>
      <c r="N30" s="16">
        <f t="shared" ref="N30:N74" si="50">IFERROR(L30*M30, 0)</f>
        <v>0</v>
      </c>
      <c r="O30" s="14"/>
      <c r="P30" s="15"/>
      <c r="Q30" s="16">
        <f t="shared" si="47"/>
        <v>0</v>
      </c>
      <c r="R30" s="14"/>
      <c r="S30" s="15"/>
      <c r="T30" s="16">
        <f t="shared" ref="T30:T36" si="51">IFERROR(R30*S30, 0)</f>
        <v>0</v>
      </c>
      <c r="U30" s="14"/>
      <c r="V30" s="15"/>
      <c r="W30" s="16">
        <f t="shared" ref="W30:W36" si="52">IFERROR(U30*V30, 0)</f>
        <v>0</v>
      </c>
      <c r="X30" s="14"/>
      <c r="Y30" s="15"/>
      <c r="Z30" s="16">
        <f t="shared" si="48"/>
        <v>0</v>
      </c>
      <c r="AA30" s="14"/>
      <c r="AB30" s="15"/>
      <c r="AC30" s="16">
        <f t="shared" si="27"/>
        <v>0</v>
      </c>
      <c r="AD30" s="14"/>
      <c r="AE30" s="15"/>
      <c r="AF30" s="16">
        <f t="shared" si="33"/>
        <v>0</v>
      </c>
      <c r="AG30" s="14"/>
      <c r="AH30" s="15"/>
      <c r="AI30" s="16">
        <f t="shared" ref="AI30:AI51" si="53">IFERROR(AG30*AH30, 0)</f>
        <v>0</v>
      </c>
      <c r="AJ30" s="14"/>
      <c r="AK30" s="15"/>
      <c r="AL30" s="16">
        <f t="shared" si="38"/>
        <v>0</v>
      </c>
      <c r="AM30" s="14"/>
      <c r="AN30" s="15"/>
      <c r="AO30" s="16">
        <f t="shared" si="6"/>
        <v>0</v>
      </c>
      <c r="AP30" s="14"/>
      <c r="AQ30" s="15"/>
      <c r="AR30" s="16">
        <f t="shared" si="7"/>
        <v>0</v>
      </c>
      <c r="AS30" s="14"/>
      <c r="AT30" s="15"/>
      <c r="AU30" s="16">
        <f t="shared" ref="AU30:AU65" si="54">IFERROR(AS30*AT30, 0)</f>
        <v>0</v>
      </c>
      <c r="AV30" s="14"/>
      <c r="AW30" s="15"/>
      <c r="AX30" s="16">
        <f t="shared" si="43"/>
        <v>0</v>
      </c>
      <c r="AY30" s="14"/>
      <c r="AZ30" s="15"/>
      <c r="BA30" s="16">
        <f t="shared" si="9"/>
        <v>0</v>
      </c>
      <c r="BB30" s="14"/>
      <c r="BC30" s="15"/>
      <c r="BD30" s="16">
        <f t="shared" si="37"/>
        <v>0</v>
      </c>
      <c r="BE30" s="14"/>
      <c r="BF30" s="15"/>
      <c r="BG30" s="16">
        <f t="shared" ref="BG30:BG52" si="55">IFERROR(BE30*BF30, 0)</f>
        <v>0</v>
      </c>
      <c r="BH30" s="14"/>
      <c r="BI30" s="15"/>
      <c r="BJ30" s="16">
        <f t="shared" si="11"/>
        <v>0</v>
      </c>
      <c r="BK30" s="14"/>
      <c r="BL30" s="15"/>
      <c r="BM30" s="16">
        <f t="shared" si="41"/>
        <v>0</v>
      </c>
      <c r="BN30" s="14"/>
      <c r="BO30" s="15"/>
      <c r="BP30" s="16">
        <f t="shared" si="46"/>
        <v>0</v>
      </c>
      <c r="BQ30" s="14"/>
      <c r="BR30" s="15"/>
      <c r="BS30" s="16">
        <f t="shared" si="49"/>
        <v>0</v>
      </c>
      <c r="BT30" s="14"/>
      <c r="BU30" s="15"/>
      <c r="BV30" s="16">
        <f t="shared" si="45"/>
        <v>0</v>
      </c>
      <c r="BW30" s="14"/>
      <c r="BX30" s="15"/>
      <c r="BY30" s="16">
        <f t="shared" si="25"/>
        <v>0</v>
      </c>
      <c r="BZ30" s="14"/>
      <c r="CA30" s="15"/>
      <c r="CB30" s="16">
        <f t="shared" si="15"/>
        <v>0</v>
      </c>
      <c r="CC30" s="14"/>
      <c r="CD30" s="15"/>
      <c r="CE30" s="16">
        <f t="shared" si="16"/>
        <v>0</v>
      </c>
      <c r="CF30" s="14"/>
      <c r="CG30" s="15"/>
      <c r="CH30" s="16">
        <f t="shared" si="17"/>
        <v>0</v>
      </c>
      <c r="CI30" s="14"/>
      <c r="CJ30" s="15"/>
      <c r="CK30" s="16">
        <f t="shared" si="18"/>
        <v>0</v>
      </c>
      <c r="CL30" s="14"/>
      <c r="CM30" s="15"/>
      <c r="CN30" s="16">
        <f t="shared" si="19"/>
        <v>0</v>
      </c>
      <c r="CO30" s="14"/>
      <c r="CP30" s="15"/>
      <c r="CQ30" s="16">
        <f t="shared" si="20"/>
        <v>0</v>
      </c>
      <c r="CR30" s="14"/>
      <c r="CS30" s="15"/>
      <c r="CT30" s="16">
        <f t="shared" si="21"/>
        <v>0</v>
      </c>
      <c r="CU30" s="17">
        <f t="shared" si="22"/>
        <v>0</v>
      </c>
      <c r="CV30" s="16">
        <f t="shared" si="23"/>
        <v>0</v>
      </c>
      <c r="CW30" s="16">
        <f t="shared" si="24"/>
        <v>0</v>
      </c>
    </row>
    <row r="31" spans="1:101" s="18" customFormat="1" ht="15" customHeight="1" x14ac:dyDescent="0.35">
      <c r="A31" s="11" t="s">
        <v>848</v>
      </c>
      <c r="B31" s="11" t="s">
        <v>837</v>
      </c>
      <c r="C31" s="12"/>
      <c r="D31" s="13"/>
      <c r="E31" s="13">
        <v>0</v>
      </c>
      <c r="F31" s="14"/>
      <c r="G31" s="15"/>
      <c r="H31" s="16">
        <f t="shared" si="0"/>
        <v>0</v>
      </c>
      <c r="I31" s="14"/>
      <c r="J31" s="15"/>
      <c r="K31" s="16">
        <f t="shared" si="36"/>
        <v>0</v>
      </c>
      <c r="L31" s="14"/>
      <c r="M31" s="15"/>
      <c r="N31" s="16">
        <f t="shared" si="50"/>
        <v>0</v>
      </c>
      <c r="O31" s="14"/>
      <c r="P31" s="15"/>
      <c r="Q31" s="16">
        <f t="shared" si="47"/>
        <v>0</v>
      </c>
      <c r="R31" s="14"/>
      <c r="S31" s="15"/>
      <c r="T31" s="16">
        <f t="shared" si="51"/>
        <v>0</v>
      </c>
      <c r="U31" s="14"/>
      <c r="V31" s="15"/>
      <c r="W31" s="16">
        <f t="shared" si="52"/>
        <v>0</v>
      </c>
      <c r="X31" s="14"/>
      <c r="Y31" s="15"/>
      <c r="Z31" s="16">
        <f t="shared" si="48"/>
        <v>0</v>
      </c>
      <c r="AA31" s="14"/>
      <c r="AB31" s="15"/>
      <c r="AC31" s="16">
        <f t="shared" si="27"/>
        <v>0</v>
      </c>
      <c r="AD31" s="14"/>
      <c r="AE31" s="15"/>
      <c r="AF31" s="16">
        <f t="shared" si="33"/>
        <v>0</v>
      </c>
      <c r="AG31" s="14"/>
      <c r="AH31" s="15"/>
      <c r="AI31" s="16">
        <f t="shared" si="53"/>
        <v>0</v>
      </c>
      <c r="AJ31" s="14"/>
      <c r="AK31" s="15"/>
      <c r="AL31" s="16">
        <f t="shared" si="38"/>
        <v>0</v>
      </c>
      <c r="AM31" s="14"/>
      <c r="AN31" s="15"/>
      <c r="AO31" s="16">
        <f t="shared" si="6"/>
        <v>0</v>
      </c>
      <c r="AP31" s="14"/>
      <c r="AQ31" s="15"/>
      <c r="AR31" s="16">
        <f t="shared" si="7"/>
        <v>0</v>
      </c>
      <c r="AS31" s="14"/>
      <c r="AT31" s="15"/>
      <c r="AU31" s="16">
        <f t="shared" si="54"/>
        <v>0</v>
      </c>
      <c r="AV31" s="14"/>
      <c r="AW31" s="15"/>
      <c r="AX31" s="16">
        <f t="shared" si="43"/>
        <v>0</v>
      </c>
      <c r="AY31" s="14"/>
      <c r="AZ31" s="15"/>
      <c r="BA31" s="16">
        <f t="shared" si="9"/>
        <v>0</v>
      </c>
      <c r="BB31" s="14"/>
      <c r="BC31" s="15"/>
      <c r="BD31" s="16">
        <f t="shared" si="37"/>
        <v>0</v>
      </c>
      <c r="BE31" s="14"/>
      <c r="BF31" s="15"/>
      <c r="BG31" s="16">
        <f t="shared" si="55"/>
        <v>0</v>
      </c>
      <c r="BH31" s="14"/>
      <c r="BI31" s="15"/>
      <c r="BJ31" s="16">
        <f t="shared" si="11"/>
        <v>0</v>
      </c>
      <c r="BK31" s="14"/>
      <c r="BL31" s="15"/>
      <c r="BM31" s="16">
        <f t="shared" si="41"/>
        <v>0</v>
      </c>
      <c r="BN31" s="14"/>
      <c r="BO31" s="15"/>
      <c r="BP31" s="16">
        <f t="shared" si="46"/>
        <v>0</v>
      </c>
      <c r="BQ31" s="14"/>
      <c r="BR31" s="15"/>
      <c r="BS31" s="16">
        <f t="shared" si="49"/>
        <v>0</v>
      </c>
      <c r="BT31" s="14"/>
      <c r="BU31" s="15"/>
      <c r="BV31" s="16">
        <f t="shared" si="45"/>
        <v>0</v>
      </c>
      <c r="BW31" s="14"/>
      <c r="BX31" s="15"/>
      <c r="BY31" s="16">
        <f t="shared" si="25"/>
        <v>0</v>
      </c>
      <c r="BZ31" s="14"/>
      <c r="CA31" s="15"/>
      <c r="CB31" s="16">
        <f t="shared" si="15"/>
        <v>0</v>
      </c>
      <c r="CC31" s="14"/>
      <c r="CD31" s="15"/>
      <c r="CE31" s="16">
        <f t="shared" si="16"/>
        <v>0</v>
      </c>
      <c r="CF31" s="14"/>
      <c r="CG31" s="15"/>
      <c r="CH31" s="16">
        <f t="shared" si="17"/>
        <v>0</v>
      </c>
      <c r="CI31" s="14"/>
      <c r="CJ31" s="15"/>
      <c r="CK31" s="16">
        <f t="shared" si="18"/>
        <v>0</v>
      </c>
      <c r="CL31" s="14"/>
      <c r="CM31" s="15"/>
      <c r="CN31" s="16">
        <f t="shared" si="19"/>
        <v>0</v>
      </c>
      <c r="CO31" s="14"/>
      <c r="CP31" s="15"/>
      <c r="CQ31" s="16">
        <f t="shared" si="20"/>
        <v>0</v>
      </c>
      <c r="CR31" s="14"/>
      <c r="CS31" s="15"/>
      <c r="CT31" s="16">
        <f t="shared" si="21"/>
        <v>0</v>
      </c>
      <c r="CU31" s="17">
        <f t="shared" si="22"/>
        <v>0</v>
      </c>
      <c r="CV31" s="16">
        <f t="shared" si="23"/>
        <v>0</v>
      </c>
      <c r="CW31" s="16">
        <f t="shared" si="24"/>
        <v>0</v>
      </c>
    </row>
    <row r="32" spans="1:101" s="18" customFormat="1" ht="15.75" customHeight="1" x14ac:dyDescent="0.35">
      <c r="A32" s="11" t="s">
        <v>849</v>
      </c>
      <c r="B32" s="11" t="s">
        <v>850</v>
      </c>
      <c r="C32" s="12"/>
      <c r="D32" s="13"/>
      <c r="E32" s="13">
        <v>0</v>
      </c>
      <c r="F32" s="14"/>
      <c r="G32" s="15"/>
      <c r="H32" s="16">
        <f t="shared" si="0"/>
        <v>0</v>
      </c>
      <c r="I32" s="14"/>
      <c r="J32" s="15"/>
      <c r="K32" s="16">
        <f t="shared" si="36"/>
        <v>0</v>
      </c>
      <c r="L32" s="14"/>
      <c r="M32" s="15"/>
      <c r="N32" s="16">
        <f t="shared" si="50"/>
        <v>0</v>
      </c>
      <c r="O32" s="14"/>
      <c r="P32" s="15"/>
      <c r="Q32" s="16">
        <f t="shared" si="47"/>
        <v>0</v>
      </c>
      <c r="R32" s="14"/>
      <c r="S32" s="15"/>
      <c r="T32" s="16">
        <f t="shared" si="51"/>
        <v>0</v>
      </c>
      <c r="U32" s="14"/>
      <c r="V32" s="15"/>
      <c r="W32" s="16">
        <f t="shared" si="52"/>
        <v>0</v>
      </c>
      <c r="X32" s="14"/>
      <c r="Y32" s="15"/>
      <c r="Z32" s="16">
        <f t="shared" si="48"/>
        <v>0</v>
      </c>
      <c r="AA32" s="14"/>
      <c r="AB32" s="15"/>
      <c r="AC32" s="16">
        <f t="shared" si="27"/>
        <v>0</v>
      </c>
      <c r="AD32" s="14"/>
      <c r="AE32" s="15"/>
      <c r="AF32" s="16">
        <f t="shared" si="33"/>
        <v>0</v>
      </c>
      <c r="AG32" s="14"/>
      <c r="AH32" s="15"/>
      <c r="AI32" s="16">
        <f t="shared" si="53"/>
        <v>0</v>
      </c>
      <c r="AJ32" s="14"/>
      <c r="AK32" s="15"/>
      <c r="AL32" s="16">
        <f t="shared" si="38"/>
        <v>0</v>
      </c>
      <c r="AM32" s="14"/>
      <c r="AN32" s="15"/>
      <c r="AO32" s="16">
        <f t="shared" si="6"/>
        <v>0</v>
      </c>
      <c r="AP32" s="14"/>
      <c r="AQ32" s="15"/>
      <c r="AR32" s="16">
        <f t="shared" si="7"/>
        <v>0</v>
      </c>
      <c r="AS32" s="14"/>
      <c r="AT32" s="15"/>
      <c r="AU32" s="16">
        <f t="shared" si="54"/>
        <v>0</v>
      </c>
      <c r="AV32" s="14"/>
      <c r="AW32" s="15"/>
      <c r="AX32" s="16">
        <f t="shared" si="43"/>
        <v>0</v>
      </c>
      <c r="AY32" s="14"/>
      <c r="AZ32" s="15"/>
      <c r="BA32" s="16">
        <f t="shared" si="9"/>
        <v>0</v>
      </c>
      <c r="BB32" s="14"/>
      <c r="BC32" s="15"/>
      <c r="BD32" s="16">
        <f t="shared" si="37"/>
        <v>0</v>
      </c>
      <c r="BE32" s="14"/>
      <c r="BF32" s="15"/>
      <c r="BG32" s="16">
        <f t="shared" si="55"/>
        <v>0</v>
      </c>
      <c r="BH32" s="14"/>
      <c r="BI32" s="15"/>
      <c r="BJ32" s="16">
        <f t="shared" si="11"/>
        <v>0</v>
      </c>
      <c r="BK32" s="14"/>
      <c r="BL32" s="15"/>
      <c r="BM32" s="16">
        <f t="shared" si="41"/>
        <v>0</v>
      </c>
      <c r="BN32" s="14"/>
      <c r="BO32" s="15"/>
      <c r="BP32" s="16">
        <f t="shared" si="46"/>
        <v>0</v>
      </c>
      <c r="BQ32" s="14"/>
      <c r="BR32" s="15"/>
      <c r="BS32" s="16">
        <f t="shared" si="49"/>
        <v>0</v>
      </c>
      <c r="BT32" s="14"/>
      <c r="BU32" s="15"/>
      <c r="BV32" s="16">
        <f t="shared" si="45"/>
        <v>0</v>
      </c>
      <c r="BW32" s="14"/>
      <c r="BX32" s="15"/>
      <c r="BY32" s="16">
        <f t="shared" si="25"/>
        <v>0</v>
      </c>
      <c r="BZ32" s="14"/>
      <c r="CA32" s="15"/>
      <c r="CB32" s="16">
        <f t="shared" si="15"/>
        <v>0</v>
      </c>
      <c r="CC32" s="14"/>
      <c r="CD32" s="15"/>
      <c r="CE32" s="16">
        <f t="shared" si="16"/>
        <v>0</v>
      </c>
      <c r="CF32" s="14"/>
      <c r="CG32" s="15"/>
      <c r="CH32" s="16">
        <f t="shared" si="17"/>
        <v>0</v>
      </c>
      <c r="CI32" s="14"/>
      <c r="CJ32" s="15"/>
      <c r="CK32" s="16">
        <f t="shared" si="18"/>
        <v>0</v>
      </c>
      <c r="CL32" s="14"/>
      <c r="CM32" s="15"/>
      <c r="CN32" s="16">
        <f t="shared" si="19"/>
        <v>0</v>
      </c>
      <c r="CO32" s="14"/>
      <c r="CP32" s="15"/>
      <c r="CQ32" s="16">
        <f t="shared" si="20"/>
        <v>0</v>
      </c>
      <c r="CR32" s="14"/>
      <c r="CS32" s="15"/>
      <c r="CT32" s="16">
        <f t="shared" si="21"/>
        <v>0</v>
      </c>
      <c r="CU32" s="17">
        <f t="shared" si="22"/>
        <v>0</v>
      </c>
      <c r="CV32" s="16">
        <f t="shared" si="23"/>
        <v>0</v>
      </c>
      <c r="CW32" s="16">
        <f t="shared" si="24"/>
        <v>0</v>
      </c>
    </row>
    <row r="33" spans="1:101" s="18" customFormat="1" ht="15" customHeight="1" x14ac:dyDescent="0.35">
      <c r="A33" s="11" t="s">
        <v>851</v>
      </c>
      <c r="B33" s="11" t="s">
        <v>837</v>
      </c>
      <c r="C33" s="12"/>
      <c r="D33" s="13"/>
      <c r="E33" s="13">
        <v>0</v>
      </c>
      <c r="F33" s="14"/>
      <c r="G33" s="15"/>
      <c r="H33" s="16">
        <f t="shared" si="0"/>
        <v>0</v>
      </c>
      <c r="I33" s="14"/>
      <c r="J33" s="15"/>
      <c r="K33" s="16">
        <f t="shared" si="36"/>
        <v>0</v>
      </c>
      <c r="L33" s="14"/>
      <c r="M33" s="15"/>
      <c r="N33" s="16">
        <f t="shared" si="50"/>
        <v>0</v>
      </c>
      <c r="O33" s="14"/>
      <c r="P33" s="15"/>
      <c r="Q33" s="16">
        <f t="shared" si="47"/>
        <v>0</v>
      </c>
      <c r="R33" s="14"/>
      <c r="S33" s="15"/>
      <c r="T33" s="16">
        <f t="shared" si="51"/>
        <v>0</v>
      </c>
      <c r="U33" s="14"/>
      <c r="V33" s="15"/>
      <c r="W33" s="16">
        <f t="shared" si="52"/>
        <v>0</v>
      </c>
      <c r="X33" s="14"/>
      <c r="Y33" s="15"/>
      <c r="Z33" s="16">
        <f t="shared" si="48"/>
        <v>0</v>
      </c>
      <c r="AA33" s="14"/>
      <c r="AB33" s="15"/>
      <c r="AC33" s="16">
        <f t="shared" si="27"/>
        <v>0</v>
      </c>
      <c r="AD33" s="14"/>
      <c r="AE33" s="15"/>
      <c r="AF33" s="16">
        <f t="shared" si="33"/>
        <v>0</v>
      </c>
      <c r="AG33" s="14"/>
      <c r="AH33" s="15"/>
      <c r="AI33" s="16">
        <f t="shared" si="53"/>
        <v>0</v>
      </c>
      <c r="AJ33" s="14"/>
      <c r="AK33" s="15"/>
      <c r="AL33" s="16">
        <f t="shared" si="38"/>
        <v>0</v>
      </c>
      <c r="AM33" s="14"/>
      <c r="AN33" s="15"/>
      <c r="AO33" s="16">
        <f t="shared" si="6"/>
        <v>0</v>
      </c>
      <c r="AP33" s="14"/>
      <c r="AQ33" s="15"/>
      <c r="AR33" s="16">
        <f t="shared" si="7"/>
        <v>0</v>
      </c>
      <c r="AS33" s="14"/>
      <c r="AT33" s="15"/>
      <c r="AU33" s="16">
        <f t="shared" si="54"/>
        <v>0</v>
      </c>
      <c r="AV33" s="14"/>
      <c r="AW33" s="15"/>
      <c r="AX33" s="16">
        <f t="shared" si="43"/>
        <v>0</v>
      </c>
      <c r="AY33" s="14"/>
      <c r="AZ33" s="15"/>
      <c r="BA33" s="16">
        <f t="shared" si="9"/>
        <v>0</v>
      </c>
      <c r="BB33" s="14"/>
      <c r="BC33" s="15"/>
      <c r="BD33" s="16">
        <f t="shared" si="37"/>
        <v>0</v>
      </c>
      <c r="BE33" s="14"/>
      <c r="BF33" s="15"/>
      <c r="BG33" s="16">
        <f t="shared" si="55"/>
        <v>0</v>
      </c>
      <c r="BH33" s="14"/>
      <c r="BI33" s="15"/>
      <c r="BJ33" s="16">
        <f t="shared" si="11"/>
        <v>0</v>
      </c>
      <c r="BK33" s="14"/>
      <c r="BL33" s="15"/>
      <c r="BM33" s="16">
        <f t="shared" si="41"/>
        <v>0</v>
      </c>
      <c r="BN33" s="14"/>
      <c r="BO33" s="15"/>
      <c r="BP33" s="16">
        <f t="shared" si="46"/>
        <v>0</v>
      </c>
      <c r="BQ33" s="14"/>
      <c r="BR33" s="15"/>
      <c r="BS33" s="16">
        <f t="shared" si="49"/>
        <v>0</v>
      </c>
      <c r="BT33" s="14"/>
      <c r="BU33" s="15"/>
      <c r="BV33" s="16">
        <f t="shared" si="45"/>
        <v>0</v>
      </c>
      <c r="BW33" s="14"/>
      <c r="BX33" s="15"/>
      <c r="BY33" s="16">
        <f t="shared" si="25"/>
        <v>0</v>
      </c>
      <c r="BZ33" s="14"/>
      <c r="CA33" s="15"/>
      <c r="CB33" s="16">
        <f t="shared" si="15"/>
        <v>0</v>
      </c>
      <c r="CC33" s="14"/>
      <c r="CD33" s="15"/>
      <c r="CE33" s="16">
        <f t="shared" si="16"/>
        <v>0</v>
      </c>
      <c r="CF33" s="14"/>
      <c r="CG33" s="15"/>
      <c r="CH33" s="16">
        <f t="shared" si="17"/>
        <v>0</v>
      </c>
      <c r="CI33" s="14"/>
      <c r="CJ33" s="15"/>
      <c r="CK33" s="16">
        <f t="shared" si="18"/>
        <v>0</v>
      </c>
      <c r="CL33" s="14"/>
      <c r="CM33" s="15"/>
      <c r="CN33" s="16">
        <f t="shared" si="19"/>
        <v>0</v>
      </c>
      <c r="CO33" s="14"/>
      <c r="CP33" s="15"/>
      <c r="CQ33" s="16">
        <f t="shared" si="20"/>
        <v>0</v>
      </c>
      <c r="CR33" s="14"/>
      <c r="CS33" s="15"/>
      <c r="CT33" s="16">
        <f t="shared" si="21"/>
        <v>0</v>
      </c>
      <c r="CU33" s="17">
        <f t="shared" si="22"/>
        <v>0</v>
      </c>
      <c r="CV33" s="16">
        <f t="shared" si="23"/>
        <v>0</v>
      </c>
      <c r="CW33" s="16">
        <f t="shared" si="24"/>
        <v>0</v>
      </c>
    </row>
    <row r="34" spans="1:101" s="18" customFormat="1" ht="15" customHeight="1" x14ac:dyDescent="0.35">
      <c r="A34" s="11" t="s">
        <v>62</v>
      </c>
      <c r="B34" s="11" t="s">
        <v>837</v>
      </c>
      <c r="C34" s="12"/>
      <c r="D34" s="13"/>
      <c r="E34" s="13">
        <v>0</v>
      </c>
      <c r="F34" s="14">
        <v>2</v>
      </c>
      <c r="G34" s="15">
        <v>22000</v>
      </c>
      <c r="H34" s="16">
        <v>44000</v>
      </c>
      <c r="I34" s="14"/>
      <c r="J34" s="15"/>
      <c r="K34" s="16">
        <f t="shared" si="36"/>
        <v>0</v>
      </c>
      <c r="L34" s="14"/>
      <c r="M34" s="15"/>
      <c r="N34" s="16">
        <f t="shared" si="50"/>
        <v>0</v>
      </c>
      <c r="O34" s="14"/>
      <c r="P34" s="15"/>
      <c r="Q34" s="16">
        <f t="shared" si="47"/>
        <v>0</v>
      </c>
      <c r="R34" s="14"/>
      <c r="S34" s="15"/>
      <c r="T34" s="16">
        <f t="shared" si="51"/>
        <v>0</v>
      </c>
      <c r="U34" s="14"/>
      <c r="V34" s="15"/>
      <c r="W34" s="16">
        <f t="shared" si="52"/>
        <v>0</v>
      </c>
      <c r="X34" s="14"/>
      <c r="Y34" s="15"/>
      <c r="Z34" s="16">
        <f t="shared" si="48"/>
        <v>0</v>
      </c>
      <c r="AA34" s="14"/>
      <c r="AB34" s="15"/>
      <c r="AC34" s="16">
        <f t="shared" si="27"/>
        <v>0</v>
      </c>
      <c r="AD34" s="14"/>
      <c r="AE34" s="15"/>
      <c r="AF34" s="16">
        <f t="shared" si="33"/>
        <v>0</v>
      </c>
      <c r="AG34" s="14"/>
      <c r="AH34" s="15"/>
      <c r="AI34" s="16">
        <f t="shared" si="53"/>
        <v>0</v>
      </c>
      <c r="AJ34" s="14"/>
      <c r="AK34" s="15"/>
      <c r="AL34" s="16">
        <f t="shared" si="38"/>
        <v>0</v>
      </c>
      <c r="AM34" s="14"/>
      <c r="AN34" s="15"/>
      <c r="AO34" s="16">
        <f t="shared" si="6"/>
        <v>0</v>
      </c>
      <c r="AP34" s="14"/>
      <c r="AQ34" s="15"/>
      <c r="AR34" s="16">
        <f t="shared" si="7"/>
        <v>0</v>
      </c>
      <c r="AS34" s="14"/>
      <c r="AT34" s="15"/>
      <c r="AU34" s="16">
        <f t="shared" si="54"/>
        <v>0</v>
      </c>
      <c r="AV34" s="14">
        <v>8.1999999999999993</v>
      </c>
      <c r="AW34" s="15">
        <v>21500</v>
      </c>
      <c r="AX34" s="16">
        <v>176300</v>
      </c>
      <c r="AY34" s="14"/>
      <c r="AZ34" s="15"/>
      <c r="BA34" s="16">
        <f t="shared" si="9"/>
        <v>0</v>
      </c>
      <c r="BB34" s="14"/>
      <c r="BC34" s="15"/>
      <c r="BD34" s="16">
        <f t="shared" si="37"/>
        <v>0</v>
      </c>
      <c r="BE34" s="14"/>
      <c r="BF34" s="15"/>
      <c r="BG34" s="16">
        <f t="shared" si="55"/>
        <v>0</v>
      </c>
      <c r="BH34" s="14"/>
      <c r="BI34" s="15"/>
      <c r="BJ34" s="16">
        <f t="shared" si="11"/>
        <v>0</v>
      </c>
      <c r="BK34" s="14"/>
      <c r="BL34" s="15"/>
      <c r="BM34" s="16">
        <f t="shared" si="41"/>
        <v>0</v>
      </c>
      <c r="BN34" s="14"/>
      <c r="BO34" s="15"/>
      <c r="BP34" s="16">
        <f t="shared" si="46"/>
        <v>0</v>
      </c>
      <c r="BQ34" s="14"/>
      <c r="BR34" s="15"/>
      <c r="BS34" s="16">
        <f t="shared" si="49"/>
        <v>0</v>
      </c>
      <c r="BT34" s="14"/>
      <c r="BU34" s="15"/>
      <c r="BV34" s="16">
        <f t="shared" si="45"/>
        <v>0</v>
      </c>
      <c r="BW34" s="14"/>
      <c r="BX34" s="15"/>
      <c r="BY34" s="16">
        <f t="shared" si="25"/>
        <v>0</v>
      </c>
      <c r="BZ34" s="14"/>
      <c r="CA34" s="15"/>
      <c r="CB34" s="16">
        <f t="shared" si="15"/>
        <v>0</v>
      </c>
      <c r="CC34" s="14"/>
      <c r="CD34" s="15"/>
      <c r="CE34" s="16">
        <f t="shared" si="16"/>
        <v>0</v>
      </c>
      <c r="CF34" s="14"/>
      <c r="CG34" s="15"/>
      <c r="CH34" s="16">
        <f t="shared" si="17"/>
        <v>0</v>
      </c>
      <c r="CI34" s="14"/>
      <c r="CJ34" s="15"/>
      <c r="CK34" s="16">
        <f t="shared" si="18"/>
        <v>0</v>
      </c>
      <c r="CL34" s="14"/>
      <c r="CM34" s="15"/>
      <c r="CN34" s="16">
        <f t="shared" si="19"/>
        <v>0</v>
      </c>
      <c r="CO34" s="14"/>
      <c r="CP34" s="15"/>
      <c r="CQ34" s="16">
        <f t="shared" si="20"/>
        <v>0</v>
      </c>
      <c r="CR34" s="14"/>
      <c r="CS34" s="15"/>
      <c r="CT34" s="16">
        <f t="shared" si="21"/>
        <v>0</v>
      </c>
      <c r="CU34" s="17">
        <f t="shared" si="22"/>
        <v>10.199999999999999</v>
      </c>
      <c r="CV34" s="16">
        <f t="shared" si="23"/>
        <v>21750</v>
      </c>
      <c r="CW34" s="16">
        <f t="shared" si="24"/>
        <v>221849.99999999997</v>
      </c>
    </row>
    <row r="35" spans="1:101" s="18" customFormat="1" ht="15" customHeight="1" x14ac:dyDescent="0.35">
      <c r="A35" s="11" t="s">
        <v>68</v>
      </c>
      <c r="B35" s="11" t="s">
        <v>837</v>
      </c>
      <c r="C35" s="12"/>
      <c r="D35" s="13"/>
      <c r="E35" s="13">
        <v>0</v>
      </c>
      <c r="F35" s="14">
        <v>5.91</v>
      </c>
      <c r="G35" s="15">
        <v>23500</v>
      </c>
      <c r="H35" s="16">
        <v>138767.5</v>
      </c>
      <c r="I35" s="14"/>
      <c r="J35" s="15"/>
      <c r="K35" s="16">
        <f t="shared" si="36"/>
        <v>0</v>
      </c>
      <c r="L35" s="14"/>
      <c r="M35" s="15"/>
      <c r="N35" s="16">
        <f t="shared" si="50"/>
        <v>0</v>
      </c>
      <c r="O35" s="14">
        <v>5.43</v>
      </c>
      <c r="P35" s="15">
        <v>23500</v>
      </c>
      <c r="Q35" s="16">
        <v>127605</v>
      </c>
      <c r="R35" s="14"/>
      <c r="S35" s="15"/>
      <c r="T35" s="16">
        <f t="shared" si="51"/>
        <v>0</v>
      </c>
      <c r="U35" s="14"/>
      <c r="V35" s="15"/>
      <c r="W35" s="16">
        <f t="shared" si="52"/>
        <v>0</v>
      </c>
      <c r="X35" s="14">
        <v>42.6</v>
      </c>
      <c r="Y35" s="15">
        <v>22900</v>
      </c>
      <c r="Z35" s="16">
        <v>975540</v>
      </c>
      <c r="AA35" s="14"/>
      <c r="AB35" s="15"/>
      <c r="AC35" s="16">
        <f t="shared" si="27"/>
        <v>0</v>
      </c>
      <c r="AD35" s="14"/>
      <c r="AE35" s="15"/>
      <c r="AF35" s="16">
        <f t="shared" si="33"/>
        <v>0</v>
      </c>
      <c r="AG35" s="14"/>
      <c r="AH35" s="15"/>
      <c r="AI35" s="16">
        <f t="shared" si="53"/>
        <v>0</v>
      </c>
      <c r="AJ35" s="14"/>
      <c r="AK35" s="15"/>
      <c r="AL35" s="16">
        <f t="shared" si="38"/>
        <v>0</v>
      </c>
      <c r="AM35" s="14"/>
      <c r="AN35" s="15"/>
      <c r="AO35" s="16">
        <f t="shared" si="6"/>
        <v>0</v>
      </c>
      <c r="AP35" s="14"/>
      <c r="AQ35" s="15"/>
      <c r="AR35" s="16">
        <f t="shared" si="7"/>
        <v>0</v>
      </c>
      <c r="AS35" s="14"/>
      <c r="AT35" s="15"/>
      <c r="AU35" s="16">
        <f t="shared" si="54"/>
        <v>0</v>
      </c>
      <c r="AV35" s="14"/>
      <c r="AW35" s="15"/>
      <c r="AX35" s="16">
        <f t="shared" ref="AX35:AX48" si="56">IFERROR(AV35*AW35, 0)</f>
        <v>0</v>
      </c>
      <c r="AY35" s="14"/>
      <c r="AZ35" s="15"/>
      <c r="BA35" s="16">
        <f t="shared" ref="BA35:BA66" si="57">IFERROR(AY35*AZ35, 0)</f>
        <v>0</v>
      </c>
      <c r="BB35" s="14">
        <v>40.1</v>
      </c>
      <c r="BC35" s="15">
        <v>22900</v>
      </c>
      <c r="BD35" s="16">
        <v>918290</v>
      </c>
      <c r="BE35" s="14"/>
      <c r="BF35" s="15"/>
      <c r="BG35" s="16">
        <f t="shared" si="55"/>
        <v>0</v>
      </c>
      <c r="BH35" s="14"/>
      <c r="BI35" s="15"/>
      <c r="BJ35" s="16">
        <f t="shared" ref="BJ35:BJ66" si="58">IFERROR(BH35*BI35, 0)</f>
        <v>0</v>
      </c>
      <c r="BK35" s="14"/>
      <c r="BL35" s="15"/>
      <c r="BM35" s="16">
        <f t="shared" si="41"/>
        <v>0</v>
      </c>
      <c r="BN35" s="14"/>
      <c r="BO35" s="15"/>
      <c r="BP35" s="16">
        <f t="shared" si="46"/>
        <v>0</v>
      </c>
      <c r="BQ35" s="14"/>
      <c r="BR35" s="15"/>
      <c r="BS35" s="16">
        <f t="shared" si="49"/>
        <v>0</v>
      </c>
      <c r="BT35" s="14"/>
      <c r="BU35" s="15"/>
      <c r="BV35" s="16">
        <f t="shared" si="45"/>
        <v>0</v>
      </c>
      <c r="BW35" s="14"/>
      <c r="BX35" s="15"/>
      <c r="BY35" s="16">
        <f t="shared" si="25"/>
        <v>0</v>
      </c>
      <c r="BZ35" s="14"/>
      <c r="CA35" s="15"/>
      <c r="CB35" s="16">
        <f t="shared" ref="CB35:CB66" si="59">IFERROR(BZ35*CA35, 0)</f>
        <v>0</v>
      </c>
      <c r="CC35" s="14"/>
      <c r="CD35" s="15"/>
      <c r="CE35" s="16">
        <f t="shared" ref="CE35:CE66" si="60">IFERROR(CC35*CD35, 0)</f>
        <v>0</v>
      </c>
      <c r="CF35" s="14"/>
      <c r="CG35" s="15"/>
      <c r="CH35" s="16">
        <f t="shared" ref="CH35:CH66" si="61">IFERROR(CF35*CG35, 0)</f>
        <v>0</v>
      </c>
      <c r="CI35" s="14"/>
      <c r="CJ35" s="15"/>
      <c r="CK35" s="16">
        <f t="shared" si="18"/>
        <v>0</v>
      </c>
      <c r="CL35" s="14"/>
      <c r="CM35" s="15"/>
      <c r="CN35" s="16">
        <f t="shared" ref="CN35:CN66" si="62">IFERROR(CL35*CM35, 0)</f>
        <v>0</v>
      </c>
      <c r="CO35" s="14"/>
      <c r="CP35" s="15"/>
      <c r="CQ35" s="16">
        <f t="shared" ref="CQ35:CQ66" si="63">IFERROR(CO35*CP35, 0)</f>
        <v>0</v>
      </c>
      <c r="CR35" s="14"/>
      <c r="CS35" s="15"/>
      <c r="CT35" s="16">
        <f t="shared" ref="CT35:CT66" si="64">IFERROR(CR35*CS35, 0)</f>
        <v>0</v>
      </c>
      <c r="CU35" s="17">
        <f t="shared" ref="CU35:CU66" si="65">IFERROR(SUM(F35,I35,L35,O35,R35,U35,X35,AA35,AD35,AG35,AJ35,AM35,AP35,AS35,AV35,AY35,BB35,BE35,BH35,BK35,BN35,BQ35,BT35,BW35,BZ35,CC35,CF35,CI35,CL35,CO35,CR35), 0)</f>
        <v>94.039999999999992</v>
      </c>
      <c r="CV35" s="16">
        <f t="shared" ref="CV35:CV66" si="66">IFERROR(AVERAGE(G35,J35,M35,P35,S35,V35,Y35,AB35,AE35,AH35,AK35,AN35,AQ35,AT35,AW35,AZ35,BC35,BF35,BI35,BL35,BO35,BR35,BU35,BX35,CA35,CD35,CG35,CJ35,CM35,CP35,CS35), 0)</f>
        <v>23200</v>
      </c>
      <c r="CW35" s="16">
        <f t="shared" ref="CW35:CW66" si="67">CU35*CV35</f>
        <v>2181728</v>
      </c>
    </row>
    <row r="36" spans="1:101" s="18" customFormat="1" ht="15" customHeight="1" x14ac:dyDescent="0.35">
      <c r="A36" s="11" t="s">
        <v>852</v>
      </c>
      <c r="B36" s="11" t="s">
        <v>837</v>
      </c>
      <c r="C36" s="12"/>
      <c r="D36" s="13"/>
      <c r="E36" s="13">
        <v>0</v>
      </c>
      <c r="F36" s="14"/>
      <c r="G36" s="15"/>
      <c r="H36" s="16">
        <f>IFERROR(F36*G36, 0)</f>
        <v>0</v>
      </c>
      <c r="I36" s="14"/>
      <c r="J36" s="15"/>
      <c r="K36" s="16">
        <f t="shared" si="36"/>
        <v>0</v>
      </c>
      <c r="L36" s="14"/>
      <c r="M36" s="15"/>
      <c r="N36" s="16">
        <f t="shared" si="50"/>
        <v>0</v>
      </c>
      <c r="O36" s="14"/>
      <c r="P36" s="15"/>
      <c r="Q36" s="16">
        <f>IFERROR(O36*P36, 0)</f>
        <v>0</v>
      </c>
      <c r="R36" s="14"/>
      <c r="S36" s="15"/>
      <c r="T36" s="16">
        <f t="shared" si="51"/>
        <v>0</v>
      </c>
      <c r="U36" s="14"/>
      <c r="V36" s="15"/>
      <c r="W36" s="16">
        <f t="shared" si="52"/>
        <v>0</v>
      </c>
      <c r="X36" s="14"/>
      <c r="Y36" s="15"/>
      <c r="Z36" s="16">
        <f t="shared" ref="Z36:Z56" si="68">IFERROR(X36*Y36, 0)</f>
        <v>0</v>
      </c>
      <c r="AA36" s="14"/>
      <c r="AB36" s="15"/>
      <c r="AC36" s="16">
        <f t="shared" si="27"/>
        <v>0</v>
      </c>
      <c r="AD36" s="14"/>
      <c r="AE36" s="15"/>
      <c r="AF36" s="16">
        <f t="shared" si="33"/>
        <v>0</v>
      </c>
      <c r="AG36" s="14"/>
      <c r="AH36" s="15"/>
      <c r="AI36" s="16">
        <f t="shared" si="53"/>
        <v>0</v>
      </c>
      <c r="AJ36" s="14"/>
      <c r="AK36" s="15"/>
      <c r="AL36" s="16">
        <f t="shared" si="38"/>
        <v>0</v>
      </c>
      <c r="AM36" s="14"/>
      <c r="AN36" s="15"/>
      <c r="AO36" s="16">
        <f t="shared" si="6"/>
        <v>0</v>
      </c>
      <c r="AP36" s="14"/>
      <c r="AQ36" s="15"/>
      <c r="AR36" s="16">
        <f t="shared" si="7"/>
        <v>0</v>
      </c>
      <c r="AS36" s="14"/>
      <c r="AT36" s="15"/>
      <c r="AU36" s="16">
        <f t="shared" si="54"/>
        <v>0</v>
      </c>
      <c r="AV36" s="14"/>
      <c r="AW36" s="15"/>
      <c r="AX36" s="16">
        <f t="shared" si="56"/>
        <v>0</v>
      </c>
      <c r="AY36" s="14"/>
      <c r="AZ36" s="15"/>
      <c r="BA36" s="16">
        <f t="shared" si="57"/>
        <v>0</v>
      </c>
      <c r="BB36" s="14"/>
      <c r="BC36" s="15"/>
      <c r="BD36" s="16">
        <f>IFERROR(BB36*BC36, 0)</f>
        <v>0</v>
      </c>
      <c r="BE36" s="14"/>
      <c r="BF36" s="15"/>
      <c r="BG36" s="16">
        <f t="shared" si="55"/>
        <v>0</v>
      </c>
      <c r="BH36" s="14"/>
      <c r="BI36" s="15"/>
      <c r="BJ36" s="16">
        <f t="shared" si="58"/>
        <v>0</v>
      </c>
      <c r="BK36" s="14"/>
      <c r="BL36" s="15"/>
      <c r="BM36" s="16">
        <f t="shared" si="41"/>
        <v>0</v>
      </c>
      <c r="BN36" s="14"/>
      <c r="BO36" s="15"/>
      <c r="BP36" s="16">
        <f t="shared" si="46"/>
        <v>0</v>
      </c>
      <c r="BQ36" s="14"/>
      <c r="BR36" s="15"/>
      <c r="BS36" s="16">
        <f t="shared" si="49"/>
        <v>0</v>
      </c>
      <c r="BT36" s="14"/>
      <c r="BU36" s="15"/>
      <c r="BV36" s="16">
        <f t="shared" si="45"/>
        <v>0</v>
      </c>
      <c r="BW36" s="14"/>
      <c r="BX36" s="15"/>
      <c r="BY36" s="16">
        <f t="shared" si="25"/>
        <v>0</v>
      </c>
      <c r="BZ36" s="14"/>
      <c r="CA36" s="15"/>
      <c r="CB36" s="16">
        <f t="shared" si="59"/>
        <v>0</v>
      </c>
      <c r="CC36" s="14"/>
      <c r="CD36" s="15"/>
      <c r="CE36" s="16">
        <f t="shared" si="60"/>
        <v>0</v>
      </c>
      <c r="CF36" s="14"/>
      <c r="CG36" s="15"/>
      <c r="CH36" s="16">
        <f t="shared" si="61"/>
        <v>0</v>
      </c>
      <c r="CI36" s="14"/>
      <c r="CJ36" s="15"/>
      <c r="CK36" s="16">
        <f t="shared" si="18"/>
        <v>0</v>
      </c>
      <c r="CL36" s="14"/>
      <c r="CM36" s="15"/>
      <c r="CN36" s="16">
        <f t="shared" si="62"/>
        <v>0</v>
      </c>
      <c r="CO36" s="14"/>
      <c r="CP36" s="15"/>
      <c r="CQ36" s="16">
        <f t="shared" si="63"/>
        <v>0</v>
      </c>
      <c r="CR36" s="14"/>
      <c r="CS36" s="15"/>
      <c r="CT36" s="16">
        <f t="shared" si="64"/>
        <v>0</v>
      </c>
      <c r="CU36" s="17">
        <f t="shared" si="65"/>
        <v>0</v>
      </c>
      <c r="CV36" s="16">
        <f t="shared" si="66"/>
        <v>0</v>
      </c>
      <c r="CW36" s="16">
        <f t="shared" si="67"/>
        <v>0</v>
      </c>
    </row>
    <row r="37" spans="1:101" s="18" customFormat="1" ht="15" customHeight="1" x14ac:dyDescent="0.35">
      <c r="A37" s="11" t="s">
        <v>55</v>
      </c>
      <c r="B37" s="11" t="s">
        <v>837</v>
      </c>
      <c r="C37" s="12"/>
      <c r="D37" s="13"/>
      <c r="E37" s="13">
        <v>0</v>
      </c>
      <c r="F37" s="14">
        <v>13.2</v>
      </c>
      <c r="G37" s="15">
        <v>19800</v>
      </c>
      <c r="H37" s="16">
        <v>261360</v>
      </c>
      <c r="I37" s="14"/>
      <c r="J37" s="15"/>
      <c r="K37" s="16">
        <f t="shared" si="36"/>
        <v>0</v>
      </c>
      <c r="L37" s="14"/>
      <c r="M37" s="15"/>
      <c r="N37" s="16">
        <f t="shared" si="50"/>
        <v>0</v>
      </c>
      <c r="O37" s="14">
        <v>15.9</v>
      </c>
      <c r="P37" s="15">
        <v>19800</v>
      </c>
      <c r="Q37" s="16">
        <v>314820</v>
      </c>
      <c r="R37" s="14">
        <v>20.6</v>
      </c>
      <c r="S37" s="15">
        <v>19500</v>
      </c>
      <c r="T37" s="16">
        <v>401700</v>
      </c>
      <c r="U37" s="14">
        <v>10.57</v>
      </c>
      <c r="V37" s="15">
        <v>19800</v>
      </c>
      <c r="W37" s="16">
        <v>328986</v>
      </c>
      <c r="X37" s="14"/>
      <c r="Y37" s="15"/>
      <c r="Z37" s="16">
        <f t="shared" si="68"/>
        <v>0</v>
      </c>
      <c r="AA37" s="14"/>
      <c r="AB37" s="15"/>
      <c r="AC37" s="16">
        <f t="shared" si="27"/>
        <v>0</v>
      </c>
      <c r="AD37" s="14"/>
      <c r="AE37" s="15"/>
      <c r="AF37" s="16">
        <f t="shared" si="33"/>
        <v>0</v>
      </c>
      <c r="AG37" s="14"/>
      <c r="AH37" s="15"/>
      <c r="AI37" s="16">
        <f t="shared" si="53"/>
        <v>0</v>
      </c>
      <c r="AJ37" s="14"/>
      <c r="AK37" s="15"/>
      <c r="AL37" s="16">
        <f t="shared" si="38"/>
        <v>0</v>
      </c>
      <c r="AM37" s="14"/>
      <c r="AN37" s="15"/>
      <c r="AO37" s="16">
        <f t="shared" si="6"/>
        <v>0</v>
      </c>
      <c r="AP37" s="14"/>
      <c r="AQ37" s="15"/>
      <c r="AR37" s="16">
        <f t="shared" si="7"/>
        <v>0</v>
      </c>
      <c r="AS37" s="14"/>
      <c r="AT37" s="15"/>
      <c r="AU37" s="16">
        <f t="shared" si="54"/>
        <v>0</v>
      </c>
      <c r="AV37" s="14"/>
      <c r="AW37" s="15"/>
      <c r="AX37" s="16">
        <f t="shared" si="56"/>
        <v>0</v>
      </c>
      <c r="AY37" s="14"/>
      <c r="AZ37" s="15"/>
      <c r="BA37" s="16">
        <f t="shared" si="57"/>
        <v>0</v>
      </c>
      <c r="BB37" s="14"/>
      <c r="BC37" s="15"/>
      <c r="BD37" s="16">
        <f>IFERROR(BB37*BC37, 0)</f>
        <v>0</v>
      </c>
      <c r="BE37" s="14"/>
      <c r="BF37" s="15"/>
      <c r="BG37" s="16">
        <f t="shared" si="55"/>
        <v>0</v>
      </c>
      <c r="BH37" s="14"/>
      <c r="BI37" s="15"/>
      <c r="BJ37" s="16">
        <f t="shared" si="58"/>
        <v>0</v>
      </c>
      <c r="BK37" s="14"/>
      <c r="BL37" s="15"/>
      <c r="BM37" s="16">
        <f t="shared" si="41"/>
        <v>0</v>
      </c>
      <c r="BN37" s="14">
        <v>9.15</v>
      </c>
      <c r="BO37" s="15">
        <v>19500</v>
      </c>
      <c r="BP37" s="16">
        <v>178425</v>
      </c>
      <c r="BQ37" s="14">
        <v>18.309999999999999</v>
      </c>
      <c r="BR37" s="15">
        <v>19500</v>
      </c>
      <c r="BS37" s="16">
        <v>357045</v>
      </c>
      <c r="BT37" s="14"/>
      <c r="BU37" s="15"/>
      <c r="BV37" s="16">
        <f t="shared" si="45"/>
        <v>0</v>
      </c>
      <c r="BW37" s="14"/>
      <c r="BX37" s="15"/>
      <c r="BY37" s="16">
        <f t="shared" si="25"/>
        <v>0</v>
      </c>
      <c r="BZ37" s="14"/>
      <c r="CA37" s="15"/>
      <c r="CB37" s="16">
        <f t="shared" si="59"/>
        <v>0</v>
      </c>
      <c r="CC37" s="14"/>
      <c r="CD37" s="15"/>
      <c r="CE37" s="16">
        <f t="shared" si="60"/>
        <v>0</v>
      </c>
      <c r="CF37" s="14"/>
      <c r="CG37" s="15"/>
      <c r="CH37" s="16">
        <f t="shared" si="61"/>
        <v>0</v>
      </c>
      <c r="CI37" s="14">
        <v>9.15</v>
      </c>
      <c r="CJ37" s="15">
        <v>19500</v>
      </c>
      <c r="CK37" s="16">
        <v>178425</v>
      </c>
      <c r="CL37" s="14"/>
      <c r="CM37" s="15"/>
      <c r="CN37" s="16">
        <f t="shared" si="62"/>
        <v>0</v>
      </c>
      <c r="CO37" s="14"/>
      <c r="CP37" s="15"/>
      <c r="CQ37" s="16">
        <f t="shared" si="63"/>
        <v>0</v>
      </c>
      <c r="CR37" s="14"/>
      <c r="CS37" s="15"/>
      <c r="CT37" s="16">
        <f t="shared" si="64"/>
        <v>0</v>
      </c>
      <c r="CU37" s="17">
        <f t="shared" si="65"/>
        <v>96.88000000000001</v>
      </c>
      <c r="CV37" s="16">
        <f t="shared" si="66"/>
        <v>19628.571428571428</v>
      </c>
      <c r="CW37" s="16">
        <f t="shared" si="67"/>
        <v>1901616</v>
      </c>
    </row>
    <row r="38" spans="1:101" s="18" customFormat="1" ht="15" customHeight="1" x14ac:dyDescent="0.35">
      <c r="A38" s="11" t="s">
        <v>230</v>
      </c>
      <c r="B38" s="11" t="s">
        <v>837</v>
      </c>
      <c r="C38" s="12"/>
      <c r="D38" s="13"/>
      <c r="E38" s="13">
        <v>0</v>
      </c>
      <c r="F38" s="14"/>
      <c r="G38" s="15"/>
      <c r="H38" s="16">
        <f t="shared" ref="H38:H48" si="69">IFERROR(F38*G38, 0)</f>
        <v>0</v>
      </c>
      <c r="I38" s="14"/>
      <c r="J38" s="15"/>
      <c r="K38" s="16">
        <f t="shared" si="36"/>
        <v>0</v>
      </c>
      <c r="L38" s="14"/>
      <c r="M38" s="15"/>
      <c r="N38" s="16">
        <f t="shared" si="50"/>
        <v>0</v>
      </c>
      <c r="O38" s="14">
        <v>8.75</v>
      </c>
      <c r="P38" s="15">
        <v>45000</v>
      </c>
      <c r="Q38" s="16">
        <v>393750</v>
      </c>
      <c r="R38" s="14"/>
      <c r="S38" s="15"/>
      <c r="T38" s="16">
        <f t="shared" ref="T38:T50" si="70">IFERROR(R38*S38, 0)</f>
        <v>0</v>
      </c>
      <c r="U38" s="14"/>
      <c r="V38" s="15"/>
      <c r="W38" s="16">
        <f t="shared" ref="W38:W65" si="71">IFERROR(U38*V38, 0)</f>
        <v>0</v>
      </c>
      <c r="X38" s="14"/>
      <c r="Y38" s="15"/>
      <c r="Z38" s="16">
        <f t="shared" si="68"/>
        <v>0</v>
      </c>
      <c r="AA38" s="14"/>
      <c r="AB38" s="15"/>
      <c r="AC38" s="16">
        <f t="shared" si="27"/>
        <v>0</v>
      </c>
      <c r="AD38" s="14"/>
      <c r="AE38" s="15"/>
      <c r="AF38" s="16">
        <f t="shared" si="33"/>
        <v>0</v>
      </c>
      <c r="AG38" s="14"/>
      <c r="AH38" s="15"/>
      <c r="AI38" s="16">
        <f t="shared" si="53"/>
        <v>0</v>
      </c>
      <c r="AJ38" s="14"/>
      <c r="AK38" s="15"/>
      <c r="AL38" s="16">
        <f t="shared" si="38"/>
        <v>0</v>
      </c>
      <c r="AM38" s="14"/>
      <c r="AN38" s="15"/>
      <c r="AO38" s="16">
        <f t="shared" si="6"/>
        <v>0</v>
      </c>
      <c r="AP38" s="14">
        <v>5.75</v>
      </c>
      <c r="AQ38" s="15">
        <v>46000</v>
      </c>
      <c r="AR38" s="16">
        <v>264500</v>
      </c>
      <c r="AS38" s="14"/>
      <c r="AT38" s="15"/>
      <c r="AU38" s="16">
        <f t="shared" si="54"/>
        <v>0</v>
      </c>
      <c r="AV38" s="14"/>
      <c r="AW38" s="15"/>
      <c r="AX38" s="16">
        <f t="shared" si="56"/>
        <v>0</v>
      </c>
      <c r="AY38" s="14"/>
      <c r="AZ38" s="15"/>
      <c r="BA38" s="16">
        <f t="shared" si="57"/>
        <v>0</v>
      </c>
      <c r="BB38" s="14"/>
      <c r="BC38" s="15"/>
      <c r="BD38" s="16">
        <f>IFERROR(BB38*BC38, 0)</f>
        <v>0</v>
      </c>
      <c r="BE38" s="14"/>
      <c r="BF38" s="15"/>
      <c r="BG38" s="16">
        <f t="shared" si="55"/>
        <v>0</v>
      </c>
      <c r="BH38" s="14"/>
      <c r="BI38" s="15"/>
      <c r="BJ38" s="16">
        <f t="shared" si="58"/>
        <v>0</v>
      </c>
      <c r="BK38" s="14"/>
      <c r="BL38" s="15"/>
      <c r="BM38" s="16">
        <f t="shared" si="41"/>
        <v>0</v>
      </c>
      <c r="BN38" s="14"/>
      <c r="BO38" s="15"/>
      <c r="BP38" s="16">
        <f t="shared" ref="BP38:BP56" si="72">IFERROR(BN38*BO38, 0)</f>
        <v>0</v>
      </c>
      <c r="BQ38" s="14"/>
      <c r="BR38" s="15"/>
      <c r="BS38" s="16">
        <f t="shared" ref="BS38:BS74" si="73">IFERROR(BQ38*BR38, 0)</f>
        <v>0</v>
      </c>
      <c r="BT38" s="14">
        <v>4.2</v>
      </c>
      <c r="BU38" s="15">
        <v>65900</v>
      </c>
      <c r="BV38" s="16">
        <v>276780</v>
      </c>
      <c r="BW38" s="14"/>
      <c r="BX38" s="15"/>
      <c r="BY38" s="16">
        <f t="shared" si="25"/>
        <v>0</v>
      </c>
      <c r="BZ38" s="14"/>
      <c r="CA38" s="15"/>
      <c r="CB38" s="16">
        <f t="shared" si="59"/>
        <v>0</v>
      </c>
      <c r="CC38" s="14"/>
      <c r="CD38" s="15"/>
      <c r="CE38" s="16">
        <f t="shared" si="60"/>
        <v>0</v>
      </c>
      <c r="CF38" s="14"/>
      <c r="CG38" s="15"/>
      <c r="CH38" s="16">
        <f t="shared" si="61"/>
        <v>0</v>
      </c>
      <c r="CI38" s="14"/>
      <c r="CJ38" s="15"/>
      <c r="CK38" s="16">
        <f t="shared" ref="CK38:CK74" si="74">IFERROR(CI38*CJ38, 0)</f>
        <v>0</v>
      </c>
      <c r="CL38" s="14"/>
      <c r="CM38" s="15"/>
      <c r="CN38" s="16">
        <f t="shared" si="62"/>
        <v>0</v>
      </c>
      <c r="CO38" s="14"/>
      <c r="CP38" s="15"/>
      <c r="CQ38" s="16">
        <f t="shared" si="63"/>
        <v>0</v>
      </c>
      <c r="CR38" s="14"/>
      <c r="CS38" s="15"/>
      <c r="CT38" s="16">
        <f t="shared" si="64"/>
        <v>0</v>
      </c>
      <c r="CU38" s="17">
        <f t="shared" si="65"/>
        <v>18.7</v>
      </c>
      <c r="CV38" s="16">
        <f t="shared" si="66"/>
        <v>52300</v>
      </c>
      <c r="CW38" s="16">
        <f t="shared" si="67"/>
        <v>978010</v>
      </c>
    </row>
    <row r="39" spans="1:101" s="18" customFormat="1" ht="15" customHeight="1" x14ac:dyDescent="0.35">
      <c r="A39" s="11" t="s">
        <v>382</v>
      </c>
      <c r="B39" s="11" t="s">
        <v>837</v>
      </c>
      <c r="C39" s="12"/>
      <c r="D39" s="13"/>
      <c r="E39" s="13">
        <v>0</v>
      </c>
      <c r="F39" s="14"/>
      <c r="G39" s="15"/>
      <c r="H39" s="16">
        <f t="shared" si="69"/>
        <v>0</v>
      </c>
      <c r="I39" s="14"/>
      <c r="J39" s="15"/>
      <c r="K39" s="16">
        <f t="shared" si="36"/>
        <v>0</v>
      </c>
      <c r="L39" s="14"/>
      <c r="M39" s="15"/>
      <c r="N39" s="16">
        <f t="shared" si="50"/>
        <v>0</v>
      </c>
      <c r="O39" s="14"/>
      <c r="P39" s="15"/>
      <c r="Q39" s="16">
        <f t="shared" ref="Q39:Q60" si="75">IFERROR(O39*P39, 0)</f>
        <v>0</v>
      </c>
      <c r="R39" s="14"/>
      <c r="S39" s="15"/>
      <c r="T39" s="16">
        <f t="shared" si="70"/>
        <v>0</v>
      </c>
      <c r="U39" s="14"/>
      <c r="V39" s="15"/>
      <c r="W39" s="16">
        <f t="shared" si="71"/>
        <v>0</v>
      </c>
      <c r="X39" s="14"/>
      <c r="Y39" s="15"/>
      <c r="Z39" s="16">
        <f t="shared" si="68"/>
        <v>0</v>
      </c>
      <c r="AA39" s="14"/>
      <c r="AB39" s="15"/>
      <c r="AC39" s="16">
        <f t="shared" si="27"/>
        <v>0</v>
      </c>
      <c r="AD39" s="14">
        <v>24</v>
      </c>
      <c r="AE39" s="15">
        <v>5000</v>
      </c>
      <c r="AF39" s="16">
        <v>120000</v>
      </c>
      <c r="AG39" s="14"/>
      <c r="AH39" s="15"/>
      <c r="AI39" s="16">
        <f t="shared" si="53"/>
        <v>0</v>
      </c>
      <c r="AJ39" s="14"/>
      <c r="AK39" s="15"/>
      <c r="AL39" s="16">
        <f t="shared" si="38"/>
        <v>0</v>
      </c>
      <c r="AM39" s="14"/>
      <c r="AN39" s="15"/>
      <c r="AO39" s="16">
        <f t="shared" si="6"/>
        <v>0</v>
      </c>
      <c r="AP39" s="14"/>
      <c r="AQ39" s="15"/>
      <c r="AR39" s="16">
        <f t="shared" ref="AR39:AR74" si="76">IFERROR(AP39*AQ39, 0)</f>
        <v>0</v>
      </c>
      <c r="AS39" s="14"/>
      <c r="AT39" s="15"/>
      <c r="AU39" s="16">
        <f t="shared" si="54"/>
        <v>0</v>
      </c>
      <c r="AV39" s="14"/>
      <c r="AW39" s="15"/>
      <c r="AX39" s="16">
        <f t="shared" si="56"/>
        <v>0</v>
      </c>
      <c r="AY39" s="14"/>
      <c r="AZ39" s="15"/>
      <c r="BA39" s="16">
        <f t="shared" si="57"/>
        <v>0</v>
      </c>
      <c r="BB39" s="14"/>
      <c r="BC39" s="15"/>
      <c r="BD39" s="16">
        <f>IFERROR(BB39*BC39, 0)</f>
        <v>0</v>
      </c>
      <c r="BE39" s="14"/>
      <c r="BF39" s="15"/>
      <c r="BG39" s="16">
        <f t="shared" si="55"/>
        <v>0</v>
      </c>
      <c r="BH39" s="14"/>
      <c r="BI39" s="15"/>
      <c r="BJ39" s="16">
        <f t="shared" si="58"/>
        <v>0</v>
      </c>
      <c r="BK39" s="14"/>
      <c r="BL39" s="15"/>
      <c r="BM39" s="16">
        <f t="shared" si="41"/>
        <v>0</v>
      </c>
      <c r="BN39" s="14"/>
      <c r="BO39" s="15"/>
      <c r="BP39" s="16">
        <f t="shared" si="72"/>
        <v>0</v>
      </c>
      <c r="BQ39" s="14"/>
      <c r="BR39" s="15"/>
      <c r="BS39" s="16">
        <f t="shared" si="73"/>
        <v>0</v>
      </c>
      <c r="BT39" s="14"/>
      <c r="BU39" s="15"/>
      <c r="BV39" s="16">
        <f t="shared" ref="BV39:BV48" si="77">IFERROR(BT39*BU39, 0)</f>
        <v>0</v>
      </c>
      <c r="BW39" s="14"/>
      <c r="BX39" s="15"/>
      <c r="BY39" s="16">
        <f t="shared" si="25"/>
        <v>0</v>
      </c>
      <c r="BZ39" s="14"/>
      <c r="CA39" s="15"/>
      <c r="CB39" s="16">
        <f t="shared" si="59"/>
        <v>0</v>
      </c>
      <c r="CC39" s="14"/>
      <c r="CD39" s="15"/>
      <c r="CE39" s="16">
        <f t="shared" si="60"/>
        <v>0</v>
      </c>
      <c r="CF39" s="14"/>
      <c r="CG39" s="15"/>
      <c r="CH39" s="16">
        <f t="shared" si="61"/>
        <v>0</v>
      </c>
      <c r="CI39" s="14"/>
      <c r="CJ39" s="15"/>
      <c r="CK39" s="16">
        <f t="shared" si="74"/>
        <v>0</v>
      </c>
      <c r="CL39" s="14"/>
      <c r="CM39" s="15"/>
      <c r="CN39" s="16">
        <f t="shared" si="62"/>
        <v>0</v>
      </c>
      <c r="CO39" s="14"/>
      <c r="CP39" s="15"/>
      <c r="CQ39" s="16">
        <f t="shared" si="63"/>
        <v>0</v>
      </c>
      <c r="CR39" s="14"/>
      <c r="CS39" s="15"/>
      <c r="CT39" s="16">
        <f t="shared" si="64"/>
        <v>0</v>
      </c>
      <c r="CU39" s="17">
        <f t="shared" si="65"/>
        <v>24</v>
      </c>
      <c r="CV39" s="16">
        <f t="shared" si="66"/>
        <v>5000</v>
      </c>
      <c r="CW39" s="16">
        <f t="shared" si="67"/>
        <v>120000</v>
      </c>
    </row>
    <row r="40" spans="1:101" s="18" customFormat="1" ht="15.75" customHeight="1" x14ac:dyDescent="0.35">
      <c r="A40" s="11" t="s">
        <v>160</v>
      </c>
      <c r="B40" s="11" t="s">
        <v>850</v>
      </c>
      <c r="C40" s="12"/>
      <c r="D40" s="13"/>
      <c r="E40" s="13">
        <v>0</v>
      </c>
      <c r="F40" s="14"/>
      <c r="G40" s="15"/>
      <c r="H40" s="16">
        <f t="shared" si="69"/>
        <v>0</v>
      </c>
      <c r="I40" s="14">
        <v>10</v>
      </c>
      <c r="J40" s="15">
        <v>8487.4</v>
      </c>
      <c r="K40" s="16">
        <v>84874</v>
      </c>
      <c r="L40" s="14"/>
      <c r="M40" s="15"/>
      <c r="N40" s="16">
        <f t="shared" si="50"/>
        <v>0</v>
      </c>
      <c r="O40" s="14"/>
      <c r="P40" s="15"/>
      <c r="Q40" s="16">
        <f t="shared" si="75"/>
        <v>0</v>
      </c>
      <c r="R40" s="14"/>
      <c r="S40" s="15"/>
      <c r="T40" s="16">
        <f t="shared" si="70"/>
        <v>0</v>
      </c>
      <c r="U40" s="14"/>
      <c r="V40" s="15"/>
      <c r="W40" s="16">
        <f t="shared" si="71"/>
        <v>0</v>
      </c>
      <c r="X40" s="14"/>
      <c r="Y40" s="15"/>
      <c r="Z40" s="16">
        <f t="shared" si="68"/>
        <v>0</v>
      </c>
      <c r="AA40" s="14"/>
      <c r="AB40" s="15"/>
      <c r="AC40" s="16">
        <f t="shared" si="27"/>
        <v>0</v>
      </c>
      <c r="AD40" s="14"/>
      <c r="AE40" s="15"/>
      <c r="AF40" s="16">
        <f t="shared" ref="AF40:AF48" si="78">IFERROR(AD40*AE40, 0)</f>
        <v>0</v>
      </c>
      <c r="AG40" s="14"/>
      <c r="AH40" s="15"/>
      <c r="AI40" s="16">
        <f t="shared" si="53"/>
        <v>0</v>
      </c>
      <c r="AJ40" s="14"/>
      <c r="AK40" s="15"/>
      <c r="AL40" s="16">
        <f t="shared" si="38"/>
        <v>0</v>
      </c>
      <c r="AM40" s="14"/>
      <c r="AN40" s="15"/>
      <c r="AO40" s="16">
        <f t="shared" si="6"/>
        <v>0</v>
      </c>
      <c r="AP40" s="14"/>
      <c r="AQ40" s="15"/>
      <c r="AR40" s="16">
        <f t="shared" si="76"/>
        <v>0</v>
      </c>
      <c r="AS40" s="14"/>
      <c r="AT40" s="15"/>
      <c r="AU40" s="16">
        <f t="shared" si="54"/>
        <v>0</v>
      </c>
      <c r="AV40" s="14"/>
      <c r="AW40" s="15"/>
      <c r="AX40" s="16">
        <f t="shared" si="56"/>
        <v>0</v>
      </c>
      <c r="AY40" s="14"/>
      <c r="AZ40" s="15"/>
      <c r="BA40" s="16">
        <f t="shared" si="57"/>
        <v>0</v>
      </c>
      <c r="BB40" s="14">
        <v>10</v>
      </c>
      <c r="BC40" s="15">
        <v>8487.4</v>
      </c>
      <c r="BD40" s="16">
        <v>84874</v>
      </c>
      <c r="BE40" s="14"/>
      <c r="BF40" s="15"/>
      <c r="BG40" s="16">
        <f t="shared" si="55"/>
        <v>0</v>
      </c>
      <c r="BH40" s="14"/>
      <c r="BI40" s="15"/>
      <c r="BJ40" s="16">
        <f t="shared" si="58"/>
        <v>0</v>
      </c>
      <c r="BK40" s="14"/>
      <c r="BL40" s="15"/>
      <c r="BM40" s="16">
        <f t="shared" si="41"/>
        <v>0</v>
      </c>
      <c r="BN40" s="14"/>
      <c r="BO40" s="15"/>
      <c r="BP40" s="16">
        <f t="shared" si="72"/>
        <v>0</v>
      </c>
      <c r="BQ40" s="14"/>
      <c r="BR40" s="15"/>
      <c r="BS40" s="16">
        <f t="shared" si="73"/>
        <v>0</v>
      </c>
      <c r="BT40" s="14"/>
      <c r="BU40" s="15"/>
      <c r="BV40" s="16">
        <f t="shared" si="77"/>
        <v>0</v>
      </c>
      <c r="BW40" s="14"/>
      <c r="BX40" s="15"/>
      <c r="BY40" s="16">
        <f t="shared" si="25"/>
        <v>0</v>
      </c>
      <c r="BZ40" s="14"/>
      <c r="CA40" s="15"/>
      <c r="CB40" s="16">
        <f t="shared" si="59"/>
        <v>0</v>
      </c>
      <c r="CC40" s="14"/>
      <c r="CD40" s="15"/>
      <c r="CE40" s="16">
        <f t="shared" si="60"/>
        <v>0</v>
      </c>
      <c r="CF40" s="14"/>
      <c r="CG40" s="15"/>
      <c r="CH40" s="16">
        <f t="shared" si="61"/>
        <v>0</v>
      </c>
      <c r="CI40" s="14"/>
      <c r="CJ40" s="15"/>
      <c r="CK40" s="16">
        <f t="shared" si="74"/>
        <v>0</v>
      </c>
      <c r="CL40" s="14"/>
      <c r="CM40" s="15"/>
      <c r="CN40" s="16">
        <f t="shared" si="62"/>
        <v>0</v>
      </c>
      <c r="CO40" s="14"/>
      <c r="CP40" s="15"/>
      <c r="CQ40" s="16">
        <f t="shared" si="63"/>
        <v>0</v>
      </c>
      <c r="CR40" s="14"/>
      <c r="CS40" s="15"/>
      <c r="CT40" s="16">
        <f t="shared" si="64"/>
        <v>0</v>
      </c>
      <c r="CU40" s="17">
        <f t="shared" si="65"/>
        <v>20</v>
      </c>
      <c r="CV40" s="16">
        <f t="shared" si="66"/>
        <v>8487.4</v>
      </c>
      <c r="CW40" s="16">
        <f t="shared" si="67"/>
        <v>169748</v>
      </c>
    </row>
    <row r="41" spans="1:101" s="18" customFormat="1" ht="15" customHeight="1" x14ac:dyDescent="0.35">
      <c r="A41" s="11" t="s">
        <v>853</v>
      </c>
      <c r="B41" s="11" t="s">
        <v>837</v>
      </c>
      <c r="C41" s="12"/>
      <c r="D41" s="13"/>
      <c r="E41" s="13">
        <v>0</v>
      </c>
      <c r="F41" s="14"/>
      <c r="G41" s="15"/>
      <c r="H41" s="16">
        <f t="shared" si="69"/>
        <v>0</v>
      </c>
      <c r="I41" s="14"/>
      <c r="J41" s="15"/>
      <c r="K41" s="16">
        <f t="shared" ref="K41:K55" si="79">IFERROR(I41*J41, 0)</f>
        <v>0</v>
      </c>
      <c r="L41" s="14"/>
      <c r="M41" s="15"/>
      <c r="N41" s="16">
        <f t="shared" si="50"/>
        <v>0</v>
      </c>
      <c r="O41" s="14"/>
      <c r="P41" s="15"/>
      <c r="Q41" s="16">
        <f t="shared" si="75"/>
        <v>0</v>
      </c>
      <c r="R41" s="14"/>
      <c r="S41" s="15"/>
      <c r="T41" s="16">
        <f t="shared" si="70"/>
        <v>0</v>
      </c>
      <c r="U41" s="14"/>
      <c r="V41" s="15"/>
      <c r="W41" s="16">
        <f t="shared" si="71"/>
        <v>0</v>
      </c>
      <c r="X41" s="14"/>
      <c r="Y41" s="15"/>
      <c r="Z41" s="16">
        <f t="shared" si="68"/>
        <v>0</v>
      </c>
      <c r="AA41" s="14"/>
      <c r="AB41" s="15"/>
      <c r="AC41" s="16">
        <f t="shared" si="27"/>
        <v>0</v>
      </c>
      <c r="AD41" s="14"/>
      <c r="AE41" s="15"/>
      <c r="AF41" s="16">
        <f t="shared" si="78"/>
        <v>0</v>
      </c>
      <c r="AG41" s="14"/>
      <c r="AH41" s="15"/>
      <c r="AI41" s="16">
        <f t="shared" si="53"/>
        <v>0</v>
      </c>
      <c r="AJ41" s="14"/>
      <c r="AK41" s="15"/>
      <c r="AL41" s="16">
        <f t="shared" si="38"/>
        <v>0</v>
      </c>
      <c r="AM41" s="14"/>
      <c r="AN41" s="15"/>
      <c r="AO41" s="16">
        <f t="shared" si="6"/>
        <v>0</v>
      </c>
      <c r="AP41" s="14"/>
      <c r="AQ41" s="15"/>
      <c r="AR41" s="16">
        <f t="shared" si="76"/>
        <v>0</v>
      </c>
      <c r="AS41" s="14"/>
      <c r="AT41" s="15"/>
      <c r="AU41" s="16">
        <f t="shared" si="54"/>
        <v>0</v>
      </c>
      <c r="AV41" s="14"/>
      <c r="AW41" s="15"/>
      <c r="AX41" s="16">
        <f t="shared" si="56"/>
        <v>0</v>
      </c>
      <c r="AY41" s="14"/>
      <c r="AZ41" s="15"/>
      <c r="BA41" s="16">
        <f t="shared" si="57"/>
        <v>0</v>
      </c>
      <c r="BB41" s="14"/>
      <c r="BC41" s="15"/>
      <c r="BD41" s="16">
        <f t="shared" ref="BD41:BD51" si="80">IFERROR(BB41*BC41, 0)</f>
        <v>0</v>
      </c>
      <c r="BE41" s="14"/>
      <c r="BF41" s="15"/>
      <c r="BG41" s="16">
        <f t="shared" si="55"/>
        <v>0</v>
      </c>
      <c r="BH41" s="14"/>
      <c r="BI41" s="15"/>
      <c r="BJ41" s="16">
        <f t="shared" si="58"/>
        <v>0</v>
      </c>
      <c r="BK41" s="14"/>
      <c r="BL41" s="15"/>
      <c r="BM41" s="16">
        <f t="shared" si="41"/>
        <v>0</v>
      </c>
      <c r="BN41" s="14"/>
      <c r="BO41" s="15"/>
      <c r="BP41" s="16">
        <f t="shared" si="72"/>
        <v>0</v>
      </c>
      <c r="BQ41" s="14"/>
      <c r="BR41" s="15"/>
      <c r="BS41" s="16">
        <f t="shared" si="73"/>
        <v>0</v>
      </c>
      <c r="BT41" s="14"/>
      <c r="BU41" s="15"/>
      <c r="BV41" s="16">
        <f t="shared" si="77"/>
        <v>0</v>
      </c>
      <c r="BW41" s="14"/>
      <c r="BX41" s="15"/>
      <c r="BY41" s="16">
        <f t="shared" si="25"/>
        <v>0</v>
      </c>
      <c r="BZ41" s="14"/>
      <c r="CA41" s="15"/>
      <c r="CB41" s="16">
        <f t="shared" si="59"/>
        <v>0</v>
      </c>
      <c r="CC41" s="14"/>
      <c r="CD41" s="15"/>
      <c r="CE41" s="16">
        <f t="shared" si="60"/>
        <v>0</v>
      </c>
      <c r="CF41" s="14"/>
      <c r="CG41" s="15"/>
      <c r="CH41" s="16">
        <f t="shared" si="61"/>
        <v>0</v>
      </c>
      <c r="CI41" s="14"/>
      <c r="CJ41" s="15"/>
      <c r="CK41" s="16">
        <f t="shared" si="74"/>
        <v>0</v>
      </c>
      <c r="CL41" s="14"/>
      <c r="CM41" s="15"/>
      <c r="CN41" s="16">
        <f t="shared" si="62"/>
        <v>0</v>
      </c>
      <c r="CO41" s="14"/>
      <c r="CP41" s="15"/>
      <c r="CQ41" s="16">
        <f t="shared" si="63"/>
        <v>0</v>
      </c>
      <c r="CR41" s="14"/>
      <c r="CS41" s="15"/>
      <c r="CT41" s="16">
        <f t="shared" si="64"/>
        <v>0</v>
      </c>
      <c r="CU41" s="17">
        <f t="shared" si="65"/>
        <v>0</v>
      </c>
      <c r="CV41" s="16">
        <f t="shared" si="66"/>
        <v>0</v>
      </c>
      <c r="CW41" s="16">
        <f t="shared" si="67"/>
        <v>0</v>
      </c>
    </row>
    <row r="42" spans="1:101" s="18" customFormat="1" ht="15" customHeight="1" x14ac:dyDescent="0.35">
      <c r="A42" s="11" t="s">
        <v>618</v>
      </c>
      <c r="B42" s="11" t="s">
        <v>837</v>
      </c>
      <c r="C42" s="12"/>
      <c r="D42" s="13"/>
      <c r="E42" s="13">
        <v>0</v>
      </c>
      <c r="F42" s="14"/>
      <c r="G42" s="15"/>
      <c r="H42" s="16">
        <f t="shared" si="69"/>
        <v>0</v>
      </c>
      <c r="I42" s="14"/>
      <c r="J42" s="15"/>
      <c r="K42" s="16">
        <f t="shared" si="79"/>
        <v>0</v>
      </c>
      <c r="L42" s="14"/>
      <c r="M42" s="15"/>
      <c r="N42" s="16">
        <f t="shared" si="50"/>
        <v>0</v>
      </c>
      <c r="O42" s="14"/>
      <c r="P42" s="15"/>
      <c r="Q42" s="16">
        <f t="shared" si="75"/>
        <v>0</v>
      </c>
      <c r="R42" s="14"/>
      <c r="S42" s="15"/>
      <c r="T42" s="16">
        <f t="shared" si="70"/>
        <v>0</v>
      </c>
      <c r="U42" s="14"/>
      <c r="V42" s="15"/>
      <c r="W42" s="16">
        <f t="shared" si="71"/>
        <v>0</v>
      </c>
      <c r="X42" s="14"/>
      <c r="Y42" s="15"/>
      <c r="Z42" s="16">
        <f t="shared" si="68"/>
        <v>0</v>
      </c>
      <c r="AA42" s="14"/>
      <c r="AB42" s="15"/>
      <c r="AC42" s="16">
        <f t="shared" si="27"/>
        <v>0</v>
      </c>
      <c r="AD42" s="14"/>
      <c r="AE42" s="15"/>
      <c r="AF42" s="16">
        <f t="shared" si="78"/>
        <v>0</v>
      </c>
      <c r="AG42" s="14"/>
      <c r="AH42" s="15"/>
      <c r="AI42" s="16">
        <f t="shared" si="53"/>
        <v>0</v>
      </c>
      <c r="AJ42" s="14"/>
      <c r="AK42" s="15"/>
      <c r="AL42" s="16">
        <f t="shared" si="38"/>
        <v>0</v>
      </c>
      <c r="AM42" s="14"/>
      <c r="AN42" s="15"/>
      <c r="AO42" s="16">
        <f t="shared" si="6"/>
        <v>0</v>
      </c>
      <c r="AP42" s="14"/>
      <c r="AQ42" s="15"/>
      <c r="AR42" s="16">
        <f t="shared" si="76"/>
        <v>0</v>
      </c>
      <c r="AS42" s="14"/>
      <c r="AT42" s="15"/>
      <c r="AU42" s="16">
        <f t="shared" si="54"/>
        <v>0</v>
      </c>
      <c r="AV42" s="14"/>
      <c r="AW42" s="15"/>
      <c r="AX42" s="16">
        <f t="shared" si="56"/>
        <v>0</v>
      </c>
      <c r="AY42" s="14"/>
      <c r="AZ42" s="15"/>
      <c r="BA42" s="16">
        <f t="shared" si="57"/>
        <v>0</v>
      </c>
      <c r="BB42" s="14"/>
      <c r="BC42" s="15"/>
      <c r="BD42" s="16">
        <f t="shared" si="80"/>
        <v>0</v>
      </c>
      <c r="BE42" s="14"/>
      <c r="BF42" s="15"/>
      <c r="BG42" s="16">
        <f t="shared" si="55"/>
        <v>0</v>
      </c>
      <c r="BH42" s="14"/>
      <c r="BI42" s="15"/>
      <c r="BJ42" s="16">
        <f t="shared" si="58"/>
        <v>0</v>
      </c>
      <c r="BK42" s="14"/>
      <c r="BL42" s="15"/>
      <c r="BM42" s="16">
        <f t="shared" si="41"/>
        <v>0</v>
      </c>
      <c r="BN42" s="14"/>
      <c r="BO42" s="15"/>
      <c r="BP42" s="16">
        <f t="shared" si="72"/>
        <v>0</v>
      </c>
      <c r="BQ42" s="14"/>
      <c r="BR42" s="15"/>
      <c r="BS42" s="16">
        <f t="shared" si="73"/>
        <v>0</v>
      </c>
      <c r="BT42" s="14"/>
      <c r="BU42" s="15"/>
      <c r="BV42" s="16">
        <f t="shared" si="77"/>
        <v>0</v>
      </c>
      <c r="BW42" s="14"/>
      <c r="BX42" s="15"/>
      <c r="BY42" s="16">
        <f t="shared" si="25"/>
        <v>0</v>
      </c>
      <c r="BZ42" s="14"/>
      <c r="CA42" s="15"/>
      <c r="CB42" s="16">
        <f t="shared" si="59"/>
        <v>0</v>
      </c>
      <c r="CC42" s="14"/>
      <c r="CD42" s="15"/>
      <c r="CE42" s="16">
        <f t="shared" si="60"/>
        <v>0</v>
      </c>
      <c r="CF42" s="14"/>
      <c r="CG42" s="15"/>
      <c r="CH42" s="16">
        <f t="shared" si="61"/>
        <v>0</v>
      </c>
      <c r="CI42" s="14"/>
      <c r="CJ42" s="15"/>
      <c r="CK42" s="16">
        <f t="shared" si="74"/>
        <v>0</v>
      </c>
      <c r="CL42" s="14"/>
      <c r="CM42" s="15"/>
      <c r="CN42" s="16">
        <f t="shared" si="62"/>
        <v>0</v>
      </c>
      <c r="CO42" s="14"/>
      <c r="CP42" s="15"/>
      <c r="CQ42" s="16">
        <f t="shared" si="63"/>
        <v>0</v>
      </c>
      <c r="CR42" s="14"/>
      <c r="CS42" s="15"/>
      <c r="CT42" s="16">
        <f t="shared" si="64"/>
        <v>0</v>
      </c>
      <c r="CU42" s="17">
        <f t="shared" si="65"/>
        <v>0</v>
      </c>
      <c r="CV42" s="16">
        <f t="shared" si="66"/>
        <v>0</v>
      </c>
      <c r="CW42" s="16">
        <f t="shared" si="67"/>
        <v>0</v>
      </c>
    </row>
    <row r="43" spans="1:101" s="18" customFormat="1" ht="15" customHeight="1" x14ac:dyDescent="0.35">
      <c r="A43" s="11" t="s">
        <v>618</v>
      </c>
      <c r="B43" s="11" t="s">
        <v>837</v>
      </c>
      <c r="C43" s="12"/>
      <c r="D43" s="13"/>
      <c r="E43" s="13">
        <v>0</v>
      </c>
      <c r="F43" s="14"/>
      <c r="G43" s="15"/>
      <c r="H43" s="16">
        <f t="shared" si="69"/>
        <v>0</v>
      </c>
      <c r="I43" s="14"/>
      <c r="J43" s="15"/>
      <c r="K43" s="16">
        <f t="shared" si="79"/>
        <v>0</v>
      </c>
      <c r="L43" s="14"/>
      <c r="M43" s="15"/>
      <c r="N43" s="16">
        <f t="shared" si="50"/>
        <v>0</v>
      </c>
      <c r="O43" s="14"/>
      <c r="P43" s="15"/>
      <c r="Q43" s="16">
        <f t="shared" si="75"/>
        <v>0</v>
      </c>
      <c r="R43" s="14"/>
      <c r="S43" s="15"/>
      <c r="T43" s="16">
        <f t="shared" si="70"/>
        <v>0</v>
      </c>
      <c r="U43" s="14"/>
      <c r="V43" s="15"/>
      <c r="W43" s="16">
        <f t="shared" si="71"/>
        <v>0</v>
      </c>
      <c r="X43" s="14"/>
      <c r="Y43" s="15"/>
      <c r="Z43" s="16">
        <f t="shared" si="68"/>
        <v>0</v>
      </c>
      <c r="AA43" s="14"/>
      <c r="AB43" s="15"/>
      <c r="AC43" s="16">
        <f t="shared" si="27"/>
        <v>0</v>
      </c>
      <c r="AD43" s="14"/>
      <c r="AE43" s="15"/>
      <c r="AF43" s="16">
        <f t="shared" si="78"/>
        <v>0</v>
      </c>
      <c r="AG43" s="14"/>
      <c r="AH43" s="15"/>
      <c r="AI43" s="16">
        <f t="shared" si="53"/>
        <v>0</v>
      </c>
      <c r="AJ43" s="14"/>
      <c r="AK43" s="15"/>
      <c r="AL43" s="16">
        <f t="shared" si="38"/>
        <v>0</v>
      </c>
      <c r="AM43" s="14"/>
      <c r="AN43" s="15"/>
      <c r="AO43" s="16">
        <f t="shared" si="6"/>
        <v>0</v>
      </c>
      <c r="AP43" s="14"/>
      <c r="AQ43" s="15"/>
      <c r="AR43" s="16">
        <f t="shared" si="76"/>
        <v>0</v>
      </c>
      <c r="AS43" s="14"/>
      <c r="AT43" s="15"/>
      <c r="AU43" s="16">
        <f t="shared" si="54"/>
        <v>0</v>
      </c>
      <c r="AV43" s="14"/>
      <c r="AW43" s="15"/>
      <c r="AX43" s="16">
        <f t="shared" si="56"/>
        <v>0</v>
      </c>
      <c r="AY43" s="14"/>
      <c r="AZ43" s="15"/>
      <c r="BA43" s="16">
        <f t="shared" si="57"/>
        <v>0</v>
      </c>
      <c r="BB43" s="14"/>
      <c r="BC43" s="15"/>
      <c r="BD43" s="16">
        <f t="shared" si="80"/>
        <v>0</v>
      </c>
      <c r="BE43" s="14"/>
      <c r="BF43" s="15"/>
      <c r="BG43" s="16">
        <f t="shared" si="55"/>
        <v>0</v>
      </c>
      <c r="BH43" s="14"/>
      <c r="BI43" s="15"/>
      <c r="BJ43" s="16">
        <f t="shared" si="58"/>
        <v>0</v>
      </c>
      <c r="BK43" s="14">
        <v>1</v>
      </c>
      <c r="BL43" s="15">
        <v>10600</v>
      </c>
      <c r="BM43" s="16">
        <v>10600</v>
      </c>
      <c r="BN43" s="14"/>
      <c r="BO43" s="15"/>
      <c r="BP43" s="16">
        <f t="shared" si="72"/>
        <v>0</v>
      </c>
      <c r="BQ43" s="14"/>
      <c r="BR43" s="15"/>
      <c r="BS43" s="16">
        <f t="shared" si="73"/>
        <v>0</v>
      </c>
      <c r="BT43" s="14"/>
      <c r="BU43" s="15"/>
      <c r="BV43" s="16">
        <f t="shared" si="77"/>
        <v>0</v>
      </c>
      <c r="BW43" s="14"/>
      <c r="BX43" s="15"/>
      <c r="BY43" s="16">
        <f t="shared" si="25"/>
        <v>0</v>
      </c>
      <c r="BZ43" s="14"/>
      <c r="CA43" s="15"/>
      <c r="CB43" s="16">
        <f t="shared" si="59"/>
        <v>0</v>
      </c>
      <c r="CC43" s="14"/>
      <c r="CD43" s="15"/>
      <c r="CE43" s="16">
        <f t="shared" si="60"/>
        <v>0</v>
      </c>
      <c r="CF43" s="14"/>
      <c r="CG43" s="15"/>
      <c r="CH43" s="16">
        <f t="shared" si="61"/>
        <v>0</v>
      </c>
      <c r="CI43" s="14"/>
      <c r="CJ43" s="15"/>
      <c r="CK43" s="16">
        <f t="shared" si="74"/>
        <v>0</v>
      </c>
      <c r="CL43" s="14"/>
      <c r="CM43" s="15"/>
      <c r="CN43" s="16">
        <f t="shared" si="62"/>
        <v>0</v>
      </c>
      <c r="CO43" s="14"/>
      <c r="CP43" s="15"/>
      <c r="CQ43" s="16">
        <f t="shared" si="63"/>
        <v>0</v>
      </c>
      <c r="CR43" s="14"/>
      <c r="CS43" s="15"/>
      <c r="CT43" s="16">
        <f t="shared" si="64"/>
        <v>0</v>
      </c>
      <c r="CU43" s="17">
        <f t="shared" si="65"/>
        <v>1</v>
      </c>
      <c r="CV43" s="16">
        <f t="shared" si="66"/>
        <v>10600</v>
      </c>
      <c r="CW43" s="16">
        <f t="shared" si="67"/>
        <v>10600</v>
      </c>
    </row>
    <row r="44" spans="1:101" s="18" customFormat="1" ht="15" customHeight="1" x14ac:dyDescent="0.35">
      <c r="A44" s="11" t="s">
        <v>854</v>
      </c>
      <c r="B44" s="11" t="s">
        <v>846</v>
      </c>
      <c r="C44" s="12"/>
      <c r="D44" s="13"/>
      <c r="E44" s="13">
        <v>0</v>
      </c>
      <c r="F44" s="14"/>
      <c r="G44" s="15"/>
      <c r="H44" s="16">
        <f t="shared" si="69"/>
        <v>0</v>
      </c>
      <c r="I44" s="14"/>
      <c r="J44" s="15"/>
      <c r="K44" s="16">
        <f t="shared" si="79"/>
        <v>0</v>
      </c>
      <c r="L44" s="14"/>
      <c r="M44" s="15"/>
      <c r="N44" s="16">
        <f t="shared" si="50"/>
        <v>0</v>
      </c>
      <c r="O44" s="14"/>
      <c r="P44" s="15"/>
      <c r="Q44" s="16">
        <f t="shared" si="75"/>
        <v>0</v>
      </c>
      <c r="R44" s="14"/>
      <c r="S44" s="15"/>
      <c r="T44" s="16">
        <f t="shared" si="70"/>
        <v>0</v>
      </c>
      <c r="U44" s="14"/>
      <c r="V44" s="15"/>
      <c r="W44" s="16">
        <f t="shared" si="71"/>
        <v>0</v>
      </c>
      <c r="X44" s="14"/>
      <c r="Y44" s="15"/>
      <c r="Z44" s="16">
        <f t="shared" si="68"/>
        <v>0</v>
      </c>
      <c r="AA44" s="14"/>
      <c r="AB44" s="15"/>
      <c r="AC44" s="16">
        <f t="shared" si="27"/>
        <v>0</v>
      </c>
      <c r="AD44" s="14"/>
      <c r="AE44" s="15"/>
      <c r="AF44" s="16">
        <f t="shared" si="78"/>
        <v>0</v>
      </c>
      <c r="AG44" s="14"/>
      <c r="AH44" s="15"/>
      <c r="AI44" s="16">
        <f t="shared" si="53"/>
        <v>0</v>
      </c>
      <c r="AJ44" s="14"/>
      <c r="AK44" s="15"/>
      <c r="AL44" s="16">
        <f t="shared" si="38"/>
        <v>0</v>
      </c>
      <c r="AM44" s="14"/>
      <c r="AN44" s="15"/>
      <c r="AO44" s="16">
        <f t="shared" si="6"/>
        <v>0</v>
      </c>
      <c r="AP44" s="14"/>
      <c r="AQ44" s="15"/>
      <c r="AR44" s="16">
        <f t="shared" si="76"/>
        <v>0</v>
      </c>
      <c r="AS44" s="14"/>
      <c r="AT44" s="15"/>
      <c r="AU44" s="16">
        <f t="shared" si="54"/>
        <v>0</v>
      </c>
      <c r="AV44" s="14"/>
      <c r="AW44" s="15"/>
      <c r="AX44" s="16">
        <f t="shared" si="56"/>
        <v>0</v>
      </c>
      <c r="AY44" s="14"/>
      <c r="AZ44" s="15"/>
      <c r="BA44" s="16">
        <f t="shared" si="57"/>
        <v>0</v>
      </c>
      <c r="BB44" s="14"/>
      <c r="BC44" s="15"/>
      <c r="BD44" s="16">
        <f t="shared" si="80"/>
        <v>0</v>
      </c>
      <c r="BE44" s="14"/>
      <c r="BF44" s="15"/>
      <c r="BG44" s="16">
        <f t="shared" si="55"/>
        <v>0</v>
      </c>
      <c r="BH44" s="14"/>
      <c r="BI44" s="15"/>
      <c r="BJ44" s="16">
        <f t="shared" si="58"/>
        <v>0</v>
      </c>
      <c r="BK44" s="14"/>
      <c r="BL44" s="15"/>
      <c r="BM44" s="16">
        <f t="shared" ref="BM44:BM73" si="81">IFERROR(BK44*BL44, 0)</f>
        <v>0</v>
      </c>
      <c r="BN44" s="14"/>
      <c r="BO44" s="15"/>
      <c r="BP44" s="16">
        <f t="shared" si="72"/>
        <v>0</v>
      </c>
      <c r="BQ44" s="14"/>
      <c r="BR44" s="15"/>
      <c r="BS44" s="16">
        <f t="shared" si="73"/>
        <v>0</v>
      </c>
      <c r="BT44" s="14"/>
      <c r="BU44" s="15"/>
      <c r="BV44" s="16">
        <f t="shared" si="77"/>
        <v>0</v>
      </c>
      <c r="BW44" s="14"/>
      <c r="BX44" s="15"/>
      <c r="BY44" s="16">
        <f t="shared" si="25"/>
        <v>0</v>
      </c>
      <c r="BZ44" s="14"/>
      <c r="CA44" s="15"/>
      <c r="CB44" s="16">
        <f t="shared" si="59"/>
        <v>0</v>
      </c>
      <c r="CC44" s="14"/>
      <c r="CD44" s="15"/>
      <c r="CE44" s="16">
        <f t="shared" si="60"/>
        <v>0</v>
      </c>
      <c r="CF44" s="14"/>
      <c r="CG44" s="15"/>
      <c r="CH44" s="16">
        <f t="shared" si="61"/>
        <v>0</v>
      </c>
      <c r="CI44" s="14"/>
      <c r="CJ44" s="15"/>
      <c r="CK44" s="16">
        <f t="shared" si="74"/>
        <v>0</v>
      </c>
      <c r="CL44" s="14"/>
      <c r="CM44" s="15"/>
      <c r="CN44" s="16">
        <f t="shared" si="62"/>
        <v>0</v>
      </c>
      <c r="CO44" s="14"/>
      <c r="CP44" s="15"/>
      <c r="CQ44" s="16">
        <f t="shared" si="63"/>
        <v>0</v>
      </c>
      <c r="CR44" s="14"/>
      <c r="CS44" s="15"/>
      <c r="CT44" s="16">
        <f t="shared" si="64"/>
        <v>0</v>
      </c>
      <c r="CU44" s="17">
        <f t="shared" si="65"/>
        <v>0</v>
      </c>
      <c r="CV44" s="16">
        <f t="shared" si="66"/>
        <v>0</v>
      </c>
      <c r="CW44" s="16">
        <f t="shared" si="67"/>
        <v>0</v>
      </c>
    </row>
    <row r="45" spans="1:101" s="18" customFormat="1" ht="15" customHeight="1" x14ac:dyDescent="0.35">
      <c r="A45" s="11" t="s">
        <v>855</v>
      </c>
      <c r="B45" s="11" t="s">
        <v>837</v>
      </c>
      <c r="C45" s="12"/>
      <c r="D45" s="13"/>
      <c r="E45" s="13">
        <v>0</v>
      </c>
      <c r="F45" s="14"/>
      <c r="G45" s="15"/>
      <c r="H45" s="16">
        <f t="shared" si="69"/>
        <v>0</v>
      </c>
      <c r="I45" s="14"/>
      <c r="J45" s="15"/>
      <c r="K45" s="16">
        <f t="shared" si="79"/>
        <v>0</v>
      </c>
      <c r="L45" s="14"/>
      <c r="M45" s="15"/>
      <c r="N45" s="16">
        <f t="shared" si="50"/>
        <v>0</v>
      </c>
      <c r="O45" s="14"/>
      <c r="P45" s="15"/>
      <c r="Q45" s="16">
        <f t="shared" si="75"/>
        <v>0</v>
      </c>
      <c r="R45" s="14"/>
      <c r="S45" s="15"/>
      <c r="T45" s="16">
        <f t="shared" si="70"/>
        <v>0</v>
      </c>
      <c r="U45" s="14"/>
      <c r="V45" s="15"/>
      <c r="W45" s="16">
        <f t="shared" si="71"/>
        <v>0</v>
      </c>
      <c r="X45" s="14"/>
      <c r="Y45" s="15"/>
      <c r="Z45" s="16">
        <f t="shared" si="68"/>
        <v>0</v>
      </c>
      <c r="AA45" s="14"/>
      <c r="AB45" s="15"/>
      <c r="AC45" s="16">
        <f t="shared" si="27"/>
        <v>0</v>
      </c>
      <c r="AD45" s="14"/>
      <c r="AE45" s="15"/>
      <c r="AF45" s="16">
        <f t="shared" si="78"/>
        <v>0</v>
      </c>
      <c r="AG45" s="14"/>
      <c r="AH45" s="15"/>
      <c r="AI45" s="16">
        <f t="shared" si="53"/>
        <v>0</v>
      </c>
      <c r="AJ45" s="14"/>
      <c r="AK45" s="15"/>
      <c r="AL45" s="16">
        <f t="shared" si="38"/>
        <v>0</v>
      </c>
      <c r="AM45" s="14"/>
      <c r="AN45" s="15"/>
      <c r="AO45" s="16">
        <f t="shared" si="6"/>
        <v>0</v>
      </c>
      <c r="AP45" s="14"/>
      <c r="AQ45" s="15"/>
      <c r="AR45" s="16">
        <f t="shared" si="76"/>
        <v>0</v>
      </c>
      <c r="AS45" s="14"/>
      <c r="AT45" s="15"/>
      <c r="AU45" s="16">
        <f t="shared" si="54"/>
        <v>0</v>
      </c>
      <c r="AV45" s="14"/>
      <c r="AW45" s="15"/>
      <c r="AX45" s="16">
        <f t="shared" si="56"/>
        <v>0</v>
      </c>
      <c r="AY45" s="14"/>
      <c r="AZ45" s="15"/>
      <c r="BA45" s="16">
        <f t="shared" si="57"/>
        <v>0</v>
      </c>
      <c r="BB45" s="14"/>
      <c r="BC45" s="15"/>
      <c r="BD45" s="16">
        <f t="shared" si="80"/>
        <v>0</v>
      </c>
      <c r="BE45" s="14"/>
      <c r="BF45" s="15"/>
      <c r="BG45" s="16">
        <f t="shared" si="55"/>
        <v>0</v>
      </c>
      <c r="BH45" s="14"/>
      <c r="BI45" s="15"/>
      <c r="BJ45" s="16">
        <f t="shared" si="58"/>
        <v>0</v>
      </c>
      <c r="BK45" s="14"/>
      <c r="BL45" s="15"/>
      <c r="BM45" s="16">
        <f t="shared" si="81"/>
        <v>0</v>
      </c>
      <c r="BN45" s="14"/>
      <c r="BO45" s="15"/>
      <c r="BP45" s="16">
        <f t="shared" si="72"/>
        <v>0</v>
      </c>
      <c r="BQ45" s="14"/>
      <c r="BR45" s="15"/>
      <c r="BS45" s="16">
        <f t="shared" si="73"/>
        <v>0</v>
      </c>
      <c r="BT45" s="14"/>
      <c r="BU45" s="15"/>
      <c r="BV45" s="16">
        <f t="shared" si="77"/>
        <v>0</v>
      </c>
      <c r="BW45" s="14"/>
      <c r="BX45" s="15"/>
      <c r="BY45" s="16">
        <f t="shared" si="25"/>
        <v>0</v>
      </c>
      <c r="BZ45" s="14"/>
      <c r="CA45" s="15"/>
      <c r="CB45" s="16">
        <f t="shared" si="59"/>
        <v>0</v>
      </c>
      <c r="CC45" s="14"/>
      <c r="CD45" s="15"/>
      <c r="CE45" s="16">
        <f t="shared" si="60"/>
        <v>0</v>
      </c>
      <c r="CF45" s="14"/>
      <c r="CG45" s="15"/>
      <c r="CH45" s="16">
        <f t="shared" si="61"/>
        <v>0</v>
      </c>
      <c r="CI45" s="14"/>
      <c r="CJ45" s="15"/>
      <c r="CK45" s="16">
        <f t="shared" si="74"/>
        <v>0</v>
      </c>
      <c r="CL45" s="14"/>
      <c r="CM45" s="15"/>
      <c r="CN45" s="16">
        <f t="shared" si="62"/>
        <v>0</v>
      </c>
      <c r="CO45" s="14"/>
      <c r="CP45" s="15"/>
      <c r="CQ45" s="16">
        <f t="shared" si="63"/>
        <v>0</v>
      </c>
      <c r="CR45" s="14"/>
      <c r="CS45" s="15"/>
      <c r="CT45" s="16">
        <f t="shared" si="64"/>
        <v>0</v>
      </c>
      <c r="CU45" s="17">
        <f t="shared" si="65"/>
        <v>0</v>
      </c>
      <c r="CV45" s="16">
        <f t="shared" si="66"/>
        <v>0</v>
      </c>
      <c r="CW45" s="16">
        <f t="shared" si="67"/>
        <v>0</v>
      </c>
    </row>
    <row r="46" spans="1:101" s="18" customFormat="1" ht="15" customHeight="1" x14ac:dyDescent="0.35">
      <c r="A46" s="11" t="s">
        <v>856</v>
      </c>
      <c r="B46" s="11" t="s">
        <v>837</v>
      </c>
      <c r="C46" s="12"/>
      <c r="D46" s="13"/>
      <c r="E46" s="13">
        <v>0</v>
      </c>
      <c r="F46" s="14"/>
      <c r="G46" s="15"/>
      <c r="H46" s="16">
        <f t="shared" si="69"/>
        <v>0</v>
      </c>
      <c r="I46" s="14"/>
      <c r="J46" s="15"/>
      <c r="K46" s="16">
        <f t="shared" si="79"/>
        <v>0</v>
      </c>
      <c r="L46" s="14"/>
      <c r="M46" s="15"/>
      <c r="N46" s="16">
        <f t="shared" si="50"/>
        <v>0</v>
      </c>
      <c r="O46" s="14"/>
      <c r="P46" s="15"/>
      <c r="Q46" s="16">
        <f t="shared" si="75"/>
        <v>0</v>
      </c>
      <c r="R46" s="14"/>
      <c r="S46" s="15"/>
      <c r="T46" s="16">
        <f t="shared" si="70"/>
        <v>0</v>
      </c>
      <c r="U46" s="14"/>
      <c r="V46" s="15"/>
      <c r="W46" s="16">
        <f t="shared" si="71"/>
        <v>0</v>
      </c>
      <c r="X46" s="14"/>
      <c r="Y46" s="15"/>
      <c r="Z46" s="16">
        <f t="shared" si="68"/>
        <v>0</v>
      </c>
      <c r="AA46" s="14"/>
      <c r="AB46" s="15"/>
      <c r="AC46" s="16">
        <f t="shared" si="27"/>
        <v>0</v>
      </c>
      <c r="AD46" s="14"/>
      <c r="AE46" s="15"/>
      <c r="AF46" s="16">
        <f t="shared" si="78"/>
        <v>0</v>
      </c>
      <c r="AG46" s="14"/>
      <c r="AH46" s="15"/>
      <c r="AI46" s="16">
        <f t="shared" si="53"/>
        <v>0</v>
      </c>
      <c r="AJ46" s="14"/>
      <c r="AK46" s="15"/>
      <c r="AL46" s="16">
        <f t="shared" si="38"/>
        <v>0</v>
      </c>
      <c r="AM46" s="14"/>
      <c r="AN46" s="15"/>
      <c r="AO46" s="16">
        <f t="shared" si="6"/>
        <v>0</v>
      </c>
      <c r="AP46" s="14"/>
      <c r="AQ46" s="15"/>
      <c r="AR46" s="16">
        <f t="shared" si="76"/>
        <v>0</v>
      </c>
      <c r="AS46" s="14"/>
      <c r="AT46" s="15"/>
      <c r="AU46" s="16">
        <f t="shared" si="54"/>
        <v>0</v>
      </c>
      <c r="AV46" s="14"/>
      <c r="AW46" s="15"/>
      <c r="AX46" s="16">
        <f t="shared" si="56"/>
        <v>0</v>
      </c>
      <c r="AY46" s="14"/>
      <c r="AZ46" s="15"/>
      <c r="BA46" s="16">
        <f t="shared" si="57"/>
        <v>0</v>
      </c>
      <c r="BB46" s="14"/>
      <c r="BC46" s="15"/>
      <c r="BD46" s="16">
        <f t="shared" si="80"/>
        <v>0</v>
      </c>
      <c r="BE46" s="14"/>
      <c r="BF46" s="15"/>
      <c r="BG46" s="16">
        <f t="shared" si="55"/>
        <v>0</v>
      </c>
      <c r="BH46" s="14"/>
      <c r="BI46" s="15"/>
      <c r="BJ46" s="16">
        <f t="shared" si="58"/>
        <v>0</v>
      </c>
      <c r="BK46" s="14"/>
      <c r="BL46" s="15"/>
      <c r="BM46" s="16">
        <f t="shared" si="81"/>
        <v>0</v>
      </c>
      <c r="BN46" s="14"/>
      <c r="BO46" s="15"/>
      <c r="BP46" s="16">
        <f t="shared" si="72"/>
        <v>0</v>
      </c>
      <c r="BQ46" s="14"/>
      <c r="BR46" s="15"/>
      <c r="BS46" s="16">
        <f t="shared" si="73"/>
        <v>0</v>
      </c>
      <c r="BT46" s="14"/>
      <c r="BU46" s="15"/>
      <c r="BV46" s="16">
        <f t="shared" si="77"/>
        <v>0</v>
      </c>
      <c r="BW46" s="14"/>
      <c r="BX46" s="15"/>
      <c r="BY46" s="16">
        <f t="shared" si="25"/>
        <v>0</v>
      </c>
      <c r="BZ46" s="14"/>
      <c r="CA46" s="15"/>
      <c r="CB46" s="16">
        <f t="shared" si="59"/>
        <v>0</v>
      </c>
      <c r="CC46" s="14"/>
      <c r="CD46" s="15"/>
      <c r="CE46" s="16">
        <f t="shared" si="60"/>
        <v>0</v>
      </c>
      <c r="CF46" s="14"/>
      <c r="CG46" s="15"/>
      <c r="CH46" s="16">
        <f t="shared" si="61"/>
        <v>0</v>
      </c>
      <c r="CI46" s="14"/>
      <c r="CJ46" s="15"/>
      <c r="CK46" s="16">
        <f t="shared" si="74"/>
        <v>0</v>
      </c>
      <c r="CL46" s="14"/>
      <c r="CM46" s="15"/>
      <c r="CN46" s="16">
        <f t="shared" si="62"/>
        <v>0</v>
      </c>
      <c r="CO46" s="14"/>
      <c r="CP46" s="15"/>
      <c r="CQ46" s="16">
        <f t="shared" si="63"/>
        <v>0</v>
      </c>
      <c r="CR46" s="14"/>
      <c r="CS46" s="15"/>
      <c r="CT46" s="16">
        <f t="shared" si="64"/>
        <v>0</v>
      </c>
      <c r="CU46" s="17">
        <f t="shared" si="65"/>
        <v>0</v>
      </c>
      <c r="CV46" s="16">
        <f t="shared" si="66"/>
        <v>0</v>
      </c>
      <c r="CW46" s="16">
        <f t="shared" si="67"/>
        <v>0</v>
      </c>
    </row>
    <row r="47" spans="1:101" s="18" customFormat="1" ht="15" customHeight="1" x14ac:dyDescent="0.35">
      <c r="A47" s="11" t="s">
        <v>857</v>
      </c>
      <c r="B47" s="11" t="s">
        <v>846</v>
      </c>
      <c r="C47" s="12"/>
      <c r="D47" s="13"/>
      <c r="E47" s="13">
        <v>0</v>
      </c>
      <c r="F47" s="14"/>
      <c r="G47" s="15"/>
      <c r="H47" s="16">
        <f t="shared" si="69"/>
        <v>0</v>
      </c>
      <c r="I47" s="14"/>
      <c r="J47" s="15"/>
      <c r="K47" s="16">
        <f t="shared" si="79"/>
        <v>0</v>
      </c>
      <c r="L47" s="14"/>
      <c r="M47" s="15"/>
      <c r="N47" s="16">
        <f t="shared" si="50"/>
        <v>0</v>
      </c>
      <c r="O47" s="14"/>
      <c r="P47" s="15"/>
      <c r="Q47" s="16">
        <f t="shared" si="75"/>
        <v>0</v>
      </c>
      <c r="R47" s="14"/>
      <c r="S47" s="15"/>
      <c r="T47" s="16">
        <f t="shared" si="70"/>
        <v>0</v>
      </c>
      <c r="U47" s="14"/>
      <c r="V47" s="15"/>
      <c r="W47" s="16">
        <f t="shared" si="71"/>
        <v>0</v>
      </c>
      <c r="X47" s="14"/>
      <c r="Y47" s="15"/>
      <c r="Z47" s="16">
        <f t="shared" si="68"/>
        <v>0</v>
      </c>
      <c r="AA47" s="14"/>
      <c r="AB47" s="15"/>
      <c r="AC47" s="16">
        <f t="shared" si="27"/>
        <v>0</v>
      </c>
      <c r="AD47" s="14"/>
      <c r="AE47" s="15"/>
      <c r="AF47" s="16">
        <f t="shared" si="78"/>
        <v>0</v>
      </c>
      <c r="AG47" s="14"/>
      <c r="AH47" s="15"/>
      <c r="AI47" s="16">
        <f t="shared" si="53"/>
        <v>0</v>
      </c>
      <c r="AJ47" s="14"/>
      <c r="AK47" s="15"/>
      <c r="AL47" s="16">
        <f t="shared" si="38"/>
        <v>0</v>
      </c>
      <c r="AM47" s="14"/>
      <c r="AN47" s="15"/>
      <c r="AO47" s="16">
        <f t="shared" si="6"/>
        <v>0</v>
      </c>
      <c r="AP47" s="14"/>
      <c r="AQ47" s="15"/>
      <c r="AR47" s="16">
        <f t="shared" si="76"/>
        <v>0</v>
      </c>
      <c r="AS47" s="14"/>
      <c r="AT47" s="15"/>
      <c r="AU47" s="16">
        <f t="shared" si="54"/>
        <v>0</v>
      </c>
      <c r="AV47" s="14"/>
      <c r="AW47" s="15"/>
      <c r="AX47" s="16">
        <f t="shared" si="56"/>
        <v>0</v>
      </c>
      <c r="AY47" s="14"/>
      <c r="AZ47" s="15"/>
      <c r="BA47" s="16">
        <f t="shared" si="57"/>
        <v>0</v>
      </c>
      <c r="BB47" s="14"/>
      <c r="BC47" s="15"/>
      <c r="BD47" s="16">
        <f t="shared" si="80"/>
        <v>0</v>
      </c>
      <c r="BE47" s="14"/>
      <c r="BF47" s="15"/>
      <c r="BG47" s="16">
        <f t="shared" si="55"/>
        <v>0</v>
      </c>
      <c r="BH47" s="14"/>
      <c r="BI47" s="15"/>
      <c r="BJ47" s="16">
        <f t="shared" si="58"/>
        <v>0</v>
      </c>
      <c r="BK47" s="14"/>
      <c r="BL47" s="15"/>
      <c r="BM47" s="16">
        <f t="shared" si="81"/>
        <v>0</v>
      </c>
      <c r="BN47" s="14"/>
      <c r="BO47" s="15"/>
      <c r="BP47" s="16">
        <f t="shared" si="72"/>
        <v>0</v>
      </c>
      <c r="BQ47" s="14"/>
      <c r="BR47" s="15"/>
      <c r="BS47" s="16">
        <f t="shared" si="73"/>
        <v>0</v>
      </c>
      <c r="BT47" s="14"/>
      <c r="BU47" s="15"/>
      <c r="BV47" s="16">
        <f t="shared" si="77"/>
        <v>0</v>
      </c>
      <c r="BW47" s="14"/>
      <c r="BX47" s="15"/>
      <c r="BY47" s="16">
        <f t="shared" si="25"/>
        <v>0</v>
      </c>
      <c r="BZ47" s="14"/>
      <c r="CA47" s="15"/>
      <c r="CB47" s="16">
        <f t="shared" si="59"/>
        <v>0</v>
      </c>
      <c r="CC47" s="14"/>
      <c r="CD47" s="15"/>
      <c r="CE47" s="16">
        <f t="shared" si="60"/>
        <v>0</v>
      </c>
      <c r="CF47" s="14"/>
      <c r="CG47" s="15"/>
      <c r="CH47" s="16">
        <f t="shared" si="61"/>
        <v>0</v>
      </c>
      <c r="CI47" s="14"/>
      <c r="CJ47" s="15"/>
      <c r="CK47" s="16">
        <f t="shared" si="74"/>
        <v>0</v>
      </c>
      <c r="CL47" s="14"/>
      <c r="CM47" s="15"/>
      <c r="CN47" s="16">
        <f t="shared" si="62"/>
        <v>0</v>
      </c>
      <c r="CO47" s="14"/>
      <c r="CP47" s="15"/>
      <c r="CQ47" s="16">
        <f t="shared" si="63"/>
        <v>0</v>
      </c>
      <c r="CR47" s="14"/>
      <c r="CS47" s="15"/>
      <c r="CT47" s="16">
        <f t="shared" si="64"/>
        <v>0</v>
      </c>
      <c r="CU47" s="17">
        <f t="shared" si="65"/>
        <v>0</v>
      </c>
      <c r="CV47" s="16">
        <f t="shared" si="66"/>
        <v>0</v>
      </c>
      <c r="CW47" s="16">
        <f t="shared" si="67"/>
        <v>0</v>
      </c>
    </row>
    <row r="48" spans="1:101" s="18" customFormat="1" ht="15" customHeight="1" x14ac:dyDescent="0.35">
      <c r="A48" s="11" t="s">
        <v>858</v>
      </c>
      <c r="B48" s="11" t="s">
        <v>837</v>
      </c>
      <c r="C48" s="12"/>
      <c r="D48" s="13"/>
      <c r="E48" s="13">
        <v>0</v>
      </c>
      <c r="F48" s="14"/>
      <c r="G48" s="15"/>
      <c r="H48" s="16">
        <f t="shared" si="69"/>
        <v>0</v>
      </c>
      <c r="I48" s="14"/>
      <c r="J48" s="15"/>
      <c r="K48" s="16">
        <f t="shared" si="79"/>
        <v>0</v>
      </c>
      <c r="L48" s="14"/>
      <c r="M48" s="15"/>
      <c r="N48" s="16">
        <f t="shared" si="50"/>
        <v>0</v>
      </c>
      <c r="O48" s="14"/>
      <c r="P48" s="15"/>
      <c r="Q48" s="16">
        <f t="shared" si="75"/>
        <v>0</v>
      </c>
      <c r="R48" s="14"/>
      <c r="S48" s="15"/>
      <c r="T48" s="16">
        <f t="shared" si="70"/>
        <v>0</v>
      </c>
      <c r="U48" s="14"/>
      <c r="V48" s="15"/>
      <c r="W48" s="16">
        <f t="shared" si="71"/>
        <v>0</v>
      </c>
      <c r="X48" s="14"/>
      <c r="Y48" s="15"/>
      <c r="Z48" s="16">
        <f t="shared" si="68"/>
        <v>0</v>
      </c>
      <c r="AA48" s="14"/>
      <c r="AB48" s="15"/>
      <c r="AC48" s="16">
        <f t="shared" si="27"/>
        <v>0</v>
      </c>
      <c r="AD48" s="14"/>
      <c r="AE48" s="15"/>
      <c r="AF48" s="16">
        <f t="shared" si="78"/>
        <v>0</v>
      </c>
      <c r="AG48" s="14"/>
      <c r="AH48" s="15"/>
      <c r="AI48" s="16">
        <f t="shared" si="53"/>
        <v>0</v>
      </c>
      <c r="AJ48" s="14"/>
      <c r="AK48" s="15"/>
      <c r="AL48" s="16">
        <f t="shared" si="38"/>
        <v>0</v>
      </c>
      <c r="AM48" s="14"/>
      <c r="AN48" s="15"/>
      <c r="AO48" s="16">
        <f t="shared" si="6"/>
        <v>0</v>
      </c>
      <c r="AP48" s="14"/>
      <c r="AQ48" s="15"/>
      <c r="AR48" s="16">
        <f t="shared" si="76"/>
        <v>0</v>
      </c>
      <c r="AS48" s="14"/>
      <c r="AT48" s="15"/>
      <c r="AU48" s="16">
        <f t="shared" si="54"/>
        <v>0</v>
      </c>
      <c r="AV48" s="14"/>
      <c r="AW48" s="15"/>
      <c r="AX48" s="16">
        <f t="shared" si="56"/>
        <v>0</v>
      </c>
      <c r="AY48" s="14"/>
      <c r="AZ48" s="15"/>
      <c r="BA48" s="16">
        <f t="shared" si="57"/>
        <v>0</v>
      </c>
      <c r="BB48" s="14"/>
      <c r="BC48" s="15"/>
      <c r="BD48" s="16">
        <f t="shared" si="80"/>
        <v>0</v>
      </c>
      <c r="BE48" s="14"/>
      <c r="BF48" s="15"/>
      <c r="BG48" s="16">
        <f t="shared" si="55"/>
        <v>0</v>
      </c>
      <c r="BH48" s="14"/>
      <c r="BI48" s="15"/>
      <c r="BJ48" s="16">
        <f t="shared" si="58"/>
        <v>0</v>
      </c>
      <c r="BK48" s="14"/>
      <c r="BL48" s="15"/>
      <c r="BM48" s="16">
        <f t="shared" si="81"/>
        <v>0</v>
      </c>
      <c r="BN48" s="14"/>
      <c r="BO48" s="15"/>
      <c r="BP48" s="16">
        <f t="shared" si="72"/>
        <v>0</v>
      </c>
      <c r="BQ48" s="14"/>
      <c r="BR48" s="15"/>
      <c r="BS48" s="16">
        <f t="shared" si="73"/>
        <v>0</v>
      </c>
      <c r="BT48" s="14"/>
      <c r="BU48" s="15"/>
      <c r="BV48" s="16">
        <f t="shared" si="77"/>
        <v>0</v>
      </c>
      <c r="BW48" s="14"/>
      <c r="BX48" s="15"/>
      <c r="BY48" s="16">
        <f t="shared" si="25"/>
        <v>0</v>
      </c>
      <c r="BZ48" s="14"/>
      <c r="CA48" s="15"/>
      <c r="CB48" s="16">
        <f t="shared" si="59"/>
        <v>0</v>
      </c>
      <c r="CC48" s="14"/>
      <c r="CD48" s="15"/>
      <c r="CE48" s="16">
        <f t="shared" si="60"/>
        <v>0</v>
      </c>
      <c r="CF48" s="14"/>
      <c r="CG48" s="15"/>
      <c r="CH48" s="16">
        <f t="shared" si="61"/>
        <v>0</v>
      </c>
      <c r="CI48" s="14"/>
      <c r="CJ48" s="15"/>
      <c r="CK48" s="16">
        <f t="shared" si="74"/>
        <v>0</v>
      </c>
      <c r="CL48" s="14"/>
      <c r="CM48" s="15"/>
      <c r="CN48" s="16">
        <f t="shared" si="62"/>
        <v>0</v>
      </c>
      <c r="CO48" s="14"/>
      <c r="CP48" s="15"/>
      <c r="CQ48" s="16">
        <f t="shared" si="63"/>
        <v>0</v>
      </c>
      <c r="CR48" s="14"/>
      <c r="CS48" s="15"/>
      <c r="CT48" s="16">
        <f t="shared" si="64"/>
        <v>0</v>
      </c>
      <c r="CU48" s="17">
        <f t="shared" si="65"/>
        <v>0</v>
      </c>
      <c r="CV48" s="16">
        <f t="shared" si="66"/>
        <v>0</v>
      </c>
      <c r="CW48" s="16">
        <f t="shared" si="67"/>
        <v>0</v>
      </c>
    </row>
    <row r="49" spans="1:101" s="18" customFormat="1" ht="15" customHeight="1" x14ac:dyDescent="0.35">
      <c r="A49" s="11" t="s">
        <v>11</v>
      </c>
      <c r="B49" s="11" t="s">
        <v>837</v>
      </c>
      <c r="C49" s="12"/>
      <c r="D49" s="13"/>
      <c r="E49" s="13">
        <v>0</v>
      </c>
      <c r="F49" s="14">
        <v>8.98</v>
      </c>
      <c r="G49" s="15">
        <v>15000</v>
      </c>
      <c r="H49" s="16">
        <v>70800</v>
      </c>
      <c r="I49" s="14"/>
      <c r="J49" s="15"/>
      <c r="K49" s="16">
        <f t="shared" si="79"/>
        <v>0</v>
      </c>
      <c r="L49" s="14"/>
      <c r="M49" s="15"/>
      <c r="N49" s="16">
        <f t="shared" si="50"/>
        <v>0</v>
      </c>
      <c r="O49" s="14"/>
      <c r="P49" s="15"/>
      <c r="Q49" s="16">
        <f t="shared" si="75"/>
        <v>0</v>
      </c>
      <c r="R49" s="14"/>
      <c r="S49" s="15"/>
      <c r="T49" s="16">
        <f t="shared" si="70"/>
        <v>0</v>
      </c>
      <c r="U49" s="14"/>
      <c r="V49" s="15"/>
      <c r="W49" s="16">
        <f t="shared" si="71"/>
        <v>0</v>
      </c>
      <c r="X49" s="14"/>
      <c r="Y49" s="15"/>
      <c r="Z49" s="16">
        <f t="shared" si="68"/>
        <v>0</v>
      </c>
      <c r="AA49" s="14">
        <v>35.36</v>
      </c>
      <c r="AB49" s="15">
        <v>7635.75</v>
      </c>
      <c r="AC49" s="16">
        <v>270000</v>
      </c>
      <c r="AD49" s="14">
        <v>6.6</v>
      </c>
      <c r="AE49" s="15">
        <v>7700</v>
      </c>
      <c r="AF49" s="16">
        <v>50820</v>
      </c>
      <c r="AG49" s="14"/>
      <c r="AH49" s="15"/>
      <c r="AI49" s="16">
        <f t="shared" si="53"/>
        <v>0</v>
      </c>
      <c r="AJ49" s="14"/>
      <c r="AK49" s="15"/>
      <c r="AL49" s="16">
        <f t="shared" ref="AL49:AL65" si="82">IFERROR(AJ49*AK49, 0)</f>
        <v>0</v>
      </c>
      <c r="AM49" s="14"/>
      <c r="AN49" s="15"/>
      <c r="AO49" s="16">
        <f t="shared" si="6"/>
        <v>0</v>
      </c>
      <c r="AP49" s="14"/>
      <c r="AQ49" s="15"/>
      <c r="AR49" s="16">
        <f t="shared" si="76"/>
        <v>0</v>
      </c>
      <c r="AS49" s="14"/>
      <c r="AT49" s="15"/>
      <c r="AU49" s="16">
        <f t="shared" si="54"/>
        <v>0</v>
      </c>
      <c r="AV49" s="14">
        <v>44</v>
      </c>
      <c r="AW49" s="15">
        <v>7700</v>
      </c>
      <c r="AX49" s="16">
        <v>338800</v>
      </c>
      <c r="AY49" s="14"/>
      <c r="AZ49" s="15"/>
      <c r="BA49" s="16">
        <f t="shared" si="57"/>
        <v>0</v>
      </c>
      <c r="BB49" s="14"/>
      <c r="BC49" s="15"/>
      <c r="BD49" s="16">
        <f t="shared" si="80"/>
        <v>0</v>
      </c>
      <c r="BE49" s="14"/>
      <c r="BF49" s="15"/>
      <c r="BG49" s="16">
        <f t="shared" si="55"/>
        <v>0</v>
      </c>
      <c r="BH49" s="14"/>
      <c r="BI49" s="15"/>
      <c r="BJ49" s="16">
        <f t="shared" si="58"/>
        <v>0</v>
      </c>
      <c r="BK49" s="14"/>
      <c r="BL49" s="15"/>
      <c r="BM49" s="16">
        <f t="shared" si="81"/>
        <v>0</v>
      </c>
      <c r="BN49" s="14"/>
      <c r="BO49" s="15"/>
      <c r="BP49" s="16">
        <f t="shared" si="72"/>
        <v>0</v>
      </c>
      <c r="BQ49" s="14"/>
      <c r="BR49" s="15"/>
      <c r="BS49" s="16">
        <f t="shared" si="73"/>
        <v>0</v>
      </c>
      <c r="BT49" s="14">
        <v>37</v>
      </c>
      <c r="BU49" s="15">
        <v>7700</v>
      </c>
      <c r="BV49" s="16">
        <v>284900</v>
      </c>
      <c r="BW49" s="14"/>
      <c r="BX49" s="15"/>
      <c r="BY49" s="16">
        <f t="shared" si="25"/>
        <v>0</v>
      </c>
      <c r="BZ49" s="14"/>
      <c r="CA49" s="15"/>
      <c r="CB49" s="16">
        <f t="shared" si="59"/>
        <v>0</v>
      </c>
      <c r="CC49" s="14"/>
      <c r="CD49" s="15"/>
      <c r="CE49" s="16">
        <f t="shared" si="60"/>
        <v>0</v>
      </c>
      <c r="CF49" s="14"/>
      <c r="CG49" s="15"/>
      <c r="CH49" s="16">
        <f t="shared" si="61"/>
        <v>0</v>
      </c>
      <c r="CI49" s="14"/>
      <c r="CJ49" s="15"/>
      <c r="CK49" s="16">
        <f t="shared" si="74"/>
        <v>0</v>
      </c>
      <c r="CL49" s="14"/>
      <c r="CM49" s="15"/>
      <c r="CN49" s="16">
        <f t="shared" si="62"/>
        <v>0</v>
      </c>
      <c r="CO49" s="14"/>
      <c r="CP49" s="15"/>
      <c r="CQ49" s="16">
        <f t="shared" si="63"/>
        <v>0</v>
      </c>
      <c r="CR49" s="14"/>
      <c r="CS49" s="15"/>
      <c r="CT49" s="16">
        <f t="shared" si="64"/>
        <v>0</v>
      </c>
      <c r="CU49" s="17">
        <f t="shared" si="65"/>
        <v>131.94</v>
      </c>
      <c r="CV49" s="16">
        <f t="shared" si="66"/>
        <v>9147.15</v>
      </c>
      <c r="CW49" s="16">
        <f t="shared" si="67"/>
        <v>1206874.9709999999</v>
      </c>
    </row>
    <row r="50" spans="1:101" s="18" customFormat="1" ht="15" customHeight="1" x14ac:dyDescent="0.35">
      <c r="A50" s="11" t="s">
        <v>859</v>
      </c>
      <c r="B50" s="11" t="s">
        <v>837</v>
      </c>
      <c r="C50" s="12"/>
      <c r="D50" s="13"/>
      <c r="E50" s="13">
        <v>0</v>
      </c>
      <c r="F50" s="14"/>
      <c r="G50" s="15"/>
      <c r="H50" s="16">
        <f t="shared" ref="H50:H56" si="83">IFERROR(F50*G50, 0)</f>
        <v>0</v>
      </c>
      <c r="I50" s="14"/>
      <c r="J50" s="15"/>
      <c r="K50" s="16">
        <f t="shared" si="79"/>
        <v>0</v>
      </c>
      <c r="L50" s="14"/>
      <c r="M50" s="15"/>
      <c r="N50" s="16">
        <f t="shared" si="50"/>
        <v>0</v>
      </c>
      <c r="O50" s="14"/>
      <c r="P50" s="15"/>
      <c r="Q50" s="16">
        <f t="shared" si="75"/>
        <v>0</v>
      </c>
      <c r="R50" s="14"/>
      <c r="S50" s="15"/>
      <c r="T50" s="16">
        <f t="shared" si="70"/>
        <v>0</v>
      </c>
      <c r="U50" s="14"/>
      <c r="V50" s="15"/>
      <c r="W50" s="16">
        <f t="shared" si="71"/>
        <v>0</v>
      </c>
      <c r="X50" s="14"/>
      <c r="Y50" s="15"/>
      <c r="Z50" s="16">
        <f t="shared" si="68"/>
        <v>0</v>
      </c>
      <c r="AA50" s="14"/>
      <c r="AB50" s="15"/>
      <c r="AC50" s="16">
        <f>IFERROR(AA50*AB50, 0)</f>
        <v>0</v>
      </c>
      <c r="AD50" s="14"/>
      <c r="AE50" s="15"/>
      <c r="AF50" s="16">
        <f>IFERROR(AD50*AE50, 0)</f>
        <v>0</v>
      </c>
      <c r="AG50" s="14"/>
      <c r="AH50" s="15"/>
      <c r="AI50" s="16">
        <f t="shared" si="53"/>
        <v>0</v>
      </c>
      <c r="AJ50" s="14"/>
      <c r="AK50" s="15"/>
      <c r="AL50" s="16">
        <f t="shared" si="82"/>
        <v>0</v>
      </c>
      <c r="AM50" s="14"/>
      <c r="AN50" s="15"/>
      <c r="AO50" s="16">
        <f t="shared" si="6"/>
        <v>0</v>
      </c>
      <c r="AP50" s="14"/>
      <c r="AQ50" s="15"/>
      <c r="AR50" s="16">
        <f t="shared" si="76"/>
        <v>0</v>
      </c>
      <c r="AS50" s="14"/>
      <c r="AT50" s="15"/>
      <c r="AU50" s="16">
        <f t="shared" si="54"/>
        <v>0</v>
      </c>
      <c r="AV50" s="14"/>
      <c r="AW50" s="15"/>
      <c r="AX50" s="16">
        <f t="shared" ref="AX50:AX60" si="84">IFERROR(AV50*AW50, 0)</f>
        <v>0</v>
      </c>
      <c r="AY50" s="14"/>
      <c r="AZ50" s="15"/>
      <c r="BA50" s="16">
        <f t="shared" si="57"/>
        <v>0</v>
      </c>
      <c r="BB50" s="14"/>
      <c r="BC50" s="15"/>
      <c r="BD50" s="16">
        <f t="shared" si="80"/>
        <v>0</v>
      </c>
      <c r="BE50" s="14"/>
      <c r="BF50" s="15"/>
      <c r="BG50" s="16">
        <f t="shared" si="55"/>
        <v>0</v>
      </c>
      <c r="BH50" s="14"/>
      <c r="BI50" s="15"/>
      <c r="BJ50" s="16">
        <f t="shared" si="58"/>
        <v>0</v>
      </c>
      <c r="BK50" s="14"/>
      <c r="BL50" s="15"/>
      <c r="BM50" s="16">
        <f t="shared" si="81"/>
        <v>0</v>
      </c>
      <c r="BN50" s="14"/>
      <c r="BO50" s="15"/>
      <c r="BP50" s="16">
        <f t="shared" si="72"/>
        <v>0</v>
      </c>
      <c r="BQ50" s="14"/>
      <c r="BR50" s="15"/>
      <c r="BS50" s="16">
        <f t="shared" si="73"/>
        <v>0</v>
      </c>
      <c r="BT50" s="14"/>
      <c r="BU50" s="15"/>
      <c r="BV50" s="16">
        <f>IFERROR(BT50*BU50, 0)</f>
        <v>0</v>
      </c>
      <c r="BW50" s="14"/>
      <c r="BX50" s="15"/>
      <c r="BY50" s="16">
        <f t="shared" si="25"/>
        <v>0</v>
      </c>
      <c r="BZ50" s="14"/>
      <c r="CA50" s="15"/>
      <c r="CB50" s="16">
        <f t="shared" si="59"/>
        <v>0</v>
      </c>
      <c r="CC50" s="14"/>
      <c r="CD50" s="15"/>
      <c r="CE50" s="16">
        <f t="shared" si="60"/>
        <v>0</v>
      </c>
      <c r="CF50" s="14"/>
      <c r="CG50" s="15"/>
      <c r="CH50" s="16">
        <f t="shared" si="61"/>
        <v>0</v>
      </c>
      <c r="CI50" s="14"/>
      <c r="CJ50" s="15"/>
      <c r="CK50" s="16">
        <f t="shared" si="74"/>
        <v>0</v>
      </c>
      <c r="CL50" s="14"/>
      <c r="CM50" s="15"/>
      <c r="CN50" s="16">
        <f t="shared" si="62"/>
        <v>0</v>
      </c>
      <c r="CO50" s="14"/>
      <c r="CP50" s="15"/>
      <c r="CQ50" s="16">
        <f t="shared" si="63"/>
        <v>0</v>
      </c>
      <c r="CR50" s="14"/>
      <c r="CS50" s="15"/>
      <c r="CT50" s="16">
        <f t="shared" si="64"/>
        <v>0</v>
      </c>
      <c r="CU50" s="17">
        <f t="shared" si="65"/>
        <v>0</v>
      </c>
      <c r="CV50" s="16">
        <f t="shared" si="66"/>
        <v>0</v>
      </c>
      <c r="CW50" s="16">
        <f t="shared" si="67"/>
        <v>0</v>
      </c>
    </row>
    <row r="51" spans="1:101" s="18" customFormat="1" ht="15" customHeight="1" x14ac:dyDescent="0.35">
      <c r="A51" s="11" t="s">
        <v>252</v>
      </c>
      <c r="B51" s="11" t="s">
        <v>837</v>
      </c>
      <c r="C51" s="12"/>
      <c r="D51" s="13"/>
      <c r="E51" s="13">
        <v>0</v>
      </c>
      <c r="F51" s="14"/>
      <c r="G51" s="15"/>
      <c r="H51" s="16">
        <f t="shared" si="83"/>
        <v>0</v>
      </c>
      <c r="I51" s="14"/>
      <c r="J51" s="15"/>
      <c r="K51" s="16">
        <f t="shared" si="79"/>
        <v>0</v>
      </c>
      <c r="L51" s="14"/>
      <c r="M51" s="15"/>
      <c r="N51" s="16">
        <f t="shared" si="50"/>
        <v>0</v>
      </c>
      <c r="O51" s="14"/>
      <c r="P51" s="15"/>
      <c r="Q51" s="16">
        <f t="shared" si="75"/>
        <v>0</v>
      </c>
      <c r="R51" s="14">
        <v>8.0440000000000005</v>
      </c>
      <c r="S51" s="15">
        <v>9699</v>
      </c>
      <c r="T51" s="16">
        <v>78027</v>
      </c>
      <c r="U51" s="14"/>
      <c r="V51" s="15"/>
      <c r="W51" s="16">
        <f t="shared" si="71"/>
        <v>0</v>
      </c>
      <c r="X51" s="14"/>
      <c r="Y51" s="15"/>
      <c r="Z51" s="16">
        <f t="shared" si="68"/>
        <v>0</v>
      </c>
      <c r="AA51" s="14">
        <v>6.0650000000000004</v>
      </c>
      <c r="AB51" s="15">
        <v>9700</v>
      </c>
      <c r="AC51" s="16">
        <v>58831</v>
      </c>
      <c r="AD51" s="14"/>
      <c r="AE51" s="15"/>
      <c r="AF51" s="16">
        <f>IFERROR(AD51*AE51, 0)</f>
        <v>0</v>
      </c>
      <c r="AG51" s="14"/>
      <c r="AH51" s="15"/>
      <c r="AI51" s="16">
        <f t="shared" si="53"/>
        <v>0</v>
      </c>
      <c r="AJ51" s="14"/>
      <c r="AK51" s="15"/>
      <c r="AL51" s="16">
        <f t="shared" si="82"/>
        <v>0</v>
      </c>
      <c r="AM51" s="14">
        <v>11.811999999999999</v>
      </c>
      <c r="AN51" s="15">
        <v>9700</v>
      </c>
      <c r="AO51" s="16">
        <v>114577</v>
      </c>
      <c r="AP51" s="14"/>
      <c r="AQ51" s="15"/>
      <c r="AR51" s="16">
        <f t="shared" si="76"/>
        <v>0</v>
      </c>
      <c r="AS51" s="14"/>
      <c r="AT51" s="15"/>
      <c r="AU51" s="16">
        <f t="shared" si="54"/>
        <v>0</v>
      </c>
      <c r="AV51" s="14"/>
      <c r="AW51" s="15"/>
      <c r="AX51" s="16">
        <f t="shared" si="84"/>
        <v>0</v>
      </c>
      <c r="AY51" s="14"/>
      <c r="AZ51" s="15"/>
      <c r="BA51" s="16">
        <f t="shared" si="57"/>
        <v>0</v>
      </c>
      <c r="BB51" s="14"/>
      <c r="BC51" s="15"/>
      <c r="BD51" s="16">
        <f t="shared" si="80"/>
        <v>0</v>
      </c>
      <c r="BE51" s="14"/>
      <c r="BF51" s="15"/>
      <c r="BG51" s="16">
        <f t="shared" si="55"/>
        <v>0</v>
      </c>
      <c r="BH51" s="14"/>
      <c r="BI51" s="15"/>
      <c r="BJ51" s="16">
        <f t="shared" si="58"/>
        <v>0</v>
      </c>
      <c r="BK51" s="14"/>
      <c r="BL51" s="15"/>
      <c r="BM51" s="16">
        <f t="shared" si="81"/>
        <v>0</v>
      </c>
      <c r="BN51" s="14"/>
      <c r="BO51" s="15"/>
      <c r="BP51" s="16">
        <f t="shared" si="72"/>
        <v>0</v>
      </c>
      <c r="BQ51" s="14"/>
      <c r="BR51" s="15"/>
      <c r="BS51" s="16">
        <f t="shared" si="73"/>
        <v>0</v>
      </c>
      <c r="BT51" s="14"/>
      <c r="BU51" s="15"/>
      <c r="BV51" s="16">
        <f>IFERROR(BT51*BU51, 0)</f>
        <v>0</v>
      </c>
      <c r="BW51" s="14">
        <v>8.9719999999999995</v>
      </c>
      <c r="BX51" s="15">
        <v>9700</v>
      </c>
      <c r="BY51" s="16">
        <v>87028</v>
      </c>
      <c r="BZ51" s="14"/>
      <c r="CA51" s="15"/>
      <c r="CB51" s="16">
        <f t="shared" si="59"/>
        <v>0</v>
      </c>
      <c r="CC51" s="14"/>
      <c r="CD51" s="15"/>
      <c r="CE51" s="16">
        <f t="shared" si="60"/>
        <v>0</v>
      </c>
      <c r="CF51" s="14"/>
      <c r="CG51" s="15"/>
      <c r="CH51" s="16">
        <f t="shared" si="61"/>
        <v>0</v>
      </c>
      <c r="CI51" s="14"/>
      <c r="CJ51" s="15"/>
      <c r="CK51" s="16">
        <f t="shared" si="74"/>
        <v>0</v>
      </c>
      <c r="CL51" s="14"/>
      <c r="CM51" s="15"/>
      <c r="CN51" s="16">
        <f t="shared" si="62"/>
        <v>0</v>
      </c>
      <c r="CO51" s="14"/>
      <c r="CP51" s="15"/>
      <c r="CQ51" s="16">
        <f t="shared" si="63"/>
        <v>0</v>
      </c>
      <c r="CR51" s="14"/>
      <c r="CS51" s="15"/>
      <c r="CT51" s="16">
        <f t="shared" si="64"/>
        <v>0</v>
      </c>
      <c r="CU51" s="17">
        <f t="shared" si="65"/>
        <v>34.893000000000001</v>
      </c>
      <c r="CV51" s="16">
        <f t="shared" si="66"/>
        <v>9699.75</v>
      </c>
      <c r="CW51" s="16">
        <f t="shared" si="67"/>
        <v>338453.37675</v>
      </c>
    </row>
    <row r="52" spans="1:101" s="18" customFormat="1" ht="15" customHeight="1" x14ac:dyDescent="0.35">
      <c r="A52" s="11" t="s">
        <v>426</v>
      </c>
      <c r="B52" s="11" t="s">
        <v>837</v>
      </c>
      <c r="C52" s="12"/>
      <c r="D52" s="13"/>
      <c r="E52" s="13">
        <v>0</v>
      </c>
      <c r="F52" s="14"/>
      <c r="G52" s="15"/>
      <c r="H52" s="16">
        <f t="shared" si="83"/>
        <v>0</v>
      </c>
      <c r="I52" s="14"/>
      <c r="J52" s="15"/>
      <c r="K52" s="16">
        <f t="shared" si="79"/>
        <v>0</v>
      </c>
      <c r="L52" s="14"/>
      <c r="M52" s="15"/>
      <c r="N52" s="16">
        <f t="shared" si="50"/>
        <v>0</v>
      </c>
      <c r="O52" s="14"/>
      <c r="P52" s="15"/>
      <c r="Q52" s="16">
        <f t="shared" si="75"/>
        <v>0</v>
      </c>
      <c r="R52" s="14"/>
      <c r="S52" s="15"/>
      <c r="T52" s="16">
        <f t="shared" ref="T52:T74" si="85">IFERROR(R52*S52, 0)</f>
        <v>0</v>
      </c>
      <c r="U52" s="14"/>
      <c r="V52" s="15"/>
      <c r="W52" s="16">
        <f t="shared" si="71"/>
        <v>0</v>
      </c>
      <c r="X52" s="14"/>
      <c r="Y52" s="15"/>
      <c r="Z52" s="16">
        <f t="shared" si="68"/>
        <v>0</v>
      </c>
      <c r="AA52" s="14"/>
      <c r="AB52" s="15"/>
      <c r="AC52" s="16">
        <f t="shared" ref="AC52:AC63" si="86">IFERROR(AA52*AB52, 0)</f>
        <v>0</v>
      </c>
      <c r="AD52" s="14"/>
      <c r="AE52" s="15"/>
      <c r="AF52" s="16">
        <f>IFERROR(AD52*AE52, 0)</f>
        <v>0</v>
      </c>
      <c r="AG52" s="14">
        <v>15.5</v>
      </c>
      <c r="AH52" s="15">
        <v>44000</v>
      </c>
      <c r="AI52" s="16">
        <v>682000</v>
      </c>
      <c r="AJ52" s="14"/>
      <c r="AK52" s="15"/>
      <c r="AL52" s="16">
        <f t="shared" si="82"/>
        <v>0</v>
      </c>
      <c r="AM52" s="14"/>
      <c r="AN52" s="15"/>
      <c r="AO52" s="16">
        <f t="shared" ref="AO52:AO74" si="87">IFERROR(AM52*AN52, 0)</f>
        <v>0</v>
      </c>
      <c r="AP52" s="14"/>
      <c r="AQ52" s="15"/>
      <c r="AR52" s="16">
        <f t="shared" si="76"/>
        <v>0</v>
      </c>
      <c r="AS52" s="14"/>
      <c r="AT52" s="15"/>
      <c r="AU52" s="16">
        <f t="shared" si="54"/>
        <v>0</v>
      </c>
      <c r="AV52" s="14"/>
      <c r="AW52" s="15"/>
      <c r="AX52" s="16">
        <f t="shared" si="84"/>
        <v>0</v>
      </c>
      <c r="AY52" s="14"/>
      <c r="AZ52" s="15"/>
      <c r="BA52" s="16">
        <f t="shared" si="57"/>
        <v>0</v>
      </c>
      <c r="BB52" s="14">
        <v>32.5</v>
      </c>
      <c r="BC52" s="15">
        <v>44000</v>
      </c>
      <c r="BD52" s="16">
        <v>1430000</v>
      </c>
      <c r="BE52" s="14"/>
      <c r="BF52" s="15"/>
      <c r="BG52" s="16">
        <f t="shared" si="55"/>
        <v>0</v>
      </c>
      <c r="BH52" s="14"/>
      <c r="BI52" s="15"/>
      <c r="BJ52" s="16">
        <f t="shared" si="58"/>
        <v>0</v>
      </c>
      <c r="BK52" s="14"/>
      <c r="BL52" s="15"/>
      <c r="BM52" s="16">
        <f t="shared" si="81"/>
        <v>0</v>
      </c>
      <c r="BN52" s="14"/>
      <c r="BO52" s="15"/>
      <c r="BP52" s="16">
        <f t="shared" si="72"/>
        <v>0</v>
      </c>
      <c r="BQ52" s="14"/>
      <c r="BR52" s="15"/>
      <c r="BS52" s="16">
        <f t="shared" si="73"/>
        <v>0</v>
      </c>
      <c r="BT52" s="14">
        <v>6.3550000000000004</v>
      </c>
      <c r="BU52" s="15">
        <v>57900</v>
      </c>
      <c r="BV52" s="16">
        <v>367955</v>
      </c>
      <c r="BW52" s="14"/>
      <c r="BX52" s="15"/>
      <c r="BY52" s="16">
        <f t="shared" ref="BY52:BY69" si="88">IFERROR(BW52*BX52, 0)</f>
        <v>0</v>
      </c>
      <c r="BZ52" s="14"/>
      <c r="CA52" s="15"/>
      <c r="CB52" s="16">
        <f t="shared" si="59"/>
        <v>0</v>
      </c>
      <c r="CC52" s="14"/>
      <c r="CD52" s="15"/>
      <c r="CE52" s="16">
        <f t="shared" si="60"/>
        <v>0</v>
      </c>
      <c r="CF52" s="14"/>
      <c r="CG52" s="15"/>
      <c r="CH52" s="16">
        <f t="shared" si="61"/>
        <v>0</v>
      </c>
      <c r="CI52" s="14"/>
      <c r="CJ52" s="15"/>
      <c r="CK52" s="16">
        <f t="shared" si="74"/>
        <v>0</v>
      </c>
      <c r="CL52" s="14"/>
      <c r="CM52" s="15"/>
      <c r="CN52" s="16">
        <f t="shared" si="62"/>
        <v>0</v>
      </c>
      <c r="CO52" s="14"/>
      <c r="CP52" s="15"/>
      <c r="CQ52" s="16">
        <f t="shared" si="63"/>
        <v>0</v>
      </c>
      <c r="CR52" s="14"/>
      <c r="CS52" s="15"/>
      <c r="CT52" s="16">
        <f t="shared" si="64"/>
        <v>0</v>
      </c>
      <c r="CU52" s="17">
        <f t="shared" si="65"/>
        <v>54.355000000000004</v>
      </c>
      <c r="CV52" s="16">
        <f t="shared" si="66"/>
        <v>48633.333333333336</v>
      </c>
      <c r="CW52" s="16">
        <f t="shared" si="67"/>
        <v>2643464.8333333335</v>
      </c>
    </row>
    <row r="53" spans="1:101" s="18" customFormat="1" ht="15" customHeight="1" x14ac:dyDescent="0.35">
      <c r="A53" s="11" t="s">
        <v>585</v>
      </c>
      <c r="B53" s="11" t="s">
        <v>837</v>
      </c>
      <c r="C53" s="12"/>
      <c r="D53" s="13"/>
      <c r="E53" s="13">
        <v>0</v>
      </c>
      <c r="F53" s="14"/>
      <c r="G53" s="15"/>
      <c r="H53" s="16">
        <f t="shared" si="83"/>
        <v>0</v>
      </c>
      <c r="I53" s="14"/>
      <c r="J53" s="15"/>
      <c r="K53" s="16">
        <f t="shared" si="79"/>
        <v>0</v>
      </c>
      <c r="L53" s="14"/>
      <c r="M53" s="15"/>
      <c r="N53" s="16">
        <f t="shared" si="50"/>
        <v>0</v>
      </c>
      <c r="O53" s="14"/>
      <c r="P53" s="15"/>
      <c r="Q53" s="16">
        <f t="shared" si="75"/>
        <v>0</v>
      </c>
      <c r="R53" s="14"/>
      <c r="S53" s="15"/>
      <c r="T53" s="16">
        <f t="shared" si="85"/>
        <v>0</v>
      </c>
      <c r="U53" s="14"/>
      <c r="V53" s="15"/>
      <c r="W53" s="16">
        <f t="shared" si="71"/>
        <v>0</v>
      </c>
      <c r="X53" s="14"/>
      <c r="Y53" s="15"/>
      <c r="Z53" s="16">
        <f t="shared" si="68"/>
        <v>0</v>
      </c>
      <c r="AA53" s="14"/>
      <c r="AB53" s="15"/>
      <c r="AC53" s="16">
        <f t="shared" si="86"/>
        <v>0</v>
      </c>
      <c r="AD53" s="14"/>
      <c r="AE53" s="15"/>
      <c r="AF53" s="16">
        <f>IFERROR(AD53*AE53, 0)</f>
        <v>0</v>
      </c>
      <c r="AG53" s="14"/>
      <c r="AH53" s="15"/>
      <c r="AI53" s="16">
        <f t="shared" ref="AI53:AI60" si="89">IFERROR(AG53*AH53, 0)</f>
        <v>0</v>
      </c>
      <c r="AJ53" s="14"/>
      <c r="AK53" s="15"/>
      <c r="AL53" s="16">
        <f t="shared" si="82"/>
        <v>0</v>
      </c>
      <c r="AM53" s="14"/>
      <c r="AN53" s="15"/>
      <c r="AO53" s="16">
        <f t="shared" si="87"/>
        <v>0</v>
      </c>
      <c r="AP53" s="14"/>
      <c r="AQ53" s="15"/>
      <c r="AR53" s="16">
        <f t="shared" si="76"/>
        <v>0</v>
      </c>
      <c r="AS53" s="14"/>
      <c r="AT53" s="15"/>
      <c r="AU53" s="16">
        <f t="shared" si="54"/>
        <v>0</v>
      </c>
      <c r="AV53" s="14"/>
      <c r="AW53" s="15"/>
      <c r="AX53" s="16">
        <f t="shared" si="84"/>
        <v>0</v>
      </c>
      <c r="AY53" s="14"/>
      <c r="AZ53" s="15"/>
      <c r="BA53" s="16">
        <f t="shared" si="57"/>
        <v>0</v>
      </c>
      <c r="BB53" s="14"/>
      <c r="BC53" s="15"/>
      <c r="BD53" s="16">
        <f>IFERROR(BB53*BC53, 0)</f>
        <v>0</v>
      </c>
      <c r="BE53" s="14">
        <v>3</v>
      </c>
      <c r="BF53" s="15">
        <v>20000</v>
      </c>
      <c r="BG53" s="16">
        <v>60000</v>
      </c>
      <c r="BH53" s="14"/>
      <c r="BI53" s="15"/>
      <c r="BJ53" s="16">
        <f t="shared" si="58"/>
        <v>0</v>
      </c>
      <c r="BK53" s="14"/>
      <c r="BL53" s="15"/>
      <c r="BM53" s="16">
        <f t="shared" si="81"/>
        <v>0</v>
      </c>
      <c r="BN53" s="14"/>
      <c r="BO53" s="15"/>
      <c r="BP53" s="16">
        <f t="shared" si="72"/>
        <v>0</v>
      </c>
      <c r="BQ53" s="14"/>
      <c r="BR53" s="15"/>
      <c r="BS53" s="16">
        <f t="shared" si="73"/>
        <v>0</v>
      </c>
      <c r="BT53" s="14"/>
      <c r="BU53" s="15"/>
      <c r="BV53" s="16">
        <f>IFERROR(BT53*BU53, 0)</f>
        <v>0</v>
      </c>
      <c r="BW53" s="14"/>
      <c r="BX53" s="15"/>
      <c r="BY53" s="16">
        <f t="shared" si="88"/>
        <v>0</v>
      </c>
      <c r="BZ53" s="14"/>
      <c r="CA53" s="15"/>
      <c r="CB53" s="16">
        <f t="shared" si="59"/>
        <v>0</v>
      </c>
      <c r="CC53" s="14"/>
      <c r="CD53" s="15"/>
      <c r="CE53" s="16">
        <f t="shared" si="60"/>
        <v>0</v>
      </c>
      <c r="CF53" s="14"/>
      <c r="CG53" s="15"/>
      <c r="CH53" s="16">
        <f t="shared" si="61"/>
        <v>0</v>
      </c>
      <c r="CI53" s="14"/>
      <c r="CJ53" s="15"/>
      <c r="CK53" s="16">
        <f t="shared" si="74"/>
        <v>0</v>
      </c>
      <c r="CL53" s="14"/>
      <c r="CM53" s="15"/>
      <c r="CN53" s="16">
        <f t="shared" si="62"/>
        <v>0</v>
      </c>
      <c r="CO53" s="14"/>
      <c r="CP53" s="15"/>
      <c r="CQ53" s="16">
        <f t="shared" si="63"/>
        <v>0</v>
      </c>
      <c r="CR53" s="14"/>
      <c r="CS53" s="15"/>
      <c r="CT53" s="16">
        <f t="shared" si="64"/>
        <v>0</v>
      </c>
      <c r="CU53" s="17">
        <f t="shared" si="65"/>
        <v>3</v>
      </c>
      <c r="CV53" s="16">
        <f t="shared" si="66"/>
        <v>20000</v>
      </c>
      <c r="CW53" s="16">
        <f t="shared" si="67"/>
        <v>60000</v>
      </c>
    </row>
    <row r="54" spans="1:101" s="18" customFormat="1" ht="15" customHeight="1" x14ac:dyDescent="0.35">
      <c r="A54" s="11" t="s">
        <v>860</v>
      </c>
      <c r="B54" s="11" t="s">
        <v>837</v>
      </c>
      <c r="C54" s="12"/>
      <c r="D54" s="13"/>
      <c r="E54" s="13">
        <v>0</v>
      </c>
      <c r="F54" s="14"/>
      <c r="G54" s="15"/>
      <c r="H54" s="16">
        <f t="shared" si="83"/>
        <v>0</v>
      </c>
      <c r="I54" s="14"/>
      <c r="J54" s="15"/>
      <c r="K54" s="16">
        <f t="shared" si="79"/>
        <v>0</v>
      </c>
      <c r="L54" s="14"/>
      <c r="M54" s="15"/>
      <c r="N54" s="16">
        <f t="shared" si="50"/>
        <v>0</v>
      </c>
      <c r="O54" s="14"/>
      <c r="P54" s="15"/>
      <c r="Q54" s="16">
        <f t="shared" si="75"/>
        <v>0</v>
      </c>
      <c r="R54" s="14"/>
      <c r="S54" s="15"/>
      <c r="T54" s="16">
        <f t="shared" si="85"/>
        <v>0</v>
      </c>
      <c r="U54" s="14"/>
      <c r="V54" s="15"/>
      <c r="W54" s="16">
        <f t="shared" si="71"/>
        <v>0</v>
      </c>
      <c r="X54" s="14"/>
      <c r="Y54" s="15"/>
      <c r="Z54" s="16">
        <f t="shared" si="68"/>
        <v>0</v>
      </c>
      <c r="AA54" s="14"/>
      <c r="AB54" s="15"/>
      <c r="AC54" s="16">
        <f t="shared" si="86"/>
        <v>0</v>
      </c>
      <c r="AD54" s="14"/>
      <c r="AE54" s="15"/>
      <c r="AF54" s="16">
        <f>IFERROR(AD54*AE54, 0)</f>
        <v>0</v>
      </c>
      <c r="AG54" s="14"/>
      <c r="AH54" s="15"/>
      <c r="AI54" s="16">
        <f t="shared" si="89"/>
        <v>0</v>
      </c>
      <c r="AJ54" s="14"/>
      <c r="AK54" s="15"/>
      <c r="AL54" s="16">
        <f t="shared" si="82"/>
        <v>0</v>
      </c>
      <c r="AM54" s="14"/>
      <c r="AN54" s="15"/>
      <c r="AO54" s="16">
        <f t="shared" si="87"/>
        <v>0</v>
      </c>
      <c r="AP54" s="14"/>
      <c r="AQ54" s="15"/>
      <c r="AR54" s="16">
        <f t="shared" si="76"/>
        <v>0</v>
      </c>
      <c r="AS54" s="14"/>
      <c r="AT54" s="15"/>
      <c r="AU54" s="16">
        <f t="shared" si="54"/>
        <v>0</v>
      </c>
      <c r="AV54" s="14"/>
      <c r="AW54" s="15"/>
      <c r="AX54" s="16">
        <f t="shared" si="84"/>
        <v>0</v>
      </c>
      <c r="AY54" s="14"/>
      <c r="AZ54" s="15"/>
      <c r="BA54" s="16">
        <f t="shared" si="57"/>
        <v>0</v>
      </c>
      <c r="BB54" s="14"/>
      <c r="BC54" s="15"/>
      <c r="BD54" s="16">
        <f>IFERROR(BB54*BC54, 0)</f>
        <v>0</v>
      </c>
      <c r="BE54" s="14"/>
      <c r="BF54" s="15"/>
      <c r="BG54" s="16">
        <f t="shared" ref="BG54:BG74" si="90">IFERROR(BE54*BF54, 0)</f>
        <v>0</v>
      </c>
      <c r="BH54" s="14"/>
      <c r="BI54" s="15"/>
      <c r="BJ54" s="16">
        <f t="shared" si="58"/>
        <v>0</v>
      </c>
      <c r="BK54" s="14"/>
      <c r="BL54" s="15"/>
      <c r="BM54" s="16">
        <f t="shared" si="81"/>
        <v>0</v>
      </c>
      <c r="BN54" s="14"/>
      <c r="BO54" s="15"/>
      <c r="BP54" s="16">
        <f t="shared" si="72"/>
        <v>0</v>
      </c>
      <c r="BQ54" s="14"/>
      <c r="BR54" s="15"/>
      <c r="BS54" s="16">
        <f t="shared" si="73"/>
        <v>0</v>
      </c>
      <c r="BT54" s="14"/>
      <c r="BU54" s="15"/>
      <c r="BV54" s="16">
        <f>IFERROR(BT54*BU54, 0)</f>
        <v>0</v>
      </c>
      <c r="BW54" s="14"/>
      <c r="BX54" s="15"/>
      <c r="BY54" s="16">
        <f t="shared" si="88"/>
        <v>0</v>
      </c>
      <c r="BZ54" s="14"/>
      <c r="CA54" s="15"/>
      <c r="CB54" s="16">
        <f t="shared" si="59"/>
        <v>0</v>
      </c>
      <c r="CC54" s="14"/>
      <c r="CD54" s="15"/>
      <c r="CE54" s="16">
        <f t="shared" si="60"/>
        <v>0</v>
      </c>
      <c r="CF54" s="14"/>
      <c r="CG54" s="15"/>
      <c r="CH54" s="16">
        <f t="shared" si="61"/>
        <v>0</v>
      </c>
      <c r="CI54" s="14"/>
      <c r="CJ54" s="15"/>
      <c r="CK54" s="16">
        <f t="shared" si="74"/>
        <v>0</v>
      </c>
      <c r="CL54" s="14"/>
      <c r="CM54" s="15"/>
      <c r="CN54" s="16">
        <f t="shared" si="62"/>
        <v>0</v>
      </c>
      <c r="CO54" s="14"/>
      <c r="CP54" s="15"/>
      <c r="CQ54" s="16">
        <f t="shared" si="63"/>
        <v>0</v>
      </c>
      <c r="CR54" s="14"/>
      <c r="CS54" s="15"/>
      <c r="CT54" s="16">
        <f t="shared" si="64"/>
        <v>0</v>
      </c>
      <c r="CU54" s="17">
        <f t="shared" si="65"/>
        <v>0</v>
      </c>
      <c r="CV54" s="16">
        <f t="shared" si="66"/>
        <v>0</v>
      </c>
      <c r="CW54" s="16">
        <f t="shared" si="67"/>
        <v>0</v>
      </c>
    </row>
    <row r="55" spans="1:101" s="18" customFormat="1" ht="15" customHeight="1" x14ac:dyDescent="0.35">
      <c r="A55" s="11" t="s">
        <v>380</v>
      </c>
      <c r="B55" s="11" t="s">
        <v>837</v>
      </c>
      <c r="C55" s="12"/>
      <c r="D55" s="13"/>
      <c r="E55" s="13">
        <v>0</v>
      </c>
      <c r="F55" s="14"/>
      <c r="G55" s="15"/>
      <c r="H55" s="16">
        <f t="shared" si="83"/>
        <v>0</v>
      </c>
      <c r="I55" s="14"/>
      <c r="J55" s="15"/>
      <c r="K55" s="16">
        <f t="shared" si="79"/>
        <v>0</v>
      </c>
      <c r="L55" s="14"/>
      <c r="M55" s="15"/>
      <c r="N55" s="16">
        <f t="shared" si="50"/>
        <v>0</v>
      </c>
      <c r="O55" s="14"/>
      <c r="P55" s="15"/>
      <c r="Q55" s="16">
        <f t="shared" si="75"/>
        <v>0</v>
      </c>
      <c r="R55" s="14"/>
      <c r="S55" s="15"/>
      <c r="T55" s="16">
        <f t="shared" si="85"/>
        <v>0</v>
      </c>
      <c r="U55" s="14"/>
      <c r="V55" s="15"/>
      <c r="W55" s="16">
        <f t="shared" si="71"/>
        <v>0</v>
      </c>
      <c r="X55" s="14"/>
      <c r="Y55" s="15"/>
      <c r="Z55" s="16">
        <f t="shared" si="68"/>
        <v>0</v>
      </c>
      <c r="AA55" s="14"/>
      <c r="AB55" s="15"/>
      <c r="AC55" s="16">
        <f t="shared" si="86"/>
        <v>0</v>
      </c>
      <c r="AD55" s="14">
        <v>55</v>
      </c>
      <c r="AE55" s="15">
        <v>7250</v>
      </c>
      <c r="AF55" s="16">
        <v>398750</v>
      </c>
      <c r="AG55" s="14"/>
      <c r="AH55" s="15"/>
      <c r="AI55" s="16">
        <f t="shared" si="89"/>
        <v>0</v>
      </c>
      <c r="AJ55" s="14"/>
      <c r="AK55" s="15"/>
      <c r="AL55" s="16">
        <f t="shared" si="82"/>
        <v>0</v>
      </c>
      <c r="AM55" s="14"/>
      <c r="AN55" s="15"/>
      <c r="AO55" s="16">
        <f t="shared" si="87"/>
        <v>0</v>
      </c>
      <c r="AP55" s="14"/>
      <c r="AQ55" s="15"/>
      <c r="AR55" s="16">
        <f t="shared" si="76"/>
        <v>0</v>
      </c>
      <c r="AS55" s="14"/>
      <c r="AT55" s="15"/>
      <c r="AU55" s="16">
        <f t="shared" si="54"/>
        <v>0</v>
      </c>
      <c r="AV55" s="14"/>
      <c r="AW55" s="15"/>
      <c r="AX55" s="16">
        <f t="shared" si="84"/>
        <v>0</v>
      </c>
      <c r="AY55" s="14"/>
      <c r="AZ55" s="15"/>
      <c r="BA55" s="16">
        <f t="shared" si="57"/>
        <v>0</v>
      </c>
      <c r="BB55" s="14"/>
      <c r="BC55" s="15"/>
      <c r="BD55" s="16">
        <f>IFERROR(BB55*BC55, 0)</f>
        <v>0</v>
      </c>
      <c r="BE55" s="14"/>
      <c r="BF55" s="15"/>
      <c r="BG55" s="16">
        <f t="shared" si="90"/>
        <v>0</v>
      </c>
      <c r="BH55" s="14"/>
      <c r="BI55" s="15"/>
      <c r="BJ55" s="16">
        <f t="shared" si="58"/>
        <v>0</v>
      </c>
      <c r="BK55" s="14"/>
      <c r="BL55" s="15"/>
      <c r="BM55" s="16">
        <f t="shared" si="81"/>
        <v>0</v>
      </c>
      <c r="BN55" s="14"/>
      <c r="BO55" s="15"/>
      <c r="BP55" s="16">
        <f t="shared" si="72"/>
        <v>0</v>
      </c>
      <c r="BQ55" s="14"/>
      <c r="BR55" s="15"/>
      <c r="BS55" s="16">
        <f t="shared" si="73"/>
        <v>0</v>
      </c>
      <c r="BT55" s="14"/>
      <c r="BU55" s="15"/>
      <c r="BV55" s="16">
        <f>IFERROR(BT55*BU55, 0)</f>
        <v>0</v>
      </c>
      <c r="BW55" s="14"/>
      <c r="BX55" s="15"/>
      <c r="BY55" s="16">
        <f t="shared" si="88"/>
        <v>0</v>
      </c>
      <c r="BZ55" s="14"/>
      <c r="CA55" s="15"/>
      <c r="CB55" s="16">
        <f t="shared" si="59"/>
        <v>0</v>
      </c>
      <c r="CC55" s="14"/>
      <c r="CD55" s="15"/>
      <c r="CE55" s="16">
        <f t="shared" si="60"/>
        <v>0</v>
      </c>
      <c r="CF55" s="14"/>
      <c r="CG55" s="15"/>
      <c r="CH55" s="16">
        <f t="shared" si="61"/>
        <v>0</v>
      </c>
      <c r="CI55" s="14"/>
      <c r="CJ55" s="15"/>
      <c r="CK55" s="16">
        <f t="shared" si="74"/>
        <v>0</v>
      </c>
      <c r="CL55" s="14"/>
      <c r="CM55" s="15"/>
      <c r="CN55" s="16">
        <f t="shared" si="62"/>
        <v>0</v>
      </c>
      <c r="CO55" s="14"/>
      <c r="CP55" s="15"/>
      <c r="CQ55" s="16">
        <f t="shared" si="63"/>
        <v>0</v>
      </c>
      <c r="CR55" s="14"/>
      <c r="CS55" s="15"/>
      <c r="CT55" s="16">
        <f t="shared" si="64"/>
        <v>0</v>
      </c>
      <c r="CU55" s="17">
        <f t="shared" si="65"/>
        <v>55</v>
      </c>
      <c r="CV55" s="16">
        <f t="shared" si="66"/>
        <v>7250</v>
      </c>
      <c r="CW55" s="16">
        <f t="shared" si="67"/>
        <v>398750</v>
      </c>
    </row>
    <row r="56" spans="1:101" s="18" customFormat="1" ht="15.75" customHeight="1" x14ac:dyDescent="0.35">
      <c r="A56" s="11" t="s">
        <v>175</v>
      </c>
      <c r="B56" s="11" t="s">
        <v>837</v>
      </c>
      <c r="C56" s="12"/>
      <c r="D56" s="13"/>
      <c r="E56" s="13">
        <v>0</v>
      </c>
      <c r="F56" s="14"/>
      <c r="G56" s="15"/>
      <c r="H56" s="16">
        <f t="shared" si="83"/>
        <v>0</v>
      </c>
      <c r="I56" s="14">
        <v>21.71</v>
      </c>
      <c r="J56" s="15">
        <v>25900</v>
      </c>
      <c r="K56" s="16">
        <v>562289</v>
      </c>
      <c r="L56" s="14"/>
      <c r="M56" s="15"/>
      <c r="N56" s="16">
        <f t="shared" si="50"/>
        <v>0</v>
      </c>
      <c r="O56" s="14"/>
      <c r="P56" s="15"/>
      <c r="Q56" s="16">
        <f t="shared" si="75"/>
        <v>0</v>
      </c>
      <c r="R56" s="14"/>
      <c r="S56" s="15"/>
      <c r="T56" s="16">
        <f t="shared" si="85"/>
        <v>0</v>
      </c>
      <c r="U56" s="14"/>
      <c r="V56" s="15"/>
      <c r="W56" s="16">
        <f t="shared" si="71"/>
        <v>0</v>
      </c>
      <c r="X56" s="14"/>
      <c r="Y56" s="15"/>
      <c r="Z56" s="16">
        <f t="shared" si="68"/>
        <v>0</v>
      </c>
      <c r="AA56" s="14"/>
      <c r="AB56" s="15"/>
      <c r="AC56" s="16">
        <f t="shared" si="86"/>
        <v>0</v>
      </c>
      <c r="AD56" s="14">
        <v>18.100000000000001</v>
      </c>
      <c r="AE56" s="15">
        <v>25900</v>
      </c>
      <c r="AF56" s="16">
        <v>468790</v>
      </c>
      <c r="AG56" s="14"/>
      <c r="AH56" s="15"/>
      <c r="AI56" s="16">
        <f t="shared" si="89"/>
        <v>0</v>
      </c>
      <c r="AJ56" s="14"/>
      <c r="AK56" s="15"/>
      <c r="AL56" s="16">
        <f t="shared" si="82"/>
        <v>0</v>
      </c>
      <c r="AM56" s="14"/>
      <c r="AN56" s="15"/>
      <c r="AO56" s="16">
        <f t="shared" si="87"/>
        <v>0</v>
      </c>
      <c r="AP56" s="14"/>
      <c r="AQ56" s="15"/>
      <c r="AR56" s="16">
        <f t="shared" si="76"/>
        <v>0</v>
      </c>
      <c r="AS56" s="14"/>
      <c r="AT56" s="15"/>
      <c r="AU56" s="16">
        <f t="shared" si="54"/>
        <v>0</v>
      </c>
      <c r="AV56" s="14"/>
      <c r="AW56" s="15"/>
      <c r="AX56" s="16">
        <f t="shared" si="84"/>
        <v>0</v>
      </c>
      <c r="AY56" s="14"/>
      <c r="AZ56" s="15"/>
      <c r="BA56" s="16">
        <f t="shared" si="57"/>
        <v>0</v>
      </c>
      <c r="BB56" s="14"/>
      <c r="BC56" s="15"/>
      <c r="BD56" s="16">
        <f>IFERROR(BB56*BC56, 0)</f>
        <v>0</v>
      </c>
      <c r="BE56" s="14"/>
      <c r="BF56" s="15"/>
      <c r="BG56" s="16">
        <f t="shared" si="90"/>
        <v>0</v>
      </c>
      <c r="BH56" s="14"/>
      <c r="BI56" s="15"/>
      <c r="BJ56" s="16">
        <f t="shared" si="58"/>
        <v>0</v>
      </c>
      <c r="BK56" s="14"/>
      <c r="BL56" s="15"/>
      <c r="BM56" s="16">
        <f t="shared" si="81"/>
        <v>0</v>
      </c>
      <c r="BN56" s="14"/>
      <c r="BO56" s="15"/>
      <c r="BP56" s="16">
        <f t="shared" si="72"/>
        <v>0</v>
      </c>
      <c r="BQ56" s="14"/>
      <c r="BR56" s="15"/>
      <c r="BS56" s="16">
        <f t="shared" si="73"/>
        <v>0</v>
      </c>
      <c r="BT56" s="14"/>
      <c r="BU56" s="15"/>
      <c r="BV56" s="16">
        <f>IFERROR(BT56*BU56, 0)</f>
        <v>0</v>
      </c>
      <c r="BW56" s="14"/>
      <c r="BX56" s="15"/>
      <c r="BY56" s="16">
        <f t="shared" si="88"/>
        <v>0</v>
      </c>
      <c r="BZ56" s="14"/>
      <c r="CA56" s="15"/>
      <c r="CB56" s="16">
        <f t="shared" si="59"/>
        <v>0</v>
      </c>
      <c r="CC56" s="14"/>
      <c r="CD56" s="15"/>
      <c r="CE56" s="16">
        <f t="shared" si="60"/>
        <v>0</v>
      </c>
      <c r="CF56" s="14"/>
      <c r="CG56" s="15"/>
      <c r="CH56" s="16">
        <f t="shared" si="61"/>
        <v>0</v>
      </c>
      <c r="CI56" s="14"/>
      <c r="CJ56" s="15"/>
      <c r="CK56" s="16">
        <f t="shared" si="74"/>
        <v>0</v>
      </c>
      <c r="CL56" s="14"/>
      <c r="CM56" s="15"/>
      <c r="CN56" s="16">
        <f t="shared" si="62"/>
        <v>0</v>
      </c>
      <c r="CO56" s="14"/>
      <c r="CP56" s="15"/>
      <c r="CQ56" s="16">
        <f t="shared" si="63"/>
        <v>0</v>
      </c>
      <c r="CR56" s="14"/>
      <c r="CS56" s="15"/>
      <c r="CT56" s="16">
        <f t="shared" si="64"/>
        <v>0</v>
      </c>
      <c r="CU56" s="17">
        <f t="shared" si="65"/>
        <v>39.81</v>
      </c>
      <c r="CV56" s="16">
        <f t="shared" si="66"/>
        <v>25900</v>
      </c>
      <c r="CW56" s="16">
        <f t="shared" si="67"/>
        <v>1031079.0000000001</v>
      </c>
    </row>
    <row r="57" spans="1:101" s="18" customFormat="1" ht="15" customHeight="1" x14ac:dyDescent="0.35">
      <c r="A57" s="11" t="s">
        <v>70</v>
      </c>
      <c r="B57" s="11" t="s">
        <v>837</v>
      </c>
      <c r="C57" s="12"/>
      <c r="D57" s="13"/>
      <c r="E57" s="13">
        <v>0</v>
      </c>
      <c r="F57" s="14">
        <v>9.27</v>
      </c>
      <c r="G57" s="15">
        <v>30500</v>
      </c>
      <c r="H57" s="16">
        <v>282735</v>
      </c>
      <c r="I57" s="14">
        <v>22.8</v>
      </c>
      <c r="J57" s="15">
        <v>34500</v>
      </c>
      <c r="K57" s="16">
        <v>786600</v>
      </c>
      <c r="L57" s="14"/>
      <c r="M57" s="15"/>
      <c r="N57" s="16">
        <f t="shared" si="50"/>
        <v>0</v>
      </c>
      <c r="O57" s="14"/>
      <c r="P57" s="15"/>
      <c r="Q57" s="16">
        <f t="shared" si="75"/>
        <v>0</v>
      </c>
      <c r="R57" s="14"/>
      <c r="S57" s="15"/>
      <c r="T57" s="16">
        <f t="shared" si="85"/>
        <v>0</v>
      </c>
      <c r="U57" s="14"/>
      <c r="V57" s="15"/>
      <c r="W57" s="16">
        <f t="shared" si="71"/>
        <v>0</v>
      </c>
      <c r="X57" s="14">
        <v>21.8</v>
      </c>
      <c r="Y57" s="15">
        <v>34500</v>
      </c>
      <c r="Z57" s="16">
        <v>752100</v>
      </c>
      <c r="AA57" s="14"/>
      <c r="AB57" s="15"/>
      <c r="AC57" s="16">
        <f t="shared" si="86"/>
        <v>0</v>
      </c>
      <c r="AD57" s="14"/>
      <c r="AE57" s="15"/>
      <c r="AF57" s="16">
        <f t="shared" ref="AF57:AF63" si="91">IFERROR(AD57*AE57, 0)</f>
        <v>0</v>
      </c>
      <c r="AG57" s="14"/>
      <c r="AH57" s="15"/>
      <c r="AI57" s="16">
        <f t="shared" si="89"/>
        <v>0</v>
      </c>
      <c r="AJ57" s="14"/>
      <c r="AK57" s="15"/>
      <c r="AL57" s="16">
        <f t="shared" si="82"/>
        <v>0</v>
      </c>
      <c r="AM57" s="14"/>
      <c r="AN57" s="15"/>
      <c r="AO57" s="16">
        <f t="shared" si="87"/>
        <v>0</v>
      </c>
      <c r="AP57" s="14"/>
      <c r="AQ57" s="15"/>
      <c r="AR57" s="16">
        <f t="shared" si="76"/>
        <v>0</v>
      </c>
      <c r="AS57" s="14"/>
      <c r="AT57" s="15"/>
      <c r="AU57" s="16">
        <f t="shared" si="54"/>
        <v>0</v>
      </c>
      <c r="AV57" s="14"/>
      <c r="AW57" s="15"/>
      <c r="AX57" s="16">
        <f t="shared" si="84"/>
        <v>0</v>
      </c>
      <c r="AY57" s="14"/>
      <c r="AZ57" s="15"/>
      <c r="BA57" s="16">
        <f t="shared" si="57"/>
        <v>0</v>
      </c>
      <c r="BB57" s="14">
        <v>30.6</v>
      </c>
      <c r="BC57" s="15">
        <v>34500</v>
      </c>
      <c r="BD57" s="16">
        <v>1055700</v>
      </c>
      <c r="BE57" s="14"/>
      <c r="BF57" s="15"/>
      <c r="BG57" s="16">
        <f t="shared" si="90"/>
        <v>0</v>
      </c>
      <c r="BH57" s="14"/>
      <c r="BI57" s="15"/>
      <c r="BJ57" s="16">
        <f t="shared" si="58"/>
        <v>0</v>
      </c>
      <c r="BK57" s="14"/>
      <c r="BL57" s="15"/>
      <c r="BM57" s="16">
        <f t="shared" si="81"/>
        <v>0</v>
      </c>
      <c r="BN57" s="14">
        <v>10</v>
      </c>
      <c r="BO57" s="15">
        <v>30000</v>
      </c>
      <c r="BP57" s="16">
        <v>300000</v>
      </c>
      <c r="BQ57" s="14"/>
      <c r="BR57" s="15"/>
      <c r="BS57" s="16">
        <f t="shared" si="73"/>
        <v>0</v>
      </c>
      <c r="BT57" s="14">
        <v>17.05</v>
      </c>
      <c r="BU57" s="15">
        <v>34500</v>
      </c>
      <c r="BV57" s="16">
        <v>588225</v>
      </c>
      <c r="BW57" s="14"/>
      <c r="BX57" s="15"/>
      <c r="BY57" s="16">
        <f t="shared" si="88"/>
        <v>0</v>
      </c>
      <c r="BZ57" s="14"/>
      <c r="CA57" s="15"/>
      <c r="CB57" s="16">
        <f t="shared" si="59"/>
        <v>0</v>
      </c>
      <c r="CC57" s="14"/>
      <c r="CD57" s="15"/>
      <c r="CE57" s="16">
        <f t="shared" si="60"/>
        <v>0</v>
      </c>
      <c r="CF57" s="14"/>
      <c r="CG57" s="15"/>
      <c r="CH57" s="16">
        <f t="shared" si="61"/>
        <v>0</v>
      </c>
      <c r="CI57" s="14"/>
      <c r="CJ57" s="15"/>
      <c r="CK57" s="16">
        <f t="shared" si="74"/>
        <v>0</v>
      </c>
      <c r="CL57" s="14"/>
      <c r="CM57" s="15"/>
      <c r="CN57" s="16">
        <f t="shared" si="62"/>
        <v>0</v>
      </c>
      <c r="CO57" s="14"/>
      <c r="CP57" s="15"/>
      <c r="CQ57" s="16">
        <f t="shared" si="63"/>
        <v>0</v>
      </c>
      <c r="CR57" s="14"/>
      <c r="CS57" s="15"/>
      <c r="CT57" s="16">
        <f t="shared" si="64"/>
        <v>0</v>
      </c>
      <c r="CU57" s="17">
        <f t="shared" si="65"/>
        <v>111.52</v>
      </c>
      <c r="CV57" s="16">
        <f t="shared" si="66"/>
        <v>33083.333333333336</v>
      </c>
      <c r="CW57" s="16">
        <f t="shared" si="67"/>
        <v>3689453.3333333335</v>
      </c>
    </row>
    <row r="58" spans="1:101" s="18" customFormat="1" ht="15" customHeight="1" x14ac:dyDescent="0.35">
      <c r="A58" s="11" t="s">
        <v>861</v>
      </c>
      <c r="B58" s="11" t="s">
        <v>846</v>
      </c>
      <c r="C58" s="12"/>
      <c r="D58" s="13"/>
      <c r="E58" s="13">
        <v>0</v>
      </c>
      <c r="F58" s="14"/>
      <c r="G58" s="15"/>
      <c r="H58" s="16">
        <f t="shared" ref="H58:H74" si="92">IFERROR(F58*G58, 0)</f>
        <v>0</v>
      </c>
      <c r="I58" s="14"/>
      <c r="J58" s="15"/>
      <c r="K58" s="16">
        <f>IFERROR(I58*J58, 0)</f>
        <v>0</v>
      </c>
      <c r="L58" s="14"/>
      <c r="M58" s="15"/>
      <c r="N58" s="16">
        <f t="shared" si="50"/>
        <v>0</v>
      </c>
      <c r="O58" s="14"/>
      <c r="P58" s="15"/>
      <c r="Q58" s="16">
        <f t="shared" si="75"/>
        <v>0</v>
      </c>
      <c r="R58" s="14"/>
      <c r="S58" s="15"/>
      <c r="T58" s="16">
        <f t="shared" si="85"/>
        <v>0</v>
      </c>
      <c r="U58" s="14"/>
      <c r="V58" s="15"/>
      <c r="W58" s="16">
        <f t="shared" si="71"/>
        <v>0</v>
      </c>
      <c r="X58" s="14"/>
      <c r="Y58" s="15"/>
      <c r="Z58" s="16">
        <f>IFERROR(X58*Y58, 0)</f>
        <v>0</v>
      </c>
      <c r="AA58" s="14"/>
      <c r="AB58" s="15"/>
      <c r="AC58" s="16">
        <f t="shared" si="86"/>
        <v>0</v>
      </c>
      <c r="AD58" s="14"/>
      <c r="AE58" s="15"/>
      <c r="AF58" s="16">
        <f t="shared" si="91"/>
        <v>0</v>
      </c>
      <c r="AG58" s="14"/>
      <c r="AH58" s="15"/>
      <c r="AI58" s="16">
        <f t="shared" si="89"/>
        <v>0</v>
      </c>
      <c r="AJ58" s="14"/>
      <c r="AK58" s="15"/>
      <c r="AL58" s="16">
        <f t="shared" si="82"/>
        <v>0</v>
      </c>
      <c r="AM58" s="14"/>
      <c r="AN58" s="15"/>
      <c r="AO58" s="16">
        <f t="shared" si="87"/>
        <v>0</v>
      </c>
      <c r="AP58" s="14"/>
      <c r="AQ58" s="15"/>
      <c r="AR58" s="16">
        <f t="shared" si="76"/>
        <v>0</v>
      </c>
      <c r="AS58" s="14"/>
      <c r="AT58" s="15"/>
      <c r="AU58" s="16">
        <f t="shared" si="54"/>
        <v>0</v>
      </c>
      <c r="AV58" s="14"/>
      <c r="AW58" s="15"/>
      <c r="AX58" s="16">
        <f t="shared" si="84"/>
        <v>0</v>
      </c>
      <c r="AY58" s="14"/>
      <c r="AZ58" s="15"/>
      <c r="BA58" s="16">
        <f t="shared" si="57"/>
        <v>0</v>
      </c>
      <c r="BB58" s="14"/>
      <c r="BC58" s="15"/>
      <c r="BD58" s="16">
        <f>IFERROR(BB58*BC58, 0)</f>
        <v>0</v>
      </c>
      <c r="BE58" s="14"/>
      <c r="BF58" s="15"/>
      <c r="BG58" s="16">
        <f t="shared" si="90"/>
        <v>0</v>
      </c>
      <c r="BH58" s="14"/>
      <c r="BI58" s="15"/>
      <c r="BJ58" s="16">
        <f t="shared" si="58"/>
        <v>0</v>
      </c>
      <c r="BK58" s="14"/>
      <c r="BL58" s="15"/>
      <c r="BM58" s="16">
        <f t="shared" si="81"/>
        <v>0</v>
      </c>
      <c r="BN58" s="14"/>
      <c r="BO58" s="15"/>
      <c r="BP58" s="16">
        <f t="shared" ref="BP58:BP74" si="93">IFERROR(BN58*BO58, 0)</f>
        <v>0</v>
      </c>
      <c r="BQ58" s="14"/>
      <c r="BR58" s="15"/>
      <c r="BS58" s="16">
        <f t="shared" si="73"/>
        <v>0</v>
      </c>
      <c r="BT58" s="14"/>
      <c r="BU58" s="15"/>
      <c r="BV58" s="16">
        <f>IFERROR(BT58*BU58, 0)</f>
        <v>0</v>
      </c>
      <c r="BW58" s="14"/>
      <c r="BX58" s="15"/>
      <c r="BY58" s="16">
        <f t="shared" si="88"/>
        <v>0</v>
      </c>
      <c r="BZ58" s="14"/>
      <c r="CA58" s="15"/>
      <c r="CB58" s="16">
        <f t="shared" si="59"/>
        <v>0</v>
      </c>
      <c r="CC58" s="14"/>
      <c r="CD58" s="15"/>
      <c r="CE58" s="16">
        <f t="shared" si="60"/>
        <v>0</v>
      </c>
      <c r="CF58" s="14"/>
      <c r="CG58" s="15"/>
      <c r="CH58" s="16">
        <f t="shared" si="61"/>
        <v>0</v>
      </c>
      <c r="CI58" s="14"/>
      <c r="CJ58" s="15"/>
      <c r="CK58" s="16">
        <f t="shared" si="74"/>
        <v>0</v>
      </c>
      <c r="CL58" s="14"/>
      <c r="CM58" s="15"/>
      <c r="CN58" s="16">
        <f t="shared" si="62"/>
        <v>0</v>
      </c>
      <c r="CO58" s="14"/>
      <c r="CP58" s="15"/>
      <c r="CQ58" s="16">
        <f t="shared" si="63"/>
        <v>0</v>
      </c>
      <c r="CR58" s="14"/>
      <c r="CS58" s="15"/>
      <c r="CT58" s="16">
        <f t="shared" si="64"/>
        <v>0</v>
      </c>
      <c r="CU58" s="17">
        <f t="shared" si="65"/>
        <v>0</v>
      </c>
      <c r="CV58" s="16">
        <f t="shared" si="66"/>
        <v>0</v>
      </c>
      <c r="CW58" s="16">
        <f t="shared" si="67"/>
        <v>0</v>
      </c>
    </row>
    <row r="59" spans="1:101" s="18" customFormat="1" ht="15" customHeight="1" x14ac:dyDescent="0.35">
      <c r="A59" s="11" t="s">
        <v>862</v>
      </c>
      <c r="B59" s="11" t="s">
        <v>837</v>
      </c>
      <c r="C59" s="12"/>
      <c r="D59" s="13"/>
      <c r="E59" s="13">
        <v>0</v>
      </c>
      <c r="F59" s="14"/>
      <c r="G59" s="15"/>
      <c r="H59" s="16">
        <f t="shared" si="92"/>
        <v>0</v>
      </c>
      <c r="I59" s="14"/>
      <c r="J59" s="15"/>
      <c r="K59" s="16">
        <f>IFERROR(I59*J59, 0)</f>
        <v>0</v>
      </c>
      <c r="L59" s="14"/>
      <c r="M59" s="15"/>
      <c r="N59" s="16">
        <f t="shared" si="50"/>
        <v>0</v>
      </c>
      <c r="O59" s="14"/>
      <c r="P59" s="15"/>
      <c r="Q59" s="16">
        <f t="shared" si="75"/>
        <v>0</v>
      </c>
      <c r="R59" s="14"/>
      <c r="S59" s="15"/>
      <c r="T59" s="16">
        <f t="shared" si="85"/>
        <v>0</v>
      </c>
      <c r="U59" s="14"/>
      <c r="V59" s="15"/>
      <c r="W59" s="16">
        <f t="shared" si="71"/>
        <v>0</v>
      </c>
      <c r="X59" s="14"/>
      <c r="Y59" s="15"/>
      <c r="Z59" s="16">
        <f>IFERROR(X59*Y59, 0)</f>
        <v>0</v>
      </c>
      <c r="AA59" s="14"/>
      <c r="AB59" s="15"/>
      <c r="AC59" s="16">
        <f t="shared" si="86"/>
        <v>0</v>
      </c>
      <c r="AD59" s="14"/>
      <c r="AE59" s="15"/>
      <c r="AF59" s="16">
        <f t="shared" si="91"/>
        <v>0</v>
      </c>
      <c r="AG59" s="14"/>
      <c r="AH59" s="15"/>
      <c r="AI59" s="16">
        <f t="shared" si="89"/>
        <v>0</v>
      </c>
      <c r="AJ59" s="14"/>
      <c r="AK59" s="15"/>
      <c r="AL59" s="16">
        <f t="shared" si="82"/>
        <v>0</v>
      </c>
      <c r="AM59" s="14"/>
      <c r="AN59" s="15"/>
      <c r="AO59" s="16">
        <f t="shared" si="87"/>
        <v>0</v>
      </c>
      <c r="AP59" s="14"/>
      <c r="AQ59" s="15"/>
      <c r="AR59" s="16">
        <f t="shared" si="76"/>
        <v>0</v>
      </c>
      <c r="AS59" s="14"/>
      <c r="AT59" s="15"/>
      <c r="AU59" s="16">
        <f t="shared" si="54"/>
        <v>0</v>
      </c>
      <c r="AV59" s="14"/>
      <c r="AW59" s="15"/>
      <c r="AX59" s="16">
        <f t="shared" si="84"/>
        <v>0</v>
      </c>
      <c r="AY59" s="14"/>
      <c r="AZ59" s="15"/>
      <c r="BA59" s="16">
        <f t="shared" si="57"/>
        <v>0</v>
      </c>
      <c r="BB59" s="14"/>
      <c r="BC59" s="15"/>
      <c r="BD59" s="16">
        <f>IFERROR(BB59*BC59, 0)</f>
        <v>0</v>
      </c>
      <c r="BE59" s="14"/>
      <c r="BF59" s="15"/>
      <c r="BG59" s="16">
        <f t="shared" si="90"/>
        <v>0</v>
      </c>
      <c r="BH59" s="14"/>
      <c r="BI59" s="15"/>
      <c r="BJ59" s="16">
        <f t="shared" si="58"/>
        <v>0</v>
      </c>
      <c r="BK59" s="14"/>
      <c r="BL59" s="15"/>
      <c r="BM59" s="16">
        <f t="shared" si="81"/>
        <v>0</v>
      </c>
      <c r="BN59" s="14"/>
      <c r="BO59" s="15"/>
      <c r="BP59" s="16">
        <f t="shared" si="93"/>
        <v>0</v>
      </c>
      <c r="BQ59" s="14"/>
      <c r="BR59" s="15"/>
      <c r="BS59" s="16">
        <f t="shared" si="73"/>
        <v>0</v>
      </c>
      <c r="BT59" s="14"/>
      <c r="BU59" s="15"/>
      <c r="BV59" s="16">
        <f>IFERROR(BT59*BU59, 0)</f>
        <v>0</v>
      </c>
      <c r="BW59" s="14"/>
      <c r="BX59" s="15"/>
      <c r="BY59" s="16">
        <f t="shared" si="88"/>
        <v>0</v>
      </c>
      <c r="BZ59" s="14"/>
      <c r="CA59" s="15"/>
      <c r="CB59" s="16">
        <f t="shared" si="59"/>
        <v>0</v>
      </c>
      <c r="CC59" s="14"/>
      <c r="CD59" s="15"/>
      <c r="CE59" s="16">
        <f t="shared" si="60"/>
        <v>0</v>
      </c>
      <c r="CF59" s="14"/>
      <c r="CG59" s="15"/>
      <c r="CH59" s="16">
        <f t="shared" si="61"/>
        <v>0</v>
      </c>
      <c r="CI59" s="14"/>
      <c r="CJ59" s="15"/>
      <c r="CK59" s="16">
        <f t="shared" si="74"/>
        <v>0</v>
      </c>
      <c r="CL59" s="14"/>
      <c r="CM59" s="15"/>
      <c r="CN59" s="16">
        <f t="shared" si="62"/>
        <v>0</v>
      </c>
      <c r="CO59" s="14"/>
      <c r="CP59" s="15"/>
      <c r="CQ59" s="16">
        <f t="shared" si="63"/>
        <v>0</v>
      </c>
      <c r="CR59" s="14"/>
      <c r="CS59" s="15"/>
      <c r="CT59" s="16">
        <f t="shared" si="64"/>
        <v>0</v>
      </c>
      <c r="CU59" s="17">
        <f t="shared" si="65"/>
        <v>0</v>
      </c>
      <c r="CV59" s="16">
        <f t="shared" si="66"/>
        <v>0</v>
      </c>
      <c r="CW59" s="16">
        <f t="shared" si="67"/>
        <v>0</v>
      </c>
    </row>
    <row r="60" spans="1:101" s="18" customFormat="1" ht="15" customHeight="1" x14ac:dyDescent="0.35">
      <c r="A60" s="11" t="s">
        <v>863</v>
      </c>
      <c r="B60" s="11" t="s">
        <v>837</v>
      </c>
      <c r="C60" s="12"/>
      <c r="D60" s="13"/>
      <c r="E60" s="13">
        <v>0</v>
      </c>
      <c r="F60" s="14"/>
      <c r="G60" s="15"/>
      <c r="H60" s="16">
        <f t="shared" si="92"/>
        <v>0</v>
      </c>
      <c r="I60" s="14"/>
      <c r="J60" s="15"/>
      <c r="K60" s="16">
        <f>IFERROR(I60*J60, 0)</f>
        <v>0</v>
      </c>
      <c r="L60" s="14"/>
      <c r="M60" s="15"/>
      <c r="N60" s="16">
        <f t="shared" si="50"/>
        <v>0</v>
      </c>
      <c r="O60" s="14"/>
      <c r="P60" s="15"/>
      <c r="Q60" s="16">
        <f t="shared" si="75"/>
        <v>0</v>
      </c>
      <c r="R60" s="14"/>
      <c r="S60" s="15"/>
      <c r="T60" s="16">
        <f t="shared" si="85"/>
        <v>0</v>
      </c>
      <c r="U60" s="14"/>
      <c r="V60" s="15"/>
      <c r="W60" s="16">
        <f t="shared" si="71"/>
        <v>0</v>
      </c>
      <c r="X60" s="14"/>
      <c r="Y60" s="15"/>
      <c r="Z60" s="16">
        <f>IFERROR(X60*Y60, 0)</f>
        <v>0</v>
      </c>
      <c r="AA60" s="14"/>
      <c r="AB60" s="15"/>
      <c r="AC60" s="16">
        <f t="shared" si="86"/>
        <v>0</v>
      </c>
      <c r="AD60" s="14"/>
      <c r="AE60" s="15"/>
      <c r="AF60" s="16">
        <f t="shared" si="91"/>
        <v>0</v>
      </c>
      <c r="AG60" s="14"/>
      <c r="AH60" s="15"/>
      <c r="AI60" s="16">
        <f t="shared" si="89"/>
        <v>0</v>
      </c>
      <c r="AJ60" s="14"/>
      <c r="AK60" s="15"/>
      <c r="AL60" s="16">
        <f t="shared" si="82"/>
        <v>0</v>
      </c>
      <c r="AM60" s="14"/>
      <c r="AN60" s="15"/>
      <c r="AO60" s="16">
        <f t="shared" si="87"/>
        <v>0</v>
      </c>
      <c r="AP60" s="14"/>
      <c r="AQ60" s="15"/>
      <c r="AR60" s="16">
        <f t="shared" si="76"/>
        <v>0</v>
      </c>
      <c r="AS60" s="14"/>
      <c r="AT60" s="15"/>
      <c r="AU60" s="16">
        <f t="shared" si="54"/>
        <v>0</v>
      </c>
      <c r="AV60" s="14"/>
      <c r="AW60" s="15"/>
      <c r="AX60" s="16">
        <f t="shared" si="84"/>
        <v>0</v>
      </c>
      <c r="AY60" s="14"/>
      <c r="AZ60" s="15"/>
      <c r="BA60" s="16">
        <f t="shared" si="57"/>
        <v>0</v>
      </c>
      <c r="BB60" s="14"/>
      <c r="BC60" s="15"/>
      <c r="BD60" s="16">
        <f>IFERROR(BB60*BC60, 0)</f>
        <v>0</v>
      </c>
      <c r="BE60" s="14"/>
      <c r="BF60" s="15"/>
      <c r="BG60" s="16">
        <f t="shared" si="90"/>
        <v>0</v>
      </c>
      <c r="BH60" s="14"/>
      <c r="BI60" s="15"/>
      <c r="BJ60" s="16">
        <f t="shared" si="58"/>
        <v>0</v>
      </c>
      <c r="BK60" s="14"/>
      <c r="BL60" s="15"/>
      <c r="BM60" s="16">
        <f t="shared" si="81"/>
        <v>0</v>
      </c>
      <c r="BN60" s="14"/>
      <c r="BO60" s="15"/>
      <c r="BP60" s="16">
        <f t="shared" si="93"/>
        <v>0</v>
      </c>
      <c r="BQ60" s="14"/>
      <c r="BR60" s="15"/>
      <c r="BS60" s="16">
        <f t="shared" si="73"/>
        <v>0</v>
      </c>
      <c r="BT60" s="14"/>
      <c r="BU60" s="15"/>
      <c r="BV60" s="16">
        <f>IFERROR(BT60*BU60, 0)</f>
        <v>0</v>
      </c>
      <c r="BW60" s="14"/>
      <c r="BX60" s="15"/>
      <c r="BY60" s="16">
        <f t="shared" si="88"/>
        <v>0</v>
      </c>
      <c r="BZ60" s="14"/>
      <c r="CA60" s="15"/>
      <c r="CB60" s="16">
        <f t="shared" si="59"/>
        <v>0</v>
      </c>
      <c r="CC60" s="14"/>
      <c r="CD60" s="15"/>
      <c r="CE60" s="16">
        <f t="shared" si="60"/>
        <v>0</v>
      </c>
      <c r="CF60" s="14"/>
      <c r="CG60" s="15"/>
      <c r="CH60" s="16">
        <f t="shared" si="61"/>
        <v>0</v>
      </c>
      <c r="CI60" s="14"/>
      <c r="CJ60" s="15"/>
      <c r="CK60" s="16">
        <f t="shared" si="74"/>
        <v>0</v>
      </c>
      <c r="CL60" s="14"/>
      <c r="CM60" s="15"/>
      <c r="CN60" s="16">
        <f t="shared" si="62"/>
        <v>0</v>
      </c>
      <c r="CO60" s="14"/>
      <c r="CP60" s="15"/>
      <c r="CQ60" s="16">
        <f t="shared" si="63"/>
        <v>0</v>
      </c>
      <c r="CR60" s="14"/>
      <c r="CS60" s="15"/>
      <c r="CT60" s="16">
        <f t="shared" si="64"/>
        <v>0</v>
      </c>
      <c r="CU60" s="17">
        <f t="shared" si="65"/>
        <v>0</v>
      </c>
      <c r="CV60" s="16">
        <f t="shared" si="66"/>
        <v>0</v>
      </c>
      <c r="CW60" s="16">
        <f t="shared" si="67"/>
        <v>0</v>
      </c>
    </row>
    <row r="61" spans="1:101" s="18" customFormat="1" ht="15.75" customHeight="1" x14ac:dyDescent="0.35">
      <c r="A61" s="11" t="s">
        <v>171</v>
      </c>
      <c r="B61" s="11" t="s">
        <v>837</v>
      </c>
      <c r="C61" s="12"/>
      <c r="D61" s="13"/>
      <c r="E61" s="13">
        <v>0</v>
      </c>
      <c r="F61" s="14"/>
      <c r="G61" s="15"/>
      <c r="H61" s="16">
        <f t="shared" si="92"/>
        <v>0</v>
      </c>
      <c r="I61" s="14">
        <v>66.650000000000006</v>
      </c>
      <c r="J61" s="15">
        <v>21900</v>
      </c>
      <c r="K61" s="16">
        <v>1459635</v>
      </c>
      <c r="L61" s="14"/>
      <c r="M61" s="15"/>
      <c r="N61" s="16">
        <f t="shared" si="50"/>
        <v>0</v>
      </c>
      <c r="O61" s="14">
        <v>61.65</v>
      </c>
      <c r="P61" s="15">
        <v>21900</v>
      </c>
      <c r="Q61" s="16">
        <v>1350135</v>
      </c>
      <c r="R61" s="14"/>
      <c r="S61" s="15"/>
      <c r="T61" s="16">
        <f t="shared" si="85"/>
        <v>0</v>
      </c>
      <c r="U61" s="14"/>
      <c r="V61" s="15"/>
      <c r="W61" s="16">
        <f t="shared" si="71"/>
        <v>0</v>
      </c>
      <c r="X61" s="14">
        <v>62.7</v>
      </c>
      <c r="Y61" s="15">
        <v>21900</v>
      </c>
      <c r="Z61" s="16">
        <v>1373130</v>
      </c>
      <c r="AA61" s="14"/>
      <c r="AB61" s="15"/>
      <c r="AC61" s="16">
        <f t="shared" si="86"/>
        <v>0</v>
      </c>
      <c r="AD61" s="14"/>
      <c r="AE61" s="15"/>
      <c r="AF61" s="16">
        <f t="shared" si="91"/>
        <v>0</v>
      </c>
      <c r="AG61" s="14">
        <v>151.94999999999999</v>
      </c>
      <c r="AH61" s="15">
        <v>21900</v>
      </c>
      <c r="AI61" s="16">
        <v>3327705</v>
      </c>
      <c r="AJ61" s="14"/>
      <c r="AK61" s="15"/>
      <c r="AL61" s="16">
        <f t="shared" si="82"/>
        <v>0</v>
      </c>
      <c r="AM61" s="14"/>
      <c r="AN61" s="15"/>
      <c r="AO61" s="16">
        <f t="shared" si="87"/>
        <v>0</v>
      </c>
      <c r="AP61" s="14"/>
      <c r="AQ61" s="15"/>
      <c r="AR61" s="16">
        <f t="shared" si="76"/>
        <v>0</v>
      </c>
      <c r="AS61" s="14"/>
      <c r="AT61" s="15"/>
      <c r="AU61" s="16">
        <f t="shared" si="54"/>
        <v>0</v>
      </c>
      <c r="AV61" s="14">
        <v>48.7</v>
      </c>
      <c r="AW61" s="15">
        <v>21900</v>
      </c>
      <c r="AX61" s="16">
        <v>1066530</v>
      </c>
      <c r="AY61" s="14"/>
      <c r="AZ61" s="15"/>
      <c r="BA61" s="16">
        <f t="shared" si="57"/>
        <v>0</v>
      </c>
      <c r="BB61" s="14">
        <v>106.45</v>
      </c>
      <c r="BC61" s="15">
        <v>21900</v>
      </c>
      <c r="BD61" s="16">
        <v>2331255</v>
      </c>
      <c r="BE61" s="14"/>
      <c r="BF61" s="15"/>
      <c r="BG61" s="16">
        <f t="shared" si="90"/>
        <v>0</v>
      </c>
      <c r="BH61" s="14"/>
      <c r="BI61" s="15"/>
      <c r="BJ61" s="16">
        <f t="shared" si="58"/>
        <v>0</v>
      </c>
      <c r="BK61" s="14"/>
      <c r="BL61" s="15"/>
      <c r="BM61" s="16">
        <f t="shared" si="81"/>
        <v>0</v>
      </c>
      <c r="BN61" s="14"/>
      <c r="BO61" s="15"/>
      <c r="BP61" s="16">
        <f t="shared" si="93"/>
        <v>0</v>
      </c>
      <c r="BQ61" s="14"/>
      <c r="BR61" s="15"/>
      <c r="BS61" s="16">
        <f t="shared" si="73"/>
        <v>0</v>
      </c>
      <c r="BT61" s="14">
        <v>64.099999999999994</v>
      </c>
      <c r="BU61" s="15">
        <v>21900</v>
      </c>
      <c r="BV61" s="16">
        <v>1403790</v>
      </c>
      <c r="BW61" s="14"/>
      <c r="BX61" s="15"/>
      <c r="BY61" s="16">
        <f t="shared" si="88"/>
        <v>0</v>
      </c>
      <c r="BZ61" s="14"/>
      <c r="CA61" s="15"/>
      <c r="CB61" s="16">
        <f t="shared" si="59"/>
        <v>0</v>
      </c>
      <c r="CC61" s="14"/>
      <c r="CD61" s="15"/>
      <c r="CE61" s="16">
        <f t="shared" si="60"/>
        <v>0</v>
      </c>
      <c r="CF61" s="14"/>
      <c r="CG61" s="15"/>
      <c r="CH61" s="16">
        <f t="shared" si="61"/>
        <v>0</v>
      </c>
      <c r="CI61" s="14"/>
      <c r="CJ61" s="15"/>
      <c r="CK61" s="16">
        <f t="shared" si="74"/>
        <v>0</v>
      </c>
      <c r="CL61" s="14"/>
      <c r="CM61" s="15"/>
      <c r="CN61" s="16">
        <f t="shared" si="62"/>
        <v>0</v>
      </c>
      <c r="CO61" s="14"/>
      <c r="CP61" s="15"/>
      <c r="CQ61" s="16">
        <f t="shared" si="63"/>
        <v>0</v>
      </c>
      <c r="CR61" s="14"/>
      <c r="CS61" s="15"/>
      <c r="CT61" s="16">
        <f t="shared" si="64"/>
        <v>0</v>
      </c>
      <c r="CU61" s="17">
        <f t="shared" si="65"/>
        <v>562.19999999999993</v>
      </c>
      <c r="CV61" s="16">
        <f t="shared" si="66"/>
        <v>21900</v>
      </c>
      <c r="CW61" s="16">
        <f t="shared" si="67"/>
        <v>12312179.999999998</v>
      </c>
    </row>
    <row r="62" spans="1:101" s="18" customFormat="1" ht="15" customHeight="1" x14ac:dyDescent="0.35">
      <c r="A62" s="11" t="s">
        <v>864</v>
      </c>
      <c r="B62" s="11" t="s">
        <v>837</v>
      </c>
      <c r="C62" s="12"/>
      <c r="D62" s="13"/>
      <c r="E62" s="13">
        <v>0</v>
      </c>
      <c r="F62" s="14"/>
      <c r="G62" s="15"/>
      <c r="H62" s="16">
        <f t="shared" si="92"/>
        <v>0</v>
      </c>
      <c r="I62" s="14"/>
      <c r="J62" s="15"/>
      <c r="K62" s="16">
        <f>IFERROR(I62*J62, 0)</f>
        <v>0</v>
      </c>
      <c r="L62" s="14"/>
      <c r="M62" s="15"/>
      <c r="N62" s="16">
        <f t="shared" si="50"/>
        <v>0</v>
      </c>
      <c r="O62" s="14"/>
      <c r="P62" s="15"/>
      <c r="Q62" s="16">
        <f t="shared" ref="Q62:Q73" si="94">IFERROR(O62*P62, 0)</f>
        <v>0</v>
      </c>
      <c r="R62" s="14"/>
      <c r="S62" s="15"/>
      <c r="T62" s="16">
        <f t="shared" si="85"/>
        <v>0</v>
      </c>
      <c r="U62" s="14"/>
      <c r="V62" s="15"/>
      <c r="W62" s="16">
        <f t="shared" si="71"/>
        <v>0</v>
      </c>
      <c r="X62" s="14"/>
      <c r="Y62" s="15"/>
      <c r="Z62" s="16">
        <f>IFERROR(X62*Y62, 0)</f>
        <v>0</v>
      </c>
      <c r="AA62" s="14"/>
      <c r="AB62" s="15"/>
      <c r="AC62" s="16">
        <f t="shared" si="86"/>
        <v>0</v>
      </c>
      <c r="AD62" s="14"/>
      <c r="AE62" s="15"/>
      <c r="AF62" s="16">
        <f t="shared" si="91"/>
        <v>0</v>
      </c>
      <c r="AG62" s="14"/>
      <c r="AH62" s="15"/>
      <c r="AI62" s="16">
        <f t="shared" ref="AI62:AI73" si="95">IFERROR(AG62*AH62, 0)</f>
        <v>0</v>
      </c>
      <c r="AJ62" s="14"/>
      <c r="AK62" s="15"/>
      <c r="AL62" s="16">
        <f t="shared" si="82"/>
        <v>0</v>
      </c>
      <c r="AM62" s="14"/>
      <c r="AN62" s="15"/>
      <c r="AO62" s="16">
        <f t="shared" si="87"/>
        <v>0</v>
      </c>
      <c r="AP62" s="14"/>
      <c r="AQ62" s="15"/>
      <c r="AR62" s="16">
        <f t="shared" si="76"/>
        <v>0</v>
      </c>
      <c r="AS62" s="14"/>
      <c r="AT62" s="15"/>
      <c r="AU62" s="16">
        <f t="shared" si="54"/>
        <v>0</v>
      </c>
      <c r="AV62" s="14"/>
      <c r="AW62" s="15"/>
      <c r="AX62" s="16">
        <f>IFERROR(AV62*AW62, 0)</f>
        <v>0</v>
      </c>
      <c r="AY62" s="14"/>
      <c r="AZ62" s="15"/>
      <c r="BA62" s="16">
        <f t="shared" si="57"/>
        <v>0</v>
      </c>
      <c r="BB62" s="14"/>
      <c r="BC62" s="15"/>
      <c r="BD62" s="16">
        <f t="shared" ref="BD62:BD74" si="96">IFERROR(BB62*BC62, 0)</f>
        <v>0</v>
      </c>
      <c r="BE62" s="14"/>
      <c r="BF62" s="15"/>
      <c r="BG62" s="16">
        <f t="shared" si="90"/>
        <v>0</v>
      </c>
      <c r="BH62" s="14"/>
      <c r="BI62" s="15"/>
      <c r="BJ62" s="16">
        <f t="shared" si="58"/>
        <v>0</v>
      </c>
      <c r="BK62" s="14"/>
      <c r="BL62" s="15"/>
      <c r="BM62" s="16">
        <f t="shared" si="81"/>
        <v>0</v>
      </c>
      <c r="BN62" s="14"/>
      <c r="BO62" s="15"/>
      <c r="BP62" s="16">
        <f t="shared" si="93"/>
        <v>0</v>
      </c>
      <c r="BQ62" s="14"/>
      <c r="BR62" s="15"/>
      <c r="BS62" s="16">
        <f t="shared" si="73"/>
        <v>0</v>
      </c>
      <c r="BT62" s="14"/>
      <c r="BU62" s="15"/>
      <c r="BV62" s="16">
        <f t="shared" ref="BV62:BV74" si="97">IFERROR(BT62*BU62, 0)</f>
        <v>0</v>
      </c>
      <c r="BW62" s="14"/>
      <c r="BX62" s="15"/>
      <c r="BY62" s="16">
        <f t="shared" si="88"/>
        <v>0</v>
      </c>
      <c r="BZ62" s="14"/>
      <c r="CA62" s="15"/>
      <c r="CB62" s="16">
        <f t="shared" si="59"/>
        <v>0</v>
      </c>
      <c r="CC62" s="14"/>
      <c r="CD62" s="15"/>
      <c r="CE62" s="16">
        <f t="shared" si="60"/>
        <v>0</v>
      </c>
      <c r="CF62" s="14"/>
      <c r="CG62" s="15"/>
      <c r="CH62" s="16">
        <f t="shared" si="61"/>
        <v>0</v>
      </c>
      <c r="CI62" s="14"/>
      <c r="CJ62" s="15"/>
      <c r="CK62" s="16">
        <f t="shared" si="74"/>
        <v>0</v>
      </c>
      <c r="CL62" s="14"/>
      <c r="CM62" s="15"/>
      <c r="CN62" s="16">
        <f t="shared" si="62"/>
        <v>0</v>
      </c>
      <c r="CO62" s="14"/>
      <c r="CP62" s="15"/>
      <c r="CQ62" s="16">
        <f t="shared" si="63"/>
        <v>0</v>
      </c>
      <c r="CR62" s="14"/>
      <c r="CS62" s="15"/>
      <c r="CT62" s="16">
        <f t="shared" si="64"/>
        <v>0</v>
      </c>
      <c r="CU62" s="17">
        <f t="shared" si="65"/>
        <v>0</v>
      </c>
      <c r="CV62" s="16">
        <f t="shared" si="66"/>
        <v>0</v>
      </c>
      <c r="CW62" s="16">
        <f t="shared" si="67"/>
        <v>0</v>
      </c>
    </row>
    <row r="63" spans="1:101" s="18" customFormat="1" ht="15" customHeight="1" x14ac:dyDescent="0.35">
      <c r="A63" s="11" t="s">
        <v>354</v>
      </c>
      <c r="B63" s="11" t="s">
        <v>837</v>
      </c>
      <c r="C63" s="12"/>
      <c r="D63" s="13"/>
      <c r="E63" s="13">
        <v>0</v>
      </c>
      <c r="F63" s="14"/>
      <c r="G63" s="15"/>
      <c r="H63" s="16">
        <f t="shared" si="92"/>
        <v>0</v>
      </c>
      <c r="I63" s="14"/>
      <c r="J63" s="15"/>
      <c r="K63" s="16">
        <f>IFERROR(I63*J63, 0)</f>
        <v>0</v>
      </c>
      <c r="L63" s="14"/>
      <c r="M63" s="15"/>
      <c r="N63" s="16">
        <f t="shared" si="50"/>
        <v>0</v>
      </c>
      <c r="O63" s="14"/>
      <c r="P63" s="15"/>
      <c r="Q63" s="16">
        <f t="shared" si="94"/>
        <v>0</v>
      </c>
      <c r="R63" s="14"/>
      <c r="S63" s="15"/>
      <c r="T63" s="16">
        <f t="shared" si="85"/>
        <v>0</v>
      </c>
      <c r="U63" s="14"/>
      <c r="V63" s="15"/>
      <c r="W63" s="16">
        <f t="shared" si="71"/>
        <v>0</v>
      </c>
      <c r="X63" s="14">
        <v>18.260000000000002</v>
      </c>
      <c r="Y63" s="15">
        <v>11500</v>
      </c>
      <c r="Z63" s="16">
        <v>209990</v>
      </c>
      <c r="AA63" s="14"/>
      <c r="AB63" s="15"/>
      <c r="AC63" s="16">
        <f t="shared" si="86"/>
        <v>0</v>
      </c>
      <c r="AD63" s="14"/>
      <c r="AE63" s="15"/>
      <c r="AF63" s="16">
        <f t="shared" si="91"/>
        <v>0</v>
      </c>
      <c r="AG63" s="14"/>
      <c r="AH63" s="15"/>
      <c r="AI63" s="16">
        <f t="shared" si="95"/>
        <v>0</v>
      </c>
      <c r="AJ63" s="14"/>
      <c r="AK63" s="15"/>
      <c r="AL63" s="16">
        <f t="shared" si="82"/>
        <v>0</v>
      </c>
      <c r="AM63" s="14"/>
      <c r="AN63" s="15"/>
      <c r="AO63" s="16">
        <f t="shared" si="87"/>
        <v>0</v>
      </c>
      <c r="AP63" s="14"/>
      <c r="AQ63" s="15"/>
      <c r="AR63" s="16">
        <f t="shared" si="76"/>
        <v>0</v>
      </c>
      <c r="AS63" s="14"/>
      <c r="AT63" s="15"/>
      <c r="AU63" s="16">
        <f t="shared" si="54"/>
        <v>0</v>
      </c>
      <c r="AV63" s="14">
        <v>18.260000000000002</v>
      </c>
      <c r="AW63" s="15">
        <v>11500</v>
      </c>
      <c r="AX63" s="16">
        <v>209990</v>
      </c>
      <c r="AY63" s="14"/>
      <c r="AZ63" s="15"/>
      <c r="BA63" s="16">
        <f t="shared" si="57"/>
        <v>0</v>
      </c>
      <c r="BB63" s="14"/>
      <c r="BC63" s="15"/>
      <c r="BD63" s="16">
        <f t="shared" si="96"/>
        <v>0</v>
      </c>
      <c r="BE63" s="14"/>
      <c r="BF63" s="15"/>
      <c r="BG63" s="16">
        <f t="shared" si="90"/>
        <v>0</v>
      </c>
      <c r="BH63" s="14"/>
      <c r="BI63" s="15"/>
      <c r="BJ63" s="16">
        <f t="shared" si="58"/>
        <v>0</v>
      </c>
      <c r="BK63" s="14"/>
      <c r="BL63" s="15"/>
      <c r="BM63" s="16">
        <f t="shared" si="81"/>
        <v>0</v>
      </c>
      <c r="BN63" s="14"/>
      <c r="BO63" s="15"/>
      <c r="BP63" s="16">
        <f t="shared" si="93"/>
        <v>0</v>
      </c>
      <c r="BQ63" s="14"/>
      <c r="BR63" s="15"/>
      <c r="BS63" s="16">
        <f t="shared" si="73"/>
        <v>0</v>
      </c>
      <c r="BT63" s="14"/>
      <c r="BU63" s="15"/>
      <c r="BV63" s="16">
        <f t="shared" si="97"/>
        <v>0</v>
      </c>
      <c r="BW63" s="14"/>
      <c r="BX63" s="15"/>
      <c r="BY63" s="16">
        <f t="shared" si="88"/>
        <v>0</v>
      </c>
      <c r="BZ63" s="14"/>
      <c r="CA63" s="15"/>
      <c r="CB63" s="16">
        <f t="shared" si="59"/>
        <v>0</v>
      </c>
      <c r="CC63" s="14"/>
      <c r="CD63" s="15"/>
      <c r="CE63" s="16">
        <f t="shared" si="60"/>
        <v>0</v>
      </c>
      <c r="CF63" s="14"/>
      <c r="CG63" s="15"/>
      <c r="CH63" s="16">
        <f t="shared" si="61"/>
        <v>0</v>
      </c>
      <c r="CI63" s="14"/>
      <c r="CJ63" s="15"/>
      <c r="CK63" s="16">
        <f t="shared" si="74"/>
        <v>0</v>
      </c>
      <c r="CL63" s="14"/>
      <c r="CM63" s="15"/>
      <c r="CN63" s="16">
        <f t="shared" si="62"/>
        <v>0</v>
      </c>
      <c r="CO63" s="14"/>
      <c r="CP63" s="15"/>
      <c r="CQ63" s="16">
        <f t="shared" si="63"/>
        <v>0</v>
      </c>
      <c r="CR63" s="14"/>
      <c r="CS63" s="15"/>
      <c r="CT63" s="16">
        <f t="shared" si="64"/>
        <v>0</v>
      </c>
      <c r="CU63" s="17">
        <f t="shared" si="65"/>
        <v>36.520000000000003</v>
      </c>
      <c r="CV63" s="16">
        <f t="shared" si="66"/>
        <v>11500</v>
      </c>
      <c r="CW63" s="16">
        <f t="shared" si="67"/>
        <v>419980.00000000006</v>
      </c>
    </row>
    <row r="64" spans="1:101" s="18" customFormat="1" ht="15" customHeight="1" x14ac:dyDescent="0.35">
      <c r="A64" s="11" t="s">
        <v>167</v>
      </c>
      <c r="B64" s="11" t="s">
        <v>837</v>
      </c>
      <c r="C64" s="12"/>
      <c r="D64" s="13"/>
      <c r="E64" s="13">
        <v>0</v>
      </c>
      <c r="F64" s="14"/>
      <c r="G64" s="15"/>
      <c r="H64" s="16">
        <f t="shared" si="92"/>
        <v>0</v>
      </c>
      <c r="I64" s="14">
        <v>4.8</v>
      </c>
      <c r="J64" s="15">
        <v>22000</v>
      </c>
      <c r="K64" s="16">
        <v>105600</v>
      </c>
      <c r="L64" s="14"/>
      <c r="M64" s="15"/>
      <c r="N64" s="16">
        <f t="shared" si="50"/>
        <v>0</v>
      </c>
      <c r="O64" s="14"/>
      <c r="P64" s="15"/>
      <c r="Q64" s="16">
        <f t="shared" si="94"/>
        <v>0</v>
      </c>
      <c r="R64" s="14"/>
      <c r="S64" s="15"/>
      <c r="T64" s="16">
        <f t="shared" si="85"/>
        <v>0</v>
      </c>
      <c r="U64" s="14"/>
      <c r="V64" s="15"/>
      <c r="W64" s="16">
        <f t="shared" si="71"/>
        <v>0</v>
      </c>
      <c r="X64" s="14"/>
      <c r="Y64" s="15"/>
      <c r="Z64" s="16">
        <f t="shared" ref="Z64:Z74" si="98">IFERROR(X64*Y64, 0)</f>
        <v>0</v>
      </c>
      <c r="AA64" s="14">
        <v>4.5</v>
      </c>
      <c r="AB64" s="15">
        <v>22000</v>
      </c>
      <c r="AC64" s="16">
        <v>99000</v>
      </c>
      <c r="AD64" s="14">
        <v>6.2</v>
      </c>
      <c r="AE64" s="15">
        <v>22000</v>
      </c>
      <c r="AF64" s="16">
        <v>136400</v>
      </c>
      <c r="AG64" s="14"/>
      <c r="AH64" s="15"/>
      <c r="AI64" s="16">
        <f t="shared" si="95"/>
        <v>0</v>
      </c>
      <c r="AJ64" s="14"/>
      <c r="AK64" s="15"/>
      <c r="AL64" s="16">
        <f t="shared" si="82"/>
        <v>0</v>
      </c>
      <c r="AM64" s="14"/>
      <c r="AN64" s="15"/>
      <c r="AO64" s="16">
        <f t="shared" si="87"/>
        <v>0</v>
      </c>
      <c r="AP64" s="14"/>
      <c r="AQ64" s="15"/>
      <c r="AR64" s="16">
        <f t="shared" si="76"/>
        <v>0</v>
      </c>
      <c r="AS64" s="14"/>
      <c r="AT64" s="15"/>
      <c r="AU64" s="16">
        <f t="shared" si="54"/>
        <v>0</v>
      </c>
      <c r="AV64" s="14"/>
      <c r="AW64" s="15"/>
      <c r="AX64" s="16">
        <f t="shared" ref="AX64:AX70" si="99">IFERROR(AV64*AW64, 0)</f>
        <v>0</v>
      </c>
      <c r="AY64" s="14"/>
      <c r="AZ64" s="15"/>
      <c r="BA64" s="16">
        <f t="shared" si="57"/>
        <v>0</v>
      </c>
      <c r="BB64" s="14"/>
      <c r="BC64" s="15"/>
      <c r="BD64" s="16">
        <f t="shared" si="96"/>
        <v>0</v>
      </c>
      <c r="BE64" s="14"/>
      <c r="BF64" s="15"/>
      <c r="BG64" s="16">
        <f t="shared" si="90"/>
        <v>0</v>
      </c>
      <c r="BH64" s="14"/>
      <c r="BI64" s="15"/>
      <c r="BJ64" s="16">
        <f t="shared" si="58"/>
        <v>0</v>
      </c>
      <c r="BK64" s="14"/>
      <c r="BL64" s="15"/>
      <c r="BM64" s="16">
        <f t="shared" si="81"/>
        <v>0</v>
      </c>
      <c r="BN64" s="14"/>
      <c r="BO64" s="15"/>
      <c r="BP64" s="16">
        <f t="shared" si="93"/>
        <v>0</v>
      </c>
      <c r="BQ64" s="14"/>
      <c r="BR64" s="15"/>
      <c r="BS64" s="16">
        <f t="shared" si="73"/>
        <v>0</v>
      </c>
      <c r="BT64" s="14"/>
      <c r="BU64" s="15"/>
      <c r="BV64" s="16">
        <f t="shared" si="97"/>
        <v>0</v>
      </c>
      <c r="BW64" s="14"/>
      <c r="BX64" s="15"/>
      <c r="BY64" s="16">
        <f t="shared" si="88"/>
        <v>0</v>
      </c>
      <c r="BZ64" s="14"/>
      <c r="CA64" s="15"/>
      <c r="CB64" s="16">
        <f t="shared" si="59"/>
        <v>0</v>
      </c>
      <c r="CC64" s="14"/>
      <c r="CD64" s="15"/>
      <c r="CE64" s="16">
        <f t="shared" si="60"/>
        <v>0</v>
      </c>
      <c r="CF64" s="14"/>
      <c r="CG64" s="15"/>
      <c r="CH64" s="16">
        <f t="shared" si="61"/>
        <v>0</v>
      </c>
      <c r="CI64" s="14"/>
      <c r="CJ64" s="15"/>
      <c r="CK64" s="16">
        <f t="shared" si="74"/>
        <v>0</v>
      </c>
      <c r="CL64" s="14"/>
      <c r="CM64" s="15"/>
      <c r="CN64" s="16">
        <f t="shared" si="62"/>
        <v>0</v>
      </c>
      <c r="CO64" s="14"/>
      <c r="CP64" s="15"/>
      <c r="CQ64" s="16">
        <f t="shared" si="63"/>
        <v>0</v>
      </c>
      <c r="CR64" s="14"/>
      <c r="CS64" s="15"/>
      <c r="CT64" s="16">
        <f t="shared" si="64"/>
        <v>0</v>
      </c>
      <c r="CU64" s="17">
        <f t="shared" si="65"/>
        <v>15.5</v>
      </c>
      <c r="CV64" s="16">
        <f t="shared" si="66"/>
        <v>22000</v>
      </c>
      <c r="CW64" s="16">
        <f t="shared" si="67"/>
        <v>341000</v>
      </c>
    </row>
    <row r="65" spans="1:101" s="18" customFormat="1" ht="15.75" customHeight="1" x14ac:dyDescent="0.35">
      <c r="A65" s="11" t="s">
        <v>865</v>
      </c>
      <c r="B65" s="11" t="s">
        <v>837</v>
      </c>
      <c r="C65" s="12"/>
      <c r="D65" s="13"/>
      <c r="E65" s="13">
        <v>0</v>
      </c>
      <c r="F65" s="14"/>
      <c r="G65" s="15"/>
      <c r="H65" s="16">
        <f t="shared" si="92"/>
        <v>0</v>
      </c>
      <c r="I65" s="14"/>
      <c r="J65" s="15"/>
      <c r="K65" s="16">
        <f t="shared" ref="K65:K70" si="100">IFERROR(I65*J65, 0)</f>
        <v>0</v>
      </c>
      <c r="L65" s="14"/>
      <c r="M65" s="15"/>
      <c r="N65" s="16">
        <f t="shared" si="50"/>
        <v>0</v>
      </c>
      <c r="O65" s="14"/>
      <c r="P65" s="15"/>
      <c r="Q65" s="16">
        <f t="shared" si="94"/>
        <v>0</v>
      </c>
      <c r="R65" s="14"/>
      <c r="S65" s="15"/>
      <c r="T65" s="16">
        <f t="shared" si="85"/>
        <v>0</v>
      </c>
      <c r="U65" s="14"/>
      <c r="V65" s="15"/>
      <c r="W65" s="16">
        <f t="shared" si="71"/>
        <v>0</v>
      </c>
      <c r="X65" s="14"/>
      <c r="Y65" s="15"/>
      <c r="Z65" s="16">
        <f t="shared" si="98"/>
        <v>0</v>
      </c>
      <c r="AA65" s="14"/>
      <c r="AB65" s="15"/>
      <c r="AC65" s="16">
        <f t="shared" ref="AC65:AC74" si="101">IFERROR(AA65*AB65, 0)</f>
        <v>0</v>
      </c>
      <c r="AD65" s="14"/>
      <c r="AE65" s="15"/>
      <c r="AF65" s="16">
        <f>IFERROR(AD65*AE65, 0)</f>
        <v>0</v>
      </c>
      <c r="AG65" s="14"/>
      <c r="AH65" s="15"/>
      <c r="AI65" s="16">
        <f t="shared" si="95"/>
        <v>0</v>
      </c>
      <c r="AJ65" s="14"/>
      <c r="AK65" s="15"/>
      <c r="AL65" s="16">
        <f t="shared" si="82"/>
        <v>0</v>
      </c>
      <c r="AM65" s="14"/>
      <c r="AN65" s="15"/>
      <c r="AO65" s="16">
        <f t="shared" si="87"/>
        <v>0</v>
      </c>
      <c r="AP65" s="14"/>
      <c r="AQ65" s="15"/>
      <c r="AR65" s="16">
        <f t="shared" si="76"/>
        <v>0</v>
      </c>
      <c r="AS65" s="14"/>
      <c r="AT65" s="15"/>
      <c r="AU65" s="16">
        <f t="shared" si="54"/>
        <v>0</v>
      </c>
      <c r="AV65" s="14"/>
      <c r="AW65" s="15"/>
      <c r="AX65" s="16">
        <f t="shared" si="99"/>
        <v>0</v>
      </c>
      <c r="AY65" s="14"/>
      <c r="AZ65" s="15"/>
      <c r="BA65" s="16">
        <f t="shared" si="57"/>
        <v>0</v>
      </c>
      <c r="BB65" s="14"/>
      <c r="BC65" s="15"/>
      <c r="BD65" s="16">
        <f t="shared" si="96"/>
        <v>0</v>
      </c>
      <c r="BE65" s="14"/>
      <c r="BF65" s="15"/>
      <c r="BG65" s="16">
        <f t="shared" si="90"/>
        <v>0</v>
      </c>
      <c r="BH65" s="14"/>
      <c r="BI65" s="15"/>
      <c r="BJ65" s="16">
        <f t="shared" si="58"/>
        <v>0</v>
      </c>
      <c r="BK65" s="14"/>
      <c r="BL65" s="15"/>
      <c r="BM65" s="16">
        <f t="shared" si="81"/>
        <v>0</v>
      </c>
      <c r="BN65" s="14"/>
      <c r="BO65" s="15"/>
      <c r="BP65" s="16">
        <f t="shared" si="93"/>
        <v>0</v>
      </c>
      <c r="BQ65" s="14"/>
      <c r="BR65" s="15"/>
      <c r="BS65" s="16">
        <f t="shared" si="73"/>
        <v>0</v>
      </c>
      <c r="BT65" s="14"/>
      <c r="BU65" s="15"/>
      <c r="BV65" s="16">
        <f t="shared" si="97"/>
        <v>0</v>
      </c>
      <c r="BW65" s="14"/>
      <c r="BX65" s="15"/>
      <c r="BY65" s="16">
        <f t="shared" si="88"/>
        <v>0</v>
      </c>
      <c r="BZ65" s="14"/>
      <c r="CA65" s="15"/>
      <c r="CB65" s="16">
        <f t="shared" si="59"/>
        <v>0</v>
      </c>
      <c r="CC65" s="14"/>
      <c r="CD65" s="15"/>
      <c r="CE65" s="16">
        <f t="shared" si="60"/>
        <v>0</v>
      </c>
      <c r="CF65" s="14"/>
      <c r="CG65" s="15"/>
      <c r="CH65" s="16">
        <f t="shared" si="61"/>
        <v>0</v>
      </c>
      <c r="CI65" s="14"/>
      <c r="CJ65" s="15"/>
      <c r="CK65" s="16">
        <f t="shared" si="74"/>
        <v>0</v>
      </c>
      <c r="CL65" s="14"/>
      <c r="CM65" s="15"/>
      <c r="CN65" s="16">
        <f t="shared" si="62"/>
        <v>0</v>
      </c>
      <c r="CO65" s="14"/>
      <c r="CP65" s="15"/>
      <c r="CQ65" s="16">
        <f t="shared" si="63"/>
        <v>0</v>
      </c>
      <c r="CR65" s="14"/>
      <c r="CS65" s="15"/>
      <c r="CT65" s="16">
        <f t="shared" si="64"/>
        <v>0</v>
      </c>
      <c r="CU65" s="17">
        <f t="shared" si="65"/>
        <v>0</v>
      </c>
      <c r="CV65" s="16">
        <f t="shared" si="66"/>
        <v>0</v>
      </c>
      <c r="CW65" s="16">
        <f t="shared" si="67"/>
        <v>0</v>
      </c>
    </row>
    <row r="66" spans="1:101" ht="18.75" customHeight="1" x14ac:dyDescent="0.45">
      <c r="A66" s="11" t="s">
        <v>271</v>
      </c>
      <c r="B66" s="11" t="s">
        <v>837</v>
      </c>
      <c r="C66" s="12"/>
      <c r="D66" s="13"/>
      <c r="E66" s="13">
        <v>0</v>
      </c>
      <c r="F66" s="14"/>
      <c r="G66" s="15"/>
      <c r="H66" s="16">
        <f t="shared" si="92"/>
        <v>0</v>
      </c>
      <c r="I66" s="14"/>
      <c r="J66" s="15"/>
      <c r="K66" s="16">
        <f t="shared" si="100"/>
        <v>0</v>
      </c>
      <c r="L66" s="14"/>
      <c r="M66" s="15"/>
      <c r="N66" s="16">
        <f t="shared" si="50"/>
        <v>0</v>
      </c>
      <c r="O66" s="14"/>
      <c r="P66" s="15"/>
      <c r="Q66" s="16">
        <f t="shared" si="94"/>
        <v>0</v>
      </c>
      <c r="R66" s="14"/>
      <c r="S66" s="15"/>
      <c r="T66" s="16">
        <f t="shared" si="85"/>
        <v>0</v>
      </c>
      <c r="U66" s="14">
        <v>20</v>
      </c>
      <c r="V66" s="15">
        <v>19900</v>
      </c>
      <c r="W66" s="16">
        <v>398000</v>
      </c>
      <c r="X66" s="14"/>
      <c r="Y66" s="15"/>
      <c r="Z66" s="16">
        <f t="shared" si="98"/>
        <v>0</v>
      </c>
      <c r="AA66" s="14"/>
      <c r="AB66" s="15"/>
      <c r="AC66" s="16">
        <f t="shared" si="101"/>
        <v>0</v>
      </c>
      <c r="AD66" s="14">
        <v>21.15</v>
      </c>
      <c r="AE66" s="15">
        <v>20000</v>
      </c>
      <c r="AF66" s="16">
        <v>423000</v>
      </c>
      <c r="AG66" s="14"/>
      <c r="AH66" s="15"/>
      <c r="AI66" s="16">
        <f t="shared" si="95"/>
        <v>0</v>
      </c>
      <c r="AJ66" s="14">
        <v>40.85</v>
      </c>
      <c r="AK66" s="15">
        <v>19900</v>
      </c>
      <c r="AL66" s="16">
        <v>815000</v>
      </c>
      <c r="AM66" s="14"/>
      <c r="AN66" s="15"/>
      <c r="AO66" s="16">
        <f t="shared" si="87"/>
        <v>0</v>
      </c>
      <c r="AP66" s="14"/>
      <c r="AQ66" s="15"/>
      <c r="AR66" s="16">
        <f t="shared" si="76"/>
        <v>0</v>
      </c>
      <c r="AS66" s="14">
        <v>10</v>
      </c>
      <c r="AT66" s="15">
        <v>19900</v>
      </c>
      <c r="AU66" s="16">
        <v>199000</v>
      </c>
      <c r="AV66" s="14"/>
      <c r="AW66" s="15"/>
      <c r="AX66" s="16">
        <f t="shared" si="99"/>
        <v>0</v>
      </c>
      <c r="AY66" s="14"/>
      <c r="AZ66" s="15"/>
      <c r="BA66" s="16">
        <f t="shared" si="57"/>
        <v>0</v>
      </c>
      <c r="BB66" s="14"/>
      <c r="BC66" s="15"/>
      <c r="BD66" s="16">
        <f t="shared" si="96"/>
        <v>0</v>
      </c>
      <c r="BE66" s="14"/>
      <c r="BF66" s="15"/>
      <c r="BG66" s="16">
        <f t="shared" si="90"/>
        <v>0</v>
      </c>
      <c r="BH66" s="14"/>
      <c r="BI66" s="15"/>
      <c r="BJ66" s="16">
        <f t="shared" si="58"/>
        <v>0</v>
      </c>
      <c r="BK66" s="14"/>
      <c r="BL66" s="15"/>
      <c r="BM66" s="16">
        <f t="shared" si="81"/>
        <v>0</v>
      </c>
      <c r="BN66" s="14"/>
      <c r="BO66" s="15"/>
      <c r="BP66" s="16">
        <f t="shared" si="93"/>
        <v>0</v>
      </c>
      <c r="BQ66" s="14"/>
      <c r="BR66" s="15"/>
      <c r="BS66" s="16">
        <f t="shared" si="73"/>
        <v>0</v>
      </c>
      <c r="BT66" s="14"/>
      <c r="BU66" s="15"/>
      <c r="BV66" s="16">
        <f t="shared" si="97"/>
        <v>0</v>
      </c>
      <c r="BW66" s="14"/>
      <c r="BX66" s="15"/>
      <c r="BY66" s="16">
        <f t="shared" si="88"/>
        <v>0</v>
      </c>
      <c r="BZ66" s="14"/>
      <c r="CA66" s="15"/>
      <c r="CB66" s="16">
        <f t="shared" si="59"/>
        <v>0</v>
      </c>
      <c r="CC66" s="14"/>
      <c r="CD66" s="15"/>
      <c r="CE66" s="16">
        <f t="shared" si="60"/>
        <v>0</v>
      </c>
      <c r="CF66" s="14"/>
      <c r="CG66" s="15"/>
      <c r="CH66" s="16">
        <f t="shared" si="61"/>
        <v>0</v>
      </c>
      <c r="CI66" s="14"/>
      <c r="CJ66" s="15"/>
      <c r="CK66" s="16">
        <f t="shared" si="74"/>
        <v>0</v>
      </c>
      <c r="CL66" s="14"/>
      <c r="CM66" s="15"/>
      <c r="CN66" s="16">
        <f t="shared" si="62"/>
        <v>0</v>
      </c>
      <c r="CO66" s="14"/>
      <c r="CP66" s="15"/>
      <c r="CQ66" s="16">
        <f t="shared" si="63"/>
        <v>0</v>
      </c>
      <c r="CR66" s="14"/>
      <c r="CS66" s="15"/>
      <c r="CT66" s="16">
        <f t="shared" si="64"/>
        <v>0</v>
      </c>
      <c r="CU66" s="17">
        <f t="shared" si="65"/>
        <v>92</v>
      </c>
      <c r="CV66" s="16">
        <f t="shared" si="66"/>
        <v>19925</v>
      </c>
      <c r="CW66" s="16">
        <f t="shared" si="67"/>
        <v>1833100</v>
      </c>
    </row>
    <row r="67" spans="1:101" ht="18.75" customHeight="1" x14ac:dyDescent="0.45">
      <c r="A67" s="83" t="s">
        <v>866</v>
      </c>
      <c r="B67" s="83" t="s">
        <v>846</v>
      </c>
      <c r="C67" s="84"/>
      <c r="D67" s="85"/>
      <c r="E67" s="85">
        <v>0</v>
      </c>
      <c r="F67" s="86"/>
      <c r="G67" s="87"/>
      <c r="H67" s="88">
        <f t="shared" si="92"/>
        <v>0</v>
      </c>
      <c r="I67" s="86"/>
      <c r="J67" s="87"/>
      <c r="K67" s="88">
        <f t="shared" si="100"/>
        <v>0</v>
      </c>
      <c r="L67" s="86"/>
      <c r="M67" s="87"/>
      <c r="N67" s="16">
        <f t="shared" si="50"/>
        <v>0</v>
      </c>
      <c r="O67" s="86"/>
      <c r="P67" s="87"/>
      <c r="Q67" s="88">
        <f t="shared" si="94"/>
        <v>0</v>
      </c>
      <c r="R67" s="86"/>
      <c r="S67" s="87"/>
      <c r="T67" s="88">
        <f t="shared" si="85"/>
        <v>0</v>
      </c>
      <c r="U67" s="86"/>
      <c r="V67" s="87"/>
      <c r="W67" s="88">
        <f t="shared" ref="W67:W74" si="102">IFERROR(U67*V67, 0)</f>
        <v>0</v>
      </c>
      <c r="X67" s="86"/>
      <c r="Y67" s="87"/>
      <c r="Z67" s="88">
        <f t="shared" si="98"/>
        <v>0</v>
      </c>
      <c r="AA67" s="86"/>
      <c r="AB67" s="87"/>
      <c r="AC67" s="88">
        <f t="shared" si="101"/>
        <v>0</v>
      </c>
      <c r="AD67" s="86"/>
      <c r="AE67" s="87"/>
      <c r="AF67" s="88">
        <f>IFERROR(AD67*AE67, 0)</f>
        <v>0</v>
      </c>
      <c r="AG67" s="86"/>
      <c r="AH67" s="87"/>
      <c r="AI67" s="88">
        <f t="shared" si="95"/>
        <v>0</v>
      </c>
      <c r="AJ67" s="86"/>
      <c r="AK67" s="87"/>
      <c r="AL67" s="16">
        <f t="shared" ref="AL67:AL74" si="103">IFERROR(AJ67*AK67, 0)</f>
        <v>0</v>
      </c>
      <c r="AM67" s="86"/>
      <c r="AN67" s="87"/>
      <c r="AO67" s="88">
        <f t="shared" si="87"/>
        <v>0</v>
      </c>
      <c r="AP67" s="86"/>
      <c r="AQ67" s="87"/>
      <c r="AR67" s="16">
        <f t="shared" si="76"/>
        <v>0</v>
      </c>
      <c r="AS67" s="86"/>
      <c r="AT67" s="87"/>
      <c r="AU67" s="88">
        <f t="shared" ref="AU67:AU74" si="104">IFERROR(AS67*AT67, 0)</f>
        <v>0</v>
      </c>
      <c r="AV67" s="86"/>
      <c r="AW67" s="87"/>
      <c r="AX67" s="88">
        <f t="shared" si="99"/>
        <v>0</v>
      </c>
      <c r="AY67" s="86"/>
      <c r="AZ67" s="87"/>
      <c r="BA67" s="16">
        <f t="shared" ref="BA67:BA74" si="105">IFERROR(AY67*AZ67, 0)</f>
        <v>0</v>
      </c>
      <c r="BB67" s="86"/>
      <c r="BC67" s="87"/>
      <c r="BD67" s="88">
        <f t="shared" si="96"/>
        <v>0</v>
      </c>
      <c r="BE67" s="86"/>
      <c r="BF67" s="87"/>
      <c r="BG67" s="88">
        <f t="shared" si="90"/>
        <v>0</v>
      </c>
      <c r="BH67" s="86"/>
      <c r="BI67" s="87"/>
      <c r="BJ67" s="88">
        <f t="shared" ref="BJ67:BJ74" si="106">IFERROR(BH67*BI67, 0)</f>
        <v>0</v>
      </c>
      <c r="BK67" s="86"/>
      <c r="BL67" s="87"/>
      <c r="BM67" s="88">
        <f t="shared" si="81"/>
        <v>0</v>
      </c>
      <c r="BN67" s="86"/>
      <c r="BO67" s="87"/>
      <c r="BP67" s="88">
        <f t="shared" si="93"/>
        <v>0</v>
      </c>
      <c r="BQ67" s="86"/>
      <c r="BR67" s="87"/>
      <c r="BS67" s="88">
        <f t="shared" si="73"/>
        <v>0</v>
      </c>
      <c r="BT67" s="86"/>
      <c r="BU67" s="87"/>
      <c r="BV67" s="88">
        <f t="shared" si="97"/>
        <v>0</v>
      </c>
      <c r="BW67" s="86"/>
      <c r="BX67" s="87"/>
      <c r="BY67" s="88">
        <f t="shared" si="88"/>
        <v>0</v>
      </c>
      <c r="BZ67" s="86"/>
      <c r="CA67" s="87"/>
      <c r="CB67" s="88">
        <f t="shared" ref="CB67:CB74" si="107">IFERROR(BZ67*CA67, 0)</f>
        <v>0</v>
      </c>
      <c r="CC67" s="86"/>
      <c r="CD67" s="87"/>
      <c r="CE67" s="88">
        <f t="shared" ref="CE67:CE74" si="108">IFERROR(CC67*CD67, 0)</f>
        <v>0</v>
      </c>
      <c r="CF67" s="86"/>
      <c r="CG67" s="87"/>
      <c r="CH67" s="88">
        <f t="shared" ref="CH67:CH74" si="109">IFERROR(CF67*CG67, 0)</f>
        <v>0</v>
      </c>
      <c r="CI67" s="86"/>
      <c r="CJ67" s="87"/>
      <c r="CK67" s="88">
        <f t="shared" si="74"/>
        <v>0</v>
      </c>
      <c r="CL67" s="86"/>
      <c r="CM67" s="87"/>
      <c r="CN67" s="88">
        <f t="shared" ref="CN67:CN74" si="110">IFERROR(CL67*CM67, 0)</f>
        <v>0</v>
      </c>
      <c r="CO67" s="86"/>
      <c r="CP67" s="87"/>
      <c r="CQ67" s="88">
        <f t="shared" ref="CQ67:CQ74" si="111">IFERROR(CO67*CP67, 0)</f>
        <v>0</v>
      </c>
      <c r="CR67" s="86"/>
      <c r="CS67" s="87"/>
      <c r="CT67" s="88">
        <f t="shared" ref="CT67:CT74" si="112">IFERROR(CR67*CS67, 0)</f>
        <v>0</v>
      </c>
      <c r="CU67" s="89">
        <f t="shared" ref="CU67:CU74" si="113">IFERROR(SUM(F67,I67,L67,O67,R67,U67,X67,AA67,AD67,AG67,AJ67,AM67,AP67,AS67,AV67,AY67,BB67,BE67,BH67,BK67,BN67,BQ67,BT67,BW67,BZ67,CC67,CF67,CI67,CL67,CO67,CR67), 0)</f>
        <v>0</v>
      </c>
      <c r="CV67" s="88">
        <f t="shared" ref="CV67:CV74" si="114">IFERROR(AVERAGE(G67,J67,M67,P67,S67,V67,Y67,AB67,AE67,AH67,AK67,AN67,AQ67,AT67,AW67,AZ67,BC67,BF67,BI67,BL67,BO67,BR67,BU67,BX67,CA67,CD67,CG67,CJ67,CM67,CP67,CS67), 0)</f>
        <v>0</v>
      </c>
      <c r="CW67" s="88">
        <f t="shared" ref="CW67:CW74" si="115">CU67*CV67</f>
        <v>0</v>
      </c>
    </row>
    <row r="68" spans="1:101" ht="18.75" customHeight="1" x14ac:dyDescent="0.45">
      <c r="A68" s="11" t="s">
        <v>867</v>
      </c>
      <c r="B68" s="11" t="s">
        <v>846</v>
      </c>
      <c r="C68" s="12"/>
      <c r="D68" s="13"/>
      <c r="E68" s="13">
        <v>0</v>
      </c>
      <c r="F68" s="14"/>
      <c r="G68" s="15"/>
      <c r="H68" s="16">
        <f t="shared" si="92"/>
        <v>0</v>
      </c>
      <c r="I68" s="14"/>
      <c r="J68" s="15"/>
      <c r="K68" s="16">
        <f t="shared" si="100"/>
        <v>0</v>
      </c>
      <c r="L68" s="14"/>
      <c r="M68" s="15"/>
      <c r="N68" s="16">
        <f t="shared" si="50"/>
        <v>0</v>
      </c>
      <c r="O68" s="14"/>
      <c r="P68" s="15"/>
      <c r="Q68" s="16">
        <f t="shared" si="94"/>
        <v>0</v>
      </c>
      <c r="R68" s="14"/>
      <c r="S68" s="15"/>
      <c r="T68" s="16">
        <f t="shared" si="85"/>
        <v>0</v>
      </c>
      <c r="U68" s="14"/>
      <c r="V68" s="15"/>
      <c r="W68" s="16">
        <f t="shared" si="102"/>
        <v>0</v>
      </c>
      <c r="X68" s="14"/>
      <c r="Y68" s="15"/>
      <c r="Z68" s="16">
        <f t="shared" si="98"/>
        <v>0</v>
      </c>
      <c r="AA68" s="14"/>
      <c r="AB68" s="15"/>
      <c r="AC68" s="16">
        <f t="shared" si="101"/>
        <v>0</v>
      </c>
      <c r="AD68" s="14"/>
      <c r="AE68" s="15"/>
      <c r="AF68" s="16">
        <f>IFERROR(AD68*AE68, 0)</f>
        <v>0</v>
      </c>
      <c r="AG68" s="14"/>
      <c r="AH68" s="15"/>
      <c r="AI68" s="16">
        <f t="shared" si="95"/>
        <v>0</v>
      </c>
      <c r="AJ68" s="14"/>
      <c r="AK68" s="15"/>
      <c r="AL68" s="16">
        <f t="shared" si="103"/>
        <v>0</v>
      </c>
      <c r="AM68" s="14"/>
      <c r="AN68" s="15"/>
      <c r="AO68" s="16">
        <f t="shared" si="87"/>
        <v>0</v>
      </c>
      <c r="AP68" s="14"/>
      <c r="AQ68" s="15"/>
      <c r="AR68" s="16">
        <f t="shared" si="76"/>
        <v>0</v>
      </c>
      <c r="AS68" s="14"/>
      <c r="AT68" s="15"/>
      <c r="AU68" s="16">
        <f t="shared" si="104"/>
        <v>0</v>
      </c>
      <c r="AV68" s="14"/>
      <c r="AW68" s="15"/>
      <c r="AX68" s="16">
        <f t="shared" si="99"/>
        <v>0</v>
      </c>
      <c r="AY68" s="14"/>
      <c r="AZ68" s="15"/>
      <c r="BA68" s="16">
        <f t="shared" si="105"/>
        <v>0</v>
      </c>
      <c r="BB68" s="14"/>
      <c r="BC68" s="15"/>
      <c r="BD68" s="16">
        <f t="shared" si="96"/>
        <v>0</v>
      </c>
      <c r="BE68" s="14"/>
      <c r="BF68" s="15"/>
      <c r="BG68" s="16">
        <f t="shared" si="90"/>
        <v>0</v>
      </c>
      <c r="BH68" s="14"/>
      <c r="BI68" s="15"/>
      <c r="BJ68" s="16">
        <f t="shared" si="106"/>
        <v>0</v>
      </c>
      <c r="BK68" s="14"/>
      <c r="BL68" s="15"/>
      <c r="BM68" s="16">
        <f t="shared" si="81"/>
        <v>0</v>
      </c>
      <c r="BN68" s="14"/>
      <c r="BO68" s="15"/>
      <c r="BP68" s="16">
        <f t="shared" si="93"/>
        <v>0</v>
      </c>
      <c r="BQ68" s="14"/>
      <c r="BR68" s="15"/>
      <c r="BS68" s="16">
        <f t="shared" si="73"/>
        <v>0</v>
      </c>
      <c r="BT68" s="14"/>
      <c r="BU68" s="15"/>
      <c r="BV68" s="16">
        <f t="shared" si="97"/>
        <v>0</v>
      </c>
      <c r="BW68" s="14"/>
      <c r="BX68" s="15"/>
      <c r="BY68" s="16">
        <f t="shared" si="88"/>
        <v>0</v>
      </c>
      <c r="BZ68" s="14"/>
      <c r="CA68" s="15"/>
      <c r="CB68" s="16">
        <f t="shared" si="107"/>
        <v>0</v>
      </c>
      <c r="CC68" s="14"/>
      <c r="CD68" s="15"/>
      <c r="CE68" s="16">
        <f t="shared" si="108"/>
        <v>0</v>
      </c>
      <c r="CF68" s="14"/>
      <c r="CG68" s="15"/>
      <c r="CH68" s="16">
        <f t="shared" si="109"/>
        <v>0</v>
      </c>
      <c r="CI68" s="14"/>
      <c r="CJ68" s="15"/>
      <c r="CK68" s="16">
        <f t="shared" si="74"/>
        <v>0</v>
      </c>
      <c r="CL68" s="14"/>
      <c r="CM68" s="15"/>
      <c r="CN68" s="16">
        <f t="shared" si="110"/>
        <v>0</v>
      </c>
      <c r="CO68" s="14"/>
      <c r="CP68" s="15"/>
      <c r="CQ68" s="16">
        <f t="shared" si="111"/>
        <v>0</v>
      </c>
      <c r="CR68" s="14"/>
      <c r="CS68" s="15"/>
      <c r="CT68" s="16">
        <f t="shared" si="112"/>
        <v>0</v>
      </c>
      <c r="CU68" s="17">
        <f t="shared" si="113"/>
        <v>0</v>
      </c>
      <c r="CV68" s="16">
        <f t="shared" si="114"/>
        <v>0</v>
      </c>
      <c r="CW68" s="16">
        <f t="shared" si="115"/>
        <v>0</v>
      </c>
    </row>
    <row r="69" spans="1:101" ht="18.75" customHeight="1" x14ac:dyDescent="0.45">
      <c r="A69" s="11" t="s">
        <v>868</v>
      </c>
      <c r="B69" s="11" t="s">
        <v>846</v>
      </c>
      <c r="C69" s="12"/>
      <c r="D69" s="13"/>
      <c r="E69" s="13">
        <v>0</v>
      </c>
      <c r="F69" s="14"/>
      <c r="G69" s="15"/>
      <c r="H69" s="16">
        <f t="shared" si="92"/>
        <v>0</v>
      </c>
      <c r="I69" s="14"/>
      <c r="J69" s="15"/>
      <c r="K69" s="16">
        <f t="shared" si="100"/>
        <v>0</v>
      </c>
      <c r="L69" s="14"/>
      <c r="M69" s="15"/>
      <c r="N69" s="16">
        <f t="shared" si="50"/>
        <v>0</v>
      </c>
      <c r="O69" s="14"/>
      <c r="P69" s="15"/>
      <c r="Q69" s="16">
        <f t="shared" si="94"/>
        <v>0</v>
      </c>
      <c r="R69" s="14"/>
      <c r="S69" s="15"/>
      <c r="T69" s="16">
        <f t="shared" si="85"/>
        <v>0</v>
      </c>
      <c r="U69" s="14"/>
      <c r="V69" s="15"/>
      <c r="W69" s="16">
        <f t="shared" si="102"/>
        <v>0</v>
      </c>
      <c r="X69" s="14"/>
      <c r="Y69" s="15"/>
      <c r="Z69" s="16">
        <f t="shared" si="98"/>
        <v>0</v>
      </c>
      <c r="AA69" s="14"/>
      <c r="AB69" s="15"/>
      <c r="AC69" s="16">
        <f t="shared" si="101"/>
        <v>0</v>
      </c>
      <c r="AD69" s="14"/>
      <c r="AE69" s="15"/>
      <c r="AF69" s="16">
        <f>IFERROR(AD69*AE69, 0)</f>
        <v>0</v>
      </c>
      <c r="AG69" s="14"/>
      <c r="AH69" s="15"/>
      <c r="AI69" s="16">
        <f t="shared" si="95"/>
        <v>0</v>
      </c>
      <c r="AJ69" s="14"/>
      <c r="AK69" s="15"/>
      <c r="AL69" s="16">
        <f t="shared" si="103"/>
        <v>0</v>
      </c>
      <c r="AM69" s="14"/>
      <c r="AN69" s="15"/>
      <c r="AO69" s="16">
        <f t="shared" si="87"/>
        <v>0</v>
      </c>
      <c r="AP69" s="14"/>
      <c r="AQ69" s="15"/>
      <c r="AR69" s="16">
        <f t="shared" si="76"/>
        <v>0</v>
      </c>
      <c r="AS69" s="14"/>
      <c r="AT69" s="15"/>
      <c r="AU69" s="16">
        <f t="shared" si="104"/>
        <v>0</v>
      </c>
      <c r="AV69" s="14"/>
      <c r="AW69" s="15"/>
      <c r="AX69" s="16">
        <f t="shared" si="99"/>
        <v>0</v>
      </c>
      <c r="AY69" s="14"/>
      <c r="AZ69" s="15"/>
      <c r="BA69" s="16">
        <f t="shared" si="105"/>
        <v>0</v>
      </c>
      <c r="BB69" s="14"/>
      <c r="BC69" s="15"/>
      <c r="BD69" s="16">
        <f t="shared" si="96"/>
        <v>0</v>
      </c>
      <c r="BE69" s="14"/>
      <c r="BF69" s="15"/>
      <c r="BG69" s="16">
        <f t="shared" si="90"/>
        <v>0</v>
      </c>
      <c r="BH69" s="14"/>
      <c r="BI69" s="15"/>
      <c r="BJ69" s="16">
        <f t="shared" si="106"/>
        <v>0</v>
      </c>
      <c r="BK69" s="14"/>
      <c r="BL69" s="15"/>
      <c r="BM69" s="16">
        <f t="shared" si="81"/>
        <v>0</v>
      </c>
      <c r="BN69" s="14"/>
      <c r="BO69" s="15"/>
      <c r="BP69" s="16">
        <f t="shared" si="93"/>
        <v>0</v>
      </c>
      <c r="BQ69" s="14"/>
      <c r="BR69" s="15"/>
      <c r="BS69" s="16">
        <f t="shared" si="73"/>
        <v>0</v>
      </c>
      <c r="BT69" s="14"/>
      <c r="BU69" s="15"/>
      <c r="BV69" s="16">
        <f t="shared" si="97"/>
        <v>0</v>
      </c>
      <c r="BW69" s="14"/>
      <c r="BX69" s="15"/>
      <c r="BY69" s="16">
        <f t="shared" si="88"/>
        <v>0</v>
      </c>
      <c r="BZ69" s="14"/>
      <c r="CA69" s="15"/>
      <c r="CB69" s="16">
        <f t="shared" si="107"/>
        <v>0</v>
      </c>
      <c r="CC69" s="14"/>
      <c r="CD69" s="15"/>
      <c r="CE69" s="16">
        <f t="shared" si="108"/>
        <v>0</v>
      </c>
      <c r="CF69" s="14"/>
      <c r="CG69" s="15"/>
      <c r="CH69" s="16">
        <f t="shared" si="109"/>
        <v>0</v>
      </c>
      <c r="CI69" s="14"/>
      <c r="CJ69" s="15"/>
      <c r="CK69" s="16">
        <f t="shared" si="74"/>
        <v>0</v>
      </c>
      <c r="CL69" s="14"/>
      <c r="CM69" s="15"/>
      <c r="CN69" s="16">
        <f t="shared" si="110"/>
        <v>0</v>
      </c>
      <c r="CO69" s="14"/>
      <c r="CP69" s="15"/>
      <c r="CQ69" s="16">
        <f t="shared" si="111"/>
        <v>0</v>
      </c>
      <c r="CR69" s="14"/>
      <c r="CS69" s="15"/>
      <c r="CT69" s="16">
        <f t="shared" si="112"/>
        <v>0</v>
      </c>
      <c r="CU69" s="17">
        <f t="shared" si="113"/>
        <v>0</v>
      </c>
      <c r="CV69" s="16">
        <f t="shared" si="114"/>
        <v>0</v>
      </c>
      <c r="CW69" s="16">
        <f t="shared" si="115"/>
        <v>0</v>
      </c>
    </row>
    <row r="70" spans="1:101" ht="18.75" customHeight="1" x14ac:dyDescent="0.45">
      <c r="A70" s="11" t="s">
        <v>687</v>
      </c>
      <c r="B70" s="11" t="s">
        <v>846</v>
      </c>
      <c r="C70" s="12"/>
      <c r="D70" s="13"/>
      <c r="E70" s="13">
        <v>0</v>
      </c>
      <c r="F70" s="14"/>
      <c r="G70" s="15"/>
      <c r="H70" s="16">
        <f t="shared" si="92"/>
        <v>0</v>
      </c>
      <c r="I70" s="14"/>
      <c r="J70" s="15"/>
      <c r="K70" s="16">
        <f t="shared" si="100"/>
        <v>0</v>
      </c>
      <c r="L70" s="14"/>
      <c r="M70" s="15"/>
      <c r="N70" s="16">
        <f t="shared" si="50"/>
        <v>0</v>
      </c>
      <c r="O70" s="14"/>
      <c r="P70" s="15"/>
      <c r="Q70" s="16">
        <f t="shared" si="94"/>
        <v>0</v>
      </c>
      <c r="R70" s="14"/>
      <c r="S70" s="15"/>
      <c r="T70" s="16">
        <f t="shared" si="85"/>
        <v>0</v>
      </c>
      <c r="U70" s="14"/>
      <c r="V70" s="15"/>
      <c r="W70" s="16">
        <f t="shared" si="102"/>
        <v>0</v>
      </c>
      <c r="X70" s="14"/>
      <c r="Y70" s="15"/>
      <c r="Z70" s="16">
        <f t="shared" si="98"/>
        <v>0</v>
      </c>
      <c r="AA70" s="14"/>
      <c r="AB70" s="15"/>
      <c r="AC70" s="16">
        <f t="shared" si="101"/>
        <v>0</v>
      </c>
      <c r="AD70" s="14"/>
      <c r="AE70" s="15"/>
      <c r="AF70" s="16">
        <f>IFERROR(AD70*AE70, 0)</f>
        <v>0</v>
      </c>
      <c r="AG70" s="14"/>
      <c r="AH70" s="15"/>
      <c r="AI70" s="16">
        <f t="shared" si="95"/>
        <v>0</v>
      </c>
      <c r="AJ70" s="14"/>
      <c r="AK70" s="15"/>
      <c r="AL70" s="16">
        <f t="shared" si="103"/>
        <v>0</v>
      </c>
      <c r="AM70" s="14"/>
      <c r="AN70" s="15"/>
      <c r="AO70" s="16">
        <f t="shared" si="87"/>
        <v>0</v>
      </c>
      <c r="AP70" s="14"/>
      <c r="AQ70" s="15"/>
      <c r="AR70" s="16">
        <f t="shared" si="76"/>
        <v>0</v>
      </c>
      <c r="AS70" s="14"/>
      <c r="AT70" s="15"/>
      <c r="AU70" s="16">
        <f t="shared" si="104"/>
        <v>0</v>
      </c>
      <c r="AV70" s="14"/>
      <c r="AW70" s="15"/>
      <c r="AX70" s="16">
        <f t="shared" si="99"/>
        <v>0</v>
      </c>
      <c r="AY70" s="14"/>
      <c r="AZ70" s="15"/>
      <c r="BA70" s="16">
        <f t="shared" si="105"/>
        <v>0</v>
      </c>
      <c r="BB70" s="14"/>
      <c r="BC70" s="15"/>
      <c r="BD70" s="16">
        <f t="shared" si="96"/>
        <v>0</v>
      </c>
      <c r="BE70" s="14"/>
      <c r="BF70" s="15"/>
      <c r="BG70" s="16">
        <f t="shared" si="90"/>
        <v>0</v>
      </c>
      <c r="BH70" s="14"/>
      <c r="BI70" s="15"/>
      <c r="BJ70" s="16">
        <f t="shared" si="106"/>
        <v>0</v>
      </c>
      <c r="BK70" s="14"/>
      <c r="BL70" s="15"/>
      <c r="BM70" s="16">
        <f t="shared" si="81"/>
        <v>0</v>
      </c>
      <c r="BN70" s="14"/>
      <c r="BO70" s="15"/>
      <c r="BP70" s="16">
        <f t="shared" si="93"/>
        <v>0</v>
      </c>
      <c r="BQ70" s="14"/>
      <c r="BR70" s="15"/>
      <c r="BS70" s="16">
        <f t="shared" si="73"/>
        <v>0</v>
      </c>
      <c r="BT70" s="14"/>
      <c r="BU70" s="15"/>
      <c r="BV70" s="16">
        <f t="shared" si="97"/>
        <v>0</v>
      </c>
      <c r="BW70" s="14">
        <v>6</v>
      </c>
      <c r="BX70" s="15">
        <v>3666.67</v>
      </c>
      <c r="BY70" s="16">
        <v>22000</v>
      </c>
      <c r="BZ70" s="14"/>
      <c r="CA70" s="15"/>
      <c r="CB70" s="16">
        <f t="shared" si="107"/>
        <v>0</v>
      </c>
      <c r="CC70" s="14"/>
      <c r="CD70" s="15"/>
      <c r="CE70" s="16">
        <f t="shared" si="108"/>
        <v>0</v>
      </c>
      <c r="CF70" s="14"/>
      <c r="CG70" s="15"/>
      <c r="CH70" s="16">
        <f t="shared" si="109"/>
        <v>0</v>
      </c>
      <c r="CI70" s="14"/>
      <c r="CJ70" s="15"/>
      <c r="CK70" s="16">
        <f t="shared" si="74"/>
        <v>0</v>
      </c>
      <c r="CL70" s="14"/>
      <c r="CM70" s="15"/>
      <c r="CN70" s="16">
        <f t="shared" si="110"/>
        <v>0</v>
      </c>
      <c r="CO70" s="14"/>
      <c r="CP70" s="15"/>
      <c r="CQ70" s="16">
        <f t="shared" si="111"/>
        <v>0</v>
      </c>
      <c r="CR70" s="14"/>
      <c r="CS70" s="15"/>
      <c r="CT70" s="16">
        <f t="shared" si="112"/>
        <v>0</v>
      </c>
      <c r="CU70" s="17">
        <f t="shared" si="113"/>
        <v>6</v>
      </c>
      <c r="CV70" s="16">
        <f t="shared" si="114"/>
        <v>3666.67</v>
      </c>
      <c r="CW70" s="16">
        <f t="shared" si="115"/>
        <v>22000.02</v>
      </c>
    </row>
    <row r="71" spans="1:101" ht="18.75" customHeight="1" x14ac:dyDescent="0.45">
      <c r="A71" s="11" t="s">
        <v>164</v>
      </c>
      <c r="B71" s="11" t="s">
        <v>837</v>
      </c>
      <c r="C71" s="12"/>
      <c r="D71" s="13"/>
      <c r="E71" s="13">
        <v>0</v>
      </c>
      <c r="F71" s="14"/>
      <c r="G71" s="15"/>
      <c r="H71" s="16">
        <f t="shared" si="92"/>
        <v>0</v>
      </c>
      <c r="I71" s="14">
        <v>20</v>
      </c>
      <c r="J71" s="15">
        <v>16000</v>
      </c>
      <c r="K71" s="16">
        <v>320000</v>
      </c>
      <c r="L71" s="14"/>
      <c r="M71" s="15"/>
      <c r="N71" s="16">
        <f t="shared" si="50"/>
        <v>0</v>
      </c>
      <c r="O71" s="14"/>
      <c r="P71" s="15"/>
      <c r="Q71" s="16">
        <f t="shared" si="94"/>
        <v>0</v>
      </c>
      <c r="R71" s="14"/>
      <c r="S71" s="15"/>
      <c r="T71" s="16">
        <f t="shared" si="85"/>
        <v>0</v>
      </c>
      <c r="U71" s="14"/>
      <c r="V71" s="15"/>
      <c r="W71" s="16">
        <f t="shared" si="102"/>
        <v>0</v>
      </c>
      <c r="X71" s="14"/>
      <c r="Y71" s="15"/>
      <c r="Z71" s="16">
        <f t="shared" si="98"/>
        <v>0</v>
      </c>
      <c r="AA71" s="14"/>
      <c r="AB71" s="15"/>
      <c r="AC71" s="16">
        <f t="shared" si="101"/>
        <v>0</v>
      </c>
      <c r="AD71" s="14">
        <v>19.8</v>
      </c>
      <c r="AE71" s="15">
        <v>17000</v>
      </c>
      <c r="AF71" s="16">
        <v>336600</v>
      </c>
      <c r="AG71" s="14"/>
      <c r="AH71" s="15"/>
      <c r="AI71" s="16">
        <f t="shared" si="95"/>
        <v>0</v>
      </c>
      <c r="AJ71" s="14"/>
      <c r="AK71" s="15"/>
      <c r="AL71" s="16">
        <f t="shared" si="103"/>
        <v>0</v>
      </c>
      <c r="AM71" s="14"/>
      <c r="AN71" s="15"/>
      <c r="AO71" s="16">
        <f t="shared" si="87"/>
        <v>0</v>
      </c>
      <c r="AP71" s="14"/>
      <c r="AQ71" s="15"/>
      <c r="AR71" s="16">
        <f t="shared" si="76"/>
        <v>0</v>
      </c>
      <c r="AS71" s="14"/>
      <c r="AT71" s="15"/>
      <c r="AU71" s="16">
        <f t="shared" si="104"/>
        <v>0</v>
      </c>
      <c r="AV71" s="14">
        <v>8.5</v>
      </c>
      <c r="AW71" s="15">
        <v>17000</v>
      </c>
      <c r="AX71" s="16">
        <v>144500</v>
      </c>
      <c r="AY71" s="14"/>
      <c r="AZ71" s="15"/>
      <c r="BA71" s="16">
        <f t="shared" si="105"/>
        <v>0</v>
      </c>
      <c r="BB71" s="14"/>
      <c r="BC71" s="15"/>
      <c r="BD71" s="16">
        <f t="shared" si="96"/>
        <v>0</v>
      </c>
      <c r="BE71" s="14"/>
      <c r="BF71" s="15"/>
      <c r="BG71" s="16">
        <f t="shared" si="90"/>
        <v>0</v>
      </c>
      <c r="BH71" s="14"/>
      <c r="BI71" s="15"/>
      <c r="BJ71" s="16">
        <f t="shared" si="106"/>
        <v>0</v>
      </c>
      <c r="BK71" s="14"/>
      <c r="BL71" s="15"/>
      <c r="BM71" s="16">
        <f t="shared" si="81"/>
        <v>0</v>
      </c>
      <c r="BN71" s="14"/>
      <c r="BO71" s="15"/>
      <c r="BP71" s="16">
        <f t="shared" si="93"/>
        <v>0</v>
      </c>
      <c r="BQ71" s="14"/>
      <c r="BR71" s="15"/>
      <c r="BS71" s="16">
        <f t="shared" si="73"/>
        <v>0</v>
      </c>
      <c r="BT71" s="14"/>
      <c r="BU71" s="15"/>
      <c r="BV71" s="16">
        <f t="shared" si="97"/>
        <v>0</v>
      </c>
      <c r="BW71" s="14"/>
      <c r="BX71" s="15"/>
      <c r="BY71" s="16">
        <f>IFERROR(BW71*BX71, 0)</f>
        <v>0</v>
      </c>
      <c r="BZ71" s="14"/>
      <c r="CA71" s="15"/>
      <c r="CB71" s="16">
        <f t="shared" si="107"/>
        <v>0</v>
      </c>
      <c r="CC71" s="14"/>
      <c r="CD71" s="15"/>
      <c r="CE71" s="16">
        <f t="shared" si="108"/>
        <v>0</v>
      </c>
      <c r="CF71" s="14"/>
      <c r="CG71" s="15"/>
      <c r="CH71" s="16">
        <f t="shared" si="109"/>
        <v>0</v>
      </c>
      <c r="CI71" s="14"/>
      <c r="CJ71" s="15"/>
      <c r="CK71" s="16">
        <f t="shared" si="74"/>
        <v>0</v>
      </c>
      <c r="CL71" s="14"/>
      <c r="CM71" s="15"/>
      <c r="CN71" s="16">
        <f t="shared" si="110"/>
        <v>0</v>
      </c>
      <c r="CO71" s="14"/>
      <c r="CP71" s="15"/>
      <c r="CQ71" s="16">
        <f t="shared" si="111"/>
        <v>0</v>
      </c>
      <c r="CR71" s="14"/>
      <c r="CS71" s="15"/>
      <c r="CT71" s="16">
        <f t="shared" si="112"/>
        <v>0</v>
      </c>
      <c r="CU71" s="17">
        <f t="shared" si="113"/>
        <v>48.3</v>
      </c>
      <c r="CV71" s="16">
        <f t="shared" si="114"/>
        <v>16666.666666666668</v>
      </c>
      <c r="CW71" s="16">
        <f t="shared" si="115"/>
        <v>805000</v>
      </c>
    </row>
    <row r="72" spans="1:101" x14ac:dyDescent="0.45">
      <c r="A72" s="11" t="s">
        <v>869</v>
      </c>
      <c r="B72" s="11" t="s">
        <v>846</v>
      </c>
      <c r="C72" s="12"/>
      <c r="D72" s="13"/>
      <c r="E72" s="13">
        <v>0</v>
      </c>
      <c r="F72" s="14"/>
      <c r="G72" s="15"/>
      <c r="H72" s="16">
        <f t="shared" si="92"/>
        <v>0</v>
      </c>
      <c r="I72" s="14"/>
      <c r="J72" s="15"/>
      <c r="K72" s="16">
        <f>IFERROR(I72*J72, 0)</f>
        <v>0</v>
      </c>
      <c r="L72" s="14"/>
      <c r="M72" s="15"/>
      <c r="N72" s="16">
        <f t="shared" si="50"/>
        <v>0</v>
      </c>
      <c r="O72" s="14"/>
      <c r="P72" s="15"/>
      <c r="Q72" s="16">
        <f t="shared" si="94"/>
        <v>0</v>
      </c>
      <c r="R72" s="14"/>
      <c r="S72" s="15"/>
      <c r="T72" s="16">
        <f t="shared" si="85"/>
        <v>0</v>
      </c>
      <c r="U72" s="14"/>
      <c r="V72" s="15"/>
      <c r="W72" s="16">
        <f t="shared" si="102"/>
        <v>0</v>
      </c>
      <c r="X72" s="14"/>
      <c r="Y72" s="15"/>
      <c r="Z72" s="16">
        <f t="shared" si="98"/>
        <v>0</v>
      </c>
      <c r="AA72" s="14"/>
      <c r="AB72" s="15"/>
      <c r="AC72" s="16">
        <f t="shared" si="101"/>
        <v>0</v>
      </c>
      <c r="AD72" s="14"/>
      <c r="AE72" s="15"/>
      <c r="AF72" s="16">
        <f>IFERROR(AD72*AE72, 0)</f>
        <v>0</v>
      </c>
      <c r="AG72" s="14"/>
      <c r="AH72" s="15"/>
      <c r="AI72" s="16">
        <f t="shared" si="95"/>
        <v>0</v>
      </c>
      <c r="AJ72" s="14"/>
      <c r="AK72" s="15"/>
      <c r="AL72" s="16">
        <f t="shared" si="103"/>
        <v>0</v>
      </c>
      <c r="AM72" s="14"/>
      <c r="AN72" s="15"/>
      <c r="AO72" s="16">
        <f t="shared" si="87"/>
        <v>0</v>
      </c>
      <c r="AP72" s="14"/>
      <c r="AQ72" s="15"/>
      <c r="AR72" s="16">
        <f t="shared" si="76"/>
        <v>0</v>
      </c>
      <c r="AS72" s="14"/>
      <c r="AT72" s="15"/>
      <c r="AU72" s="16">
        <f t="shared" si="104"/>
        <v>0</v>
      </c>
      <c r="AV72" s="14"/>
      <c r="AW72" s="15"/>
      <c r="AX72" s="16">
        <f>IFERROR(AV72*AW72, 0)</f>
        <v>0</v>
      </c>
      <c r="AY72" s="14"/>
      <c r="AZ72" s="15"/>
      <c r="BA72" s="16">
        <f t="shared" si="105"/>
        <v>0</v>
      </c>
      <c r="BB72" s="14"/>
      <c r="BC72" s="15"/>
      <c r="BD72" s="16">
        <f t="shared" si="96"/>
        <v>0</v>
      </c>
      <c r="BE72" s="14"/>
      <c r="BF72" s="15"/>
      <c r="BG72" s="16">
        <f t="shared" si="90"/>
        <v>0</v>
      </c>
      <c r="BH72" s="14"/>
      <c r="BI72" s="15"/>
      <c r="BJ72" s="16">
        <f t="shared" si="106"/>
        <v>0</v>
      </c>
      <c r="BK72" s="14"/>
      <c r="BL72" s="15"/>
      <c r="BM72" s="16">
        <f t="shared" si="81"/>
        <v>0</v>
      </c>
      <c r="BN72" s="14"/>
      <c r="BO72" s="15"/>
      <c r="BP72" s="16">
        <f t="shared" si="93"/>
        <v>0</v>
      </c>
      <c r="BQ72" s="14"/>
      <c r="BR72" s="15"/>
      <c r="BS72" s="16">
        <f t="shared" si="73"/>
        <v>0</v>
      </c>
      <c r="BT72" s="14"/>
      <c r="BU72" s="15"/>
      <c r="BV72" s="16">
        <f t="shared" si="97"/>
        <v>0</v>
      </c>
      <c r="BW72" s="14"/>
      <c r="BX72" s="15"/>
      <c r="BY72" s="16">
        <f>IFERROR(BW72*BX72, 0)</f>
        <v>0</v>
      </c>
      <c r="BZ72" s="14"/>
      <c r="CA72" s="15"/>
      <c r="CB72" s="16">
        <f t="shared" si="107"/>
        <v>0</v>
      </c>
      <c r="CC72" s="14"/>
      <c r="CD72" s="15"/>
      <c r="CE72" s="16">
        <f t="shared" si="108"/>
        <v>0</v>
      </c>
      <c r="CF72" s="14"/>
      <c r="CG72" s="15"/>
      <c r="CH72" s="16">
        <f t="shared" si="109"/>
        <v>0</v>
      </c>
      <c r="CI72" s="14"/>
      <c r="CJ72" s="15"/>
      <c r="CK72" s="16">
        <f t="shared" si="74"/>
        <v>0</v>
      </c>
      <c r="CL72" s="14"/>
      <c r="CM72" s="15"/>
      <c r="CN72" s="16">
        <f t="shared" si="110"/>
        <v>0</v>
      </c>
      <c r="CO72" s="14"/>
      <c r="CP72" s="15"/>
      <c r="CQ72" s="16">
        <f t="shared" si="111"/>
        <v>0</v>
      </c>
      <c r="CR72" s="14"/>
      <c r="CS72" s="15"/>
      <c r="CT72" s="16">
        <f t="shared" si="112"/>
        <v>0</v>
      </c>
      <c r="CU72" s="17">
        <f t="shared" si="113"/>
        <v>0</v>
      </c>
      <c r="CV72" s="16">
        <f t="shared" si="114"/>
        <v>0</v>
      </c>
      <c r="CW72" s="16">
        <f t="shared" si="115"/>
        <v>0</v>
      </c>
    </row>
    <row r="73" spans="1:101" x14ac:dyDescent="0.45">
      <c r="A73" s="11" t="s">
        <v>373</v>
      </c>
      <c r="B73" s="11" t="s">
        <v>846</v>
      </c>
      <c r="C73" s="12"/>
      <c r="D73" s="13"/>
      <c r="E73" s="13">
        <v>0</v>
      </c>
      <c r="F73" s="14"/>
      <c r="G73" s="15"/>
      <c r="H73" s="16">
        <f t="shared" si="92"/>
        <v>0</v>
      </c>
      <c r="I73" s="14"/>
      <c r="J73" s="15"/>
      <c r="K73" s="16">
        <f>IFERROR(I73*J73, 0)</f>
        <v>0</v>
      </c>
      <c r="L73" s="14"/>
      <c r="M73" s="15"/>
      <c r="N73" s="16">
        <f t="shared" si="50"/>
        <v>0</v>
      </c>
      <c r="O73" s="14"/>
      <c r="P73" s="15"/>
      <c r="Q73" s="16">
        <f t="shared" si="94"/>
        <v>0</v>
      </c>
      <c r="R73" s="14"/>
      <c r="S73" s="15"/>
      <c r="T73" s="16">
        <f t="shared" si="85"/>
        <v>0</v>
      </c>
      <c r="U73" s="14"/>
      <c r="V73" s="15"/>
      <c r="W73" s="16">
        <f t="shared" si="102"/>
        <v>0</v>
      </c>
      <c r="X73" s="14"/>
      <c r="Y73" s="15"/>
      <c r="Z73" s="16">
        <f t="shared" si="98"/>
        <v>0</v>
      </c>
      <c r="AA73" s="14"/>
      <c r="AB73" s="15"/>
      <c r="AC73" s="16">
        <f t="shared" si="101"/>
        <v>0</v>
      </c>
      <c r="AD73" s="14">
        <v>1</v>
      </c>
      <c r="AE73" s="15">
        <v>17000</v>
      </c>
      <c r="AF73" s="16">
        <v>17000</v>
      </c>
      <c r="AG73" s="14"/>
      <c r="AH73" s="15"/>
      <c r="AI73" s="16">
        <f t="shared" si="95"/>
        <v>0</v>
      </c>
      <c r="AJ73" s="14"/>
      <c r="AK73" s="15"/>
      <c r="AL73" s="16">
        <f t="shared" si="103"/>
        <v>0</v>
      </c>
      <c r="AM73" s="14"/>
      <c r="AN73" s="15"/>
      <c r="AO73" s="16">
        <f t="shared" si="87"/>
        <v>0</v>
      </c>
      <c r="AP73" s="14"/>
      <c r="AQ73" s="15"/>
      <c r="AR73" s="16">
        <f t="shared" si="76"/>
        <v>0</v>
      </c>
      <c r="AS73" s="14"/>
      <c r="AT73" s="15"/>
      <c r="AU73" s="16">
        <f t="shared" si="104"/>
        <v>0</v>
      </c>
      <c r="AV73" s="14"/>
      <c r="AW73" s="15"/>
      <c r="AX73" s="16">
        <f>IFERROR(AV73*AW73, 0)</f>
        <v>0</v>
      </c>
      <c r="AY73" s="14"/>
      <c r="AZ73" s="15"/>
      <c r="BA73" s="16">
        <f t="shared" si="105"/>
        <v>0</v>
      </c>
      <c r="BB73" s="14"/>
      <c r="BC73" s="15"/>
      <c r="BD73" s="16">
        <f t="shared" si="96"/>
        <v>0</v>
      </c>
      <c r="BE73" s="14"/>
      <c r="BF73" s="15"/>
      <c r="BG73" s="16">
        <f t="shared" si="90"/>
        <v>0</v>
      </c>
      <c r="BH73" s="14"/>
      <c r="BI73" s="15"/>
      <c r="BJ73" s="16">
        <f t="shared" si="106"/>
        <v>0</v>
      </c>
      <c r="BK73" s="14"/>
      <c r="BL73" s="15"/>
      <c r="BM73" s="16">
        <f t="shared" si="81"/>
        <v>0</v>
      </c>
      <c r="BN73" s="14"/>
      <c r="BO73" s="15"/>
      <c r="BP73" s="16">
        <f t="shared" si="93"/>
        <v>0</v>
      </c>
      <c r="BQ73" s="14"/>
      <c r="BR73" s="15"/>
      <c r="BS73" s="16">
        <f t="shared" si="73"/>
        <v>0</v>
      </c>
      <c r="BT73" s="14"/>
      <c r="BU73" s="15"/>
      <c r="BV73" s="16">
        <f t="shared" si="97"/>
        <v>0</v>
      </c>
      <c r="BW73" s="14"/>
      <c r="BX73" s="15"/>
      <c r="BY73" s="16">
        <f>IFERROR(BW73*BX73, 0)</f>
        <v>0</v>
      </c>
      <c r="BZ73" s="14"/>
      <c r="CA73" s="15"/>
      <c r="CB73" s="16">
        <f t="shared" si="107"/>
        <v>0</v>
      </c>
      <c r="CC73" s="14"/>
      <c r="CD73" s="15"/>
      <c r="CE73" s="16">
        <f t="shared" si="108"/>
        <v>0</v>
      </c>
      <c r="CF73" s="14"/>
      <c r="CG73" s="15"/>
      <c r="CH73" s="16">
        <f t="shared" si="109"/>
        <v>0</v>
      </c>
      <c r="CI73" s="14"/>
      <c r="CJ73" s="15"/>
      <c r="CK73" s="16">
        <f t="shared" si="74"/>
        <v>0</v>
      </c>
      <c r="CL73" s="14"/>
      <c r="CM73" s="15"/>
      <c r="CN73" s="16">
        <f t="shared" si="110"/>
        <v>0</v>
      </c>
      <c r="CO73" s="14"/>
      <c r="CP73" s="15"/>
      <c r="CQ73" s="16">
        <f t="shared" si="111"/>
        <v>0</v>
      </c>
      <c r="CR73" s="14"/>
      <c r="CS73" s="15"/>
      <c r="CT73" s="16">
        <f t="shared" si="112"/>
        <v>0</v>
      </c>
      <c r="CU73" s="17">
        <f t="shared" si="113"/>
        <v>1</v>
      </c>
      <c r="CV73" s="16">
        <f t="shared" si="114"/>
        <v>17000</v>
      </c>
      <c r="CW73" s="16">
        <f t="shared" si="115"/>
        <v>17000</v>
      </c>
    </row>
    <row r="74" spans="1:101" x14ac:dyDescent="0.45">
      <c r="A74" s="11" t="s">
        <v>190</v>
      </c>
      <c r="B74" s="11" t="s">
        <v>846</v>
      </c>
      <c r="C74" s="12"/>
      <c r="D74" s="13"/>
      <c r="E74" s="13">
        <v>0</v>
      </c>
      <c r="F74" s="14"/>
      <c r="G74" s="15"/>
      <c r="H74" s="16">
        <f t="shared" si="92"/>
        <v>0</v>
      </c>
      <c r="I74" s="14"/>
      <c r="J74" s="15"/>
      <c r="K74" s="16">
        <f>IFERROR(I74*J74, 0)</f>
        <v>0</v>
      </c>
      <c r="L74" s="14"/>
      <c r="M74" s="15"/>
      <c r="N74" s="16">
        <f t="shared" si="50"/>
        <v>0</v>
      </c>
      <c r="O74" s="14">
        <v>5</v>
      </c>
      <c r="P74" s="15">
        <v>48000</v>
      </c>
      <c r="Q74" s="16">
        <v>240000</v>
      </c>
      <c r="R74" s="14"/>
      <c r="S74" s="15"/>
      <c r="T74" s="16">
        <f t="shared" si="85"/>
        <v>0</v>
      </c>
      <c r="U74" s="14"/>
      <c r="V74" s="15"/>
      <c r="W74" s="16">
        <f t="shared" si="102"/>
        <v>0</v>
      </c>
      <c r="X74" s="14"/>
      <c r="Y74" s="15"/>
      <c r="Z74" s="16">
        <f t="shared" si="98"/>
        <v>0</v>
      </c>
      <c r="AA74" s="14"/>
      <c r="AB74" s="15"/>
      <c r="AC74" s="16">
        <f t="shared" si="101"/>
        <v>0</v>
      </c>
      <c r="AD74" s="14"/>
      <c r="AE74" s="15"/>
      <c r="AF74" s="16">
        <f>IFERROR(AD74*AE74, 0)</f>
        <v>0</v>
      </c>
      <c r="AG74" s="14">
        <v>6</v>
      </c>
      <c r="AH74" s="15">
        <v>48000</v>
      </c>
      <c r="AI74" s="16">
        <v>288000</v>
      </c>
      <c r="AJ74" s="14"/>
      <c r="AK74" s="15"/>
      <c r="AL74" s="16">
        <f t="shared" si="103"/>
        <v>0</v>
      </c>
      <c r="AM74" s="14"/>
      <c r="AN74" s="15"/>
      <c r="AO74" s="16">
        <f t="shared" si="87"/>
        <v>0</v>
      </c>
      <c r="AP74" s="14"/>
      <c r="AQ74" s="15"/>
      <c r="AR74" s="16">
        <f t="shared" si="76"/>
        <v>0</v>
      </c>
      <c r="AS74" s="14"/>
      <c r="AT74" s="15"/>
      <c r="AU74" s="16">
        <f t="shared" si="104"/>
        <v>0</v>
      </c>
      <c r="AV74" s="14">
        <v>3</v>
      </c>
      <c r="AW74" s="15">
        <v>48000</v>
      </c>
      <c r="AX74" s="16">
        <v>144000</v>
      </c>
      <c r="AY74" s="14"/>
      <c r="AZ74" s="15"/>
      <c r="BA74" s="16">
        <f t="shared" si="105"/>
        <v>0</v>
      </c>
      <c r="BB74" s="14"/>
      <c r="BC74" s="15"/>
      <c r="BD74" s="16">
        <f t="shared" si="96"/>
        <v>0</v>
      </c>
      <c r="BE74" s="14"/>
      <c r="BF74" s="15"/>
      <c r="BG74" s="16">
        <f t="shared" si="90"/>
        <v>0</v>
      </c>
      <c r="BH74" s="14"/>
      <c r="BI74" s="15"/>
      <c r="BJ74" s="16">
        <f t="shared" si="106"/>
        <v>0</v>
      </c>
      <c r="BK74" s="14">
        <v>5</v>
      </c>
      <c r="BL74" s="15">
        <v>48000</v>
      </c>
      <c r="BM74" s="16">
        <v>240000</v>
      </c>
      <c r="BN74" s="14"/>
      <c r="BO74" s="15"/>
      <c r="BP74" s="16">
        <f t="shared" si="93"/>
        <v>0</v>
      </c>
      <c r="BQ74" s="14"/>
      <c r="BR74" s="15"/>
      <c r="BS74" s="16">
        <f t="shared" si="73"/>
        <v>0</v>
      </c>
      <c r="BT74" s="14"/>
      <c r="BU74" s="15"/>
      <c r="BV74" s="16">
        <f t="shared" si="97"/>
        <v>0</v>
      </c>
      <c r="BW74" s="14"/>
      <c r="BX74" s="15"/>
      <c r="BY74" s="16">
        <f>IFERROR(BW74*BX74, 0)</f>
        <v>0</v>
      </c>
      <c r="BZ74" s="14"/>
      <c r="CA74" s="15"/>
      <c r="CB74" s="16">
        <f t="shared" si="107"/>
        <v>0</v>
      </c>
      <c r="CC74" s="14"/>
      <c r="CD74" s="15"/>
      <c r="CE74" s="16">
        <f t="shared" si="108"/>
        <v>0</v>
      </c>
      <c r="CF74" s="14"/>
      <c r="CG74" s="15"/>
      <c r="CH74" s="16">
        <f t="shared" si="109"/>
        <v>0</v>
      </c>
      <c r="CI74" s="14"/>
      <c r="CJ74" s="15"/>
      <c r="CK74" s="16">
        <f t="shared" si="74"/>
        <v>0</v>
      </c>
      <c r="CL74" s="14"/>
      <c r="CM74" s="15"/>
      <c r="CN74" s="16">
        <f t="shared" si="110"/>
        <v>0</v>
      </c>
      <c r="CO74" s="14"/>
      <c r="CP74" s="15"/>
      <c r="CQ74" s="16">
        <f t="shared" si="111"/>
        <v>0</v>
      </c>
      <c r="CR74" s="14"/>
      <c r="CS74" s="15"/>
      <c r="CT74" s="16">
        <f t="shared" si="112"/>
        <v>0</v>
      </c>
      <c r="CU74" s="17">
        <f t="shared" si="113"/>
        <v>19</v>
      </c>
      <c r="CV74" s="16">
        <f t="shared" si="114"/>
        <v>48000</v>
      </c>
      <c r="CW74" s="16">
        <f t="shared" si="115"/>
        <v>912000</v>
      </c>
    </row>
    <row r="75" spans="1:101" x14ac:dyDescent="0.45">
      <c r="A75" t="s">
        <v>796</v>
      </c>
    </row>
  </sheetData>
  <autoFilter ref="A2:CW74" xr:uid="{00000000-0009-0000-0000-000000000000}">
    <sortState xmlns:xlrd2="http://schemas.microsoft.com/office/spreadsheetml/2017/richdata2" ref="A14:CW74">
      <sortCondition descending="1" ref="A2:A73"/>
    </sortState>
  </autoFilter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Z98"/>
  <sheetViews>
    <sheetView zoomScale="96" zoomScaleNormal="96" workbookViewId="0">
      <pane xSplit="1" topLeftCell="B1" activePane="topRight" state="frozen"/>
      <selection pane="topRight"/>
    </sheetView>
  </sheetViews>
  <sheetFormatPr baseColWidth="10" defaultColWidth="11.453125" defaultRowHeight="15.5" x14ac:dyDescent="0.35"/>
  <cols>
    <col min="1" max="1" width="26.453125" style="23" customWidth="1"/>
    <col min="2" max="2" width="13.81640625" style="23" customWidth="1"/>
    <col min="3" max="3" width="16.1796875" style="23" customWidth="1"/>
    <col min="4" max="4" width="11.7265625" style="23" customWidth="1"/>
    <col min="5" max="5" width="12" style="23" customWidth="1"/>
    <col min="6" max="6" width="12.7265625" style="23" customWidth="1"/>
    <col min="7" max="7" width="16" style="23" customWidth="1"/>
    <col min="8" max="8" width="16.7265625" style="23" customWidth="1"/>
    <col min="9" max="9" width="12.7265625" style="23" customWidth="1"/>
    <col min="10" max="10" width="16" style="23" customWidth="1"/>
    <col min="11" max="11" width="16.7265625" style="23" customWidth="1"/>
    <col min="12" max="12" width="12.7265625" style="23" customWidth="1"/>
    <col min="13" max="13" width="16" style="23" customWidth="1"/>
    <col min="14" max="14" width="16.7265625" style="23" customWidth="1"/>
    <col min="15" max="15" width="12.7265625" style="23" customWidth="1"/>
    <col min="16" max="16" width="16" style="23" customWidth="1"/>
    <col min="17" max="17" width="16.7265625" style="23" customWidth="1"/>
    <col min="18" max="18" width="12.7265625" style="23" customWidth="1"/>
    <col min="19" max="19" width="12" style="23" customWidth="1"/>
    <col min="20" max="20" width="16.7265625" style="23" customWidth="1"/>
    <col min="21" max="21" width="12.7265625" style="23" customWidth="1"/>
    <col min="22" max="22" width="16" style="23" customWidth="1"/>
    <col min="23" max="23" width="16.7265625" style="23" customWidth="1"/>
    <col min="24" max="24" width="12.7265625" style="23" customWidth="1"/>
    <col min="25" max="25" width="16" style="23" customWidth="1"/>
    <col min="26" max="26" width="16.7265625" style="23" customWidth="1"/>
    <col min="27" max="27" width="12.7265625" style="23" customWidth="1"/>
    <col min="28" max="28" width="16" style="23" customWidth="1"/>
    <col min="29" max="29" width="16.7265625" style="23" customWidth="1"/>
    <col min="30" max="30" width="12.7265625" style="23" customWidth="1"/>
    <col min="31" max="31" width="16" style="23" customWidth="1"/>
    <col min="32" max="32" width="16.7265625" style="23" customWidth="1"/>
    <col min="33" max="33" width="12.7265625" style="23" customWidth="1"/>
    <col min="34" max="34" width="16" style="23" customWidth="1"/>
    <col min="35" max="35" width="16.7265625" style="23" customWidth="1"/>
    <col min="36" max="36" width="12.7265625" style="23" customWidth="1"/>
    <col min="37" max="37" width="16" style="23" customWidth="1"/>
    <col min="38" max="38" width="16.7265625" style="23" customWidth="1"/>
    <col min="39" max="39" width="12.7265625" style="23" customWidth="1"/>
    <col min="40" max="40" width="16" style="23" customWidth="1"/>
    <col min="41" max="41" width="16.7265625" style="23" customWidth="1"/>
    <col min="42" max="42" width="12.7265625" style="23" customWidth="1"/>
    <col min="43" max="43" width="12" style="23" customWidth="1"/>
    <col min="44" max="44" width="16.7265625" style="23" customWidth="1"/>
    <col min="45" max="45" width="12.7265625" style="23" customWidth="1"/>
    <col min="46" max="46" width="16" style="23" customWidth="1"/>
    <col min="47" max="47" width="16.7265625" style="23" customWidth="1"/>
    <col min="48" max="48" width="12.7265625" style="23" customWidth="1"/>
    <col min="49" max="49" width="16" style="23" customWidth="1"/>
    <col min="50" max="50" width="16.7265625" style="23" customWidth="1"/>
    <col min="51" max="51" width="12.7265625" style="23" customWidth="1"/>
    <col min="52" max="52" width="16" style="23" customWidth="1"/>
    <col min="53" max="53" width="16.7265625" style="23" customWidth="1"/>
    <col min="54" max="54" width="12.7265625" style="23" customWidth="1"/>
    <col min="55" max="55" width="16" style="23" customWidth="1"/>
    <col min="56" max="56" width="16.7265625" style="23" customWidth="1"/>
    <col min="57" max="57" width="12.7265625" style="24" customWidth="1"/>
    <col min="58" max="58" width="16" style="23" customWidth="1"/>
    <col min="59" max="59" width="16.7265625" style="23" customWidth="1"/>
    <col min="60" max="60" width="12.7265625" style="23" customWidth="1"/>
    <col min="61" max="61" width="16" style="23" customWidth="1"/>
    <col min="62" max="62" width="16.7265625" style="23" customWidth="1"/>
    <col min="63" max="63" width="12.7265625" style="23" customWidth="1"/>
    <col min="64" max="64" width="16" style="23" customWidth="1"/>
    <col min="65" max="65" width="16.7265625" style="23" customWidth="1"/>
    <col min="66" max="66" width="12.7265625" style="23" customWidth="1"/>
    <col min="67" max="67" width="12" style="23" customWidth="1"/>
    <col min="68" max="68" width="16.7265625" style="23" customWidth="1"/>
    <col min="69" max="69" width="12.7265625" style="23" customWidth="1"/>
    <col min="70" max="70" width="16" style="23" customWidth="1"/>
    <col min="71" max="71" width="16.7265625" style="23" customWidth="1"/>
    <col min="72" max="72" width="12.7265625" style="23" customWidth="1"/>
    <col min="73" max="73" width="16" style="23" customWidth="1"/>
    <col min="74" max="74" width="16.7265625" style="23" customWidth="1"/>
    <col min="75" max="75" width="12.7265625" style="23" customWidth="1"/>
    <col min="76" max="76" width="16" style="23" customWidth="1"/>
    <col min="77" max="77" width="16.7265625" style="23" customWidth="1"/>
    <col min="78" max="78" width="12.7265625" style="23" customWidth="1"/>
    <col min="79" max="79" width="16" style="23" customWidth="1"/>
    <col min="80" max="80" width="16.7265625" style="23" customWidth="1"/>
    <col min="81" max="81" width="12.7265625" style="23" customWidth="1"/>
    <col min="82" max="82" width="16" style="23" customWidth="1"/>
    <col min="83" max="83" width="16.7265625" style="23" customWidth="1"/>
    <col min="84" max="84" width="12.7265625" style="23" customWidth="1"/>
    <col min="85" max="85" width="16" style="23" customWidth="1"/>
    <col min="86" max="86" width="16.7265625" style="23" customWidth="1"/>
    <col min="87" max="87" width="12.7265625" style="23" customWidth="1"/>
    <col min="88" max="88" width="16" style="23" customWidth="1"/>
    <col min="89" max="89" width="16.7265625" style="23" customWidth="1"/>
    <col min="90" max="90" width="12.7265625" style="23" customWidth="1"/>
    <col min="91" max="91" width="14.54296875" style="23" customWidth="1"/>
    <col min="92" max="92" width="16.7265625" style="23" customWidth="1"/>
    <col min="93" max="93" width="12.7265625" style="23" customWidth="1"/>
    <col min="94" max="94" width="16" style="23" customWidth="1"/>
    <col min="95" max="95" width="16.7265625" style="23" customWidth="1"/>
    <col min="96" max="96" width="12.7265625" style="23" customWidth="1"/>
    <col min="97" max="97" width="16" style="23" customWidth="1"/>
    <col min="98" max="98" width="16.7265625" style="23" customWidth="1"/>
    <col min="99" max="99" width="12.7265625" style="23" customWidth="1"/>
    <col min="100" max="100" width="16" style="23" customWidth="1"/>
    <col min="101" max="101" width="16.7265625" style="23" customWidth="1"/>
    <col min="102" max="102" width="11.81640625" style="23" customWidth="1"/>
    <col min="103" max="103" width="15.81640625" style="23" customWidth="1"/>
    <col min="104" max="104" width="19.81640625" style="24" customWidth="1"/>
    <col min="105" max="114" width="11.453125" style="23" customWidth="1"/>
    <col min="115" max="16384" width="11.453125" style="23"/>
  </cols>
  <sheetData>
    <row r="1" spans="1:101" ht="18.75" customHeight="1" x14ac:dyDescent="0.35">
      <c r="A1" s="94" t="s">
        <v>18</v>
      </c>
      <c r="B1" s="25"/>
      <c r="C1" s="25"/>
      <c r="D1" s="25"/>
      <c r="E1" s="25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7" t="s">
        <v>828</v>
      </c>
      <c r="CV1" s="154"/>
      <c r="CW1" s="155"/>
    </row>
    <row r="2" spans="1:101" ht="16.5" customHeight="1" x14ac:dyDescent="0.35">
      <c r="A2" s="26" t="s">
        <v>829</v>
      </c>
      <c r="B2" s="26" t="s">
        <v>870</v>
      </c>
      <c r="C2" s="26" t="s">
        <v>871</v>
      </c>
      <c r="D2" s="26" t="s">
        <v>872</v>
      </c>
      <c r="E2" s="26" t="s">
        <v>832</v>
      </c>
      <c r="F2" s="94" t="s">
        <v>833</v>
      </c>
      <c r="G2" s="94" t="s">
        <v>834</v>
      </c>
      <c r="H2" s="94" t="s">
        <v>835</v>
      </c>
      <c r="I2" s="94" t="s">
        <v>833</v>
      </c>
      <c r="J2" s="94" t="s">
        <v>834</v>
      </c>
      <c r="K2" s="94" t="s">
        <v>835</v>
      </c>
      <c r="L2" s="94" t="s">
        <v>833</v>
      </c>
      <c r="M2" s="94" t="s">
        <v>834</v>
      </c>
      <c r="N2" s="94" t="s">
        <v>835</v>
      </c>
      <c r="O2" s="94" t="s">
        <v>833</v>
      </c>
      <c r="P2" s="94" t="s">
        <v>834</v>
      </c>
      <c r="Q2" s="94" t="s">
        <v>835</v>
      </c>
      <c r="R2" s="94" t="s">
        <v>833</v>
      </c>
      <c r="S2" s="94" t="s">
        <v>836</v>
      </c>
      <c r="T2" s="94" t="s">
        <v>835</v>
      </c>
      <c r="U2" s="94" t="s">
        <v>833</v>
      </c>
      <c r="V2" s="94" t="s">
        <v>834</v>
      </c>
      <c r="W2" s="94" t="s">
        <v>835</v>
      </c>
      <c r="X2" s="94" t="s">
        <v>833</v>
      </c>
      <c r="Y2" s="94" t="s">
        <v>834</v>
      </c>
      <c r="Z2" s="94" t="s">
        <v>835</v>
      </c>
      <c r="AA2" s="94" t="s">
        <v>833</v>
      </c>
      <c r="AB2" s="94" t="s">
        <v>834</v>
      </c>
      <c r="AC2" s="94" t="s">
        <v>835</v>
      </c>
      <c r="AD2" s="94" t="s">
        <v>833</v>
      </c>
      <c r="AE2" s="94" t="s">
        <v>834</v>
      </c>
      <c r="AF2" s="94" t="s">
        <v>835</v>
      </c>
      <c r="AG2" s="94" t="s">
        <v>833</v>
      </c>
      <c r="AH2" s="94" t="s">
        <v>834</v>
      </c>
      <c r="AI2" s="94" t="s">
        <v>835</v>
      </c>
      <c r="AJ2" s="94" t="s">
        <v>833</v>
      </c>
      <c r="AK2" s="94" t="s">
        <v>834</v>
      </c>
      <c r="AL2" s="94" t="s">
        <v>835</v>
      </c>
      <c r="AM2" s="94" t="s">
        <v>833</v>
      </c>
      <c r="AN2" s="94" t="s">
        <v>834</v>
      </c>
      <c r="AO2" s="94" t="s">
        <v>835</v>
      </c>
      <c r="AP2" s="94" t="s">
        <v>833</v>
      </c>
      <c r="AQ2" s="94" t="s">
        <v>836</v>
      </c>
      <c r="AR2" s="94" t="s">
        <v>835</v>
      </c>
      <c r="AS2" s="94" t="s">
        <v>833</v>
      </c>
      <c r="AT2" s="94" t="s">
        <v>834</v>
      </c>
      <c r="AU2" s="94" t="s">
        <v>835</v>
      </c>
      <c r="AV2" s="94" t="s">
        <v>833</v>
      </c>
      <c r="AW2" s="94" t="s">
        <v>834</v>
      </c>
      <c r="AX2" s="94" t="s">
        <v>835</v>
      </c>
      <c r="AY2" s="94" t="s">
        <v>833</v>
      </c>
      <c r="AZ2" s="94" t="s">
        <v>834</v>
      </c>
      <c r="BA2" s="94" t="s">
        <v>835</v>
      </c>
      <c r="BB2" s="27" t="s">
        <v>833</v>
      </c>
      <c r="BC2" s="94" t="s">
        <v>834</v>
      </c>
      <c r="BD2" s="94" t="s">
        <v>835</v>
      </c>
      <c r="BE2" s="94" t="s">
        <v>833</v>
      </c>
      <c r="BF2" s="94" t="s">
        <v>834</v>
      </c>
      <c r="BG2" s="94" t="s">
        <v>835</v>
      </c>
      <c r="BH2" s="94" t="s">
        <v>833</v>
      </c>
      <c r="BI2" s="94" t="s">
        <v>834</v>
      </c>
      <c r="BJ2" s="94" t="s">
        <v>835</v>
      </c>
      <c r="BK2" s="94" t="s">
        <v>833</v>
      </c>
      <c r="BL2" s="94" t="s">
        <v>834</v>
      </c>
      <c r="BM2" s="94" t="s">
        <v>835</v>
      </c>
      <c r="BN2" s="94" t="s">
        <v>833</v>
      </c>
      <c r="BO2" s="94" t="s">
        <v>836</v>
      </c>
      <c r="BP2" s="94" t="s">
        <v>835</v>
      </c>
      <c r="BQ2" s="94" t="s">
        <v>833</v>
      </c>
      <c r="BR2" s="94" t="s">
        <v>834</v>
      </c>
      <c r="BS2" s="94" t="s">
        <v>835</v>
      </c>
      <c r="BT2" s="94" t="s">
        <v>833</v>
      </c>
      <c r="BU2" s="94" t="s">
        <v>834</v>
      </c>
      <c r="BV2" s="94" t="s">
        <v>835</v>
      </c>
      <c r="BW2" s="94" t="s">
        <v>833</v>
      </c>
      <c r="BX2" s="94" t="s">
        <v>834</v>
      </c>
      <c r="BY2" s="94" t="s">
        <v>835</v>
      </c>
      <c r="BZ2" s="94" t="s">
        <v>833</v>
      </c>
      <c r="CA2" s="94" t="s">
        <v>834</v>
      </c>
      <c r="CB2" s="94" t="s">
        <v>835</v>
      </c>
      <c r="CC2" s="94" t="s">
        <v>833</v>
      </c>
      <c r="CD2" s="94" t="s">
        <v>834</v>
      </c>
      <c r="CE2" s="94" t="s">
        <v>835</v>
      </c>
      <c r="CF2" s="94" t="s">
        <v>833</v>
      </c>
      <c r="CG2" s="94" t="s">
        <v>834</v>
      </c>
      <c r="CH2" s="94" t="s">
        <v>835</v>
      </c>
      <c r="CI2" s="94" t="s">
        <v>833</v>
      </c>
      <c r="CJ2" s="94" t="s">
        <v>834</v>
      </c>
      <c r="CK2" s="94" t="s">
        <v>835</v>
      </c>
      <c r="CL2" s="94" t="s">
        <v>833</v>
      </c>
      <c r="CM2" s="94" t="s">
        <v>836</v>
      </c>
      <c r="CN2" s="94" t="s">
        <v>835</v>
      </c>
      <c r="CO2" s="94" t="s">
        <v>833</v>
      </c>
      <c r="CP2" s="94" t="s">
        <v>834</v>
      </c>
      <c r="CQ2" s="94" t="s">
        <v>835</v>
      </c>
      <c r="CR2" s="94" t="s">
        <v>833</v>
      </c>
      <c r="CS2" s="94" t="s">
        <v>834</v>
      </c>
      <c r="CT2" s="94" t="s">
        <v>835</v>
      </c>
      <c r="CU2" s="94" t="s">
        <v>833</v>
      </c>
      <c r="CV2" s="94" t="s">
        <v>834</v>
      </c>
      <c r="CW2" s="27" t="s">
        <v>835</v>
      </c>
    </row>
    <row r="3" spans="1:101" ht="15.75" customHeight="1" x14ac:dyDescent="0.35">
      <c r="A3" s="28" t="s">
        <v>873</v>
      </c>
      <c r="B3" s="28" t="s">
        <v>837</v>
      </c>
      <c r="C3" s="29"/>
      <c r="D3" s="30"/>
      <c r="E3" s="30"/>
      <c r="F3" s="31"/>
      <c r="G3" s="32"/>
      <c r="H3" s="30">
        <f t="shared" ref="H3:H40" si="0">IFERROR(F3*G3, 0)</f>
        <v>0</v>
      </c>
      <c r="I3" s="31"/>
      <c r="J3" s="32"/>
      <c r="K3" s="30">
        <f t="shared" ref="K3:K10" si="1">IFERROR(I3*J3, 0)</f>
        <v>0</v>
      </c>
      <c r="L3" s="31"/>
      <c r="M3" s="32"/>
      <c r="N3" s="30">
        <f t="shared" ref="N3:N21" si="2">IFERROR(L3*M3, 0)</f>
        <v>0</v>
      </c>
      <c r="O3" s="31"/>
      <c r="P3" s="32"/>
      <c r="Q3" s="30">
        <f t="shared" ref="Q3:Q36" si="3">IFERROR(O3*P3, 0)</f>
        <v>0</v>
      </c>
      <c r="R3" s="31"/>
      <c r="S3" s="32"/>
      <c r="T3" s="30">
        <f t="shared" ref="T3:T34" si="4">IFERROR(R3*S3, 0)</f>
        <v>0</v>
      </c>
      <c r="U3" s="31"/>
      <c r="V3" s="32"/>
      <c r="W3" s="30">
        <f t="shared" ref="W3:W35" si="5">IFERROR(U3*V3, 0)</f>
        <v>0</v>
      </c>
      <c r="X3" s="31"/>
      <c r="Y3" s="32"/>
      <c r="Z3" s="30">
        <f t="shared" ref="Z3:Z11" si="6">IFERROR(X3*Y3, 0)</f>
        <v>0</v>
      </c>
      <c r="AA3" s="31"/>
      <c r="AB3" s="32"/>
      <c r="AC3" s="30">
        <f t="shared" ref="AC3:AC34" si="7">IFERROR(AA3*AB3, 0)</f>
        <v>0</v>
      </c>
      <c r="AD3" s="31"/>
      <c r="AE3" s="32"/>
      <c r="AF3" s="30">
        <f t="shared" ref="AF3:AF49" si="8">IFERROR(AD3*AE3, 0)</f>
        <v>0</v>
      </c>
      <c r="AG3" s="31"/>
      <c r="AH3" s="32"/>
      <c r="AI3" s="30">
        <f t="shared" ref="AI3:AI36" si="9">IFERROR(AG3*AH3, 0)</f>
        <v>0</v>
      </c>
      <c r="AJ3" s="31"/>
      <c r="AK3" s="32"/>
      <c r="AL3" s="30">
        <f t="shared" ref="AL3:AL34" si="10">IFERROR(AJ3*AK3, 0)</f>
        <v>0</v>
      </c>
      <c r="AM3" s="31"/>
      <c r="AN3" s="32"/>
      <c r="AO3" s="30">
        <f t="shared" ref="AO3:AO34" si="11">IFERROR(AM3*AN3, 0)</f>
        <v>0</v>
      </c>
      <c r="AP3" s="31"/>
      <c r="AQ3" s="32"/>
      <c r="AR3" s="30">
        <f>IFERROR(AP3*AQ3, 0)</f>
        <v>0</v>
      </c>
      <c r="AS3" s="31"/>
      <c r="AT3" s="32"/>
      <c r="AU3" s="30">
        <f>IFERROR(AS3*AT3, 0)</f>
        <v>0</v>
      </c>
      <c r="AV3" s="31"/>
      <c r="AW3" s="32"/>
      <c r="AX3" s="30">
        <f t="shared" ref="AX3:AX36" si="12">IFERROR(AV3*AW3, 0)</f>
        <v>0</v>
      </c>
      <c r="AY3" s="31"/>
      <c r="AZ3" s="32"/>
      <c r="BA3" s="30">
        <f t="shared" ref="BA3:BA34" si="13">IFERROR(AY3*AZ3, 0)</f>
        <v>0</v>
      </c>
      <c r="BB3" s="31"/>
      <c r="BC3" s="32"/>
      <c r="BD3" s="30">
        <f t="shared" ref="BD3:BD36" si="14">IFERROR(BB3*BC3, 0)</f>
        <v>0</v>
      </c>
      <c r="BE3" s="31"/>
      <c r="BF3" s="32"/>
      <c r="BG3" s="30">
        <f t="shared" ref="BG3:BG34" si="15">IFERROR(BE3*BF3, 0)</f>
        <v>0</v>
      </c>
      <c r="BH3" s="31"/>
      <c r="BI3" s="32"/>
      <c r="BJ3" s="30">
        <f t="shared" ref="BJ3:BJ34" si="16">IFERROR(BH3*BI3, 0)</f>
        <v>0</v>
      </c>
      <c r="BK3" s="31"/>
      <c r="BL3" s="32"/>
      <c r="BM3" s="30">
        <f t="shared" ref="BM3:BM21" si="17">IFERROR(BK3*BL3, 0)</f>
        <v>0</v>
      </c>
      <c r="BN3" s="31"/>
      <c r="BO3" s="32"/>
      <c r="BP3" s="30">
        <f>IFERROR(BN3*BO3, 0)</f>
        <v>0</v>
      </c>
      <c r="BQ3" s="31"/>
      <c r="BR3" s="32"/>
      <c r="BS3" s="30">
        <f t="shared" ref="BS3:BS12" si="18">IFERROR(BQ3*BR3, 0)</f>
        <v>0</v>
      </c>
      <c r="BT3" s="31"/>
      <c r="BU3" s="32"/>
      <c r="BV3" s="30">
        <f t="shared" ref="BV3:BV34" si="19">IFERROR(BT3*BU3, 0)</f>
        <v>0</v>
      </c>
      <c r="BW3" s="31"/>
      <c r="BX3" s="32"/>
      <c r="BY3" s="30">
        <f t="shared" ref="BY3:BY24" si="20">IFERROR(BW3*BX3, 0)</f>
        <v>0</v>
      </c>
      <c r="BZ3" s="31"/>
      <c r="CA3" s="32"/>
      <c r="CB3" s="30">
        <f t="shared" ref="CB3:CB34" si="21">IFERROR(BZ3*CA3, 0)</f>
        <v>0</v>
      </c>
      <c r="CC3" s="31"/>
      <c r="CD3" s="32"/>
      <c r="CE3" s="30">
        <f t="shared" ref="CE3:CE34" si="22">IFERROR(CC3*CD3, 0)</f>
        <v>0</v>
      </c>
      <c r="CF3" s="31"/>
      <c r="CG3" s="32"/>
      <c r="CH3" s="30">
        <f t="shared" ref="CH3:CH34" si="23">IFERROR(CF3*CG3, 0)</f>
        <v>0</v>
      </c>
      <c r="CI3" s="31"/>
      <c r="CJ3" s="32"/>
      <c r="CK3" s="30">
        <f t="shared" ref="CK3:CK34" si="24">IFERROR(CI3*CJ3, 0)</f>
        <v>0</v>
      </c>
      <c r="CL3" s="31"/>
      <c r="CM3" s="32"/>
      <c r="CN3" s="30">
        <f t="shared" ref="CN3:CN34" si="25">IFERROR(CL3*CM3, 0)</f>
        <v>0</v>
      </c>
      <c r="CO3" s="31"/>
      <c r="CP3" s="32"/>
      <c r="CQ3" s="30">
        <f t="shared" ref="CQ3:CQ34" si="26">IFERROR(CO3*CP3, 0)</f>
        <v>0</v>
      </c>
      <c r="CR3" s="31"/>
      <c r="CS3" s="32"/>
      <c r="CT3" s="30">
        <f t="shared" ref="CT3:CT34" si="27">IFERROR(CR3*CS3, 0)</f>
        <v>0</v>
      </c>
      <c r="CU3" s="33">
        <f t="shared" ref="CU3:CU34" si="28">IFERROR(SUM(F3,I3,L3,O3,R3,U3,X3,AA3,AD3,AG3,AJ3,AM3,AP3,AS3,AV3,AY3,BB3,BE3,BH3,BK3,BN3,BQ3,BT3,BW3,BZ3,CC3,CF3,CI3,CL3,CO3,CR3), 0)</f>
        <v>0</v>
      </c>
      <c r="CV3" s="30">
        <f t="shared" ref="CV3:CV34" si="29">IFERROR(AVERAGE(G3,J3,M3,P3,S3,V3,Y3,AB3,AE3,AH3,AK3,AN3,AQ3,AT3,AW3,AZ3,BC3,BF3,BI3,BL3,BO3,BR3,BU3,BX3,CA3,CD3,CG3,CJ3,CM3,CP3,CS3), 0)</f>
        <v>0</v>
      </c>
      <c r="CW3" s="30">
        <f t="shared" ref="CW3:CW34" si="30">CU3*CV3</f>
        <v>0</v>
      </c>
    </row>
    <row r="4" spans="1:101" ht="15.75" customHeight="1" x14ac:dyDescent="0.35">
      <c r="A4" s="28" t="s">
        <v>482</v>
      </c>
      <c r="B4" s="28" t="s">
        <v>837</v>
      </c>
      <c r="C4" s="29"/>
      <c r="D4" s="30"/>
      <c r="E4" s="30"/>
      <c r="F4" s="31"/>
      <c r="G4" s="32"/>
      <c r="H4" s="30">
        <f t="shared" si="0"/>
        <v>0</v>
      </c>
      <c r="I4" s="31"/>
      <c r="J4" s="32"/>
      <c r="K4" s="30">
        <f t="shared" si="1"/>
        <v>0</v>
      </c>
      <c r="L4" s="31"/>
      <c r="M4" s="32"/>
      <c r="N4" s="30">
        <f t="shared" si="2"/>
        <v>0</v>
      </c>
      <c r="O4" s="31"/>
      <c r="P4" s="32"/>
      <c r="Q4" s="30">
        <f t="shared" si="3"/>
        <v>0</v>
      </c>
      <c r="R4" s="31"/>
      <c r="S4" s="32"/>
      <c r="T4" s="30">
        <f t="shared" si="4"/>
        <v>0</v>
      </c>
      <c r="U4" s="31"/>
      <c r="V4" s="32"/>
      <c r="W4" s="30">
        <f t="shared" si="5"/>
        <v>0</v>
      </c>
      <c r="X4" s="31"/>
      <c r="Y4" s="32"/>
      <c r="Z4" s="30">
        <f t="shared" si="6"/>
        <v>0</v>
      </c>
      <c r="AA4" s="31"/>
      <c r="AB4" s="32"/>
      <c r="AC4" s="30">
        <f t="shared" si="7"/>
        <v>0</v>
      </c>
      <c r="AD4" s="31"/>
      <c r="AE4" s="32"/>
      <c r="AF4" s="30">
        <f t="shared" si="8"/>
        <v>0</v>
      </c>
      <c r="AG4" s="31"/>
      <c r="AH4" s="32"/>
      <c r="AI4" s="30">
        <f t="shared" si="9"/>
        <v>0</v>
      </c>
      <c r="AJ4" s="31"/>
      <c r="AK4" s="32"/>
      <c r="AL4" s="30">
        <f t="shared" si="10"/>
        <v>0</v>
      </c>
      <c r="AM4" s="31"/>
      <c r="AN4" s="32"/>
      <c r="AO4" s="30">
        <f t="shared" si="11"/>
        <v>0</v>
      </c>
      <c r="AP4" s="31">
        <v>16.5</v>
      </c>
      <c r="AQ4" s="32">
        <v>2800</v>
      </c>
      <c r="AR4" s="30">
        <v>44460</v>
      </c>
      <c r="AS4" s="31">
        <v>9.1</v>
      </c>
      <c r="AT4" s="32">
        <v>2000</v>
      </c>
      <c r="AU4" s="30">
        <v>18200</v>
      </c>
      <c r="AV4" s="31"/>
      <c r="AW4" s="32"/>
      <c r="AX4" s="30">
        <f t="shared" si="12"/>
        <v>0</v>
      </c>
      <c r="AY4" s="31"/>
      <c r="AZ4" s="32"/>
      <c r="BA4" s="30">
        <f t="shared" si="13"/>
        <v>0</v>
      </c>
      <c r="BB4" s="31"/>
      <c r="BC4" s="32"/>
      <c r="BD4" s="30">
        <f t="shared" si="14"/>
        <v>0</v>
      </c>
      <c r="BE4" s="31"/>
      <c r="BF4" s="32"/>
      <c r="BG4" s="30">
        <f t="shared" si="15"/>
        <v>0</v>
      </c>
      <c r="BH4" s="31"/>
      <c r="BI4" s="32"/>
      <c r="BJ4" s="30">
        <f t="shared" si="16"/>
        <v>0</v>
      </c>
      <c r="BK4" s="31"/>
      <c r="BL4" s="32"/>
      <c r="BM4" s="30">
        <f t="shared" si="17"/>
        <v>0</v>
      </c>
      <c r="BN4" s="31">
        <v>15.2</v>
      </c>
      <c r="BO4" s="32">
        <v>2000</v>
      </c>
      <c r="BP4" s="30">
        <v>36700</v>
      </c>
      <c r="BQ4" s="31"/>
      <c r="BR4" s="32"/>
      <c r="BS4" s="30">
        <f t="shared" si="18"/>
        <v>0</v>
      </c>
      <c r="BT4" s="31"/>
      <c r="BU4" s="32"/>
      <c r="BV4" s="30">
        <f t="shared" si="19"/>
        <v>0</v>
      </c>
      <c r="BW4" s="31"/>
      <c r="BX4" s="32"/>
      <c r="BY4" s="30">
        <f t="shared" si="20"/>
        <v>0</v>
      </c>
      <c r="BZ4" s="31"/>
      <c r="CA4" s="32"/>
      <c r="CB4" s="30">
        <f t="shared" si="21"/>
        <v>0</v>
      </c>
      <c r="CC4" s="31"/>
      <c r="CD4" s="32"/>
      <c r="CE4" s="30">
        <f t="shared" si="22"/>
        <v>0</v>
      </c>
      <c r="CF4" s="31"/>
      <c r="CG4" s="32"/>
      <c r="CH4" s="30">
        <f t="shared" si="23"/>
        <v>0</v>
      </c>
      <c r="CI4" s="31"/>
      <c r="CJ4" s="32"/>
      <c r="CK4" s="30">
        <f t="shared" si="24"/>
        <v>0</v>
      </c>
      <c r="CL4" s="31"/>
      <c r="CM4" s="32"/>
      <c r="CN4" s="30">
        <f t="shared" si="25"/>
        <v>0</v>
      </c>
      <c r="CO4" s="31"/>
      <c r="CP4" s="32"/>
      <c r="CQ4" s="30">
        <f t="shared" si="26"/>
        <v>0</v>
      </c>
      <c r="CR4" s="31"/>
      <c r="CS4" s="32"/>
      <c r="CT4" s="30">
        <f t="shared" si="27"/>
        <v>0</v>
      </c>
      <c r="CU4" s="33">
        <f t="shared" si="28"/>
        <v>40.799999999999997</v>
      </c>
      <c r="CV4" s="30">
        <f t="shared" si="29"/>
        <v>2266.6666666666665</v>
      </c>
      <c r="CW4" s="30">
        <f t="shared" si="30"/>
        <v>92479.999999999985</v>
      </c>
    </row>
    <row r="5" spans="1:101" ht="15.75" customHeight="1" x14ac:dyDescent="0.35">
      <c r="A5" s="28" t="s">
        <v>874</v>
      </c>
      <c r="B5" s="28" t="s">
        <v>837</v>
      </c>
      <c r="C5" s="29"/>
      <c r="D5" s="30"/>
      <c r="E5" s="30"/>
      <c r="F5" s="31"/>
      <c r="G5" s="32"/>
      <c r="H5" s="30">
        <f t="shared" si="0"/>
        <v>0</v>
      </c>
      <c r="I5" s="31"/>
      <c r="J5" s="32"/>
      <c r="K5" s="30">
        <f t="shared" si="1"/>
        <v>0</v>
      </c>
      <c r="L5" s="31"/>
      <c r="M5" s="32"/>
      <c r="N5" s="30">
        <f t="shared" si="2"/>
        <v>0</v>
      </c>
      <c r="O5" s="31"/>
      <c r="P5" s="32"/>
      <c r="Q5" s="30">
        <f t="shared" si="3"/>
        <v>0</v>
      </c>
      <c r="R5" s="31"/>
      <c r="S5" s="32"/>
      <c r="T5" s="30">
        <f t="shared" si="4"/>
        <v>0</v>
      </c>
      <c r="U5" s="31"/>
      <c r="V5" s="32"/>
      <c r="W5" s="30">
        <f t="shared" si="5"/>
        <v>0</v>
      </c>
      <c r="X5" s="31"/>
      <c r="Y5" s="32"/>
      <c r="Z5" s="30">
        <f t="shared" si="6"/>
        <v>0</v>
      </c>
      <c r="AA5" s="31"/>
      <c r="AB5" s="32"/>
      <c r="AC5" s="30">
        <f t="shared" si="7"/>
        <v>0</v>
      </c>
      <c r="AD5" s="31"/>
      <c r="AE5" s="32"/>
      <c r="AF5" s="30">
        <f t="shared" si="8"/>
        <v>0</v>
      </c>
      <c r="AG5" s="31"/>
      <c r="AH5" s="32"/>
      <c r="AI5" s="30">
        <f t="shared" si="9"/>
        <v>0</v>
      </c>
      <c r="AJ5" s="31"/>
      <c r="AK5" s="32"/>
      <c r="AL5" s="30">
        <f t="shared" si="10"/>
        <v>0</v>
      </c>
      <c r="AM5" s="31"/>
      <c r="AN5" s="32"/>
      <c r="AO5" s="30">
        <f t="shared" si="11"/>
        <v>0</v>
      </c>
      <c r="AP5" s="31"/>
      <c r="AQ5" s="32"/>
      <c r="AR5" s="30">
        <f>IFERROR(AP5*AQ5, 0)</f>
        <v>0</v>
      </c>
      <c r="AS5" s="31"/>
      <c r="AT5" s="32"/>
      <c r="AU5" s="30">
        <f>IFERROR(AS5*AT5, 0)</f>
        <v>0</v>
      </c>
      <c r="AV5" s="31"/>
      <c r="AW5" s="32"/>
      <c r="AX5" s="30">
        <f t="shared" si="12"/>
        <v>0</v>
      </c>
      <c r="AY5" s="31"/>
      <c r="AZ5" s="32"/>
      <c r="BA5" s="30">
        <f t="shared" si="13"/>
        <v>0</v>
      </c>
      <c r="BB5" s="31"/>
      <c r="BC5" s="32"/>
      <c r="BD5" s="30">
        <f t="shared" si="14"/>
        <v>0</v>
      </c>
      <c r="BE5" s="31"/>
      <c r="BF5" s="32"/>
      <c r="BG5" s="30">
        <f t="shared" si="15"/>
        <v>0</v>
      </c>
      <c r="BH5" s="31"/>
      <c r="BI5" s="32"/>
      <c r="BJ5" s="30">
        <f t="shared" si="16"/>
        <v>0</v>
      </c>
      <c r="BK5" s="31"/>
      <c r="BL5" s="32"/>
      <c r="BM5" s="30">
        <f t="shared" si="17"/>
        <v>0</v>
      </c>
      <c r="BN5" s="31"/>
      <c r="BO5" s="32"/>
      <c r="BP5" s="30">
        <f t="shared" ref="BP5:BP10" si="31">IFERROR(BN5*BO5, 0)</f>
        <v>0</v>
      </c>
      <c r="BQ5" s="31"/>
      <c r="BR5" s="32"/>
      <c r="BS5" s="30">
        <f t="shared" si="18"/>
        <v>0</v>
      </c>
      <c r="BT5" s="31"/>
      <c r="BU5" s="32"/>
      <c r="BV5" s="30">
        <f t="shared" si="19"/>
        <v>0</v>
      </c>
      <c r="BW5" s="31"/>
      <c r="BX5" s="32"/>
      <c r="BY5" s="30">
        <f t="shared" si="20"/>
        <v>0</v>
      </c>
      <c r="BZ5" s="31"/>
      <c r="CA5" s="32"/>
      <c r="CB5" s="30">
        <f t="shared" si="21"/>
        <v>0</v>
      </c>
      <c r="CC5" s="31"/>
      <c r="CD5" s="32"/>
      <c r="CE5" s="30">
        <f t="shared" si="22"/>
        <v>0</v>
      </c>
      <c r="CF5" s="31"/>
      <c r="CG5" s="32"/>
      <c r="CH5" s="30">
        <f t="shared" si="23"/>
        <v>0</v>
      </c>
      <c r="CI5" s="31"/>
      <c r="CJ5" s="32"/>
      <c r="CK5" s="30">
        <f t="shared" si="24"/>
        <v>0</v>
      </c>
      <c r="CL5" s="31"/>
      <c r="CM5" s="32"/>
      <c r="CN5" s="30">
        <f t="shared" si="25"/>
        <v>0</v>
      </c>
      <c r="CO5" s="31"/>
      <c r="CP5" s="32"/>
      <c r="CQ5" s="30">
        <f t="shared" si="26"/>
        <v>0</v>
      </c>
      <c r="CR5" s="31"/>
      <c r="CS5" s="32"/>
      <c r="CT5" s="30">
        <f t="shared" si="27"/>
        <v>0</v>
      </c>
      <c r="CU5" s="33">
        <f t="shared" si="28"/>
        <v>0</v>
      </c>
      <c r="CV5" s="30">
        <f t="shared" si="29"/>
        <v>0</v>
      </c>
      <c r="CW5" s="30">
        <f t="shared" si="30"/>
        <v>0</v>
      </c>
    </row>
    <row r="6" spans="1:101" ht="15.75" customHeight="1" x14ac:dyDescent="0.35">
      <c r="A6" s="28" t="s">
        <v>875</v>
      </c>
      <c r="B6" s="28" t="s">
        <v>837</v>
      </c>
      <c r="C6" s="34"/>
      <c r="D6" s="32"/>
      <c r="E6" s="32"/>
      <c r="F6" s="31"/>
      <c r="G6" s="32"/>
      <c r="H6" s="30">
        <f t="shared" si="0"/>
        <v>0</v>
      </c>
      <c r="I6" s="31"/>
      <c r="J6" s="32"/>
      <c r="K6" s="30">
        <f t="shared" si="1"/>
        <v>0</v>
      </c>
      <c r="L6" s="31"/>
      <c r="M6" s="32"/>
      <c r="N6" s="30">
        <f t="shared" si="2"/>
        <v>0</v>
      </c>
      <c r="O6" s="31"/>
      <c r="P6" s="32"/>
      <c r="Q6" s="30">
        <f t="shared" si="3"/>
        <v>0</v>
      </c>
      <c r="R6" s="31"/>
      <c r="S6" s="32"/>
      <c r="T6" s="30">
        <f t="shared" si="4"/>
        <v>0</v>
      </c>
      <c r="U6" s="31"/>
      <c r="V6" s="32"/>
      <c r="W6" s="30">
        <f t="shared" si="5"/>
        <v>0</v>
      </c>
      <c r="X6" s="31"/>
      <c r="Y6" s="32"/>
      <c r="Z6" s="30">
        <f t="shared" si="6"/>
        <v>0</v>
      </c>
      <c r="AA6" s="31"/>
      <c r="AB6" s="32"/>
      <c r="AC6" s="30">
        <f t="shared" si="7"/>
        <v>0</v>
      </c>
      <c r="AD6" s="31"/>
      <c r="AE6" s="32"/>
      <c r="AF6" s="30">
        <f t="shared" si="8"/>
        <v>0</v>
      </c>
      <c r="AG6" s="31"/>
      <c r="AH6" s="32"/>
      <c r="AI6" s="30">
        <f t="shared" si="9"/>
        <v>0</v>
      </c>
      <c r="AJ6" s="31"/>
      <c r="AK6" s="32"/>
      <c r="AL6" s="30">
        <f t="shared" si="10"/>
        <v>0</v>
      </c>
      <c r="AM6" s="31"/>
      <c r="AN6" s="32"/>
      <c r="AO6" s="30">
        <f t="shared" si="11"/>
        <v>0</v>
      </c>
      <c r="AP6" s="31"/>
      <c r="AQ6" s="32"/>
      <c r="AR6" s="30">
        <f>IFERROR(AP6*AQ6, 0)</f>
        <v>0</v>
      </c>
      <c r="AS6" s="31"/>
      <c r="AT6" s="32"/>
      <c r="AU6" s="30">
        <f>IFERROR(AS6*AT6, 0)</f>
        <v>0</v>
      </c>
      <c r="AV6" s="31"/>
      <c r="AW6" s="32"/>
      <c r="AX6" s="30">
        <f t="shared" si="12"/>
        <v>0</v>
      </c>
      <c r="AY6" s="31"/>
      <c r="AZ6" s="32"/>
      <c r="BA6" s="30">
        <f t="shared" si="13"/>
        <v>0</v>
      </c>
      <c r="BB6" s="31"/>
      <c r="BC6" s="32"/>
      <c r="BD6" s="30">
        <f t="shared" si="14"/>
        <v>0</v>
      </c>
      <c r="BE6" s="31"/>
      <c r="BF6" s="32"/>
      <c r="BG6" s="30">
        <f t="shared" si="15"/>
        <v>0</v>
      </c>
      <c r="BH6" s="31"/>
      <c r="BI6" s="32"/>
      <c r="BJ6" s="30">
        <f t="shared" si="16"/>
        <v>0</v>
      </c>
      <c r="BK6" s="31"/>
      <c r="BL6" s="32"/>
      <c r="BM6" s="30">
        <f t="shared" si="17"/>
        <v>0</v>
      </c>
      <c r="BN6" s="31"/>
      <c r="BO6" s="32"/>
      <c r="BP6" s="30">
        <f t="shared" si="31"/>
        <v>0</v>
      </c>
      <c r="BQ6" s="31"/>
      <c r="BR6" s="32"/>
      <c r="BS6" s="30">
        <f t="shared" si="18"/>
        <v>0</v>
      </c>
      <c r="BT6" s="31"/>
      <c r="BU6" s="32"/>
      <c r="BV6" s="30">
        <f t="shared" si="19"/>
        <v>0</v>
      </c>
      <c r="BW6" s="31"/>
      <c r="BX6" s="32"/>
      <c r="BY6" s="30">
        <f t="shared" si="20"/>
        <v>0</v>
      </c>
      <c r="BZ6" s="31"/>
      <c r="CA6" s="32"/>
      <c r="CB6" s="30">
        <f t="shared" si="21"/>
        <v>0</v>
      </c>
      <c r="CC6" s="31"/>
      <c r="CD6" s="32"/>
      <c r="CE6" s="30">
        <f t="shared" si="22"/>
        <v>0</v>
      </c>
      <c r="CF6" s="31"/>
      <c r="CG6" s="32"/>
      <c r="CH6" s="30">
        <f t="shared" si="23"/>
        <v>0</v>
      </c>
      <c r="CI6" s="31"/>
      <c r="CJ6" s="32"/>
      <c r="CK6" s="30">
        <f t="shared" si="24"/>
        <v>0</v>
      </c>
      <c r="CL6" s="31"/>
      <c r="CM6" s="32"/>
      <c r="CN6" s="30">
        <f t="shared" si="25"/>
        <v>0</v>
      </c>
      <c r="CO6" s="31"/>
      <c r="CP6" s="32"/>
      <c r="CQ6" s="30">
        <f t="shared" si="26"/>
        <v>0</v>
      </c>
      <c r="CR6" s="31"/>
      <c r="CS6" s="32"/>
      <c r="CT6" s="30">
        <f t="shared" si="27"/>
        <v>0</v>
      </c>
      <c r="CU6" s="33">
        <f t="shared" si="28"/>
        <v>0</v>
      </c>
      <c r="CV6" s="30">
        <f t="shared" si="29"/>
        <v>0</v>
      </c>
      <c r="CW6" s="30">
        <f t="shared" si="30"/>
        <v>0</v>
      </c>
    </row>
    <row r="7" spans="1:101" ht="15.75" customHeight="1" x14ac:dyDescent="0.35">
      <c r="A7" s="35" t="s">
        <v>476</v>
      </c>
      <c r="B7" s="28" t="s">
        <v>837</v>
      </c>
      <c r="C7" s="35"/>
      <c r="D7" s="35"/>
      <c r="E7" s="35"/>
      <c r="F7" s="31"/>
      <c r="G7" s="32"/>
      <c r="H7" s="30">
        <f t="shared" si="0"/>
        <v>0</v>
      </c>
      <c r="I7" s="31"/>
      <c r="J7" s="32"/>
      <c r="K7" s="30">
        <f t="shared" si="1"/>
        <v>0</v>
      </c>
      <c r="L7" s="31"/>
      <c r="M7" s="32"/>
      <c r="N7" s="30">
        <f t="shared" si="2"/>
        <v>0</v>
      </c>
      <c r="O7" s="31"/>
      <c r="P7" s="32"/>
      <c r="Q7" s="30">
        <f t="shared" si="3"/>
        <v>0</v>
      </c>
      <c r="R7" s="31"/>
      <c r="S7" s="32"/>
      <c r="T7" s="30">
        <f t="shared" si="4"/>
        <v>0</v>
      </c>
      <c r="U7" s="31"/>
      <c r="V7" s="32"/>
      <c r="W7" s="30">
        <f t="shared" si="5"/>
        <v>0</v>
      </c>
      <c r="X7" s="31"/>
      <c r="Y7" s="32"/>
      <c r="Z7" s="30">
        <f t="shared" si="6"/>
        <v>0</v>
      </c>
      <c r="AA7" s="31"/>
      <c r="AB7" s="32"/>
      <c r="AC7" s="30">
        <f t="shared" si="7"/>
        <v>0</v>
      </c>
      <c r="AD7" s="31"/>
      <c r="AE7" s="32"/>
      <c r="AF7" s="30">
        <f t="shared" si="8"/>
        <v>0</v>
      </c>
      <c r="AG7" s="31"/>
      <c r="AH7" s="32"/>
      <c r="AI7" s="30">
        <f t="shared" si="9"/>
        <v>0</v>
      </c>
      <c r="AJ7" s="31"/>
      <c r="AK7" s="32"/>
      <c r="AL7" s="30">
        <f t="shared" si="10"/>
        <v>0</v>
      </c>
      <c r="AM7" s="31"/>
      <c r="AN7" s="32"/>
      <c r="AO7" s="30">
        <f t="shared" si="11"/>
        <v>0</v>
      </c>
      <c r="AP7" s="31">
        <v>4.8</v>
      </c>
      <c r="AQ7" s="32">
        <v>9000</v>
      </c>
      <c r="AR7" s="30">
        <v>43200</v>
      </c>
      <c r="AS7" s="31">
        <v>5</v>
      </c>
      <c r="AT7" s="32">
        <v>10000</v>
      </c>
      <c r="AU7" s="30">
        <v>50000</v>
      </c>
      <c r="AV7" s="31"/>
      <c r="AW7" s="32"/>
      <c r="AX7" s="30">
        <f t="shared" si="12"/>
        <v>0</v>
      </c>
      <c r="AY7" s="31"/>
      <c r="AZ7" s="32"/>
      <c r="BA7" s="30">
        <f t="shared" si="13"/>
        <v>0</v>
      </c>
      <c r="BB7" s="31"/>
      <c r="BC7" s="32"/>
      <c r="BD7" s="30">
        <f t="shared" si="14"/>
        <v>0</v>
      </c>
      <c r="BE7" s="31"/>
      <c r="BF7" s="32"/>
      <c r="BG7" s="30">
        <f t="shared" si="15"/>
        <v>0</v>
      </c>
      <c r="BH7" s="31"/>
      <c r="BI7" s="32"/>
      <c r="BJ7" s="30">
        <f t="shared" si="16"/>
        <v>0</v>
      </c>
      <c r="BK7" s="31"/>
      <c r="BL7" s="32"/>
      <c r="BM7" s="30">
        <f t="shared" si="17"/>
        <v>0</v>
      </c>
      <c r="BN7" s="31"/>
      <c r="BO7" s="32"/>
      <c r="BP7" s="30">
        <f t="shared" si="31"/>
        <v>0</v>
      </c>
      <c r="BQ7" s="31"/>
      <c r="BR7" s="32"/>
      <c r="BS7" s="30">
        <f t="shared" si="18"/>
        <v>0</v>
      </c>
      <c r="BT7" s="31"/>
      <c r="BU7" s="32"/>
      <c r="BV7" s="30">
        <f t="shared" si="19"/>
        <v>0</v>
      </c>
      <c r="BW7" s="31"/>
      <c r="BX7" s="32"/>
      <c r="BY7" s="30">
        <f t="shared" si="20"/>
        <v>0</v>
      </c>
      <c r="BZ7" s="31"/>
      <c r="CA7" s="32"/>
      <c r="CB7" s="30">
        <f t="shared" si="21"/>
        <v>0</v>
      </c>
      <c r="CC7" s="31"/>
      <c r="CD7" s="32"/>
      <c r="CE7" s="30">
        <f t="shared" si="22"/>
        <v>0</v>
      </c>
      <c r="CF7" s="31"/>
      <c r="CG7" s="32"/>
      <c r="CH7" s="30">
        <f t="shared" si="23"/>
        <v>0</v>
      </c>
      <c r="CI7" s="31"/>
      <c r="CJ7" s="32"/>
      <c r="CK7" s="30">
        <f t="shared" si="24"/>
        <v>0</v>
      </c>
      <c r="CL7" s="31"/>
      <c r="CM7" s="32"/>
      <c r="CN7" s="30">
        <f t="shared" si="25"/>
        <v>0</v>
      </c>
      <c r="CO7" s="31"/>
      <c r="CP7" s="32"/>
      <c r="CQ7" s="30">
        <f t="shared" si="26"/>
        <v>0</v>
      </c>
      <c r="CR7" s="31"/>
      <c r="CS7" s="32"/>
      <c r="CT7" s="30">
        <f t="shared" si="27"/>
        <v>0</v>
      </c>
      <c r="CU7" s="33">
        <f t="shared" si="28"/>
        <v>9.8000000000000007</v>
      </c>
      <c r="CV7" s="30">
        <f t="shared" si="29"/>
        <v>9500</v>
      </c>
      <c r="CW7" s="30">
        <f t="shared" si="30"/>
        <v>93100</v>
      </c>
    </row>
    <row r="8" spans="1:101" ht="15.75" customHeight="1" x14ac:dyDescent="0.35">
      <c r="A8" s="28" t="s">
        <v>876</v>
      </c>
      <c r="B8" s="28" t="s">
        <v>877</v>
      </c>
      <c r="C8" s="34"/>
      <c r="D8" s="32"/>
      <c r="E8" s="32"/>
      <c r="F8" s="31"/>
      <c r="G8" s="32"/>
      <c r="H8" s="30">
        <f t="shared" si="0"/>
        <v>0</v>
      </c>
      <c r="I8" s="31"/>
      <c r="J8" s="32"/>
      <c r="K8" s="30">
        <f t="shared" si="1"/>
        <v>0</v>
      </c>
      <c r="L8" s="31"/>
      <c r="M8" s="32"/>
      <c r="N8" s="30">
        <f t="shared" si="2"/>
        <v>0</v>
      </c>
      <c r="O8" s="31"/>
      <c r="P8" s="32"/>
      <c r="Q8" s="30">
        <f t="shared" si="3"/>
        <v>0</v>
      </c>
      <c r="R8" s="31"/>
      <c r="S8" s="32"/>
      <c r="T8" s="30">
        <f t="shared" si="4"/>
        <v>0</v>
      </c>
      <c r="U8" s="31"/>
      <c r="V8" s="32"/>
      <c r="W8" s="30">
        <f t="shared" si="5"/>
        <v>0</v>
      </c>
      <c r="X8" s="31"/>
      <c r="Y8" s="32"/>
      <c r="Z8" s="30">
        <f t="shared" si="6"/>
        <v>0</v>
      </c>
      <c r="AA8" s="31"/>
      <c r="AB8" s="32"/>
      <c r="AC8" s="30">
        <f t="shared" si="7"/>
        <v>0</v>
      </c>
      <c r="AD8" s="31"/>
      <c r="AE8" s="32"/>
      <c r="AF8" s="30">
        <f t="shared" si="8"/>
        <v>0</v>
      </c>
      <c r="AG8" s="31"/>
      <c r="AH8" s="32"/>
      <c r="AI8" s="30">
        <f t="shared" si="9"/>
        <v>0</v>
      </c>
      <c r="AJ8" s="31"/>
      <c r="AK8" s="32"/>
      <c r="AL8" s="30">
        <f t="shared" si="10"/>
        <v>0</v>
      </c>
      <c r="AM8" s="31"/>
      <c r="AN8" s="32"/>
      <c r="AO8" s="30">
        <f t="shared" si="11"/>
        <v>0</v>
      </c>
      <c r="AP8" s="31"/>
      <c r="AQ8" s="32"/>
      <c r="AR8" s="30">
        <f>IFERROR(AP8*AQ8, 0)</f>
        <v>0</v>
      </c>
      <c r="AS8" s="31"/>
      <c r="AT8" s="32"/>
      <c r="AU8" s="30">
        <f>IFERROR(AS8*AT8, 0)</f>
        <v>0</v>
      </c>
      <c r="AV8" s="31"/>
      <c r="AW8" s="32"/>
      <c r="AX8" s="30">
        <f t="shared" si="12"/>
        <v>0</v>
      </c>
      <c r="AY8" s="31"/>
      <c r="AZ8" s="32"/>
      <c r="BA8" s="30">
        <f t="shared" si="13"/>
        <v>0</v>
      </c>
      <c r="BB8" s="31"/>
      <c r="BC8" s="32"/>
      <c r="BD8" s="30">
        <f t="shared" si="14"/>
        <v>0</v>
      </c>
      <c r="BE8" s="31"/>
      <c r="BF8" s="32"/>
      <c r="BG8" s="30">
        <f t="shared" si="15"/>
        <v>0</v>
      </c>
      <c r="BH8" s="31"/>
      <c r="BI8" s="32"/>
      <c r="BJ8" s="30">
        <f t="shared" si="16"/>
        <v>0</v>
      </c>
      <c r="BK8" s="31"/>
      <c r="BL8" s="32"/>
      <c r="BM8" s="30">
        <f t="shared" si="17"/>
        <v>0</v>
      </c>
      <c r="BN8" s="31"/>
      <c r="BO8" s="32"/>
      <c r="BP8" s="30">
        <f t="shared" si="31"/>
        <v>0</v>
      </c>
      <c r="BQ8" s="31"/>
      <c r="BR8" s="32"/>
      <c r="BS8" s="30">
        <f t="shared" si="18"/>
        <v>0</v>
      </c>
      <c r="BT8" s="31"/>
      <c r="BU8" s="32"/>
      <c r="BV8" s="30">
        <f t="shared" si="19"/>
        <v>0</v>
      </c>
      <c r="BW8" s="31"/>
      <c r="BX8" s="32"/>
      <c r="BY8" s="30">
        <f t="shared" si="20"/>
        <v>0</v>
      </c>
      <c r="BZ8" s="31"/>
      <c r="CA8" s="32"/>
      <c r="CB8" s="30">
        <f t="shared" si="21"/>
        <v>0</v>
      </c>
      <c r="CC8" s="31"/>
      <c r="CD8" s="32"/>
      <c r="CE8" s="30">
        <f t="shared" si="22"/>
        <v>0</v>
      </c>
      <c r="CF8" s="31"/>
      <c r="CG8" s="32"/>
      <c r="CH8" s="30">
        <f t="shared" si="23"/>
        <v>0</v>
      </c>
      <c r="CI8" s="31"/>
      <c r="CJ8" s="32"/>
      <c r="CK8" s="30">
        <f t="shared" si="24"/>
        <v>0</v>
      </c>
      <c r="CL8" s="31"/>
      <c r="CM8" s="32"/>
      <c r="CN8" s="30">
        <f t="shared" si="25"/>
        <v>0</v>
      </c>
      <c r="CO8" s="31"/>
      <c r="CP8" s="32"/>
      <c r="CQ8" s="30">
        <f t="shared" si="26"/>
        <v>0</v>
      </c>
      <c r="CR8" s="31"/>
      <c r="CS8" s="32"/>
      <c r="CT8" s="30">
        <f t="shared" si="27"/>
        <v>0</v>
      </c>
      <c r="CU8" s="33">
        <f t="shared" si="28"/>
        <v>0</v>
      </c>
      <c r="CV8" s="30">
        <f t="shared" si="29"/>
        <v>0</v>
      </c>
      <c r="CW8" s="30">
        <f t="shared" si="30"/>
        <v>0</v>
      </c>
    </row>
    <row r="9" spans="1:101" ht="15.75" customHeight="1" x14ac:dyDescent="0.35">
      <c r="A9" s="28" t="s">
        <v>488</v>
      </c>
      <c r="B9" s="28" t="s">
        <v>837</v>
      </c>
      <c r="C9" s="34"/>
      <c r="D9" s="32"/>
      <c r="E9" s="32"/>
      <c r="F9" s="31"/>
      <c r="G9" s="32"/>
      <c r="H9" s="30">
        <f t="shared" si="0"/>
        <v>0</v>
      </c>
      <c r="I9" s="31"/>
      <c r="J9" s="32"/>
      <c r="K9" s="30">
        <f t="shared" si="1"/>
        <v>0</v>
      </c>
      <c r="L9" s="31"/>
      <c r="M9" s="32"/>
      <c r="N9" s="30">
        <f t="shared" si="2"/>
        <v>0</v>
      </c>
      <c r="O9" s="31"/>
      <c r="P9" s="32"/>
      <c r="Q9" s="30">
        <f t="shared" si="3"/>
        <v>0</v>
      </c>
      <c r="R9" s="31"/>
      <c r="S9" s="32"/>
      <c r="T9" s="30">
        <f t="shared" si="4"/>
        <v>0</v>
      </c>
      <c r="U9" s="31"/>
      <c r="V9" s="32"/>
      <c r="W9" s="30">
        <f t="shared" si="5"/>
        <v>0</v>
      </c>
      <c r="X9" s="31"/>
      <c r="Y9" s="32"/>
      <c r="Z9" s="30">
        <f t="shared" si="6"/>
        <v>0</v>
      </c>
      <c r="AA9" s="31"/>
      <c r="AB9" s="32"/>
      <c r="AC9" s="30">
        <f t="shared" si="7"/>
        <v>0</v>
      </c>
      <c r="AD9" s="31"/>
      <c r="AE9" s="32"/>
      <c r="AF9" s="30">
        <f t="shared" si="8"/>
        <v>0</v>
      </c>
      <c r="AG9" s="31"/>
      <c r="AH9" s="32"/>
      <c r="AI9" s="30">
        <f t="shared" si="9"/>
        <v>0</v>
      </c>
      <c r="AJ9" s="31"/>
      <c r="AK9" s="32"/>
      <c r="AL9" s="30">
        <f t="shared" si="10"/>
        <v>0</v>
      </c>
      <c r="AM9" s="31"/>
      <c r="AN9" s="32"/>
      <c r="AO9" s="30">
        <f t="shared" si="11"/>
        <v>0</v>
      </c>
      <c r="AP9" s="31">
        <v>1</v>
      </c>
      <c r="AQ9" s="32">
        <v>10000</v>
      </c>
      <c r="AR9" s="30">
        <v>10000</v>
      </c>
      <c r="AS9" s="31">
        <v>1</v>
      </c>
      <c r="AT9" s="32">
        <v>10000</v>
      </c>
      <c r="AU9" s="30">
        <v>10000</v>
      </c>
      <c r="AV9" s="31"/>
      <c r="AW9" s="32"/>
      <c r="AX9" s="30">
        <f t="shared" si="12"/>
        <v>0</v>
      </c>
      <c r="AY9" s="31"/>
      <c r="AZ9" s="32"/>
      <c r="BA9" s="30">
        <f t="shared" si="13"/>
        <v>0</v>
      </c>
      <c r="BB9" s="31"/>
      <c r="BC9" s="32"/>
      <c r="BD9" s="30">
        <f t="shared" si="14"/>
        <v>0</v>
      </c>
      <c r="BE9" s="31"/>
      <c r="BF9" s="32"/>
      <c r="BG9" s="30">
        <f t="shared" si="15"/>
        <v>0</v>
      </c>
      <c r="BH9" s="31"/>
      <c r="BI9" s="32"/>
      <c r="BJ9" s="30">
        <f t="shared" si="16"/>
        <v>0</v>
      </c>
      <c r="BK9" s="31"/>
      <c r="BL9" s="32"/>
      <c r="BM9" s="30">
        <f t="shared" si="17"/>
        <v>0</v>
      </c>
      <c r="BN9" s="31"/>
      <c r="BO9" s="32"/>
      <c r="BP9" s="30">
        <f t="shared" si="31"/>
        <v>0</v>
      </c>
      <c r="BQ9" s="31"/>
      <c r="BR9" s="32"/>
      <c r="BS9" s="30">
        <f t="shared" si="18"/>
        <v>0</v>
      </c>
      <c r="BT9" s="31"/>
      <c r="BU9" s="32"/>
      <c r="BV9" s="30">
        <f t="shared" si="19"/>
        <v>0</v>
      </c>
      <c r="BW9" s="31"/>
      <c r="BX9" s="32"/>
      <c r="BY9" s="30">
        <f t="shared" si="20"/>
        <v>0</v>
      </c>
      <c r="BZ9" s="31"/>
      <c r="CA9" s="32"/>
      <c r="CB9" s="30">
        <f t="shared" si="21"/>
        <v>0</v>
      </c>
      <c r="CC9" s="31"/>
      <c r="CD9" s="32"/>
      <c r="CE9" s="30">
        <f t="shared" si="22"/>
        <v>0</v>
      </c>
      <c r="CF9" s="31"/>
      <c r="CG9" s="32"/>
      <c r="CH9" s="30">
        <f t="shared" si="23"/>
        <v>0</v>
      </c>
      <c r="CI9" s="31"/>
      <c r="CJ9" s="32"/>
      <c r="CK9" s="30">
        <f t="shared" si="24"/>
        <v>0</v>
      </c>
      <c r="CL9" s="31"/>
      <c r="CM9" s="32"/>
      <c r="CN9" s="30">
        <f t="shared" si="25"/>
        <v>0</v>
      </c>
      <c r="CO9" s="31"/>
      <c r="CP9" s="32"/>
      <c r="CQ9" s="30">
        <f t="shared" si="26"/>
        <v>0</v>
      </c>
      <c r="CR9" s="31"/>
      <c r="CS9" s="32"/>
      <c r="CT9" s="30">
        <f t="shared" si="27"/>
        <v>0</v>
      </c>
      <c r="CU9" s="33">
        <f t="shared" si="28"/>
        <v>2</v>
      </c>
      <c r="CV9" s="30">
        <f t="shared" si="29"/>
        <v>10000</v>
      </c>
      <c r="CW9" s="30">
        <f t="shared" si="30"/>
        <v>20000</v>
      </c>
    </row>
    <row r="10" spans="1:101" ht="15.75" customHeight="1" x14ac:dyDescent="0.35">
      <c r="A10" s="28" t="s">
        <v>878</v>
      </c>
      <c r="B10" s="28" t="s">
        <v>837</v>
      </c>
      <c r="C10" s="34"/>
      <c r="D10" s="32"/>
      <c r="E10" s="32"/>
      <c r="F10" s="31"/>
      <c r="G10" s="32"/>
      <c r="H10" s="30">
        <f t="shared" si="0"/>
        <v>0</v>
      </c>
      <c r="I10" s="31"/>
      <c r="J10" s="32"/>
      <c r="K10" s="30">
        <f t="shared" si="1"/>
        <v>0</v>
      </c>
      <c r="L10" s="31"/>
      <c r="M10" s="32"/>
      <c r="N10" s="30">
        <f t="shared" si="2"/>
        <v>0</v>
      </c>
      <c r="O10" s="31"/>
      <c r="P10" s="32"/>
      <c r="Q10" s="30">
        <f t="shared" si="3"/>
        <v>0</v>
      </c>
      <c r="R10" s="31"/>
      <c r="S10" s="32"/>
      <c r="T10" s="30">
        <f t="shared" si="4"/>
        <v>0</v>
      </c>
      <c r="U10" s="31"/>
      <c r="V10" s="32"/>
      <c r="W10" s="30">
        <f t="shared" si="5"/>
        <v>0</v>
      </c>
      <c r="X10" s="31"/>
      <c r="Y10" s="32"/>
      <c r="Z10" s="30">
        <f t="shared" si="6"/>
        <v>0</v>
      </c>
      <c r="AA10" s="31"/>
      <c r="AB10" s="32"/>
      <c r="AC10" s="30">
        <f t="shared" si="7"/>
        <v>0</v>
      </c>
      <c r="AD10" s="31"/>
      <c r="AE10" s="32"/>
      <c r="AF10" s="30">
        <f t="shared" si="8"/>
        <v>0</v>
      </c>
      <c r="AG10" s="31"/>
      <c r="AH10" s="32"/>
      <c r="AI10" s="30">
        <f t="shared" si="9"/>
        <v>0</v>
      </c>
      <c r="AJ10" s="31"/>
      <c r="AK10" s="32"/>
      <c r="AL10" s="30">
        <f t="shared" si="10"/>
        <v>0</v>
      </c>
      <c r="AM10" s="31"/>
      <c r="AN10" s="32"/>
      <c r="AO10" s="30">
        <f t="shared" si="11"/>
        <v>0</v>
      </c>
      <c r="AP10" s="31"/>
      <c r="AQ10" s="32"/>
      <c r="AR10" s="30">
        <f>IFERROR(AP10*AQ10, 0)</f>
        <v>0</v>
      </c>
      <c r="AS10" s="31"/>
      <c r="AT10" s="32"/>
      <c r="AU10" s="30">
        <f>IFERROR(AS10*AT10, 0)</f>
        <v>0</v>
      </c>
      <c r="AV10" s="31"/>
      <c r="AW10" s="32"/>
      <c r="AX10" s="30">
        <f t="shared" si="12"/>
        <v>0</v>
      </c>
      <c r="AY10" s="31"/>
      <c r="AZ10" s="32"/>
      <c r="BA10" s="30">
        <f t="shared" si="13"/>
        <v>0</v>
      </c>
      <c r="BB10" s="31"/>
      <c r="BC10" s="32"/>
      <c r="BD10" s="30">
        <f t="shared" si="14"/>
        <v>0</v>
      </c>
      <c r="BE10" s="31"/>
      <c r="BF10" s="32"/>
      <c r="BG10" s="30">
        <f t="shared" si="15"/>
        <v>0</v>
      </c>
      <c r="BH10" s="31"/>
      <c r="BI10" s="32"/>
      <c r="BJ10" s="30">
        <f t="shared" si="16"/>
        <v>0</v>
      </c>
      <c r="BK10" s="31"/>
      <c r="BL10" s="32"/>
      <c r="BM10" s="30">
        <f t="shared" si="17"/>
        <v>0</v>
      </c>
      <c r="BN10" s="31"/>
      <c r="BO10" s="32"/>
      <c r="BP10" s="30">
        <f t="shared" si="31"/>
        <v>0</v>
      </c>
      <c r="BQ10" s="31"/>
      <c r="BR10" s="32"/>
      <c r="BS10" s="30">
        <f t="shared" si="18"/>
        <v>0</v>
      </c>
      <c r="BT10" s="31"/>
      <c r="BU10" s="32"/>
      <c r="BV10" s="30">
        <f t="shared" si="19"/>
        <v>0</v>
      </c>
      <c r="BW10" s="31"/>
      <c r="BX10" s="32"/>
      <c r="BY10" s="30">
        <f t="shared" si="20"/>
        <v>0</v>
      </c>
      <c r="BZ10" s="31"/>
      <c r="CA10" s="32"/>
      <c r="CB10" s="30">
        <f t="shared" si="21"/>
        <v>0</v>
      </c>
      <c r="CC10" s="31"/>
      <c r="CD10" s="32"/>
      <c r="CE10" s="30">
        <f t="shared" si="22"/>
        <v>0</v>
      </c>
      <c r="CF10" s="31"/>
      <c r="CG10" s="32"/>
      <c r="CH10" s="30">
        <f t="shared" si="23"/>
        <v>0</v>
      </c>
      <c r="CI10" s="31"/>
      <c r="CJ10" s="32"/>
      <c r="CK10" s="30">
        <f t="shared" si="24"/>
        <v>0</v>
      </c>
      <c r="CL10" s="31"/>
      <c r="CM10" s="32"/>
      <c r="CN10" s="30">
        <f t="shared" si="25"/>
        <v>0</v>
      </c>
      <c r="CO10" s="31"/>
      <c r="CP10" s="32"/>
      <c r="CQ10" s="30">
        <f t="shared" si="26"/>
        <v>0</v>
      </c>
      <c r="CR10" s="31"/>
      <c r="CS10" s="32"/>
      <c r="CT10" s="30">
        <f t="shared" si="27"/>
        <v>0</v>
      </c>
      <c r="CU10" s="33">
        <f t="shared" si="28"/>
        <v>0</v>
      </c>
      <c r="CV10" s="30">
        <f t="shared" si="29"/>
        <v>0</v>
      </c>
      <c r="CW10" s="30">
        <f t="shared" si="30"/>
        <v>0</v>
      </c>
    </row>
    <row r="11" spans="1:101" ht="15.75" customHeight="1" x14ac:dyDescent="0.35">
      <c r="A11" s="28" t="s">
        <v>78</v>
      </c>
      <c r="B11" s="28" t="s">
        <v>837</v>
      </c>
      <c r="C11" s="29"/>
      <c r="D11" s="30"/>
      <c r="E11" s="30"/>
      <c r="F11" s="31"/>
      <c r="G11" s="32"/>
      <c r="H11" s="30">
        <f t="shared" si="0"/>
        <v>0</v>
      </c>
      <c r="I11" s="31">
        <v>16</v>
      </c>
      <c r="J11" s="32">
        <v>1800</v>
      </c>
      <c r="K11" s="30">
        <v>28800</v>
      </c>
      <c r="L11" s="31"/>
      <c r="M11" s="32"/>
      <c r="N11" s="30">
        <f t="shared" si="2"/>
        <v>0</v>
      </c>
      <c r="O11" s="31"/>
      <c r="P11" s="32"/>
      <c r="Q11" s="30">
        <f t="shared" si="3"/>
        <v>0</v>
      </c>
      <c r="R11" s="31"/>
      <c r="S11" s="32"/>
      <c r="T11" s="30">
        <f t="shared" si="4"/>
        <v>0</v>
      </c>
      <c r="U11" s="31"/>
      <c r="V11" s="32"/>
      <c r="W11" s="30">
        <f t="shared" si="5"/>
        <v>0</v>
      </c>
      <c r="X11" s="31"/>
      <c r="Y11" s="32"/>
      <c r="Z11" s="30">
        <f t="shared" si="6"/>
        <v>0</v>
      </c>
      <c r="AA11" s="31"/>
      <c r="AB11" s="32"/>
      <c r="AC11" s="30">
        <f t="shared" si="7"/>
        <v>0</v>
      </c>
      <c r="AD11" s="31"/>
      <c r="AE11" s="32"/>
      <c r="AF11" s="30">
        <f t="shared" si="8"/>
        <v>0</v>
      </c>
      <c r="AG11" s="31"/>
      <c r="AH11" s="32"/>
      <c r="AI11" s="30">
        <f t="shared" si="9"/>
        <v>0</v>
      </c>
      <c r="AJ11" s="31"/>
      <c r="AK11" s="32"/>
      <c r="AL11" s="30">
        <f t="shared" si="10"/>
        <v>0</v>
      </c>
      <c r="AM11" s="31"/>
      <c r="AN11" s="32"/>
      <c r="AO11" s="30">
        <f t="shared" si="11"/>
        <v>0</v>
      </c>
      <c r="AP11" s="31">
        <v>3.8</v>
      </c>
      <c r="AQ11" s="32">
        <v>5000</v>
      </c>
      <c r="AR11" s="30">
        <v>19000</v>
      </c>
      <c r="AS11" s="31">
        <v>4</v>
      </c>
      <c r="AT11" s="32">
        <v>4500</v>
      </c>
      <c r="AU11" s="30">
        <v>18000</v>
      </c>
      <c r="AV11" s="31"/>
      <c r="AW11" s="32"/>
      <c r="AX11" s="30">
        <f t="shared" si="12"/>
        <v>0</v>
      </c>
      <c r="AY11" s="31"/>
      <c r="AZ11" s="32"/>
      <c r="BA11" s="30">
        <f t="shared" si="13"/>
        <v>0</v>
      </c>
      <c r="BB11" s="31"/>
      <c r="BC11" s="32"/>
      <c r="BD11" s="30">
        <f t="shared" si="14"/>
        <v>0</v>
      </c>
      <c r="BE11" s="31"/>
      <c r="BF11" s="32"/>
      <c r="BG11" s="30">
        <f t="shared" si="15"/>
        <v>0</v>
      </c>
      <c r="BH11" s="31"/>
      <c r="BI11" s="32"/>
      <c r="BJ11" s="30">
        <f t="shared" si="16"/>
        <v>0</v>
      </c>
      <c r="BK11" s="31"/>
      <c r="BL11" s="32"/>
      <c r="BM11" s="30">
        <f t="shared" si="17"/>
        <v>0</v>
      </c>
      <c r="BN11" s="31">
        <v>3.2</v>
      </c>
      <c r="BO11" s="32">
        <v>5000</v>
      </c>
      <c r="BP11" s="30">
        <v>16000</v>
      </c>
      <c r="BQ11" s="31"/>
      <c r="BR11" s="32"/>
      <c r="BS11" s="30">
        <f t="shared" si="18"/>
        <v>0</v>
      </c>
      <c r="BT11" s="31"/>
      <c r="BU11" s="32"/>
      <c r="BV11" s="30">
        <f t="shared" si="19"/>
        <v>0</v>
      </c>
      <c r="BW11" s="31"/>
      <c r="BX11" s="32"/>
      <c r="BY11" s="30">
        <f t="shared" si="20"/>
        <v>0</v>
      </c>
      <c r="BZ11" s="31"/>
      <c r="CA11" s="32"/>
      <c r="CB11" s="30">
        <f t="shared" si="21"/>
        <v>0</v>
      </c>
      <c r="CC11" s="31"/>
      <c r="CD11" s="32"/>
      <c r="CE11" s="30">
        <f t="shared" si="22"/>
        <v>0</v>
      </c>
      <c r="CF11" s="31"/>
      <c r="CG11" s="32"/>
      <c r="CH11" s="30">
        <f t="shared" si="23"/>
        <v>0</v>
      </c>
      <c r="CI11" s="31"/>
      <c r="CJ11" s="32"/>
      <c r="CK11" s="30">
        <f t="shared" si="24"/>
        <v>0</v>
      </c>
      <c r="CL11" s="31"/>
      <c r="CM11" s="32"/>
      <c r="CN11" s="30">
        <f t="shared" si="25"/>
        <v>0</v>
      </c>
      <c r="CO11" s="31"/>
      <c r="CP11" s="32"/>
      <c r="CQ11" s="30">
        <f t="shared" si="26"/>
        <v>0</v>
      </c>
      <c r="CR11" s="31"/>
      <c r="CS11" s="32"/>
      <c r="CT11" s="30">
        <f t="shared" si="27"/>
        <v>0</v>
      </c>
      <c r="CU11" s="33">
        <f t="shared" si="28"/>
        <v>27</v>
      </c>
      <c r="CV11" s="30">
        <f t="shared" si="29"/>
        <v>4075</v>
      </c>
      <c r="CW11" s="30">
        <f t="shared" si="30"/>
        <v>110025</v>
      </c>
    </row>
    <row r="12" spans="1:101" ht="15.75" customHeight="1" x14ac:dyDescent="0.35">
      <c r="A12" s="28" t="s">
        <v>334</v>
      </c>
      <c r="B12" s="28" t="s">
        <v>837</v>
      </c>
      <c r="C12" s="29"/>
      <c r="D12" s="30"/>
      <c r="E12" s="30"/>
      <c r="F12" s="31"/>
      <c r="G12" s="32"/>
      <c r="H12" s="30">
        <f t="shared" si="0"/>
        <v>0</v>
      </c>
      <c r="I12" s="31"/>
      <c r="J12" s="32"/>
      <c r="K12" s="30">
        <f t="shared" ref="K12:K17" si="32">IFERROR(I12*J12, 0)</f>
        <v>0</v>
      </c>
      <c r="L12" s="31"/>
      <c r="M12" s="32"/>
      <c r="N12" s="30">
        <f t="shared" si="2"/>
        <v>0</v>
      </c>
      <c r="O12" s="31"/>
      <c r="P12" s="32"/>
      <c r="Q12" s="30">
        <f t="shared" si="3"/>
        <v>0</v>
      </c>
      <c r="R12" s="31"/>
      <c r="S12" s="32"/>
      <c r="T12" s="30">
        <f t="shared" si="4"/>
        <v>0</v>
      </c>
      <c r="U12" s="31"/>
      <c r="V12" s="32"/>
      <c r="W12" s="30">
        <f t="shared" si="5"/>
        <v>0</v>
      </c>
      <c r="X12" s="31">
        <v>2.71</v>
      </c>
      <c r="Y12" s="32">
        <v>5450</v>
      </c>
      <c r="Z12" s="30">
        <v>14769</v>
      </c>
      <c r="AA12" s="31"/>
      <c r="AB12" s="32"/>
      <c r="AC12" s="30">
        <f t="shared" si="7"/>
        <v>0</v>
      </c>
      <c r="AD12" s="31"/>
      <c r="AE12" s="32"/>
      <c r="AF12" s="30">
        <f t="shared" si="8"/>
        <v>0</v>
      </c>
      <c r="AG12" s="31"/>
      <c r="AH12" s="32"/>
      <c r="AI12" s="30">
        <f t="shared" si="9"/>
        <v>0</v>
      </c>
      <c r="AJ12" s="31"/>
      <c r="AK12" s="32"/>
      <c r="AL12" s="30">
        <f t="shared" si="10"/>
        <v>0</v>
      </c>
      <c r="AM12" s="31"/>
      <c r="AN12" s="32"/>
      <c r="AO12" s="30">
        <f t="shared" si="11"/>
        <v>0</v>
      </c>
      <c r="AP12" s="31">
        <v>14.4</v>
      </c>
      <c r="AQ12" s="32">
        <v>4000</v>
      </c>
      <c r="AR12" s="30">
        <v>55150</v>
      </c>
      <c r="AS12" s="31">
        <v>14.5</v>
      </c>
      <c r="AT12" s="32">
        <v>3800</v>
      </c>
      <c r="AU12" s="30">
        <v>55100</v>
      </c>
      <c r="AV12" s="31"/>
      <c r="AW12" s="32"/>
      <c r="AX12" s="30">
        <f t="shared" si="12"/>
        <v>0</v>
      </c>
      <c r="AY12" s="31"/>
      <c r="AZ12" s="32"/>
      <c r="BA12" s="30">
        <f t="shared" si="13"/>
        <v>0</v>
      </c>
      <c r="BB12" s="31"/>
      <c r="BC12" s="32"/>
      <c r="BD12" s="30">
        <f t="shared" si="14"/>
        <v>0</v>
      </c>
      <c r="BE12" s="31"/>
      <c r="BF12" s="32"/>
      <c r="BG12" s="30">
        <f t="shared" si="15"/>
        <v>0</v>
      </c>
      <c r="BH12" s="31"/>
      <c r="BI12" s="32"/>
      <c r="BJ12" s="30">
        <f t="shared" si="16"/>
        <v>0</v>
      </c>
      <c r="BK12" s="31"/>
      <c r="BL12" s="32"/>
      <c r="BM12" s="30">
        <f t="shared" si="17"/>
        <v>0</v>
      </c>
      <c r="BN12" s="31">
        <v>19</v>
      </c>
      <c r="BO12" s="32">
        <v>3800</v>
      </c>
      <c r="BP12" s="30">
        <v>72200</v>
      </c>
      <c r="BQ12" s="31"/>
      <c r="BR12" s="32"/>
      <c r="BS12" s="30">
        <f t="shared" si="18"/>
        <v>0</v>
      </c>
      <c r="BT12" s="31"/>
      <c r="BU12" s="32"/>
      <c r="BV12" s="30">
        <f t="shared" si="19"/>
        <v>0</v>
      </c>
      <c r="BW12" s="31"/>
      <c r="BX12" s="32"/>
      <c r="BY12" s="30">
        <f t="shared" si="20"/>
        <v>0</v>
      </c>
      <c r="BZ12" s="31"/>
      <c r="CA12" s="32"/>
      <c r="CB12" s="30">
        <f t="shared" si="21"/>
        <v>0</v>
      </c>
      <c r="CC12" s="31"/>
      <c r="CD12" s="32"/>
      <c r="CE12" s="30">
        <f t="shared" si="22"/>
        <v>0</v>
      </c>
      <c r="CF12" s="31"/>
      <c r="CG12" s="32"/>
      <c r="CH12" s="30">
        <f t="shared" si="23"/>
        <v>0</v>
      </c>
      <c r="CI12" s="31"/>
      <c r="CJ12" s="32"/>
      <c r="CK12" s="30">
        <f t="shared" si="24"/>
        <v>0</v>
      </c>
      <c r="CL12" s="31"/>
      <c r="CM12" s="32"/>
      <c r="CN12" s="30">
        <f t="shared" si="25"/>
        <v>0</v>
      </c>
      <c r="CO12" s="31"/>
      <c r="CP12" s="32"/>
      <c r="CQ12" s="30">
        <f t="shared" si="26"/>
        <v>0</v>
      </c>
      <c r="CR12" s="31"/>
      <c r="CS12" s="32"/>
      <c r="CT12" s="30">
        <f t="shared" si="27"/>
        <v>0</v>
      </c>
      <c r="CU12" s="33">
        <f t="shared" si="28"/>
        <v>50.61</v>
      </c>
      <c r="CV12" s="30">
        <f t="shared" si="29"/>
        <v>4262.5</v>
      </c>
      <c r="CW12" s="30">
        <f t="shared" si="30"/>
        <v>215725.125</v>
      </c>
    </row>
    <row r="13" spans="1:101" ht="15.75" customHeight="1" x14ac:dyDescent="0.35">
      <c r="A13" s="28" t="s">
        <v>502</v>
      </c>
      <c r="B13" s="28" t="s">
        <v>837</v>
      </c>
      <c r="C13" s="29"/>
      <c r="D13" s="30"/>
      <c r="E13" s="30"/>
      <c r="F13" s="31"/>
      <c r="G13" s="32"/>
      <c r="H13" s="30">
        <f t="shared" si="0"/>
        <v>0</v>
      </c>
      <c r="I13" s="31"/>
      <c r="J13" s="32"/>
      <c r="K13" s="30">
        <f t="shared" si="32"/>
        <v>0</v>
      </c>
      <c r="L13" s="31"/>
      <c r="M13" s="32"/>
      <c r="N13" s="30">
        <f t="shared" si="2"/>
        <v>0</v>
      </c>
      <c r="O13" s="31"/>
      <c r="P13" s="32"/>
      <c r="Q13" s="30">
        <f t="shared" si="3"/>
        <v>0</v>
      </c>
      <c r="R13" s="31"/>
      <c r="S13" s="32"/>
      <c r="T13" s="30">
        <f t="shared" si="4"/>
        <v>0</v>
      </c>
      <c r="U13" s="31"/>
      <c r="V13" s="32"/>
      <c r="W13" s="30">
        <f t="shared" si="5"/>
        <v>0</v>
      </c>
      <c r="X13" s="31"/>
      <c r="Y13" s="32"/>
      <c r="Z13" s="30">
        <f>IFERROR(X13*Y13, 0)</f>
        <v>0</v>
      </c>
      <c r="AA13" s="31"/>
      <c r="AB13" s="32"/>
      <c r="AC13" s="30">
        <f t="shared" si="7"/>
        <v>0</v>
      </c>
      <c r="AD13" s="31"/>
      <c r="AE13" s="32"/>
      <c r="AF13" s="30">
        <f t="shared" si="8"/>
        <v>0</v>
      </c>
      <c r="AG13" s="31"/>
      <c r="AH13" s="32"/>
      <c r="AI13" s="30">
        <f t="shared" si="9"/>
        <v>0</v>
      </c>
      <c r="AJ13" s="31"/>
      <c r="AK13" s="32"/>
      <c r="AL13" s="30">
        <f t="shared" si="10"/>
        <v>0</v>
      </c>
      <c r="AM13" s="31"/>
      <c r="AN13" s="32"/>
      <c r="AO13" s="30">
        <f t="shared" si="11"/>
        <v>0</v>
      </c>
      <c r="AP13" s="31">
        <v>3.4</v>
      </c>
      <c r="AQ13" s="32">
        <v>2500</v>
      </c>
      <c r="AR13" s="30">
        <v>8500</v>
      </c>
      <c r="AS13" s="31">
        <v>2.2000000000000002</v>
      </c>
      <c r="AT13" s="32">
        <v>2500</v>
      </c>
      <c r="AU13" s="30">
        <v>5500</v>
      </c>
      <c r="AV13" s="31"/>
      <c r="AW13" s="32"/>
      <c r="AX13" s="30">
        <f t="shared" si="12"/>
        <v>0</v>
      </c>
      <c r="AY13" s="31"/>
      <c r="AZ13" s="32"/>
      <c r="BA13" s="30">
        <f t="shared" si="13"/>
        <v>0</v>
      </c>
      <c r="BB13" s="31"/>
      <c r="BC13" s="32"/>
      <c r="BD13" s="30">
        <f t="shared" si="14"/>
        <v>0</v>
      </c>
      <c r="BE13" s="31"/>
      <c r="BF13" s="32"/>
      <c r="BG13" s="30">
        <f t="shared" si="15"/>
        <v>0</v>
      </c>
      <c r="BH13" s="31"/>
      <c r="BI13" s="32"/>
      <c r="BJ13" s="30">
        <f t="shared" si="16"/>
        <v>0</v>
      </c>
      <c r="BK13" s="31"/>
      <c r="BL13" s="32"/>
      <c r="BM13" s="30">
        <f t="shared" si="17"/>
        <v>0</v>
      </c>
      <c r="BN13" s="31"/>
      <c r="BO13" s="32"/>
      <c r="BP13" s="30">
        <f>IFERROR(BN13*BO13, 0)</f>
        <v>0</v>
      </c>
      <c r="BQ13" s="31">
        <v>2.3250000000000002</v>
      </c>
      <c r="BR13" s="32">
        <v>2800</v>
      </c>
      <c r="BS13" s="30">
        <v>6510</v>
      </c>
      <c r="BT13" s="31"/>
      <c r="BU13" s="32"/>
      <c r="BV13" s="30">
        <f t="shared" si="19"/>
        <v>0</v>
      </c>
      <c r="BW13" s="31"/>
      <c r="BX13" s="32"/>
      <c r="BY13" s="30">
        <f t="shared" si="20"/>
        <v>0</v>
      </c>
      <c r="BZ13" s="31"/>
      <c r="CA13" s="32"/>
      <c r="CB13" s="30">
        <f t="shared" si="21"/>
        <v>0</v>
      </c>
      <c r="CC13" s="31"/>
      <c r="CD13" s="32"/>
      <c r="CE13" s="30">
        <f t="shared" si="22"/>
        <v>0</v>
      </c>
      <c r="CF13" s="31"/>
      <c r="CG13" s="32"/>
      <c r="CH13" s="30">
        <f t="shared" si="23"/>
        <v>0</v>
      </c>
      <c r="CI13" s="31"/>
      <c r="CJ13" s="32"/>
      <c r="CK13" s="30">
        <f t="shared" si="24"/>
        <v>0</v>
      </c>
      <c r="CL13" s="31"/>
      <c r="CM13" s="32"/>
      <c r="CN13" s="30">
        <f t="shared" si="25"/>
        <v>0</v>
      </c>
      <c r="CO13" s="31"/>
      <c r="CP13" s="32"/>
      <c r="CQ13" s="30">
        <f t="shared" si="26"/>
        <v>0</v>
      </c>
      <c r="CR13" s="31"/>
      <c r="CS13" s="32"/>
      <c r="CT13" s="30">
        <f t="shared" si="27"/>
        <v>0</v>
      </c>
      <c r="CU13" s="33">
        <f t="shared" si="28"/>
        <v>7.9249999999999998</v>
      </c>
      <c r="CV13" s="30">
        <f t="shared" si="29"/>
        <v>2600</v>
      </c>
      <c r="CW13" s="30">
        <f t="shared" si="30"/>
        <v>20605</v>
      </c>
    </row>
    <row r="14" spans="1:101" ht="15.75" customHeight="1" x14ac:dyDescent="0.35">
      <c r="A14" s="28" t="s">
        <v>653</v>
      </c>
      <c r="B14" s="28" t="s">
        <v>837</v>
      </c>
      <c r="C14" s="34"/>
      <c r="D14" s="32"/>
      <c r="E14" s="32"/>
      <c r="F14" s="31"/>
      <c r="G14" s="32"/>
      <c r="H14" s="30">
        <f t="shared" si="0"/>
        <v>0</v>
      </c>
      <c r="I14" s="31"/>
      <c r="J14" s="32"/>
      <c r="K14" s="30">
        <f t="shared" si="32"/>
        <v>0</v>
      </c>
      <c r="L14" s="31"/>
      <c r="M14" s="32"/>
      <c r="N14" s="30">
        <f t="shared" si="2"/>
        <v>0</v>
      </c>
      <c r="O14" s="31"/>
      <c r="P14" s="32"/>
      <c r="Q14" s="30">
        <f t="shared" si="3"/>
        <v>0</v>
      </c>
      <c r="R14" s="31"/>
      <c r="S14" s="32"/>
      <c r="T14" s="30">
        <f t="shared" si="4"/>
        <v>0</v>
      </c>
      <c r="U14" s="31"/>
      <c r="V14" s="32"/>
      <c r="W14" s="30">
        <f t="shared" si="5"/>
        <v>0</v>
      </c>
      <c r="X14" s="31"/>
      <c r="Y14" s="32"/>
      <c r="Z14" s="30">
        <f>IFERROR(X14*Y14, 0)</f>
        <v>0</v>
      </c>
      <c r="AA14" s="31"/>
      <c r="AB14" s="32"/>
      <c r="AC14" s="30">
        <f t="shared" si="7"/>
        <v>0</v>
      </c>
      <c r="AD14" s="31"/>
      <c r="AE14" s="32"/>
      <c r="AF14" s="30">
        <f t="shared" si="8"/>
        <v>0</v>
      </c>
      <c r="AG14" s="31"/>
      <c r="AH14" s="32"/>
      <c r="AI14" s="30">
        <f t="shared" si="9"/>
        <v>0</v>
      </c>
      <c r="AJ14" s="31"/>
      <c r="AK14" s="32"/>
      <c r="AL14" s="30">
        <f t="shared" si="10"/>
        <v>0</v>
      </c>
      <c r="AM14" s="31"/>
      <c r="AN14" s="32"/>
      <c r="AO14" s="30">
        <f t="shared" si="11"/>
        <v>0</v>
      </c>
      <c r="AP14" s="31"/>
      <c r="AQ14" s="32"/>
      <c r="AR14" s="30">
        <f>IFERROR(AP14*AQ14, 0)</f>
        <v>0</v>
      </c>
      <c r="AS14" s="31"/>
      <c r="AT14" s="32"/>
      <c r="AU14" s="30">
        <f>IFERROR(AS14*AT14, 0)</f>
        <v>0</v>
      </c>
      <c r="AV14" s="31"/>
      <c r="AW14" s="32"/>
      <c r="AX14" s="30">
        <f t="shared" si="12"/>
        <v>0</v>
      </c>
      <c r="AY14" s="31"/>
      <c r="AZ14" s="32"/>
      <c r="BA14" s="30">
        <f t="shared" si="13"/>
        <v>0</v>
      </c>
      <c r="BB14" s="31"/>
      <c r="BC14" s="32"/>
      <c r="BD14" s="30">
        <f t="shared" si="14"/>
        <v>0</v>
      </c>
      <c r="BE14" s="31"/>
      <c r="BF14" s="32"/>
      <c r="BG14" s="30">
        <f t="shared" si="15"/>
        <v>0</v>
      </c>
      <c r="BH14" s="31"/>
      <c r="BI14" s="32"/>
      <c r="BJ14" s="30">
        <f t="shared" si="16"/>
        <v>0</v>
      </c>
      <c r="BK14" s="31"/>
      <c r="BL14" s="32"/>
      <c r="BM14" s="30">
        <f t="shared" si="17"/>
        <v>0</v>
      </c>
      <c r="BN14" s="31">
        <v>4</v>
      </c>
      <c r="BO14" s="32">
        <v>1500</v>
      </c>
      <c r="BP14" s="30">
        <v>6000</v>
      </c>
      <c r="BQ14" s="31"/>
      <c r="BR14" s="32"/>
      <c r="BS14" s="30">
        <f t="shared" ref="BS14:BS56" si="33">IFERROR(BQ14*BR14, 0)</f>
        <v>0</v>
      </c>
      <c r="BT14" s="31"/>
      <c r="BU14" s="32"/>
      <c r="BV14" s="30">
        <f t="shared" si="19"/>
        <v>0</v>
      </c>
      <c r="BW14" s="31"/>
      <c r="BX14" s="32"/>
      <c r="BY14" s="30">
        <f t="shared" si="20"/>
        <v>0</v>
      </c>
      <c r="BZ14" s="31"/>
      <c r="CA14" s="32"/>
      <c r="CB14" s="30">
        <f t="shared" si="21"/>
        <v>0</v>
      </c>
      <c r="CC14" s="31"/>
      <c r="CD14" s="32"/>
      <c r="CE14" s="30">
        <f t="shared" si="22"/>
        <v>0</v>
      </c>
      <c r="CF14" s="31"/>
      <c r="CG14" s="32"/>
      <c r="CH14" s="30">
        <f t="shared" si="23"/>
        <v>0</v>
      </c>
      <c r="CI14" s="31"/>
      <c r="CJ14" s="32"/>
      <c r="CK14" s="30">
        <f t="shared" si="24"/>
        <v>0</v>
      </c>
      <c r="CL14" s="31"/>
      <c r="CM14" s="32"/>
      <c r="CN14" s="30">
        <f t="shared" si="25"/>
        <v>0</v>
      </c>
      <c r="CO14" s="31"/>
      <c r="CP14" s="32"/>
      <c r="CQ14" s="30">
        <f t="shared" si="26"/>
        <v>0</v>
      </c>
      <c r="CR14" s="31"/>
      <c r="CS14" s="32"/>
      <c r="CT14" s="30">
        <f t="shared" si="27"/>
        <v>0</v>
      </c>
      <c r="CU14" s="33">
        <f t="shared" si="28"/>
        <v>4</v>
      </c>
      <c r="CV14" s="30">
        <f t="shared" si="29"/>
        <v>1500</v>
      </c>
      <c r="CW14" s="30">
        <f t="shared" si="30"/>
        <v>6000</v>
      </c>
    </row>
    <row r="15" spans="1:101" ht="15.75" customHeight="1" x14ac:dyDescent="0.35">
      <c r="A15" s="28" t="s">
        <v>879</v>
      </c>
      <c r="B15" s="28" t="s">
        <v>837</v>
      </c>
      <c r="C15" s="36"/>
      <c r="D15" s="32"/>
      <c r="E15" s="32"/>
      <c r="F15" s="31"/>
      <c r="G15" s="32"/>
      <c r="H15" s="30">
        <f t="shared" si="0"/>
        <v>0</v>
      </c>
      <c r="I15" s="31"/>
      <c r="J15" s="32"/>
      <c r="K15" s="30">
        <f t="shared" si="32"/>
        <v>0</v>
      </c>
      <c r="L15" s="31"/>
      <c r="M15" s="32"/>
      <c r="N15" s="30">
        <f t="shared" si="2"/>
        <v>0</v>
      </c>
      <c r="O15" s="31"/>
      <c r="P15" s="32"/>
      <c r="Q15" s="30">
        <f t="shared" si="3"/>
        <v>0</v>
      </c>
      <c r="R15" s="31"/>
      <c r="S15" s="32"/>
      <c r="T15" s="30">
        <f t="shared" si="4"/>
        <v>0</v>
      </c>
      <c r="U15" s="31"/>
      <c r="V15" s="32"/>
      <c r="W15" s="30">
        <f t="shared" si="5"/>
        <v>0</v>
      </c>
      <c r="X15" s="31"/>
      <c r="Y15" s="32"/>
      <c r="Z15" s="30">
        <f>IFERROR(X15*Y15, 0)</f>
        <v>0</v>
      </c>
      <c r="AA15" s="31"/>
      <c r="AB15" s="32"/>
      <c r="AC15" s="30">
        <f t="shared" si="7"/>
        <v>0</v>
      </c>
      <c r="AD15" s="31"/>
      <c r="AE15" s="32"/>
      <c r="AF15" s="30">
        <f t="shared" si="8"/>
        <v>0</v>
      </c>
      <c r="AG15" s="31"/>
      <c r="AH15" s="32"/>
      <c r="AI15" s="30">
        <f t="shared" si="9"/>
        <v>0</v>
      </c>
      <c r="AJ15" s="31"/>
      <c r="AK15" s="32"/>
      <c r="AL15" s="30">
        <f t="shared" si="10"/>
        <v>0</v>
      </c>
      <c r="AM15" s="31"/>
      <c r="AN15" s="32"/>
      <c r="AO15" s="30">
        <f t="shared" si="11"/>
        <v>0</v>
      </c>
      <c r="AP15" s="31"/>
      <c r="AQ15" s="32"/>
      <c r="AR15" s="30">
        <f>IFERROR(AP15*AQ15, 0)</f>
        <v>0</v>
      </c>
      <c r="AS15" s="31"/>
      <c r="AT15" s="32"/>
      <c r="AU15" s="30">
        <f>IFERROR(AS15*AT15, 0)</f>
        <v>0</v>
      </c>
      <c r="AV15" s="31"/>
      <c r="AW15" s="32"/>
      <c r="AX15" s="30">
        <f t="shared" si="12"/>
        <v>0</v>
      </c>
      <c r="AY15" s="31"/>
      <c r="AZ15" s="32"/>
      <c r="BA15" s="30">
        <f t="shared" si="13"/>
        <v>0</v>
      </c>
      <c r="BB15" s="31"/>
      <c r="BC15" s="32"/>
      <c r="BD15" s="30">
        <f t="shared" si="14"/>
        <v>0</v>
      </c>
      <c r="BE15" s="31"/>
      <c r="BF15" s="32"/>
      <c r="BG15" s="30">
        <f t="shared" si="15"/>
        <v>0</v>
      </c>
      <c r="BH15" s="31"/>
      <c r="BI15" s="32"/>
      <c r="BJ15" s="30">
        <f t="shared" si="16"/>
        <v>0</v>
      </c>
      <c r="BK15" s="31"/>
      <c r="BL15" s="32"/>
      <c r="BM15" s="30">
        <f t="shared" si="17"/>
        <v>0</v>
      </c>
      <c r="BN15" s="31"/>
      <c r="BO15" s="32"/>
      <c r="BP15" s="30">
        <f>IFERROR(BN15*BO15, 0)</f>
        <v>0</v>
      </c>
      <c r="BQ15" s="31"/>
      <c r="BR15" s="32"/>
      <c r="BS15" s="30">
        <f t="shared" si="33"/>
        <v>0</v>
      </c>
      <c r="BT15" s="31"/>
      <c r="BU15" s="32"/>
      <c r="BV15" s="30">
        <f t="shared" si="19"/>
        <v>0</v>
      </c>
      <c r="BW15" s="31"/>
      <c r="BX15" s="32"/>
      <c r="BY15" s="30">
        <f t="shared" si="20"/>
        <v>0</v>
      </c>
      <c r="BZ15" s="31"/>
      <c r="CA15" s="32"/>
      <c r="CB15" s="30">
        <f t="shared" si="21"/>
        <v>0</v>
      </c>
      <c r="CC15" s="31"/>
      <c r="CD15" s="32"/>
      <c r="CE15" s="30">
        <f t="shared" si="22"/>
        <v>0</v>
      </c>
      <c r="CF15" s="31"/>
      <c r="CG15" s="32"/>
      <c r="CH15" s="30">
        <f t="shared" si="23"/>
        <v>0</v>
      </c>
      <c r="CI15" s="31"/>
      <c r="CJ15" s="32"/>
      <c r="CK15" s="30">
        <f t="shared" si="24"/>
        <v>0</v>
      </c>
      <c r="CL15" s="31"/>
      <c r="CM15" s="32"/>
      <c r="CN15" s="30">
        <f t="shared" si="25"/>
        <v>0</v>
      </c>
      <c r="CO15" s="31"/>
      <c r="CP15" s="32"/>
      <c r="CQ15" s="30">
        <f t="shared" si="26"/>
        <v>0</v>
      </c>
      <c r="CR15" s="31"/>
      <c r="CS15" s="32"/>
      <c r="CT15" s="30">
        <f t="shared" si="27"/>
        <v>0</v>
      </c>
      <c r="CU15" s="33">
        <f t="shared" si="28"/>
        <v>0</v>
      </c>
      <c r="CV15" s="30">
        <f t="shared" si="29"/>
        <v>0</v>
      </c>
      <c r="CW15" s="30">
        <f t="shared" si="30"/>
        <v>0</v>
      </c>
    </row>
    <row r="16" spans="1:101" ht="15.75" customHeight="1" x14ac:dyDescent="0.35">
      <c r="A16" s="28" t="s">
        <v>326</v>
      </c>
      <c r="B16" s="28" t="s">
        <v>880</v>
      </c>
      <c r="C16" s="36"/>
      <c r="D16" s="32"/>
      <c r="E16" s="32"/>
      <c r="F16" s="31"/>
      <c r="G16" s="32"/>
      <c r="H16" s="30">
        <f t="shared" si="0"/>
        <v>0</v>
      </c>
      <c r="I16" s="31"/>
      <c r="J16" s="32"/>
      <c r="K16" s="30">
        <f t="shared" si="32"/>
        <v>0</v>
      </c>
      <c r="L16" s="31"/>
      <c r="M16" s="32"/>
      <c r="N16" s="30">
        <f t="shared" si="2"/>
        <v>0</v>
      </c>
      <c r="O16" s="31"/>
      <c r="P16" s="32"/>
      <c r="Q16" s="30">
        <f t="shared" si="3"/>
        <v>0</v>
      </c>
      <c r="R16" s="31"/>
      <c r="S16" s="32"/>
      <c r="T16" s="30">
        <f t="shared" si="4"/>
        <v>0</v>
      </c>
      <c r="U16" s="31"/>
      <c r="V16" s="32"/>
      <c r="W16" s="30">
        <f t="shared" si="5"/>
        <v>0</v>
      </c>
      <c r="X16" s="31"/>
      <c r="Y16" s="32"/>
      <c r="Z16" s="30">
        <f>IFERROR(X16*Y16, 0)</f>
        <v>0</v>
      </c>
      <c r="AA16" s="31"/>
      <c r="AB16" s="32"/>
      <c r="AC16" s="30">
        <f t="shared" si="7"/>
        <v>0</v>
      </c>
      <c r="AD16" s="31"/>
      <c r="AE16" s="32"/>
      <c r="AF16" s="30">
        <f t="shared" si="8"/>
        <v>0</v>
      </c>
      <c r="AG16" s="31"/>
      <c r="AH16" s="32"/>
      <c r="AI16" s="30">
        <f t="shared" si="9"/>
        <v>0</v>
      </c>
      <c r="AJ16" s="31"/>
      <c r="AK16" s="32"/>
      <c r="AL16" s="30">
        <f t="shared" si="10"/>
        <v>0</v>
      </c>
      <c r="AM16" s="31"/>
      <c r="AN16" s="32"/>
      <c r="AO16" s="30">
        <f t="shared" si="11"/>
        <v>0</v>
      </c>
      <c r="AP16" s="31"/>
      <c r="AQ16" s="32"/>
      <c r="AR16" s="30">
        <f>IFERROR(AP16*AQ16, 0)</f>
        <v>0</v>
      </c>
      <c r="AS16" s="31"/>
      <c r="AT16" s="32"/>
      <c r="AU16" s="30">
        <f>IFERROR(AS16*AT16, 0)</f>
        <v>0</v>
      </c>
      <c r="AV16" s="31"/>
      <c r="AW16" s="32"/>
      <c r="AX16" s="30">
        <f t="shared" si="12"/>
        <v>0</v>
      </c>
      <c r="AY16" s="31"/>
      <c r="AZ16" s="32"/>
      <c r="BA16" s="30">
        <f t="shared" si="13"/>
        <v>0</v>
      </c>
      <c r="BB16" s="31"/>
      <c r="BC16" s="32"/>
      <c r="BD16" s="30">
        <f t="shared" si="14"/>
        <v>0</v>
      </c>
      <c r="BE16" s="31"/>
      <c r="BF16" s="32"/>
      <c r="BG16" s="30">
        <f t="shared" si="15"/>
        <v>0</v>
      </c>
      <c r="BH16" s="31"/>
      <c r="BI16" s="32"/>
      <c r="BJ16" s="30">
        <f t="shared" si="16"/>
        <v>0</v>
      </c>
      <c r="BK16" s="31"/>
      <c r="BL16" s="32"/>
      <c r="BM16" s="30">
        <f t="shared" si="17"/>
        <v>0</v>
      </c>
      <c r="BN16" s="31"/>
      <c r="BO16" s="32"/>
      <c r="BP16" s="30">
        <f>IFERROR(BN16*BO16, 0)</f>
        <v>0</v>
      </c>
      <c r="BQ16" s="31"/>
      <c r="BR16" s="32"/>
      <c r="BS16" s="30">
        <f t="shared" si="33"/>
        <v>0</v>
      </c>
      <c r="BT16" s="31"/>
      <c r="BU16" s="32"/>
      <c r="BV16" s="30">
        <f t="shared" si="19"/>
        <v>0</v>
      </c>
      <c r="BW16" s="31"/>
      <c r="BX16" s="32"/>
      <c r="BY16" s="30">
        <f t="shared" si="20"/>
        <v>0</v>
      </c>
      <c r="BZ16" s="31"/>
      <c r="CA16" s="32"/>
      <c r="CB16" s="30">
        <f t="shared" si="21"/>
        <v>0</v>
      </c>
      <c r="CC16" s="31"/>
      <c r="CD16" s="32"/>
      <c r="CE16" s="30">
        <f t="shared" si="22"/>
        <v>0</v>
      </c>
      <c r="CF16" s="31"/>
      <c r="CG16" s="32"/>
      <c r="CH16" s="30">
        <f t="shared" si="23"/>
        <v>0</v>
      </c>
      <c r="CI16" s="31"/>
      <c r="CJ16" s="32"/>
      <c r="CK16" s="30">
        <f t="shared" si="24"/>
        <v>0</v>
      </c>
      <c r="CL16" s="31"/>
      <c r="CM16" s="32"/>
      <c r="CN16" s="30">
        <f t="shared" si="25"/>
        <v>0</v>
      </c>
      <c r="CO16" s="31"/>
      <c r="CP16" s="32"/>
      <c r="CQ16" s="30">
        <f t="shared" si="26"/>
        <v>0</v>
      </c>
      <c r="CR16" s="31"/>
      <c r="CS16" s="32"/>
      <c r="CT16" s="30">
        <f t="shared" si="27"/>
        <v>0</v>
      </c>
      <c r="CU16" s="33">
        <f t="shared" si="28"/>
        <v>0</v>
      </c>
      <c r="CV16" s="30">
        <f t="shared" si="29"/>
        <v>0</v>
      </c>
      <c r="CW16" s="30">
        <f t="shared" si="30"/>
        <v>0</v>
      </c>
    </row>
    <row r="17" spans="1:101" ht="15.75" customHeight="1" x14ac:dyDescent="0.35">
      <c r="A17" s="28" t="s">
        <v>326</v>
      </c>
      <c r="B17" s="28" t="s">
        <v>880</v>
      </c>
      <c r="C17" s="36"/>
      <c r="D17" s="32"/>
      <c r="E17" s="32"/>
      <c r="F17" s="31"/>
      <c r="G17" s="32"/>
      <c r="H17" s="30">
        <f t="shared" si="0"/>
        <v>0</v>
      </c>
      <c r="I17" s="31"/>
      <c r="J17" s="32"/>
      <c r="K17" s="30">
        <f t="shared" si="32"/>
        <v>0</v>
      </c>
      <c r="L17" s="31"/>
      <c r="M17" s="32"/>
      <c r="N17" s="30">
        <f t="shared" si="2"/>
        <v>0</v>
      </c>
      <c r="O17" s="31"/>
      <c r="P17" s="32"/>
      <c r="Q17" s="30">
        <f t="shared" si="3"/>
        <v>0</v>
      </c>
      <c r="R17" s="31"/>
      <c r="S17" s="32"/>
      <c r="T17" s="30">
        <f t="shared" si="4"/>
        <v>0</v>
      </c>
      <c r="U17" s="31"/>
      <c r="V17" s="32"/>
      <c r="W17" s="30">
        <f t="shared" si="5"/>
        <v>0</v>
      </c>
      <c r="X17" s="31">
        <v>4</v>
      </c>
      <c r="Y17" s="32">
        <v>11450</v>
      </c>
      <c r="Z17" s="30">
        <v>55440</v>
      </c>
      <c r="AA17" s="31"/>
      <c r="AB17" s="32"/>
      <c r="AC17" s="30">
        <f t="shared" si="7"/>
        <v>0</v>
      </c>
      <c r="AD17" s="31"/>
      <c r="AE17" s="32"/>
      <c r="AF17" s="30">
        <f t="shared" si="8"/>
        <v>0</v>
      </c>
      <c r="AG17" s="31"/>
      <c r="AH17" s="32"/>
      <c r="AI17" s="30">
        <f t="shared" si="9"/>
        <v>0</v>
      </c>
      <c r="AJ17" s="31"/>
      <c r="AK17" s="32"/>
      <c r="AL17" s="30">
        <f t="shared" si="10"/>
        <v>0</v>
      </c>
      <c r="AM17" s="31"/>
      <c r="AN17" s="32"/>
      <c r="AO17" s="30">
        <f t="shared" si="11"/>
        <v>0</v>
      </c>
      <c r="AP17" s="31"/>
      <c r="AQ17" s="32"/>
      <c r="AR17" s="30">
        <f>IFERROR(AP17*AQ17, 0)</f>
        <v>0</v>
      </c>
      <c r="AS17" s="31"/>
      <c r="AT17" s="32"/>
      <c r="AU17" s="30">
        <f>IFERROR(AS17*AT17, 0)</f>
        <v>0</v>
      </c>
      <c r="AV17" s="31"/>
      <c r="AW17" s="32"/>
      <c r="AX17" s="30">
        <f t="shared" si="12"/>
        <v>0</v>
      </c>
      <c r="AY17" s="31"/>
      <c r="AZ17" s="32"/>
      <c r="BA17" s="30">
        <f t="shared" si="13"/>
        <v>0</v>
      </c>
      <c r="BB17" s="31"/>
      <c r="BC17" s="32"/>
      <c r="BD17" s="30">
        <f t="shared" si="14"/>
        <v>0</v>
      </c>
      <c r="BE17" s="31"/>
      <c r="BF17" s="32"/>
      <c r="BG17" s="30">
        <f t="shared" si="15"/>
        <v>0</v>
      </c>
      <c r="BH17" s="31"/>
      <c r="BI17" s="32"/>
      <c r="BJ17" s="30">
        <f t="shared" si="16"/>
        <v>0</v>
      </c>
      <c r="BK17" s="31"/>
      <c r="BL17" s="32"/>
      <c r="BM17" s="30">
        <f t="shared" si="17"/>
        <v>0</v>
      </c>
      <c r="BN17" s="31"/>
      <c r="BO17" s="32"/>
      <c r="BP17" s="30">
        <f>IFERROR(BN17*BO17, 0)</f>
        <v>0</v>
      </c>
      <c r="BQ17" s="31"/>
      <c r="BR17" s="32"/>
      <c r="BS17" s="30">
        <f t="shared" si="33"/>
        <v>0</v>
      </c>
      <c r="BT17" s="31"/>
      <c r="BU17" s="32"/>
      <c r="BV17" s="30">
        <f t="shared" si="19"/>
        <v>0</v>
      </c>
      <c r="BW17" s="31"/>
      <c r="BX17" s="32"/>
      <c r="BY17" s="30">
        <f t="shared" si="20"/>
        <v>0</v>
      </c>
      <c r="BZ17" s="31"/>
      <c r="CA17" s="32"/>
      <c r="CB17" s="30">
        <f t="shared" si="21"/>
        <v>0</v>
      </c>
      <c r="CC17" s="31"/>
      <c r="CD17" s="32"/>
      <c r="CE17" s="30">
        <f t="shared" si="22"/>
        <v>0</v>
      </c>
      <c r="CF17" s="31"/>
      <c r="CG17" s="32"/>
      <c r="CH17" s="30">
        <f t="shared" si="23"/>
        <v>0</v>
      </c>
      <c r="CI17" s="31"/>
      <c r="CJ17" s="32"/>
      <c r="CK17" s="30">
        <f t="shared" si="24"/>
        <v>0</v>
      </c>
      <c r="CL17" s="31"/>
      <c r="CM17" s="32"/>
      <c r="CN17" s="30">
        <f t="shared" si="25"/>
        <v>0</v>
      </c>
      <c r="CO17" s="31"/>
      <c r="CP17" s="32"/>
      <c r="CQ17" s="30">
        <f t="shared" si="26"/>
        <v>0</v>
      </c>
      <c r="CR17" s="31"/>
      <c r="CS17" s="32"/>
      <c r="CT17" s="30">
        <f t="shared" si="27"/>
        <v>0</v>
      </c>
      <c r="CU17" s="33">
        <f t="shared" si="28"/>
        <v>4</v>
      </c>
      <c r="CV17" s="30">
        <f t="shared" si="29"/>
        <v>11450</v>
      </c>
      <c r="CW17" s="30">
        <f t="shared" si="30"/>
        <v>45800</v>
      </c>
    </row>
    <row r="18" spans="1:101" ht="15.75" customHeight="1" x14ac:dyDescent="0.35">
      <c r="A18" s="28" t="s">
        <v>80</v>
      </c>
      <c r="B18" s="28" t="s">
        <v>837</v>
      </c>
      <c r="C18" s="34"/>
      <c r="D18" s="32"/>
      <c r="E18" s="32"/>
      <c r="F18" s="31"/>
      <c r="G18" s="32"/>
      <c r="H18" s="30">
        <f t="shared" si="0"/>
        <v>0</v>
      </c>
      <c r="I18" s="31">
        <v>1</v>
      </c>
      <c r="J18" s="32">
        <v>130000</v>
      </c>
      <c r="K18" s="30">
        <v>130000</v>
      </c>
      <c r="L18" s="31"/>
      <c r="M18" s="32"/>
      <c r="N18" s="30">
        <f t="shared" si="2"/>
        <v>0</v>
      </c>
      <c r="O18" s="31"/>
      <c r="P18" s="32"/>
      <c r="Q18" s="30">
        <f t="shared" si="3"/>
        <v>0</v>
      </c>
      <c r="R18" s="31"/>
      <c r="S18" s="32"/>
      <c r="T18" s="30">
        <f t="shared" si="4"/>
        <v>0</v>
      </c>
      <c r="U18" s="31"/>
      <c r="V18" s="32"/>
      <c r="W18" s="30">
        <f t="shared" si="5"/>
        <v>0</v>
      </c>
      <c r="X18" s="31"/>
      <c r="Y18" s="32"/>
      <c r="Z18" s="30">
        <f t="shared" ref="Z18:Z36" si="34">IFERROR(X18*Y18, 0)</f>
        <v>0</v>
      </c>
      <c r="AA18" s="31"/>
      <c r="AB18" s="32"/>
      <c r="AC18" s="30">
        <f t="shared" si="7"/>
        <v>0</v>
      </c>
      <c r="AD18" s="31"/>
      <c r="AE18" s="32"/>
      <c r="AF18" s="30">
        <f t="shared" si="8"/>
        <v>0</v>
      </c>
      <c r="AG18" s="31"/>
      <c r="AH18" s="32"/>
      <c r="AI18" s="30">
        <f t="shared" si="9"/>
        <v>0</v>
      </c>
      <c r="AJ18" s="31"/>
      <c r="AK18" s="32"/>
      <c r="AL18" s="30">
        <f t="shared" si="10"/>
        <v>0</v>
      </c>
      <c r="AM18" s="31"/>
      <c r="AN18" s="32"/>
      <c r="AO18" s="30">
        <f t="shared" si="11"/>
        <v>0</v>
      </c>
      <c r="AP18" s="31">
        <v>237.6</v>
      </c>
      <c r="AQ18" s="32">
        <v>1800</v>
      </c>
      <c r="AR18" s="30">
        <v>427680</v>
      </c>
      <c r="AS18" s="31">
        <v>75.2</v>
      </c>
      <c r="AT18" s="32">
        <v>1600</v>
      </c>
      <c r="AU18" s="30">
        <v>120320</v>
      </c>
      <c r="AV18" s="31"/>
      <c r="AW18" s="32"/>
      <c r="AX18" s="30">
        <f t="shared" si="12"/>
        <v>0</v>
      </c>
      <c r="AY18" s="31"/>
      <c r="AZ18" s="32"/>
      <c r="BA18" s="30">
        <f t="shared" si="13"/>
        <v>0</v>
      </c>
      <c r="BB18" s="31"/>
      <c r="BC18" s="32"/>
      <c r="BD18" s="30">
        <f t="shared" si="14"/>
        <v>0</v>
      </c>
      <c r="BE18" s="31"/>
      <c r="BF18" s="32"/>
      <c r="BG18" s="30">
        <f t="shared" si="15"/>
        <v>0</v>
      </c>
      <c r="BH18" s="31"/>
      <c r="BI18" s="32"/>
      <c r="BJ18" s="30">
        <f t="shared" si="16"/>
        <v>0</v>
      </c>
      <c r="BK18" s="31"/>
      <c r="BL18" s="32"/>
      <c r="BM18" s="30">
        <f t="shared" si="17"/>
        <v>0</v>
      </c>
      <c r="BN18" s="31">
        <v>87.6</v>
      </c>
      <c r="BO18" s="32">
        <v>1500</v>
      </c>
      <c r="BP18" s="30">
        <v>146640</v>
      </c>
      <c r="BQ18" s="31"/>
      <c r="BR18" s="32"/>
      <c r="BS18" s="30">
        <f t="shared" si="33"/>
        <v>0</v>
      </c>
      <c r="BT18" s="31"/>
      <c r="BU18" s="32"/>
      <c r="BV18" s="30">
        <f t="shared" si="19"/>
        <v>0</v>
      </c>
      <c r="BW18" s="31"/>
      <c r="BX18" s="32"/>
      <c r="BY18" s="30">
        <f t="shared" si="20"/>
        <v>0</v>
      </c>
      <c r="BZ18" s="31"/>
      <c r="CA18" s="32"/>
      <c r="CB18" s="30">
        <f t="shared" si="21"/>
        <v>0</v>
      </c>
      <c r="CC18" s="31"/>
      <c r="CD18" s="32"/>
      <c r="CE18" s="30">
        <f t="shared" si="22"/>
        <v>0</v>
      </c>
      <c r="CF18" s="31"/>
      <c r="CG18" s="32"/>
      <c r="CH18" s="30">
        <f t="shared" si="23"/>
        <v>0</v>
      </c>
      <c r="CI18" s="31"/>
      <c r="CJ18" s="32"/>
      <c r="CK18" s="30">
        <f t="shared" si="24"/>
        <v>0</v>
      </c>
      <c r="CL18" s="31"/>
      <c r="CM18" s="32"/>
      <c r="CN18" s="30">
        <f t="shared" si="25"/>
        <v>0</v>
      </c>
      <c r="CO18" s="31"/>
      <c r="CP18" s="32"/>
      <c r="CQ18" s="30">
        <f t="shared" si="26"/>
        <v>0</v>
      </c>
      <c r="CR18" s="31"/>
      <c r="CS18" s="32"/>
      <c r="CT18" s="30">
        <f t="shared" si="27"/>
        <v>0</v>
      </c>
      <c r="CU18" s="33">
        <f t="shared" si="28"/>
        <v>401.4</v>
      </c>
      <c r="CV18" s="30">
        <f t="shared" si="29"/>
        <v>33725</v>
      </c>
      <c r="CW18" s="30">
        <f t="shared" si="30"/>
        <v>13537215</v>
      </c>
    </row>
    <row r="19" spans="1:101" ht="15.75" customHeight="1" x14ac:dyDescent="0.35">
      <c r="A19" s="35" t="s">
        <v>881</v>
      </c>
      <c r="B19" s="28" t="s">
        <v>837</v>
      </c>
      <c r="C19" s="35"/>
      <c r="D19" s="35"/>
      <c r="E19" s="35"/>
      <c r="F19" s="31"/>
      <c r="G19" s="32"/>
      <c r="H19" s="30">
        <f t="shared" si="0"/>
        <v>0</v>
      </c>
      <c r="I19" s="31"/>
      <c r="J19" s="32"/>
      <c r="K19" s="30">
        <f t="shared" ref="K19:K35" si="35">IFERROR(I19*J19, 0)</f>
        <v>0</v>
      </c>
      <c r="L19" s="31"/>
      <c r="M19" s="32"/>
      <c r="N19" s="30">
        <f t="shared" si="2"/>
        <v>0</v>
      </c>
      <c r="O19" s="31"/>
      <c r="P19" s="32"/>
      <c r="Q19" s="30">
        <f t="shared" si="3"/>
        <v>0</v>
      </c>
      <c r="R19" s="31"/>
      <c r="S19" s="32"/>
      <c r="T19" s="30">
        <f t="shared" si="4"/>
        <v>0</v>
      </c>
      <c r="U19" s="31"/>
      <c r="V19" s="32"/>
      <c r="W19" s="30">
        <f t="shared" si="5"/>
        <v>0</v>
      </c>
      <c r="X19" s="31"/>
      <c r="Y19" s="32"/>
      <c r="Z19" s="30">
        <f t="shared" si="34"/>
        <v>0</v>
      </c>
      <c r="AA19" s="31"/>
      <c r="AB19" s="32"/>
      <c r="AC19" s="30">
        <f t="shared" si="7"/>
        <v>0</v>
      </c>
      <c r="AD19" s="31"/>
      <c r="AE19" s="32"/>
      <c r="AF19" s="30">
        <f t="shared" si="8"/>
        <v>0</v>
      </c>
      <c r="AG19" s="31"/>
      <c r="AH19" s="32"/>
      <c r="AI19" s="30">
        <f t="shared" si="9"/>
        <v>0</v>
      </c>
      <c r="AJ19" s="31"/>
      <c r="AK19" s="32"/>
      <c r="AL19" s="30">
        <f t="shared" si="10"/>
        <v>0</v>
      </c>
      <c r="AM19" s="31"/>
      <c r="AN19" s="32"/>
      <c r="AO19" s="30">
        <f t="shared" si="11"/>
        <v>0</v>
      </c>
      <c r="AP19" s="31"/>
      <c r="AQ19" s="32"/>
      <c r="AR19" s="30">
        <f>IFERROR(AP19*AQ19, 0)</f>
        <v>0</v>
      </c>
      <c r="AS19" s="31"/>
      <c r="AT19" s="32"/>
      <c r="AU19" s="30">
        <f>IFERROR(AS19*AT19, 0)</f>
        <v>0</v>
      </c>
      <c r="AV19" s="31"/>
      <c r="AW19" s="32"/>
      <c r="AX19" s="30">
        <f t="shared" si="12"/>
        <v>0</v>
      </c>
      <c r="AY19" s="31"/>
      <c r="AZ19" s="32"/>
      <c r="BA19" s="30">
        <f t="shared" si="13"/>
        <v>0</v>
      </c>
      <c r="BB19" s="31"/>
      <c r="BC19" s="32"/>
      <c r="BD19" s="30">
        <f t="shared" si="14"/>
        <v>0</v>
      </c>
      <c r="BE19" s="31"/>
      <c r="BF19" s="32"/>
      <c r="BG19" s="30">
        <f t="shared" si="15"/>
        <v>0</v>
      </c>
      <c r="BH19" s="31"/>
      <c r="BI19" s="32"/>
      <c r="BJ19" s="30">
        <f t="shared" si="16"/>
        <v>0</v>
      </c>
      <c r="BK19" s="31"/>
      <c r="BL19" s="32"/>
      <c r="BM19" s="30">
        <f t="shared" si="17"/>
        <v>0</v>
      </c>
      <c r="BN19" s="31"/>
      <c r="BO19" s="32"/>
      <c r="BP19" s="30">
        <f t="shared" ref="BP19:BP24" si="36">IFERROR(BN19*BO19, 0)</f>
        <v>0</v>
      </c>
      <c r="BQ19" s="31"/>
      <c r="BR19" s="32"/>
      <c r="BS19" s="30">
        <f t="shared" si="33"/>
        <v>0</v>
      </c>
      <c r="BT19" s="31"/>
      <c r="BU19" s="32"/>
      <c r="BV19" s="30">
        <f t="shared" si="19"/>
        <v>0</v>
      </c>
      <c r="BW19" s="31"/>
      <c r="BX19" s="32"/>
      <c r="BY19" s="30">
        <f t="shared" si="20"/>
        <v>0</v>
      </c>
      <c r="BZ19" s="31"/>
      <c r="CA19" s="32"/>
      <c r="CB19" s="30">
        <f t="shared" si="21"/>
        <v>0</v>
      </c>
      <c r="CC19" s="31"/>
      <c r="CD19" s="32"/>
      <c r="CE19" s="30">
        <f t="shared" si="22"/>
        <v>0</v>
      </c>
      <c r="CF19" s="31"/>
      <c r="CG19" s="32"/>
      <c r="CH19" s="30">
        <f t="shared" si="23"/>
        <v>0</v>
      </c>
      <c r="CI19" s="31"/>
      <c r="CJ19" s="32"/>
      <c r="CK19" s="30">
        <f t="shared" si="24"/>
        <v>0</v>
      </c>
      <c r="CL19" s="31"/>
      <c r="CM19" s="32"/>
      <c r="CN19" s="30">
        <f t="shared" si="25"/>
        <v>0</v>
      </c>
      <c r="CO19" s="31"/>
      <c r="CP19" s="32"/>
      <c r="CQ19" s="30">
        <f t="shared" si="26"/>
        <v>0</v>
      </c>
      <c r="CR19" s="31"/>
      <c r="CS19" s="32"/>
      <c r="CT19" s="30">
        <f t="shared" si="27"/>
        <v>0</v>
      </c>
      <c r="CU19" s="33">
        <f t="shared" si="28"/>
        <v>0</v>
      </c>
      <c r="CV19" s="30">
        <f t="shared" si="29"/>
        <v>0</v>
      </c>
      <c r="CW19" s="30">
        <f t="shared" si="30"/>
        <v>0</v>
      </c>
    </row>
    <row r="20" spans="1:101" ht="15.75" customHeight="1" x14ac:dyDescent="0.35">
      <c r="A20" s="28" t="s">
        <v>484</v>
      </c>
      <c r="B20" s="28" t="s">
        <v>837</v>
      </c>
      <c r="C20" s="34"/>
      <c r="D20" s="32"/>
      <c r="E20" s="32"/>
      <c r="F20" s="31"/>
      <c r="G20" s="32"/>
      <c r="H20" s="30">
        <f t="shared" si="0"/>
        <v>0</v>
      </c>
      <c r="I20" s="31"/>
      <c r="J20" s="32"/>
      <c r="K20" s="30">
        <f t="shared" si="35"/>
        <v>0</v>
      </c>
      <c r="L20" s="31"/>
      <c r="M20" s="32"/>
      <c r="N20" s="30">
        <f t="shared" si="2"/>
        <v>0</v>
      </c>
      <c r="O20" s="31"/>
      <c r="P20" s="32"/>
      <c r="Q20" s="30">
        <f t="shared" si="3"/>
        <v>0</v>
      </c>
      <c r="R20" s="31"/>
      <c r="S20" s="32"/>
      <c r="T20" s="30">
        <f t="shared" si="4"/>
        <v>0</v>
      </c>
      <c r="U20" s="31"/>
      <c r="V20" s="32"/>
      <c r="W20" s="30">
        <f t="shared" si="5"/>
        <v>0</v>
      </c>
      <c r="X20" s="31"/>
      <c r="Y20" s="32"/>
      <c r="Z20" s="30">
        <f t="shared" si="34"/>
        <v>0</v>
      </c>
      <c r="AA20" s="31"/>
      <c r="AB20" s="32"/>
      <c r="AC20" s="30">
        <f t="shared" si="7"/>
        <v>0</v>
      </c>
      <c r="AD20" s="31"/>
      <c r="AE20" s="32"/>
      <c r="AF20" s="30">
        <f t="shared" si="8"/>
        <v>0</v>
      </c>
      <c r="AG20" s="31"/>
      <c r="AH20" s="32"/>
      <c r="AI20" s="30">
        <f t="shared" si="9"/>
        <v>0</v>
      </c>
      <c r="AJ20" s="31"/>
      <c r="AK20" s="32"/>
      <c r="AL20" s="30">
        <f t="shared" si="10"/>
        <v>0</v>
      </c>
      <c r="AM20" s="31"/>
      <c r="AN20" s="32"/>
      <c r="AO20" s="30">
        <f t="shared" si="11"/>
        <v>0</v>
      </c>
      <c r="AP20" s="31">
        <v>86.7</v>
      </c>
      <c r="AQ20" s="32">
        <v>1800</v>
      </c>
      <c r="AR20" s="30">
        <v>156060</v>
      </c>
      <c r="AS20" s="31">
        <v>43.7</v>
      </c>
      <c r="AT20" s="32">
        <v>1600</v>
      </c>
      <c r="AU20" s="30">
        <v>69920</v>
      </c>
      <c r="AV20" s="31"/>
      <c r="AW20" s="32"/>
      <c r="AX20" s="30">
        <f t="shared" si="12"/>
        <v>0</v>
      </c>
      <c r="AY20" s="31"/>
      <c r="AZ20" s="32"/>
      <c r="BA20" s="30">
        <f t="shared" si="13"/>
        <v>0</v>
      </c>
      <c r="BB20" s="31"/>
      <c r="BC20" s="32"/>
      <c r="BD20" s="30">
        <f t="shared" si="14"/>
        <v>0</v>
      </c>
      <c r="BE20" s="31"/>
      <c r="BF20" s="32"/>
      <c r="BG20" s="30">
        <f t="shared" si="15"/>
        <v>0</v>
      </c>
      <c r="BH20" s="31"/>
      <c r="BI20" s="32"/>
      <c r="BJ20" s="30">
        <f t="shared" si="16"/>
        <v>0</v>
      </c>
      <c r="BK20" s="31"/>
      <c r="BL20" s="32"/>
      <c r="BM20" s="30">
        <f t="shared" si="17"/>
        <v>0</v>
      </c>
      <c r="BN20" s="31"/>
      <c r="BO20" s="32"/>
      <c r="BP20" s="30">
        <f t="shared" si="36"/>
        <v>0</v>
      </c>
      <c r="BQ20" s="31"/>
      <c r="BR20" s="32"/>
      <c r="BS20" s="30">
        <f t="shared" si="33"/>
        <v>0</v>
      </c>
      <c r="BT20" s="31"/>
      <c r="BU20" s="32"/>
      <c r="BV20" s="30">
        <f t="shared" si="19"/>
        <v>0</v>
      </c>
      <c r="BW20" s="31"/>
      <c r="BX20" s="32"/>
      <c r="BY20" s="30">
        <f t="shared" si="20"/>
        <v>0</v>
      </c>
      <c r="BZ20" s="31"/>
      <c r="CA20" s="32"/>
      <c r="CB20" s="30">
        <f t="shared" si="21"/>
        <v>0</v>
      </c>
      <c r="CC20" s="31"/>
      <c r="CD20" s="32"/>
      <c r="CE20" s="30">
        <f t="shared" si="22"/>
        <v>0</v>
      </c>
      <c r="CF20" s="31"/>
      <c r="CG20" s="32"/>
      <c r="CH20" s="30">
        <f t="shared" si="23"/>
        <v>0</v>
      </c>
      <c r="CI20" s="31"/>
      <c r="CJ20" s="32"/>
      <c r="CK20" s="30">
        <f t="shared" si="24"/>
        <v>0</v>
      </c>
      <c r="CL20" s="31"/>
      <c r="CM20" s="32"/>
      <c r="CN20" s="30">
        <f t="shared" si="25"/>
        <v>0</v>
      </c>
      <c r="CO20" s="31"/>
      <c r="CP20" s="32"/>
      <c r="CQ20" s="30">
        <f t="shared" si="26"/>
        <v>0</v>
      </c>
      <c r="CR20" s="31"/>
      <c r="CS20" s="32"/>
      <c r="CT20" s="30">
        <f t="shared" si="27"/>
        <v>0</v>
      </c>
      <c r="CU20" s="33">
        <f t="shared" si="28"/>
        <v>130.4</v>
      </c>
      <c r="CV20" s="30">
        <f t="shared" si="29"/>
        <v>1700</v>
      </c>
      <c r="CW20" s="30">
        <f t="shared" si="30"/>
        <v>221680</v>
      </c>
    </row>
    <row r="21" spans="1:101" ht="15.75" customHeight="1" x14ac:dyDescent="0.35">
      <c r="A21" s="28" t="s">
        <v>882</v>
      </c>
      <c r="B21" s="28" t="s">
        <v>837</v>
      </c>
      <c r="C21" s="29"/>
      <c r="D21" s="30"/>
      <c r="E21" s="30"/>
      <c r="F21" s="31"/>
      <c r="G21" s="32"/>
      <c r="H21" s="30">
        <f t="shared" si="0"/>
        <v>0</v>
      </c>
      <c r="I21" s="31"/>
      <c r="J21" s="32"/>
      <c r="K21" s="30">
        <f t="shared" si="35"/>
        <v>0</v>
      </c>
      <c r="L21" s="31"/>
      <c r="M21" s="32"/>
      <c r="N21" s="30">
        <f t="shared" si="2"/>
        <v>0</v>
      </c>
      <c r="O21" s="31"/>
      <c r="P21" s="32"/>
      <c r="Q21" s="30">
        <f t="shared" si="3"/>
        <v>0</v>
      </c>
      <c r="R21" s="31"/>
      <c r="S21" s="32"/>
      <c r="T21" s="30">
        <f t="shared" si="4"/>
        <v>0</v>
      </c>
      <c r="U21" s="31"/>
      <c r="V21" s="32"/>
      <c r="W21" s="30">
        <f t="shared" si="5"/>
        <v>0</v>
      </c>
      <c r="X21" s="31"/>
      <c r="Y21" s="32"/>
      <c r="Z21" s="30">
        <f t="shared" si="34"/>
        <v>0</v>
      </c>
      <c r="AA21" s="31"/>
      <c r="AB21" s="32"/>
      <c r="AC21" s="30">
        <f t="shared" si="7"/>
        <v>0</v>
      </c>
      <c r="AD21" s="31"/>
      <c r="AE21" s="32"/>
      <c r="AF21" s="30">
        <f t="shared" si="8"/>
        <v>0</v>
      </c>
      <c r="AG21" s="31"/>
      <c r="AH21" s="32"/>
      <c r="AI21" s="30">
        <f t="shared" si="9"/>
        <v>0</v>
      </c>
      <c r="AJ21" s="31"/>
      <c r="AK21" s="32"/>
      <c r="AL21" s="30">
        <f t="shared" si="10"/>
        <v>0</v>
      </c>
      <c r="AM21" s="31"/>
      <c r="AN21" s="32"/>
      <c r="AO21" s="30">
        <f t="shared" si="11"/>
        <v>0</v>
      </c>
      <c r="AP21" s="31"/>
      <c r="AQ21" s="32"/>
      <c r="AR21" s="30">
        <f>IFERROR(AP21*AQ21, 0)</f>
        <v>0</v>
      </c>
      <c r="AS21" s="31"/>
      <c r="AT21" s="32"/>
      <c r="AU21" s="30">
        <f>IFERROR(AS21*AT21, 0)</f>
        <v>0</v>
      </c>
      <c r="AV21" s="31"/>
      <c r="AW21" s="32"/>
      <c r="AX21" s="30">
        <f t="shared" si="12"/>
        <v>0</v>
      </c>
      <c r="AY21" s="31"/>
      <c r="AZ21" s="32"/>
      <c r="BA21" s="30">
        <f t="shared" si="13"/>
        <v>0</v>
      </c>
      <c r="BB21" s="31"/>
      <c r="BC21" s="32"/>
      <c r="BD21" s="30">
        <f t="shared" si="14"/>
        <v>0</v>
      </c>
      <c r="BE21" s="31"/>
      <c r="BF21" s="32"/>
      <c r="BG21" s="30">
        <f t="shared" si="15"/>
        <v>0</v>
      </c>
      <c r="BH21" s="31"/>
      <c r="BI21" s="32"/>
      <c r="BJ21" s="30">
        <f t="shared" si="16"/>
        <v>0</v>
      </c>
      <c r="BK21" s="31"/>
      <c r="BL21" s="32"/>
      <c r="BM21" s="30">
        <f t="shared" si="17"/>
        <v>0</v>
      </c>
      <c r="BN21" s="31"/>
      <c r="BO21" s="32"/>
      <c r="BP21" s="30">
        <f t="shared" si="36"/>
        <v>0</v>
      </c>
      <c r="BQ21" s="31"/>
      <c r="BR21" s="32"/>
      <c r="BS21" s="30">
        <f t="shared" si="33"/>
        <v>0</v>
      </c>
      <c r="BT21" s="31"/>
      <c r="BU21" s="32"/>
      <c r="BV21" s="30">
        <f t="shared" si="19"/>
        <v>0</v>
      </c>
      <c r="BW21" s="31"/>
      <c r="BX21" s="32"/>
      <c r="BY21" s="30">
        <f t="shared" si="20"/>
        <v>0</v>
      </c>
      <c r="BZ21" s="31"/>
      <c r="CA21" s="32"/>
      <c r="CB21" s="30">
        <f t="shared" si="21"/>
        <v>0</v>
      </c>
      <c r="CC21" s="31"/>
      <c r="CD21" s="32"/>
      <c r="CE21" s="30">
        <f t="shared" si="22"/>
        <v>0</v>
      </c>
      <c r="CF21" s="31"/>
      <c r="CG21" s="32"/>
      <c r="CH21" s="30">
        <f t="shared" si="23"/>
        <v>0</v>
      </c>
      <c r="CI21" s="31"/>
      <c r="CJ21" s="32"/>
      <c r="CK21" s="30">
        <f t="shared" si="24"/>
        <v>0</v>
      </c>
      <c r="CL21" s="31"/>
      <c r="CM21" s="32"/>
      <c r="CN21" s="30">
        <f t="shared" si="25"/>
        <v>0</v>
      </c>
      <c r="CO21" s="31"/>
      <c r="CP21" s="32"/>
      <c r="CQ21" s="30">
        <f t="shared" si="26"/>
        <v>0</v>
      </c>
      <c r="CR21" s="31"/>
      <c r="CS21" s="32"/>
      <c r="CT21" s="30">
        <f t="shared" si="27"/>
        <v>0</v>
      </c>
      <c r="CU21" s="33">
        <f t="shared" si="28"/>
        <v>0</v>
      </c>
      <c r="CV21" s="30">
        <f t="shared" si="29"/>
        <v>0</v>
      </c>
      <c r="CW21" s="30">
        <f t="shared" si="30"/>
        <v>0</v>
      </c>
    </row>
    <row r="22" spans="1:101" ht="15.75" customHeight="1" x14ac:dyDescent="0.35">
      <c r="A22" s="28" t="s">
        <v>182</v>
      </c>
      <c r="B22" s="28" t="s">
        <v>837</v>
      </c>
      <c r="C22" s="34"/>
      <c r="D22" s="32"/>
      <c r="E22" s="32"/>
      <c r="F22" s="31"/>
      <c r="G22" s="32"/>
      <c r="H22" s="30">
        <f t="shared" si="0"/>
        <v>0</v>
      </c>
      <c r="I22" s="31"/>
      <c r="J22" s="32"/>
      <c r="K22" s="30">
        <f t="shared" si="35"/>
        <v>0</v>
      </c>
      <c r="L22" s="31">
        <v>5.4050000000000002</v>
      </c>
      <c r="M22" s="32">
        <v>3280</v>
      </c>
      <c r="N22" s="30">
        <v>17729</v>
      </c>
      <c r="O22" s="31"/>
      <c r="P22" s="32"/>
      <c r="Q22" s="30">
        <f t="shared" si="3"/>
        <v>0</v>
      </c>
      <c r="R22" s="31"/>
      <c r="S22" s="32"/>
      <c r="T22" s="30">
        <f t="shared" si="4"/>
        <v>0</v>
      </c>
      <c r="U22" s="31"/>
      <c r="V22" s="32"/>
      <c r="W22" s="30">
        <f t="shared" si="5"/>
        <v>0</v>
      </c>
      <c r="X22" s="31"/>
      <c r="Y22" s="32"/>
      <c r="Z22" s="30">
        <f t="shared" si="34"/>
        <v>0</v>
      </c>
      <c r="AA22" s="31"/>
      <c r="AB22" s="32"/>
      <c r="AC22" s="30">
        <f t="shared" si="7"/>
        <v>0</v>
      </c>
      <c r="AD22" s="31"/>
      <c r="AE22" s="32"/>
      <c r="AF22" s="30">
        <f t="shared" si="8"/>
        <v>0</v>
      </c>
      <c r="AG22" s="31"/>
      <c r="AH22" s="32"/>
      <c r="AI22" s="30">
        <f t="shared" si="9"/>
        <v>0</v>
      </c>
      <c r="AJ22" s="31"/>
      <c r="AK22" s="32"/>
      <c r="AL22" s="30">
        <f t="shared" si="10"/>
        <v>0</v>
      </c>
      <c r="AM22" s="31"/>
      <c r="AN22" s="32"/>
      <c r="AO22" s="30">
        <f t="shared" si="11"/>
        <v>0</v>
      </c>
      <c r="AP22" s="31"/>
      <c r="AQ22" s="32"/>
      <c r="AR22" s="30">
        <f>IFERROR(AP22*AQ22, 0)</f>
        <v>0</v>
      </c>
      <c r="AS22" s="31"/>
      <c r="AT22" s="32"/>
      <c r="AU22" s="30">
        <f>IFERROR(AS22*AT22, 0)</f>
        <v>0</v>
      </c>
      <c r="AV22" s="31"/>
      <c r="AW22" s="32"/>
      <c r="AX22" s="30">
        <f t="shared" si="12"/>
        <v>0</v>
      </c>
      <c r="AY22" s="31"/>
      <c r="AZ22" s="32"/>
      <c r="BA22" s="30">
        <f t="shared" si="13"/>
        <v>0</v>
      </c>
      <c r="BB22" s="31"/>
      <c r="BC22" s="32"/>
      <c r="BD22" s="30">
        <f t="shared" si="14"/>
        <v>0</v>
      </c>
      <c r="BE22" s="31"/>
      <c r="BF22" s="32"/>
      <c r="BG22" s="30">
        <f t="shared" si="15"/>
        <v>0</v>
      </c>
      <c r="BH22" s="31"/>
      <c r="BI22" s="32"/>
      <c r="BJ22" s="30">
        <f t="shared" si="16"/>
        <v>0</v>
      </c>
      <c r="BK22" s="31">
        <v>1</v>
      </c>
      <c r="BL22" s="32">
        <v>70000</v>
      </c>
      <c r="BM22" s="30">
        <v>70000</v>
      </c>
      <c r="BN22" s="31"/>
      <c r="BO22" s="32"/>
      <c r="BP22" s="30">
        <f t="shared" si="36"/>
        <v>0</v>
      </c>
      <c r="BQ22" s="31"/>
      <c r="BR22" s="32"/>
      <c r="BS22" s="30">
        <f t="shared" si="33"/>
        <v>0</v>
      </c>
      <c r="BT22" s="31"/>
      <c r="BU22" s="32"/>
      <c r="BV22" s="30">
        <f t="shared" si="19"/>
        <v>0</v>
      </c>
      <c r="BW22" s="31"/>
      <c r="BX22" s="32"/>
      <c r="BY22" s="30">
        <f t="shared" si="20"/>
        <v>0</v>
      </c>
      <c r="BZ22" s="31"/>
      <c r="CA22" s="32"/>
      <c r="CB22" s="30">
        <f t="shared" si="21"/>
        <v>0</v>
      </c>
      <c r="CC22" s="31"/>
      <c r="CD22" s="32"/>
      <c r="CE22" s="30">
        <f t="shared" si="22"/>
        <v>0</v>
      </c>
      <c r="CF22" s="31"/>
      <c r="CG22" s="32"/>
      <c r="CH22" s="30">
        <f t="shared" si="23"/>
        <v>0</v>
      </c>
      <c r="CI22" s="31"/>
      <c r="CJ22" s="32"/>
      <c r="CK22" s="30">
        <f t="shared" si="24"/>
        <v>0</v>
      </c>
      <c r="CL22" s="31"/>
      <c r="CM22" s="32"/>
      <c r="CN22" s="30">
        <f t="shared" si="25"/>
        <v>0</v>
      </c>
      <c r="CO22" s="31"/>
      <c r="CP22" s="32"/>
      <c r="CQ22" s="30">
        <f t="shared" si="26"/>
        <v>0</v>
      </c>
      <c r="CR22" s="31"/>
      <c r="CS22" s="32"/>
      <c r="CT22" s="30">
        <f t="shared" si="27"/>
        <v>0</v>
      </c>
      <c r="CU22" s="33">
        <f t="shared" si="28"/>
        <v>6.4050000000000002</v>
      </c>
      <c r="CV22" s="30">
        <f t="shared" si="29"/>
        <v>36640</v>
      </c>
      <c r="CW22" s="30">
        <f t="shared" si="30"/>
        <v>234679.2</v>
      </c>
    </row>
    <row r="23" spans="1:101" ht="15.75" customHeight="1" x14ac:dyDescent="0.35">
      <c r="A23" s="28" t="s">
        <v>883</v>
      </c>
      <c r="B23" s="28" t="s">
        <v>837</v>
      </c>
      <c r="C23" s="34"/>
      <c r="D23" s="32"/>
      <c r="E23" s="32"/>
      <c r="F23" s="31"/>
      <c r="G23" s="32"/>
      <c r="H23" s="30">
        <f t="shared" si="0"/>
        <v>0</v>
      </c>
      <c r="I23" s="31"/>
      <c r="J23" s="32"/>
      <c r="K23" s="30">
        <f t="shared" si="35"/>
        <v>0</v>
      </c>
      <c r="L23" s="31"/>
      <c r="M23" s="32"/>
      <c r="N23" s="30">
        <f t="shared" ref="N23:N54" si="37">IFERROR(L23*M23, 0)</f>
        <v>0</v>
      </c>
      <c r="O23" s="31"/>
      <c r="P23" s="32"/>
      <c r="Q23" s="30">
        <f t="shared" si="3"/>
        <v>0</v>
      </c>
      <c r="R23" s="31"/>
      <c r="S23" s="32"/>
      <c r="T23" s="30">
        <f t="shared" si="4"/>
        <v>0</v>
      </c>
      <c r="U23" s="31"/>
      <c r="V23" s="32"/>
      <c r="W23" s="30">
        <f t="shared" si="5"/>
        <v>0</v>
      </c>
      <c r="X23" s="31"/>
      <c r="Y23" s="32"/>
      <c r="Z23" s="30">
        <f t="shared" si="34"/>
        <v>0</v>
      </c>
      <c r="AA23" s="31"/>
      <c r="AB23" s="32"/>
      <c r="AC23" s="30">
        <f t="shared" si="7"/>
        <v>0</v>
      </c>
      <c r="AD23" s="31"/>
      <c r="AE23" s="32"/>
      <c r="AF23" s="30">
        <f t="shared" si="8"/>
        <v>0</v>
      </c>
      <c r="AG23" s="31"/>
      <c r="AH23" s="32"/>
      <c r="AI23" s="30">
        <f t="shared" si="9"/>
        <v>0</v>
      </c>
      <c r="AJ23" s="31"/>
      <c r="AK23" s="32"/>
      <c r="AL23" s="30">
        <f t="shared" si="10"/>
        <v>0</v>
      </c>
      <c r="AM23" s="31"/>
      <c r="AN23" s="32"/>
      <c r="AO23" s="30">
        <f t="shared" si="11"/>
        <v>0</v>
      </c>
      <c r="AP23" s="31"/>
      <c r="AQ23" s="32"/>
      <c r="AR23" s="30">
        <f>IFERROR(AP23*AQ23, 0)</f>
        <v>0</v>
      </c>
      <c r="AS23" s="31"/>
      <c r="AT23" s="32"/>
      <c r="AU23" s="30">
        <f>IFERROR(AS23*AT23, 0)</f>
        <v>0</v>
      </c>
      <c r="AV23" s="31"/>
      <c r="AW23" s="32"/>
      <c r="AX23" s="30">
        <f t="shared" si="12"/>
        <v>0</v>
      </c>
      <c r="AY23" s="31"/>
      <c r="AZ23" s="32"/>
      <c r="BA23" s="30">
        <f t="shared" si="13"/>
        <v>0</v>
      </c>
      <c r="BB23" s="31"/>
      <c r="BC23" s="32"/>
      <c r="BD23" s="30">
        <f t="shared" si="14"/>
        <v>0</v>
      </c>
      <c r="BE23" s="31"/>
      <c r="BF23" s="32"/>
      <c r="BG23" s="30">
        <f t="shared" si="15"/>
        <v>0</v>
      </c>
      <c r="BH23" s="31"/>
      <c r="BI23" s="32"/>
      <c r="BJ23" s="30">
        <f t="shared" si="16"/>
        <v>0</v>
      </c>
      <c r="BK23" s="31"/>
      <c r="BL23" s="32"/>
      <c r="BM23" s="30">
        <f t="shared" ref="BM23:BM54" si="38">IFERROR(BK23*BL23, 0)</f>
        <v>0</v>
      </c>
      <c r="BN23" s="31"/>
      <c r="BO23" s="32"/>
      <c r="BP23" s="30">
        <f t="shared" si="36"/>
        <v>0</v>
      </c>
      <c r="BQ23" s="31"/>
      <c r="BR23" s="32"/>
      <c r="BS23" s="30">
        <f t="shared" si="33"/>
        <v>0</v>
      </c>
      <c r="BT23" s="31"/>
      <c r="BU23" s="32"/>
      <c r="BV23" s="30">
        <f t="shared" si="19"/>
        <v>0</v>
      </c>
      <c r="BW23" s="31"/>
      <c r="BX23" s="32"/>
      <c r="BY23" s="30">
        <f t="shared" si="20"/>
        <v>0</v>
      </c>
      <c r="BZ23" s="31"/>
      <c r="CA23" s="32"/>
      <c r="CB23" s="30">
        <f t="shared" si="21"/>
        <v>0</v>
      </c>
      <c r="CC23" s="31"/>
      <c r="CD23" s="32"/>
      <c r="CE23" s="30">
        <f t="shared" si="22"/>
        <v>0</v>
      </c>
      <c r="CF23" s="31"/>
      <c r="CG23" s="32"/>
      <c r="CH23" s="30">
        <f t="shared" si="23"/>
        <v>0</v>
      </c>
      <c r="CI23" s="31"/>
      <c r="CJ23" s="32"/>
      <c r="CK23" s="30">
        <f t="shared" si="24"/>
        <v>0</v>
      </c>
      <c r="CL23" s="31"/>
      <c r="CM23" s="32"/>
      <c r="CN23" s="30">
        <f t="shared" si="25"/>
        <v>0</v>
      </c>
      <c r="CO23" s="31"/>
      <c r="CP23" s="32"/>
      <c r="CQ23" s="30">
        <f t="shared" si="26"/>
        <v>0</v>
      </c>
      <c r="CR23" s="31"/>
      <c r="CS23" s="32"/>
      <c r="CT23" s="30">
        <f t="shared" si="27"/>
        <v>0</v>
      </c>
      <c r="CU23" s="33">
        <f t="shared" si="28"/>
        <v>0</v>
      </c>
      <c r="CV23" s="30">
        <f t="shared" si="29"/>
        <v>0</v>
      </c>
      <c r="CW23" s="30">
        <f t="shared" si="30"/>
        <v>0</v>
      </c>
    </row>
    <row r="24" spans="1:101" ht="15.75" customHeight="1" x14ac:dyDescent="0.35">
      <c r="A24" s="28" t="s">
        <v>884</v>
      </c>
      <c r="B24" s="28" t="s">
        <v>837</v>
      </c>
      <c r="C24" s="34"/>
      <c r="D24" s="32"/>
      <c r="E24" s="32"/>
      <c r="F24" s="31"/>
      <c r="G24" s="32"/>
      <c r="H24" s="30">
        <f t="shared" si="0"/>
        <v>0</v>
      </c>
      <c r="I24" s="31"/>
      <c r="J24" s="32"/>
      <c r="K24" s="30">
        <f t="shared" si="35"/>
        <v>0</v>
      </c>
      <c r="L24" s="31"/>
      <c r="M24" s="32"/>
      <c r="N24" s="30">
        <f t="shared" si="37"/>
        <v>0</v>
      </c>
      <c r="O24" s="31"/>
      <c r="P24" s="32"/>
      <c r="Q24" s="30">
        <f t="shared" si="3"/>
        <v>0</v>
      </c>
      <c r="R24" s="31"/>
      <c r="S24" s="32"/>
      <c r="T24" s="30">
        <f t="shared" si="4"/>
        <v>0</v>
      </c>
      <c r="U24" s="31"/>
      <c r="V24" s="32"/>
      <c r="W24" s="30">
        <f t="shared" si="5"/>
        <v>0</v>
      </c>
      <c r="X24" s="31"/>
      <c r="Y24" s="32"/>
      <c r="Z24" s="30">
        <f t="shared" si="34"/>
        <v>0</v>
      </c>
      <c r="AA24" s="31"/>
      <c r="AB24" s="32"/>
      <c r="AC24" s="30">
        <f t="shared" si="7"/>
        <v>0</v>
      </c>
      <c r="AD24" s="31"/>
      <c r="AE24" s="32"/>
      <c r="AF24" s="30">
        <f t="shared" si="8"/>
        <v>0</v>
      </c>
      <c r="AG24" s="31"/>
      <c r="AH24" s="32"/>
      <c r="AI24" s="30">
        <f t="shared" si="9"/>
        <v>0</v>
      </c>
      <c r="AJ24" s="31"/>
      <c r="AK24" s="32"/>
      <c r="AL24" s="30">
        <f t="shared" si="10"/>
        <v>0</v>
      </c>
      <c r="AM24" s="31"/>
      <c r="AN24" s="32"/>
      <c r="AO24" s="30">
        <f t="shared" si="11"/>
        <v>0</v>
      </c>
      <c r="AP24" s="31"/>
      <c r="AQ24" s="32"/>
      <c r="AR24" s="30">
        <f>IFERROR(AP24*AQ24, 0)</f>
        <v>0</v>
      </c>
      <c r="AS24" s="31"/>
      <c r="AT24" s="32"/>
      <c r="AU24" s="30">
        <f>IFERROR(AS24*AT24, 0)</f>
        <v>0</v>
      </c>
      <c r="AV24" s="31"/>
      <c r="AW24" s="32"/>
      <c r="AX24" s="30">
        <f t="shared" si="12"/>
        <v>0</v>
      </c>
      <c r="AY24" s="31"/>
      <c r="AZ24" s="32"/>
      <c r="BA24" s="30">
        <f t="shared" si="13"/>
        <v>0</v>
      </c>
      <c r="BB24" s="31"/>
      <c r="BC24" s="32"/>
      <c r="BD24" s="30">
        <f t="shared" si="14"/>
        <v>0</v>
      </c>
      <c r="BE24" s="31"/>
      <c r="BF24" s="32"/>
      <c r="BG24" s="30">
        <f t="shared" si="15"/>
        <v>0</v>
      </c>
      <c r="BH24" s="31"/>
      <c r="BI24" s="32"/>
      <c r="BJ24" s="30">
        <f t="shared" si="16"/>
        <v>0</v>
      </c>
      <c r="BK24" s="31"/>
      <c r="BL24" s="32"/>
      <c r="BM24" s="30">
        <f t="shared" si="38"/>
        <v>0</v>
      </c>
      <c r="BN24" s="31"/>
      <c r="BO24" s="32"/>
      <c r="BP24" s="30">
        <f t="shared" si="36"/>
        <v>0</v>
      </c>
      <c r="BQ24" s="31"/>
      <c r="BR24" s="32"/>
      <c r="BS24" s="30">
        <f t="shared" si="33"/>
        <v>0</v>
      </c>
      <c r="BT24" s="31"/>
      <c r="BU24" s="32"/>
      <c r="BV24" s="30">
        <f t="shared" si="19"/>
        <v>0</v>
      </c>
      <c r="BW24" s="31"/>
      <c r="BX24" s="32"/>
      <c r="BY24" s="30">
        <f t="shared" si="20"/>
        <v>0</v>
      </c>
      <c r="BZ24" s="31"/>
      <c r="CA24" s="32"/>
      <c r="CB24" s="30">
        <f t="shared" si="21"/>
        <v>0</v>
      </c>
      <c r="CC24" s="31"/>
      <c r="CD24" s="32"/>
      <c r="CE24" s="30">
        <f t="shared" si="22"/>
        <v>0</v>
      </c>
      <c r="CF24" s="31"/>
      <c r="CG24" s="32"/>
      <c r="CH24" s="30">
        <f t="shared" si="23"/>
        <v>0</v>
      </c>
      <c r="CI24" s="31"/>
      <c r="CJ24" s="32"/>
      <c r="CK24" s="30">
        <f t="shared" si="24"/>
        <v>0</v>
      </c>
      <c r="CL24" s="31"/>
      <c r="CM24" s="32"/>
      <c r="CN24" s="30">
        <f t="shared" si="25"/>
        <v>0</v>
      </c>
      <c r="CO24" s="31"/>
      <c r="CP24" s="32"/>
      <c r="CQ24" s="30">
        <f t="shared" si="26"/>
        <v>0</v>
      </c>
      <c r="CR24" s="31"/>
      <c r="CS24" s="32"/>
      <c r="CT24" s="30">
        <f t="shared" si="27"/>
        <v>0</v>
      </c>
      <c r="CU24" s="33">
        <f t="shared" si="28"/>
        <v>0</v>
      </c>
      <c r="CV24" s="30">
        <f t="shared" si="29"/>
        <v>0</v>
      </c>
      <c r="CW24" s="30">
        <f t="shared" si="30"/>
        <v>0</v>
      </c>
    </row>
    <row r="25" spans="1:101" ht="15.75" customHeight="1" x14ac:dyDescent="0.35">
      <c r="A25" s="28" t="s">
        <v>468</v>
      </c>
      <c r="B25" s="28" t="s">
        <v>837</v>
      </c>
      <c r="C25" s="29"/>
      <c r="D25" s="30"/>
      <c r="E25" s="30"/>
      <c r="F25" s="31"/>
      <c r="G25" s="32"/>
      <c r="H25" s="30">
        <f t="shared" si="0"/>
        <v>0</v>
      </c>
      <c r="I25" s="31"/>
      <c r="J25" s="32"/>
      <c r="K25" s="30">
        <f t="shared" si="35"/>
        <v>0</v>
      </c>
      <c r="L25" s="31"/>
      <c r="M25" s="32"/>
      <c r="N25" s="30">
        <f t="shared" si="37"/>
        <v>0</v>
      </c>
      <c r="O25" s="31"/>
      <c r="P25" s="32"/>
      <c r="Q25" s="30">
        <f t="shared" si="3"/>
        <v>0</v>
      </c>
      <c r="R25" s="31"/>
      <c r="S25" s="32"/>
      <c r="T25" s="30">
        <f t="shared" si="4"/>
        <v>0</v>
      </c>
      <c r="U25" s="31"/>
      <c r="V25" s="32"/>
      <c r="W25" s="30">
        <f t="shared" si="5"/>
        <v>0</v>
      </c>
      <c r="X25" s="31"/>
      <c r="Y25" s="32"/>
      <c r="Z25" s="30">
        <f t="shared" si="34"/>
        <v>0</v>
      </c>
      <c r="AA25" s="31"/>
      <c r="AB25" s="32"/>
      <c r="AC25" s="30">
        <f t="shared" si="7"/>
        <v>0</v>
      </c>
      <c r="AD25" s="31"/>
      <c r="AE25" s="32"/>
      <c r="AF25" s="30">
        <f t="shared" si="8"/>
        <v>0</v>
      </c>
      <c r="AG25" s="31"/>
      <c r="AH25" s="32"/>
      <c r="AI25" s="30">
        <f t="shared" si="9"/>
        <v>0</v>
      </c>
      <c r="AJ25" s="31"/>
      <c r="AK25" s="32"/>
      <c r="AL25" s="30">
        <f t="shared" si="10"/>
        <v>0</v>
      </c>
      <c r="AM25" s="31"/>
      <c r="AN25" s="32"/>
      <c r="AO25" s="30">
        <f t="shared" si="11"/>
        <v>0</v>
      </c>
      <c r="AP25" s="31">
        <v>10.9</v>
      </c>
      <c r="AQ25" s="32">
        <v>3000</v>
      </c>
      <c r="AR25" s="30">
        <v>34150</v>
      </c>
      <c r="AS25" s="31">
        <v>1</v>
      </c>
      <c r="AT25" s="32">
        <v>35000</v>
      </c>
      <c r="AU25" s="30">
        <v>35000</v>
      </c>
      <c r="AV25" s="31"/>
      <c r="AW25" s="32"/>
      <c r="AX25" s="30">
        <f t="shared" si="12"/>
        <v>0</v>
      </c>
      <c r="AY25" s="31"/>
      <c r="AZ25" s="32"/>
      <c r="BA25" s="30">
        <f t="shared" si="13"/>
        <v>0</v>
      </c>
      <c r="BB25" s="31"/>
      <c r="BC25" s="32"/>
      <c r="BD25" s="30">
        <f t="shared" si="14"/>
        <v>0</v>
      </c>
      <c r="BE25" s="31"/>
      <c r="BF25" s="32"/>
      <c r="BG25" s="30">
        <f t="shared" si="15"/>
        <v>0</v>
      </c>
      <c r="BH25" s="31"/>
      <c r="BI25" s="32"/>
      <c r="BJ25" s="30">
        <f t="shared" si="16"/>
        <v>0</v>
      </c>
      <c r="BK25" s="31"/>
      <c r="BL25" s="32"/>
      <c r="BM25" s="30">
        <f t="shared" si="38"/>
        <v>0</v>
      </c>
      <c r="BN25" s="31">
        <v>5.5</v>
      </c>
      <c r="BO25" s="32">
        <v>3500</v>
      </c>
      <c r="BP25" s="30">
        <v>19250</v>
      </c>
      <c r="BQ25" s="31"/>
      <c r="BR25" s="32"/>
      <c r="BS25" s="30">
        <f t="shared" si="33"/>
        <v>0</v>
      </c>
      <c r="BT25" s="31"/>
      <c r="BU25" s="32"/>
      <c r="BV25" s="30">
        <f t="shared" si="19"/>
        <v>0</v>
      </c>
      <c r="BW25" s="31">
        <v>1</v>
      </c>
      <c r="BX25" s="32">
        <v>40000</v>
      </c>
      <c r="BY25" s="30">
        <v>40000</v>
      </c>
      <c r="BZ25" s="31"/>
      <c r="CA25" s="32"/>
      <c r="CB25" s="30">
        <f t="shared" si="21"/>
        <v>0</v>
      </c>
      <c r="CC25" s="31"/>
      <c r="CD25" s="32"/>
      <c r="CE25" s="30">
        <f t="shared" si="22"/>
        <v>0</v>
      </c>
      <c r="CF25" s="31"/>
      <c r="CG25" s="32"/>
      <c r="CH25" s="30">
        <f t="shared" si="23"/>
        <v>0</v>
      </c>
      <c r="CI25" s="31"/>
      <c r="CJ25" s="32"/>
      <c r="CK25" s="30">
        <f t="shared" si="24"/>
        <v>0</v>
      </c>
      <c r="CL25" s="31"/>
      <c r="CM25" s="32"/>
      <c r="CN25" s="30">
        <f t="shared" si="25"/>
        <v>0</v>
      </c>
      <c r="CO25" s="31"/>
      <c r="CP25" s="32"/>
      <c r="CQ25" s="30">
        <f t="shared" si="26"/>
        <v>0</v>
      </c>
      <c r="CR25" s="31"/>
      <c r="CS25" s="32"/>
      <c r="CT25" s="30">
        <f t="shared" si="27"/>
        <v>0</v>
      </c>
      <c r="CU25" s="33">
        <f t="shared" si="28"/>
        <v>18.399999999999999</v>
      </c>
      <c r="CV25" s="30">
        <f t="shared" si="29"/>
        <v>20375</v>
      </c>
      <c r="CW25" s="30">
        <f t="shared" si="30"/>
        <v>374900</v>
      </c>
    </row>
    <row r="26" spans="1:101" ht="15.75" customHeight="1" x14ac:dyDescent="0.35">
      <c r="A26" s="28" t="s">
        <v>492</v>
      </c>
      <c r="B26" s="28" t="s">
        <v>885</v>
      </c>
      <c r="C26" s="29"/>
      <c r="D26" s="30"/>
      <c r="E26" s="30"/>
      <c r="F26" s="31"/>
      <c r="G26" s="32"/>
      <c r="H26" s="30">
        <f t="shared" si="0"/>
        <v>0</v>
      </c>
      <c r="I26" s="31"/>
      <c r="J26" s="32"/>
      <c r="K26" s="30">
        <f t="shared" si="35"/>
        <v>0</v>
      </c>
      <c r="L26" s="31"/>
      <c r="M26" s="32"/>
      <c r="N26" s="30">
        <f t="shared" si="37"/>
        <v>0</v>
      </c>
      <c r="O26" s="31"/>
      <c r="P26" s="32"/>
      <c r="Q26" s="30">
        <f t="shared" si="3"/>
        <v>0</v>
      </c>
      <c r="R26" s="31"/>
      <c r="S26" s="32"/>
      <c r="T26" s="30">
        <f t="shared" si="4"/>
        <v>0</v>
      </c>
      <c r="U26" s="31"/>
      <c r="V26" s="32"/>
      <c r="W26" s="30">
        <f t="shared" si="5"/>
        <v>0</v>
      </c>
      <c r="X26" s="31"/>
      <c r="Y26" s="32"/>
      <c r="Z26" s="30">
        <f t="shared" si="34"/>
        <v>0</v>
      </c>
      <c r="AA26" s="31"/>
      <c r="AB26" s="32"/>
      <c r="AC26" s="30">
        <f t="shared" si="7"/>
        <v>0</v>
      </c>
      <c r="AD26" s="31"/>
      <c r="AE26" s="32"/>
      <c r="AF26" s="30">
        <f t="shared" si="8"/>
        <v>0</v>
      </c>
      <c r="AG26" s="31"/>
      <c r="AH26" s="32"/>
      <c r="AI26" s="30">
        <f t="shared" si="9"/>
        <v>0</v>
      </c>
      <c r="AJ26" s="31"/>
      <c r="AK26" s="32"/>
      <c r="AL26" s="30">
        <f t="shared" si="10"/>
        <v>0</v>
      </c>
      <c r="AM26" s="31"/>
      <c r="AN26" s="32"/>
      <c r="AO26" s="30">
        <f t="shared" si="11"/>
        <v>0</v>
      </c>
      <c r="AP26" s="31">
        <v>2</v>
      </c>
      <c r="AQ26" s="32">
        <v>8000</v>
      </c>
      <c r="AR26" s="30">
        <v>16000</v>
      </c>
      <c r="AS26" s="31">
        <v>3</v>
      </c>
      <c r="AT26" s="32">
        <v>8000</v>
      </c>
      <c r="AU26" s="30">
        <v>24000</v>
      </c>
      <c r="AV26" s="31"/>
      <c r="AW26" s="32"/>
      <c r="AX26" s="30">
        <f t="shared" si="12"/>
        <v>0</v>
      </c>
      <c r="AY26" s="31"/>
      <c r="AZ26" s="32"/>
      <c r="BA26" s="30">
        <f t="shared" si="13"/>
        <v>0</v>
      </c>
      <c r="BB26" s="31"/>
      <c r="BC26" s="32"/>
      <c r="BD26" s="30">
        <f t="shared" si="14"/>
        <v>0</v>
      </c>
      <c r="BE26" s="31"/>
      <c r="BF26" s="32"/>
      <c r="BG26" s="30">
        <f t="shared" si="15"/>
        <v>0</v>
      </c>
      <c r="BH26" s="31"/>
      <c r="BI26" s="32"/>
      <c r="BJ26" s="30">
        <f t="shared" si="16"/>
        <v>0</v>
      </c>
      <c r="BK26" s="31"/>
      <c r="BL26" s="32"/>
      <c r="BM26" s="30">
        <f t="shared" si="38"/>
        <v>0</v>
      </c>
      <c r="BN26" s="31"/>
      <c r="BO26" s="32"/>
      <c r="BP26" s="30">
        <f>IFERROR(BN26*BO26, 0)</f>
        <v>0</v>
      </c>
      <c r="BQ26" s="31"/>
      <c r="BR26" s="32"/>
      <c r="BS26" s="30">
        <f t="shared" si="33"/>
        <v>0</v>
      </c>
      <c r="BT26" s="31"/>
      <c r="BU26" s="32"/>
      <c r="BV26" s="30">
        <f t="shared" si="19"/>
        <v>0</v>
      </c>
      <c r="BW26" s="31"/>
      <c r="BX26" s="32"/>
      <c r="BY26" s="30">
        <f t="shared" ref="BY26:BY57" si="39">IFERROR(BW26*BX26, 0)</f>
        <v>0</v>
      </c>
      <c r="BZ26" s="31"/>
      <c r="CA26" s="32"/>
      <c r="CB26" s="30">
        <f t="shared" si="21"/>
        <v>0</v>
      </c>
      <c r="CC26" s="31"/>
      <c r="CD26" s="32"/>
      <c r="CE26" s="30">
        <f t="shared" si="22"/>
        <v>0</v>
      </c>
      <c r="CF26" s="31"/>
      <c r="CG26" s="32"/>
      <c r="CH26" s="30">
        <f t="shared" si="23"/>
        <v>0</v>
      </c>
      <c r="CI26" s="31"/>
      <c r="CJ26" s="32"/>
      <c r="CK26" s="30">
        <f t="shared" si="24"/>
        <v>0</v>
      </c>
      <c r="CL26" s="31"/>
      <c r="CM26" s="32"/>
      <c r="CN26" s="30">
        <f t="shared" si="25"/>
        <v>0</v>
      </c>
      <c r="CO26" s="31"/>
      <c r="CP26" s="32"/>
      <c r="CQ26" s="30">
        <f t="shared" si="26"/>
        <v>0</v>
      </c>
      <c r="CR26" s="31"/>
      <c r="CS26" s="32"/>
      <c r="CT26" s="30">
        <f t="shared" si="27"/>
        <v>0</v>
      </c>
      <c r="CU26" s="33">
        <f t="shared" si="28"/>
        <v>5</v>
      </c>
      <c r="CV26" s="30">
        <f t="shared" si="29"/>
        <v>8000</v>
      </c>
      <c r="CW26" s="30">
        <f t="shared" si="30"/>
        <v>40000</v>
      </c>
    </row>
    <row r="27" spans="1:101" ht="15.75" customHeight="1" x14ac:dyDescent="0.35">
      <c r="A27" s="28" t="s">
        <v>480</v>
      </c>
      <c r="B27" s="28" t="s">
        <v>837</v>
      </c>
      <c r="C27" s="29"/>
      <c r="D27" s="30"/>
      <c r="E27" s="30"/>
      <c r="F27" s="31"/>
      <c r="G27" s="32"/>
      <c r="H27" s="30">
        <f t="shared" si="0"/>
        <v>0</v>
      </c>
      <c r="I27" s="31"/>
      <c r="J27" s="32"/>
      <c r="K27" s="30">
        <f t="shared" si="35"/>
        <v>0</v>
      </c>
      <c r="L27" s="31"/>
      <c r="M27" s="32"/>
      <c r="N27" s="30">
        <f t="shared" si="37"/>
        <v>0</v>
      </c>
      <c r="O27" s="31"/>
      <c r="P27" s="32"/>
      <c r="Q27" s="30">
        <f t="shared" si="3"/>
        <v>0</v>
      </c>
      <c r="R27" s="31"/>
      <c r="S27" s="32"/>
      <c r="T27" s="30">
        <f t="shared" si="4"/>
        <v>0</v>
      </c>
      <c r="U27" s="31"/>
      <c r="V27" s="32"/>
      <c r="W27" s="30">
        <f t="shared" si="5"/>
        <v>0</v>
      </c>
      <c r="X27" s="31"/>
      <c r="Y27" s="32"/>
      <c r="Z27" s="30">
        <f t="shared" si="34"/>
        <v>0</v>
      </c>
      <c r="AA27" s="31"/>
      <c r="AB27" s="32"/>
      <c r="AC27" s="30">
        <f t="shared" si="7"/>
        <v>0</v>
      </c>
      <c r="AD27" s="31"/>
      <c r="AE27" s="32"/>
      <c r="AF27" s="30">
        <f t="shared" si="8"/>
        <v>0</v>
      </c>
      <c r="AG27" s="31"/>
      <c r="AH27" s="32"/>
      <c r="AI27" s="30">
        <f t="shared" si="9"/>
        <v>0</v>
      </c>
      <c r="AJ27" s="31"/>
      <c r="AK27" s="32"/>
      <c r="AL27" s="30">
        <f t="shared" si="10"/>
        <v>0</v>
      </c>
      <c r="AM27" s="31"/>
      <c r="AN27" s="32"/>
      <c r="AO27" s="30">
        <f t="shared" si="11"/>
        <v>0</v>
      </c>
      <c r="AP27" s="31">
        <v>8.9</v>
      </c>
      <c r="AQ27" s="32">
        <v>1800</v>
      </c>
      <c r="AR27" s="30">
        <v>14400</v>
      </c>
      <c r="AS27" s="31">
        <v>5.5</v>
      </c>
      <c r="AT27" s="32">
        <v>1800</v>
      </c>
      <c r="AU27" s="30">
        <v>9900</v>
      </c>
      <c r="AV27" s="31"/>
      <c r="AW27" s="32"/>
      <c r="AX27" s="30">
        <f t="shared" si="12"/>
        <v>0</v>
      </c>
      <c r="AY27" s="31"/>
      <c r="AZ27" s="32"/>
      <c r="BA27" s="30">
        <f t="shared" si="13"/>
        <v>0</v>
      </c>
      <c r="BB27" s="31"/>
      <c r="BC27" s="32"/>
      <c r="BD27" s="30">
        <f t="shared" si="14"/>
        <v>0</v>
      </c>
      <c r="BE27" s="31"/>
      <c r="BF27" s="32"/>
      <c r="BG27" s="30">
        <f t="shared" si="15"/>
        <v>0</v>
      </c>
      <c r="BH27" s="31"/>
      <c r="BI27" s="32"/>
      <c r="BJ27" s="30">
        <f t="shared" si="16"/>
        <v>0</v>
      </c>
      <c r="BK27" s="31"/>
      <c r="BL27" s="32"/>
      <c r="BM27" s="30">
        <f t="shared" si="38"/>
        <v>0</v>
      </c>
      <c r="BN27" s="31">
        <v>3.5</v>
      </c>
      <c r="BO27" s="32">
        <v>1800</v>
      </c>
      <c r="BP27" s="30">
        <v>6300</v>
      </c>
      <c r="BQ27" s="31"/>
      <c r="BR27" s="32"/>
      <c r="BS27" s="30">
        <f t="shared" si="33"/>
        <v>0</v>
      </c>
      <c r="BT27" s="31"/>
      <c r="BU27" s="32"/>
      <c r="BV27" s="30">
        <f t="shared" si="19"/>
        <v>0</v>
      </c>
      <c r="BW27" s="31"/>
      <c r="BX27" s="32"/>
      <c r="BY27" s="30">
        <f t="shared" si="39"/>
        <v>0</v>
      </c>
      <c r="BZ27" s="31"/>
      <c r="CA27" s="32"/>
      <c r="CB27" s="30">
        <f t="shared" si="21"/>
        <v>0</v>
      </c>
      <c r="CC27" s="31"/>
      <c r="CD27" s="32"/>
      <c r="CE27" s="30">
        <f t="shared" si="22"/>
        <v>0</v>
      </c>
      <c r="CF27" s="31"/>
      <c r="CG27" s="32"/>
      <c r="CH27" s="30">
        <f t="shared" si="23"/>
        <v>0</v>
      </c>
      <c r="CI27" s="31"/>
      <c r="CJ27" s="32"/>
      <c r="CK27" s="30">
        <f t="shared" si="24"/>
        <v>0</v>
      </c>
      <c r="CL27" s="31"/>
      <c r="CM27" s="32"/>
      <c r="CN27" s="30">
        <f t="shared" si="25"/>
        <v>0</v>
      </c>
      <c r="CO27" s="31"/>
      <c r="CP27" s="32"/>
      <c r="CQ27" s="30">
        <f t="shared" si="26"/>
        <v>0</v>
      </c>
      <c r="CR27" s="31"/>
      <c r="CS27" s="32"/>
      <c r="CT27" s="30">
        <f t="shared" si="27"/>
        <v>0</v>
      </c>
      <c r="CU27" s="33">
        <f t="shared" si="28"/>
        <v>17.899999999999999</v>
      </c>
      <c r="CV27" s="30">
        <f t="shared" si="29"/>
        <v>1800</v>
      </c>
      <c r="CW27" s="30">
        <f t="shared" si="30"/>
        <v>32219.999999999996</v>
      </c>
    </row>
    <row r="28" spans="1:101" ht="15.75" customHeight="1" x14ac:dyDescent="0.35">
      <c r="A28" s="37" t="s">
        <v>886</v>
      </c>
      <c r="B28" s="37" t="s">
        <v>837</v>
      </c>
      <c r="C28" s="35"/>
      <c r="D28" s="20"/>
      <c r="E28" s="20"/>
      <c r="F28" s="31"/>
      <c r="G28" s="32"/>
      <c r="H28" s="30">
        <f t="shared" si="0"/>
        <v>0</v>
      </c>
      <c r="I28" s="31"/>
      <c r="J28" s="32"/>
      <c r="K28" s="30">
        <f t="shared" si="35"/>
        <v>0</v>
      </c>
      <c r="L28" s="31"/>
      <c r="M28" s="32"/>
      <c r="N28" s="30">
        <f t="shared" si="37"/>
        <v>0</v>
      </c>
      <c r="O28" s="31"/>
      <c r="P28" s="32"/>
      <c r="Q28" s="30">
        <f t="shared" si="3"/>
        <v>0</v>
      </c>
      <c r="R28" s="31"/>
      <c r="S28" s="32"/>
      <c r="T28" s="30">
        <f t="shared" si="4"/>
        <v>0</v>
      </c>
      <c r="U28" s="31"/>
      <c r="V28" s="32"/>
      <c r="W28" s="30">
        <f t="shared" si="5"/>
        <v>0</v>
      </c>
      <c r="X28" s="31"/>
      <c r="Y28" s="32"/>
      <c r="Z28" s="30">
        <f t="shared" si="34"/>
        <v>0</v>
      </c>
      <c r="AA28" s="31"/>
      <c r="AB28" s="32"/>
      <c r="AC28" s="30">
        <f t="shared" si="7"/>
        <v>0</v>
      </c>
      <c r="AD28" s="31"/>
      <c r="AE28" s="32"/>
      <c r="AF28" s="30">
        <f t="shared" si="8"/>
        <v>0</v>
      </c>
      <c r="AG28" s="31"/>
      <c r="AH28" s="32"/>
      <c r="AI28" s="30">
        <f t="shared" si="9"/>
        <v>0</v>
      </c>
      <c r="AJ28" s="31"/>
      <c r="AK28" s="32"/>
      <c r="AL28" s="30">
        <f t="shared" si="10"/>
        <v>0</v>
      </c>
      <c r="AM28" s="31"/>
      <c r="AN28" s="32"/>
      <c r="AO28" s="30">
        <f t="shared" si="11"/>
        <v>0</v>
      </c>
      <c r="AP28" s="31"/>
      <c r="AQ28" s="32"/>
      <c r="AR28" s="30">
        <f>IFERROR(AP28*AQ28, 0)</f>
        <v>0</v>
      </c>
      <c r="AS28" s="31"/>
      <c r="AT28" s="32"/>
      <c r="AU28" s="30">
        <f>IFERROR(AS28*AT28, 0)</f>
        <v>0</v>
      </c>
      <c r="AV28" s="31"/>
      <c r="AW28" s="32"/>
      <c r="AX28" s="30">
        <f t="shared" si="12"/>
        <v>0</v>
      </c>
      <c r="AY28" s="31"/>
      <c r="AZ28" s="32"/>
      <c r="BA28" s="30">
        <f t="shared" si="13"/>
        <v>0</v>
      </c>
      <c r="BB28" s="31"/>
      <c r="BC28" s="32"/>
      <c r="BD28" s="30">
        <f t="shared" si="14"/>
        <v>0</v>
      </c>
      <c r="BE28" s="31"/>
      <c r="BF28" s="32"/>
      <c r="BG28" s="30">
        <f t="shared" si="15"/>
        <v>0</v>
      </c>
      <c r="BH28" s="31"/>
      <c r="BI28" s="32"/>
      <c r="BJ28" s="30">
        <f t="shared" si="16"/>
        <v>0</v>
      </c>
      <c r="BK28" s="31"/>
      <c r="BL28" s="32"/>
      <c r="BM28" s="30">
        <f t="shared" si="38"/>
        <v>0</v>
      </c>
      <c r="BN28" s="31"/>
      <c r="BO28" s="32"/>
      <c r="BP28" s="30">
        <f>IFERROR(BN28*BO28, 0)</f>
        <v>0</v>
      </c>
      <c r="BQ28" s="31"/>
      <c r="BR28" s="32"/>
      <c r="BS28" s="30">
        <f t="shared" si="33"/>
        <v>0</v>
      </c>
      <c r="BT28" s="31"/>
      <c r="BU28" s="32"/>
      <c r="BV28" s="30">
        <f t="shared" si="19"/>
        <v>0</v>
      </c>
      <c r="BW28" s="31"/>
      <c r="BX28" s="32"/>
      <c r="BY28" s="30">
        <f t="shared" si="39"/>
        <v>0</v>
      </c>
      <c r="BZ28" s="31"/>
      <c r="CA28" s="32"/>
      <c r="CB28" s="30">
        <f t="shared" si="21"/>
        <v>0</v>
      </c>
      <c r="CC28" s="31"/>
      <c r="CD28" s="32"/>
      <c r="CE28" s="30">
        <f t="shared" si="22"/>
        <v>0</v>
      </c>
      <c r="CF28" s="31"/>
      <c r="CG28" s="32"/>
      <c r="CH28" s="30">
        <f t="shared" si="23"/>
        <v>0</v>
      </c>
      <c r="CI28" s="31"/>
      <c r="CJ28" s="32"/>
      <c r="CK28" s="30">
        <f t="shared" si="24"/>
        <v>0</v>
      </c>
      <c r="CL28" s="31"/>
      <c r="CM28" s="32"/>
      <c r="CN28" s="30">
        <f t="shared" si="25"/>
        <v>0</v>
      </c>
      <c r="CO28" s="31"/>
      <c r="CP28" s="32"/>
      <c r="CQ28" s="30">
        <f t="shared" si="26"/>
        <v>0</v>
      </c>
      <c r="CR28" s="31"/>
      <c r="CS28" s="32"/>
      <c r="CT28" s="30">
        <f t="shared" si="27"/>
        <v>0</v>
      </c>
      <c r="CU28" s="33">
        <f t="shared" si="28"/>
        <v>0</v>
      </c>
      <c r="CV28" s="30">
        <f t="shared" si="29"/>
        <v>0</v>
      </c>
      <c r="CW28" s="30">
        <f t="shared" si="30"/>
        <v>0</v>
      </c>
    </row>
    <row r="29" spans="1:101" ht="15.75" customHeight="1" x14ac:dyDescent="0.35">
      <c r="A29" s="28" t="s">
        <v>508</v>
      </c>
      <c r="B29" s="28" t="s">
        <v>837</v>
      </c>
      <c r="C29" s="34"/>
      <c r="D29" s="32"/>
      <c r="E29" s="32"/>
      <c r="F29" s="31"/>
      <c r="G29" s="32"/>
      <c r="H29" s="30">
        <f t="shared" si="0"/>
        <v>0</v>
      </c>
      <c r="I29" s="31"/>
      <c r="J29" s="32"/>
      <c r="K29" s="30">
        <f t="shared" si="35"/>
        <v>0</v>
      </c>
      <c r="L29" s="31"/>
      <c r="M29" s="32"/>
      <c r="N29" s="30">
        <f t="shared" si="37"/>
        <v>0</v>
      </c>
      <c r="O29" s="31"/>
      <c r="P29" s="32"/>
      <c r="Q29" s="30">
        <f t="shared" si="3"/>
        <v>0</v>
      </c>
      <c r="R29" s="31"/>
      <c r="S29" s="32"/>
      <c r="T29" s="30">
        <f t="shared" si="4"/>
        <v>0</v>
      </c>
      <c r="U29" s="31"/>
      <c r="V29" s="32"/>
      <c r="W29" s="30">
        <f t="shared" si="5"/>
        <v>0</v>
      </c>
      <c r="X29" s="31"/>
      <c r="Y29" s="32"/>
      <c r="Z29" s="30">
        <f t="shared" si="34"/>
        <v>0</v>
      </c>
      <c r="AA29" s="31"/>
      <c r="AB29" s="32"/>
      <c r="AC29" s="30">
        <f t="shared" si="7"/>
        <v>0</v>
      </c>
      <c r="AD29" s="31"/>
      <c r="AE29" s="32"/>
      <c r="AF29" s="30">
        <f t="shared" si="8"/>
        <v>0</v>
      </c>
      <c r="AG29" s="31"/>
      <c r="AH29" s="32"/>
      <c r="AI29" s="30">
        <f t="shared" si="9"/>
        <v>0</v>
      </c>
      <c r="AJ29" s="31"/>
      <c r="AK29" s="32"/>
      <c r="AL29" s="30">
        <f t="shared" si="10"/>
        <v>0</v>
      </c>
      <c r="AM29" s="31"/>
      <c r="AN29" s="32"/>
      <c r="AO29" s="30">
        <f t="shared" si="11"/>
        <v>0</v>
      </c>
      <c r="AP29" s="31">
        <v>26.3</v>
      </c>
      <c r="AQ29" s="32">
        <v>2000</v>
      </c>
      <c r="AR29" s="30">
        <v>52600</v>
      </c>
      <c r="AS29" s="31">
        <v>30</v>
      </c>
      <c r="AT29" s="32">
        <v>2000</v>
      </c>
      <c r="AU29" s="30">
        <v>60000</v>
      </c>
      <c r="AV29" s="31"/>
      <c r="AW29" s="32"/>
      <c r="AX29" s="30">
        <f t="shared" si="12"/>
        <v>0</v>
      </c>
      <c r="AY29" s="31"/>
      <c r="AZ29" s="32"/>
      <c r="BA29" s="30">
        <f t="shared" si="13"/>
        <v>0</v>
      </c>
      <c r="BB29" s="31"/>
      <c r="BC29" s="32"/>
      <c r="BD29" s="30">
        <f t="shared" si="14"/>
        <v>0</v>
      </c>
      <c r="BE29" s="31"/>
      <c r="BF29" s="32"/>
      <c r="BG29" s="30">
        <f t="shared" si="15"/>
        <v>0</v>
      </c>
      <c r="BH29" s="31"/>
      <c r="BI29" s="32"/>
      <c r="BJ29" s="30">
        <f t="shared" si="16"/>
        <v>0</v>
      </c>
      <c r="BK29" s="31"/>
      <c r="BL29" s="32"/>
      <c r="BM29" s="30">
        <f t="shared" si="38"/>
        <v>0</v>
      </c>
      <c r="BN29" s="31"/>
      <c r="BO29" s="32"/>
      <c r="BP29" s="30">
        <f>IFERROR(BN29*BO29, 0)</f>
        <v>0</v>
      </c>
      <c r="BQ29" s="31"/>
      <c r="BR29" s="32"/>
      <c r="BS29" s="30">
        <f t="shared" si="33"/>
        <v>0</v>
      </c>
      <c r="BT29" s="31"/>
      <c r="BU29" s="32"/>
      <c r="BV29" s="30">
        <f t="shared" si="19"/>
        <v>0</v>
      </c>
      <c r="BW29" s="31"/>
      <c r="BX29" s="32"/>
      <c r="BY29" s="30">
        <f t="shared" si="39"/>
        <v>0</v>
      </c>
      <c r="BZ29" s="31"/>
      <c r="CA29" s="32"/>
      <c r="CB29" s="30">
        <f t="shared" si="21"/>
        <v>0</v>
      </c>
      <c r="CC29" s="31"/>
      <c r="CD29" s="32"/>
      <c r="CE29" s="30">
        <f t="shared" si="22"/>
        <v>0</v>
      </c>
      <c r="CF29" s="31"/>
      <c r="CG29" s="32"/>
      <c r="CH29" s="30">
        <f t="shared" si="23"/>
        <v>0</v>
      </c>
      <c r="CI29" s="31"/>
      <c r="CJ29" s="32"/>
      <c r="CK29" s="30">
        <f t="shared" si="24"/>
        <v>0</v>
      </c>
      <c r="CL29" s="31"/>
      <c r="CM29" s="32"/>
      <c r="CN29" s="30">
        <f t="shared" si="25"/>
        <v>0</v>
      </c>
      <c r="CO29" s="31"/>
      <c r="CP29" s="32"/>
      <c r="CQ29" s="30">
        <f t="shared" si="26"/>
        <v>0</v>
      </c>
      <c r="CR29" s="31"/>
      <c r="CS29" s="32"/>
      <c r="CT29" s="30">
        <f t="shared" si="27"/>
        <v>0</v>
      </c>
      <c r="CU29" s="33">
        <f t="shared" si="28"/>
        <v>56.3</v>
      </c>
      <c r="CV29" s="30">
        <f t="shared" si="29"/>
        <v>2000</v>
      </c>
      <c r="CW29" s="30">
        <f t="shared" si="30"/>
        <v>112600</v>
      </c>
    </row>
    <row r="30" spans="1:101" ht="15.75" customHeight="1" x14ac:dyDescent="0.35">
      <c r="A30" s="28" t="s">
        <v>740</v>
      </c>
      <c r="B30" s="28" t="s">
        <v>837</v>
      </c>
      <c r="C30" s="34"/>
      <c r="D30" s="32"/>
      <c r="E30" s="32"/>
      <c r="F30" s="31"/>
      <c r="G30" s="32"/>
      <c r="H30" s="30">
        <f t="shared" si="0"/>
        <v>0</v>
      </c>
      <c r="I30" s="31"/>
      <c r="J30" s="32"/>
      <c r="K30" s="30">
        <f t="shared" si="35"/>
        <v>0</v>
      </c>
      <c r="L30" s="31"/>
      <c r="M30" s="32"/>
      <c r="N30" s="30">
        <f t="shared" si="37"/>
        <v>0</v>
      </c>
      <c r="O30" s="31"/>
      <c r="P30" s="32"/>
      <c r="Q30" s="30">
        <f t="shared" si="3"/>
        <v>0</v>
      </c>
      <c r="R30" s="31"/>
      <c r="S30" s="32"/>
      <c r="T30" s="30">
        <f t="shared" si="4"/>
        <v>0</v>
      </c>
      <c r="U30" s="31"/>
      <c r="V30" s="32"/>
      <c r="W30" s="30">
        <f t="shared" si="5"/>
        <v>0</v>
      </c>
      <c r="X30" s="31"/>
      <c r="Y30" s="32"/>
      <c r="Z30" s="30">
        <f t="shared" si="34"/>
        <v>0</v>
      </c>
      <c r="AA30" s="31"/>
      <c r="AB30" s="32"/>
      <c r="AC30" s="30">
        <f t="shared" si="7"/>
        <v>0</v>
      </c>
      <c r="AD30" s="31"/>
      <c r="AE30" s="32"/>
      <c r="AF30" s="30">
        <f t="shared" si="8"/>
        <v>0</v>
      </c>
      <c r="AG30" s="31"/>
      <c r="AH30" s="32"/>
      <c r="AI30" s="30">
        <f t="shared" si="9"/>
        <v>0</v>
      </c>
      <c r="AJ30" s="31"/>
      <c r="AK30" s="32"/>
      <c r="AL30" s="30">
        <f t="shared" si="10"/>
        <v>0</v>
      </c>
      <c r="AM30" s="31"/>
      <c r="AN30" s="32"/>
      <c r="AO30" s="30">
        <f t="shared" si="11"/>
        <v>0</v>
      </c>
      <c r="AP30" s="31"/>
      <c r="AQ30" s="32"/>
      <c r="AR30" s="30">
        <f>IFERROR(AP30*AQ30, 0)</f>
        <v>0</v>
      </c>
      <c r="AS30" s="31"/>
      <c r="AT30" s="32"/>
      <c r="AU30" s="30">
        <f>IFERROR(AS30*AT30, 0)</f>
        <v>0</v>
      </c>
      <c r="AV30" s="31"/>
      <c r="AW30" s="32"/>
      <c r="AX30" s="30">
        <f t="shared" si="12"/>
        <v>0</v>
      </c>
      <c r="AY30" s="31"/>
      <c r="AZ30" s="32"/>
      <c r="BA30" s="30">
        <f t="shared" si="13"/>
        <v>0</v>
      </c>
      <c r="BB30" s="31"/>
      <c r="BC30" s="32"/>
      <c r="BD30" s="30">
        <f t="shared" si="14"/>
        <v>0</v>
      </c>
      <c r="BE30" s="31"/>
      <c r="BF30" s="32"/>
      <c r="BG30" s="30">
        <f t="shared" si="15"/>
        <v>0</v>
      </c>
      <c r="BH30" s="31"/>
      <c r="BI30" s="32"/>
      <c r="BJ30" s="30">
        <f t="shared" si="16"/>
        <v>0</v>
      </c>
      <c r="BK30" s="31"/>
      <c r="BL30" s="32"/>
      <c r="BM30" s="30">
        <f t="shared" si="38"/>
        <v>0</v>
      </c>
      <c r="BN30" s="31"/>
      <c r="BO30" s="32"/>
      <c r="BP30" s="30">
        <f>IFERROR(BN30*BO30, 0)</f>
        <v>0</v>
      </c>
      <c r="BQ30" s="31"/>
      <c r="BR30" s="32"/>
      <c r="BS30" s="30">
        <f t="shared" si="33"/>
        <v>0</v>
      </c>
      <c r="BT30" s="31"/>
      <c r="BU30" s="32"/>
      <c r="BV30" s="30">
        <f t="shared" si="19"/>
        <v>0</v>
      </c>
      <c r="BW30" s="31"/>
      <c r="BX30" s="32"/>
      <c r="BY30" s="30">
        <f t="shared" si="39"/>
        <v>0</v>
      </c>
      <c r="BZ30" s="31"/>
      <c r="CA30" s="32"/>
      <c r="CB30" s="30">
        <f t="shared" si="21"/>
        <v>0</v>
      </c>
      <c r="CC30" s="31"/>
      <c r="CD30" s="32"/>
      <c r="CE30" s="30">
        <f t="shared" si="22"/>
        <v>0</v>
      </c>
      <c r="CF30" s="31"/>
      <c r="CG30" s="32"/>
      <c r="CH30" s="30">
        <f t="shared" si="23"/>
        <v>0</v>
      </c>
      <c r="CI30" s="31"/>
      <c r="CJ30" s="32"/>
      <c r="CK30" s="30">
        <f t="shared" si="24"/>
        <v>0</v>
      </c>
      <c r="CL30" s="31"/>
      <c r="CM30" s="32"/>
      <c r="CN30" s="30">
        <f t="shared" si="25"/>
        <v>0</v>
      </c>
      <c r="CO30" s="31"/>
      <c r="CP30" s="32"/>
      <c r="CQ30" s="30">
        <f t="shared" si="26"/>
        <v>0</v>
      </c>
      <c r="CR30" s="31"/>
      <c r="CS30" s="32"/>
      <c r="CT30" s="30">
        <f t="shared" si="27"/>
        <v>0</v>
      </c>
      <c r="CU30" s="33">
        <f t="shared" si="28"/>
        <v>0</v>
      </c>
      <c r="CV30" s="30">
        <f t="shared" si="29"/>
        <v>0</v>
      </c>
      <c r="CW30" s="30">
        <f t="shared" si="30"/>
        <v>0</v>
      </c>
    </row>
    <row r="31" spans="1:101" ht="15.75" customHeight="1" x14ac:dyDescent="0.35">
      <c r="A31" s="28" t="s">
        <v>631</v>
      </c>
      <c r="B31" s="28" t="s">
        <v>837</v>
      </c>
      <c r="C31" s="34"/>
      <c r="D31" s="32"/>
      <c r="E31" s="32"/>
      <c r="F31" s="31"/>
      <c r="G31" s="32"/>
      <c r="H31" s="30">
        <f t="shared" si="0"/>
        <v>0</v>
      </c>
      <c r="I31" s="31"/>
      <c r="J31" s="32"/>
      <c r="K31" s="30">
        <f t="shared" si="35"/>
        <v>0</v>
      </c>
      <c r="L31" s="31"/>
      <c r="M31" s="32"/>
      <c r="N31" s="30">
        <f t="shared" si="37"/>
        <v>0</v>
      </c>
      <c r="O31" s="31"/>
      <c r="P31" s="32"/>
      <c r="Q31" s="30">
        <f t="shared" si="3"/>
        <v>0</v>
      </c>
      <c r="R31" s="31"/>
      <c r="S31" s="32"/>
      <c r="T31" s="30">
        <f t="shared" si="4"/>
        <v>0</v>
      </c>
      <c r="U31" s="31"/>
      <c r="V31" s="32"/>
      <c r="W31" s="30">
        <f t="shared" si="5"/>
        <v>0</v>
      </c>
      <c r="X31" s="31"/>
      <c r="Y31" s="32"/>
      <c r="Z31" s="30">
        <f t="shared" si="34"/>
        <v>0</v>
      </c>
      <c r="AA31" s="31"/>
      <c r="AB31" s="32"/>
      <c r="AC31" s="30">
        <f t="shared" si="7"/>
        <v>0</v>
      </c>
      <c r="AD31" s="31"/>
      <c r="AE31" s="32"/>
      <c r="AF31" s="30">
        <f t="shared" si="8"/>
        <v>0</v>
      </c>
      <c r="AG31" s="31"/>
      <c r="AH31" s="32"/>
      <c r="AI31" s="30">
        <f t="shared" si="9"/>
        <v>0</v>
      </c>
      <c r="AJ31" s="31"/>
      <c r="AK31" s="32"/>
      <c r="AL31" s="30">
        <f t="shared" si="10"/>
        <v>0</v>
      </c>
      <c r="AM31" s="31"/>
      <c r="AN31" s="32"/>
      <c r="AO31" s="30">
        <f t="shared" si="11"/>
        <v>0</v>
      </c>
      <c r="AP31" s="31"/>
      <c r="AQ31" s="32"/>
      <c r="AR31" s="30">
        <f>IFERROR(AP31*AQ31, 0)</f>
        <v>0</v>
      </c>
      <c r="AS31" s="31"/>
      <c r="AT31" s="32"/>
      <c r="AU31" s="30">
        <f>IFERROR(AS31*AT31, 0)</f>
        <v>0</v>
      </c>
      <c r="AV31" s="31"/>
      <c r="AW31" s="32"/>
      <c r="AX31" s="30">
        <f t="shared" si="12"/>
        <v>0</v>
      </c>
      <c r="AY31" s="31"/>
      <c r="AZ31" s="32"/>
      <c r="BA31" s="30">
        <f t="shared" si="13"/>
        <v>0</v>
      </c>
      <c r="BB31" s="31"/>
      <c r="BC31" s="32"/>
      <c r="BD31" s="30">
        <f t="shared" si="14"/>
        <v>0</v>
      </c>
      <c r="BE31" s="31"/>
      <c r="BF31" s="32"/>
      <c r="BG31" s="30">
        <f t="shared" si="15"/>
        <v>0</v>
      </c>
      <c r="BH31" s="31"/>
      <c r="BI31" s="32"/>
      <c r="BJ31" s="30">
        <f t="shared" si="16"/>
        <v>0</v>
      </c>
      <c r="BK31" s="31"/>
      <c r="BL31" s="32"/>
      <c r="BM31" s="30">
        <f t="shared" si="38"/>
        <v>0</v>
      </c>
      <c r="BN31" s="31">
        <v>6.7</v>
      </c>
      <c r="BO31" s="32">
        <v>3500</v>
      </c>
      <c r="BP31" s="30">
        <v>23450</v>
      </c>
      <c r="BQ31" s="31"/>
      <c r="BR31" s="32"/>
      <c r="BS31" s="30">
        <f t="shared" si="33"/>
        <v>0</v>
      </c>
      <c r="BT31" s="31"/>
      <c r="BU31" s="32"/>
      <c r="BV31" s="30">
        <f t="shared" si="19"/>
        <v>0</v>
      </c>
      <c r="BW31" s="31"/>
      <c r="BX31" s="32"/>
      <c r="BY31" s="30">
        <f t="shared" si="39"/>
        <v>0</v>
      </c>
      <c r="BZ31" s="31"/>
      <c r="CA31" s="32"/>
      <c r="CB31" s="30">
        <f t="shared" si="21"/>
        <v>0</v>
      </c>
      <c r="CC31" s="31"/>
      <c r="CD31" s="32"/>
      <c r="CE31" s="30">
        <f t="shared" si="22"/>
        <v>0</v>
      </c>
      <c r="CF31" s="31"/>
      <c r="CG31" s="32"/>
      <c r="CH31" s="30">
        <f t="shared" si="23"/>
        <v>0</v>
      </c>
      <c r="CI31" s="31"/>
      <c r="CJ31" s="32"/>
      <c r="CK31" s="30">
        <f t="shared" si="24"/>
        <v>0</v>
      </c>
      <c r="CL31" s="31"/>
      <c r="CM31" s="32"/>
      <c r="CN31" s="30">
        <f t="shared" si="25"/>
        <v>0</v>
      </c>
      <c r="CO31" s="31"/>
      <c r="CP31" s="32"/>
      <c r="CQ31" s="30">
        <f t="shared" si="26"/>
        <v>0</v>
      </c>
      <c r="CR31" s="31"/>
      <c r="CS31" s="32"/>
      <c r="CT31" s="30">
        <f t="shared" si="27"/>
        <v>0</v>
      </c>
      <c r="CU31" s="33">
        <f t="shared" si="28"/>
        <v>6.7</v>
      </c>
      <c r="CV31" s="30">
        <f t="shared" si="29"/>
        <v>3500</v>
      </c>
      <c r="CW31" s="30">
        <f t="shared" si="30"/>
        <v>23450</v>
      </c>
    </row>
    <row r="32" spans="1:101" ht="15.75" customHeight="1" x14ac:dyDescent="0.35">
      <c r="A32" s="28" t="s">
        <v>887</v>
      </c>
      <c r="B32" s="28" t="s">
        <v>837</v>
      </c>
      <c r="C32" s="29"/>
      <c r="D32" s="30"/>
      <c r="E32" s="30"/>
      <c r="F32" s="31"/>
      <c r="G32" s="32"/>
      <c r="H32" s="30">
        <f t="shared" si="0"/>
        <v>0</v>
      </c>
      <c r="I32" s="31"/>
      <c r="J32" s="32"/>
      <c r="K32" s="30">
        <f t="shared" si="35"/>
        <v>0</v>
      </c>
      <c r="L32" s="31"/>
      <c r="M32" s="32"/>
      <c r="N32" s="30">
        <f t="shared" si="37"/>
        <v>0</v>
      </c>
      <c r="O32" s="31"/>
      <c r="P32" s="32"/>
      <c r="Q32" s="30">
        <f t="shared" si="3"/>
        <v>0</v>
      </c>
      <c r="R32" s="31"/>
      <c r="S32" s="32"/>
      <c r="T32" s="30">
        <f t="shared" si="4"/>
        <v>0</v>
      </c>
      <c r="U32" s="31"/>
      <c r="V32" s="32"/>
      <c r="W32" s="30">
        <f t="shared" si="5"/>
        <v>0</v>
      </c>
      <c r="X32" s="31"/>
      <c r="Y32" s="32"/>
      <c r="Z32" s="30">
        <f t="shared" si="34"/>
        <v>0</v>
      </c>
      <c r="AA32" s="31"/>
      <c r="AB32" s="32"/>
      <c r="AC32" s="30">
        <f t="shared" si="7"/>
        <v>0</v>
      </c>
      <c r="AD32" s="31"/>
      <c r="AE32" s="32"/>
      <c r="AF32" s="30">
        <f t="shared" si="8"/>
        <v>0</v>
      </c>
      <c r="AG32" s="31"/>
      <c r="AH32" s="32"/>
      <c r="AI32" s="30">
        <f t="shared" si="9"/>
        <v>0</v>
      </c>
      <c r="AJ32" s="31"/>
      <c r="AK32" s="32"/>
      <c r="AL32" s="30">
        <f t="shared" si="10"/>
        <v>0</v>
      </c>
      <c r="AM32" s="31"/>
      <c r="AN32" s="32"/>
      <c r="AO32" s="30">
        <f t="shared" si="11"/>
        <v>0</v>
      </c>
      <c r="AP32" s="31"/>
      <c r="AQ32" s="32"/>
      <c r="AR32" s="30">
        <f>IFERROR(AP32*AQ32, 0)</f>
        <v>0</v>
      </c>
      <c r="AS32" s="31"/>
      <c r="AT32" s="32"/>
      <c r="AU32" s="30">
        <f>IFERROR(AS32*AT32, 0)</f>
        <v>0</v>
      </c>
      <c r="AV32" s="31"/>
      <c r="AW32" s="32"/>
      <c r="AX32" s="30">
        <f t="shared" si="12"/>
        <v>0</v>
      </c>
      <c r="AY32" s="31"/>
      <c r="AZ32" s="32"/>
      <c r="BA32" s="30">
        <f t="shared" si="13"/>
        <v>0</v>
      </c>
      <c r="BB32" s="31"/>
      <c r="BC32" s="32"/>
      <c r="BD32" s="30">
        <f t="shared" si="14"/>
        <v>0</v>
      </c>
      <c r="BE32" s="31"/>
      <c r="BF32" s="32"/>
      <c r="BG32" s="30">
        <f t="shared" si="15"/>
        <v>0</v>
      </c>
      <c r="BH32" s="31"/>
      <c r="BI32" s="32"/>
      <c r="BJ32" s="30">
        <f t="shared" si="16"/>
        <v>0</v>
      </c>
      <c r="BK32" s="31"/>
      <c r="BL32" s="32"/>
      <c r="BM32" s="30">
        <f t="shared" si="38"/>
        <v>0</v>
      </c>
      <c r="BN32" s="31"/>
      <c r="BO32" s="32"/>
      <c r="BP32" s="30">
        <f>IFERROR(BN32*BO32, 0)</f>
        <v>0</v>
      </c>
      <c r="BQ32" s="31"/>
      <c r="BR32" s="32"/>
      <c r="BS32" s="30">
        <f t="shared" si="33"/>
        <v>0</v>
      </c>
      <c r="BT32" s="31"/>
      <c r="BU32" s="32"/>
      <c r="BV32" s="30">
        <f t="shared" si="19"/>
        <v>0</v>
      </c>
      <c r="BW32" s="31"/>
      <c r="BX32" s="32"/>
      <c r="BY32" s="30">
        <f t="shared" si="39"/>
        <v>0</v>
      </c>
      <c r="BZ32" s="31"/>
      <c r="CA32" s="32"/>
      <c r="CB32" s="30">
        <f t="shared" si="21"/>
        <v>0</v>
      </c>
      <c r="CC32" s="31"/>
      <c r="CD32" s="32"/>
      <c r="CE32" s="30">
        <f t="shared" si="22"/>
        <v>0</v>
      </c>
      <c r="CF32" s="31"/>
      <c r="CG32" s="32"/>
      <c r="CH32" s="30">
        <f t="shared" si="23"/>
        <v>0</v>
      </c>
      <c r="CI32" s="31"/>
      <c r="CJ32" s="32"/>
      <c r="CK32" s="30">
        <f t="shared" si="24"/>
        <v>0</v>
      </c>
      <c r="CL32" s="31"/>
      <c r="CM32" s="32"/>
      <c r="CN32" s="30">
        <f t="shared" si="25"/>
        <v>0</v>
      </c>
      <c r="CO32" s="31"/>
      <c r="CP32" s="32"/>
      <c r="CQ32" s="30">
        <f t="shared" si="26"/>
        <v>0</v>
      </c>
      <c r="CR32" s="31"/>
      <c r="CS32" s="32"/>
      <c r="CT32" s="30">
        <f t="shared" si="27"/>
        <v>0</v>
      </c>
      <c r="CU32" s="33">
        <f t="shared" si="28"/>
        <v>0</v>
      </c>
      <c r="CV32" s="30">
        <f t="shared" si="29"/>
        <v>0</v>
      </c>
      <c r="CW32" s="30">
        <f t="shared" si="30"/>
        <v>0</v>
      </c>
    </row>
    <row r="33" spans="1:101" ht="15.75" customHeight="1" x14ac:dyDescent="0.35">
      <c r="A33" s="28" t="s">
        <v>888</v>
      </c>
      <c r="B33" s="28" t="s">
        <v>889</v>
      </c>
      <c r="C33" s="34"/>
      <c r="D33" s="32"/>
      <c r="E33" s="32"/>
      <c r="F33" s="31"/>
      <c r="G33" s="32"/>
      <c r="H33" s="30">
        <f t="shared" si="0"/>
        <v>0</v>
      </c>
      <c r="I33" s="31"/>
      <c r="J33" s="32"/>
      <c r="K33" s="30">
        <f t="shared" si="35"/>
        <v>0</v>
      </c>
      <c r="L33" s="31"/>
      <c r="M33" s="32"/>
      <c r="N33" s="30">
        <f t="shared" si="37"/>
        <v>0</v>
      </c>
      <c r="O33" s="31"/>
      <c r="P33" s="32"/>
      <c r="Q33" s="30">
        <f t="shared" si="3"/>
        <v>0</v>
      </c>
      <c r="R33" s="31"/>
      <c r="S33" s="32"/>
      <c r="T33" s="30">
        <f t="shared" si="4"/>
        <v>0</v>
      </c>
      <c r="U33" s="31"/>
      <c r="V33" s="32"/>
      <c r="W33" s="30">
        <f t="shared" si="5"/>
        <v>0</v>
      </c>
      <c r="X33" s="31"/>
      <c r="Y33" s="32"/>
      <c r="Z33" s="30">
        <f t="shared" si="34"/>
        <v>0</v>
      </c>
      <c r="AA33" s="31"/>
      <c r="AB33" s="32"/>
      <c r="AC33" s="30">
        <f t="shared" si="7"/>
        <v>0</v>
      </c>
      <c r="AD33" s="31"/>
      <c r="AE33" s="32"/>
      <c r="AF33" s="30">
        <f t="shared" si="8"/>
        <v>0</v>
      </c>
      <c r="AG33" s="31"/>
      <c r="AH33" s="32"/>
      <c r="AI33" s="30">
        <f t="shared" si="9"/>
        <v>0</v>
      </c>
      <c r="AJ33" s="31"/>
      <c r="AK33" s="32"/>
      <c r="AL33" s="30">
        <f t="shared" si="10"/>
        <v>0</v>
      </c>
      <c r="AM33" s="31"/>
      <c r="AN33" s="32"/>
      <c r="AO33" s="30">
        <f t="shared" si="11"/>
        <v>0</v>
      </c>
      <c r="AP33" s="31"/>
      <c r="AQ33" s="32"/>
      <c r="AR33" s="30">
        <f>IFERROR(AP33*AQ33, 0)</f>
        <v>0</v>
      </c>
      <c r="AS33" s="31"/>
      <c r="AT33" s="32"/>
      <c r="AU33" s="30">
        <f>IFERROR(AS33*AT33, 0)</f>
        <v>0</v>
      </c>
      <c r="AV33" s="31"/>
      <c r="AW33" s="32"/>
      <c r="AX33" s="30">
        <f t="shared" si="12"/>
        <v>0</v>
      </c>
      <c r="AY33" s="31"/>
      <c r="AZ33" s="32"/>
      <c r="BA33" s="30">
        <f t="shared" si="13"/>
        <v>0</v>
      </c>
      <c r="BB33" s="31"/>
      <c r="BC33" s="32"/>
      <c r="BD33" s="30">
        <f t="shared" si="14"/>
        <v>0</v>
      </c>
      <c r="BE33" s="31"/>
      <c r="BF33" s="32"/>
      <c r="BG33" s="30">
        <f t="shared" si="15"/>
        <v>0</v>
      </c>
      <c r="BH33" s="31"/>
      <c r="BI33" s="32"/>
      <c r="BJ33" s="30">
        <f t="shared" si="16"/>
        <v>0</v>
      </c>
      <c r="BK33" s="31"/>
      <c r="BL33" s="32"/>
      <c r="BM33" s="30">
        <f t="shared" si="38"/>
        <v>0</v>
      </c>
      <c r="BN33" s="31"/>
      <c r="BO33" s="32"/>
      <c r="BP33" s="30">
        <f>IFERROR(BN33*BO33, 0)</f>
        <v>0</v>
      </c>
      <c r="BQ33" s="31"/>
      <c r="BR33" s="32"/>
      <c r="BS33" s="30">
        <f t="shared" si="33"/>
        <v>0</v>
      </c>
      <c r="BT33" s="31"/>
      <c r="BU33" s="32"/>
      <c r="BV33" s="30">
        <f t="shared" si="19"/>
        <v>0</v>
      </c>
      <c r="BW33" s="31"/>
      <c r="BX33" s="32"/>
      <c r="BY33" s="30">
        <f t="shared" si="39"/>
        <v>0</v>
      </c>
      <c r="BZ33" s="31"/>
      <c r="CA33" s="32"/>
      <c r="CB33" s="30">
        <f t="shared" si="21"/>
        <v>0</v>
      </c>
      <c r="CC33" s="31"/>
      <c r="CD33" s="32"/>
      <c r="CE33" s="30">
        <f t="shared" si="22"/>
        <v>0</v>
      </c>
      <c r="CF33" s="31"/>
      <c r="CG33" s="32"/>
      <c r="CH33" s="30">
        <f t="shared" si="23"/>
        <v>0</v>
      </c>
      <c r="CI33" s="31"/>
      <c r="CJ33" s="32"/>
      <c r="CK33" s="30">
        <f t="shared" si="24"/>
        <v>0</v>
      </c>
      <c r="CL33" s="31"/>
      <c r="CM33" s="32"/>
      <c r="CN33" s="30">
        <f t="shared" si="25"/>
        <v>0</v>
      </c>
      <c r="CO33" s="31"/>
      <c r="CP33" s="32"/>
      <c r="CQ33" s="30">
        <f t="shared" si="26"/>
        <v>0</v>
      </c>
      <c r="CR33" s="31"/>
      <c r="CS33" s="32"/>
      <c r="CT33" s="30">
        <f t="shared" si="27"/>
        <v>0</v>
      </c>
      <c r="CU33" s="33">
        <f t="shared" si="28"/>
        <v>0</v>
      </c>
      <c r="CV33" s="30">
        <f t="shared" si="29"/>
        <v>0</v>
      </c>
      <c r="CW33" s="30">
        <f t="shared" si="30"/>
        <v>0</v>
      </c>
    </row>
    <row r="34" spans="1:101" ht="15.75" customHeight="1" x14ac:dyDescent="0.35">
      <c r="A34" s="35" t="s">
        <v>500</v>
      </c>
      <c r="B34" s="28" t="s">
        <v>889</v>
      </c>
      <c r="C34" s="35"/>
      <c r="D34" s="35"/>
      <c r="E34" s="35"/>
      <c r="F34" s="31"/>
      <c r="G34" s="32"/>
      <c r="H34" s="30">
        <f t="shared" si="0"/>
        <v>0</v>
      </c>
      <c r="I34" s="31"/>
      <c r="J34" s="32"/>
      <c r="K34" s="30">
        <f t="shared" si="35"/>
        <v>0</v>
      </c>
      <c r="L34" s="31"/>
      <c r="M34" s="32"/>
      <c r="N34" s="30">
        <f t="shared" si="37"/>
        <v>0</v>
      </c>
      <c r="O34" s="31"/>
      <c r="P34" s="32"/>
      <c r="Q34" s="30">
        <f t="shared" si="3"/>
        <v>0</v>
      </c>
      <c r="R34" s="31"/>
      <c r="S34" s="32"/>
      <c r="T34" s="30">
        <f t="shared" si="4"/>
        <v>0</v>
      </c>
      <c r="U34" s="31"/>
      <c r="V34" s="32"/>
      <c r="W34" s="30">
        <f t="shared" si="5"/>
        <v>0</v>
      </c>
      <c r="X34" s="31"/>
      <c r="Y34" s="32"/>
      <c r="Z34" s="30">
        <f t="shared" si="34"/>
        <v>0</v>
      </c>
      <c r="AA34" s="31"/>
      <c r="AB34" s="32"/>
      <c r="AC34" s="30">
        <f t="shared" si="7"/>
        <v>0</v>
      </c>
      <c r="AD34" s="31"/>
      <c r="AE34" s="32"/>
      <c r="AF34" s="30">
        <f t="shared" si="8"/>
        <v>0</v>
      </c>
      <c r="AG34" s="31"/>
      <c r="AH34" s="32"/>
      <c r="AI34" s="30">
        <f t="shared" si="9"/>
        <v>0</v>
      </c>
      <c r="AJ34" s="31"/>
      <c r="AK34" s="32"/>
      <c r="AL34" s="30">
        <f t="shared" si="10"/>
        <v>0</v>
      </c>
      <c r="AM34" s="31"/>
      <c r="AN34" s="32"/>
      <c r="AO34" s="30">
        <f t="shared" si="11"/>
        <v>0</v>
      </c>
      <c r="AP34" s="31">
        <v>1.5</v>
      </c>
      <c r="AQ34" s="32">
        <v>100000</v>
      </c>
      <c r="AR34" s="30">
        <v>140000</v>
      </c>
      <c r="AS34" s="31">
        <v>1</v>
      </c>
      <c r="AT34" s="32">
        <v>110000</v>
      </c>
      <c r="AU34" s="30">
        <v>105000</v>
      </c>
      <c r="AV34" s="31"/>
      <c r="AW34" s="32"/>
      <c r="AX34" s="30">
        <f t="shared" si="12"/>
        <v>0</v>
      </c>
      <c r="AY34" s="31"/>
      <c r="AZ34" s="32"/>
      <c r="BA34" s="30">
        <f t="shared" si="13"/>
        <v>0</v>
      </c>
      <c r="BB34" s="31"/>
      <c r="BC34" s="32"/>
      <c r="BD34" s="30">
        <f t="shared" si="14"/>
        <v>0</v>
      </c>
      <c r="BE34" s="31"/>
      <c r="BF34" s="32"/>
      <c r="BG34" s="30">
        <f t="shared" si="15"/>
        <v>0</v>
      </c>
      <c r="BH34" s="31"/>
      <c r="BI34" s="32"/>
      <c r="BJ34" s="30">
        <f t="shared" si="16"/>
        <v>0</v>
      </c>
      <c r="BK34" s="31"/>
      <c r="BL34" s="32"/>
      <c r="BM34" s="30">
        <f t="shared" si="38"/>
        <v>0</v>
      </c>
      <c r="BN34" s="31">
        <v>0.5</v>
      </c>
      <c r="BO34" s="32">
        <v>100000</v>
      </c>
      <c r="BP34" s="30">
        <v>50000</v>
      </c>
      <c r="BQ34" s="31"/>
      <c r="BR34" s="32"/>
      <c r="BS34" s="30">
        <f t="shared" si="33"/>
        <v>0</v>
      </c>
      <c r="BT34" s="31"/>
      <c r="BU34" s="32"/>
      <c r="BV34" s="30">
        <f t="shared" si="19"/>
        <v>0</v>
      </c>
      <c r="BW34" s="31"/>
      <c r="BX34" s="32"/>
      <c r="BY34" s="30">
        <f t="shared" si="39"/>
        <v>0</v>
      </c>
      <c r="BZ34" s="31"/>
      <c r="CA34" s="32"/>
      <c r="CB34" s="30">
        <f t="shared" si="21"/>
        <v>0</v>
      </c>
      <c r="CC34" s="31"/>
      <c r="CD34" s="32"/>
      <c r="CE34" s="30">
        <f t="shared" si="22"/>
        <v>0</v>
      </c>
      <c r="CF34" s="31"/>
      <c r="CG34" s="32"/>
      <c r="CH34" s="30">
        <f t="shared" si="23"/>
        <v>0</v>
      </c>
      <c r="CI34" s="31"/>
      <c r="CJ34" s="32"/>
      <c r="CK34" s="30">
        <f t="shared" si="24"/>
        <v>0</v>
      </c>
      <c r="CL34" s="31"/>
      <c r="CM34" s="32"/>
      <c r="CN34" s="30">
        <f t="shared" si="25"/>
        <v>0</v>
      </c>
      <c r="CO34" s="31"/>
      <c r="CP34" s="32"/>
      <c r="CQ34" s="30">
        <f t="shared" si="26"/>
        <v>0</v>
      </c>
      <c r="CR34" s="31"/>
      <c r="CS34" s="32"/>
      <c r="CT34" s="30">
        <f t="shared" si="27"/>
        <v>0</v>
      </c>
      <c r="CU34" s="33">
        <f t="shared" si="28"/>
        <v>3</v>
      </c>
      <c r="CV34" s="30">
        <f t="shared" si="29"/>
        <v>103333.33333333333</v>
      </c>
      <c r="CW34" s="30">
        <f t="shared" si="30"/>
        <v>310000</v>
      </c>
    </row>
    <row r="35" spans="1:101" ht="15.75" customHeight="1" x14ac:dyDescent="0.35">
      <c r="A35" s="28" t="s">
        <v>890</v>
      </c>
      <c r="B35" s="28" t="s">
        <v>889</v>
      </c>
      <c r="C35" s="29"/>
      <c r="D35" s="30"/>
      <c r="E35" s="30"/>
      <c r="F35" s="31"/>
      <c r="G35" s="32"/>
      <c r="H35" s="30">
        <f t="shared" si="0"/>
        <v>0</v>
      </c>
      <c r="I35" s="31"/>
      <c r="J35" s="32"/>
      <c r="K35" s="30">
        <f t="shared" si="35"/>
        <v>0</v>
      </c>
      <c r="L35" s="31"/>
      <c r="M35" s="32"/>
      <c r="N35" s="30">
        <f t="shared" si="37"/>
        <v>0</v>
      </c>
      <c r="O35" s="31"/>
      <c r="P35" s="32"/>
      <c r="Q35" s="30">
        <f t="shared" si="3"/>
        <v>0</v>
      </c>
      <c r="R35" s="31"/>
      <c r="S35" s="32"/>
      <c r="T35" s="30">
        <f t="shared" ref="T35:T66" si="40">IFERROR(R35*S35, 0)</f>
        <v>0</v>
      </c>
      <c r="U35" s="31"/>
      <c r="V35" s="32"/>
      <c r="W35" s="30">
        <f t="shared" si="5"/>
        <v>0</v>
      </c>
      <c r="X35" s="31"/>
      <c r="Y35" s="32"/>
      <c r="Z35" s="30">
        <f t="shared" si="34"/>
        <v>0</v>
      </c>
      <c r="AA35" s="31"/>
      <c r="AB35" s="32"/>
      <c r="AC35" s="30">
        <f t="shared" ref="AC35:AC66" si="41">IFERROR(AA35*AB35, 0)</f>
        <v>0</v>
      </c>
      <c r="AD35" s="31"/>
      <c r="AE35" s="32"/>
      <c r="AF35" s="30">
        <f t="shared" si="8"/>
        <v>0</v>
      </c>
      <c r="AG35" s="31"/>
      <c r="AH35" s="32"/>
      <c r="AI35" s="30">
        <f t="shared" si="9"/>
        <v>0</v>
      </c>
      <c r="AJ35" s="31"/>
      <c r="AK35" s="32"/>
      <c r="AL35" s="30">
        <f t="shared" ref="AL35:AL66" si="42">IFERROR(AJ35*AK35, 0)</f>
        <v>0</v>
      </c>
      <c r="AM35" s="31"/>
      <c r="AN35" s="32"/>
      <c r="AO35" s="30">
        <f t="shared" ref="AO35:AO66" si="43">IFERROR(AM35*AN35, 0)</f>
        <v>0</v>
      </c>
      <c r="AP35" s="31"/>
      <c r="AQ35" s="32"/>
      <c r="AR35" s="30">
        <f>IFERROR(AP35*AQ35, 0)</f>
        <v>0</v>
      </c>
      <c r="AS35" s="31"/>
      <c r="AT35" s="32"/>
      <c r="AU35" s="30">
        <f>IFERROR(AS35*AT35, 0)</f>
        <v>0</v>
      </c>
      <c r="AV35" s="31"/>
      <c r="AW35" s="32"/>
      <c r="AX35" s="30">
        <f t="shared" si="12"/>
        <v>0</v>
      </c>
      <c r="AY35" s="31"/>
      <c r="AZ35" s="32"/>
      <c r="BA35" s="30">
        <f t="shared" ref="BA35:BA66" si="44">IFERROR(AY35*AZ35, 0)</f>
        <v>0</v>
      </c>
      <c r="BB35" s="31"/>
      <c r="BC35" s="32"/>
      <c r="BD35" s="30">
        <f t="shared" si="14"/>
        <v>0</v>
      </c>
      <c r="BE35" s="31"/>
      <c r="BF35" s="32"/>
      <c r="BG35" s="30">
        <f t="shared" ref="BG35:BG66" si="45">IFERROR(BE35*BF35, 0)</f>
        <v>0</v>
      </c>
      <c r="BH35" s="31"/>
      <c r="BI35" s="32"/>
      <c r="BJ35" s="30">
        <f t="shared" ref="BJ35:BJ66" si="46">IFERROR(BH35*BI35, 0)</f>
        <v>0</v>
      </c>
      <c r="BK35" s="31"/>
      <c r="BL35" s="32"/>
      <c r="BM35" s="30">
        <f t="shared" si="38"/>
        <v>0</v>
      </c>
      <c r="BN35" s="31"/>
      <c r="BO35" s="32"/>
      <c r="BP35" s="30">
        <f>IFERROR(BN35*BO35, 0)</f>
        <v>0</v>
      </c>
      <c r="BQ35" s="31"/>
      <c r="BR35" s="32"/>
      <c r="BS35" s="30">
        <f t="shared" si="33"/>
        <v>0</v>
      </c>
      <c r="BT35" s="31"/>
      <c r="BU35" s="32"/>
      <c r="BV35" s="30">
        <f t="shared" ref="BV35:BV66" si="47">IFERROR(BT35*BU35, 0)</f>
        <v>0</v>
      </c>
      <c r="BW35" s="31"/>
      <c r="BX35" s="32"/>
      <c r="BY35" s="30">
        <f t="shared" si="39"/>
        <v>0</v>
      </c>
      <c r="BZ35" s="31"/>
      <c r="CA35" s="32"/>
      <c r="CB35" s="30">
        <f t="shared" ref="CB35:CB66" si="48">IFERROR(BZ35*CA35, 0)</f>
        <v>0</v>
      </c>
      <c r="CC35" s="31"/>
      <c r="CD35" s="32"/>
      <c r="CE35" s="30">
        <f t="shared" ref="CE35:CE66" si="49">IFERROR(CC35*CD35, 0)</f>
        <v>0</v>
      </c>
      <c r="CF35" s="31"/>
      <c r="CG35" s="32"/>
      <c r="CH35" s="30">
        <f t="shared" ref="CH35:CH66" si="50">IFERROR(CF35*CG35, 0)</f>
        <v>0</v>
      </c>
      <c r="CI35" s="31"/>
      <c r="CJ35" s="32"/>
      <c r="CK35" s="30">
        <f t="shared" ref="CK35:CK66" si="51">IFERROR(CI35*CJ35, 0)</f>
        <v>0</v>
      </c>
      <c r="CL35" s="31"/>
      <c r="CM35" s="32"/>
      <c r="CN35" s="30">
        <f t="shared" ref="CN35:CN66" si="52">IFERROR(CL35*CM35, 0)</f>
        <v>0</v>
      </c>
      <c r="CO35" s="31"/>
      <c r="CP35" s="32"/>
      <c r="CQ35" s="30">
        <f t="shared" ref="CQ35:CQ66" si="53">IFERROR(CO35*CP35, 0)</f>
        <v>0</v>
      </c>
      <c r="CR35" s="31"/>
      <c r="CS35" s="32"/>
      <c r="CT35" s="30">
        <f t="shared" ref="CT35:CT66" si="54">IFERROR(CR35*CS35, 0)</f>
        <v>0</v>
      </c>
      <c r="CU35" s="33">
        <f t="shared" ref="CU35:CU66" si="55">IFERROR(SUM(F35,I35,L35,O35,R35,U35,X35,AA35,AD35,AG35,AJ35,AM35,AP35,AS35,AV35,AY35,BB35,BE35,BH35,BK35,BN35,BQ35,BT35,BW35,BZ35,CC35,CF35,CI35,CL35,CO35,CR35), 0)</f>
        <v>0</v>
      </c>
      <c r="CV35" s="30">
        <f t="shared" ref="CV35:CV66" si="56">IFERROR(AVERAGE(G35,J35,M35,P35,S35,V35,Y35,AB35,AE35,AH35,AK35,AN35,AQ35,AT35,AW35,AZ35,BC35,BF35,BI35,BL35,BO35,BR35,BU35,BX35,CA35,CD35,CG35,CJ35,CM35,CP35,CS35), 0)</f>
        <v>0</v>
      </c>
      <c r="CW35" s="30">
        <f t="shared" ref="CW35:CW66" si="57">CU35*CV35</f>
        <v>0</v>
      </c>
    </row>
    <row r="36" spans="1:101" ht="15.75" customHeight="1" x14ac:dyDescent="0.35">
      <c r="A36" s="28" t="s">
        <v>85</v>
      </c>
      <c r="B36" s="28" t="s">
        <v>837</v>
      </c>
      <c r="C36" s="34"/>
      <c r="D36" s="32"/>
      <c r="E36" s="32"/>
      <c r="F36" s="31"/>
      <c r="G36" s="32"/>
      <c r="H36" s="30">
        <f t="shared" si="0"/>
        <v>0</v>
      </c>
      <c r="I36" s="31">
        <v>1</v>
      </c>
      <c r="J36" s="32">
        <v>4000</v>
      </c>
      <c r="K36" s="30">
        <v>4000</v>
      </c>
      <c r="L36" s="31"/>
      <c r="M36" s="32"/>
      <c r="N36" s="30">
        <f t="shared" si="37"/>
        <v>0</v>
      </c>
      <c r="O36" s="31"/>
      <c r="P36" s="32"/>
      <c r="Q36" s="30">
        <f t="shared" si="3"/>
        <v>0</v>
      </c>
      <c r="R36" s="31"/>
      <c r="S36" s="32"/>
      <c r="T36" s="30">
        <f t="shared" si="40"/>
        <v>0</v>
      </c>
      <c r="U36" s="31">
        <v>2.0750000000000002</v>
      </c>
      <c r="V36" s="32">
        <v>8800</v>
      </c>
      <c r="W36" s="30">
        <v>18260</v>
      </c>
      <c r="X36" s="31"/>
      <c r="Y36" s="32"/>
      <c r="Z36" s="30">
        <f t="shared" si="34"/>
        <v>0</v>
      </c>
      <c r="AA36" s="31"/>
      <c r="AB36" s="32"/>
      <c r="AC36" s="30">
        <f t="shared" si="41"/>
        <v>0</v>
      </c>
      <c r="AD36" s="31"/>
      <c r="AE36" s="32"/>
      <c r="AF36" s="30">
        <f t="shared" si="8"/>
        <v>0</v>
      </c>
      <c r="AG36" s="31"/>
      <c r="AH36" s="32"/>
      <c r="AI36" s="30">
        <f t="shared" si="9"/>
        <v>0</v>
      </c>
      <c r="AJ36" s="31"/>
      <c r="AK36" s="32"/>
      <c r="AL36" s="30">
        <f t="shared" si="42"/>
        <v>0</v>
      </c>
      <c r="AM36" s="31"/>
      <c r="AN36" s="32"/>
      <c r="AO36" s="30">
        <f t="shared" si="43"/>
        <v>0</v>
      </c>
      <c r="AP36" s="31">
        <v>4.3</v>
      </c>
      <c r="AQ36" s="32">
        <v>5500</v>
      </c>
      <c r="AR36" s="30">
        <v>23650</v>
      </c>
      <c r="AS36" s="31">
        <v>8</v>
      </c>
      <c r="AT36" s="32">
        <v>5800</v>
      </c>
      <c r="AU36" s="30">
        <v>45080</v>
      </c>
      <c r="AV36" s="31"/>
      <c r="AW36" s="32"/>
      <c r="AX36" s="30">
        <f t="shared" si="12"/>
        <v>0</v>
      </c>
      <c r="AY36" s="31"/>
      <c r="AZ36" s="32"/>
      <c r="BA36" s="30">
        <f t="shared" si="44"/>
        <v>0</v>
      </c>
      <c r="BB36" s="31"/>
      <c r="BC36" s="32"/>
      <c r="BD36" s="30">
        <f t="shared" si="14"/>
        <v>0</v>
      </c>
      <c r="BE36" s="31"/>
      <c r="BF36" s="32"/>
      <c r="BG36" s="30">
        <f t="shared" si="45"/>
        <v>0</v>
      </c>
      <c r="BH36" s="31"/>
      <c r="BI36" s="32"/>
      <c r="BJ36" s="30">
        <f t="shared" si="46"/>
        <v>0</v>
      </c>
      <c r="BK36" s="31"/>
      <c r="BL36" s="32"/>
      <c r="BM36" s="30">
        <f t="shared" si="38"/>
        <v>0</v>
      </c>
      <c r="BN36" s="31">
        <v>13.4</v>
      </c>
      <c r="BO36" s="32">
        <v>5500</v>
      </c>
      <c r="BP36" s="30">
        <v>74600</v>
      </c>
      <c r="BQ36" s="31"/>
      <c r="BR36" s="32"/>
      <c r="BS36" s="30">
        <f t="shared" si="33"/>
        <v>0</v>
      </c>
      <c r="BT36" s="31"/>
      <c r="BU36" s="32"/>
      <c r="BV36" s="30">
        <f t="shared" si="47"/>
        <v>0</v>
      </c>
      <c r="BW36" s="31"/>
      <c r="BX36" s="32"/>
      <c r="BY36" s="30">
        <f t="shared" si="39"/>
        <v>0</v>
      </c>
      <c r="BZ36" s="31"/>
      <c r="CA36" s="32"/>
      <c r="CB36" s="30">
        <f t="shared" si="48"/>
        <v>0</v>
      </c>
      <c r="CC36" s="31"/>
      <c r="CD36" s="32"/>
      <c r="CE36" s="30">
        <f t="shared" si="49"/>
        <v>0</v>
      </c>
      <c r="CF36" s="31"/>
      <c r="CG36" s="32"/>
      <c r="CH36" s="30">
        <f t="shared" si="50"/>
        <v>0</v>
      </c>
      <c r="CI36" s="31"/>
      <c r="CJ36" s="32"/>
      <c r="CK36" s="30">
        <f t="shared" si="51"/>
        <v>0</v>
      </c>
      <c r="CL36" s="31"/>
      <c r="CM36" s="32"/>
      <c r="CN36" s="30">
        <f t="shared" si="52"/>
        <v>0</v>
      </c>
      <c r="CO36" s="31"/>
      <c r="CP36" s="32"/>
      <c r="CQ36" s="30">
        <f t="shared" si="53"/>
        <v>0</v>
      </c>
      <c r="CR36" s="31"/>
      <c r="CS36" s="32"/>
      <c r="CT36" s="30">
        <f t="shared" si="54"/>
        <v>0</v>
      </c>
      <c r="CU36" s="33">
        <f t="shared" si="55"/>
        <v>28.774999999999999</v>
      </c>
      <c r="CV36" s="30">
        <f t="shared" si="56"/>
        <v>5920</v>
      </c>
      <c r="CW36" s="30">
        <f t="shared" si="57"/>
        <v>170348</v>
      </c>
    </row>
    <row r="37" spans="1:101" ht="15.75" customHeight="1" x14ac:dyDescent="0.35">
      <c r="A37" s="37" t="s">
        <v>169</v>
      </c>
      <c r="B37" s="38" t="s">
        <v>880</v>
      </c>
      <c r="C37" s="35"/>
      <c r="D37" s="20"/>
      <c r="E37" s="20"/>
      <c r="F37" s="31"/>
      <c r="G37" s="32"/>
      <c r="H37" s="30">
        <f t="shared" si="0"/>
        <v>0</v>
      </c>
      <c r="I37" s="31">
        <v>8</v>
      </c>
      <c r="J37" s="32">
        <v>15546.25</v>
      </c>
      <c r="K37" s="30">
        <v>124370</v>
      </c>
      <c r="L37" s="31"/>
      <c r="M37" s="32"/>
      <c r="N37" s="30">
        <f t="shared" si="37"/>
        <v>0</v>
      </c>
      <c r="O37" s="31">
        <v>8</v>
      </c>
      <c r="P37" s="32">
        <v>15546.25</v>
      </c>
      <c r="Q37" s="30">
        <v>124370</v>
      </c>
      <c r="R37" s="31"/>
      <c r="S37" s="32"/>
      <c r="T37" s="30">
        <f t="shared" si="40"/>
        <v>0</v>
      </c>
      <c r="U37" s="31"/>
      <c r="V37" s="32"/>
      <c r="W37" s="30">
        <f t="shared" ref="W37:W68" si="58">IFERROR(U37*V37, 0)</f>
        <v>0</v>
      </c>
      <c r="X37" s="31">
        <v>8</v>
      </c>
      <c r="Y37" s="32">
        <v>15546.25</v>
      </c>
      <c r="Z37" s="30">
        <v>124370</v>
      </c>
      <c r="AA37" s="31"/>
      <c r="AB37" s="32"/>
      <c r="AC37" s="30">
        <f t="shared" si="41"/>
        <v>0</v>
      </c>
      <c r="AD37" s="31"/>
      <c r="AE37" s="32"/>
      <c r="AF37" s="30">
        <f t="shared" si="8"/>
        <v>0</v>
      </c>
      <c r="AG37" s="31">
        <v>8</v>
      </c>
      <c r="AH37" s="32">
        <v>15546.25</v>
      </c>
      <c r="AI37" s="30">
        <v>124370</v>
      </c>
      <c r="AJ37" s="31"/>
      <c r="AK37" s="32"/>
      <c r="AL37" s="30">
        <f t="shared" si="42"/>
        <v>0</v>
      </c>
      <c r="AM37" s="31"/>
      <c r="AN37" s="32"/>
      <c r="AO37" s="30">
        <f t="shared" si="43"/>
        <v>0</v>
      </c>
      <c r="AP37" s="31"/>
      <c r="AQ37" s="32"/>
      <c r="AR37" s="30">
        <f>IFERROR(AP37*AQ37, 0)</f>
        <v>0</v>
      </c>
      <c r="AS37" s="31"/>
      <c r="AT37" s="32"/>
      <c r="AU37" s="30">
        <f>IFERROR(AS37*AT37, 0)</f>
        <v>0</v>
      </c>
      <c r="AV37" s="31">
        <v>12</v>
      </c>
      <c r="AW37" s="32">
        <v>16386.580000000002</v>
      </c>
      <c r="AX37" s="30">
        <v>196639</v>
      </c>
      <c r="AY37" s="31"/>
      <c r="AZ37" s="32"/>
      <c r="BA37" s="30">
        <f t="shared" si="44"/>
        <v>0</v>
      </c>
      <c r="BB37" s="31">
        <v>12</v>
      </c>
      <c r="BC37" s="32">
        <v>16386.580000000002</v>
      </c>
      <c r="BD37" s="30">
        <v>196639</v>
      </c>
      <c r="BE37" s="31"/>
      <c r="BF37" s="32"/>
      <c r="BG37" s="30">
        <f t="shared" si="45"/>
        <v>0</v>
      </c>
      <c r="BH37" s="31"/>
      <c r="BI37" s="32"/>
      <c r="BJ37" s="30">
        <f t="shared" si="46"/>
        <v>0</v>
      </c>
      <c r="BK37" s="31"/>
      <c r="BL37" s="32"/>
      <c r="BM37" s="30">
        <f t="shared" si="38"/>
        <v>0</v>
      </c>
      <c r="BN37" s="31"/>
      <c r="BO37" s="32"/>
      <c r="BP37" s="30">
        <f>IFERROR(BN37*BO37, 0)</f>
        <v>0</v>
      </c>
      <c r="BQ37" s="31"/>
      <c r="BR37" s="32"/>
      <c r="BS37" s="30">
        <f t="shared" si="33"/>
        <v>0</v>
      </c>
      <c r="BT37" s="31"/>
      <c r="BU37" s="32"/>
      <c r="BV37" s="30">
        <f t="shared" si="47"/>
        <v>0</v>
      </c>
      <c r="BW37" s="31"/>
      <c r="BX37" s="32"/>
      <c r="BY37" s="30">
        <f t="shared" si="39"/>
        <v>0</v>
      </c>
      <c r="BZ37" s="31"/>
      <c r="CA37" s="32"/>
      <c r="CB37" s="30">
        <f t="shared" si="48"/>
        <v>0</v>
      </c>
      <c r="CC37" s="31"/>
      <c r="CD37" s="32"/>
      <c r="CE37" s="30">
        <f t="shared" si="49"/>
        <v>0</v>
      </c>
      <c r="CF37" s="31"/>
      <c r="CG37" s="32"/>
      <c r="CH37" s="30">
        <f t="shared" si="50"/>
        <v>0</v>
      </c>
      <c r="CI37" s="31"/>
      <c r="CJ37" s="32"/>
      <c r="CK37" s="30">
        <f t="shared" si="51"/>
        <v>0</v>
      </c>
      <c r="CL37" s="31"/>
      <c r="CM37" s="32"/>
      <c r="CN37" s="30">
        <f t="shared" si="52"/>
        <v>0</v>
      </c>
      <c r="CO37" s="31"/>
      <c r="CP37" s="32"/>
      <c r="CQ37" s="30">
        <f t="shared" si="53"/>
        <v>0</v>
      </c>
      <c r="CR37" s="31"/>
      <c r="CS37" s="32"/>
      <c r="CT37" s="30">
        <f t="shared" si="54"/>
        <v>0</v>
      </c>
      <c r="CU37" s="33">
        <f t="shared" si="55"/>
        <v>56</v>
      </c>
      <c r="CV37" s="30">
        <f t="shared" si="56"/>
        <v>15826.36</v>
      </c>
      <c r="CW37" s="30">
        <f t="shared" si="57"/>
        <v>886276.16</v>
      </c>
    </row>
    <row r="38" spans="1:101" ht="15.75" customHeight="1" x14ac:dyDescent="0.35">
      <c r="A38" s="28" t="s">
        <v>891</v>
      </c>
      <c r="B38" s="28" t="s">
        <v>837</v>
      </c>
      <c r="C38" s="34"/>
      <c r="D38" s="32"/>
      <c r="E38" s="32"/>
      <c r="F38" s="31"/>
      <c r="G38" s="32"/>
      <c r="H38" s="30">
        <f t="shared" si="0"/>
        <v>0</v>
      </c>
      <c r="I38" s="31"/>
      <c r="J38" s="32"/>
      <c r="K38" s="30">
        <f t="shared" ref="K38:K48" si="59">IFERROR(I38*J38, 0)</f>
        <v>0</v>
      </c>
      <c r="L38" s="31"/>
      <c r="M38" s="32"/>
      <c r="N38" s="30">
        <f t="shared" si="37"/>
        <v>0</v>
      </c>
      <c r="O38" s="31"/>
      <c r="P38" s="32"/>
      <c r="Q38" s="30">
        <f t="shared" ref="Q38:Q69" si="60">IFERROR(O38*P38, 0)</f>
        <v>0</v>
      </c>
      <c r="R38" s="31"/>
      <c r="S38" s="32"/>
      <c r="T38" s="30">
        <f t="shared" si="40"/>
        <v>0</v>
      </c>
      <c r="U38" s="31"/>
      <c r="V38" s="32"/>
      <c r="W38" s="30">
        <f t="shared" si="58"/>
        <v>0</v>
      </c>
      <c r="X38" s="31"/>
      <c r="Y38" s="32"/>
      <c r="Z38" s="30">
        <f t="shared" ref="Z38:Z45" si="61">IFERROR(X38*Y38, 0)</f>
        <v>0</v>
      </c>
      <c r="AA38" s="31"/>
      <c r="AB38" s="32"/>
      <c r="AC38" s="30">
        <f t="shared" si="41"/>
        <v>0</v>
      </c>
      <c r="AD38" s="31"/>
      <c r="AE38" s="32"/>
      <c r="AF38" s="30">
        <f t="shared" si="8"/>
        <v>0</v>
      </c>
      <c r="AG38" s="31"/>
      <c r="AH38" s="32"/>
      <c r="AI38" s="30">
        <f t="shared" ref="AI38:AI69" si="62">IFERROR(AG38*AH38, 0)</f>
        <v>0</v>
      </c>
      <c r="AJ38" s="31"/>
      <c r="AK38" s="32"/>
      <c r="AL38" s="30">
        <f t="shared" si="42"/>
        <v>0</v>
      </c>
      <c r="AM38" s="31"/>
      <c r="AN38" s="32"/>
      <c r="AO38" s="30">
        <f t="shared" si="43"/>
        <v>0</v>
      </c>
      <c r="AP38" s="31"/>
      <c r="AQ38" s="32"/>
      <c r="AR38" s="30">
        <f>IFERROR(AP38*AQ38, 0)</f>
        <v>0</v>
      </c>
      <c r="AS38" s="31"/>
      <c r="AT38" s="32"/>
      <c r="AU38" s="30">
        <f>IFERROR(AS38*AT38, 0)</f>
        <v>0</v>
      </c>
      <c r="AV38" s="31"/>
      <c r="AW38" s="32"/>
      <c r="AX38" s="30">
        <f t="shared" ref="AX38:AX43" si="63">IFERROR(AV38*AW38, 0)</f>
        <v>0</v>
      </c>
      <c r="AY38" s="31"/>
      <c r="AZ38" s="32"/>
      <c r="BA38" s="30">
        <f t="shared" si="44"/>
        <v>0</v>
      </c>
      <c r="BB38" s="31"/>
      <c r="BC38" s="32"/>
      <c r="BD38" s="30">
        <f t="shared" ref="BD38:BD69" si="64">IFERROR(BB38*BC38, 0)</f>
        <v>0</v>
      </c>
      <c r="BE38" s="31"/>
      <c r="BF38" s="32"/>
      <c r="BG38" s="30">
        <f t="shared" si="45"/>
        <v>0</v>
      </c>
      <c r="BH38" s="31"/>
      <c r="BI38" s="32"/>
      <c r="BJ38" s="30">
        <f t="shared" si="46"/>
        <v>0</v>
      </c>
      <c r="BK38" s="31"/>
      <c r="BL38" s="32"/>
      <c r="BM38" s="30">
        <f t="shared" si="38"/>
        <v>0</v>
      </c>
      <c r="BN38" s="31"/>
      <c r="BO38" s="32"/>
      <c r="BP38" s="30">
        <f>IFERROR(BN38*BO38, 0)</f>
        <v>0</v>
      </c>
      <c r="BQ38" s="31"/>
      <c r="BR38" s="32"/>
      <c r="BS38" s="30">
        <f t="shared" si="33"/>
        <v>0</v>
      </c>
      <c r="BT38" s="31"/>
      <c r="BU38" s="32"/>
      <c r="BV38" s="30">
        <f t="shared" si="47"/>
        <v>0</v>
      </c>
      <c r="BW38" s="31"/>
      <c r="BX38" s="32"/>
      <c r="BY38" s="30">
        <f t="shared" si="39"/>
        <v>0</v>
      </c>
      <c r="BZ38" s="31"/>
      <c r="CA38" s="32"/>
      <c r="CB38" s="30">
        <f t="shared" si="48"/>
        <v>0</v>
      </c>
      <c r="CC38" s="31"/>
      <c r="CD38" s="32"/>
      <c r="CE38" s="30">
        <f t="shared" si="49"/>
        <v>0</v>
      </c>
      <c r="CF38" s="31"/>
      <c r="CG38" s="32"/>
      <c r="CH38" s="30">
        <f t="shared" si="50"/>
        <v>0</v>
      </c>
      <c r="CI38" s="31"/>
      <c r="CJ38" s="32"/>
      <c r="CK38" s="30">
        <f t="shared" si="51"/>
        <v>0</v>
      </c>
      <c r="CL38" s="31"/>
      <c r="CM38" s="32"/>
      <c r="CN38" s="30">
        <f t="shared" si="52"/>
        <v>0</v>
      </c>
      <c r="CO38" s="31"/>
      <c r="CP38" s="32"/>
      <c r="CQ38" s="30">
        <f t="shared" si="53"/>
        <v>0</v>
      </c>
      <c r="CR38" s="31"/>
      <c r="CS38" s="32"/>
      <c r="CT38" s="30">
        <f t="shared" si="54"/>
        <v>0</v>
      </c>
      <c r="CU38" s="33">
        <f t="shared" si="55"/>
        <v>0</v>
      </c>
      <c r="CV38" s="30">
        <f t="shared" si="56"/>
        <v>0</v>
      </c>
      <c r="CW38" s="30">
        <f t="shared" si="57"/>
        <v>0</v>
      </c>
    </row>
    <row r="39" spans="1:101" ht="15.75" customHeight="1" x14ac:dyDescent="0.35">
      <c r="A39" s="28" t="s">
        <v>892</v>
      </c>
      <c r="B39" s="28" t="s">
        <v>837</v>
      </c>
      <c r="C39" s="34"/>
      <c r="D39" s="32"/>
      <c r="E39" s="32"/>
      <c r="F39" s="31"/>
      <c r="G39" s="32"/>
      <c r="H39" s="30">
        <f t="shared" si="0"/>
        <v>0</v>
      </c>
      <c r="I39" s="31"/>
      <c r="J39" s="32"/>
      <c r="K39" s="30">
        <f t="shared" si="59"/>
        <v>0</v>
      </c>
      <c r="L39" s="31"/>
      <c r="M39" s="32"/>
      <c r="N39" s="30">
        <f t="shared" si="37"/>
        <v>0</v>
      </c>
      <c r="O39" s="31"/>
      <c r="P39" s="32"/>
      <c r="Q39" s="30">
        <f t="shared" si="60"/>
        <v>0</v>
      </c>
      <c r="R39" s="31"/>
      <c r="S39" s="32"/>
      <c r="T39" s="30">
        <f t="shared" si="40"/>
        <v>0</v>
      </c>
      <c r="U39" s="31"/>
      <c r="V39" s="32"/>
      <c r="W39" s="30">
        <f t="shared" si="58"/>
        <v>0</v>
      </c>
      <c r="X39" s="31"/>
      <c r="Y39" s="32"/>
      <c r="Z39" s="30">
        <f t="shared" si="61"/>
        <v>0</v>
      </c>
      <c r="AA39" s="31"/>
      <c r="AB39" s="32"/>
      <c r="AC39" s="30">
        <f t="shared" si="41"/>
        <v>0</v>
      </c>
      <c r="AD39" s="31"/>
      <c r="AE39" s="32"/>
      <c r="AF39" s="30">
        <f t="shared" si="8"/>
        <v>0</v>
      </c>
      <c r="AG39" s="31"/>
      <c r="AH39" s="32"/>
      <c r="AI39" s="30">
        <f t="shared" si="62"/>
        <v>0</v>
      </c>
      <c r="AJ39" s="31"/>
      <c r="AK39" s="32"/>
      <c r="AL39" s="30">
        <f t="shared" si="42"/>
        <v>0</v>
      </c>
      <c r="AM39" s="31"/>
      <c r="AN39" s="32"/>
      <c r="AO39" s="30">
        <f t="shared" si="43"/>
        <v>0</v>
      </c>
      <c r="AP39" s="31"/>
      <c r="AQ39" s="32"/>
      <c r="AR39" s="30">
        <f>IFERROR(AP39*AQ39, 0)</f>
        <v>0</v>
      </c>
      <c r="AS39" s="31"/>
      <c r="AT39" s="32"/>
      <c r="AU39" s="30">
        <f>IFERROR(AS39*AT39, 0)</f>
        <v>0</v>
      </c>
      <c r="AV39" s="31"/>
      <c r="AW39" s="32"/>
      <c r="AX39" s="30">
        <f t="shared" si="63"/>
        <v>0</v>
      </c>
      <c r="AY39" s="31"/>
      <c r="AZ39" s="32"/>
      <c r="BA39" s="30">
        <f t="shared" si="44"/>
        <v>0</v>
      </c>
      <c r="BB39" s="31"/>
      <c r="BC39" s="32"/>
      <c r="BD39" s="30">
        <f t="shared" si="64"/>
        <v>0</v>
      </c>
      <c r="BE39" s="31"/>
      <c r="BF39" s="32"/>
      <c r="BG39" s="30">
        <f t="shared" si="45"/>
        <v>0</v>
      </c>
      <c r="BH39" s="31"/>
      <c r="BI39" s="32"/>
      <c r="BJ39" s="30">
        <f t="shared" si="46"/>
        <v>0</v>
      </c>
      <c r="BK39" s="31"/>
      <c r="BL39" s="32"/>
      <c r="BM39" s="30">
        <f t="shared" si="38"/>
        <v>0</v>
      </c>
      <c r="BN39" s="31"/>
      <c r="BO39" s="32"/>
      <c r="BP39" s="30">
        <f>IFERROR(BN39*BO39, 0)</f>
        <v>0</v>
      </c>
      <c r="BQ39" s="31"/>
      <c r="BR39" s="32"/>
      <c r="BS39" s="30">
        <f t="shared" si="33"/>
        <v>0</v>
      </c>
      <c r="BT39" s="31"/>
      <c r="BU39" s="32"/>
      <c r="BV39" s="30">
        <f t="shared" si="47"/>
        <v>0</v>
      </c>
      <c r="BW39" s="31"/>
      <c r="BX39" s="32"/>
      <c r="BY39" s="30">
        <f t="shared" si="39"/>
        <v>0</v>
      </c>
      <c r="BZ39" s="31"/>
      <c r="CA39" s="32"/>
      <c r="CB39" s="30">
        <f t="shared" si="48"/>
        <v>0</v>
      </c>
      <c r="CC39" s="31"/>
      <c r="CD39" s="32"/>
      <c r="CE39" s="30">
        <f t="shared" si="49"/>
        <v>0</v>
      </c>
      <c r="CF39" s="31"/>
      <c r="CG39" s="32"/>
      <c r="CH39" s="30">
        <f t="shared" si="50"/>
        <v>0</v>
      </c>
      <c r="CI39" s="31"/>
      <c r="CJ39" s="32"/>
      <c r="CK39" s="30">
        <f t="shared" si="51"/>
        <v>0</v>
      </c>
      <c r="CL39" s="31"/>
      <c r="CM39" s="32"/>
      <c r="CN39" s="30">
        <f t="shared" si="52"/>
        <v>0</v>
      </c>
      <c r="CO39" s="31"/>
      <c r="CP39" s="32"/>
      <c r="CQ39" s="30">
        <f t="shared" si="53"/>
        <v>0</v>
      </c>
      <c r="CR39" s="31"/>
      <c r="CS39" s="32"/>
      <c r="CT39" s="30">
        <f t="shared" si="54"/>
        <v>0</v>
      </c>
      <c r="CU39" s="33">
        <f t="shared" si="55"/>
        <v>0</v>
      </c>
      <c r="CV39" s="30">
        <f t="shared" si="56"/>
        <v>0</v>
      </c>
      <c r="CW39" s="30">
        <f t="shared" si="57"/>
        <v>0</v>
      </c>
    </row>
    <row r="40" spans="1:101" ht="15.75" customHeight="1" x14ac:dyDescent="0.35">
      <c r="A40" s="28" t="s">
        <v>893</v>
      </c>
      <c r="B40" s="28" t="s">
        <v>837</v>
      </c>
      <c r="C40" s="35"/>
      <c r="D40" s="35"/>
      <c r="E40" s="35"/>
      <c r="F40" s="31"/>
      <c r="G40" s="32"/>
      <c r="H40" s="30">
        <f t="shared" si="0"/>
        <v>0</v>
      </c>
      <c r="I40" s="31"/>
      <c r="J40" s="32"/>
      <c r="K40" s="30">
        <f t="shared" si="59"/>
        <v>0</v>
      </c>
      <c r="L40" s="31"/>
      <c r="M40" s="32"/>
      <c r="N40" s="30">
        <f t="shared" si="37"/>
        <v>0</v>
      </c>
      <c r="O40" s="31"/>
      <c r="P40" s="32"/>
      <c r="Q40" s="30">
        <f t="shared" si="60"/>
        <v>0</v>
      </c>
      <c r="R40" s="31"/>
      <c r="S40" s="32"/>
      <c r="T40" s="30">
        <f t="shared" si="40"/>
        <v>0</v>
      </c>
      <c r="U40" s="31"/>
      <c r="V40" s="32"/>
      <c r="W40" s="30">
        <f t="shared" si="58"/>
        <v>0</v>
      </c>
      <c r="X40" s="31"/>
      <c r="Y40" s="32"/>
      <c r="Z40" s="30">
        <f t="shared" si="61"/>
        <v>0</v>
      </c>
      <c r="AA40" s="31"/>
      <c r="AB40" s="32"/>
      <c r="AC40" s="30">
        <f t="shared" si="41"/>
        <v>0</v>
      </c>
      <c r="AD40" s="31"/>
      <c r="AE40" s="32"/>
      <c r="AF40" s="30">
        <f t="shared" si="8"/>
        <v>0</v>
      </c>
      <c r="AG40" s="31"/>
      <c r="AH40" s="32"/>
      <c r="AI40" s="30">
        <f t="shared" si="62"/>
        <v>0</v>
      </c>
      <c r="AJ40" s="31"/>
      <c r="AK40" s="32"/>
      <c r="AL40" s="30">
        <f t="shared" si="42"/>
        <v>0</v>
      </c>
      <c r="AM40" s="31"/>
      <c r="AN40" s="32"/>
      <c r="AO40" s="30">
        <f t="shared" si="43"/>
        <v>0</v>
      </c>
      <c r="AP40" s="31"/>
      <c r="AQ40" s="32"/>
      <c r="AR40" s="30">
        <f>IFERROR(AP40*AQ40, 0)</f>
        <v>0</v>
      </c>
      <c r="AS40" s="31"/>
      <c r="AT40" s="32"/>
      <c r="AU40" s="30">
        <f>IFERROR(AS40*AT40, 0)</f>
        <v>0</v>
      </c>
      <c r="AV40" s="31"/>
      <c r="AW40" s="32"/>
      <c r="AX40" s="30">
        <f t="shared" si="63"/>
        <v>0</v>
      </c>
      <c r="AY40" s="31"/>
      <c r="AZ40" s="32"/>
      <c r="BA40" s="30">
        <f t="shared" si="44"/>
        <v>0</v>
      </c>
      <c r="BB40" s="31"/>
      <c r="BC40" s="32"/>
      <c r="BD40" s="30">
        <f t="shared" si="64"/>
        <v>0</v>
      </c>
      <c r="BE40" s="31"/>
      <c r="BF40" s="32"/>
      <c r="BG40" s="30">
        <f t="shared" si="45"/>
        <v>0</v>
      </c>
      <c r="BH40" s="31"/>
      <c r="BI40" s="32"/>
      <c r="BJ40" s="30">
        <f t="shared" si="46"/>
        <v>0</v>
      </c>
      <c r="BK40" s="31"/>
      <c r="BL40" s="32"/>
      <c r="BM40" s="30">
        <f t="shared" si="38"/>
        <v>0</v>
      </c>
      <c r="BN40" s="31"/>
      <c r="BO40" s="32"/>
      <c r="BP40" s="30">
        <f>IFERROR(BN40*BO40, 0)</f>
        <v>0</v>
      </c>
      <c r="BQ40" s="31"/>
      <c r="BR40" s="32"/>
      <c r="BS40" s="30">
        <f t="shared" si="33"/>
        <v>0</v>
      </c>
      <c r="BT40" s="31"/>
      <c r="BU40" s="32"/>
      <c r="BV40" s="30">
        <f t="shared" si="47"/>
        <v>0</v>
      </c>
      <c r="BW40" s="31"/>
      <c r="BX40" s="32"/>
      <c r="BY40" s="30">
        <f t="shared" si="39"/>
        <v>0</v>
      </c>
      <c r="BZ40" s="31"/>
      <c r="CA40" s="32"/>
      <c r="CB40" s="30">
        <f t="shared" si="48"/>
        <v>0</v>
      </c>
      <c r="CC40" s="31"/>
      <c r="CD40" s="32"/>
      <c r="CE40" s="30">
        <f t="shared" si="49"/>
        <v>0</v>
      </c>
      <c r="CF40" s="31"/>
      <c r="CG40" s="32"/>
      <c r="CH40" s="30">
        <f t="shared" si="50"/>
        <v>0</v>
      </c>
      <c r="CI40" s="31"/>
      <c r="CJ40" s="32"/>
      <c r="CK40" s="30">
        <f t="shared" si="51"/>
        <v>0</v>
      </c>
      <c r="CL40" s="31"/>
      <c r="CM40" s="32"/>
      <c r="CN40" s="30">
        <f t="shared" si="52"/>
        <v>0</v>
      </c>
      <c r="CO40" s="31"/>
      <c r="CP40" s="32"/>
      <c r="CQ40" s="30">
        <f t="shared" si="53"/>
        <v>0</v>
      </c>
      <c r="CR40" s="31"/>
      <c r="CS40" s="32"/>
      <c r="CT40" s="30">
        <f t="shared" si="54"/>
        <v>0</v>
      </c>
      <c r="CU40" s="33">
        <f t="shared" si="55"/>
        <v>0</v>
      </c>
      <c r="CV40" s="30">
        <f t="shared" si="56"/>
        <v>0</v>
      </c>
      <c r="CW40" s="30">
        <f t="shared" si="57"/>
        <v>0</v>
      </c>
    </row>
    <row r="41" spans="1:101" ht="15.75" customHeight="1" x14ac:dyDescent="0.35">
      <c r="A41" s="28" t="s">
        <v>19</v>
      </c>
      <c r="B41" s="28" t="s">
        <v>889</v>
      </c>
      <c r="C41" s="29"/>
      <c r="D41" s="30"/>
      <c r="E41" s="30"/>
      <c r="F41" s="31">
        <v>1</v>
      </c>
      <c r="G41" s="32">
        <v>15000</v>
      </c>
      <c r="H41" s="30">
        <v>15000</v>
      </c>
      <c r="I41" s="31"/>
      <c r="J41" s="32"/>
      <c r="K41" s="30">
        <f t="shared" si="59"/>
        <v>0</v>
      </c>
      <c r="L41" s="31"/>
      <c r="M41" s="32"/>
      <c r="N41" s="30">
        <f t="shared" si="37"/>
        <v>0</v>
      </c>
      <c r="O41" s="31"/>
      <c r="P41" s="32"/>
      <c r="Q41" s="30">
        <f t="shared" si="60"/>
        <v>0</v>
      </c>
      <c r="R41" s="31"/>
      <c r="S41" s="32"/>
      <c r="T41" s="30">
        <f t="shared" si="40"/>
        <v>0</v>
      </c>
      <c r="U41" s="31"/>
      <c r="V41" s="32"/>
      <c r="W41" s="30">
        <f t="shared" si="58"/>
        <v>0</v>
      </c>
      <c r="X41" s="31"/>
      <c r="Y41" s="32"/>
      <c r="Z41" s="30">
        <f t="shared" si="61"/>
        <v>0</v>
      </c>
      <c r="AA41" s="31"/>
      <c r="AB41" s="32"/>
      <c r="AC41" s="30">
        <f t="shared" si="41"/>
        <v>0</v>
      </c>
      <c r="AD41" s="31"/>
      <c r="AE41" s="32"/>
      <c r="AF41" s="30">
        <f t="shared" si="8"/>
        <v>0</v>
      </c>
      <c r="AG41" s="31"/>
      <c r="AH41" s="32"/>
      <c r="AI41" s="30">
        <f t="shared" si="62"/>
        <v>0</v>
      </c>
      <c r="AJ41" s="31"/>
      <c r="AK41" s="32"/>
      <c r="AL41" s="30">
        <f t="shared" si="42"/>
        <v>0</v>
      </c>
      <c r="AM41" s="31"/>
      <c r="AN41" s="32"/>
      <c r="AO41" s="30">
        <f t="shared" si="43"/>
        <v>0</v>
      </c>
      <c r="AP41" s="31">
        <v>30</v>
      </c>
      <c r="AQ41" s="32">
        <v>1000</v>
      </c>
      <c r="AR41" s="30">
        <v>30000</v>
      </c>
      <c r="AS41" s="31">
        <v>30</v>
      </c>
      <c r="AT41" s="32">
        <v>1000</v>
      </c>
      <c r="AU41" s="30">
        <v>30000</v>
      </c>
      <c r="AV41" s="31"/>
      <c r="AW41" s="32"/>
      <c r="AX41" s="30">
        <f t="shared" si="63"/>
        <v>0</v>
      </c>
      <c r="AY41" s="31"/>
      <c r="AZ41" s="32"/>
      <c r="BA41" s="30">
        <f t="shared" si="44"/>
        <v>0</v>
      </c>
      <c r="BB41" s="31"/>
      <c r="BC41" s="32"/>
      <c r="BD41" s="30">
        <f t="shared" si="64"/>
        <v>0</v>
      </c>
      <c r="BE41" s="31"/>
      <c r="BF41" s="32"/>
      <c r="BG41" s="30">
        <f t="shared" si="45"/>
        <v>0</v>
      </c>
      <c r="BH41" s="31"/>
      <c r="BI41" s="32"/>
      <c r="BJ41" s="30">
        <f t="shared" si="46"/>
        <v>0</v>
      </c>
      <c r="BK41" s="31"/>
      <c r="BL41" s="32"/>
      <c r="BM41" s="30">
        <f t="shared" si="38"/>
        <v>0</v>
      </c>
      <c r="BN41" s="31">
        <v>30</v>
      </c>
      <c r="BO41" s="32">
        <v>1000</v>
      </c>
      <c r="BP41" s="30">
        <v>30000</v>
      </c>
      <c r="BQ41" s="31"/>
      <c r="BR41" s="32"/>
      <c r="BS41" s="30">
        <f t="shared" si="33"/>
        <v>0</v>
      </c>
      <c r="BT41" s="31"/>
      <c r="BU41" s="32"/>
      <c r="BV41" s="30">
        <f t="shared" si="47"/>
        <v>0</v>
      </c>
      <c r="BW41" s="31"/>
      <c r="BX41" s="32"/>
      <c r="BY41" s="30">
        <f t="shared" si="39"/>
        <v>0</v>
      </c>
      <c r="BZ41" s="31"/>
      <c r="CA41" s="32"/>
      <c r="CB41" s="30">
        <f t="shared" si="48"/>
        <v>0</v>
      </c>
      <c r="CC41" s="31"/>
      <c r="CD41" s="32"/>
      <c r="CE41" s="30">
        <f t="shared" si="49"/>
        <v>0</v>
      </c>
      <c r="CF41" s="31"/>
      <c r="CG41" s="32"/>
      <c r="CH41" s="30">
        <f t="shared" si="50"/>
        <v>0</v>
      </c>
      <c r="CI41" s="31"/>
      <c r="CJ41" s="32"/>
      <c r="CK41" s="30">
        <f t="shared" si="51"/>
        <v>0</v>
      </c>
      <c r="CL41" s="31"/>
      <c r="CM41" s="32"/>
      <c r="CN41" s="30">
        <f t="shared" si="52"/>
        <v>0</v>
      </c>
      <c r="CO41" s="31"/>
      <c r="CP41" s="32"/>
      <c r="CQ41" s="30">
        <f t="shared" si="53"/>
        <v>0</v>
      </c>
      <c r="CR41" s="31"/>
      <c r="CS41" s="32"/>
      <c r="CT41" s="30">
        <f t="shared" si="54"/>
        <v>0</v>
      </c>
      <c r="CU41" s="33">
        <f t="shared" si="55"/>
        <v>91</v>
      </c>
      <c r="CV41" s="30">
        <f t="shared" si="56"/>
        <v>4500</v>
      </c>
      <c r="CW41" s="30">
        <f t="shared" si="57"/>
        <v>409500</v>
      </c>
    </row>
    <row r="42" spans="1:101" ht="15.75" customHeight="1" x14ac:dyDescent="0.35">
      <c r="A42" s="28" t="s">
        <v>894</v>
      </c>
      <c r="B42" s="28" t="s">
        <v>837</v>
      </c>
      <c r="C42" s="34"/>
      <c r="D42" s="32"/>
      <c r="E42" s="32"/>
      <c r="F42" s="31"/>
      <c r="G42" s="32"/>
      <c r="H42" s="30">
        <f t="shared" ref="H42:H73" si="65">IFERROR(F42*G42, 0)</f>
        <v>0</v>
      </c>
      <c r="I42" s="31"/>
      <c r="J42" s="32"/>
      <c r="K42" s="30">
        <f t="shared" si="59"/>
        <v>0</v>
      </c>
      <c r="L42" s="31"/>
      <c r="M42" s="32"/>
      <c r="N42" s="30">
        <f t="shared" si="37"/>
        <v>0</v>
      </c>
      <c r="O42" s="31"/>
      <c r="P42" s="32"/>
      <c r="Q42" s="30">
        <f t="shared" si="60"/>
        <v>0</v>
      </c>
      <c r="R42" s="31"/>
      <c r="S42" s="32"/>
      <c r="T42" s="30">
        <f t="shared" si="40"/>
        <v>0</v>
      </c>
      <c r="U42" s="31"/>
      <c r="V42" s="32"/>
      <c r="W42" s="30">
        <f t="shared" si="58"/>
        <v>0</v>
      </c>
      <c r="X42" s="31"/>
      <c r="Y42" s="32"/>
      <c r="Z42" s="30">
        <f t="shared" si="61"/>
        <v>0</v>
      </c>
      <c r="AA42" s="31"/>
      <c r="AB42" s="32"/>
      <c r="AC42" s="30">
        <f t="shared" si="41"/>
        <v>0</v>
      </c>
      <c r="AD42" s="31"/>
      <c r="AE42" s="32"/>
      <c r="AF42" s="30">
        <f t="shared" si="8"/>
        <v>0</v>
      </c>
      <c r="AG42" s="31"/>
      <c r="AH42" s="32"/>
      <c r="AI42" s="30">
        <f t="shared" si="62"/>
        <v>0</v>
      </c>
      <c r="AJ42" s="31"/>
      <c r="AK42" s="32"/>
      <c r="AL42" s="30">
        <f t="shared" si="42"/>
        <v>0</v>
      </c>
      <c r="AM42" s="31"/>
      <c r="AN42" s="32"/>
      <c r="AO42" s="30">
        <f t="shared" si="43"/>
        <v>0</v>
      </c>
      <c r="AP42" s="31"/>
      <c r="AQ42" s="32"/>
      <c r="AR42" s="30">
        <f>IFERROR(AP42*AQ42, 0)</f>
        <v>0</v>
      </c>
      <c r="AS42" s="31"/>
      <c r="AT42" s="32"/>
      <c r="AU42" s="30">
        <f>IFERROR(AS42*AT42, 0)</f>
        <v>0</v>
      </c>
      <c r="AV42" s="31"/>
      <c r="AW42" s="32"/>
      <c r="AX42" s="30">
        <f t="shared" si="63"/>
        <v>0</v>
      </c>
      <c r="AY42" s="31"/>
      <c r="AZ42" s="32"/>
      <c r="BA42" s="30">
        <f t="shared" si="44"/>
        <v>0</v>
      </c>
      <c r="BB42" s="31"/>
      <c r="BC42" s="32"/>
      <c r="BD42" s="30">
        <f t="shared" si="64"/>
        <v>0</v>
      </c>
      <c r="BE42" s="31"/>
      <c r="BF42" s="32"/>
      <c r="BG42" s="30">
        <f t="shared" si="45"/>
        <v>0</v>
      </c>
      <c r="BH42" s="31"/>
      <c r="BI42" s="32"/>
      <c r="BJ42" s="30">
        <f t="shared" si="46"/>
        <v>0</v>
      </c>
      <c r="BK42" s="31"/>
      <c r="BL42" s="32"/>
      <c r="BM42" s="30">
        <f t="shared" si="38"/>
        <v>0</v>
      </c>
      <c r="BN42" s="31"/>
      <c r="BO42" s="32"/>
      <c r="BP42" s="30">
        <f>IFERROR(BN42*BO42, 0)</f>
        <v>0</v>
      </c>
      <c r="BQ42" s="31"/>
      <c r="BR42" s="32"/>
      <c r="BS42" s="30">
        <f t="shared" si="33"/>
        <v>0</v>
      </c>
      <c r="BT42" s="31"/>
      <c r="BU42" s="32"/>
      <c r="BV42" s="30">
        <f t="shared" si="47"/>
        <v>0</v>
      </c>
      <c r="BW42" s="31"/>
      <c r="BX42" s="32"/>
      <c r="BY42" s="30">
        <f t="shared" si="39"/>
        <v>0</v>
      </c>
      <c r="BZ42" s="31"/>
      <c r="CA42" s="32"/>
      <c r="CB42" s="30">
        <f t="shared" si="48"/>
        <v>0</v>
      </c>
      <c r="CC42" s="31"/>
      <c r="CD42" s="32"/>
      <c r="CE42" s="30">
        <f t="shared" si="49"/>
        <v>0</v>
      </c>
      <c r="CF42" s="31"/>
      <c r="CG42" s="32"/>
      <c r="CH42" s="30">
        <f t="shared" si="50"/>
        <v>0</v>
      </c>
      <c r="CI42" s="31"/>
      <c r="CJ42" s="32"/>
      <c r="CK42" s="30">
        <f t="shared" si="51"/>
        <v>0</v>
      </c>
      <c r="CL42" s="31"/>
      <c r="CM42" s="32"/>
      <c r="CN42" s="30">
        <f t="shared" si="52"/>
        <v>0</v>
      </c>
      <c r="CO42" s="31"/>
      <c r="CP42" s="32"/>
      <c r="CQ42" s="30">
        <f t="shared" si="53"/>
        <v>0</v>
      </c>
      <c r="CR42" s="31"/>
      <c r="CS42" s="32"/>
      <c r="CT42" s="30">
        <f t="shared" si="54"/>
        <v>0</v>
      </c>
      <c r="CU42" s="33">
        <f t="shared" si="55"/>
        <v>0</v>
      </c>
      <c r="CV42" s="30">
        <f t="shared" si="56"/>
        <v>0</v>
      </c>
      <c r="CW42" s="30">
        <f t="shared" si="57"/>
        <v>0</v>
      </c>
    </row>
    <row r="43" spans="1:101" ht="15.75" customHeight="1" x14ac:dyDescent="0.35">
      <c r="A43" s="28" t="s">
        <v>895</v>
      </c>
      <c r="B43" s="28" t="s">
        <v>837</v>
      </c>
      <c r="C43" s="34"/>
      <c r="D43" s="32"/>
      <c r="E43" s="32"/>
      <c r="F43" s="31"/>
      <c r="G43" s="32"/>
      <c r="H43" s="30">
        <f t="shared" si="65"/>
        <v>0</v>
      </c>
      <c r="I43" s="31"/>
      <c r="J43" s="32"/>
      <c r="K43" s="30">
        <f t="shared" si="59"/>
        <v>0</v>
      </c>
      <c r="L43" s="31"/>
      <c r="M43" s="32"/>
      <c r="N43" s="30">
        <f t="shared" si="37"/>
        <v>0</v>
      </c>
      <c r="O43" s="31"/>
      <c r="P43" s="32"/>
      <c r="Q43" s="30">
        <f t="shared" si="60"/>
        <v>0</v>
      </c>
      <c r="R43" s="31"/>
      <c r="S43" s="32"/>
      <c r="T43" s="30">
        <f t="shared" si="40"/>
        <v>0</v>
      </c>
      <c r="U43" s="31"/>
      <c r="V43" s="32"/>
      <c r="W43" s="30">
        <f t="shared" si="58"/>
        <v>0</v>
      </c>
      <c r="X43" s="31"/>
      <c r="Y43" s="32"/>
      <c r="Z43" s="30">
        <f t="shared" si="61"/>
        <v>0</v>
      </c>
      <c r="AA43" s="31"/>
      <c r="AB43" s="32"/>
      <c r="AC43" s="30">
        <f t="shared" si="41"/>
        <v>0</v>
      </c>
      <c r="AD43" s="31"/>
      <c r="AE43" s="32"/>
      <c r="AF43" s="30">
        <f t="shared" si="8"/>
        <v>0</v>
      </c>
      <c r="AG43" s="31"/>
      <c r="AH43" s="32"/>
      <c r="AI43" s="30">
        <f t="shared" si="62"/>
        <v>0</v>
      </c>
      <c r="AJ43" s="31"/>
      <c r="AK43" s="32"/>
      <c r="AL43" s="30">
        <f t="shared" si="42"/>
        <v>0</v>
      </c>
      <c r="AM43" s="31"/>
      <c r="AN43" s="32"/>
      <c r="AO43" s="30">
        <f t="shared" si="43"/>
        <v>0</v>
      </c>
      <c r="AP43" s="31"/>
      <c r="AQ43" s="32"/>
      <c r="AR43" s="30">
        <f>IFERROR(AP43*AQ43, 0)</f>
        <v>0</v>
      </c>
      <c r="AS43" s="31"/>
      <c r="AT43" s="32"/>
      <c r="AU43" s="30">
        <f>IFERROR(AS43*AT43, 0)</f>
        <v>0</v>
      </c>
      <c r="AV43" s="31"/>
      <c r="AW43" s="32"/>
      <c r="AX43" s="30">
        <f t="shared" si="63"/>
        <v>0</v>
      </c>
      <c r="AY43" s="31"/>
      <c r="AZ43" s="32"/>
      <c r="BA43" s="30">
        <f t="shared" si="44"/>
        <v>0</v>
      </c>
      <c r="BB43" s="31"/>
      <c r="BC43" s="32"/>
      <c r="BD43" s="30">
        <f t="shared" si="64"/>
        <v>0</v>
      </c>
      <c r="BE43" s="31"/>
      <c r="BF43" s="32"/>
      <c r="BG43" s="30">
        <f t="shared" si="45"/>
        <v>0</v>
      </c>
      <c r="BH43" s="31"/>
      <c r="BI43" s="32"/>
      <c r="BJ43" s="30">
        <f t="shared" si="46"/>
        <v>0</v>
      </c>
      <c r="BK43" s="31"/>
      <c r="BL43" s="32"/>
      <c r="BM43" s="30">
        <f t="shared" si="38"/>
        <v>0</v>
      </c>
      <c r="BN43" s="31"/>
      <c r="BO43" s="32"/>
      <c r="BP43" s="30">
        <f>IFERROR(BN43*BO43, 0)</f>
        <v>0</v>
      </c>
      <c r="BQ43" s="31"/>
      <c r="BR43" s="32"/>
      <c r="BS43" s="30">
        <f t="shared" si="33"/>
        <v>0</v>
      </c>
      <c r="BT43" s="31"/>
      <c r="BU43" s="32"/>
      <c r="BV43" s="30">
        <f t="shared" si="47"/>
        <v>0</v>
      </c>
      <c r="BW43" s="31"/>
      <c r="BX43" s="32"/>
      <c r="BY43" s="30">
        <f t="shared" si="39"/>
        <v>0</v>
      </c>
      <c r="BZ43" s="31"/>
      <c r="CA43" s="32"/>
      <c r="CB43" s="30">
        <f t="shared" si="48"/>
        <v>0</v>
      </c>
      <c r="CC43" s="31"/>
      <c r="CD43" s="32"/>
      <c r="CE43" s="30">
        <f t="shared" si="49"/>
        <v>0</v>
      </c>
      <c r="CF43" s="31"/>
      <c r="CG43" s="32"/>
      <c r="CH43" s="30">
        <f t="shared" si="50"/>
        <v>0</v>
      </c>
      <c r="CI43" s="31"/>
      <c r="CJ43" s="32"/>
      <c r="CK43" s="30">
        <f t="shared" si="51"/>
        <v>0</v>
      </c>
      <c r="CL43" s="31"/>
      <c r="CM43" s="32"/>
      <c r="CN43" s="30">
        <f t="shared" si="52"/>
        <v>0</v>
      </c>
      <c r="CO43" s="31"/>
      <c r="CP43" s="32"/>
      <c r="CQ43" s="30">
        <f t="shared" si="53"/>
        <v>0</v>
      </c>
      <c r="CR43" s="31"/>
      <c r="CS43" s="32"/>
      <c r="CT43" s="30">
        <f t="shared" si="54"/>
        <v>0</v>
      </c>
      <c r="CU43" s="33">
        <f t="shared" si="55"/>
        <v>0</v>
      </c>
      <c r="CV43" s="30">
        <f t="shared" si="56"/>
        <v>0</v>
      </c>
      <c r="CW43" s="30">
        <f t="shared" si="57"/>
        <v>0</v>
      </c>
    </row>
    <row r="44" spans="1:101" ht="15.75" customHeight="1" x14ac:dyDescent="0.35">
      <c r="A44" s="28" t="s">
        <v>532</v>
      </c>
      <c r="B44" s="28" t="s">
        <v>837</v>
      </c>
      <c r="C44" s="34"/>
      <c r="D44" s="32"/>
      <c r="E44" s="32"/>
      <c r="F44" s="31"/>
      <c r="G44" s="32"/>
      <c r="H44" s="30">
        <f t="shared" si="65"/>
        <v>0</v>
      </c>
      <c r="I44" s="31"/>
      <c r="J44" s="32"/>
      <c r="K44" s="30">
        <f t="shared" si="59"/>
        <v>0</v>
      </c>
      <c r="L44" s="31"/>
      <c r="M44" s="32"/>
      <c r="N44" s="30">
        <f t="shared" si="37"/>
        <v>0</v>
      </c>
      <c r="O44" s="31"/>
      <c r="P44" s="32"/>
      <c r="Q44" s="30">
        <f t="shared" si="60"/>
        <v>0</v>
      </c>
      <c r="R44" s="31"/>
      <c r="S44" s="32"/>
      <c r="T44" s="30">
        <f t="shared" si="40"/>
        <v>0</v>
      </c>
      <c r="U44" s="31"/>
      <c r="V44" s="32"/>
      <c r="W44" s="30">
        <f t="shared" si="58"/>
        <v>0</v>
      </c>
      <c r="X44" s="31"/>
      <c r="Y44" s="32"/>
      <c r="Z44" s="30">
        <f t="shared" si="61"/>
        <v>0</v>
      </c>
      <c r="AA44" s="31"/>
      <c r="AB44" s="32"/>
      <c r="AC44" s="30">
        <f t="shared" si="41"/>
        <v>0</v>
      </c>
      <c r="AD44" s="31"/>
      <c r="AE44" s="32"/>
      <c r="AF44" s="30">
        <f t="shared" si="8"/>
        <v>0</v>
      </c>
      <c r="AG44" s="31"/>
      <c r="AH44" s="32"/>
      <c r="AI44" s="30">
        <f t="shared" si="62"/>
        <v>0</v>
      </c>
      <c r="AJ44" s="31"/>
      <c r="AK44" s="32"/>
      <c r="AL44" s="30">
        <f t="shared" si="42"/>
        <v>0</v>
      </c>
      <c r="AM44" s="31"/>
      <c r="AN44" s="32"/>
      <c r="AO44" s="30">
        <f t="shared" si="43"/>
        <v>0</v>
      </c>
      <c r="AP44" s="31"/>
      <c r="AQ44" s="32"/>
      <c r="AR44" s="30">
        <f>IFERROR(AP44*AQ44, 0)</f>
        <v>0</v>
      </c>
      <c r="AS44" s="31"/>
      <c r="AT44" s="32"/>
      <c r="AU44" s="30">
        <f>IFERROR(AS44*AT44, 0)</f>
        <v>0</v>
      </c>
      <c r="AV44" s="31">
        <v>18</v>
      </c>
      <c r="AW44" s="32">
        <v>1500</v>
      </c>
      <c r="AX44" s="30">
        <v>27000</v>
      </c>
      <c r="AY44" s="31"/>
      <c r="AZ44" s="32"/>
      <c r="BA44" s="30">
        <f t="shared" si="44"/>
        <v>0</v>
      </c>
      <c r="BB44" s="31"/>
      <c r="BC44" s="32"/>
      <c r="BD44" s="30">
        <f t="shared" si="64"/>
        <v>0</v>
      </c>
      <c r="BE44" s="31"/>
      <c r="BF44" s="32"/>
      <c r="BG44" s="30">
        <f t="shared" si="45"/>
        <v>0</v>
      </c>
      <c r="BH44" s="31"/>
      <c r="BI44" s="32"/>
      <c r="BJ44" s="30">
        <f t="shared" si="46"/>
        <v>0</v>
      </c>
      <c r="BK44" s="31"/>
      <c r="BL44" s="32"/>
      <c r="BM44" s="30">
        <f t="shared" si="38"/>
        <v>0</v>
      </c>
      <c r="BN44" s="31"/>
      <c r="BO44" s="32"/>
      <c r="BP44" s="30">
        <f>IFERROR(BN44*BO44, 0)</f>
        <v>0</v>
      </c>
      <c r="BQ44" s="31"/>
      <c r="BR44" s="32"/>
      <c r="BS44" s="30">
        <f t="shared" si="33"/>
        <v>0</v>
      </c>
      <c r="BT44" s="31"/>
      <c r="BU44" s="32"/>
      <c r="BV44" s="30">
        <f t="shared" si="47"/>
        <v>0</v>
      </c>
      <c r="BW44" s="31"/>
      <c r="BX44" s="32"/>
      <c r="BY44" s="30">
        <f t="shared" si="39"/>
        <v>0</v>
      </c>
      <c r="BZ44" s="31"/>
      <c r="CA44" s="32"/>
      <c r="CB44" s="30">
        <f t="shared" si="48"/>
        <v>0</v>
      </c>
      <c r="CC44" s="31"/>
      <c r="CD44" s="32"/>
      <c r="CE44" s="30">
        <f t="shared" si="49"/>
        <v>0</v>
      </c>
      <c r="CF44" s="31"/>
      <c r="CG44" s="32"/>
      <c r="CH44" s="30">
        <f t="shared" si="50"/>
        <v>0</v>
      </c>
      <c r="CI44" s="31"/>
      <c r="CJ44" s="32"/>
      <c r="CK44" s="30">
        <f t="shared" si="51"/>
        <v>0</v>
      </c>
      <c r="CL44" s="31"/>
      <c r="CM44" s="32"/>
      <c r="CN44" s="30">
        <f t="shared" si="52"/>
        <v>0</v>
      </c>
      <c r="CO44" s="31"/>
      <c r="CP44" s="32"/>
      <c r="CQ44" s="30">
        <f t="shared" si="53"/>
        <v>0</v>
      </c>
      <c r="CR44" s="31"/>
      <c r="CS44" s="32"/>
      <c r="CT44" s="30">
        <f t="shared" si="54"/>
        <v>0</v>
      </c>
      <c r="CU44" s="33">
        <f t="shared" si="55"/>
        <v>18</v>
      </c>
      <c r="CV44" s="30">
        <f t="shared" si="56"/>
        <v>1500</v>
      </c>
      <c r="CW44" s="30">
        <f t="shared" si="57"/>
        <v>27000</v>
      </c>
    </row>
    <row r="45" spans="1:101" ht="15.75" customHeight="1" x14ac:dyDescent="0.35">
      <c r="A45" s="28" t="s">
        <v>330</v>
      </c>
      <c r="B45" s="28" t="s">
        <v>837</v>
      </c>
      <c r="C45" s="29"/>
      <c r="D45" s="30"/>
      <c r="E45" s="30"/>
      <c r="F45" s="31"/>
      <c r="G45" s="32"/>
      <c r="H45" s="30">
        <f t="shared" si="65"/>
        <v>0</v>
      </c>
      <c r="I45" s="31"/>
      <c r="J45" s="32"/>
      <c r="K45" s="30">
        <f t="shared" si="59"/>
        <v>0</v>
      </c>
      <c r="L45" s="31"/>
      <c r="M45" s="32"/>
      <c r="N45" s="30">
        <f t="shared" si="37"/>
        <v>0</v>
      </c>
      <c r="O45" s="31"/>
      <c r="P45" s="32"/>
      <c r="Q45" s="30">
        <f t="shared" si="60"/>
        <v>0</v>
      </c>
      <c r="R45" s="31"/>
      <c r="S45" s="32"/>
      <c r="T45" s="30">
        <f t="shared" si="40"/>
        <v>0</v>
      </c>
      <c r="U45" s="31"/>
      <c r="V45" s="32"/>
      <c r="W45" s="30">
        <f t="shared" si="58"/>
        <v>0</v>
      </c>
      <c r="X45" s="31"/>
      <c r="Y45" s="32"/>
      <c r="Z45" s="30">
        <f t="shared" si="61"/>
        <v>0</v>
      </c>
      <c r="AA45" s="31"/>
      <c r="AB45" s="32"/>
      <c r="AC45" s="30">
        <f t="shared" si="41"/>
        <v>0</v>
      </c>
      <c r="AD45" s="31"/>
      <c r="AE45" s="32"/>
      <c r="AF45" s="30">
        <f t="shared" si="8"/>
        <v>0</v>
      </c>
      <c r="AG45" s="31"/>
      <c r="AH45" s="32"/>
      <c r="AI45" s="30">
        <f t="shared" si="62"/>
        <v>0</v>
      </c>
      <c r="AJ45" s="31"/>
      <c r="AK45" s="32"/>
      <c r="AL45" s="30">
        <f t="shared" si="42"/>
        <v>0</v>
      </c>
      <c r="AM45" s="31"/>
      <c r="AN45" s="32"/>
      <c r="AO45" s="30">
        <f t="shared" si="43"/>
        <v>0</v>
      </c>
      <c r="AP45" s="31"/>
      <c r="AQ45" s="32"/>
      <c r="AR45" s="30">
        <f>IFERROR(AP45*AQ45, 0)</f>
        <v>0</v>
      </c>
      <c r="AS45" s="31"/>
      <c r="AT45" s="32"/>
      <c r="AU45" s="30">
        <f>IFERROR(AS45*AT45, 0)</f>
        <v>0</v>
      </c>
      <c r="AV45" s="31"/>
      <c r="AW45" s="32"/>
      <c r="AX45" s="30">
        <f t="shared" ref="AX45:AX72" si="66">IFERROR(AV45*AW45, 0)</f>
        <v>0</v>
      </c>
      <c r="AY45" s="31"/>
      <c r="AZ45" s="32"/>
      <c r="BA45" s="30">
        <f t="shared" si="44"/>
        <v>0</v>
      </c>
      <c r="BB45" s="31"/>
      <c r="BC45" s="32"/>
      <c r="BD45" s="30">
        <f t="shared" si="64"/>
        <v>0</v>
      </c>
      <c r="BE45" s="31"/>
      <c r="BF45" s="32"/>
      <c r="BG45" s="30">
        <f t="shared" si="45"/>
        <v>0</v>
      </c>
      <c r="BH45" s="31"/>
      <c r="BI45" s="32"/>
      <c r="BJ45" s="30">
        <f t="shared" si="46"/>
        <v>0</v>
      </c>
      <c r="BK45" s="31"/>
      <c r="BL45" s="32"/>
      <c r="BM45" s="30">
        <f t="shared" si="38"/>
        <v>0</v>
      </c>
      <c r="BN45" s="31"/>
      <c r="BO45" s="32"/>
      <c r="BP45" s="30">
        <f>IFERROR(BN45*BO45, 0)</f>
        <v>0</v>
      </c>
      <c r="BQ45" s="31"/>
      <c r="BR45" s="32"/>
      <c r="BS45" s="30">
        <f t="shared" si="33"/>
        <v>0</v>
      </c>
      <c r="BT45" s="31"/>
      <c r="BU45" s="32"/>
      <c r="BV45" s="30">
        <f t="shared" si="47"/>
        <v>0</v>
      </c>
      <c r="BW45" s="31"/>
      <c r="BX45" s="32"/>
      <c r="BY45" s="30">
        <f t="shared" si="39"/>
        <v>0</v>
      </c>
      <c r="BZ45" s="31"/>
      <c r="CA45" s="32"/>
      <c r="CB45" s="30">
        <f t="shared" si="48"/>
        <v>0</v>
      </c>
      <c r="CC45" s="31"/>
      <c r="CD45" s="32"/>
      <c r="CE45" s="30">
        <f t="shared" si="49"/>
        <v>0</v>
      </c>
      <c r="CF45" s="31"/>
      <c r="CG45" s="32"/>
      <c r="CH45" s="30">
        <f t="shared" si="50"/>
        <v>0</v>
      </c>
      <c r="CI45" s="31"/>
      <c r="CJ45" s="32"/>
      <c r="CK45" s="30">
        <f t="shared" si="51"/>
        <v>0</v>
      </c>
      <c r="CL45" s="31"/>
      <c r="CM45" s="32"/>
      <c r="CN45" s="30">
        <f t="shared" si="52"/>
        <v>0</v>
      </c>
      <c r="CO45" s="31"/>
      <c r="CP45" s="32"/>
      <c r="CQ45" s="30">
        <f t="shared" si="53"/>
        <v>0</v>
      </c>
      <c r="CR45" s="31"/>
      <c r="CS45" s="32"/>
      <c r="CT45" s="30">
        <f t="shared" si="54"/>
        <v>0</v>
      </c>
      <c r="CU45" s="33">
        <f t="shared" si="55"/>
        <v>0</v>
      </c>
      <c r="CV45" s="30">
        <f t="shared" si="56"/>
        <v>0</v>
      </c>
      <c r="CW45" s="30">
        <f t="shared" si="57"/>
        <v>0</v>
      </c>
    </row>
    <row r="46" spans="1:101" ht="15.75" customHeight="1" x14ac:dyDescent="0.35">
      <c r="A46" s="28" t="s">
        <v>330</v>
      </c>
      <c r="B46" s="28" t="s">
        <v>837</v>
      </c>
      <c r="C46" s="34"/>
      <c r="D46" s="32"/>
      <c r="E46" s="32"/>
      <c r="F46" s="31"/>
      <c r="G46" s="32"/>
      <c r="H46" s="30">
        <f t="shared" si="65"/>
        <v>0</v>
      </c>
      <c r="I46" s="31"/>
      <c r="J46" s="32"/>
      <c r="K46" s="30">
        <f t="shared" si="59"/>
        <v>0</v>
      </c>
      <c r="L46" s="31"/>
      <c r="M46" s="32"/>
      <c r="N46" s="30">
        <f t="shared" si="37"/>
        <v>0</v>
      </c>
      <c r="O46" s="31"/>
      <c r="P46" s="32"/>
      <c r="Q46" s="30">
        <f t="shared" si="60"/>
        <v>0</v>
      </c>
      <c r="R46" s="31"/>
      <c r="S46" s="32"/>
      <c r="T46" s="30">
        <f t="shared" si="40"/>
        <v>0</v>
      </c>
      <c r="U46" s="31"/>
      <c r="V46" s="32"/>
      <c r="W46" s="30">
        <f t="shared" si="58"/>
        <v>0</v>
      </c>
      <c r="X46" s="31">
        <v>2.71</v>
      </c>
      <c r="Y46" s="32">
        <v>2765</v>
      </c>
      <c r="Z46" s="30">
        <v>7493</v>
      </c>
      <c r="AA46" s="31"/>
      <c r="AB46" s="32"/>
      <c r="AC46" s="30">
        <f t="shared" si="41"/>
        <v>0</v>
      </c>
      <c r="AD46" s="31"/>
      <c r="AE46" s="32"/>
      <c r="AF46" s="30">
        <f t="shared" si="8"/>
        <v>0</v>
      </c>
      <c r="AG46" s="31"/>
      <c r="AH46" s="32"/>
      <c r="AI46" s="30">
        <f t="shared" si="62"/>
        <v>0</v>
      </c>
      <c r="AJ46" s="31"/>
      <c r="AK46" s="32"/>
      <c r="AL46" s="30">
        <f t="shared" si="42"/>
        <v>0</v>
      </c>
      <c r="AM46" s="31"/>
      <c r="AN46" s="32"/>
      <c r="AO46" s="30">
        <f t="shared" si="43"/>
        <v>0</v>
      </c>
      <c r="AP46" s="31">
        <v>131</v>
      </c>
      <c r="AQ46" s="32">
        <v>2000</v>
      </c>
      <c r="AR46" s="30">
        <v>262000</v>
      </c>
      <c r="AS46" s="31">
        <v>68</v>
      </c>
      <c r="AT46" s="32">
        <v>2500</v>
      </c>
      <c r="AU46" s="30">
        <v>170000</v>
      </c>
      <c r="AV46" s="31"/>
      <c r="AW46" s="32"/>
      <c r="AX46" s="30">
        <f t="shared" si="66"/>
        <v>0</v>
      </c>
      <c r="AY46" s="31"/>
      <c r="AZ46" s="32"/>
      <c r="BA46" s="30">
        <f t="shared" si="44"/>
        <v>0</v>
      </c>
      <c r="BB46" s="31"/>
      <c r="BC46" s="32"/>
      <c r="BD46" s="30">
        <f t="shared" si="64"/>
        <v>0</v>
      </c>
      <c r="BE46" s="31"/>
      <c r="BF46" s="32"/>
      <c r="BG46" s="30">
        <f t="shared" si="45"/>
        <v>0</v>
      </c>
      <c r="BH46" s="31"/>
      <c r="BI46" s="32"/>
      <c r="BJ46" s="30">
        <f t="shared" si="46"/>
        <v>0</v>
      </c>
      <c r="BK46" s="31"/>
      <c r="BL46" s="32"/>
      <c r="BM46" s="30">
        <f t="shared" si="38"/>
        <v>0</v>
      </c>
      <c r="BN46" s="31">
        <v>118.3</v>
      </c>
      <c r="BO46" s="32">
        <v>2000</v>
      </c>
      <c r="BP46" s="30">
        <v>236600</v>
      </c>
      <c r="BQ46" s="31"/>
      <c r="BR46" s="32"/>
      <c r="BS46" s="30">
        <f t="shared" si="33"/>
        <v>0</v>
      </c>
      <c r="BT46" s="31"/>
      <c r="BU46" s="32"/>
      <c r="BV46" s="30">
        <f t="shared" si="47"/>
        <v>0</v>
      </c>
      <c r="BW46" s="31"/>
      <c r="BX46" s="32"/>
      <c r="BY46" s="30">
        <f t="shared" si="39"/>
        <v>0</v>
      </c>
      <c r="BZ46" s="31"/>
      <c r="CA46" s="32"/>
      <c r="CB46" s="30">
        <f t="shared" si="48"/>
        <v>0</v>
      </c>
      <c r="CC46" s="31"/>
      <c r="CD46" s="32"/>
      <c r="CE46" s="30">
        <f t="shared" si="49"/>
        <v>0</v>
      </c>
      <c r="CF46" s="31"/>
      <c r="CG46" s="32"/>
      <c r="CH46" s="30">
        <f t="shared" si="50"/>
        <v>0</v>
      </c>
      <c r="CI46" s="31"/>
      <c r="CJ46" s="32"/>
      <c r="CK46" s="30">
        <f t="shared" si="51"/>
        <v>0</v>
      </c>
      <c r="CL46" s="31"/>
      <c r="CM46" s="32"/>
      <c r="CN46" s="30">
        <f t="shared" si="52"/>
        <v>0</v>
      </c>
      <c r="CO46" s="31"/>
      <c r="CP46" s="32"/>
      <c r="CQ46" s="30">
        <f t="shared" si="53"/>
        <v>0</v>
      </c>
      <c r="CR46" s="31"/>
      <c r="CS46" s="32"/>
      <c r="CT46" s="30">
        <f t="shared" si="54"/>
        <v>0</v>
      </c>
      <c r="CU46" s="33">
        <f t="shared" si="55"/>
        <v>320.01</v>
      </c>
      <c r="CV46" s="30">
        <f t="shared" si="56"/>
        <v>2316.25</v>
      </c>
      <c r="CW46" s="30">
        <f t="shared" si="57"/>
        <v>741223.16249999998</v>
      </c>
    </row>
    <row r="47" spans="1:101" ht="15.75" customHeight="1" x14ac:dyDescent="0.35">
      <c r="A47" s="28" t="s">
        <v>896</v>
      </c>
      <c r="B47" s="28" t="s">
        <v>837</v>
      </c>
      <c r="C47" s="35"/>
      <c r="D47" s="35"/>
      <c r="E47" s="35"/>
      <c r="F47" s="31"/>
      <c r="G47" s="32"/>
      <c r="H47" s="30">
        <f t="shared" si="65"/>
        <v>0</v>
      </c>
      <c r="I47" s="31"/>
      <c r="J47" s="32"/>
      <c r="K47" s="30">
        <f t="shared" si="59"/>
        <v>0</v>
      </c>
      <c r="L47" s="31"/>
      <c r="M47" s="32"/>
      <c r="N47" s="30">
        <f t="shared" si="37"/>
        <v>0</v>
      </c>
      <c r="O47" s="31"/>
      <c r="P47" s="32"/>
      <c r="Q47" s="30">
        <f t="shared" si="60"/>
        <v>0</v>
      </c>
      <c r="R47" s="31"/>
      <c r="S47" s="32"/>
      <c r="T47" s="30">
        <f t="shared" si="40"/>
        <v>0</v>
      </c>
      <c r="U47" s="31"/>
      <c r="V47" s="32"/>
      <c r="W47" s="30">
        <f t="shared" si="58"/>
        <v>0</v>
      </c>
      <c r="X47" s="31"/>
      <c r="Y47" s="32"/>
      <c r="Z47" s="30">
        <f>IFERROR(X47*Y47, 0)</f>
        <v>0</v>
      </c>
      <c r="AA47" s="31"/>
      <c r="AB47" s="32"/>
      <c r="AC47" s="30">
        <f t="shared" si="41"/>
        <v>0</v>
      </c>
      <c r="AD47" s="31"/>
      <c r="AE47" s="32"/>
      <c r="AF47" s="30">
        <f t="shared" si="8"/>
        <v>0</v>
      </c>
      <c r="AG47" s="31"/>
      <c r="AH47" s="32"/>
      <c r="AI47" s="30">
        <f t="shared" si="62"/>
        <v>0</v>
      </c>
      <c r="AJ47" s="31"/>
      <c r="AK47" s="32"/>
      <c r="AL47" s="30">
        <f t="shared" si="42"/>
        <v>0</v>
      </c>
      <c r="AM47" s="31"/>
      <c r="AN47" s="32"/>
      <c r="AO47" s="30">
        <f t="shared" si="43"/>
        <v>0</v>
      </c>
      <c r="AP47" s="31"/>
      <c r="AQ47" s="32"/>
      <c r="AR47" s="30">
        <f>IFERROR(AP47*AQ47, 0)</f>
        <v>0</v>
      </c>
      <c r="AS47" s="31"/>
      <c r="AT47" s="32"/>
      <c r="AU47" s="30">
        <f>IFERROR(AS47*AT47, 0)</f>
        <v>0</v>
      </c>
      <c r="AV47" s="31"/>
      <c r="AW47" s="32"/>
      <c r="AX47" s="30">
        <f t="shared" si="66"/>
        <v>0</v>
      </c>
      <c r="AY47" s="31"/>
      <c r="AZ47" s="32"/>
      <c r="BA47" s="30">
        <f t="shared" si="44"/>
        <v>0</v>
      </c>
      <c r="BB47" s="31"/>
      <c r="BC47" s="32"/>
      <c r="BD47" s="30">
        <f t="shared" si="64"/>
        <v>0</v>
      </c>
      <c r="BE47" s="31"/>
      <c r="BF47" s="32"/>
      <c r="BG47" s="30">
        <f t="shared" si="45"/>
        <v>0</v>
      </c>
      <c r="BH47" s="31"/>
      <c r="BI47" s="32"/>
      <c r="BJ47" s="30">
        <f t="shared" si="46"/>
        <v>0</v>
      </c>
      <c r="BK47" s="31"/>
      <c r="BL47" s="32"/>
      <c r="BM47" s="30">
        <f t="shared" si="38"/>
        <v>0</v>
      </c>
      <c r="BN47" s="31"/>
      <c r="BO47" s="32"/>
      <c r="BP47" s="30">
        <f>IFERROR(BN47*BO47, 0)</f>
        <v>0</v>
      </c>
      <c r="BQ47" s="31"/>
      <c r="BR47" s="32"/>
      <c r="BS47" s="30">
        <f t="shared" si="33"/>
        <v>0</v>
      </c>
      <c r="BT47" s="31"/>
      <c r="BU47" s="32"/>
      <c r="BV47" s="30">
        <f t="shared" si="47"/>
        <v>0</v>
      </c>
      <c r="BW47" s="31"/>
      <c r="BX47" s="32"/>
      <c r="BY47" s="30">
        <f t="shared" si="39"/>
        <v>0</v>
      </c>
      <c r="BZ47" s="31"/>
      <c r="CA47" s="32"/>
      <c r="CB47" s="30">
        <f t="shared" si="48"/>
        <v>0</v>
      </c>
      <c r="CC47" s="31"/>
      <c r="CD47" s="32"/>
      <c r="CE47" s="30">
        <f t="shared" si="49"/>
        <v>0</v>
      </c>
      <c r="CF47" s="31"/>
      <c r="CG47" s="32"/>
      <c r="CH47" s="30">
        <f t="shared" si="50"/>
        <v>0</v>
      </c>
      <c r="CI47" s="31"/>
      <c r="CJ47" s="32"/>
      <c r="CK47" s="30">
        <f t="shared" si="51"/>
        <v>0</v>
      </c>
      <c r="CL47" s="31"/>
      <c r="CM47" s="32"/>
      <c r="CN47" s="30">
        <f t="shared" si="52"/>
        <v>0</v>
      </c>
      <c r="CO47" s="31"/>
      <c r="CP47" s="32"/>
      <c r="CQ47" s="30">
        <f t="shared" si="53"/>
        <v>0</v>
      </c>
      <c r="CR47" s="31"/>
      <c r="CS47" s="32"/>
      <c r="CT47" s="30">
        <f t="shared" si="54"/>
        <v>0</v>
      </c>
      <c r="CU47" s="33">
        <f t="shared" si="55"/>
        <v>0</v>
      </c>
      <c r="CV47" s="30">
        <f t="shared" si="56"/>
        <v>0</v>
      </c>
      <c r="CW47" s="30">
        <f t="shared" si="57"/>
        <v>0</v>
      </c>
    </row>
    <row r="48" spans="1:101" ht="15.75" customHeight="1" x14ac:dyDescent="0.35">
      <c r="A48" s="28" t="s">
        <v>332</v>
      </c>
      <c r="B48" s="28" t="s">
        <v>837</v>
      </c>
      <c r="C48" s="29"/>
      <c r="D48" s="30"/>
      <c r="E48" s="30"/>
      <c r="F48" s="31"/>
      <c r="G48" s="32"/>
      <c r="H48" s="30">
        <f t="shared" si="65"/>
        <v>0</v>
      </c>
      <c r="I48" s="31"/>
      <c r="J48" s="32"/>
      <c r="K48" s="30">
        <f t="shared" si="59"/>
        <v>0</v>
      </c>
      <c r="L48" s="31"/>
      <c r="M48" s="32"/>
      <c r="N48" s="30">
        <f t="shared" si="37"/>
        <v>0</v>
      </c>
      <c r="O48" s="31"/>
      <c r="P48" s="32"/>
      <c r="Q48" s="30">
        <f t="shared" si="60"/>
        <v>0</v>
      </c>
      <c r="R48" s="31"/>
      <c r="S48" s="32"/>
      <c r="T48" s="30">
        <f t="shared" si="40"/>
        <v>0</v>
      </c>
      <c r="U48" s="31"/>
      <c r="V48" s="32"/>
      <c r="W48" s="30">
        <f t="shared" si="58"/>
        <v>0</v>
      </c>
      <c r="X48" s="31">
        <v>1.85</v>
      </c>
      <c r="Y48" s="32">
        <v>3800</v>
      </c>
      <c r="Z48" s="30">
        <v>7530</v>
      </c>
      <c r="AA48" s="31"/>
      <c r="AB48" s="32"/>
      <c r="AC48" s="30">
        <f t="shared" si="41"/>
        <v>0</v>
      </c>
      <c r="AD48" s="31"/>
      <c r="AE48" s="32"/>
      <c r="AF48" s="30">
        <f t="shared" si="8"/>
        <v>0</v>
      </c>
      <c r="AG48" s="31"/>
      <c r="AH48" s="32"/>
      <c r="AI48" s="30">
        <f t="shared" si="62"/>
        <v>0</v>
      </c>
      <c r="AJ48" s="31"/>
      <c r="AK48" s="32"/>
      <c r="AL48" s="30">
        <f t="shared" si="42"/>
        <v>0</v>
      </c>
      <c r="AM48" s="31"/>
      <c r="AN48" s="32"/>
      <c r="AO48" s="30">
        <f t="shared" si="43"/>
        <v>0</v>
      </c>
      <c r="AP48" s="31">
        <v>73</v>
      </c>
      <c r="AQ48" s="32">
        <v>2800</v>
      </c>
      <c r="AR48" s="30">
        <v>204400</v>
      </c>
      <c r="AS48" s="31">
        <v>47</v>
      </c>
      <c r="AT48" s="32">
        <v>2800</v>
      </c>
      <c r="AU48" s="30">
        <v>131600</v>
      </c>
      <c r="AV48" s="31"/>
      <c r="AW48" s="32"/>
      <c r="AX48" s="30">
        <f t="shared" si="66"/>
        <v>0</v>
      </c>
      <c r="AY48" s="31"/>
      <c r="AZ48" s="32"/>
      <c r="BA48" s="30">
        <f t="shared" si="44"/>
        <v>0</v>
      </c>
      <c r="BB48" s="31"/>
      <c r="BC48" s="32"/>
      <c r="BD48" s="30">
        <f t="shared" si="64"/>
        <v>0</v>
      </c>
      <c r="BE48" s="31"/>
      <c r="BF48" s="32"/>
      <c r="BG48" s="30">
        <f t="shared" si="45"/>
        <v>0</v>
      </c>
      <c r="BH48" s="31"/>
      <c r="BI48" s="32"/>
      <c r="BJ48" s="30">
        <f t="shared" si="46"/>
        <v>0</v>
      </c>
      <c r="BK48" s="31"/>
      <c r="BL48" s="32"/>
      <c r="BM48" s="30">
        <f t="shared" si="38"/>
        <v>0</v>
      </c>
      <c r="BN48" s="31">
        <v>1</v>
      </c>
      <c r="BO48" s="32">
        <v>30000</v>
      </c>
      <c r="BP48" s="30">
        <v>30000</v>
      </c>
      <c r="BQ48" s="31"/>
      <c r="BR48" s="32"/>
      <c r="BS48" s="30">
        <f t="shared" si="33"/>
        <v>0</v>
      </c>
      <c r="BT48" s="31"/>
      <c r="BU48" s="32"/>
      <c r="BV48" s="30">
        <f t="shared" si="47"/>
        <v>0</v>
      </c>
      <c r="BW48" s="31"/>
      <c r="BX48" s="32"/>
      <c r="BY48" s="30">
        <f t="shared" si="39"/>
        <v>0</v>
      </c>
      <c r="BZ48" s="31"/>
      <c r="CA48" s="32"/>
      <c r="CB48" s="30">
        <f t="shared" si="48"/>
        <v>0</v>
      </c>
      <c r="CC48" s="31"/>
      <c r="CD48" s="32"/>
      <c r="CE48" s="30">
        <f t="shared" si="49"/>
        <v>0</v>
      </c>
      <c r="CF48" s="31"/>
      <c r="CG48" s="32"/>
      <c r="CH48" s="30">
        <f t="shared" si="50"/>
        <v>0</v>
      </c>
      <c r="CI48" s="31"/>
      <c r="CJ48" s="32"/>
      <c r="CK48" s="30">
        <f t="shared" si="51"/>
        <v>0</v>
      </c>
      <c r="CL48" s="31"/>
      <c r="CM48" s="32"/>
      <c r="CN48" s="30">
        <f t="shared" si="52"/>
        <v>0</v>
      </c>
      <c r="CO48" s="31"/>
      <c r="CP48" s="32"/>
      <c r="CQ48" s="30">
        <f t="shared" si="53"/>
        <v>0</v>
      </c>
      <c r="CR48" s="31"/>
      <c r="CS48" s="32"/>
      <c r="CT48" s="30">
        <f t="shared" si="54"/>
        <v>0</v>
      </c>
      <c r="CU48" s="33">
        <f t="shared" si="55"/>
        <v>122.85</v>
      </c>
      <c r="CV48" s="30">
        <f t="shared" si="56"/>
        <v>9850</v>
      </c>
      <c r="CW48" s="30">
        <f t="shared" si="57"/>
        <v>1210072.5</v>
      </c>
    </row>
    <row r="49" spans="1:101" ht="15.75" customHeight="1" x14ac:dyDescent="0.35">
      <c r="A49" s="28" t="s">
        <v>92</v>
      </c>
      <c r="B49" s="28" t="s">
        <v>837</v>
      </c>
      <c r="C49" s="34"/>
      <c r="D49" s="32"/>
      <c r="E49" s="32"/>
      <c r="F49" s="31"/>
      <c r="G49" s="32"/>
      <c r="H49" s="30">
        <f t="shared" si="65"/>
        <v>0</v>
      </c>
      <c r="I49" s="31">
        <v>1</v>
      </c>
      <c r="J49" s="32">
        <v>25000</v>
      </c>
      <c r="K49" s="30">
        <v>25000</v>
      </c>
      <c r="L49" s="31"/>
      <c r="M49" s="32"/>
      <c r="N49" s="30">
        <f t="shared" si="37"/>
        <v>0</v>
      </c>
      <c r="O49" s="31"/>
      <c r="P49" s="32"/>
      <c r="Q49" s="30">
        <f t="shared" si="60"/>
        <v>0</v>
      </c>
      <c r="R49" s="31"/>
      <c r="S49" s="32"/>
      <c r="T49" s="30">
        <f t="shared" si="40"/>
        <v>0</v>
      </c>
      <c r="U49" s="31"/>
      <c r="V49" s="32"/>
      <c r="W49" s="30">
        <f t="shared" si="58"/>
        <v>0</v>
      </c>
      <c r="X49" s="31"/>
      <c r="Y49" s="32"/>
      <c r="Z49" s="30">
        <f t="shared" ref="Z49:Z64" si="67">IFERROR(X49*Y49, 0)</f>
        <v>0</v>
      </c>
      <c r="AA49" s="31"/>
      <c r="AB49" s="32"/>
      <c r="AC49" s="30">
        <f t="shared" si="41"/>
        <v>0</v>
      </c>
      <c r="AD49" s="31"/>
      <c r="AE49" s="32"/>
      <c r="AF49" s="30">
        <f t="shared" si="8"/>
        <v>0</v>
      </c>
      <c r="AG49" s="31"/>
      <c r="AH49" s="32"/>
      <c r="AI49" s="30">
        <f t="shared" si="62"/>
        <v>0</v>
      </c>
      <c r="AJ49" s="31"/>
      <c r="AK49" s="32"/>
      <c r="AL49" s="30">
        <f t="shared" si="42"/>
        <v>0</v>
      </c>
      <c r="AM49" s="31"/>
      <c r="AN49" s="32"/>
      <c r="AO49" s="30">
        <f t="shared" si="43"/>
        <v>0</v>
      </c>
      <c r="AP49" s="31"/>
      <c r="AQ49" s="32"/>
      <c r="AR49" s="30">
        <f>IFERROR(AP49*AQ49, 0)</f>
        <v>0</v>
      </c>
      <c r="AS49" s="31"/>
      <c r="AT49" s="32"/>
      <c r="AU49" s="30">
        <f>IFERROR(AS49*AT49, 0)</f>
        <v>0</v>
      </c>
      <c r="AV49" s="31"/>
      <c r="AW49" s="32"/>
      <c r="AX49" s="30">
        <f t="shared" si="66"/>
        <v>0</v>
      </c>
      <c r="AY49" s="31"/>
      <c r="AZ49" s="32"/>
      <c r="BA49" s="30">
        <f t="shared" si="44"/>
        <v>0</v>
      </c>
      <c r="BB49" s="31"/>
      <c r="BC49" s="32"/>
      <c r="BD49" s="30">
        <f t="shared" si="64"/>
        <v>0</v>
      </c>
      <c r="BE49" s="31"/>
      <c r="BF49" s="32"/>
      <c r="BG49" s="30">
        <f t="shared" si="45"/>
        <v>0</v>
      </c>
      <c r="BH49" s="31"/>
      <c r="BI49" s="32"/>
      <c r="BJ49" s="30">
        <f t="shared" si="46"/>
        <v>0</v>
      </c>
      <c r="BK49" s="31"/>
      <c r="BL49" s="32"/>
      <c r="BM49" s="30">
        <f t="shared" si="38"/>
        <v>0</v>
      </c>
      <c r="BN49" s="31"/>
      <c r="BO49" s="32"/>
      <c r="BP49" s="30">
        <f>IFERROR(BN49*BO49, 0)</f>
        <v>0</v>
      </c>
      <c r="BQ49" s="31"/>
      <c r="BR49" s="32"/>
      <c r="BS49" s="30">
        <f t="shared" si="33"/>
        <v>0</v>
      </c>
      <c r="BT49" s="31"/>
      <c r="BU49" s="32"/>
      <c r="BV49" s="30">
        <f t="shared" si="47"/>
        <v>0</v>
      </c>
      <c r="BW49" s="31"/>
      <c r="BX49" s="32"/>
      <c r="BY49" s="30">
        <f t="shared" si="39"/>
        <v>0</v>
      </c>
      <c r="BZ49" s="31"/>
      <c r="CA49" s="32"/>
      <c r="CB49" s="30">
        <f t="shared" si="48"/>
        <v>0</v>
      </c>
      <c r="CC49" s="31"/>
      <c r="CD49" s="32"/>
      <c r="CE49" s="30">
        <f t="shared" si="49"/>
        <v>0</v>
      </c>
      <c r="CF49" s="31"/>
      <c r="CG49" s="32"/>
      <c r="CH49" s="30">
        <f t="shared" si="50"/>
        <v>0</v>
      </c>
      <c r="CI49" s="31"/>
      <c r="CJ49" s="32"/>
      <c r="CK49" s="30">
        <f t="shared" si="51"/>
        <v>0</v>
      </c>
      <c r="CL49" s="31"/>
      <c r="CM49" s="32"/>
      <c r="CN49" s="30">
        <f t="shared" si="52"/>
        <v>0</v>
      </c>
      <c r="CO49" s="31"/>
      <c r="CP49" s="32"/>
      <c r="CQ49" s="30">
        <f t="shared" si="53"/>
        <v>0</v>
      </c>
      <c r="CR49" s="31"/>
      <c r="CS49" s="32"/>
      <c r="CT49" s="30">
        <f t="shared" si="54"/>
        <v>0</v>
      </c>
      <c r="CU49" s="33">
        <f t="shared" si="55"/>
        <v>1</v>
      </c>
      <c r="CV49" s="30">
        <f t="shared" si="56"/>
        <v>25000</v>
      </c>
      <c r="CW49" s="30">
        <f t="shared" si="57"/>
        <v>25000</v>
      </c>
    </row>
    <row r="50" spans="1:101" ht="15.75" customHeight="1" x14ac:dyDescent="0.35">
      <c r="A50" s="28" t="s">
        <v>76</v>
      </c>
      <c r="B50" s="28" t="s">
        <v>837</v>
      </c>
      <c r="C50" s="34"/>
      <c r="D50" s="32"/>
      <c r="E50" s="32"/>
      <c r="F50" s="31"/>
      <c r="G50" s="32"/>
      <c r="H50" s="30">
        <f t="shared" si="65"/>
        <v>0</v>
      </c>
      <c r="I50" s="31">
        <v>1</v>
      </c>
      <c r="J50" s="32">
        <v>100000</v>
      </c>
      <c r="K50" s="30">
        <v>100000</v>
      </c>
      <c r="L50" s="31"/>
      <c r="M50" s="32"/>
      <c r="N50" s="30">
        <f t="shared" si="37"/>
        <v>0</v>
      </c>
      <c r="O50" s="31"/>
      <c r="P50" s="32"/>
      <c r="Q50" s="30">
        <f t="shared" si="60"/>
        <v>0</v>
      </c>
      <c r="R50" s="31"/>
      <c r="S50" s="32"/>
      <c r="T50" s="30">
        <f t="shared" si="40"/>
        <v>0</v>
      </c>
      <c r="U50" s="31"/>
      <c r="V50" s="32"/>
      <c r="W50" s="30">
        <f t="shared" si="58"/>
        <v>0</v>
      </c>
      <c r="X50" s="31"/>
      <c r="Y50" s="32"/>
      <c r="Z50" s="30">
        <f t="shared" si="67"/>
        <v>0</v>
      </c>
      <c r="AA50" s="31"/>
      <c r="AB50" s="32"/>
      <c r="AC50" s="30">
        <f t="shared" si="41"/>
        <v>0</v>
      </c>
      <c r="AD50" s="31">
        <v>1</v>
      </c>
      <c r="AE50" s="32">
        <v>40000</v>
      </c>
      <c r="AF50" s="30">
        <v>40000</v>
      </c>
      <c r="AG50" s="31"/>
      <c r="AH50" s="32"/>
      <c r="AI50" s="30">
        <f t="shared" si="62"/>
        <v>0</v>
      </c>
      <c r="AJ50" s="31"/>
      <c r="AK50" s="32"/>
      <c r="AL50" s="30">
        <f t="shared" si="42"/>
        <v>0</v>
      </c>
      <c r="AM50" s="31"/>
      <c r="AN50" s="32"/>
      <c r="AO50" s="30">
        <f t="shared" si="43"/>
        <v>0</v>
      </c>
      <c r="AP50" s="31"/>
      <c r="AQ50" s="32"/>
      <c r="AR50" s="30">
        <f>IFERROR(AP50*AQ50, 0)</f>
        <v>0</v>
      </c>
      <c r="AS50" s="31"/>
      <c r="AT50" s="32"/>
      <c r="AU50" s="30">
        <f>IFERROR(AS50*AT50, 0)</f>
        <v>0</v>
      </c>
      <c r="AV50" s="31"/>
      <c r="AW50" s="32"/>
      <c r="AX50" s="30">
        <f t="shared" si="66"/>
        <v>0</v>
      </c>
      <c r="AY50" s="31"/>
      <c r="AZ50" s="32"/>
      <c r="BA50" s="30">
        <f t="shared" si="44"/>
        <v>0</v>
      </c>
      <c r="BB50" s="31"/>
      <c r="BC50" s="32"/>
      <c r="BD50" s="30">
        <f t="shared" si="64"/>
        <v>0</v>
      </c>
      <c r="BE50" s="31"/>
      <c r="BF50" s="32"/>
      <c r="BG50" s="30">
        <f t="shared" si="45"/>
        <v>0</v>
      </c>
      <c r="BH50" s="31"/>
      <c r="BI50" s="32"/>
      <c r="BJ50" s="30">
        <f t="shared" si="46"/>
        <v>0</v>
      </c>
      <c r="BK50" s="31"/>
      <c r="BL50" s="32"/>
      <c r="BM50" s="30">
        <f t="shared" si="38"/>
        <v>0</v>
      </c>
      <c r="BN50" s="31"/>
      <c r="BO50" s="32"/>
      <c r="BP50" s="30">
        <f>IFERROR(BN50*BO50, 0)</f>
        <v>0</v>
      </c>
      <c r="BQ50" s="31"/>
      <c r="BR50" s="32"/>
      <c r="BS50" s="30">
        <f t="shared" si="33"/>
        <v>0</v>
      </c>
      <c r="BT50" s="31"/>
      <c r="BU50" s="32"/>
      <c r="BV50" s="30">
        <f t="shared" si="47"/>
        <v>0</v>
      </c>
      <c r="BW50" s="31"/>
      <c r="BX50" s="32"/>
      <c r="BY50" s="30">
        <f t="shared" si="39"/>
        <v>0</v>
      </c>
      <c r="BZ50" s="31"/>
      <c r="CA50" s="32"/>
      <c r="CB50" s="30">
        <f t="shared" si="48"/>
        <v>0</v>
      </c>
      <c r="CC50" s="31"/>
      <c r="CD50" s="32"/>
      <c r="CE50" s="30">
        <f t="shared" si="49"/>
        <v>0</v>
      </c>
      <c r="CF50" s="31"/>
      <c r="CG50" s="32"/>
      <c r="CH50" s="30">
        <f t="shared" si="50"/>
        <v>0</v>
      </c>
      <c r="CI50" s="31"/>
      <c r="CJ50" s="32"/>
      <c r="CK50" s="30">
        <f t="shared" si="51"/>
        <v>0</v>
      </c>
      <c r="CL50" s="31"/>
      <c r="CM50" s="32"/>
      <c r="CN50" s="30">
        <f t="shared" si="52"/>
        <v>0</v>
      </c>
      <c r="CO50" s="31"/>
      <c r="CP50" s="32"/>
      <c r="CQ50" s="30">
        <f t="shared" si="53"/>
        <v>0</v>
      </c>
      <c r="CR50" s="31"/>
      <c r="CS50" s="32"/>
      <c r="CT50" s="30">
        <f t="shared" si="54"/>
        <v>0</v>
      </c>
      <c r="CU50" s="33">
        <f t="shared" si="55"/>
        <v>2</v>
      </c>
      <c r="CV50" s="30">
        <f t="shared" si="56"/>
        <v>70000</v>
      </c>
      <c r="CW50" s="30">
        <f t="shared" si="57"/>
        <v>140000</v>
      </c>
    </row>
    <row r="51" spans="1:101" ht="15.75" customHeight="1" x14ac:dyDescent="0.35">
      <c r="A51" s="37" t="s">
        <v>490</v>
      </c>
      <c r="B51" s="37" t="s">
        <v>837</v>
      </c>
      <c r="C51" s="35"/>
      <c r="D51" s="20"/>
      <c r="E51" s="20"/>
      <c r="F51" s="31"/>
      <c r="G51" s="32"/>
      <c r="H51" s="30">
        <f t="shared" si="65"/>
        <v>0</v>
      </c>
      <c r="I51" s="31"/>
      <c r="J51" s="32"/>
      <c r="K51" s="30">
        <f t="shared" ref="K51:K78" si="68">IFERROR(I51*J51, 0)</f>
        <v>0</v>
      </c>
      <c r="L51" s="31"/>
      <c r="M51" s="32"/>
      <c r="N51" s="30">
        <f t="shared" si="37"/>
        <v>0</v>
      </c>
      <c r="O51" s="31"/>
      <c r="P51" s="32"/>
      <c r="Q51" s="30">
        <f t="shared" si="60"/>
        <v>0</v>
      </c>
      <c r="R51" s="31"/>
      <c r="S51" s="32"/>
      <c r="T51" s="30">
        <f t="shared" si="40"/>
        <v>0</v>
      </c>
      <c r="U51" s="31"/>
      <c r="V51" s="32"/>
      <c r="W51" s="30">
        <f t="shared" si="58"/>
        <v>0</v>
      </c>
      <c r="X51" s="31"/>
      <c r="Y51" s="32"/>
      <c r="Z51" s="30">
        <f t="shared" si="67"/>
        <v>0</v>
      </c>
      <c r="AA51" s="31"/>
      <c r="AB51" s="32"/>
      <c r="AC51" s="30">
        <f t="shared" si="41"/>
        <v>0</v>
      </c>
      <c r="AD51" s="31"/>
      <c r="AE51" s="32"/>
      <c r="AF51" s="30">
        <f>IFERROR(AD51*AE51, 0)</f>
        <v>0</v>
      </c>
      <c r="AG51" s="31"/>
      <c r="AH51" s="32"/>
      <c r="AI51" s="30">
        <f t="shared" si="62"/>
        <v>0</v>
      </c>
      <c r="AJ51" s="31"/>
      <c r="AK51" s="32"/>
      <c r="AL51" s="30">
        <f t="shared" si="42"/>
        <v>0</v>
      </c>
      <c r="AM51" s="31"/>
      <c r="AN51" s="32"/>
      <c r="AO51" s="30">
        <f t="shared" si="43"/>
        <v>0</v>
      </c>
      <c r="AP51" s="31">
        <v>4</v>
      </c>
      <c r="AQ51" s="32">
        <v>2000</v>
      </c>
      <c r="AR51" s="30">
        <v>8000</v>
      </c>
      <c r="AS51" s="31">
        <v>3</v>
      </c>
      <c r="AT51" s="32">
        <v>2000</v>
      </c>
      <c r="AU51" s="30">
        <v>6000</v>
      </c>
      <c r="AV51" s="31"/>
      <c r="AW51" s="32"/>
      <c r="AX51" s="30">
        <f t="shared" si="66"/>
        <v>0</v>
      </c>
      <c r="AY51" s="31"/>
      <c r="AZ51" s="32"/>
      <c r="BA51" s="30">
        <f t="shared" si="44"/>
        <v>0</v>
      </c>
      <c r="BB51" s="31"/>
      <c r="BC51" s="32"/>
      <c r="BD51" s="30">
        <f t="shared" si="64"/>
        <v>0</v>
      </c>
      <c r="BE51" s="31"/>
      <c r="BF51" s="32"/>
      <c r="BG51" s="30">
        <f t="shared" si="45"/>
        <v>0</v>
      </c>
      <c r="BH51" s="31"/>
      <c r="BI51" s="32"/>
      <c r="BJ51" s="30">
        <f t="shared" si="46"/>
        <v>0</v>
      </c>
      <c r="BK51" s="31"/>
      <c r="BL51" s="32"/>
      <c r="BM51" s="30">
        <f t="shared" si="38"/>
        <v>0</v>
      </c>
      <c r="BN51" s="31">
        <v>1</v>
      </c>
      <c r="BO51" s="32">
        <v>2000</v>
      </c>
      <c r="BP51" s="30">
        <v>2000</v>
      </c>
      <c r="BQ51" s="31"/>
      <c r="BR51" s="32"/>
      <c r="BS51" s="30">
        <f t="shared" si="33"/>
        <v>0</v>
      </c>
      <c r="BT51" s="31"/>
      <c r="BU51" s="32"/>
      <c r="BV51" s="30">
        <f t="shared" si="47"/>
        <v>0</v>
      </c>
      <c r="BW51" s="31"/>
      <c r="BX51" s="32"/>
      <c r="BY51" s="30">
        <f t="shared" si="39"/>
        <v>0</v>
      </c>
      <c r="BZ51" s="31"/>
      <c r="CA51" s="32"/>
      <c r="CB51" s="30">
        <f t="shared" si="48"/>
        <v>0</v>
      </c>
      <c r="CC51" s="31"/>
      <c r="CD51" s="32"/>
      <c r="CE51" s="30">
        <f t="shared" si="49"/>
        <v>0</v>
      </c>
      <c r="CF51" s="31"/>
      <c r="CG51" s="32"/>
      <c r="CH51" s="30">
        <f t="shared" si="50"/>
        <v>0</v>
      </c>
      <c r="CI51" s="31"/>
      <c r="CJ51" s="32"/>
      <c r="CK51" s="30">
        <f t="shared" si="51"/>
        <v>0</v>
      </c>
      <c r="CL51" s="31"/>
      <c r="CM51" s="32"/>
      <c r="CN51" s="30">
        <f t="shared" si="52"/>
        <v>0</v>
      </c>
      <c r="CO51" s="31"/>
      <c r="CP51" s="32"/>
      <c r="CQ51" s="30">
        <f t="shared" si="53"/>
        <v>0</v>
      </c>
      <c r="CR51" s="31"/>
      <c r="CS51" s="32"/>
      <c r="CT51" s="30">
        <f t="shared" si="54"/>
        <v>0</v>
      </c>
      <c r="CU51" s="33">
        <f t="shared" si="55"/>
        <v>8</v>
      </c>
      <c r="CV51" s="30">
        <f t="shared" si="56"/>
        <v>2000</v>
      </c>
      <c r="CW51" s="30">
        <f t="shared" si="57"/>
        <v>16000</v>
      </c>
    </row>
    <row r="52" spans="1:101" ht="15.75" customHeight="1" x14ac:dyDescent="0.35">
      <c r="A52" s="28" t="s">
        <v>478</v>
      </c>
      <c r="B52" s="28" t="s">
        <v>837</v>
      </c>
      <c r="C52" s="34"/>
      <c r="D52" s="32"/>
      <c r="E52" s="30"/>
      <c r="F52" s="31"/>
      <c r="G52" s="32"/>
      <c r="H52" s="30">
        <f t="shared" si="65"/>
        <v>0</v>
      </c>
      <c r="I52" s="31"/>
      <c r="J52" s="32"/>
      <c r="K52" s="30">
        <f t="shared" si="68"/>
        <v>0</v>
      </c>
      <c r="L52" s="31"/>
      <c r="M52" s="32"/>
      <c r="N52" s="30">
        <f t="shared" si="37"/>
        <v>0</v>
      </c>
      <c r="O52" s="31"/>
      <c r="P52" s="32"/>
      <c r="Q52" s="30">
        <f t="shared" si="60"/>
        <v>0</v>
      </c>
      <c r="R52" s="31"/>
      <c r="S52" s="32"/>
      <c r="T52" s="30">
        <f t="shared" si="40"/>
        <v>0</v>
      </c>
      <c r="U52" s="31"/>
      <c r="V52" s="32"/>
      <c r="W52" s="30">
        <f t="shared" si="58"/>
        <v>0</v>
      </c>
      <c r="X52" s="31"/>
      <c r="Y52" s="32"/>
      <c r="Z52" s="30">
        <f t="shared" si="67"/>
        <v>0</v>
      </c>
      <c r="AA52" s="31"/>
      <c r="AB52" s="32"/>
      <c r="AC52" s="30">
        <f t="shared" si="41"/>
        <v>0</v>
      </c>
      <c r="AD52" s="31"/>
      <c r="AE52" s="32"/>
      <c r="AF52" s="30">
        <f>IFERROR(AD52*AE52, 0)</f>
        <v>0</v>
      </c>
      <c r="AG52" s="31"/>
      <c r="AH52" s="32"/>
      <c r="AI52" s="30">
        <f t="shared" si="62"/>
        <v>0</v>
      </c>
      <c r="AJ52" s="31"/>
      <c r="AK52" s="32"/>
      <c r="AL52" s="30">
        <f t="shared" si="42"/>
        <v>0</v>
      </c>
      <c r="AM52" s="31"/>
      <c r="AN52" s="32"/>
      <c r="AO52" s="30">
        <f t="shared" si="43"/>
        <v>0</v>
      </c>
      <c r="AP52" s="31">
        <v>6.1</v>
      </c>
      <c r="AQ52" s="32">
        <v>3000</v>
      </c>
      <c r="AR52" s="30">
        <v>20780</v>
      </c>
      <c r="AS52" s="31"/>
      <c r="AT52" s="32"/>
      <c r="AU52" s="30">
        <f t="shared" ref="AU52:AU60" si="69">IFERROR(AS52*AT52, 0)</f>
        <v>0</v>
      </c>
      <c r="AV52" s="31"/>
      <c r="AW52" s="32"/>
      <c r="AX52" s="30">
        <f t="shared" si="66"/>
        <v>0</v>
      </c>
      <c r="AY52" s="31"/>
      <c r="AZ52" s="32"/>
      <c r="BA52" s="30">
        <f t="shared" si="44"/>
        <v>0</v>
      </c>
      <c r="BB52" s="31"/>
      <c r="BC52" s="32"/>
      <c r="BD52" s="30">
        <f t="shared" si="64"/>
        <v>0</v>
      </c>
      <c r="BE52" s="31"/>
      <c r="BF52" s="32"/>
      <c r="BG52" s="30">
        <f t="shared" si="45"/>
        <v>0</v>
      </c>
      <c r="BH52" s="31"/>
      <c r="BI52" s="32"/>
      <c r="BJ52" s="30">
        <f t="shared" si="46"/>
        <v>0</v>
      </c>
      <c r="BK52" s="31"/>
      <c r="BL52" s="32"/>
      <c r="BM52" s="30">
        <f t="shared" si="38"/>
        <v>0</v>
      </c>
      <c r="BN52" s="31">
        <v>3.1</v>
      </c>
      <c r="BO52" s="32">
        <v>4000</v>
      </c>
      <c r="BP52" s="30">
        <v>12400</v>
      </c>
      <c r="BQ52" s="31"/>
      <c r="BR52" s="32"/>
      <c r="BS52" s="30">
        <f t="shared" si="33"/>
        <v>0</v>
      </c>
      <c r="BT52" s="31"/>
      <c r="BU52" s="32"/>
      <c r="BV52" s="30">
        <f t="shared" si="47"/>
        <v>0</v>
      </c>
      <c r="BW52" s="31"/>
      <c r="BX52" s="32"/>
      <c r="BY52" s="30">
        <f t="shared" si="39"/>
        <v>0</v>
      </c>
      <c r="BZ52" s="31"/>
      <c r="CA52" s="32"/>
      <c r="CB52" s="30">
        <f t="shared" si="48"/>
        <v>0</v>
      </c>
      <c r="CC52" s="31"/>
      <c r="CD52" s="32"/>
      <c r="CE52" s="30">
        <f t="shared" si="49"/>
        <v>0</v>
      </c>
      <c r="CF52" s="31"/>
      <c r="CG52" s="32"/>
      <c r="CH52" s="30">
        <f t="shared" si="50"/>
        <v>0</v>
      </c>
      <c r="CI52" s="31"/>
      <c r="CJ52" s="32"/>
      <c r="CK52" s="30">
        <f t="shared" si="51"/>
        <v>0</v>
      </c>
      <c r="CL52" s="31"/>
      <c r="CM52" s="32"/>
      <c r="CN52" s="30">
        <f t="shared" si="52"/>
        <v>0</v>
      </c>
      <c r="CO52" s="31"/>
      <c r="CP52" s="32"/>
      <c r="CQ52" s="30">
        <f t="shared" si="53"/>
        <v>0</v>
      </c>
      <c r="CR52" s="31"/>
      <c r="CS52" s="32"/>
      <c r="CT52" s="30">
        <f t="shared" si="54"/>
        <v>0</v>
      </c>
      <c r="CU52" s="33">
        <f t="shared" si="55"/>
        <v>9.1999999999999993</v>
      </c>
      <c r="CV52" s="30">
        <f t="shared" si="56"/>
        <v>3500</v>
      </c>
      <c r="CW52" s="30">
        <f t="shared" si="57"/>
        <v>32199.999999999996</v>
      </c>
    </row>
    <row r="53" spans="1:101" ht="15.75" customHeight="1" x14ac:dyDescent="0.35">
      <c r="A53" s="28" t="s">
        <v>371</v>
      </c>
      <c r="B53" s="28" t="s">
        <v>897</v>
      </c>
      <c r="C53" s="34"/>
      <c r="D53" s="32"/>
      <c r="E53" s="32"/>
      <c r="F53" s="31"/>
      <c r="G53" s="32"/>
      <c r="H53" s="30">
        <f t="shared" si="65"/>
        <v>0</v>
      </c>
      <c r="I53" s="31"/>
      <c r="J53" s="32"/>
      <c r="K53" s="30">
        <f t="shared" si="68"/>
        <v>0</v>
      </c>
      <c r="L53" s="31"/>
      <c r="M53" s="32"/>
      <c r="N53" s="30">
        <f t="shared" si="37"/>
        <v>0</v>
      </c>
      <c r="O53" s="31"/>
      <c r="P53" s="32"/>
      <c r="Q53" s="30">
        <f t="shared" si="60"/>
        <v>0</v>
      </c>
      <c r="R53" s="31"/>
      <c r="S53" s="32"/>
      <c r="T53" s="30">
        <f t="shared" si="40"/>
        <v>0</v>
      </c>
      <c r="U53" s="31"/>
      <c r="V53" s="32"/>
      <c r="W53" s="30">
        <f t="shared" si="58"/>
        <v>0</v>
      </c>
      <c r="X53" s="31"/>
      <c r="Y53" s="32"/>
      <c r="Z53" s="30">
        <f t="shared" si="67"/>
        <v>0</v>
      </c>
      <c r="AA53" s="31"/>
      <c r="AB53" s="32"/>
      <c r="AC53" s="30">
        <f t="shared" si="41"/>
        <v>0</v>
      </c>
      <c r="AD53" s="31">
        <v>1</v>
      </c>
      <c r="AE53" s="32">
        <v>10000</v>
      </c>
      <c r="AF53" s="30">
        <v>10000</v>
      </c>
      <c r="AG53" s="31"/>
      <c r="AH53" s="32"/>
      <c r="AI53" s="30">
        <f t="shared" si="62"/>
        <v>0</v>
      </c>
      <c r="AJ53" s="31"/>
      <c r="AK53" s="32"/>
      <c r="AL53" s="30">
        <f t="shared" si="42"/>
        <v>0</v>
      </c>
      <c r="AM53" s="31"/>
      <c r="AN53" s="32"/>
      <c r="AO53" s="30">
        <f t="shared" si="43"/>
        <v>0</v>
      </c>
      <c r="AP53" s="31"/>
      <c r="AQ53" s="32"/>
      <c r="AR53" s="30">
        <f t="shared" ref="AR53:AR60" si="70">IFERROR(AP53*AQ53, 0)</f>
        <v>0</v>
      </c>
      <c r="AS53" s="31"/>
      <c r="AT53" s="32"/>
      <c r="AU53" s="30">
        <f t="shared" si="69"/>
        <v>0</v>
      </c>
      <c r="AV53" s="31"/>
      <c r="AW53" s="32"/>
      <c r="AX53" s="30">
        <f t="shared" si="66"/>
        <v>0</v>
      </c>
      <c r="AY53" s="31"/>
      <c r="AZ53" s="32"/>
      <c r="BA53" s="30">
        <f t="shared" si="44"/>
        <v>0</v>
      </c>
      <c r="BB53" s="31"/>
      <c r="BC53" s="32"/>
      <c r="BD53" s="30">
        <f t="shared" si="64"/>
        <v>0</v>
      </c>
      <c r="BE53" s="31"/>
      <c r="BF53" s="32"/>
      <c r="BG53" s="30">
        <f t="shared" si="45"/>
        <v>0</v>
      </c>
      <c r="BH53" s="31"/>
      <c r="BI53" s="32"/>
      <c r="BJ53" s="30">
        <f t="shared" si="46"/>
        <v>0</v>
      </c>
      <c r="BK53" s="31"/>
      <c r="BL53" s="32"/>
      <c r="BM53" s="30">
        <f t="shared" si="38"/>
        <v>0</v>
      </c>
      <c r="BN53" s="31"/>
      <c r="BO53" s="32"/>
      <c r="BP53" s="30">
        <f t="shared" ref="BP53:BP60" si="71">IFERROR(BN53*BO53, 0)</f>
        <v>0</v>
      </c>
      <c r="BQ53" s="31"/>
      <c r="BR53" s="32"/>
      <c r="BS53" s="30">
        <f t="shared" si="33"/>
        <v>0</v>
      </c>
      <c r="BT53" s="31"/>
      <c r="BU53" s="32"/>
      <c r="BV53" s="30">
        <f t="shared" si="47"/>
        <v>0</v>
      </c>
      <c r="BW53" s="31"/>
      <c r="BX53" s="32"/>
      <c r="BY53" s="30">
        <f t="shared" si="39"/>
        <v>0</v>
      </c>
      <c r="BZ53" s="31"/>
      <c r="CA53" s="32"/>
      <c r="CB53" s="30">
        <f t="shared" si="48"/>
        <v>0</v>
      </c>
      <c r="CC53" s="31"/>
      <c r="CD53" s="32"/>
      <c r="CE53" s="30">
        <f t="shared" si="49"/>
        <v>0</v>
      </c>
      <c r="CF53" s="31"/>
      <c r="CG53" s="32"/>
      <c r="CH53" s="30">
        <f t="shared" si="50"/>
        <v>0</v>
      </c>
      <c r="CI53" s="31"/>
      <c r="CJ53" s="32"/>
      <c r="CK53" s="30">
        <f t="shared" si="51"/>
        <v>0</v>
      </c>
      <c r="CL53" s="31"/>
      <c r="CM53" s="32"/>
      <c r="CN53" s="30">
        <f t="shared" si="52"/>
        <v>0</v>
      </c>
      <c r="CO53" s="31"/>
      <c r="CP53" s="32"/>
      <c r="CQ53" s="30">
        <f t="shared" si="53"/>
        <v>0</v>
      </c>
      <c r="CR53" s="31"/>
      <c r="CS53" s="32"/>
      <c r="CT53" s="30">
        <f t="shared" si="54"/>
        <v>0</v>
      </c>
      <c r="CU53" s="33">
        <f t="shared" si="55"/>
        <v>1</v>
      </c>
      <c r="CV53" s="30">
        <f t="shared" si="56"/>
        <v>10000</v>
      </c>
      <c r="CW53" s="30">
        <f t="shared" si="57"/>
        <v>10000</v>
      </c>
    </row>
    <row r="54" spans="1:101" ht="15.75" customHeight="1" x14ac:dyDescent="0.35">
      <c r="A54" s="28" t="s">
        <v>898</v>
      </c>
      <c r="B54" s="28" t="s">
        <v>897</v>
      </c>
      <c r="C54" s="34"/>
      <c r="D54" s="32"/>
      <c r="E54" s="32"/>
      <c r="F54" s="31"/>
      <c r="G54" s="32"/>
      <c r="H54" s="30">
        <f t="shared" si="65"/>
        <v>0</v>
      </c>
      <c r="I54" s="31"/>
      <c r="J54" s="32"/>
      <c r="K54" s="30">
        <f t="shared" si="68"/>
        <v>0</v>
      </c>
      <c r="L54" s="31"/>
      <c r="M54" s="32"/>
      <c r="N54" s="30">
        <f t="shared" si="37"/>
        <v>0</v>
      </c>
      <c r="O54" s="31"/>
      <c r="P54" s="32"/>
      <c r="Q54" s="30">
        <f t="shared" si="60"/>
        <v>0</v>
      </c>
      <c r="R54" s="31"/>
      <c r="S54" s="32"/>
      <c r="T54" s="30">
        <f t="shared" si="40"/>
        <v>0</v>
      </c>
      <c r="U54" s="31"/>
      <c r="V54" s="32"/>
      <c r="W54" s="30">
        <f t="shared" si="58"/>
        <v>0</v>
      </c>
      <c r="X54" s="31"/>
      <c r="Y54" s="32"/>
      <c r="Z54" s="30">
        <f t="shared" si="67"/>
        <v>0</v>
      </c>
      <c r="AA54" s="31"/>
      <c r="AB54" s="32"/>
      <c r="AC54" s="30">
        <f t="shared" si="41"/>
        <v>0</v>
      </c>
      <c r="AD54" s="31"/>
      <c r="AE54" s="32"/>
      <c r="AF54" s="30">
        <f t="shared" ref="AF54:AF91" si="72">IFERROR(AD54*AE54, 0)</f>
        <v>0</v>
      </c>
      <c r="AG54" s="31"/>
      <c r="AH54" s="32"/>
      <c r="AI54" s="30">
        <f t="shared" si="62"/>
        <v>0</v>
      </c>
      <c r="AJ54" s="31"/>
      <c r="AK54" s="32"/>
      <c r="AL54" s="30">
        <f t="shared" si="42"/>
        <v>0</v>
      </c>
      <c r="AM54" s="31"/>
      <c r="AN54" s="32"/>
      <c r="AO54" s="30">
        <f t="shared" si="43"/>
        <v>0</v>
      </c>
      <c r="AP54" s="31"/>
      <c r="AQ54" s="32"/>
      <c r="AR54" s="30">
        <f t="shared" si="70"/>
        <v>0</v>
      </c>
      <c r="AS54" s="31"/>
      <c r="AT54" s="32"/>
      <c r="AU54" s="30">
        <f t="shared" si="69"/>
        <v>0</v>
      </c>
      <c r="AV54" s="31"/>
      <c r="AW54" s="32"/>
      <c r="AX54" s="30">
        <f t="shared" si="66"/>
        <v>0</v>
      </c>
      <c r="AY54" s="31"/>
      <c r="AZ54" s="32"/>
      <c r="BA54" s="30">
        <f t="shared" si="44"/>
        <v>0</v>
      </c>
      <c r="BB54" s="31"/>
      <c r="BC54" s="32"/>
      <c r="BD54" s="30">
        <f t="shared" si="64"/>
        <v>0</v>
      </c>
      <c r="BE54" s="31"/>
      <c r="BF54" s="32"/>
      <c r="BG54" s="30">
        <f t="shared" si="45"/>
        <v>0</v>
      </c>
      <c r="BH54" s="31"/>
      <c r="BI54" s="32"/>
      <c r="BJ54" s="30">
        <f t="shared" si="46"/>
        <v>0</v>
      </c>
      <c r="BK54" s="31"/>
      <c r="BL54" s="32"/>
      <c r="BM54" s="30">
        <f t="shared" si="38"/>
        <v>0</v>
      </c>
      <c r="BN54" s="31"/>
      <c r="BO54" s="32"/>
      <c r="BP54" s="30">
        <f t="shared" si="71"/>
        <v>0</v>
      </c>
      <c r="BQ54" s="31"/>
      <c r="BR54" s="32"/>
      <c r="BS54" s="30">
        <f t="shared" si="33"/>
        <v>0</v>
      </c>
      <c r="BT54" s="31"/>
      <c r="BU54" s="32"/>
      <c r="BV54" s="30">
        <f t="shared" si="47"/>
        <v>0</v>
      </c>
      <c r="BW54" s="31"/>
      <c r="BX54" s="32"/>
      <c r="BY54" s="30">
        <f t="shared" si="39"/>
        <v>0</v>
      </c>
      <c r="BZ54" s="31"/>
      <c r="CA54" s="32"/>
      <c r="CB54" s="30">
        <f t="shared" si="48"/>
        <v>0</v>
      </c>
      <c r="CC54" s="31"/>
      <c r="CD54" s="32"/>
      <c r="CE54" s="30">
        <f t="shared" si="49"/>
        <v>0</v>
      </c>
      <c r="CF54" s="31"/>
      <c r="CG54" s="32"/>
      <c r="CH54" s="30">
        <f t="shared" si="50"/>
        <v>0</v>
      </c>
      <c r="CI54" s="31"/>
      <c r="CJ54" s="32"/>
      <c r="CK54" s="30">
        <f t="shared" si="51"/>
        <v>0</v>
      </c>
      <c r="CL54" s="31"/>
      <c r="CM54" s="32"/>
      <c r="CN54" s="30">
        <f t="shared" si="52"/>
        <v>0</v>
      </c>
      <c r="CO54" s="31"/>
      <c r="CP54" s="32"/>
      <c r="CQ54" s="30">
        <f t="shared" si="53"/>
        <v>0</v>
      </c>
      <c r="CR54" s="31"/>
      <c r="CS54" s="32"/>
      <c r="CT54" s="30">
        <f t="shared" si="54"/>
        <v>0</v>
      </c>
      <c r="CU54" s="33">
        <f t="shared" si="55"/>
        <v>0</v>
      </c>
      <c r="CV54" s="30">
        <f t="shared" si="56"/>
        <v>0</v>
      </c>
      <c r="CW54" s="30">
        <f t="shared" si="57"/>
        <v>0</v>
      </c>
    </row>
    <row r="55" spans="1:101" ht="15.75" customHeight="1" x14ac:dyDescent="0.35">
      <c r="A55" s="28" t="s">
        <v>899</v>
      </c>
      <c r="B55" s="28" t="s">
        <v>837</v>
      </c>
      <c r="C55" s="34"/>
      <c r="D55" s="32"/>
      <c r="E55" s="32"/>
      <c r="F55" s="31"/>
      <c r="G55" s="32"/>
      <c r="H55" s="30">
        <f t="shared" si="65"/>
        <v>0</v>
      </c>
      <c r="I55" s="31"/>
      <c r="J55" s="32"/>
      <c r="K55" s="30">
        <f t="shared" si="68"/>
        <v>0</v>
      </c>
      <c r="L55" s="31"/>
      <c r="M55" s="32"/>
      <c r="N55" s="30">
        <f t="shared" ref="N55:N86" si="73">IFERROR(L55*M55, 0)</f>
        <v>0</v>
      </c>
      <c r="O55" s="31"/>
      <c r="P55" s="32"/>
      <c r="Q55" s="30">
        <f t="shared" si="60"/>
        <v>0</v>
      </c>
      <c r="R55" s="31"/>
      <c r="S55" s="32"/>
      <c r="T55" s="30">
        <f t="shared" si="40"/>
        <v>0</v>
      </c>
      <c r="U55" s="31"/>
      <c r="V55" s="32"/>
      <c r="W55" s="30">
        <f t="shared" si="58"/>
        <v>0</v>
      </c>
      <c r="X55" s="31"/>
      <c r="Y55" s="32"/>
      <c r="Z55" s="30">
        <f t="shared" si="67"/>
        <v>0</v>
      </c>
      <c r="AA55" s="31"/>
      <c r="AB55" s="32"/>
      <c r="AC55" s="30">
        <f t="shared" si="41"/>
        <v>0</v>
      </c>
      <c r="AD55" s="31"/>
      <c r="AE55" s="32"/>
      <c r="AF55" s="30">
        <f t="shared" si="72"/>
        <v>0</v>
      </c>
      <c r="AG55" s="31"/>
      <c r="AH55" s="32"/>
      <c r="AI55" s="30">
        <f t="shared" si="62"/>
        <v>0</v>
      </c>
      <c r="AJ55" s="31"/>
      <c r="AK55" s="32"/>
      <c r="AL55" s="30">
        <f t="shared" si="42"/>
        <v>0</v>
      </c>
      <c r="AM55" s="31"/>
      <c r="AN55" s="32"/>
      <c r="AO55" s="30">
        <f t="shared" si="43"/>
        <v>0</v>
      </c>
      <c r="AP55" s="31"/>
      <c r="AQ55" s="32"/>
      <c r="AR55" s="30">
        <f t="shared" si="70"/>
        <v>0</v>
      </c>
      <c r="AS55" s="31"/>
      <c r="AT55" s="32"/>
      <c r="AU55" s="30">
        <f t="shared" si="69"/>
        <v>0</v>
      </c>
      <c r="AV55" s="31"/>
      <c r="AW55" s="32"/>
      <c r="AX55" s="30">
        <f t="shared" si="66"/>
        <v>0</v>
      </c>
      <c r="AY55" s="31"/>
      <c r="AZ55" s="32"/>
      <c r="BA55" s="30">
        <f t="shared" si="44"/>
        <v>0</v>
      </c>
      <c r="BB55" s="31"/>
      <c r="BC55" s="32"/>
      <c r="BD55" s="30">
        <f t="shared" si="64"/>
        <v>0</v>
      </c>
      <c r="BE55" s="31"/>
      <c r="BF55" s="32"/>
      <c r="BG55" s="30">
        <f t="shared" si="45"/>
        <v>0</v>
      </c>
      <c r="BH55" s="31"/>
      <c r="BI55" s="32"/>
      <c r="BJ55" s="30">
        <f t="shared" si="46"/>
        <v>0</v>
      </c>
      <c r="BK55" s="31"/>
      <c r="BL55" s="32"/>
      <c r="BM55" s="30">
        <f t="shared" ref="BM55:BM74" si="74">IFERROR(BK55*BL55, 0)</f>
        <v>0</v>
      </c>
      <c r="BN55" s="31"/>
      <c r="BO55" s="32"/>
      <c r="BP55" s="30">
        <f t="shared" si="71"/>
        <v>0</v>
      </c>
      <c r="BQ55" s="31"/>
      <c r="BR55" s="32"/>
      <c r="BS55" s="30">
        <f t="shared" si="33"/>
        <v>0</v>
      </c>
      <c r="BT55" s="31"/>
      <c r="BU55" s="32"/>
      <c r="BV55" s="30">
        <f t="shared" si="47"/>
        <v>0</v>
      </c>
      <c r="BW55" s="31"/>
      <c r="BX55" s="32"/>
      <c r="BY55" s="30">
        <f t="shared" si="39"/>
        <v>0</v>
      </c>
      <c r="BZ55" s="31"/>
      <c r="CA55" s="32"/>
      <c r="CB55" s="30">
        <f t="shared" si="48"/>
        <v>0</v>
      </c>
      <c r="CC55" s="31"/>
      <c r="CD55" s="32"/>
      <c r="CE55" s="30">
        <f t="shared" si="49"/>
        <v>0</v>
      </c>
      <c r="CF55" s="31"/>
      <c r="CG55" s="32"/>
      <c r="CH55" s="30">
        <f t="shared" si="50"/>
        <v>0</v>
      </c>
      <c r="CI55" s="31"/>
      <c r="CJ55" s="32"/>
      <c r="CK55" s="30">
        <f t="shared" si="51"/>
        <v>0</v>
      </c>
      <c r="CL55" s="31"/>
      <c r="CM55" s="32"/>
      <c r="CN55" s="30">
        <f t="shared" si="52"/>
        <v>0</v>
      </c>
      <c r="CO55" s="31"/>
      <c r="CP55" s="32"/>
      <c r="CQ55" s="30">
        <f t="shared" si="53"/>
        <v>0</v>
      </c>
      <c r="CR55" s="31"/>
      <c r="CS55" s="32"/>
      <c r="CT55" s="30">
        <f t="shared" si="54"/>
        <v>0</v>
      </c>
      <c r="CU55" s="33">
        <f t="shared" si="55"/>
        <v>0</v>
      </c>
      <c r="CV55" s="30">
        <f t="shared" si="56"/>
        <v>0</v>
      </c>
      <c r="CW55" s="30">
        <f t="shared" si="57"/>
        <v>0</v>
      </c>
    </row>
    <row r="56" spans="1:101" ht="15.75" customHeight="1" x14ac:dyDescent="0.35">
      <c r="A56" s="28" t="s">
        <v>900</v>
      </c>
      <c r="B56" s="28" t="s">
        <v>897</v>
      </c>
      <c r="C56" s="34"/>
      <c r="D56" s="32"/>
      <c r="E56" s="32"/>
      <c r="F56" s="31"/>
      <c r="G56" s="32"/>
      <c r="H56" s="30">
        <f t="shared" si="65"/>
        <v>0</v>
      </c>
      <c r="I56" s="31"/>
      <c r="J56" s="32"/>
      <c r="K56" s="30">
        <f t="shared" si="68"/>
        <v>0</v>
      </c>
      <c r="L56" s="31"/>
      <c r="M56" s="32"/>
      <c r="N56" s="30">
        <f t="shared" si="73"/>
        <v>0</v>
      </c>
      <c r="O56" s="31"/>
      <c r="P56" s="32"/>
      <c r="Q56" s="30">
        <f t="shared" si="60"/>
        <v>0</v>
      </c>
      <c r="R56" s="31"/>
      <c r="S56" s="32"/>
      <c r="T56" s="30">
        <f t="shared" si="40"/>
        <v>0</v>
      </c>
      <c r="U56" s="31"/>
      <c r="V56" s="32"/>
      <c r="W56" s="30">
        <f t="shared" si="58"/>
        <v>0</v>
      </c>
      <c r="X56" s="31"/>
      <c r="Y56" s="32"/>
      <c r="Z56" s="30">
        <f t="shared" si="67"/>
        <v>0</v>
      </c>
      <c r="AA56" s="31"/>
      <c r="AB56" s="32"/>
      <c r="AC56" s="30">
        <f t="shared" si="41"/>
        <v>0</v>
      </c>
      <c r="AD56" s="31"/>
      <c r="AE56" s="32"/>
      <c r="AF56" s="30">
        <f t="shared" si="72"/>
        <v>0</v>
      </c>
      <c r="AG56" s="31"/>
      <c r="AH56" s="32"/>
      <c r="AI56" s="30">
        <f t="shared" si="62"/>
        <v>0</v>
      </c>
      <c r="AJ56" s="31"/>
      <c r="AK56" s="32"/>
      <c r="AL56" s="30">
        <f t="shared" si="42"/>
        <v>0</v>
      </c>
      <c r="AM56" s="31"/>
      <c r="AN56" s="32"/>
      <c r="AO56" s="30">
        <f t="shared" si="43"/>
        <v>0</v>
      </c>
      <c r="AP56" s="31"/>
      <c r="AQ56" s="32"/>
      <c r="AR56" s="30">
        <f t="shared" si="70"/>
        <v>0</v>
      </c>
      <c r="AS56" s="31"/>
      <c r="AT56" s="32"/>
      <c r="AU56" s="30">
        <f t="shared" si="69"/>
        <v>0</v>
      </c>
      <c r="AV56" s="31"/>
      <c r="AW56" s="32"/>
      <c r="AX56" s="30">
        <f t="shared" si="66"/>
        <v>0</v>
      </c>
      <c r="AY56" s="31"/>
      <c r="AZ56" s="32"/>
      <c r="BA56" s="30">
        <f t="shared" si="44"/>
        <v>0</v>
      </c>
      <c r="BB56" s="31"/>
      <c r="BC56" s="32"/>
      <c r="BD56" s="30">
        <f t="shared" si="64"/>
        <v>0</v>
      </c>
      <c r="BE56" s="31"/>
      <c r="BF56" s="32"/>
      <c r="BG56" s="30">
        <f t="shared" si="45"/>
        <v>0</v>
      </c>
      <c r="BH56" s="31"/>
      <c r="BI56" s="32"/>
      <c r="BJ56" s="30">
        <f t="shared" si="46"/>
        <v>0</v>
      </c>
      <c r="BK56" s="31"/>
      <c r="BL56" s="32"/>
      <c r="BM56" s="30">
        <f t="shared" si="74"/>
        <v>0</v>
      </c>
      <c r="BN56" s="31"/>
      <c r="BO56" s="32"/>
      <c r="BP56" s="30">
        <f t="shared" si="71"/>
        <v>0</v>
      </c>
      <c r="BQ56" s="31"/>
      <c r="BR56" s="32"/>
      <c r="BS56" s="30">
        <f t="shared" si="33"/>
        <v>0</v>
      </c>
      <c r="BT56" s="31"/>
      <c r="BU56" s="32"/>
      <c r="BV56" s="30">
        <f t="shared" si="47"/>
        <v>0</v>
      </c>
      <c r="BW56" s="31"/>
      <c r="BX56" s="32"/>
      <c r="BY56" s="30">
        <f t="shared" si="39"/>
        <v>0</v>
      </c>
      <c r="BZ56" s="31"/>
      <c r="CA56" s="32"/>
      <c r="CB56" s="30">
        <f t="shared" si="48"/>
        <v>0</v>
      </c>
      <c r="CC56" s="31"/>
      <c r="CD56" s="32"/>
      <c r="CE56" s="30">
        <f t="shared" si="49"/>
        <v>0</v>
      </c>
      <c r="CF56" s="31"/>
      <c r="CG56" s="32"/>
      <c r="CH56" s="30">
        <f t="shared" si="50"/>
        <v>0</v>
      </c>
      <c r="CI56" s="31"/>
      <c r="CJ56" s="32"/>
      <c r="CK56" s="30">
        <f t="shared" si="51"/>
        <v>0</v>
      </c>
      <c r="CL56" s="31"/>
      <c r="CM56" s="32"/>
      <c r="CN56" s="30">
        <f t="shared" si="52"/>
        <v>0</v>
      </c>
      <c r="CO56" s="31"/>
      <c r="CP56" s="32"/>
      <c r="CQ56" s="30">
        <f t="shared" si="53"/>
        <v>0</v>
      </c>
      <c r="CR56" s="31"/>
      <c r="CS56" s="32"/>
      <c r="CT56" s="30">
        <f t="shared" si="54"/>
        <v>0</v>
      </c>
      <c r="CU56" s="33">
        <f t="shared" si="55"/>
        <v>0</v>
      </c>
      <c r="CV56" s="30">
        <f t="shared" si="56"/>
        <v>0</v>
      </c>
      <c r="CW56" s="30">
        <f t="shared" si="57"/>
        <v>0</v>
      </c>
    </row>
    <row r="57" spans="1:101" ht="15.75" customHeight="1" x14ac:dyDescent="0.35">
      <c r="A57" s="28" t="s">
        <v>659</v>
      </c>
      <c r="B57" s="28" t="s">
        <v>837</v>
      </c>
      <c r="C57" s="34"/>
      <c r="D57" s="32"/>
      <c r="E57" s="32"/>
      <c r="F57" s="31"/>
      <c r="G57" s="32"/>
      <c r="H57" s="30">
        <f t="shared" si="65"/>
        <v>0</v>
      </c>
      <c r="I57" s="31"/>
      <c r="J57" s="32"/>
      <c r="K57" s="30">
        <f t="shared" si="68"/>
        <v>0</v>
      </c>
      <c r="L57" s="31"/>
      <c r="M57" s="32"/>
      <c r="N57" s="30">
        <f t="shared" si="73"/>
        <v>0</v>
      </c>
      <c r="O57" s="31"/>
      <c r="P57" s="32"/>
      <c r="Q57" s="30">
        <f t="shared" si="60"/>
        <v>0</v>
      </c>
      <c r="R57" s="31"/>
      <c r="S57" s="32"/>
      <c r="T57" s="30">
        <f t="shared" si="40"/>
        <v>0</v>
      </c>
      <c r="U57" s="31"/>
      <c r="V57" s="32"/>
      <c r="W57" s="30">
        <f t="shared" si="58"/>
        <v>0</v>
      </c>
      <c r="X57" s="31"/>
      <c r="Y57" s="32"/>
      <c r="Z57" s="30">
        <f t="shared" si="67"/>
        <v>0</v>
      </c>
      <c r="AA57" s="31"/>
      <c r="AB57" s="32"/>
      <c r="AC57" s="30">
        <f t="shared" si="41"/>
        <v>0</v>
      </c>
      <c r="AD57" s="31"/>
      <c r="AE57" s="32"/>
      <c r="AF57" s="30">
        <f t="shared" si="72"/>
        <v>0</v>
      </c>
      <c r="AG57" s="31"/>
      <c r="AH57" s="32"/>
      <c r="AI57" s="30">
        <f t="shared" si="62"/>
        <v>0</v>
      </c>
      <c r="AJ57" s="31"/>
      <c r="AK57" s="32"/>
      <c r="AL57" s="30">
        <f t="shared" si="42"/>
        <v>0</v>
      </c>
      <c r="AM57" s="31"/>
      <c r="AN57" s="32"/>
      <c r="AO57" s="30">
        <f t="shared" si="43"/>
        <v>0</v>
      </c>
      <c r="AP57" s="31"/>
      <c r="AQ57" s="32"/>
      <c r="AR57" s="30">
        <f t="shared" si="70"/>
        <v>0</v>
      </c>
      <c r="AS57" s="31"/>
      <c r="AT57" s="32"/>
      <c r="AU57" s="30">
        <f t="shared" si="69"/>
        <v>0</v>
      </c>
      <c r="AV57" s="31"/>
      <c r="AW57" s="32"/>
      <c r="AX57" s="30">
        <f t="shared" si="66"/>
        <v>0</v>
      </c>
      <c r="AY57" s="31"/>
      <c r="AZ57" s="32"/>
      <c r="BA57" s="30">
        <f t="shared" si="44"/>
        <v>0</v>
      </c>
      <c r="BB57" s="31"/>
      <c r="BC57" s="32"/>
      <c r="BD57" s="30">
        <f t="shared" si="64"/>
        <v>0</v>
      </c>
      <c r="BE57" s="31"/>
      <c r="BF57" s="32"/>
      <c r="BG57" s="30">
        <f t="shared" si="45"/>
        <v>0</v>
      </c>
      <c r="BH57" s="31"/>
      <c r="BI57" s="32"/>
      <c r="BJ57" s="30">
        <f t="shared" si="46"/>
        <v>0</v>
      </c>
      <c r="BK57" s="31"/>
      <c r="BL57" s="32"/>
      <c r="BM57" s="30">
        <f t="shared" si="74"/>
        <v>0</v>
      </c>
      <c r="BN57" s="31"/>
      <c r="BO57" s="32"/>
      <c r="BP57" s="30">
        <f t="shared" si="71"/>
        <v>0</v>
      </c>
      <c r="BQ57" s="31">
        <v>1.19</v>
      </c>
      <c r="BR57" s="32">
        <v>7280</v>
      </c>
      <c r="BS57" s="30">
        <v>8664</v>
      </c>
      <c r="BT57" s="31"/>
      <c r="BU57" s="32"/>
      <c r="BV57" s="30">
        <f t="shared" si="47"/>
        <v>0</v>
      </c>
      <c r="BW57" s="31"/>
      <c r="BX57" s="32"/>
      <c r="BY57" s="30">
        <f t="shared" si="39"/>
        <v>0</v>
      </c>
      <c r="BZ57" s="31"/>
      <c r="CA57" s="32"/>
      <c r="CB57" s="30">
        <f t="shared" si="48"/>
        <v>0</v>
      </c>
      <c r="CC57" s="31"/>
      <c r="CD57" s="32"/>
      <c r="CE57" s="30">
        <f t="shared" si="49"/>
        <v>0</v>
      </c>
      <c r="CF57" s="31"/>
      <c r="CG57" s="32"/>
      <c r="CH57" s="30">
        <f t="shared" si="50"/>
        <v>0</v>
      </c>
      <c r="CI57" s="31"/>
      <c r="CJ57" s="32"/>
      <c r="CK57" s="30">
        <f t="shared" si="51"/>
        <v>0</v>
      </c>
      <c r="CL57" s="31"/>
      <c r="CM57" s="32"/>
      <c r="CN57" s="30">
        <f t="shared" si="52"/>
        <v>0</v>
      </c>
      <c r="CO57" s="31"/>
      <c r="CP57" s="32"/>
      <c r="CQ57" s="30">
        <f t="shared" si="53"/>
        <v>0</v>
      </c>
      <c r="CR57" s="31"/>
      <c r="CS57" s="32"/>
      <c r="CT57" s="30">
        <f t="shared" si="54"/>
        <v>0</v>
      </c>
      <c r="CU57" s="33">
        <f t="shared" si="55"/>
        <v>1.19</v>
      </c>
      <c r="CV57" s="30">
        <f t="shared" si="56"/>
        <v>7280</v>
      </c>
      <c r="CW57" s="30">
        <f t="shared" si="57"/>
        <v>8663.1999999999989</v>
      </c>
    </row>
    <row r="58" spans="1:101" ht="15.75" customHeight="1" x14ac:dyDescent="0.35">
      <c r="A58" s="28" t="s">
        <v>901</v>
      </c>
      <c r="B58" s="28" t="s">
        <v>837</v>
      </c>
      <c r="C58" s="34"/>
      <c r="D58" s="32"/>
      <c r="E58" s="32"/>
      <c r="F58" s="31"/>
      <c r="G58" s="32"/>
      <c r="H58" s="30">
        <f t="shared" si="65"/>
        <v>0</v>
      </c>
      <c r="I58" s="31"/>
      <c r="J58" s="32"/>
      <c r="K58" s="30">
        <f t="shared" si="68"/>
        <v>0</v>
      </c>
      <c r="L58" s="31"/>
      <c r="M58" s="32"/>
      <c r="N58" s="30">
        <f t="shared" si="73"/>
        <v>0</v>
      </c>
      <c r="O58" s="31"/>
      <c r="P58" s="32"/>
      <c r="Q58" s="30">
        <f t="shared" si="60"/>
        <v>0</v>
      </c>
      <c r="R58" s="31"/>
      <c r="S58" s="32"/>
      <c r="T58" s="30">
        <f t="shared" si="40"/>
        <v>0</v>
      </c>
      <c r="U58" s="31"/>
      <c r="V58" s="32"/>
      <c r="W58" s="30">
        <f t="shared" si="58"/>
        <v>0</v>
      </c>
      <c r="X58" s="31"/>
      <c r="Y58" s="32"/>
      <c r="Z58" s="30">
        <f t="shared" si="67"/>
        <v>0</v>
      </c>
      <c r="AA58" s="31"/>
      <c r="AB58" s="32"/>
      <c r="AC58" s="30">
        <f t="shared" si="41"/>
        <v>0</v>
      </c>
      <c r="AD58" s="31"/>
      <c r="AE58" s="32"/>
      <c r="AF58" s="30">
        <f t="shared" si="72"/>
        <v>0</v>
      </c>
      <c r="AG58" s="31"/>
      <c r="AH58" s="32"/>
      <c r="AI58" s="30">
        <f t="shared" si="62"/>
        <v>0</v>
      </c>
      <c r="AJ58" s="31"/>
      <c r="AK58" s="32"/>
      <c r="AL58" s="30">
        <f t="shared" si="42"/>
        <v>0</v>
      </c>
      <c r="AM58" s="31"/>
      <c r="AN58" s="32"/>
      <c r="AO58" s="30">
        <f t="shared" si="43"/>
        <v>0</v>
      </c>
      <c r="AP58" s="31"/>
      <c r="AQ58" s="32"/>
      <c r="AR58" s="30">
        <f t="shared" si="70"/>
        <v>0</v>
      </c>
      <c r="AS58" s="31"/>
      <c r="AT58" s="32"/>
      <c r="AU58" s="30">
        <f t="shared" si="69"/>
        <v>0</v>
      </c>
      <c r="AV58" s="31"/>
      <c r="AW58" s="32"/>
      <c r="AX58" s="30">
        <f t="shared" si="66"/>
        <v>0</v>
      </c>
      <c r="AY58" s="31"/>
      <c r="AZ58" s="32"/>
      <c r="BA58" s="30">
        <f t="shared" si="44"/>
        <v>0</v>
      </c>
      <c r="BB58" s="31"/>
      <c r="BC58" s="32"/>
      <c r="BD58" s="30">
        <f t="shared" si="64"/>
        <v>0</v>
      </c>
      <c r="BE58" s="31"/>
      <c r="BF58" s="32"/>
      <c r="BG58" s="30">
        <f t="shared" si="45"/>
        <v>0</v>
      </c>
      <c r="BH58" s="31"/>
      <c r="BI58" s="32"/>
      <c r="BJ58" s="30">
        <f t="shared" si="46"/>
        <v>0</v>
      </c>
      <c r="BK58" s="31"/>
      <c r="BL58" s="32"/>
      <c r="BM58" s="30">
        <f t="shared" si="74"/>
        <v>0</v>
      </c>
      <c r="BN58" s="31"/>
      <c r="BO58" s="32"/>
      <c r="BP58" s="30">
        <f t="shared" si="71"/>
        <v>0</v>
      </c>
      <c r="BQ58" s="31"/>
      <c r="BR58" s="32"/>
      <c r="BS58" s="30">
        <f t="shared" ref="BS58:BS66" si="75">IFERROR(BQ58*BR58, 0)</f>
        <v>0</v>
      </c>
      <c r="BT58" s="31"/>
      <c r="BU58" s="32"/>
      <c r="BV58" s="30">
        <f t="shared" si="47"/>
        <v>0</v>
      </c>
      <c r="BW58" s="31"/>
      <c r="BX58" s="32"/>
      <c r="BY58" s="30">
        <f t="shared" ref="BY58:BY78" si="76">IFERROR(BW58*BX58, 0)</f>
        <v>0</v>
      </c>
      <c r="BZ58" s="31"/>
      <c r="CA58" s="32"/>
      <c r="CB58" s="30">
        <f t="shared" si="48"/>
        <v>0</v>
      </c>
      <c r="CC58" s="31"/>
      <c r="CD58" s="32"/>
      <c r="CE58" s="30">
        <f t="shared" si="49"/>
        <v>0</v>
      </c>
      <c r="CF58" s="31"/>
      <c r="CG58" s="32"/>
      <c r="CH58" s="30">
        <f t="shared" si="50"/>
        <v>0</v>
      </c>
      <c r="CI58" s="31"/>
      <c r="CJ58" s="32"/>
      <c r="CK58" s="30">
        <f t="shared" si="51"/>
        <v>0</v>
      </c>
      <c r="CL58" s="31"/>
      <c r="CM58" s="32"/>
      <c r="CN58" s="30">
        <f t="shared" si="52"/>
        <v>0</v>
      </c>
      <c r="CO58" s="31"/>
      <c r="CP58" s="32"/>
      <c r="CQ58" s="30">
        <f t="shared" si="53"/>
        <v>0</v>
      </c>
      <c r="CR58" s="31"/>
      <c r="CS58" s="32"/>
      <c r="CT58" s="30">
        <f t="shared" si="54"/>
        <v>0</v>
      </c>
      <c r="CU58" s="33">
        <f t="shared" si="55"/>
        <v>0</v>
      </c>
      <c r="CV58" s="30">
        <f t="shared" si="56"/>
        <v>0</v>
      </c>
      <c r="CW58" s="30">
        <f t="shared" si="57"/>
        <v>0</v>
      </c>
    </row>
    <row r="59" spans="1:101" ht="15.75" customHeight="1" x14ac:dyDescent="0.35">
      <c r="A59" s="28" t="s">
        <v>902</v>
      </c>
      <c r="B59" s="28" t="s">
        <v>837</v>
      </c>
      <c r="C59" s="34"/>
      <c r="D59" s="32"/>
      <c r="E59" s="32"/>
      <c r="F59" s="31"/>
      <c r="G59" s="32"/>
      <c r="H59" s="30">
        <f t="shared" si="65"/>
        <v>0</v>
      </c>
      <c r="I59" s="31"/>
      <c r="J59" s="32"/>
      <c r="K59" s="30">
        <f t="shared" si="68"/>
        <v>0</v>
      </c>
      <c r="L59" s="31"/>
      <c r="M59" s="32"/>
      <c r="N59" s="30">
        <f t="shared" si="73"/>
        <v>0</v>
      </c>
      <c r="O59" s="31"/>
      <c r="P59" s="32"/>
      <c r="Q59" s="30">
        <f t="shared" si="60"/>
        <v>0</v>
      </c>
      <c r="R59" s="31"/>
      <c r="S59" s="32"/>
      <c r="T59" s="30">
        <f t="shared" si="40"/>
        <v>0</v>
      </c>
      <c r="U59" s="31"/>
      <c r="V59" s="32"/>
      <c r="W59" s="30">
        <f t="shared" si="58"/>
        <v>0</v>
      </c>
      <c r="X59" s="31"/>
      <c r="Y59" s="32"/>
      <c r="Z59" s="30">
        <f t="shared" si="67"/>
        <v>0</v>
      </c>
      <c r="AA59" s="31"/>
      <c r="AB59" s="32"/>
      <c r="AC59" s="30">
        <f t="shared" si="41"/>
        <v>0</v>
      </c>
      <c r="AD59" s="31"/>
      <c r="AE59" s="32"/>
      <c r="AF59" s="30">
        <f t="shared" si="72"/>
        <v>0</v>
      </c>
      <c r="AG59" s="31"/>
      <c r="AH59" s="32"/>
      <c r="AI59" s="30">
        <f t="shared" si="62"/>
        <v>0</v>
      </c>
      <c r="AJ59" s="31"/>
      <c r="AK59" s="32"/>
      <c r="AL59" s="30">
        <f t="shared" si="42"/>
        <v>0</v>
      </c>
      <c r="AM59" s="31"/>
      <c r="AN59" s="32"/>
      <c r="AO59" s="30">
        <f t="shared" si="43"/>
        <v>0</v>
      </c>
      <c r="AP59" s="31"/>
      <c r="AQ59" s="32"/>
      <c r="AR59" s="30">
        <f t="shared" si="70"/>
        <v>0</v>
      </c>
      <c r="AS59" s="31"/>
      <c r="AT59" s="32"/>
      <c r="AU59" s="30">
        <f t="shared" si="69"/>
        <v>0</v>
      </c>
      <c r="AV59" s="31"/>
      <c r="AW59" s="32"/>
      <c r="AX59" s="30">
        <f t="shared" si="66"/>
        <v>0</v>
      </c>
      <c r="AY59" s="31"/>
      <c r="AZ59" s="32"/>
      <c r="BA59" s="30">
        <f t="shared" si="44"/>
        <v>0</v>
      </c>
      <c r="BB59" s="31"/>
      <c r="BC59" s="32"/>
      <c r="BD59" s="30">
        <f t="shared" si="64"/>
        <v>0</v>
      </c>
      <c r="BE59" s="31"/>
      <c r="BF59" s="32"/>
      <c r="BG59" s="30">
        <f t="shared" si="45"/>
        <v>0</v>
      </c>
      <c r="BH59" s="31"/>
      <c r="BI59" s="32"/>
      <c r="BJ59" s="30">
        <f t="shared" si="46"/>
        <v>0</v>
      </c>
      <c r="BK59" s="31"/>
      <c r="BL59" s="32"/>
      <c r="BM59" s="30">
        <f t="shared" si="74"/>
        <v>0</v>
      </c>
      <c r="BN59" s="31"/>
      <c r="BO59" s="32"/>
      <c r="BP59" s="30">
        <f t="shared" si="71"/>
        <v>0</v>
      </c>
      <c r="BQ59" s="31"/>
      <c r="BR59" s="32"/>
      <c r="BS59" s="30">
        <f t="shared" si="75"/>
        <v>0</v>
      </c>
      <c r="BT59" s="31"/>
      <c r="BU59" s="32"/>
      <c r="BV59" s="30">
        <f t="shared" si="47"/>
        <v>0</v>
      </c>
      <c r="BW59" s="31"/>
      <c r="BX59" s="32"/>
      <c r="BY59" s="30">
        <f t="shared" si="76"/>
        <v>0</v>
      </c>
      <c r="BZ59" s="31"/>
      <c r="CA59" s="32"/>
      <c r="CB59" s="30">
        <f t="shared" si="48"/>
        <v>0</v>
      </c>
      <c r="CC59" s="31"/>
      <c r="CD59" s="32"/>
      <c r="CE59" s="30">
        <f t="shared" si="49"/>
        <v>0</v>
      </c>
      <c r="CF59" s="31"/>
      <c r="CG59" s="32"/>
      <c r="CH59" s="30">
        <f t="shared" si="50"/>
        <v>0</v>
      </c>
      <c r="CI59" s="31"/>
      <c r="CJ59" s="32"/>
      <c r="CK59" s="30">
        <f t="shared" si="51"/>
        <v>0</v>
      </c>
      <c r="CL59" s="31"/>
      <c r="CM59" s="32"/>
      <c r="CN59" s="30">
        <f t="shared" si="52"/>
        <v>0</v>
      </c>
      <c r="CO59" s="31"/>
      <c r="CP59" s="32"/>
      <c r="CQ59" s="30">
        <f t="shared" si="53"/>
        <v>0</v>
      </c>
      <c r="CR59" s="31"/>
      <c r="CS59" s="32"/>
      <c r="CT59" s="30">
        <f t="shared" si="54"/>
        <v>0</v>
      </c>
      <c r="CU59" s="33">
        <f t="shared" si="55"/>
        <v>0</v>
      </c>
      <c r="CV59" s="30">
        <f t="shared" si="56"/>
        <v>0</v>
      </c>
      <c r="CW59" s="30">
        <f t="shared" si="57"/>
        <v>0</v>
      </c>
    </row>
    <row r="60" spans="1:101" ht="15.75" customHeight="1" x14ac:dyDescent="0.35">
      <c r="A60" s="28" t="s">
        <v>903</v>
      </c>
      <c r="B60" s="28" t="s">
        <v>885</v>
      </c>
      <c r="C60" s="29"/>
      <c r="D60" s="30"/>
      <c r="E60" s="30"/>
      <c r="F60" s="31"/>
      <c r="G60" s="32"/>
      <c r="H60" s="30">
        <f t="shared" si="65"/>
        <v>0</v>
      </c>
      <c r="I60" s="31"/>
      <c r="J60" s="32"/>
      <c r="K60" s="30">
        <f t="shared" si="68"/>
        <v>0</v>
      </c>
      <c r="L60" s="31"/>
      <c r="M60" s="32"/>
      <c r="N60" s="30">
        <f t="shared" si="73"/>
        <v>0</v>
      </c>
      <c r="O60" s="31"/>
      <c r="P60" s="32"/>
      <c r="Q60" s="30">
        <f t="shared" si="60"/>
        <v>0</v>
      </c>
      <c r="R60" s="31"/>
      <c r="S60" s="32"/>
      <c r="T60" s="30">
        <f t="shared" si="40"/>
        <v>0</v>
      </c>
      <c r="U60" s="31"/>
      <c r="V60" s="32"/>
      <c r="W60" s="30">
        <f t="shared" si="58"/>
        <v>0</v>
      </c>
      <c r="X60" s="31"/>
      <c r="Y60" s="32"/>
      <c r="Z60" s="30">
        <f t="shared" si="67"/>
        <v>0</v>
      </c>
      <c r="AA60" s="31"/>
      <c r="AB60" s="32"/>
      <c r="AC60" s="30">
        <f t="shared" si="41"/>
        <v>0</v>
      </c>
      <c r="AD60" s="31"/>
      <c r="AE60" s="32"/>
      <c r="AF60" s="30">
        <f t="shared" si="72"/>
        <v>0</v>
      </c>
      <c r="AG60" s="31"/>
      <c r="AH60" s="32"/>
      <c r="AI60" s="30">
        <f t="shared" si="62"/>
        <v>0</v>
      </c>
      <c r="AJ60" s="31"/>
      <c r="AK60" s="32"/>
      <c r="AL60" s="30">
        <f t="shared" si="42"/>
        <v>0</v>
      </c>
      <c r="AM60" s="31"/>
      <c r="AN60" s="32"/>
      <c r="AO60" s="30">
        <f t="shared" si="43"/>
        <v>0</v>
      </c>
      <c r="AP60" s="31"/>
      <c r="AQ60" s="32"/>
      <c r="AR60" s="30">
        <f t="shared" si="70"/>
        <v>0</v>
      </c>
      <c r="AS60" s="31"/>
      <c r="AT60" s="32"/>
      <c r="AU60" s="30">
        <f t="shared" si="69"/>
        <v>0</v>
      </c>
      <c r="AV60" s="31"/>
      <c r="AW60" s="32"/>
      <c r="AX60" s="30">
        <f t="shared" si="66"/>
        <v>0</v>
      </c>
      <c r="AY60" s="31"/>
      <c r="AZ60" s="32"/>
      <c r="BA60" s="30">
        <f t="shared" si="44"/>
        <v>0</v>
      </c>
      <c r="BB60" s="31"/>
      <c r="BC60" s="32"/>
      <c r="BD60" s="30">
        <f t="shared" si="64"/>
        <v>0</v>
      </c>
      <c r="BE60" s="31"/>
      <c r="BF60" s="32"/>
      <c r="BG60" s="30">
        <f t="shared" si="45"/>
        <v>0</v>
      </c>
      <c r="BH60" s="31"/>
      <c r="BI60" s="32"/>
      <c r="BJ60" s="30">
        <f t="shared" si="46"/>
        <v>0</v>
      </c>
      <c r="BK60" s="31"/>
      <c r="BL60" s="32"/>
      <c r="BM60" s="30">
        <f t="shared" si="74"/>
        <v>0</v>
      </c>
      <c r="BN60" s="31"/>
      <c r="BO60" s="32"/>
      <c r="BP60" s="30">
        <f t="shared" si="71"/>
        <v>0</v>
      </c>
      <c r="BQ60" s="31"/>
      <c r="BR60" s="32"/>
      <c r="BS60" s="30">
        <f t="shared" si="75"/>
        <v>0</v>
      </c>
      <c r="BT60" s="31"/>
      <c r="BU60" s="32"/>
      <c r="BV60" s="30">
        <f t="shared" si="47"/>
        <v>0</v>
      </c>
      <c r="BW60" s="31"/>
      <c r="BX60" s="32"/>
      <c r="BY60" s="30">
        <f t="shared" si="76"/>
        <v>0</v>
      </c>
      <c r="BZ60" s="31"/>
      <c r="CA60" s="32"/>
      <c r="CB60" s="30">
        <f t="shared" si="48"/>
        <v>0</v>
      </c>
      <c r="CC60" s="31"/>
      <c r="CD60" s="32"/>
      <c r="CE60" s="30">
        <f t="shared" si="49"/>
        <v>0</v>
      </c>
      <c r="CF60" s="31"/>
      <c r="CG60" s="32"/>
      <c r="CH60" s="30">
        <f t="shared" si="50"/>
        <v>0</v>
      </c>
      <c r="CI60" s="31"/>
      <c r="CJ60" s="32"/>
      <c r="CK60" s="30">
        <f t="shared" si="51"/>
        <v>0</v>
      </c>
      <c r="CL60" s="31"/>
      <c r="CM60" s="32"/>
      <c r="CN60" s="30">
        <f t="shared" si="52"/>
        <v>0</v>
      </c>
      <c r="CO60" s="31"/>
      <c r="CP60" s="32"/>
      <c r="CQ60" s="30">
        <f t="shared" si="53"/>
        <v>0</v>
      </c>
      <c r="CR60" s="31"/>
      <c r="CS60" s="32"/>
      <c r="CT60" s="30">
        <f t="shared" si="54"/>
        <v>0</v>
      </c>
      <c r="CU60" s="33">
        <f t="shared" si="55"/>
        <v>0</v>
      </c>
      <c r="CV60" s="30">
        <f t="shared" si="56"/>
        <v>0</v>
      </c>
      <c r="CW60" s="30">
        <f t="shared" si="57"/>
        <v>0</v>
      </c>
    </row>
    <row r="61" spans="1:101" ht="15.75" customHeight="1" x14ac:dyDescent="0.35">
      <c r="A61" s="28" t="s">
        <v>494</v>
      </c>
      <c r="B61" s="28" t="s">
        <v>885</v>
      </c>
      <c r="C61" s="29"/>
      <c r="D61" s="30"/>
      <c r="E61" s="30"/>
      <c r="F61" s="31"/>
      <c r="G61" s="32"/>
      <c r="H61" s="30">
        <f t="shared" si="65"/>
        <v>0</v>
      </c>
      <c r="I61" s="31"/>
      <c r="J61" s="32"/>
      <c r="K61" s="30">
        <f t="shared" si="68"/>
        <v>0</v>
      </c>
      <c r="L61" s="31"/>
      <c r="M61" s="32"/>
      <c r="N61" s="30">
        <f t="shared" si="73"/>
        <v>0</v>
      </c>
      <c r="O61" s="31"/>
      <c r="P61" s="32"/>
      <c r="Q61" s="30">
        <f t="shared" si="60"/>
        <v>0</v>
      </c>
      <c r="R61" s="31"/>
      <c r="S61" s="32"/>
      <c r="T61" s="30">
        <f t="shared" si="40"/>
        <v>0</v>
      </c>
      <c r="U61" s="31"/>
      <c r="V61" s="32"/>
      <c r="W61" s="30">
        <f t="shared" si="58"/>
        <v>0</v>
      </c>
      <c r="X61" s="31"/>
      <c r="Y61" s="32"/>
      <c r="Z61" s="30">
        <f t="shared" si="67"/>
        <v>0</v>
      </c>
      <c r="AA61" s="31"/>
      <c r="AB61" s="32"/>
      <c r="AC61" s="30">
        <f t="shared" si="41"/>
        <v>0</v>
      </c>
      <c r="AD61" s="31"/>
      <c r="AE61" s="32"/>
      <c r="AF61" s="30">
        <f t="shared" si="72"/>
        <v>0</v>
      </c>
      <c r="AG61" s="31"/>
      <c r="AH61" s="32"/>
      <c r="AI61" s="30">
        <f t="shared" si="62"/>
        <v>0</v>
      </c>
      <c r="AJ61" s="31"/>
      <c r="AK61" s="32"/>
      <c r="AL61" s="30">
        <f t="shared" si="42"/>
        <v>0</v>
      </c>
      <c r="AM61" s="31"/>
      <c r="AN61" s="32"/>
      <c r="AO61" s="30">
        <f t="shared" si="43"/>
        <v>0</v>
      </c>
      <c r="AP61" s="31">
        <v>4</v>
      </c>
      <c r="AQ61" s="32">
        <v>8000</v>
      </c>
      <c r="AR61" s="30">
        <v>31000</v>
      </c>
      <c r="AS61" s="31">
        <v>6</v>
      </c>
      <c r="AT61" s="32">
        <v>8000</v>
      </c>
      <c r="AU61" s="30">
        <v>42000</v>
      </c>
      <c r="AV61" s="31"/>
      <c r="AW61" s="32"/>
      <c r="AX61" s="30">
        <f t="shared" si="66"/>
        <v>0</v>
      </c>
      <c r="AY61" s="31"/>
      <c r="AZ61" s="32"/>
      <c r="BA61" s="30">
        <f t="shared" si="44"/>
        <v>0</v>
      </c>
      <c r="BB61" s="31"/>
      <c r="BC61" s="32"/>
      <c r="BD61" s="30">
        <f t="shared" si="64"/>
        <v>0</v>
      </c>
      <c r="BE61" s="31"/>
      <c r="BF61" s="32"/>
      <c r="BG61" s="30">
        <f t="shared" si="45"/>
        <v>0</v>
      </c>
      <c r="BH61" s="31"/>
      <c r="BI61" s="32"/>
      <c r="BJ61" s="30">
        <f t="shared" si="46"/>
        <v>0</v>
      </c>
      <c r="BK61" s="31"/>
      <c r="BL61" s="32"/>
      <c r="BM61" s="30">
        <f t="shared" si="74"/>
        <v>0</v>
      </c>
      <c r="BN61" s="31">
        <v>2</v>
      </c>
      <c r="BO61" s="32">
        <v>8000</v>
      </c>
      <c r="BP61" s="30">
        <v>16000</v>
      </c>
      <c r="BQ61" s="31"/>
      <c r="BR61" s="32"/>
      <c r="BS61" s="30">
        <f t="shared" si="75"/>
        <v>0</v>
      </c>
      <c r="BT61" s="31"/>
      <c r="BU61" s="32"/>
      <c r="BV61" s="30">
        <f t="shared" si="47"/>
        <v>0</v>
      </c>
      <c r="BW61" s="31"/>
      <c r="BX61" s="32"/>
      <c r="BY61" s="30">
        <f t="shared" si="76"/>
        <v>0</v>
      </c>
      <c r="BZ61" s="31"/>
      <c r="CA61" s="32"/>
      <c r="CB61" s="30">
        <f t="shared" si="48"/>
        <v>0</v>
      </c>
      <c r="CC61" s="31"/>
      <c r="CD61" s="32"/>
      <c r="CE61" s="30">
        <f t="shared" si="49"/>
        <v>0</v>
      </c>
      <c r="CF61" s="31"/>
      <c r="CG61" s="32"/>
      <c r="CH61" s="30">
        <f t="shared" si="50"/>
        <v>0</v>
      </c>
      <c r="CI61" s="31"/>
      <c r="CJ61" s="32"/>
      <c r="CK61" s="30">
        <f t="shared" si="51"/>
        <v>0</v>
      </c>
      <c r="CL61" s="31"/>
      <c r="CM61" s="32"/>
      <c r="CN61" s="30">
        <f t="shared" si="52"/>
        <v>0</v>
      </c>
      <c r="CO61" s="31"/>
      <c r="CP61" s="32"/>
      <c r="CQ61" s="30">
        <f t="shared" si="53"/>
        <v>0</v>
      </c>
      <c r="CR61" s="31"/>
      <c r="CS61" s="32"/>
      <c r="CT61" s="30">
        <f t="shared" si="54"/>
        <v>0</v>
      </c>
      <c r="CU61" s="33">
        <f t="shared" si="55"/>
        <v>12</v>
      </c>
      <c r="CV61" s="30">
        <f t="shared" si="56"/>
        <v>8000</v>
      </c>
      <c r="CW61" s="30">
        <f t="shared" si="57"/>
        <v>96000</v>
      </c>
    </row>
    <row r="62" spans="1:101" ht="15.75" customHeight="1" x14ac:dyDescent="0.35">
      <c r="A62" s="28" t="s">
        <v>904</v>
      </c>
      <c r="B62" s="28" t="s">
        <v>880</v>
      </c>
      <c r="C62" s="34"/>
      <c r="D62" s="32"/>
      <c r="E62" s="32"/>
      <c r="F62" s="31"/>
      <c r="G62" s="32"/>
      <c r="H62" s="30">
        <f t="shared" si="65"/>
        <v>0</v>
      </c>
      <c r="I62" s="31"/>
      <c r="J62" s="32"/>
      <c r="K62" s="30">
        <f t="shared" si="68"/>
        <v>0</v>
      </c>
      <c r="L62" s="31"/>
      <c r="M62" s="32"/>
      <c r="N62" s="30">
        <f t="shared" si="73"/>
        <v>0</v>
      </c>
      <c r="O62" s="31"/>
      <c r="P62" s="32"/>
      <c r="Q62" s="30">
        <f t="shared" si="60"/>
        <v>0</v>
      </c>
      <c r="R62" s="31"/>
      <c r="S62" s="32"/>
      <c r="T62" s="30">
        <f t="shared" si="40"/>
        <v>0</v>
      </c>
      <c r="U62" s="31"/>
      <c r="V62" s="32"/>
      <c r="W62" s="30">
        <f t="shared" si="58"/>
        <v>0</v>
      </c>
      <c r="X62" s="31"/>
      <c r="Y62" s="32"/>
      <c r="Z62" s="30">
        <f t="shared" si="67"/>
        <v>0</v>
      </c>
      <c r="AA62" s="31"/>
      <c r="AB62" s="32"/>
      <c r="AC62" s="30">
        <f t="shared" si="41"/>
        <v>0</v>
      </c>
      <c r="AD62" s="31"/>
      <c r="AE62" s="32"/>
      <c r="AF62" s="30">
        <f t="shared" si="72"/>
        <v>0</v>
      </c>
      <c r="AG62" s="31"/>
      <c r="AH62" s="32"/>
      <c r="AI62" s="30">
        <f t="shared" si="62"/>
        <v>0</v>
      </c>
      <c r="AJ62" s="31"/>
      <c r="AK62" s="32"/>
      <c r="AL62" s="30">
        <f t="shared" si="42"/>
        <v>0</v>
      </c>
      <c r="AM62" s="31"/>
      <c r="AN62" s="32"/>
      <c r="AO62" s="30">
        <f t="shared" si="43"/>
        <v>0</v>
      </c>
      <c r="AP62" s="31"/>
      <c r="AQ62" s="32"/>
      <c r="AR62" s="30">
        <f>IFERROR(AP62*AQ62, 0)</f>
        <v>0</v>
      </c>
      <c r="AS62" s="31"/>
      <c r="AT62" s="32"/>
      <c r="AU62" s="30">
        <f>IFERROR(AS62*AT62, 0)</f>
        <v>0</v>
      </c>
      <c r="AV62" s="31"/>
      <c r="AW62" s="32"/>
      <c r="AX62" s="30">
        <f t="shared" si="66"/>
        <v>0</v>
      </c>
      <c r="AY62" s="31"/>
      <c r="AZ62" s="32"/>
      <c r="BA62" s="30">
        <f t="shared" si="44"/>
        <v>0</v>
      </c>
      <c r="BB62" s="31"/>
      <c r="BC62" s="32"/>
      <c r="BD62" s="30">
        <f t="shared" si="64"/>
        <v>0</v>
      </c>
      <c r="BE62" s="31"/>
      <c r="BF62" s="32"/>
      <c r="BG62" s="30">
        <f t="shared" si="45"/>
        <v>0</v>
      </c>
      <c r="BH62" s="31"/>
      <c r="BI62" s="32"/>
      <c r="BJ62" s="30">
        <f t="shared" si="46"/>
        <v>0</v>
      </c>
      <c r="BK62" s="31"/>
      <c r="BL62" s="32"/>
      <c r="BM62" s="30">
        <f t="shared" si="74"/>
        <v>0</v>
      </c>
      <c r="BN62" s="31"/>
      <c r="BO62" s="32"/>
      <c r="BP62" s="30">
        <f>IFERROR(BN62*BO62, 0)</f>
        <v>0</v>
      </c>
      <c r="BQ62" s="31"/>
      <c r="BR62" s="32"/>
      <c r="BS62" s="30">
        <f t="shared" si="75"/>
        <v>0</v>
      </c>
      <c r="BT62" s="31"/>
      <c r="BU62" s="32"/>
      <c r="BV62" s="30">
        <f t="shared" si="47"/>
        <v>0</v>
      </c>
      <c r="BW62" s="31"/>
      <c r="BX62" s="32"/>
      <c r="BY62" s="30">
        <f t="shared" si="76"/>
        <v>0</v>
      </c>
      <c r="BZ62" s="31"/>
      <c r="CA62" s="32"/>
      <c r="CB62" s="30">
        <f t="shared" si="48"/>
        <v>0</v>
      </c>
      <c r="CC62" s="31"/>
      <c r="CD62" s="32"/>
      <c r="CE62" s="30">
        <f t="shared" si="49"/>
        <v>0</v>
      </c>
      <c r="CF62" s="31"/>
      <c r="CG62" s="32"/>
      <c r="CH62" s="30">
        <f t="shared" si="50"/>
        <v>0</v>
      </c>
      <c r="CI62" s="31"/>
      <c r="CJ62" s="32"/>
      <c r="CK62" s="30">
        <f t="shared" si="51"/>
        <v>0</v>
      </c>
      <c r="CL62" s="31"/>
      <c r="CM62" s="32"/>
      <c r="CN62" s="30">
        <f t="shared" si="52"/>
        <v>0</v>
      </c>
      <c r="CO62" s="31"/>
      <c r="CP62" s="32"/>
      <c r="CQ62" s="30">
        <f t="shared" si="53"/>
        <v>0</v>
      </c>
      <c r="CR62" s="31"/>
      <c r="CS62" s="32"/>
      <c r="CT62" s="30">
        <f t="shared" si="54"/>
        <v>0</v>
      </c>
      <c r="CU62" s="33">
        <f t="shared" si="55"/>
        <v>0</v>
      </c>
      <c r="CV62" s="30">
        <f t="shared" si="56"/>
        <v>0</v>
      </c>
      <c r="CW62" s="30">
        <f t="shared" si="57"/>
        <v>0</v>
      </c>
    </row>
    <row r="63" spans="1:101" ht="15.75" customHeight="1" x14ac:dyDescent="0.35">
      <c r="A63" s="37" t="s">
        <v>745</v>
      </c>
      <c r="B63" s="28" t="s">
        <v>880</v>
      </c>
      <c r="C63" s="35"/>
      <c r="D63" s="20"/>
      <c r="E63" s="20"/>
      <c r="F63" s="31"/>
      <c r="G63" s="32"/>
      <c r="H63" s="30">
        <f t="shared" si="65"/>
        <v>0</v>
      </c>
      <c r="I63" s="31"/>
      <c r="J63" s="32"/>
      <c r="K63" s="30">
        <f t="shared" si="68"/>
        <v>0</v>
      </c>
      <c r="L63" s="31"/>
      <c r="M63" s="32"/>
      <c r="N63" s="30">
        <f t="shared" si="73"/>
        <v>0</v>
      </c>
      <c r="O63" s="31"/>
      <c r="P63" s="32"/>
      <c r="Q63" s="30">
        <f t="shared" si="60"/>
        <v>0</v>
      </c>
      <c r="R63" s="31"/>
      <c r="S63" s="32"/>
      <c r="T63" s="30">
        <f t="shared" si="40"/>
        <v>0</v>
      </c>
      <c r="U63" s="31"/>
      <c r="V63" s="32"/>
      <c r="W63" s="30">
        <f t="shared" si="58"/>
        <v>0</v>
      </c>
      <c r="X63" s="31"/>
      <c r="Y63" s="32"/>
      <c r="Z63" s="30">
        <f t="shared" si="67"/>
        <v>0</v>
      </c>
      <c r="AA63" s="31"/>
      <c r="AB63" s="32"/>
      <c r="AC63" s="30">
        <f t="shared" si="41"/>
        <v>0</v>
      </c>
      <c r="AD63" s="31"/>
      <c r="AE63" s="32"/>
      <c r="AF63" s="30">
        <f t="shared" si="72"/>
        <v>0</v>
      </c>
      <c r="AG63" s="31"/>
      <c r="AH63" s="32"/>
      <c r="AI63" s="30">
        <f t="shared" si="62"/>
        <v>0</v>
      </c>
      <c r="AJ63" s="31"/>
      <c r="AK63" s="32"/>
      <c r="AL63" s="30">
        <f t="shared" si="42"/>
        <v>0</v>
      </c>
      <c r="AM63" s="31"/>
      <c r="AN63" s="32"/>
      <c r="AO63" s="30">
        <f t="shared" si="43"/>
        <v>0</v>
      </c>
      <c r="AP63" s="31"/>
      <c r="AQ63" s="32"/>
      <c r="AR63" s="30">
        <f>IFERROR(AP63*AQ63, 0)</f>
        <v>0</v>
      </c>
      <c r="AS63" s="31"/>
      <c r="AT63" s="32"/>
      <c r="AU63" s="30">
        <f>IFERROR(AS63*AT63, 0)</f>
        <v>0</v>
      </c>
      <c r="AV63" s="31"/>
      <c r="AW63" s="32"/>
      <c r="AX63" s="30">
        <f t="shared" si="66"/>
        <v>0</v>
      </c>
      <c r="AY63" s="31"/>
      <c r="AZ63" s="32"/>
      <c r="BA63" s="30">
        <f t="shared" si="44"/>
        <v>0</v>
      </c>
      <c r="BB63" s="31"/>
      <c r="BC63" s="32"/>
      <c r="BD63" s="30">
        <f t="shared" si="64"/>
        <v>0</v>
      </c>
      <c r="BE63" s="31"/>
      <c r="BF63" s="32"/>
      <c r="BG63" s="30">
        <f t="shared" si="45"/>
        <v>0</v>
      </c>
      <c r="BH63" s="31"/>
      <c r="BI63" s="32"/>
      <c r="BJ63" s="30">
        <f t="shared" si="46"/>
        <v>0</v>
      </c>
      <c r="BK63" s="31"/>
      <c r="BL63" s="32"/>
      <c r="BM63" s="30">
        <f t="shared" si="74"/>
        <v>0</v>
      </c>
      <c r="BN63" s="31"/>
      <c r="BO63" s="32"/>
      <c r="BP63" s="30">
        <f>IFERROR(BN63*BO63, 0)</f>
        <v>0</v>
      </c>
      <c r="BQ63" s="31"/>
      <c r="BR63" s="32"/>
      <c r="BS63" s="30">
        <f t="shared" si="75"/>
        <v>0</v>
      </c>
      <c r="BT63" s="31"/>
      <c r="BU63" s="32"/>
      <c r="BV63" s="30">
        <f t="shared" si="47"/>
        <v>0</v>
      </c>
      <c r="BW63" s="31"/>
      <c r="BX63" s="32"/>
      <c r="BY63" s="30">
        <f t="shared" si="76"/>
        <v>0</v>
      </c>
      <c r="BZ63" s="31"/>
      <c r="CA63" s="32"/>
      <c r="CB63" s="30">
        <f t="shared" si="48"/>
        <v>0</v>
      </c>
      <c r="CC63" s="31"/>
      <c r="CD63" s="32"/>
      <c r="CE63" s="30">
        <f t="shared" si="49"/>
        <v>0</v>
      </c>
      <c r="CF63" s="31"/>
      <c r="CG63" s="32"/>
      <c r="CH63" s="30">
        <f t="shared" si="50"/>
        <v>0</v>
      </c>
      <c r="CI63" s="31"/>
      <c r="CJ63" s="32"/>
      <c r="CK63" s="30">
        <f t="shared" si="51"/>
        <v>0</v>
      </c>
      <c r="CL63" s="31"/>
      <c r="CM63" s="32"/>
      <c r="CN63" s="30">
        <f t="shared" si="52"/>
        <v>0</v>
      </c>
      <c r="CO63" s="31"/>
      <c r="CP63" s="32"/>
      <c r="CQ63" s="30">
        <f t="shared" si="53"/>
        <v>0</v>
      </c>
      <c r="CR63" s="31"/>
      <c r="CS63" s="32"/>
      <c r="CT63" s="30">
        <f t="shared" si="54"/>
        <v>0</v>
      </c>
      <c r="CU63" s="33">
        <f t="shared" si="55"/>
        <v>0</v>
      </c>
      <c r="CV63" s="30">
        <f t="shared" si="56"/>
        <v>0</v>
      </c>
      <c r="CW63" s="30">
        <f t="shared" si="57"/>
        <v>0</v>
      </c>
    </row>
    <row r="64" spans="1:101" ht="15.75" customHeight="1" x14ac:dyDescent="0.35">
      <c r="A64" s="28" t="s">
        <v>905</v>
      </c>
      <c r="B64" s="28" t="s">
        <v>877</v>
      </c>
      <c r="C64" s="29"/>
      <c r="D64" s="30"/>
      <c r="E64" s="30"/>
      <c r="F64" s="31"/>
      <c r="G64" s="32"/>
      <c r="H64" s="30">
        <f t="shared" si="65"/>
        <v>0</v>
      </c>
      <c r="I64" s="31"/>
      <c r="J64" s="32"/>
      <c r="K64" s="30">
        <f t="shared" si="68"/>
        <v>0</v>
      </c>
      <c r="L64" s="31"/>
      <c r="M64" s="32"/>
      <c r="N64" s="30">
        <f t="shared" si="73"/>
        <v>0</v>
      </c>
      <c r="O64" s="31"/>
      <c r="P64" s="32"/>
      <c r="Q64" s="30">
        <f t="shared" si="60"/>
        <v>0</v>
      </c>
      <c r="R64" s="31"/>
      <c r="S64" s="32"/>
      <c r="T64" s="30">
        <f t="shared" si="40"/>
        <v>0</v>
      </c>
      <c r="U64" s="31"/>
      <c r="V64" s="32"/>
      <c r="W64" s="30">
        <f t="shared" si="58"/>
        <v>0</v>
      </c>
      <c r="X64" s="31"/>
      <c r="Y64" s="32"/>
      <c r="Z64" s="30">
        <f t="shared" si="67"/>
        <v>0</v>
      </c>
      <c r="AA64" s="31"/>
      <c r="AB64" s="32"/>
      <c r="AC64" s="30">
        <f t="shared" si="41"/>
        <v>0</v>
      </c>
      <c r="AD64" s="31"/>
      <c r="AE64" s="32"/>
      <c r="AF64" s="30">
        <f t="shared" si="72"/>
        <v>0</v>
      </c>
      <c r="AG64" s="31"/>
      <c r="AH64" s="32"/>
      <c r="AI64" s="30">
        <f t="shared" si="62"/>
        <v>0</v>
      </c>
      <c r="AJ64" s="31"/>
      <c r="AK64" s="32"/>
      <c r="AL64" s="30">
        <f t="shared" si="42"/>
        <v>0</v>
      </c>
      <c r="AM64" s="31"/>
      <c r="AN64" s="32"/>
      <c r="AO64" s="30">
        <f t="shared" si="43"/>
        <v>0</v>
      </c>
      <c r="AP64" s="31"/>
      <c r="AQ64" s="32"/>
      <c r="AR64" s="30">
        <f>IFERROR(AP64*AQ64, 0)</f>
        <v>0</v>
      </c>
      <c r="AS64" s="31"/>
      <c r="AT64" s="32"/>
      <c r="AU64" s="30">
        <f>IFERROR(AS64*AT64, 0)</f>
        <v>0</v>
      </c>
      <c r="AV64" s="31"/>
      <c r="AW64" s="32"/>
      <c r="AX64" s="30">
        <f t="shared" si="66"/>
        <v>0</v>
      </c>
      <c r="AY64" s="31"/>
      <c r="AZ64" s="32"/>
      <c r="BA64" s="30">
        <f t="shared" si="44"/>
        <v>0</v>
      </c>
      <c r="BB64" s="31"/>
      <c r="BC64" s="32"/>
      <c r="BD64" s="30">
        <f t="shared" si="64"/>
        <v>0</v>
      </c>
      <c r="BE64" s="31"/>
      <c r="BF64" s="32"/>
      <c r="BG64" s="30">
        <f t="shared" si="45"/>
        <v>0</v>
      </c>
      <c r="BH64" s="31"/>
      <c r="BI64" s="32"/>
      <c r="BJ64" s="30">
        <f t="shared" si="46"/>
        <v>0</v>
      </c>
      <c r="BK64" s="31"/>
      <c r="BL64" s="32"/>
      <c r="BM64" s="30">
        <f t="shared" si="74"/>
        <v>0</v>
      </c>
      <c r="BN64" s="31"/>
      <c r="BO64" s="32"/>
      <c r="BP64" s="30">
        <f>IFERROR(BN64*BO64, 0)</f>
        <v>0</v>
      </c>
      <c r="BQ64" s="31"/>
      <c r="BR64" s="32"/>
      <c r="BS64" s="30">
        <f t="shared" si="75"/>
        <v>0</v>
      </c>
      <c r="BT64" s="31"/>
      <c r="BU64" s="32"/>
      <c r="BV64" s="30">
        <f t="shared" si="47"/>
        <v>0</v>
      </c>
      <c r="BW64" s="31"/>
      <c r="BX64" s="32"/>
      <c r="BY64" s="30">
        <f t="shared" si="76"/>
        <v>0</v>
      </c>
      <c r="BZ64" s="31"/>
      <c r="CA64" s="32"/>
      <c r="CB64" s="30">
        <f t="shared" si="48"/>
        <v>0</v>
      </c>
      <c r="CC64" s="31"/>
      <c r="CD64" s="32"/>
      <c r="CE64" s="30">
        <f t="shared" si="49"/>
        <v>0</v>
      </c>
      <c r="CF64" s="31"/>
      <c r="CG64" s="32"/>
      <c r="CH64" s="30">
        <f t="shared" si="50"/>
        <v>0</v>
      </c>
      <c r="CI64" s="31"/>
      <c r="CJ64" s="32"/>
      <c r="CK64" s="30">
        <f t="shared" si="51"/>
        <v>0</v>
      </c>
      <c r="CL64" s="31"/>
      <c r="CM64" s="32"/>
      <c r="CN64" s="30">
        <f t="shared" si="52"/>
        <v>0</v>
      </c>
      <c r="CO64" s="31"/>
      <c r="CP64" s="32"/>
      <c r="CQ64" s="30">
        <f t="shared" si="53"/>
        <v>0</v>
      </c>
      <c r="CR64" s="31"/>
      <c r="CS64" s="32"/>
      <c r="CT64" s="30">
        <f t="shared" si="54"/>
        <v>0</v>
      </c>
      <c r="CU64" s="33">
        <f t="shared" si="55"/>
        <v>0</v>
      </c>
      <c r="CV64" s="30">
        <f t="shared" si="56"/>
        <v>0</v>
      </c>
      <c r="CW64" s="30">
        <f t="shared" si="57"/>
        <v>0</v>
      </c>
    </row>
    <row r="65" spans="1:101" ht="16.5" customHeight="1" x14ac:dyDescent="0.35">
      <c r="A65" s="28" t="s">
        <v>328</v>
      </c>
      <c r="B65" s="28" t="s">
        <v>837</v>
      </c>
      <c r="C65" s="29"/>
      <c r="D65" s="30"/>
      <c r="E65" s="30"/>
      <c r="F65" s="31"/>
      <c r="G65" s="32"/>
      <c r="H65" s="30">
        <f t="shared" si="65"/>
        <v>0</v>
      </c>
      <c r="I65" s="31"/>
      <c r="J65" s="32"/>
      <c r="K65" s="30">
        <f t="shared" si="68"/>
        <v>0</v>
      </c>
      <c r="L65" s="31"/>
      <c r="M65" s="32"/>
      <c r="N65" s="30">
        <f t="shared" si="73"/>
        <v>0</v>
      </c>
      <c r="O65" s="31"/>
      <c r="P65" s="32"/>
      <c r="Q65" s="30">
        <f t="shared" si="60"/>
        <v>0</v>
      </c>
      <c r="R65" s="31"/>
      <c r="S65" s="32"/>
      <c r="T65" s="30">
        <f t="shared" si="40"/>
        <v>0</v>
      </c>
      <c r="U65" s="31"/>
      <c r="V65" s="32"/>
      <c r="W65" s="30">
        <f t="shared" si="58"/>
        <v>0</v>
      </c>
      <c r="X65" s="31">
        <v>1.72</v>
      </c>
      <c r="Y65" s="32">
        <v>6880</v>
      </c>
      <c r="Z65" s="30">
        <v>11834</v>
      </c>
      <c r="AA65" s="31"/>
      <c r="AB65" s="32"/>
      <c r="AC65" s="30">
        <f t="shared" si="41"/>
        <v>0</v>
      </c>
      <c r="AD65" s="31"/>
      <c r="AE65" s="32"/>
      <c r="AF65" s="30">
        <f t="shared" si="72"/>
        <v>0</v>
      </c>
      <c r="AG65" s="31"/>
      <c r="AH65" s="32"/>
      <c r="AI65" s="30">
        <f t="shared" si="62"/>
        <v>0</v>
      </c>
      <c r="AJ65" s="31"/>
      <c r="AK65" s="32"/>
      <c r="AL65" s="30">
        <f t="shared" si="42"/>
        <v>0</v>
      </c>
      <c r="AM65" s="31"/>
      <c r="AN65" s="32"/>
      <c r="AO65" s="30">
        <f t="shared" si="43"/>
        <v>0</v>
      </c>
      <c r="AP65" s="31">
        <v>15.2</v>
      </c>
      <c r="AQ65" s="32">
        <v>3500</v>
      </c>
      <c r="AR65" s="30">
        <v>53200</v>
      </c>
      <c r="AS65" s="31">
        <v>13.7</v>
      </c>
      <c r="AT65" s="32">
        <v>3800</v>
      </c>
      <c r="AU65" s="30">
        <v>52060</v>
      </c>
      <c r="AV65" s="31"/>
      <c r="AW65" s="32"/>
      <c r="AX65" s="30">
        <f t="shared" si="66"/>
        <v>0</v>
      </c>
      <c r="AY65" s="31"/>
      <c r="AZ65" s="32"/>
      <c r="BA65" s="30">
        <f t="shared" si="44"/>
        <v>0</v>
      </c>
      <c r="BB65" s="31"/>
      <c r="BC65" s="32"/>
      <c r="BD65" s="30">
        <f t="shared" si="64"/>
        <v>0</v>
      </c>
      <c r="BE65" s="31"/>
      <c r="BF65" s="32"/>
      <c r="BG65" s="30">
        <f t="shared" si="45"/>
        <v>0</v>
      </c>
      <c r="BH65" s="31"/>
      <c r="BI65" s="32"/>
      <c r="BJ65" s="30">
        <f t="shared" si="46"/>
        <v>0</v>
      </c>
      <c r="BK65" s="31"/>
      <c r="BL65" s="32"/>
      <c r="BM65" s="30">
        <f t="shared" si="74"/>
        <v>0</v>
      </c>
      <c r="BN65" s="31">
        <v>12.8</v>
      </c>
      <c r="BO65" s="32">
        <v>3800</v>
      </c>
      <c r="BP65" s="30">
        <v>47280</v>
      </c>
      <c r="BQ65" s="31"/>
      <c r="BR65" s="32"/>
      <c r="BS65" s="30">
        <f t="shared" si="75"/>
        <v>0</v>
      </c>
      <c r="BT65" s="31"/>
      <c r="BU65" s="32"/>
      <c r="BV65" s="30">
        <f t="shared" si="47"/>
        <v>0</v>
      </c>
      <c r="BW65" s="31"/>
      <c r="BX65" s="32"/>
      <c r="BY65" s="30">
        <f t="shared" si="76"/>
        <v>0</v>
      </c>
      <c r="BZ65" s="31"/>
      <c r="CA65" s="32"/>
      <c r="CB65" s="30">
        <f t="shared" si="48"/>
        <v>0</v>
      </c>
      <c r="CC65" s="31"/>
      <c r="CD65" s="32"/>
      <c r="CE65" s="30">
        <f t="shared" si="49"/>
        <v>0</v>
      </c>
      <c r="CF65" s="31"/>
      <c r="CG65" s="32"/>
      <c r="CH65" s="30">
        <f t="shared" si="50"/>
        <v>0</v>
      </c>
      <c r="CI65" s="31"/>
      <c r="CJ65" s="32"/>
      <c r="CK65" s="30">
        <f t="shared" si="51"/>
        <v>0</v>
      </c>
      <c r="CL65" s="31"/>
      <c r="CM65" s="32"/>
      <c r="CN65" s="30">
        <f t="shared" si="52"/>
        <v>0</v>
      </c>
      <c r="CO65" s="31"/>
      <c r="CP65" s="32"/>
      <c r="CQ65" s="30">
        <f t="shared" si="53"/>
        <v>0</v>
      </c>
      <c r="CR65" s="31"/>
      <c r="CS65" s="32"/>
      <c r="CT65" s="30">
        <f t="shared" si="54"/>
        <v>0</v>
      </c>
      <c r="CU65" s="33">
        <f t="shared" si="55"/>
        <v>43.42</v>
      </c>
      <c r="CV65" s="30">
        <f t="shared" si="56"/>
        <v>4495</v>
      </c>
      <c r="CW65" s="30">
        <f t="shared" si="57"/>
        <v>195172.9</v>
      </c>
    </row>
    <row r="66" spans="1:101" ht="15.75" customHeight="1" x14ac:dyDescent="0.35">
      <c r="A66" s="28" t="s">
        <v>725</v>
      </c>
      <c r="B66" s="28" t="s">
        <v>889</v>
      </c>
      <c r="C66" s="29"/>
      <c r="D66" s="30"/>
      <c r="E66" s="30"/>
      <c r="F66" s="31"/>
      <c r="G66" s="32"/>
      <c r="H66" s="30">
        <f t="shared" si="65"/>
        <v>0</v>
      </c>
      <c r="I66" s="31"/>
      <c r="J66" s="32"/>
      <c r="K66" s="30">
        <f t="shared" si="68"/>
        <v>0</v>
      </c>
      <c r="L66" s="31"/>
      <c r="M66" s="32"/>
      <c r="N66" s="30">
        <f t="shared" si="73"/>
        <v>0</v>
      </c>
      <c r="O66" s="31"/>
      <c r="P66" s="32"/>
      <c r="Q66" s="30">
        <f t="shared" si="60"/>
        <v>0</v>
      </c>
      <c r="R66" s="31"/>
      <c r="S66" s="32"/>
      <c r="T66" s="30">
        <f t="shared" si="40"/>
        <v>0</v>
      </c>
      <c r="U66" s="31"/>
      <c r="V66" s="32"/>
      <c r="W66" s="30">
        <f t="shared" si="58"/>
        <v>0</v>
      </c>
      <c r="X66" s="31"/>
      <c r="Y66" s="32"/>
      <c r="Z66" s="30">
        <f>IFERROR(X66*Y66, 0)</f>
        <v>0</v>
      </c>
      <c r="AA66" s="31"/>
      <c r="AB66" s="32"/>
      <c r="AC66" s="30">
        <f t="shared" si="41"/>
        <v>0</v>
      </c>
      <c r="AD66" s="31"/>
      <c r="AE66" s="32"/>
      <c r="AF66" s="30">
        <f t="shared" si="72"/>
        <v>0</v>
      </c>
      <c r="AG66" s="31"/>
      <c r="AH66" s="32"/>
      <c r="AI66" s="30">
        <f t="shared" si="62"/>
        <v>0</v>
      </c>
      <c r="AJ66" s="31"/>
      <c r="AK66" s="32"/>
      <c r="AL66" s="30">
        <f t="shared" si="42"/>
        <v>0</v>
      </c>
      <c r="AM66" s="31"/>
      <c r="AN66" s="32"/>
      <c r="AO66" s="30">
        <f t="shared" si="43"/>
        <v>0</v>
      </c>
      <c r="AP66" s="31"/>
      <c r="AQ66" s="32"/>
      <c r="AR66" s="30">
        <f>IFERROR(AP66*AQ66, 0)</f>
        <v>0</v>
      </c>
      <c r="AS66" s="31"/>
      <c r="AT66" s="32"/>
      <c r="AU66" s="30">
        <f>IFERROR(AS66*AT66, 0)</f>
        <v>0</v>
      </c>
      <c r="AV66" s="31"/>
      <c r="AW66" s="32"/>
      <c r="AX66" s="30">
        <f t="shared" si="66"/>
        <v>0</v>
      </c>
      <c r="AY66" s="31"/>
      <c r="AZ66" s="32"/>
      <c r="BA66" s="30">
        <f t="shared" si="44"/>
        <v>0</v>
      </c>
      <c r="BB66" s="31"/>
      <c r="BC66" s="32"/>
      <c r="BD66" s="30">
        <f t="shared" si="64"/>
        <v>0</v>
      </c>
      <c r="BE66" s="31"/>
      <c r="BF66" s="32"/>
      <c r="BG66" s="30">
        <f t="shared" si="45"/>
        <v>0</v>
      </c>
      <c r="BH66" s="31"/>
      <c r="BI66" s="32"/>
      <c r="BJ66" s="30">
        <f t="shared" si="46"/>
        <v>0</v>
      </c>
      <c r="BK66" s="31"/>
      <c r="BL66" s="32"/>
      <c r="BM66" s="30">
        <f t="shared" si="74"/>
        <v>0</v>
      </c>
      <c r="BN66" s="31"/>
      <c r="BO66" s="32"/>
      <c r="BP66" s="30">
        <f>IFERROR(BN66*BO66, 0)</f>
        <v>0</v>
      </c>
      <c r="BQ66" s="31"/>
      <c r="BR66" s="32"/>
      <c r="BS66" s="30">
        <f t="shared" si="75"/>
        <v>0</v>
      </c>
      <c r="BT66" s="31"/>
      <c r="BU66" s="32"/>
      <c r="BV66" s="30">
        <f t="shared" si="47"/>
        <v>0</v>
      </c>
      <c r="BW66" s="31"/>
      <c r="BX66" s="32"/>
      <c r="BY66" s="30">
        <f t="shared" si="76"/>
        <v>0</v>
      </c>
      <c r="BZ66" s="31"/>
      <c r="CA66" s="32"/>
      <c r="CB66" s="30">
        <f t="shared" si="48"/>
        <v>0</v>
      </c>
      <c r="CC66" s="31"/>
      <c r="CD66" s="32"/>
      <c r="CE66" s="30">
        <f t="shared" si="49"/>
        <v>0</v>
      </c>
      <c r="CF66" s="31"/>
      <c r="CG66" s="32"/>
      <c r="CH66" s="30">
        <f t="shared" si="50"/>
        <v>0</v>
      </c>
      <c r="CI66" s="31"/>
      <c r="CJ66" s="32"/>
      <c r="CK66" s="30">
        <f t="shared" si="51"/>
        <v>0</v>
      </c>
      <c r="CL66" s="31"/>
      <c r="CM66" s="32"/>
      <c r="CN66" s="30">
        <f t="shared" si="52"/>
        <v>0</v>
      </c>
      <c r="CO66" s="31"/>
      <c r="CP66" s="32"/>
      <c r="CQ66" s="30">
        <f t="shared" si="53"/>
        <v>0</v>
      </c>
      <c r="CR66" s="31"/>
      <c r="CS66" s="32"/>
      <c r="CT66" s="30">
        <f t="shared" si="54"/>
        <v>0</v>
      </c>
      <c r="CU66" s="33">
        <f t="shared" si="55"/>
        <v>0</v>
      </c>
      <c r="CV66" s="30">
        <f t="shared" si="56"/>
        <v>0</v>
      </c>
      <c r="CW66" s="30">
        <f t="shared" si="57"/>
        <v>0</v>
      </c>
    </row>
    <row r="67" spans="1:101" ht="15.75" customHeight="1" x14ac:dyDescent="0.35">
      <c r="A67" s="28" t="s">
        <v>662</v>
      </c>
      <c r="B67" s="28" t="s">
        <v>837</v>
      </c>
      <c r="C67" s="34"/>
      <c r="D67" s="32"/>
      <c r="E67" s="32"/>
      <c r="F67" s="31"/>
      <c r="G67" s="32"/>
      <c r="H67" s="30">
        <f t="shared" si="65"/>
        <v>0</v>
      </c>
      <c r="I67" s="31"/>
      <c r="J67" s="32"/>
      <c r="K67" s="30">
        <f t="shared" si="68"/>
        <v>0</v>
      </c>
      <c r="L67" s="31"/>
      <c r="M67" s="32"/>
      <c r="N67" s="30">
        <f t="shared" si="73"/>
        <v>0</v>
      </c>
      <c r="O67" s="31"/>
      <c r="P67" s="32"/>
      <c r="Q67" s="30">
        <f t="shared" si="60"/>
        <v>0</v>
      </c>
      <c r="R67" s="31"/>
      <c r="S67" s="32"/>
      <c r="T67" s="30">
        <f t="shared" ref="T67:T82" si="77">IFERROR(R67*S67, 0)</f>
        <v>0</v>
      </c>
      <c r="U67" s="31"/>
      <c r="V67" s="32"/>
      <c r="W67" s="30">
        <f t="shared" si="58"/>
        <v>0</v>
      </c>
      <c r="X67" s="31"/>
      <c r="Y67" s="32"/>
      <c r="Z67" s="30">
        <f>IFERROR(X67*Y67, 0)</f>
        <v>0</v>
      </c>
      <c r="AA67" s="31"/>
      <c r="AB67" s="32"/>
      <c r="AC67" s="30">
        <f t="shared" ref="AC67:AC98" si="78">IFERROR(AA67*AB67, 0)</f>
        <v>0</v>
      </c>
      <c r="AD67" s="31"/>
      <c r="AE67" s="32"/>
      <c r="AF67" s="30">
        <f t="shared" si="72"/>
        <v>0</v>
      </c>
      <c r="AG67" s="31"/>
      <c r="AH67" s="32"/>
      <c r="AI67" s="30">
        <f t="shared" si="62"/>
        <v>0</v>
      </c>
      <c r="AJ67" s="31"/>
      <c r="AK67" s="32"/>
      <c r="AL67" s="30">
        <f t="shared" ref="AL67:AL93" si="79">IFERROR(AJ67*AK67, 0)</f>
        <v>0</v>
      </c>
      <c r="AM67" s="31"/>
      <c r="AN67" s="32"/>
      <c r="AO67" s="30">
        <f t="shared" ref="AO67:AO93" si="80">IFERROR(AM67*AN67, 0)</f>
        <v>0</v>
      </c>
      <c r="AP67" s="31"/>
      <c r="AQ67" s="32"/>
      <c r="AR67" s="30">
        <f>IFERROR(AP67*AQ67, 0)</f>
        <v>0</v>
      </c>
      <c r="AS67" s="31"/>
      <c r="AT67" s="32"/>
      <c r="AU67" s="30">
        <f>IFERROR(AS67*AT67, 0)</f>
        <v>0</v>
      </c>
      <c r="AV67" s="31"/>
      <c r="AW67" s="32"/>
      <c r="AX67" s="30">
        <f t="shared" si="66"/>
        <v>0</v>
      </c>
      <c r="AY67" s="31"/>
      <c r="AZ67" s="32"/>
      <c r="BA67" s="30">
        <f t="shared" ref="BA67:BA89" si="81">IFERROR(AY67*AZ67, 0)</f>
        <v>0</v>
      </c>
      <c r="BB67" s="31"/>
      <c r="BC67" s="32"/>
      <c r="BD67" s="30">
        <f t="shared" si="64"/>
        <v>0</v>
      </c>
      <c r="BE67" s="31"/>
      <c r="BF67" s="32"/>
      <c r="BG67" s="30">
        <f t="shared" ref="BG67:BG89" si="82">IFERROR(BE67*BF67, 0)</f>
        <v>0</v>
      </c>
      <c r="BH67" s="31"/>
      <c r="BI67" s="32"/>
      <c r="BJ67" s="30">
        <f t="shared" ref="BJ67:BJ93" si="83">IFERROR(BH67*BI67, 0)</f>
        <v>0</v>
      </c>
      <c r="BK67" s="31"/>
      <c r="BL67" s="32"/>
      <c r="BM67" s="30">
        <f t="shared" si="74"/>
        <v>0</v>
      </c>
      <c r="BN67" s="31"/>
      <c r="BO67" s="32"/>
      <c r="BP67" s="30">
        <f>IFERROR(BN67*BO67, 0)</f>
        <v>0</v>
      </c>
      <c r="BQ67" s="31">
        <v>0.69499999999999995</v>
      </c>
      <c r="BR67" s="32">
        <v>7280</v>
      </c>
      <c r="BS67" s="30">
        <v>5060</v>
      </c>
      <c r="BT67" s="31"/>
      <c r="BU67" s="32"/>
      <c r="BV67" s="30">
        <f t="shared" ref="BV67:BV98" si="84">IFERROR(BT67*BU67, 0)</f>
        <v>0</v>
      </c>
      <c r="BW67" s="31"/>
      <c r="BX67" s="32"/>
      <c r="BY67" s="30">
        <f t="shared" si="76"/>
        <v>0</v>
      </c>
      <c r="BZ67" s="31"/>
      <c r="CA67" s="32"/>
      <c r="CB67" s="30">
        <f t="shared" ref="CB67:CB98" si="85">IFERROR(BZ67*CA67, 0)</f>
        <v>0</v>
      </c>
      <c r="CC67" s="31"/>
      <c r="CD67" s="32"/>
      <c r="CE67" s="30">
        <f t="shared" ref="CE67:CE98" si="86">IFERROR(CC67*CD67, 0)</f>
        <v>0</v>
      </c>
      <c r="CF67" s="31"/>
      <c r="CG67" s="32"/>
      <c r="CH67" s="30">
        <f t="shared" ref="CH67:CH98" si="87">IFERROR(CF67*CG67, 0)</f>
        <v>0</v>
      </c>
      <c r="CI67" s="31"/>
      <c r="CJ67" s="32"/>
      <c r="CK67" s="30">
        <f t="shared" ref="CK67:CK98" si="88">IFERROR(CI67*CJ67, 0)</f>
        <v>0</v>
      </c>
      <c r="CL67" s="31"/>
      <c r="CM67" s="32"/>
      <c r="CN67" s="30">
        <f t="shared" ref="CN67:CN98" si="89">IFERROR(CL67*CM67, 0)</f>
        <v>0</v>
      </c>
      <c r="CO67" s="31"/>
      <c r="CP67" s="32"/>
      <c r="CQ67" s="30">
        <f t="shared" ref="CQ67:CQ98" si="90">IFERROR(CO67*CP67, 0)</f>
        <v>0</v>
      </c>
      <c r="CR67" s="31"/>
      <c r="CS67" s="32"/>
      <c r="CT67" s="30">
        <f t="shared" ref="CT67:CT98" si="91">IFERROR(CR67*CS67, 0)</f>
        <v>0</v>
      </c>
      <c r="CU67" s="33">
        <f t="shared" ref="CU67:CU98" si="92">IFERROR(SUM(F67,I67,L67,O67,R67,U67,X67,AA67,AD67,AG67,AJ67,AM67,AP67,AS67,AV67,AY67,BB67,BE67,BH67,BK67,BN67,BQ67,BT67,BW67,BZ67,CC67,CF67,CI67,CL67,CO67,CR67), 0)</f>
        <v>0.69499999999999995</v>
      </c>
      <c r="CV67" s="30">
        <f t="shared" ref="CV67:CV98" si="93">IFERROR(AVERAGE(G67,J67,M67,P67,S67,V67,Y67,AB67,AE67,AH67,AK67,AN67,AQ67,AT67,AW67,AZ67,BC67,BF67,BI67,BL67,BO67,BR67,BU67,BX67,CA67,CD67,CG67,CJ67,CM67,CP67,CS67), 0)</f>
        <v>7280</v>
      </c>
      <c r="CW67" s="30">
        <f t="shared" ref="CW67:CW98" si="94">CU67*CV67</f>
        <v>5059.5999999999995</v>
      </c>
    </row>
    <row r="68" spans="1:101" ht="15.75" customHeight="1" x14ac:dyDescent="0.35">
      <c r="A68" s="28" t="s">
        <v>323</v>
      </c>
      <c r="B68" s="28" t="s">
        <v>837</v>
      </c>
      <c r="C68" s="34"/>
      <c r="D68" s="32"/>
      <c r="E68" s="32"/>
      <c r="F68" s="31"/>
      <c r="G68" s="32"/>
      <c r="H68" s="30">
        <f t="shared" si="65"/>
        <v>0</v>
      </c>
      <c r="I68" s="31"/>
      <c r="J68" s="32"/>
      <c r="K68" s="30">
        <f t="shared" si="68"/>
        <v>0</v>
      </c>
      <c r="L68" s="31"/>
      <c r="M68" s="32"/>
      <c r="N68" s="30">
        <f t="shared" si="73"/>
        <v>0</v>
      </c>
      <c r="O68" s="31"/>
      <c r="P68" s="32"/>
      <c r="Q68" s="30">
        <f t="shared" si="60"/>
        <v>0</v>
      </c>
      <c r="R68" s="31"/>
      <c r="S68" s="32"/>
      <c r="T68" s="30">
        <f t="shared" si="77"/>
        <v>0</v>
      </c>
      <c r="U68" s="31"/>
      <c r="V68" s="32"/>
      <c r="W68" s="30">
        <f t="shared" si="58"/>
        <v>0</v>
      </c>
      <c r="X68" s="31">
        <v>2.2200000000000002</v>
      </c>
      <c r="Y68" s="32">
        <v>4500</v>
      </c>
      <c r="Z68" s="30">
        <v>9989</v>
      </c>
      <c r="AA68" s="31"/>
      <c r="AB68" s="32"/>
      <c r="AC68" s="30">
        <f t="shared" si="78"/>
        <v>0</v>
      </c>
      <c r="AD68" s="31"/>
      <c r="AE68" s="32"/>
      <c r="AF68" s="30">
        <f t="shared" si="72"/>
        <v>0</v>
      </c>
      <c r="AG68" s="31"/>
      <c r="AH68" s="32"/>
      <c r="AI68" s="30">
        <f t="shared" si="62"/>
        <v>0</v>
      </c>
      <c r="AJ68" s="31"/>
      <c r="AK68" s="32"/>
      <c r="AL68" s="30">
        <f t="shared" si="79"/>
        <v>0</v>
      </c>
      <c r="AM68" s="31"/>
      <c r="AN68" s="32"/>
      <c r="AO68" s="30">
        <f t="shared" si="80"/>
        <v>0</v>
      </c>
      <c r="AP68" s="31"/>
      <c r="AQ68" s="32"/>
      <c r="AR68" s="30">
        <f>IFERROR(AP68*AQ68, 0)</f>
        <v>0</v>
      </c>
      <c r="AS68" s="31"/>
      <c r="AT68" s="32"/>
      <c r="AU68" s="30">
        <f>IFERROR(AS68*AT68, 0)</f>
        <v>0</v>
      </c>
      <c r="AV68" s="31"/>
      <c r="AW68" s="32"/>
      <c r="AX68" s="30">
        <f t="shared" si="66"/>
        <v>0</v>
      </c>
      <c r="AY68" s="31"/>
      <c r="AZ68" s="32"/>
      <c r="BA68" s="30">
        <f t="shared" si="81"/>
        <v>0</v>
      </c>
      <c r="BB68" s="31"/>
      <c r="BC68" s="32"/>
      <c r="BD68" s="30">
        <f t="shared" si="64"/>
        <v>0</v>
      </c>
      <c r="BE68" s="31"/>
      <c r="BF68" s="32"/>
      <c r="BG68" s="30">
        <f t="shared" si="82"/>
        <v>0</v>
      </c>
      <c r="BH68" s="31"/>
      <c r="BI68" s="32"/>
      <c r="BJ68" s="30">
        <f t="shared" si="83"/>
        <v>0</v>
      </c>
      <c r="BK68" s="31"/>
      <c r="BL68" s="32"/>
      <c r="BM68" s="30">
        <f t="shared" si="74"/>
        <v>0</v>
      </c>
      <c r="BN68" s="31"/>
      <c r="BO68" s="32"/>
      <c r="BP68" s="30">
        <f>IFERROR(BN68*BO68, 0)</f>
        <v>0</v>
      </c>
      <c r="BQ68" s="31"/>
      <c r="BR68" s="32"/>
      <c r="BS68" s="30">
        <f t="shared" ref="BS68:BS82" si="95">IFERROR(BQ68*BR68, 0)</f>
        <v>0</v>
      </c>
      <c r="BT68" s="31"/>
      <c r="BU68" s="32"/>
      <c r="BV68" s="30">
        <f t="shared" si="84"/>
        <v>0</v>
      </c>
      <c r="BW68" s="31"/>
      <c r="BX68" s="32"/>
      <c r="BY68" s="30">
        <f t="shared" si="76"/>
        <v>0</v>
      </c>
      <c r="BZ68" s="31"/>
      <c r="CA68" s="32"/>
      <c r="CB68" s="30">
        <f t="shared" si="85"/>
        <v>0</v>
      </c>
      <c r="CC68" s="31"/>
      <c r="CD68" s="32"/>
      <c r="CE68" s="30">
        <f t="shared" si="86"/>
        <v>0</v>
      </c>
      <c r="CF68" s="31"/>
      <c r="CG68" s="32"/>
      <c r="CH68" s="30">
        <f t="shared" si="87"/>
        <v>0</v>
      </c>
      <c r="CI68" s="31"/>
      <c r="CJ68" s="32"/>
      <c r="CK68" s="30">
        <f t="shared" si="88"/>
        <v>0</v>
      </c>
      <c r="CL68" s="31"/>
      <c r="CM68" s="32"/>
      <c r="CN68" s="30">
        <f t="shared" si="89"/>
        <v>0</v>
      </c>
      <c r="CO68" s="31"/>
      <c r="CP68" s="32"/>
      <c r="CQ68" s="30">
        <f t="shared" si="90"/>
        <v>0</v>
      </c>
      <c r="CR68" s="31"/>
      <c r="CS68" s="32"/>
      <c r="CT68" s="30">
        <f t="shared" si="91"/>
        <v>0</v>
      </c>
      <c r="CU68" s="33">
        <f t="shared" si="92"/>
        <v>2.2200000000000002</v>
      </c>
      <c r="CV68" s="30">
        <f t="shared" si="93"/>
        <v>4500</v>
      </c>
      <c r="CW68" s="30">
        <f t="shared" si="94"/>
        <v>9990</v>
      </c>
    </row>
    <row r="69" spans="1:101" ht="15.75" customHeight="1" x14ac:dyDescent="0.35">
      <c r="A69" s="28" t="s">
        <v>651</v>
      </c>
      <c r="B69" s="28" t="s">
        <v>837</v>
      </c>
      <c r="C69" s="34"/>
      <c r="D69" s="32"/>
      <c r="E69" s="32"/>
      <c r="F69" s="31"/>
      <c r="G69" s="32"/>
      <c r="H69" s="30">
        <f t="shared" si="65"/>
        <v>0</v>
      </c>
      <c r="I69" s="31"/>
      <c r="J69" s="32"/>
      <c r="K69" s="30">
        <f t="shared" si="68"/>
        <v>0</v>
      </c>
      <c r="L69" s="31"/>
      <c r="M69" s="32"/>
      <c r="N69" s="30">
        <f t="shared" si="73"/>
        <v>0</v>
      </c>
      <c r="O69" s="31"/>
      <c r="P69" s="32"/>
      <c r="Q69" s="30">
        <f t="shared" si="60"/>
        <v>0</v>
      </c>
      <c r="R69" s="31"/>
      <c r="S69" s="32"/>
      <c r="T69" s="30">
        <f t="shared" si="77"/>
        <v>0</v>
      </c>
      <c r="U69" s="31"/>
      <c r="V69" s="32"/>
      <c r="W69" s="30">
        <f t="shared" ref="W69:W98" si="96">IFERROR(U69*V69, 0)</f>
        <v>0</v>
      </c>
      <c r="X69" s="31"/>
      <c r="Y69" s="32"/>
      <c r="Z69" s="30">
        <f>IFERROR(X69*Y69, 0)</f>
        <v>0</v>
      </c>
      <c r="AA69" s="31"/>
      <c r="AB69" s="32"/>
      <c r="AC69" s="30">
        <f t="shared" si="78"/>
        <v>0</v>
      </c>
      <c r="AD69" s="31"/>
      <c r="AE69" s="32"/>
      <c r="AF69" s="30">
        <f t="shared" si="72"/>
        <v>0</v>
      </c>
      <c r="AG69" s="31"/>
      <c r="AH69" s="32"/>
      <c r="AI69" s="30">
        <f t="shared" si="62"/>
        <v>0</v>
      </c>
      <c r="AJ69" s="31"/>
      <c r="AK69" s="32"/>
      <c r="AL69" s="30">
        <f t="shared" si="79"/>
        <v>0</v>
      </c>
      <c r="AM69" s="31"/>
      <c r="AN69" s="32"/>
      <c r="AO69" s="30">
        <f t="shared" si="80"/>
        <v>0</v>
      </c>
      <c r="AP69" s="31"/>
      <c r="AQ69" s="32"/>
      <c r="AR69" s="30">
        <f>IFERROR(AP69*AQ69, 0)</f>
        <v>0</v>
      </c>
      <c r="AS69" s="31"/>
      <c r="AT69" s="32"/>
      <c r="AU69" s="30">
        <f>IFERROR(AS69*AT69, 0)</f>
        <v>0</v>
      </c>
      <c r="AV69" s="31"/>
      <c r="AW69" s="32"/>
      <c r="AX69" s="30">
        <f t="shared" si="66"/>
        <v>0</v>
      </c>
      <c r="AY69" s="31"/>
      <c r="AZ69" s="32"/>
      <c r="BA69" s="30">
        <f t="shared" si="81"/>
        <v>0</v>
      </c>
      <c r="BB69" s="31"/>
      <c r="BC69" s="32"/>
      <c r="BD69" s="30">
        <f t="shared" si="64"/>
        <v>0</v>
      </c>
      <c r="BE69" s="31"/>
      <c r="BF69" s="32"/>
      <c r="BG69" s="30">
        <f t="shared" si="82"/>
        <v>0</v>
      </c>
      <c r="BH69" s="31"/>
      <c r="BI69" s="32"/>
      <c r="BJ69" s="30">
        <f t="shared" si="83"/>
        <v>0</v>
      </c>
      <c r="BK69" s="31"/>
      <c r="BL69" s="32"/>
      <c r="BM69" s="30">
        <f t="shared" si="74"/>
        <v>0</v>
      </c>
      <c r="BN69" s="31">
        <v>3.1</v>
      </c>
      <c r="BO69" s="32">
        <v>6500</v>
      </c>
      <c r="BP69" s="30">
        <v>20150</v>
      </c>
      <c r="BQ69" s="31"/>
      <c r="BR69" s="32"/>
      <c r="BS69" s="30">
        <f t="shared" si="95"/>
        <v>0</v>
      </c>
      <c r="BT69" s="31"/>
      <c r="BU69" s="32"/>
      <c r="BV69" s="30">
        <f t="shared" si="84"/>
        <v>0</v>
      </c>
      <c r="BW69" s="31"/>
      <c r="BX69" s="32"/>
      <c r="BY69" s="30">
        <f t="shared" si="76"/>
        <v>0</v>
      </c>
      <c r="BZ69" s="31"/>
      <c r="CA69" s="32"/>
      <c r="CB69" s="30">
        <f t="shared" si="85"/>
        <v>0</v>
      </c>
      <c r="CC69" s="31"/>
      <c r="CD69" s="32"/>
      <c r="CE69" s="30">
        <f t="shared" si="86"/>
        <v>0</v>
      </c>
      <c r="CF69" s="31"/>
      <c r="CG69" s="32"/>
      <c r="CH69" s="30">
        <f t="shared" si="87"/>
        <v>0</v>
      </c>
      <c r="CI69" s="31"/>
      <c r="CJ69" s="32"/>
      <c r="CK69" s="30">
        <f t="shared" si="88"/>
        <v>0</v>
      </c>
      <c r="CL69" s="31"/>
      <c r="CM69" s="32"/>
      <c r="CN69" s="30">
        <f t="shared" si="89"/>
        <v>0</v>
      </c>
      <c r="CO69" s="31"/>
      <c r="CP69" s="32"/>
      <c r="CQ69" s="30">
        <f t="shared" si="90"/>
        <v>0</v>
      </c>
      <c r="CR69" s="31"/>
      <c r="CS69" s="32"/>
      <c r="CT69" s="30">
        <f t="shared" si="91"/>
        <v>0</v>
      </c>
      <c r="CU69" s="33">
        <f t="shared" si="92"/>
        <v>3.1</v>
      </c>
      <c r="CV69" s="30">
        <f t="shared" si="93"/>
        <v>6500</v>
      </c>
      <c r="CW69" s="30">
        <f t="shared" si="94"/>
        <v>20150</v>
      </c>
    </row>
    <row r="70" spans="1:101" ht="15.75" customHeight="1" x14ac:dyDescent="0.35">
      <c r="A70" s="28" t="s">
        <v>906</v>
      </c>
      <c r="B70" s="28" t="s">
        <v>837</v>
      </c>
      <c r="C70" s="34"/>
      <c r="D70" s="32"/>
      <c r="E70" s="32"/>
      <c r="F70" s="31"/>
      <c r="G70" s="32"/>
      <c r="H70" s="30">
        <f t="shared" si="65"/>
        <v>0</v>
      </c>
      <c r="I70" s="31"/>
      <c r="J70" s="32"/>
      <c r="K70" s="30">
        <f t="shared" si="68"/>
        <v>0</v>
      </c>
      <c r="L70" s="31"/>
      <c r="M70" s="32"/>
      <c r="N70" s="30">
        <f t="shared" si="73"/>
        <v>0</v>
      </c>
      <c r="O70" s="31"/>
      <c r="P70" s="32"/>
      <c r="Q70" s="30">
        <f t="shared" ref="Q70:Q89" si="97">IFERROR(O70*P70, 0)</f>
        <v>0</v>
      </c>
      <c r="R70" s="31"/>
      <c r="S70" s="32"/>
      <c r="T70" s="30">
        <f t="shared" si="77"/>
        <v>0</v>
      </c>
      <c r="U70" s="31"/>
      <c r="V70" s="32"/>
      <c r="W70" s="30">
        <f t="shared" si="96"/>
        <v>0</v>
      </c>
      <c r="X70" s="31"/>
      <c r="Y70" s="32"/>
      <c r="Z70" s="30">
        <f>IFERROR(X70*Y70, 0)</f>
        <v>0</v>
      </c>
      <c r="AA70" s="31"/>
      <c r="AB70" s="32"/>
      <c r="AC70" s="30">
        <f t="shared" si="78"/>
        <v>0</v>
      </c>
      <c r="AD70" s="31"/>
      <c r="AE70" s="32"/>
      <c r="AF70" s="30">
        <f t="shared" si="72"/>
        <v>0</v>
      </c>
      <c r="AG70" s="31"/>
      <c r="AH70" s="32"/>
      <c r="AI70" s="30">
        <f t="shared" ref="AI70:AI93" si="98">IFERROR(AG70*AH70, 0)</f>
        <v>0</v>
      </c>
      <c r="AJ70" s="31"/>
      <c r="AK70" s="32"/>
      <c r="AL70" s="30">
        <f t="shared" si="79"/>
        <v>0</v>
      </c>
      <c r="AM70" s="31"/>
      <c r="AN70" s="32"/>
      <c r="AO70" s="30">
        <f t="shared" si="80"/>
        <v>0</v>
      </c>
      <c r="AP70" s="31"/>
      <c r="AQ70" s="32"/>
      <c r="AR70" s="30">
        <f>IFERROR(AP70*AQ70, 0)</f>
        <v>0</v>
      </c>
      <c r="AS70" s="31"/>
      <c r="AT70" s="32"/>
      <c r="AU70" s="30">
        <f>IFERROR(AS70*AT70, 0)</f>
        <v>0</v>
      </c>
      <c r="AV70" s="31"/>
      <c r="AW70" s="32"/>
      <c r="AX70" s="30">
        <f t="shared" si="66"/>
        <v>0</v>
      </c>
      <c r="AY70" s="31"/>
      <c r="AZ70" s="32"/>
      <c r="BA70" s="30">
        <f t="shared" si="81"/>
        <v>0</v>
      </c>
      <c r="BB70" s="31"/>
      <c r="BC70" s="32"/>
      <c r="BD70" s="30">
        <f t="shared" ref="BD70:BD98" si="99">IFERROR(BB70*BC70, 0)</f>
        <v>0</v>
      </c>
      <c r="BE70" s="31"/>
      <c r="BF70" s="32"/>
      <c r="BG70" s="30">
        <f t="shared" si="82"/>
        <v>0</v>
      </c>
      <c r="BH70" s="31"/>
      <c r="BI70" s="32"/>
      <c r="BJ70" s="30">
        <f t="shared" si="83"/>
        <v>0</v>
      </c>
      <c r="BK70" s="31"/>
      <c r="BL70" s="32"/>
      <c r="BM70" s="30">
        <f t="shared" si="74"/>
        <v>0</v>
      </c>
      <c r="BN70" s="31"/>
      <c r="BO70" s="32"/>
      <c r="BP70" s="30">
        <f t="shared" ref="BP70:BP75" si="100">IFERROR(BN70*BO70, 0)</f>
        <v>0</v>
      </c>
      <c r="BQ70" s="31"/>
      <c r="BR70" s="32"/>
      <c r="BS70" s="30">
        <f t="shared" si="95"/>
        <v>0</v>
      </c>
      <c r="BT70" s="31"/>
      <c r="BU70" s="32"/>
      <c r="BV70" s="30">
        <f t="shared" si="84"/>
        <v>0</v>
      </c>
      <c r="BW70" s="31"/>
      <c r="BX70" s="32"/>
      <c r="BY70" s="30">
        <f t="shared" si="76"/>
        <v>0</v>
      </c>
      <c r="BZ70" s="31"/>
      <c r="CA70" s="32"/>
      <c r="CB70" s="30">
        <f t="shared" si="85"/>
        <v>0</v>
      </c>
      <c r="CC70" s="31"/>
      <c r="CD70" s="32"/>
      <c r="CE70" s="30">
        <f t="shared" si="86"/>
        <v>0</v>
      </c>
      <c r="CF70" s="31"/>
      <c r="CG70" s="32"/>
      <c r="CH70" s="30">
        <f t="shared" si="87"/>
        <v>0</v>
      </c>
      <c r="CI70" s="31"/>
      <c r="CJ70" s="32"/>
      <c r="CK70" s="30">
        <f t="shared" si="88"/>
        <v>0</v>
      </c>
      <c r="CL70" s="31"/>
      <c r="CM70" s="32"/>
      <c r="CN70" s="30">
        <f t="shared" si="89"/>
        <v>0</v>
      </c>
      <c r="CO70" s="31"/>
      <c r="CP70" s="32"/>
      <c r="CQ70" s="30">
        <f t="shared" si="90"/>
        <v>0</v>
      </c>
      <c r="CR70" s="31"/>
      <c r="CS70" s="32"/>
      <c r="CT70" s="30">
        <f t="shared" si="91"/>
        <v>0</v>
      </c>
      <c r="CU70" s="33">
        <f t="shared" si="92"/>
        <v>0</v>
      </c>
      <c r="CV70" s="30">
        <f t="shared" si="93"/>
        <v>0</v>
      </c>
      <c r="CW70" s="30">
        <f t="shared" si="94"/>
        <v>0</v>
      </c>
    </row>
    <row r="71" spans="1:101" ht="15.75" customHeight="1" x14ac:dyDescent="0.35">
      <c r="A71" s="28" t="s">
        <v>472</v>
      </c>
      <c r="B71" s="28" t="s">
        <v>837</v>
      </c>
      <c r="C71" s="34"/>
      <c r="D71" s="32"/>
      <c r="E71" s="32"/>
      <c r="F71" s="31"/>
      <c r="G71" s="32"/>
      <c r="H71" s="30">
        <f t="shared" si="65"/>
        <v>0</v>
      </c>
      <c r="I71" s="31"/>
      <c r="J71" s="32"/>
      <c r="K71" s="30">
        <f t="shared" si="68"/>
        <v>0</v>
      </c>
      <c r="L71" s="31"/>
      <c r="M71" s="32"/>
      <c r="N71" s="30">
        <f t="shared" si="73"/>
        <v>0</v>
      </c>
      <c r="O71" s="31"/>
      <c r="P71" s="32"/>
      <c r="Q71" s="30">
        <f t="shared" si="97"/>
        <v>0</v>
      </c>
      <c r="R71" s="31"/>
      <c r="S71" s="32"/>
      <c r="T71" s="30">
        <f t="shared" si="77"/>
        <v>0</v>
      </c>
      <c r="U71" s="31"/>
      <c r="V71" s="32"/>
      <c r="W71" s="30">
        <f t="shared" si="96"/>
        <v>0</v>
      </c>
      <c r="X71" s="31"/>
      <c r="Y71" s="32"/>
      <c r="Z71" s="30">
        <f>IFERROR(X71*Y71, 0)</f>
        <v>0</v>
      </c>
      <c r="AA71" s="31"/>
      <c r="AB71" s="32"/>
      <c r="AC71" s="30">
        <f t="shared" si="78"/>
        <v>0</v>
      </c>
      <c r="AD71" s="31"/>
      <c r="AE71" s="32"/>
      <c r="AF71" s="30">
        <f t="shared" si="72"/>
        <v>0</v>
      </c>
      <c r="AG71" s="31"/>
      <c r="AH71" s="32"/>
      <c r="AI71" s="30">
        <f t="shared" si="98"/>
        <v>0</v>
      </c>
      <c r="AJ71" s="31"/>
      <c r="AK71" s="32"/>
      <c r="AL71" s="30">
        <f t="shared" si="79"/>
        <v>0</v>
      </c>
      <c r="AM71" s="31"/>
      <c r="AN71" s="32"/>
      <c r="AO71" s="30">
        <f t="shared" si="80"/>
        <v>0</v>
      </c>
      <c r="AP71" s="31">
        <v>1.4</v>
      </c>
      <c r="AQ71" s="32">
        <v>2500</v>
      </c>
      <c r="AR71" s="30">
        <v>3500</v>
      </c>
      <c r="AS71" s="31">
        <v>4.2</v>
      </c>
      <c r="AT71" s="32">
        <v>2500</v>
      </c>
      <c r="AU71" s="30">
        <v>10500</v>
      </c>
      <c r="AV71" s="31"/>
      <c r="AW71" s="32"/>
      <c r="AX71" s="30">
        <f t="shared" si="66"/>
        <v>0</v>
      </c>
      <c r="AY71" s="31"/>
      <c r="AZ71" s="32"/>
      <c r="BA71" s="30">
        <f t="shared" si="81"/>
        <v>0</v>
      </c>
      <c r="BB71" s="31"/>
      <c r="BC71" s="32"/>
      <c r="BD71" s="30">
        <f t="shared" si="99"/>
        <v>0</v>
      </c>
      <c r="BE71" s="31"/>
      <c r="BF71" s="32"/>
      <c r="BG71" s="30">
        <f t="shared" si="82"/>
        <v>0</v>
      </c>
      <c r="BH71" s="31"/>
      <c r="BI71" s="32"/>
      <c r="BJ71" s="30">
        <f t="shared" si="83"/>
        <v>0</v>
      </c>
      <c r="BK71" s="31"/>
      <c r="BL71" s="32"/>
      <c r="BM71" s="30">
        <f t="shared" si="74"/>
        <v>0</v>
      </c>
      <c r="BN71" s="31"/>
      <c r="BO71" s="32"/>
      <c r="BP71" s="30">
        <f t="shared" si="100"/>
        <v>0</v>
      </c>
      <c r="BQ71" s="31"/>
      <c r="BR71" s="32"/>
      <c r="BS71" s="30">
        <f t="shared" si="95"/>
        <v>0</v>
      </c>
      <c r="BT71" s="31"/>
      <c r="BU71" s="32"/>
      <c r="BV71" s="30">
        <f t="shared" si="84"/>
        <v>0</v>
      </c>
      <c r="BW71" s="31"/>
      <c r="BX71" s="32"/>
      <c r="BY71" s="30">
        <f t="shared" si="76"/>
        <v>0</v>
      </c>
      <c r="BZ71" s="31"/>
      <c r="CA71" s="32"/>
      <c r="CB71" s="30">
        <f t="shared" si="85"/>
        <v>0</v>
      </c>
      <c r="CC71" s="31"/>
      <c r="CD71" s="32"/>
      <c r="CE71" s="30">
        <f t="shared" si="86"/>
        <v>0</v>
      </c>
      <c r="CF71" s="31"/>
      <c r="CG71" s="32"/>
      <c r="CH71" s="30">
        <f t="shared" si="87"/>
        <v>0</v>
      </c>
      <c r="CI71" s="31"/>
      <c r="CJ71" s="32"/>
      <c r="CK71" s="30">
        <f t="shared" si="88"/>
        <v>0</v>
      </c>
      <c r="CL71" s="31"/>
      <c r="CM71" s="32"/>
      <c r="CN71" s="30">
        <f t="shared" si="89"/>
        <v>0</v>
      </c>
      <c r="CO71" s="31"/>
      <c r="CP71" s="32"/>
      <c r="CQ71" s="30">
        <f t="shared" si="90"/>
        <v>0</v>
      </c>
      <c r="CR71" s="31"/>
      <c r="CS71" s="32"/>
      <c r="CT71" s="30">
        <f t="shared" si="91"/>
        <v>0</v>
      </c>
      <c r="CU71" s="33">
        <f t="shared" si="92"/>
        <v>5.6</v>
      </c>
      <c r="CV71" s="30">
        <f t="shared" si="93"/>
        <v>2500</v>
      </c>
      <c r="CW71" s="30">
        <f t="shared" si="94"/>
        <v>14000</v>
      </c>
    </row>
    <row r="72" spans="1:101" ht="15.75" customHeight="1" x14ac:dyDescent="0.35">
      <c r="A72" s="28" t="s">
        <v>907</v>
      </c>
      <c r="B72" s="28" t="s">
        <v>837</v>
      </c>
      <c r="C72" s="34"/>
      <c r="D72" s="32"/>
      <c r="E72" s="32"/>
      <c r="F72" s="31"/>
      <c r="G72" s="32"/>
      <c r="H72" s="30">
        <f t="shared" si="65"/>
        <v>0</v>
      </c>
      <c r="I72" s="31"/>
      <c r="J72" s="32"/>
      <c r="K72" s="30">
        <f t="shared" si="68"/>
        <v>0</v>
      </c>
      <c r="L72" s="31"/>
      <c r="M72" s="32"/>
      <c r="N72" s="30">
        <f t="shared" si="73"/>
        <v>0</v>
      </c>
      <c r="O72" s="31"/>
      <c r="P72" s="32"/>
      <c r="Q72" s="30">
        <f t="shared" si="97"/>
        <v>0</v>
      </c>
      <c r="R72" s="31"/>
      <c r="S72" s="32"/>
      <c r="T72" s="30">
        <f t="shared" si="77"/>
        <v>0</v>
      </c>
      <c r="U72" s="31"/>
      <c r="V72" s="32"/>
      <c r="W72" s="30">
        <f t="shared" si="96"/>
        <v>0</v>
      </c>
      <c r="X72" s="31"/>
      <c r="Y72" s="32"/>
      <c r="Z72" s="30">
        <f>IFERROR(X72*Y72, 0)</f>
        <v>0</v>
      </c>
      <c r="AA72" s="31"/>
      <c r="AB72" s="32"/>
      <c r="AC72" s="30">
        <f t="shared" si="78"/>
        <v>0</v>
      </c>
      <c r="AD72" s="31"/>
      <c r="AE72" s="32"/>
      <c r="AF72" s="30">
        <f t="shared" si="72"/>
        <v>0</v>
      </c>
      <c r="AG72" s="31"/>
      <c r="AH72" s="32"/>
      <c r="AI72" s="30">
        <f t="shared" si="98"/>
        <v>0</v>
      </c>
      <c r="AJ72" s="31"/>
      <c r="AK72" s="32"/>
      <c r="AL72" s="30">
        <f t="shared" si="79"/>
        <v>0</v>
      </c>
      <c r="AM72" s="31"/>
      <c r="AN72" s="32"/>
      <c r="AO72" s="30">
        <f t="shared" si="80"/>
        <v>0</v>
      </c>
      <c r="AP72" s="31"/>
      <c r="AQ72" s="32"/>
      <c r="AR72" s="30">
        <f>IFERROR(AP72*AQ72, 0)</f>
        <v>0</v>
      </c>
      <c r="AS72" s="31"/>
      <c r="AT72" s="32"/>
      <c r="AU72" s="30">
        <f>IFERROR(AS72*AT72, 0)</f>
        <v>0</v>
      </c>
      <c r="AV72" s="31"/>
      <c r="AW72" s="32"/>
      <c r="AX72" s="30">
        <f t="shared" si="66"/>
        <v>0</v>
      </c>
      <c r="AY72" s="31"/>
      <c r="AZ72" s="32"/>
      <c r="BA72" s="30">
        <f t="shared" si="81"/>
        <v>0</v>
      </c>
      <c r="BB72" s="31"/>
      <c r="BC72" s="32"/>
      <c r="BD72" s="30">
        <f t="shared" si="99"/>
        <v>0</v>
      </c>
      <c r="BE72" s="31"/>
      <c r="BF72" s="32"/>
      <c r="BG72" s="30">
        <f t="shared" si="82"/>
        <v>0</v>
      </c>
      <c r="BH72" s="31"/>
      <c r="BI72" s="32"/>
      <c r="BJ72" s="30">
        <f t="shared" si="83"/>
        <v>0</v>
      </c>
      <c r="BK72" s="31"/>
      <c r="BL72" s="32"/>
      <c r="BM72" s="30">
        <f t="shared" si="74"/>
        <v>0</v>
      </c>
      <c r="BN72" s="31"/>
      <c r="BO72" s="32"/>
      <c r="BP72" s="30">
        <f t="shared" si="100"/>
        <v>0</v>
      </c>
      <c r="BQ72" s="31"/>
      <c r="BR72" s="32"/>
      <c r="BS72" s="30">
        <f t="shared" si="95"/>
        <v>0</v>
      </c>
      <c r="BT72" s="31"/>
      <c r="BU72" s="32"/>
      <c r="BV72" s="30">
        <f t="shared" si="84"/>
        <v>0</v>
      </c>
      <c r="BW72" s="31"/>
      <c r="BX72" s="32"/>
      <c r="BY72" s="30">
        <f t="shared" si="76"/>
        <v>0</v>
      </c>
      <c r="BZ72" s="31"/>
      <c r="CA72" s="32"/>
      <c r="CB72" s="30">
        <f t="shared" si="85"/>
        <v>0</v>
      </c>
      <c r="CC72" s="31"/>
      <c r="CD72" s="32"/>
      <c r="CE72" s="30">
        <f t="shared" si="86"/>
        <v>0</v>
      </c>
      <c r="CF72" s="31"/>
      <c r="CG72" s="32"/>
      <c r="CH72" s="30">
        <f t="shared" si="87"/>
        <v>0</v>
      </c>
      <c r="CI72" s="31"/>
      <c r="CJ72" s="32"/>
      <c r="CK72" s="30">
        <f t="shared" si="88"/>
        <v>0</v>
      </c>
      <c r="CL72" s="31"/>
      <c r="CM72" s="32"/>
      <c r="CN72" s="30">
        <f t="shared" si="89"/>
        <v>0</v>
      </c>
      <c r="CO72" s="31"/>
      <c r="CP72" s="32"/>
      <c r="CQ72" s="30">
        <f t="shared" si="90"/>
        <v>0</v>
      </c>
      <c r="CR72" s="31"/>
      <c r="CS72" s="32"/>
      <c r="CT72" s="30">
        <f t="shared" si="91"/>
        <v>0</v>
      </c>
      <c r="CU72" s="33">
        <f t="shared" si="92"/>
        <v>0</v>
      </c>
      <c r="CV72" s="30">
        <f t="shared" si="93"/>
        <v>0</v>
      </c>
      <c r="CW72" s="30">
        <f t="shared" si="94"/>
        <v>0</v>
      </c>
    </row>
    <row r="73" spans="1:101" ht="15.75" customHeight="1" x14ac:dyDescent="0.35">
      <c r="A73" s="28" t="s">
        <v>543</v>
      </c>
      <c r="B73" s="28" t="s">
        <v>880</v>
      </c>
      <c r="C73" s="29"/>
      <c r="D73" s="30"/>
      <c r="E73" s="30"/>
      <c r="F73" s="31"/>
      <c r="G73" s="32"/>
      <c r="H73" s="30">
        <f t="shared" si="65"/>
        <v>0</v>
      </c>
      <c r="I73" s="31"/>
      <c r="J73" s="32"/>
      <c r="K73" s="30">
        <f t="shared" si="68"/>
        <v>0</v>
      </c>
      <c r="L73" s="31"/>
      <c r="M73" s="32"/>
      <c r="N73" s="30">
        <f t="shared" si="73"/>
        <v>0</v>
      </c>
      <c r="O73" s="31"/>
      <c r="P73" s="32"/>
      <c r="Q73" s="30">
        <f t="shared" si="97"/>
        <v>0</v>
      </c>
      <c r="R73" s="31"/>
      <c r="S73" s="32"/>
      <c r="T73" s="30">
        <f t="shared" si="77"/>
        <v>0</v>
      </c>
      <c r="U73" s="31"/>
      <c r="V73" s="32"/>
      <c r="W73" s="30">
        <f t="shared" si="96"/>
        <v>0</v>
      </c>
      <c r="X73" s="31"/>
      <c r="Y73" s="32"/>
      <c r="Z73" s="30">
        <f>IFERROR(X73*Y73, 0)</f>
        <v>0</v>
      </c>
      <c r="AA73" s="31"/>
      <c r="AB73" s="32"/>
      <c r="AC73" s="30">
        <f t="shared" si="78"/>
        <v>0</v>
      </c>
      <c r="AD73" s="31"/>
      <c r="AE73" s="32"/>
      <c r="AF73" s="30">
        <f t="shared" si="72"/>
        <v>0</v>
      </c>
      <c r="AG73" s="31"/>
      <c r="AH73" s="32"/>
      <c r="AI73" s="30">
        <f t="shared" si="98"/>
        <v>0</v>
      </c>
      <c r="AJ73" s="31"/>
      <c r="AK73" s="32"/>
      <c r="AL73" s="30">
        <f t="shared" si="79"/>
        <v>0</v>
      </c>
      <c r="AM73" s="31"/>
      <c r="AN73" s="32"/>
      <c r="AO73" s="30">
        <f t="shared" si="80"/>
        <v>0</v>
      </c>
      <c r="AP73" s="31"/>
      <c r="AQ73" s="32"/>
      <c r="AR73" s="30">
        <f>IFERROR(AP73*AQ73, 0)</f>
        <v>0</v>
      </c>
      <c r="AS73" s="31"/>
      <c r="AT73" s="32"/>
      <c r="AU73" s="30">
        <f>IFERROR(AS73*AT73, 0)</f>
        <v>0</v>
      </c>
      <c r="AV73" s="31">
        <v>10</v>
      </c>
      <c r="AW73" s="32">
        <v>11900</v>
      </c>
      <c r="AX73" s="30">
        <v>119000</v>
      </c>
      <c r="AY73" s="31"/>
      <c r="AZ73" s="32"/>
      <c r="BA73" s="30">
        <f t="shared" si="81"/>
        <v>0</v>
      </c>
      <c r="BB73" s="31"/>
      <c r="BC73" s="32"/>
      <c r="BD73" s="30">
        <f t="shared" si="99"/>
        <v>0</v>
      </c>
      <c r="BE73" s="31"/>
      <c r="BF73" s="32"/>
      <c r="BG73" s="30">
        <f t="shared" si="82"/>
        <v>0</v>
      </c>
      <c r="BH73" s="31"/>
      <c r="BI73" s="32"/>
      <c r="BJ73" s="30">
        <f t="shared" si="83"/>
        <v>0</v>
      </c>
      <c r="BK73" s="31"/>
      <c r="BL73" s="32"/>
      <c r="BM73" s="30">
        <f t="shared" si="74"/>
        <v>0</v>
      </c>
      <c r="BN73" s="31"/>
      <c r="BO73" s="32"/>
      <c r="BP73" s="30">
        <f t="shared" si="100"/>
        <v>0</v>
      </c>
      <c r="BQ73" s="31"/>
      <c r="BR73" s="32"/>
      <c r="BS73" s="30">
        <f t="shared" si="95"/>
        <v>0</v>
      </c>
      <c r="BT73" s="31"/>
      <c r="BU73" s="32"/>
      <c r="BV73" s="30">
        <f t="shared" si="84"/>
        <v>0</v>
      </c>
      <c r="BW73" s="31"/>
      <c r="BX73" s="32"/>
      <c r="BY73" s="30">
        <f t="shared" si="76"/>
        <v>0</v>
      </c>
      <c r="BZ73" s="31"/>
      <c r="CA73" s="32"/>
      <c r="CB73" s="30">
        <f t="shared" si="85"/>
        <v>0</v>
      </c>
      <c r="CC73" s="31"/>
      <c r="CD73" s="32"/>
      <c r="CE73" s="30">
        <f t="shared" si="86"/>
        <v>0</v>
      </c>
      <c r="CF73" s="31"/>
      <c r="CG73" s="32"/>
      <c r="CH73" s="30">
        <f t="shared" si="87"/>
        <v>0</v>
      </c>
      <c r="CI73" s="31"/>
      <c r="CJ73" s="32"/>
      <c r="CK73" s="30">
        <f t="shared" si="88"/>
        <v>0</v>
      </c>
      <c r="CL73" s="31"/>
      <c r="CM73" s="32"/>
      <c r="CN73" s="30">
        <f t="shared" si="89"/>
        <v>0</v>
      </c>
      <c r="CO73" s="31"/>
      <c r="CP73" s="32"/>
      <c r="CQ73" s="30">
        <f t="shared" si="90"/>
        <v>0</v>
      </c>
      <c r="CR73" s="31"/>
      <c r="CS73" s="32"/>
      <c r="CT73" s="30">
        <f t="shared" si="91"/>
        <v>0</v>
      </c>
      <c r="CU73" s="33">
        <f t="shared" si="92"/>
        <v>10</v>
      </c>
      <c r="CV73" s="30">
        <f t="shared" si="93"/>
        <v>11900</v>
      </c>
      <c r="CW73" s="30">
        <f t="shared" si="94"/>
        <v>119000</v>
      </c>
    </row>
    <row r="74" spans="1:101" ht="15.75" customHeight="1" x14ac:dyDescent="0.35">
      <c r="A74" s="28" t="s">
        <v>908</v>
      </c>
      <c r="B74" s="28" t="s">
        <v>837</v>
      </c>
      <c r="C74" s="34"/>
      <c r="D74" s="32"/>
      <c r="E74" s="32"/>
      <c r="F74" s="31"/>
      <c r="G74" s="32"/>
      <c r="H74" s="30">
        <f t="shared" ref="H74:H93" si="101">IFERROR(F74*G74, 0)</f>
        <v>0</v>
      </c>
      <c r="I74" s="31"/>
      <c r="J74" s="32"/>
      <c r="K74" s="30">
        <f t="shared" si="68"/>
        <v>0</v>
      </c>
      <c r="L74" s="31"/>
      <c r="M74" s="32"/>
      <c r="N74" s="30">
        <f t="shared" si="73"/>
        <v>0</v>
      </c>
      <c r="O74" s="31"/>
      <c r="P74" s="32"/>
      <c r="Q74" s="30">
        <f t="shared" si="97"/>
        <v>0</v>
      </c>
      <c r="R74" s="31"/>
      <c r="S74" s="32"/>
      <c r="T74" s="30">
        <f t="shared" si="77"/>
        <v>0</v>
      </c>
      <c r="U74" s="31"/>
      <c r="V74" s="30"/>
      <c r="W74" s="30">
        <f t="shared" si="96"/>
        <v>0</v>
      </c>
      <c r="X74" s="31"/>
      <c r="Y74" s="32"/>
      <c r="Z74" s="30">
        <f>Y74*X74</f>
        <v>0</v>
      </c>
      <c r="AA74" s="31"/>
      <c r="AB74" s="32"/>
      <c r="AC74" s="30">
        <f t="shared" si="78"/>
        <v>0</v>
      </c>
      <c r="AD74" s="31"/>
      <c r="AE74" s="32"/>
      <c r="AF74" s="30">
        <f t="shared" si="72"/>
        <v>0</v>
      </c>
      <c r="AG74" s="31"/>
      <c r="AH74" s="32"/>
      <c r="AI74" s="30">
        <f t="shared" si="98"/>
        <v>0</v>
      </c>
      <c r="AJ74" s="31"/>
      <c r="AK74" s="32"/>
      <c r="AL74" s="30">
        <f t="shared" si="79"/>
        <v>0</v>
      </c>
      <c r="AM74" s="31"/>
      <c r="AN74" s="32"/>
      <c r="AO74" s="30">
        <f t="shared" si="80"/>
        <v>0</v>
      </c>
      <c r="AP74" s="31"/>
      <c r="AQ74" s="32"/>
      <c r="AR74" s="30">
        <f>IFERROR(AP74*AQ74, 0)</f>
        <v>0</v>
      </c>
      <c r="AS74" s="31"/>
      <c r="AT74" s="32"/>
      <c r="AU74" s="30">
        <f>IFERROR(AS74*AT74, 0)</f>
        <v>0</v>
      </c>
      <c r="AV74" s="31"/>
      <c r="AW74" s="32"/>
      <c r="AX74" s="30">
        <f t="shared" ref="AX74:AX98" si="102">IFERROR(AV74*AW74, 0)</f>
        <v>0</v>
      </c>
      <c r="AY74" s="31"/>
      <c r="AZ74" s="32"/>
      <c r="BA74" s="30">
        <f t="shared" si="81"/>
        <v>0</v>
      </c>
      <c r="BB74" s="31"/>
      <c r="BC74" s="32"/>
      <c r="BD74" s="30">
        <f t="shared" si="99"/>
        <v>0</v>
      </c>
      <c r="BE74" s="31"/>
      <c r="BF74" s="32"/>
      <c r="BG74" s="30">
        <f t="shared" si="82"/>
        <v>0</v>
      </c>
      <c r="BH74" s="31"/>
      <c r="BI74" s="32"/>
      <c r="BJ74" s="30">
        <f t="shared" si="83"/>
        <v>0</v>
      </c>
      <c r="BK74" s="31"/>
      <c r="BL74" s="32"/>
      <c r="BM74" s="30">
        <f t="shared" si="74"/>
        <v>0</v>
      </c>
      <c r="BN74" s="31"/>
      <c r="BO74" s="32"/>
      <c r="BP74" s="30">
        <f t="shared" si="100"/>
        <v>0</v>
      </c>
      <c r="BQ74" s="31"/>
      <c r="BR74" s="32"/>
      <c r="BS74" s="30">
        <f t="shared" si="95"/>
        <v>0</v>
      </c>
      <c r="BT74" s="31"/>
      <c r="BU74" s="32"/>
      <c r="BV74" s="30">
        <f t="shared" si="84"/>
        <v>0</v>
      </c>
      <c r="BW74" s="31"/>
      <c r="BX74" s="32"/>
      <c r="BY74" s="30">
        <f t="shared" si="76"/>
        <v>0</v>
      </c>
      <c r="BZ74" s="31"/>
      <c r="CA74" s="32"/>
      <c r="CB74" s="30">
        <f t="shared" si="85"/>
        <v>0</v>
      </c>
      <c r="CC74" s="31"/>
      <c r="CD74" s="32"/>
      <c r="CE74" s="30">
        <f t="shared" si="86"/>
        <v>0</v>
      </c>
      <c r="CF74" s="31"/>
      <c r="CG74" s="32"/>
      <c r="CH74" s="30">
        <f t="shared" si="87"/>
        <v>0</v>
      </c>
      <c r="CI74" s="31"/>
      <c r="CJ74" s="32"/>
      <c r="CK74" s="30">
        <f t="shared" si="88"/>
        <v>0</v>
      </c>
      <c r="CL74" s="31"/>
      <c r="CM74" s="32"/>
      <c r="CN74" s="30">
        <f t="shared" si="89"/>
        <v>0</v>
      </c>
      <c r="CO74" s="31"/>
      <c r="CP74" s="32"/>
      <c r="CQ74" s="30">
        <f t="shared" si="90"/>
        <v>0</v>
      </c>
      <c r="CR74" s="31"/>
      <c r="CS74" s="32"/>
      <c r="CT74" s="30">
        <f t="shared" si="91"/>
        <v>0</v>
      </c>
      <c r="CU74" s="33">
        <f t="shared" si="92"/>
        <v>0</v>
      </c>
      <c r="CV74" s="30">
        <f t="shared" si="93"/>
        <v>0</v>
      </c>
      <c r="CW74" s="30">
        <f t="shared" si="94"/>
        <v>0</v>
      </c>
    </row>
    <row r="75" spans="1:101" ht="15.75" customHeight="1" x14ac:dyDescent="0.35">
      <c r="A75" s="35" t="s">
        <v>613</v>
      </c>
      <c r="B75" s="35" t="s">
        <v>880</v>
      </c>
      <c r="C75" s="34"/>
      <c r="D75" s="32"/>
      <c r="E75" s="32"/>
      <c r="F75" s="31"/>
      <c r="G75" s="32"/>
      <c r="H75" s="30">
        <f t="shared" si="101"/>
        <v>0</v>
      </c>
      <c r="I75" s="31"/>
      <c r="J75" s="32"/>
      <c r="K75" s="30">
        <f t="shared" si="68"/>
        <v>0</v>
      </c>
      <c r="L75" s="31"/>
      <c r="M75" s="32"/>
      <c r="N75" s="30">
        <f t="shared" si="73"/>
        <v>0</v>
      </c>
      <c r="O75" s="31"/>
      <c r="P75" s="32"/>
      <c r="Q75" s="30">
        <f t="shared" si="97"/>
        <v>0</v>
      </c>
      <c r="R75" s="31"/>
      <c r="S75" s="32"/>
      <c r="T75" s="30">
        <f t="shared" si="77"/>
        <v>0</v>
      </c>
      <c r="U75" s="31"/>
      <c r="V75" s="32"/>
      <c r="W75" s="30">
        <f t="shared" si="96"/>
        <v>0</v>
      </c>
      <c r="X75" s="31"/>
      <c r="Y75" s="32"/>
      <c r="Z75" s="30">
        <f t="shared" ref="Z75:Z93" si="103">IFERROR(X75*Y75, 0)</f>
        <v>0</v>
      </c>
      <c r="AA75" s="31"/>
      <c r="AB75" s="32"/>
      <c r="AC75" s="30">
        <f t="shared" si="78"/>
        <v>0</v>
      </c>
      <c r="AD75" s="31"/>
      <c r="AE75" s="32"/>
      <c r="AF75" s="30">
        <f t="shared" si="72"/>
        <v>0</v>
      </c>
      <c r="AG75" s="31"/>
      <c r="AH75" s="32"/>
      <c r="AI75" s="30">
        <f t="shared" si="98"/>
        <v>0</v>
      </c>
      <c r="AJ75" s="31"/>
      <c r="AK75" s="32"/>
      <c r="AL75" s="30">
        <f t="shared" si="79"/>
        <v>0</v>
      </c>
      <c r="AM75" s="31"/>
      <c r="AN75" s="32"/>
      <c r="AO75" s="30">
        <f t="shared" si="80"/>
        <v>0</v>
      </c>
      <c r="AP75" s="31"/>
      <c r="AQ75" s="32"/>
      <c r="AR75" s="30">
        <f>IFERROR(AP75*AQ75, 0)</f>
        <v>0</v>
      </c>
      <c r="AS75" s="31"/>
      <c r="AT75" s="32"/>
      <c r="AU75" s="30">
        <f>IFERROR(AS75*AT75, 0)</f>
        <v>0</v>
      </c>
      <c r="AV75" s="31"/>
      <c r="AW75" s="32"/>
      <c r="AX75" s="30">
        <f t="shared" si="102"/>
        <v>0</v>
      </c>
      <c r="AY75" s="31"/>
      <c r="AZ75" s="32"/>
      <c r="BA75" s="30">
        <f t="shared" si="81"/>
        <v>0</v>
      </c>
      <c r="BB75" s="31"/>
      <c r="BC75" s="32"/>
      <c r="BD75" s="30">
        <f t="shared" si="99"/>
        <v>0</v>
      </c>
      <c r="BE75" s="31"/>
      <c r="BF75" s="32"/>
      <c r="BG75" s="30">
        <f t="shared" si="82"/>
        <v>0</v>
      </c>
      <c r="BH75" s="31"/>
      <c r="BI75" s="32"/>
      <c r="BJ75" s="30">
        <f t="shared" si="83"/>
        <v>0</v>
      </c>
      <c r="BK75" s="31">
        <v>1</v>
      </c>
      <c r="BL75" s="32">
        <v>2311</v>
      </c>
      <c r="BM75" s="30">
        <v>2311</v>
      </c>
      <c r="BN75" s="31"/>
      <c r="BO75" s="32"/>
      <c r="BP75" s="30">
        <f t="shared" si="100"/>
        <v>0</v>
      </c>
      <c r="BQ75" s="31"/>
      <c r="BR75" s="32"/>
      <c r="BS75" s="30">
        <f t="shared" si="95"/>
        <v>0</v>
      </c>
      <c r="BT75" s="31"/>
      <c r="BU75" s="32"/>
      <c r="BV75" s="30">
        <f t="shared" si="84"/>
        <v>0</v>
      </c>
      <c r="BW75" s="31"/>
      <c r="BX75" s="32"/>
      <c r="BY75" s="30">
        <f t="shared" si="76"/>
        <v>0</v>
      </c>
      <c r="BZ75" s="31"/>
      <c r="CA75" s="32"/>
      <c r="CB75" s="30">
        <f t="shared" si="85"/>
        <v>0</v>
      </c>
      <c r="CC75" s="31"/>
      <c r="CD75" s="32"/>
      <c r="CE75" s="30">
        <f t="shared" si="86"/>
        <v>0</v>
      </c>
      <c r="CF75" s="31"/>
      <c r="CG75" s="32"/>
      <c r="CH75" s="30">
        <f t="shared" si="87"/>
        <v>0</v>
      </c>
      <c r="CI75" s="31"/>
      <c r="CJ75" s="32"/>
      <c r="CK75" s="30">
        <f t="shared" si="88"/>
        <v>0</v>
      </c>
      <c r="CL75" s="31"/>
      <c r="CM75" s="32"/>
      <c r="CN75" s="30">
        <f t="shared" si="89"/>
        <v>0</v>
      </c>
      <c r="CO75" s="31"/>
      <c r="CP75" s="32"/>
      <c r="CQ75" s="30">
        <f t="shared" si="90"/>
        <v>0</v>
      </c>
      <c r="CR75" s="31"/>
      <c r="CS75" s="32"/>
      <c r="CT75" s="30">
        <f t="shared" si="91"/>
        <v>0</v>
      </c>
      <c r="CU75" s="33">
        <f t="shared" si="92"/>
        <v>1</v>
      </c>
      <c r="CV75" s="30">
        <f t="shared" si="93"/>
        <v>2311</v>
      </c>
      <c r="CW75" s="30">
        <f t="shared" si="94"/>
        <v>2311</v>
      </c>
    </row>
    <row r="76" spans="1:101" ht="15.75" customHeight="1" x14ac:dyDescent="0.35">
      <c r="A76" s="35" t="s">
        <v>496</v>
      </c>
      <c r="B76" s="28" t="s">
        <v>837</v>
      </c>
      <c r="C76" s="34"/>
      <c r="D76" s="32"/>
      <c r="E76" s="32"/>
      <c r="F76" s="31"/>
      <c r="G76" s="32"/>
      <c r="H76" s="30">
        <f t="shared" si="101"/>
        <v>0</v>
      </c>
      <c r="I76" s="31"/>
      <c r="J76" s="32"/>
      <c r="K76" s="30">
        <f t="shared" si="68"/>
        <v>0</v>
      </c>
      <c r="L76" s="31"/>
      <c r="M76" s="32"/>
      <c r="N76" s="30">
        <f t="shared" si="73"/>
        <v>0</v>
      </c>
      <c r="O76" s="31"/>
      <c r="P76" s="32"/>
      <c r="Q76" s="30">
        <f t="shared" si="97"/>
        <v>0</v>
      </c>
      <c r="R76" s="31"/>
      <c r="S76" s="32"/>
      <c r="T76" s="30">
        <f t="shared" si="77"/>
        <v>0</v>
      </c>
      <c r="U76" s="31"/>
      <c r="V76" s="32"/>
      <c r="W76" s="30">
        <f t="shared" si="96"/>
        <v>0</v>
      </c>
      <c r="X76" s="31"/>
      <c r="Y76" s="32"/>
      <c r="Z76" s="30">
        <f t="shared" si="103"/>
        <v>0</v>
      </c>
      <c r="AA76" s="31"/>
      <c r="AB76" s="32"/>
      <c r="AC76" s="30">
        <f t="shared" si="78"/>
        <v>0</v>
      </c>
      <c r="AD76" s="31"/>
      <c r="AE76" s="32"/>
      <c r="AF76" s="30">
        <f t="shared" si="72"/>
        <v>0</v>
      </c>
      <c r="AG76" s="31"/>
      <c r="AH76" s="32"/>
      <c r="AI76" s="30">
        <f t="shared" si="98"/>
        <v>0</v>
      </c>
      <c r="AJ76" s="31"/>
      <c r="AK76" s="32"/>
      <c r="AL76" s="30">
        <f t="shared" si="79"/>
        <v>0</v>
      </c>
      <c r="AM76" s="31"/>
      <c r="AN76" s="32"/>
      <c r="AO76" s="30">
        <f t="shared" si="80"/>
        <v>0</v>
      </c>
      <c r="AP76" s="31">
        <v>2</v>
      </c>
      <c r="AQ76" s="32">
        <v>100000</v>
      </c>
      <c r="AR76" s="30">
        <v>190000</v>
      </c>
      <c r="AS76" s="31">
        <v>1</v>
      </c>
      <c r="AT76" s="32">
        <v>90000</v>
      </c>
      <c r="AU76" s="30">
        <v>90000</v>
      </c>
      <c r="AV76" s="31"/>
      <c r="AW76" s="32"/>
      <c r="AX76" s="30">
        <f t="shared" si="102"/>
        <v>0</v>
      </c>
      <c r="AY76" s="31"/>
      <c r="AZ76" s="32"/>
      <c r="BA76" s="30">
        <f t="shared" si="81"/>
        <v>0</v>
      </c>
      <c r="BB76" s="31"/>
      <c r="BC76" s="32"/>
      <c r="BD76" s="30">
        <f t="shared" si="99"/>
        <v>0</v>
      </c>
      <c r="BE76" s="31"/>
      <c r="BF76" s="32"/>
      <c r="BG76" s="30">
        <f t="shared" si="82"/>
        <v>0</v>
      </c>
      <c r="BH76" s="31"/>
      <c r="BI76" s="32"/>
      <c r="BJ76" s="30">
        <f t="shared" si="83"/>
        <v>0</v>
      </c>
      <c r="BK76" s="31"/>
      <c r="BL76" s="32"/>
      <c r="BM76" s="30">
        <f t="shared" ref="BM76:BM93" si="104">IFERROR(BK76*BL76, 0)</f>
        <v>0</v>
      </c>
      <c r="BN76" s="31">
        <v>1.5</v>
      </c>
      <c r="BO76" s="32">
        <v>90000</v>
      </c>
      <c r="BP76" s="30">
        <v>105000</v>
      </c>
      <c r="BQ76" s="31"/>
      <c r="BR76" s="32"/>
      <c r="BS76" s="30">
        <f t="shared" si="95"/>
        <v>0</v>
      </c>
      <c r="BT76" s="31"/>
      <c r="BU76" s="32"/>
      <c r="BV76" s="30">
        <f t="shared" si="84"/>
        <v>0</v>
      </c>
      <c r="BW76" s="31"/>
      <c r="BX76" s="32"/>
      <c r="BY76" s="30">
        <f t="shared" si="76"/>
        <v>0</v>
      </c>
      <c r="BZ76" s="31"/>
      <c r="CA76" s="32"/>
      <c r="CB76" s="30">
        <f t="shared" si="85"/>
        <v>0</v>
      </c>
      <c r="CC76" s="31"/>
      <c r="CD76" s="32"/>
      <c r="CE76" s="30">
        <f t="shared" si="86"/>
        <v>0</v>
      </c>
      <c r="CF76" s="31"/>
      <c r="CG76" s="32"/>
      <c r="CH76" s="30">
        <f t="shared" si="87"/>
        <v>0</v>
      </c>
      <c r="CI76" s="31"/>
      <c r="CJ76" s="32"/>
      <c r="CK76" s="30">
        <f t="shared" si="88"/>
        <v>0</v>
      </c>
      <c r="CL76" s="31"/>
      <c r="CM76" s="32"/>
      <c r="CN76" s="30">
        <f t="shared" si="89"/>
        <v>0</v>
      </c>
      <c r="CO76" s="31"/>
      <c r="CP76" s="32"/>
      <c r="CQ76" s="30">
        <f t="shared" si="90"/>
        <v>0</v>
      </c>
      <c r="CR76" s="31"/>
      <c r="CS76" s="32"/>
      <c r="CT76" s="30">
        <f t="shared" si="91"/>
        <v>0</v>
      </c>
      <c r="CU76" s="33">
        <f t="shared" si="92"/>
        <v>4.5</v>
      </c>
      <c r="CV76" s="30">
        <f t="shared" si="93"/>
        <v>93333.333333333328</v>
      </c>
      <c r="CW76" s="30">
        <f t="shared" si="94"/>
        <v>420000</v>
      </c>
    </row>
    <row r="77" spans="1:101" ht="15.75" customHeight="1" x14ac:dyDescent="0.35">
      <c r="A77" s="21" t="s">
        <v>909</v>
      </c>
      <c r="B77" s="21" t="s">
        <v>846</v>
      </c>
      <c r="C77" s="34"/>
      <c r="D77" s="32"/>
      <c r="E77" s="32"/>
      <c r="F77" s="31"/>
      <c r="G77" s="32"/>
      <c r="H77" s="30">
        <f t="shared" si="101"/>
        <v>0</v>
      </c>
      <c r="I77" s="31"/>
      <c r="J77" s="32"/>
      <c r="K77" s="30">
        <f t="shared" si="68"/>
        <v>0</v>
      </c>
      <c r="L77" s="31"/>
      <c r="M77" s="32"/>
      <c r="N77" s="30">
        <f t="shared" si="73"/>
        <v>0</v>
      </c>
      <c r="O77" s="31"/>
      <c r="P77" s="32"/>
      <c r="Q77" s="30">
        <f t="shared" si="97"/>
        <v>0</v>
      </c>
      <c r="R77" s="31"/>
      <c r="S77" s="32"/>
      <c r="T77" s="30">
        <f t="shared" si="77"/>
        <v>0</v>
      </c>
      <c r="U77" s="31"/>
      <c r="V77" s="32"/>
      <c r="W77" s="30">
        <f t="shared" si="96"/>
        <v>0</v>
      </c>
      <c r="X77" s="31"/>
      <c r="Y77" s="32"/>
      <c r="Z77" s="30">
        <f t="shared" si="103"/>
        <v>0</v>
      </c>
      <c r="AA77" s="31"/>
      <c r="AB77" s="32"/>
      <c r="AC77" s="30">
        <f t="shared" si="78"/>
        <v>0</v>
      </c>
      <c r="AD77" s="31"/>
      <c r="AE77" s="32"/>
      <c r="AF77" s="30">
        <f t="shared" si="72"/>
        <v>0</v>
      </c>
      <c r="AG77" s="31"/>
      <c r="AH77" s="32"/>
      <c r="AI77" s="30">
        <f t="shared" si="98"/>
        <v>0</v>
      </c>
      <c r="AJ77" s="31"/>
      <c r="AK77" s="32"/>
      <c r="AL77" s="30">
        <f t="shared" si="79"/>
        <v>0</v>
      </c>
      <c r="AM77" s="31"/>
      <c r="AN77" s="32"/>
      <c r="AO77" s="30">
        <f t="shared" si="80"/>
        <v>0</v>
      </c>
      <c r="AP77" s="31"/>
      <c r="AQ77" s="32"/>
      <c r="AR77" s="30">
        <f>IFERROR(AP77*AQ77, 0)</f>
        <v>0</v>
      </c>
      <c r="AS77" s="31"/>
      <c r="AT77" s="32"/>
      <c r="AU77" s="30">
        <f t="shared" ref="AU77:AU98" si="105">IFERROR(AS77*AT77, 0)</f>
        <v>0</v>
      </c>
      <c r="AV77" s="31"/>
      <c r="AW77" s="32"/>
      <c r="AX77" s="30">
        <f t="shared" si="102"/>
        <v>0</v>
      </c>
      <c r="AY77" s="31"/>
      <c r="AZ77" s="32"/>
      <c r="BA77" s="30">
        <f t="shared" si="81"/>
        <v>0</v>
      </c>
      <c r="BB77" s="31"/>
      <c r="BC77" s="32"/>
      <c r="BD77" s="30">
        <f t="shared" si="99"/>
        <v>0</v>
      </c>
      <c r="BE77" s="31"/>
      <c r="BF77" s="32"/>
      <c r="BG77" s="30">
        <f t="shared" si="82"/>
        <v>0</v>
      </c>
      <c r="BH77" s="31"/>
      <c r="BI77" s="32"/>
      <c r="BJ77" s="30">
        <f t="shared" si="83"/>
        <v>0</v>
      </c>
      <c r="BK77" s="31"/>
      <c r="BL77" s="32"/>
      <c r="BM77" s="30">
        <f t="shared" si="104"/>
        <v>0</v>
      </c>
      <c r="BN77" s="31"/>
      <c r="BO77" s="32"/>
      <c r="BP77" s="30">
        <f>IFERROR(BN77*BO77, 0)</f>
        <v>0</v>
      </c>
      <c r="BQ77" s="31"/>
      <c r="BR77" s="32"/>
      <c r="BS77" s="30">
        <f t="shared" si="95"/>
        <v>0</v>
      </c>
      <c r="BT77" s="31"/>
      <c r="BU77" s="32"/>
      <c r="BV77" s="30">
        <f t="shared" si="84"/>
        <v>0</v>
      </c>
      <c r="BW77" s="31"/>
      <c r="BX77" s="32"/>
      <c r="BY77" s="30">
        <f t="shared" si="76"/>
        <v>0</v>
      </c>
      <c r="BZ77" s="31"/>
      <c r="CA77" s="32"/>
      <c r="CB77" s="30">
        <f t="shared" si="85"/>
        <v>0</v>
      </c>
      <c r="CC77" s="31"/>
      <c r="CD77" s="32"/>
      <c r="CE77" s="30">
        <f t="shared" si="86"/>
        <v>0</v>
      </c>
      <c r="CF77" s="31"/>
      <c r="CG77" s="32"/>
      <c r="CH77" s="30">
        <f t="shared" si="87"/>
        <v>0</v>
      </c>
      <c r="CI77" s="31"/>
      <c r="CJ77" s="32"/>
      <c r="CK77" s="30">
        <f t="shared" si="88"/>
        <v>0</v>
      </c>
      <c r="CL77" s="31"/>
      <c r="CM77" s="32"/>
      <c r="CN77" s="30">
        <f t="shared" si="89"/>
        <v>0</v>
      </c>
      <c r="CO77" s="31"/>
      <c r="CP77" s="32"/>
      <c r="CQ77" s="30">
        <f t="shared" si="90"/>
        <v>0</v>
      </c>
      <c r="CR77" s="31"/>
      <c r="CS77" s="32"/>
      <c r="CT77" s="30">
        <f t="shared" si="91"/>
        <v>0</v>
      </c>
      <c r="CU77" s="33">
        <f t="shared" si="92"/>
        <v>0</v>
      </c>
      <c r="CV77" s="30">
        <f t="shared" si="93"/>
        <v>0</v>
      </c>
      <c r="CW77" s="30">
        <f t="shared" si="94"/>
        <v>0</v>
      </c>
    </row>
    <row r="78" spans="1:101" ht="15.75" customHeight="1" x14ac:dyDescent="0.35">
      <c r="A78" s="21" t="s">
        <v>707</v>
      </c>
      <c r="B78" s="21" t="s">
        <v>846</v>
      </c>
      <c r="C78" s="34"/>
      <c r="D78" s="32"/>
      <c r="E78" s="32"/>
      <c r="F78" s="31"/>
      <c r="G78" s="32"/>
      <c r="H78" s="30">
        <f t="shared" si="101"/>
        <v>0</v>
      </c>
      <c r="I78" s="31"/>
      <c r="J78" s="32"/>
      <c r="K78" s="30">
        <f t="shared" si="68"/>
        <v>0</v>
      </c>
      <c r="L78" s="31"/>
      <c r="M78" s="32"/>
      <c r="N78" s="30">
        <f t="shared" si="73"/>
        <v>0</v>
      </c>
      <c r="O78" s="31"/>
      <c r="P78" s="32"/>
      <c r="Q78" s="30">
        <f t="shared" si="97"/>
        <v>0</v>
      </c>
      <c r="R78" s="31"/>
      <c r="S78" s="32"/>
      <c r="T78" s="30">
        <f t="shared" si="77"/>
        <v>0</v>
      </c>
      <c r="U78" s="31"/>
      <c r="V78" s="32"/>
      <c r="W78" s="30">
        <f t="shared" si="96"/>
        <v>0</v>
      </c>
      <c r="X78" s="31"/>
      <c r="Y78" s="32"/>
      <c r="Z78" s="30">
        <f t="shared" si="103"/>
        <v>0</v>
      </c>
      <c r="AA78" s="31"/>
      <c r="AB78" s="32"/>
      <c r="AC78" s="30">
        <f t="shared" si="78"/>
        <v>0</v>
      </c>
      <c r="AD78" s="31"/>
      <c r="AE78" s="32"/>
      <c r="AF78" s="30">
        <f t="shared" si="72"/>
        <v>0</v>
      </c>
      <c r="AG78" s="31"/>
      <c r="AH78" s="32"/>
      <c r="AI78" s="30">
        <f t="shared" si="98"/>
        <v>0</v>
      </c>
      <c r="AJ78" s="31"/>
      <c r="AK78" s="32"/>
      <c r="AL78" s="30">
        <f t="shared" si="79"/>
        <v>0</v>
      </c>
      <c r="AM78" s="31"/>
      <c r="AN78" s="32"/>
      <c r="AO78" s="30">
        <f t="shared" si="80"/>
        <v>0</v>
      </c>
      <c r="AP78" s="31"/>
      <c r="AQ78" s="32"/>
      <c r="AR78" s="30">
        <f>IFERROR(AP78*AQ78, 0)</f>
        <v>0</v>
      </c>
      <c r="AS78" s="31"/>
      <c r="AT78" s="32"/>
      <c r="AU78" s="30">
        <f t="shared" si="105"/>
        <v>0</v>
      </c>
      <c r="AV78" s="31"/>
      <c r="AW78" s="32"/>
      <c r="AX78" s="30">
        <f t="shared" si="102"/>
        <v>0</v>
      </c>
      <c r="AY78" s="31"/>
      <c r="AZ78" s="32"/>
      <c r="BA78" s="30">
        <f t="shared" si="81"/>
        <v>0</v>
      </c>
      <c r="BB78" s="31"/>
      <c r="BC78" s="32"/>
      <c r="BD78" s="30">
        <f t="shared" si="99"/>
        <v>0</v>
      </c>
      <c r="BE78" s="31"/>
      <c r="BF78" s="32"/>
      <c r="BG78" s="30">
        <f t="shared" si="82"/>
        <v>0</v>
      </c>
      <c r="BH78" s="31"/>
      <c r="BI78" s="32"/>
      <c r="BJ78" s="30">
        <f t="shared" si="83"/>
        <v>0</v>
      </c>
      <c r="BK78" s="31"/>
      <c r="BL78" s="32"/>
      <c r="BM78" s="30">
        <f t="shared" si="104"/>
        <v>0</v>
      </c>
      <c r="BN78" s="31"/>
      <c r="BO78" s="32"/>
      <c r="BP78" s="30">
        <f>IFERROR(BN78*BO78, 0)</f>
        <v>0</v>
      </c>
      <c r="BQ78" s="31"/>
      <c r="BR78" s="32"/>
      <c r="BS78" s="30">
        <f t="shared" si="95"/>
        <v>0</v>
      </c>
      <c r="BT78" s="31"/>
      <c r="BU78" s="32"/>
      <c r="BV78" s="30">
        <f t="shared" si="84"/>
        <v>0</v>
      </c>
      <c r="BW78" s="31"/>
      <c r="BX78" s="32"/>
      <c r="BY78" s="30">
        <f t="shared" si="76"/>
        <v>0</v>
      </c>
      <c r="BZ78" s="31"/>
      <c r="CA78" s="32"/>
      <c r="CB78" s="30">
        <f t="shared" si="85"/>
        <v>0</v>
      </c>
      <c r="CC78" s="31"/>
      <c r="CD78" s="32"/>
      <c r="CE78" s="30">
        <f t="shared" si="86"/>
        <v>0</v>
      </c>
      <c r="CF78" s="31"/>
      <c r="CG78" s="32"/>
      <c r="CH78" s="30">
        <f t="shared" si="87"/>
        <v>0</v>
      </c>
      <c r="CI78" s="31"/>
      <c r="CJ78" s="32"/>
      <c r="CK78" s="30">
        <f t="shared" si="88"/>
        <v>0</v>
      </c>
      <c r="CL78" s="31"/>
      <c r="CM78" s="32"/>
      <c r="CN78" s="30">
        <f t="shared" si="89"/>
        <v>0</v>
      </c>
      <c r="CO78" s="31"/>
      <c r="CP78" s="32"/>
      <c r="CQ78" s="30">
        <f t="shared" si="90"/>
        <v>0</v>
      </c>
      <c r="CR78" s="31"/>
      <c r="CS78" s="32"/>
      <c r="CT78" s="30">
        <f t="shared" si="91"/>
        <v>0</v>
      </c>
      <c r="CU78" s="33">
        <f t="shared" si="92"/>
        <v>0</v>
      </c>
      <c r="CV78" s="30">
        <f t="shared" si="93"/>
        <v>0</v>
      </c>
      <c r="CW78" s="30">
        <f t="shared" si="94"/>
        <v>0</v>
      </c>
    </row>
    <row r="79" spans="1:101" ht="15.75" customHeight="1" x14ac:dyDescent="0.35">
      <c r="A79" s="21" t="s">
        <v>74</v>
      </c>
      <c r="B79" s="21" t="s">
        <v>846</v>
      </c>
      <c r="C79" s="34"/>
      <c r="D79" s="32"/>
      <c r="E79" s="32"/>
      <c r="F79" s="31"/>
      <c r="G79" s="32"/>
      <c r="H79" s="30">
        <f t="shared" si="101"/>
        <v>0</v>
      </c>
      <c r="I79" s="31">
        <v>1</v>
      </c>
      <c r="J79" s="32">
        <v>40000</v>
      </c>
      <c r="K79" s="30">
        <v>40000</v>
      </c>
      <c r="L79" s="31"/>
      <c r="M79" s="32"/>
      <c r="N79" s="30">
        <f t="shared" si="73"/>
        <v>0</v>
      </c>
      <c r="O79" s="31"/>
      <c r="P79" s="32"/>
      <c r="Q79" s="30">
        <f t="shared" si="97"/>
        <v>0</v>
      </c>
      <c r="R79" s="31"/>
      <c r="S79" s="32"/>
      <c r="T79" s="30">
        <f t="shared" si="77"/>
        <v>0</v>
      </c>
      <c r="U79" s="31"/>
      <c r="V79" s="32"/>
      <c r="W79" s="30">
        <f t="shared" si="96"/>
        <v>0</v>
      </c>
      <c r="X79" s="31"/>
      <c r="Y79" s="32"/>
      <c r="Z79" s="30">
        <f t="shared" si="103"/>
        <v>0</v>
      </c>
      <c r="AA79" s="31"/>
      <c r="AB79" s="32"/>
      <c r="AC79" s="30">
        <f t="shared" si="78"/>
        <v>0</v>
      </c>
      <c r="AD79" s="31"/>
      <c r="AE79" s="32"/>
      <c r="AF79" s="30">
        <f t="shared" si="72"/>
        <v>0</v>
      </c>
      <c r="AG79" s="31"/>
      <c r="AH79" s="32"/>
      <c r="AI79" s="30">
        <f t="shared" si="98"/>
        <v>0</v>
      </c>
      <c r="AJ79" s="31"/>
      <c r="AK79" s="32"/>
      <c r="AL79" s="30">
        <f t="shared" si="79"/>
        <v>0</v>
      </c>
      <c r="AM79" s="31"/>
      <c r="AN79" s="32"/>
      <c r="AO79" s="30">
        <f t="shared" si="80"/>
        <v>0</v>
      </c>
      <c r="AP79" s="31"/>
      <c r="AQ79" s="32"/>
      <c r="AR79" s="30">
        <f>IFERROR(AP79*AQ79, 0)</f>
        <v>0</v>
      </c>
      <c r="AS79" s="31"/>
      <c r="AT79" s="32"/>
      <c r="AU79" s="30">
        <f t="shared" si="105"/>
        <v>0</v>
      </c>
      <c r="AV79" s="31"/>
      <c r="AW79" s="32"/>
      <c r="AX79" s="30">
        <f t="shared" si="102"/>
        <v>0</v>
      </c>
      <c r="AY79" s="31"/>
      <c r="AZ79" s="32"/>
      <c r="BA79" s="30">
        <f t="shared" si="81"/>
        <v>0</v>
      </c>
      <c r="BB79" s="31"/>
      <c r="BC79" s="32"/>
      <c r="BD79" s="30">
        <f t="shared" si="99"/>
        <v>0</v>
      </c>
      <c r="BE79" s="31"/>
      <c r="BF79" s="32"/>
      <c r="BG79" s="30">
        <f t="shared" si="82"/>
        <v>0</v>
      </c>
      <c r="BH79" s="31"/>
      <c r="BI79" s="32"/>
      <c r="BJ79" s="30">
        <f t="shared" si="83"/>
        <v>0</v>
      </c>
      <c r="BK79" s="31"/>
      <c r="BL79" s="32"/>
      <c r="BM79" s="30">
        <f t="shared" si="104"/>
        <v>0</v>
      </c>
      <c r="BN79" s="31"/>
      <c r="BO79" s="32"/>
      <c r="BP79" s="30">
        <f>IFERROR(BN79*BO79, 0)</f>
        <v>0</v>
      </c>
      <c r="BQ79" s="31"/>
      <c r="BR79" s="32"/>
      <c r="BS79" s="30">
        <f t="shared" si="95"/>
        <v>0</v>
      </c>
      <c r="BT79" s="31"/>
      <c r="BU79" s="32"/>
      <c r="BV79" s="30">
        <f t="shared" si="84"/>
        <v>0</v>
      </c>
      <c r="BW79" s="31">
        <v>5</v>
      </c>
      <c r="BX79" s="32">
        <v>8000</v>
      </c>
      <c r="BY79" s="30">
        <v>40000</v>
      </c>
      <c r="BZ79" s="31"/>
      <c r="CA79" s="32"/>
      <c r="CB79" s="30">
        <f t="shared" si="85"/>
        <v>0</v>
      </c>
      <c r="CC79" s="31"/>
      <c r="CD79" s="32"/>
      <c r="CE79" s="30">
        <f t="shared" si="86"/>
        <v>0</v>
      </c>
      <c r="CF79" s="31"/>
      <c r="CG79" s="32"/>
      <c r="CH79" s="30">
        <f t="shared" si="87"/>
        <v>0</v>
      </c>
      <c r="CI79" s="31"/>
      <c r="CJ79" s="32"/>
      <c r="CK79" s="30">
        <f t="shared" si="88"/>
        <v>0</v>
      </c>
      <c r="CL79" s="31"/>
      <c r="CM79" s="32"/>
      <c r="CN79" s="30">
        <f t="shared" si="89"/>
        <v>0</v>
      </c>
      <c r="CO79" s="31"/>
      <c r="CP79" s="32"/>
      <c r="CQ79" s="30">
        <f t="shared" si="90"/>
        <v>0</v>
      </c>
      <c r="CR79" s="31"/>
      <c r="CS79" s="32"/>
      <c r="CT79" s="30">
        <f t="shared" si="91"/>
        <v>0</v>
      </c>
      <c r="CU79" s="33">
        <f t="shared" si="92"/>
        <v>6</v>
      </c>
      <c r="CV79" s="30">
        <f t="shared" si="93"/>
        <v>24000</v>
      </c>
      <c r="CW79" s="30">
        <f t="shared" si="94"/>
        <v>144000</v>
      </c>
    </row>
    <row r="80" spans="1:101" ht="15.75" customHeight="1" x14ac:dyDescent="0.35">
      <c r="A80" s="21" t="s">
        <v>709</v>
      </c>
      <c r="B80" s="21" t="s">
        <v>846</v>
      </c>
      <c r="C80" s="34"/>
      <c r="D80" s="32"/>
      <c r="E80" s="32"/>
      <c r="F80" s="31"/>
      <c r="G80" s="32"/>
      <c r="H80" s="30">
        <f t="shared" si="101"/>
        <v>0</v>
      </c>
      <c r="I80" s="31"/>
      <c r="J80" s="32"/>
      <c r="K80" s="30">
        <f t="shared" ref="K80:K87" si="106">IFERROR(I80*J80, 0)</f>
        <v>0</v>
      </c>
      <c r="L80" s="31"/>
      <c r="M80" s="32"/>
      <c r="N80" s="30">
        <f t="shared" si="73"/>
        <v>0</v>
      </c>
      <c r="O80" s="31"/>
      <c r="P80" s="32"/>
      <c r="Q80" s="30">
        <f t="shared" si="97"/>
        <v>0</v>
      </c>
      <c r="R80" s="31"/>
      <c r="S80" s="32"/>
      <c r="T80" s="30">
        <f t="shared" si="77"/>
        <v>0</v>
      </c>
      <c r="U80" s="31"/>
      <c r="V80" s="32"/>
      <c r="W80" s="30">
        <f t="shared" si="96"/>
        <v>0</v>
      </c>
      <c r="X80" s="31"/>
      <c r="Y80" s="32"/>
      <c r="Z80" s="30">
        <f t="shared" si="103"/>
        <v>0</v>
      </c>
      <c r="AA80" s="31"/>
      <c r="AB80" s="32"/>
      <c r="AC80" s="30">
        <f t="shared" si="78"/>
        <v>0</v>
      </c>
      <c r="AD80" s="31"/>
      <c r="AE80" s="32"/>
      <c r="AF80" s="30">
        <f t="shared" si="72"/>
        <v>0</v>
      </c>
      <c r="AG80" s="31"/>
      <c r="AH80" s="32"/>
      <c r="AI80" s="30">
        <f t="shared" si="98"/>
        <v>0</v>
      </c>
      <c r="AJ80" s="31"/>
      <c r="AK80" s="32"/>
      <c r="AL80" s="30">
        <f t="shared" si="79"/>
        <v>0</v>
      </c>
      <c r="AM80" s="31"/>
      <c r="AN80" s="32"/>
      <c r="AO80" s="30">
        <f t="shared" si="80"/>
        <v>0</v>
      </c>
      <c r="AP80" s="31"/>
      <c r="AQ80" s="32"/>
      <c r="AR80" s="30">
        <f>IFERROR(AP80*AQ80, 0)</f>
        <v>0</v>
      </c>
      <c r="AS80" s="31"/>
      <c r="AT80" s="32"/>
      <c r="AU80" s="30">
        <f t="shared" si="105"/>
        <v>0</v>
      </c>
      <c r="AV80" s="31"/>
      <c r="AW80" s="32"/>
      <c r="AX80" s="30">
        <f t="shared" si="102"/>
        <v>0</v>
      </c>
      <c r="AY80" s="31"/>
      <c r="AZ80" s="32"/>
      <c r="BA80" s="30">
        <f t="shared" si="81"/>
        <v>0</v>
      </c>
      <c r="BB80" s="31"/>
      <c r="BC80" s="32"/>
      <c r="BD80" s="30">
        <f t="shared" si="99"/>
        <v>0</v>
      </c>
      <c r="BE80" s="31"/>
      <c r="BF80" s="32"/>
      <c r="BG80" s="30">
        <f t="shared" si="82"/>
        <v>0</v>
      </c>
      <c r="BH80" s="31"/>
      <c r="BI80" s="32"/>
      <c r="BJ80" s="30">
        <f t="shared" si="83"/>
        <v>0</v>
      </c>
      <c r="BK80" s="31"/>
      <c r="BL80" s="32"/>
      <c r="BM80" s="30">
        <f t="shared" si="104"/>
        <v>0</v>
      </c>
      <c r="BN80" s="31"/>
      <c r="BO80" s="32"/>
      <c r="BP80" s="30">
        <f>IFERROR(BN80*BO80, 0)</f>
        <v>0</v>
      </c>
      <c r="BQ80" s="31"/>
      <c r="BR80" s="32"/>
      <c r="BS80" s="30">
        <f t="shared" si="95"/>
        <v>0</v>
      </c>
      <c r="BT80" s="31"/>
      <c r="BU80" s="32"/>
      <c r="BV80" s="30">
        <f t="shared" si="84"/>
        <v>0</v>
      </c>
      <c r="BW80" s="31"/>
      <c r="BX80" s="32"/>
      <c r="BY80" s="30">
        <f>IFERROR(BW80*BX80, 0)</f>
        <v>0</v>
      </c>
      <c r="BZ80" s="31"/>
      <c r="CA80" s="32"/>
      <c r="CB80" s="30">
        <f t="shared" si="85"/>
        <v>0</v>
      </c>
      <c r="CC80" s="31"/>
      <c r="CD80" s="32"/>
      <c r="CE80" s="30">
        <f t="shared" si="86"/>
        <v>0</v>
      </c>
      <c r="CF80" s="31"/>
      <c r="CG80" s="32"/>
      <c r="CH80" s="30">
        <f t="shared" si="87"/>
        <v>0</v>
      </c>
      <c r="CI80" s="31"/>
      <c r="CJ80" s="32"/>
      <c r="CK80" s="30">
        <f t="shared" si="88"/>
        <v>0</v>
      </c>
      <c r="CL80" s="31"/>
      <c r="CM80" s="32"/>
      <c r="CN80" s="30">
        <f t="shared" si="89"/>
        <v>0</v>
      </c>
      <c r="CO80" s="31"/>
      <c r="CP80" s="32"/>
      <c r="CQ80" s="30">
        <f t="shared" si="90"/>
        <v>0</v>
      </c>
      <c r="CR80" s="31"/>
      <c r="CS80" s="32"/>
      <c r="CT80" s="30">
        <f t="shared" si="91"/>
        <v>0</v>
      </c>
      <c r="CU80" s="33">
        <f t="shared" si="92"/>
        <v>0</v>
      </c>
      <c r="CV80" s="30">
        <f t="shared" si="93"/>
        <v>0</v>
      </c>
      <c r="CW80" s="30">
        <f t="shared" si="94"/>
        <v>0</v>
      </c>
    </row>
    <row r="81" spans="1:101" ht="15.75" customHeight="1" x14ac:dyDescent="0.35">
      <c r="A81" s="21" t="s">
        <v>470</v>
      </c>
      <c r="B81" s="21" t="s">
        <v>846</v>
      </c>
      <c r="C81" s="34"/>
      <c r="D81" s="32"/>
      <c r="E81" s="32"/>
      <c r="F81" s="31"/>
      <c r="G81" s="32"/>
      <c r="H81" s="30">
        <f t="shared" si="101"/>
        <v>0</v>
      </c>
      <c r="I81" s="31"/>
      <c r="J81" s="32"/>
      <c r="K81" s="30">
        <f t="shared" si="106"/>
        <v>0</v>
      </c>
      <c r="L81" s="31"/>
      <c r="M81" s="32"/>
      <c r="N81" s="30">
        <f t="shared" si="73"/>
        <v>0</v>
      </c>
      <c r="O81" s="31"/>
      <c r="P81" s="32"/>
      <c r="Q81" s="30">
        <f t="shared" si="97"/>
        <v>0</v>
      </c>
      <c r="R81" s="31"/>
      <c r="S81" s="32"/>
      <c r="T81" s="30">
        <f t="shared" si="77"/>
        <v>0</v>
      </c>
      <c r="U81" s="31"/>
      <c r="V81" s="32"/>
      <c r="W81" s="30">
        <f t="shared" si="96"/>
        <v>0</v>
      </c>
      <c r="X81" s="31"/>
      <c r="Y81" s="32"/>
      <c r="Z81" s="30">
        <f t="shared" si="103"/>
        <v>0</v>
      </c>
      <c r="AA81" s="31"/>
      <c r="AB81" s="32"/>
      <c r="AC81" s="30">
        <f t="shared" si="78"/>
        <v>0</v>
      </c>
      <c r="AD81" s="31"/>
      <c r="AE81" s="32"/>
      <c r="AF81" s="30">
        <f t="shared" si="72"/>
        <v>0</v>
      </c>
      <c r="AG81" s="31"/>
      <c r="AH81" s="32"/>
      <c r="AI81" s="30">
        <f t="shared" si="98"/>
        <v>0</v>
      </c>
      <c r="AJ81" s="31"/>
      <c r="AK81" s="32"/>
      <c r="AL81" s="30">
        <f t="shared" si="79"/>
        <v>0</v>
      </c>
      <c r="AM81" s="31"/>
      <c r="AN81" s="32"/>
      <c r="AO81" s="30">
        <f t="shared" si="80"/>
        <v>0</v>
      </c>
      <c r="AP81" s="31">
        <v>2.8</v>
      </c>
      <c r="AQ81" s="32">
        <v>14000</v>
      </c>
      <c r="AR81" s="30">
        <v>39200</v>
      </c>
      <c r="AS81" s="31"/>
      <c r="AT81" s="32"/>
      <c r="AU81" s="30">
        <f t="shared" si="105"/>
        <v>0</v>
      </c>
      <c r="AV81" s="31"/>
      <c r="AW81" s="32"/>
      <c r="AX81" s="30">
        <f t="shared" si="102"/>
        <v>0</v>
      </c>
      <c r="AY81" s="31"/>
      <c r="AZ81" s="32"/>
      <c r="BA81" s="30">
        <f t="shared" si="81"/>
        <v>0</v>
      </c>
      <c r="BB81" s="31"/>
      <c r="BC81" s="32"/>
      <c r="BD81" s="30">
        <f t="shared" si="99"/>
        <v>0</v>
      </c>
      <c r="BE81" s="31"/>
      <c r="BF81" s="32"/>
      <c r="BG81" s="30">
        <f t="shared" si="82"/>
        <v>0</v>
      </c>
      <c r="BH81" s="31"/>
      <c r="BI81" s="32"/>
      <c r="BJ81" s="30">
        <f t="shared" si="83"/>
        <v>0</v>
      </c>
      <c r="BK81" s="31"/>
      <c r="BL81" s="32"/>
      <c r="BM81" s="30">
        <f t="shared" si="104"/>
        <v>0</v>
      </c>
      <c r="BN81" s="31">
        <v>3.4</v>
      </c>
      <c r="BO81" s="32">
        <v>15000</v>
      </c>
      <c r="BP81" s="30">
        <v>51000</v>
      </c>
      <c r="BQ81" s="31"/>
      <c r="BR81" s="32"/>
      <c r="BS81" s="30">
        <f t="shared" si="95"/>
        <v>0</v>
      </c>
      <c r="BT81" s="31"/>
      <c r="BU81" s="32"/>
      <c r="BV81" s="30">
        <f t="shared" si="84"/>
        <v>0</v>
      </c>
      <c r="BW81" s="31"/>
      <c r="BX81" s="32"/>
      <c r="BY81" s="30">
        <f>IFERROR(BW81*BX81, 0)</f>
        <v>0</v>
      </c>
      <c r="BZ81" s="31"/>
      <c r="CA81" s="32"/>
      <c r="CB81" s="30">
        <f t="shared" si="85"/>
        <v>0</v>
      </c>
      <c r="CC81" s="31"/>
      <c r="CD81" s="32"/>
      <c r="CE81" s="30">
        <f t="shared" si="86"/>
        <v>0</v>
      </c>
      <c r="CF81" s="31"/>
      <c r="CG81" s="32"/>
      <c r="CH81" s="30">
        <f t="shared" si="87"/>
        <v>0</v>
      </c>
      <c r="CI81" s="31"/>
      <c r="CJ81" s="32"/>
      <c r="CK81" s="30">
        <f t="shared" si="88"/>
        <v>0</v>
      </c>
      <c r="CL81" s="31"/>
      <c r="CM81" s="32"/>
      <c r="CN81" s="30">
        <f t="shared" si="89"/>
        <v>0</v>
      </c>
      <c r="CO81" s="31"/>
      <c r="CP81" s="32"/>
      <c r="CQ81" s="30">
        <f t="shared" si="90"/>
        <v>0</v>
      </c>
      <c r="CR81" s="31"/>
      <c r="CS81" s="32"/>
      <c r="CT81" s="30">
        <f t="shared" si="91"/>
        <v>0</v>
      </c>
      <c r="CU81" s="33">
        <f t="shared" si="92"/>
        <v>6.1999999999999993</v>
      </c>
      <c r="CV81" s="30">
        <f t="shared" si="93"/>
        <v>14500</v>
      </c>
      <c r="CW81" s="30">
        <f t="shared" si="94"/>
        <v>89899.999999999985</v>
      </c>
    </row>
    <row r="82" spans="1:101" ht="15.75" customHeight="1" x14ac:dyDescent="0.35">
      <c r="A82" s="21" t="s">
        <v>910</v>
      </c>
      <c r="B82" s="21" t="s">
        <v>846</v>
      </c>
      <c r="C82" s="34"/>
      <c r="D82" s="32"/>
      <c r="E82" s="32"/>
      <c r="F82" s="31"/>
      <c r="G82" s="32"/>
      <c r="H82" s="30">
        <f t="shared" si="101"/>
        <v>0</v>
      </c>
      <c r="I82" s="31"/>
      <c r="J82" s="32"/>
      <c r="K82" s="30">
        <f t="shared" si="106"/>
        <v>0</v>
      </c>
      <c r="L82" s="31"/>
      <c r="M82" s="32"/>
      <c r="N82" s="30">
        <f t="shared" si="73"/>
        <v>0</v>
      </c>
      <c r="O82" s="31"/>
      <c r="P82" s="32"/>
      <c r="Q82" s="30">
        <f t="shared" si="97"/>
        <v>0</v>
      </c>
      <c r="R82" s="31"/>
      <c r="S82" s="32"/>
      <c r="T82" s="30">
        <f t="shared" si="77"/>
        <v>0</v>
      </c>
      <c r="U82" s="31"/>
      <c r="V82" s="32"/>
      <c r="W82" s="30">
        <f t="shared" si="96"/>
        <v>0</v>
      </c>
      <c r="X82" s="31"/>
      <c r="Y82" s="32"/>
      <c r="Z82" s="30">
        <f t="shared" si="103"/>
        <v>0</v>
      </c>
      <c r="AA82" s="31"/>
      <c r="AB82" s="32"/>
      <c r="AC82" s="30">
        <f t="shared" si="78"/>
        <v>0</v>
      </c>
      <c r="AD82" s="31"/>
      <c r="AE82" s="32"/>
      <c r="AF82" s="30">
        <f t="shared" si="72"/>
        <v>0</v>
      </c>
      <c r="AG82" s="31"/>
      <c r="AH82" s="32"/>
      <c r="AI82" s="30">
        <f t="shared" si="98"/>
        <v>0</v>
      </c>
      <c r="AJ82" s="31"/>
      <c r="AK82" s="32"/>
      <c r="AL82" s="30">
        <f t="shared" si="79"/>
        <v>0</v>
      </c>
      <c r="AM82" s="31"/>
      <c r="AN82" s="32"/>
      <c r="AO82" s="30">
        <f t="shared" si="80"/>
        <v>0</v>
      </c>
      <c r="AP82" s="31"/>
      <c r="AQ82" s="32"/>
      <c r="AR82" s="30">
        <f t="shared" ref="AR82:AR89" si="107">IFERROR(AP82*AQ82, 0)</f>
        <v>0</v>
      </c>
      <c r="AS82" s="31"/>
      <c r="AT82" s="32"/>
      <c r="AU82" s="30">
        <f t="shared" si="105"/>
        <v>0</v>
      </c>
      <c r="AV82" s="31"/>
      <c r="AW82" s="32"/>
      <c r="AX82" s="30">
        <f t="shared" si="102"/>
        <v>0</v>
      </c>
      <c r="AY82" s="31"/>
      <c r="AZ82" s="32"/>
      <c r="BA82" s="30">
        <f t="shared" si="81"/>
        <v>0</v>
      </c>
      <c r="BB82" s="31"/>
      <c r="BC82" s="32"/>
      <c r="BD82" s="30">
        <f t="shared" si="99"/>
        <v>0</v>
      </c>
      <c r="BE82" s="31"/>
      <c r="BF82" s="32"/>
      <c r="BG82" s="30">
        <f t="shared" si="82"/>
        <v>0</v>
      </c>
      <c r="BH82" s="31"/>
      <c r="BI82" s="32"/>
      <c r="BJ82" s="30">
        <f t="shared" si="83"/>
        <v>0</v>
      </c>
      <c r="BK82" s="31"/>
      <c r="BL82" s="32"/>
      <c r="BM82" s="30">
        <f t="shared" si="104"/>
        <v>0</v>
      </c>
      <c r="BN82" s="31"/>
      <c r="BO82" s="32"/>
      <c r="BP82" s="30">
        <f t="shared" ref="BP82:BP98" si="108">IFERROR(BN82*BO82, 0)</f>
        <v>0</v>
      </c>
      <c r="BQ82" s="31"/>
      <c r="BR82" s="32"/>
      <c r="BS82" s="30">
        <f t="shared" si="95"/>
        <v>0</v>
      </c>
      <c r="BT82" s="31"/>
      <c r="BU82" s="32"/>
      <c r="BV82" s="30">
        <f t="shared" si="84"/>
        <v>0</v>
      </c>
      <c r="BW82" s="31"/>
      <c r="BX82" s="32"/>
      <c r="BY82" s="30">
        <f>IFERROR(BW82*BX82, 0)</f>
        <v>0</v>
      </c>
      <c r="BZ82" s="31"/>
      <c r="CA82" s="32"/>
      <c r="CB82" s="30">
        <f t="shared" si="85"/>
        <v>0</v>
      </c>
      <c r="CC82" s="31"/>
      <c r="CD82" s="32"/>
      <c r="CE82" s="30">
        <f t="shared" si="86"/>
        <v>0</v>
      </c>
      <c r="CF82" s="31"/>
      <c r="CG82" s="32"/>
      <c r="CH82" s="30">
        <f t="shared" si="87"/>
        <v>0</v>
      </c>
      <c r="CI82" s="31"/>
      <c r="CJ82" s="32"/>
      <c r="CK82" s="30">
        <f t="shared" si="88"/>
        <v>0</v>
      </c>
      <c r="CL82" s="31"/>
      <c r="CM82" s="32"/>
      <c r="CN82" s="30">
        <f t="shared" si="89"/>
        <v>0</v>
      </c>
      <c r="CO82" s="31"/>
      <c r="CP82" s="32"/>
      <c r="CQ82" s="30">
        <f t="shared" si="90"/>
        <v>0</v>
      </c>
      <c r="CR82" s="31"/>
      <c r="CS82" s="32"/>
      <c r="CT82" s="30">
        <f t="shared" si="91"/>
        <v>0</v>
      </c>
      <c r="CU82" s="33">
        <f t="shared" si="92"/>
        <v>0</v>
      </c>
      <c r="CV82" s="30">
        <f t="shared" si="93"/>
        <v>0</v>
      </c>
      <c r="CW82" s="30">
        <f t="shared" si="94"/>
        <v>0</v>
      </c>
    </row>
    <row r="83" spans="1:101" ht="15.75" customHeight="1" x14ac:dyDescent="0.35">
      <c r="A83" s="21" t="s">
        <v>248</v>
      </c>
      <c r="B83" s="21" t="s">
        <v>846</v>
      </c>
      <c r="C83" s="34"/>
      <c r="D83" s="32"/>
      <c r="E83" s="32"/>
      <c r="F83" s="31"/>
      <c r="G83" s="32"/>
      <c r="H83" s="30">
        <f t="shared" si="101"/>
        <v>0</v>
      </c>
      <c r="I83" s="31"/>
      <c r="J83" s="32"/>
      <c r="K83" s="30">
        <f t="shared" si="106"/>
        <v>0</v>
      </c>
      <c r="L83" s="31"/>
      <c r="M83" s="32"/>
      <c r="N83" s="30">
        <f t="shared" si="73"/>
        <v>0</v>
      </c>
      <c r="O83" s="31"/>
      <c r="P83" s="32"/>
      <c r="Q83" s="30">
        <f t="shared" si="97"/>
        <v>0</v>
      </c>
      <c r="R83" s="31">
        <v>3</v>
      </c>
      <c r="S83" s="32">
        <v>19100</v>
      </c>
      <c r="T83" s="30">
        <v>57300</v>
      </c>
      <c r="U83" s="31"/>
      <c r="V83" s="32"/>
      <c r="W83" s="30">
        <f t="shared" si="96"/>
        <v>0</v>
      </c>
      <c r="X83" s="31"/>
      <c r="Y83" s="32"/>
      <c r="Z83" s="30">
        <f t="shared" si="103"/>
        <v>0</v>
      </c>
      <c r="AA83" s="31"/>
      <c r="AB83" s="32"/>
      <c r="AC83" s="30">
        <f t="shared" si="78"/>
        <v>0</v>
      </c>
      <c r="AD83" s="31"/>
      <c r="AE83" s="32"/>
      <c r="AF83" s="30">
        <f t="shared" si="72"/>
        <v>0</v>
      </c>
      <c r="AG83" s="31"/>
      <c r="AH83" s="32"/>
      <c r="AI83" s="30">
        <f t="shared" si="98"/>
        <v>0</v>
      </c>
      <c r="AJ83" s="31"/>
      <c r="AK83" s="32"/>
      <c r="AL83" s="30">
        <f t="shared" si="79"/>
        <v>0</v>
      </c>
      <c r="AM83" s="31"/>
      <c r="AN83" s="32"/>
      <c r="AO83" s="30">
        <f t="shared" si="80"/>
        <v>0</v>
      </c>
      <c r="AP83" s="31"/>
      <c r="AQ83" s="32"/>
      <c r="AR83" s="30">
        <f t="shared" si="107"/>
        <v>0</v>
      </c>
      <c r="AS83" s="31"/>
      <c r="AT83" s="32"/>
      <c r="AU83" s="30">
        <f t="shared" si="105"/>
        <v>0</v>
      </c>
      <c r="AV83" s="31"/>
      <c r="AW83" s="32"/>
      <c r="AX83" s="30">
        <f t="shared" si="102"/>
        <v>0</v>
      </c>
      <c r="AY83" s="31"/>
      <c r="AZ83" s="32"/>
      <c r="BA83" s="30">
        <f t="shared" si="81"/>
        <v>0</v>
      </c>
      <c r="BB83" s="31"/>
      <c r="BC83" s="32"/>
      <c r="BD83" s="30">
        <f t="shared" si="99"/>
        <v>0</v>
      </c>
      <c r="BE83" s="31"/>
      <c r="BF83" s="32"/>
      <c r="BG83" s="30">
        <f t="shared" si="82"/>
        <v>0</v>
      </c>
      <c r="BH83" s="31"/>
      <c r="BI83" s="32"/>
      <c r="BJ83" s="30">
        <f t="shared" si="83"/>
        <v>0</v>
      </c>
      <c r="BK83" s="31"/>
      <c r="BL83" s="32"/>
      <c r="BM83" s="30">
        <f t="shared" si="104"/>
        <v>0</v>
      </c>
      <c r="BN83" s="31"/>
      <c r="BO83" s="32"/>
      <c r="BP83" s="30">
        <f t="shared" si="108"/>
        <v>0</v>
      </c>
      <c r="BQ83" s="31">
        <v>12</v>
      </c>
      <c r="BR83" s="32">
        <v>12000</v>
      </c>
      <c r="BS83" s="30">
        <v>144000</v>
      </c>
      <c r="BT83" s="31"/>
      <c r="BU83" s="32"/>
      <c r="BV83" s="30">
        <f t="shared" si="84"/>
        <v>0</v>
      </c>
      <c r="BW83" s="31">
        <v>3</v>
      </c>
      <c r="BX83" s="32">
        <v>19100</v>
      </c>
      <c r="BY83" s="30">
        <v>57300</v>
      </c>
      <c r="BZ83" s="31"/>
      <c r="CA83" s="32"/>
      <c r="CB83" s="30">
        <f t="shared" si="85"/>
        <v>0</v>
      </c>
      <c r="CC83" s="31"/>
      <c r="CD83" s="32"/>
      <c r="CE83" s="30">
        <f t="shared" si="86"/>
        <v>0</v>
      </c>
      <c r="CF83" s="31"/>
      <c r="CG83" s="32"/>
      <c r="CH83" s="30">
        <f t="shared" si="87"/>
        <v>0</v>
      </c>
      <c r="CI83" s="31"/>
      <c r="CJ83" s="32"/>
      <c r="CK83" s="30">
        <f t="shared" si="88"/>
        <v>0</v>
      </c>
      <c r="CL83" s="31"/>
      <c r="CM83" s="32"/>
      <c r="CN83" s="30">
        <f t="shared" si="89"/>
        <v>0</v>
      </c>
      <c r="CO83" s="31"/>
      <c r="CP83" s="32"/>
      <c r="CQ83" s="30">
        <f t="shared" si="90"/>
        <v>0</v>
      </c>
      <c r="CR83" s="31"/>
      <c r="CS83" s="32"/>
      <c r="CT83" s="30">
        <f t="shared" si="91"/>
        <v>0</v>
      </c>
      <c r="CU83" s="33">
        <f t="shared" si="92"/>
        <v>18</v>
      </c>
      <c r="CV83" s="30">
        <f t="shared" si="93"/>
        <v>16733.333333333332</v>
      </c>
      <c r="CW83" s="30">
        <f t="shared" si="94"/>
        <v>301200</v>
      </c>
    </row>
    <row r="84" spans="1:101" ht="15.75" customHeight="1" x14ac:dyDescent="0.35">
      <c r="A84" s="21" t="s">
        <v>911</v>
      </c>
      <c r="B84" s="21" t="s">
        <v>846</v>
      </c>
      <c r="C84" s="34"/>
      <c r="D84" s="32"/>
      <c r="E84" s="32"/>
      <c r="F84" s="31"/>
      <c r="G84" s="32"/>
      <c r="H84" s="30">
        <f t="shared" si="101"/>
        <v>0</v>
      </c>
      <c r="I84" s="31"/>
      <c r="J84" s="32"/>
      <c r="K84" s="30">
        <f t="shared" si="106"/>
        <v>0</v>
      </c>
      <c r="L84" s="31"/>
      <c r="M84" s="32"/>
      <c r="N84" s="30">
        <f t="shared" si="73"/>
        <v>0</v>
      </c>
      <c r="O84" s="31"/>
      <c r="P84" s="32"/>
      <c r="Q84" s="30">
        <f t="shared" si="97"/>
        <v>0</v>
      </c>
      <c r="R84" s="31"/>
      <c r="S84" s="32"/>
      <c r="T84" s="30">
        <f t="shared" ref="T84:T93" si="109">IFERROR(R84*S84, 0)</f>
        <v>0</v>
      </c>
      <c r="U84" s="31"/>
      <c r="V84" s="32"/>
      <c r="W84" s="30">
        <f t="shared" si="96"/>
        <v>0</v>
      </c>
      <c r="X84" s="31"/>
      <c r="Y84" s="32"/>
      <c r="Z84" s="30">
        <f t="shared" si="103"/>
        <v>0</v>
      </c>
      <c r="AA84" s="31"/>
      <c r="AB84" s="32"/>
      <c r="AC84" s="30">
        <f t="shared" si="78"/>
        <v>0</v>
      </c>
      <c r="AD84" s="31"/>
      <c r="AE84" s="32"/>
      <c r="AF84" s="30">
        <f t="shared" si="72"/>
        <v>0</v>
      </c>
      <c r="AG84" s="31"/>
      <c r="AH84" s="32"/>
      <c r="AI84" s="30">
        <f t="shared" si="98"/>
        <v>0</v>
      </c>
      <c r="AJ84" s="31"/>
      <c r="AK84" s="32"/>
      <c r="AL84" s="30">
        <f t="shared" si="79"/>
        <v>0</v>
      </c>
      <c r="AM84" s="31"/>
      <c r="AN84" s="32"/>
      <c r="AO84" s="30">
        <f t="shared" si="80"/>
        <v>0</v>
      </c>
      <c r="AP84" s="31"/>
      <c r="AQ84" s="32"/>
      <c r="AR84" s="30">
        <f t="shared" si="107"/>
        <v>0</v>
      </c>
      <c r="AS84" s="31"/>
      <c r="AT84" s="32"/>
      <c r="AU84" s="30">
        <f t="shared" si="105"/>
        <v>0</v>
      </c>
      <c r="AV84" s="31"/>
      <c r="AW84" s="32"/>
      <c r="AX84" s="30">
        <f t="shared" si="102"/>
        <v>0</v>
      </c>
      <c r="AY84" s="31"/>
      <c r="AZ84" s="32"/>
      <c r="BA84" s="30">
        <f t="shared" si="81"/>
        <v>0</v>
      </c>
      <c r="BB84" s="31"/>
      <c r="BC84" s="32"/>
      <c r="BD84" s="30">
        <f t="shared" si="99"/>
        <v>0</v>
      </c>
      <c r="BE84" s="31"/>
      <c r="BF84" s="32"/>
      <c r="BG84" s="30">
        <f t="shared" si="82"/>
        <v>0</v>
      </c>
      <c r="BH84" s="31"/>
      <c r="BI84" s="32"/>
      <c r="BJ84" s="30">
        <f t="shared" si="83"/>
        <v>0</v>
      </c>
      <c r="BK84" s="31"/>
      <c r="BL84" s="32"/>
      <c r="BM84" s="30">
        <f t="shared" si="104"/>
        <v>0</v>
      </c>
      <c r="BN84" s="31"/>
      <c r="BO84" s="32"/>
      <c r="BP84" s="30">
        <f t="shared" si="108"/>
        <v>0</v>
      </c>
      <c r="BQ84" s="31"/>
      <c r="BR84" s="32"/>
      <c r="BS84" s="30">
        <f t="shared" ref="BS84:BS93" si="110">IFERROR(BQ84*BR84, 0)</f>
        <v>0</v>
      </c>
      <c r="BT84" s="31"/>
      <c r="BU84" s="32"/>
      <c r="BV84" s="30">
        <f t="shared" si="84"/>
        <v>0</v>
      </c>
      <c r="BW84" s="31"/>
      <c r="BX84" s="32"/>
      <c r="BY84" s="30">
        <f>IFERROR(BW84*BX84, 0)</f>
        <v>0</v>
      </c>
      <c r="BZ84" s="31"/>
      <c r="CA84" s="32"/>
      <c r="CB84" s="30">
        <f t="shared" si="85"/>
        <v>0</v>
      </c>
      <c r="CC84" s="31"/>
      <c r="CD84" s="32"/>
      <c r="CE84" s="30">
        <f t="shared" si="86"/>
        <v>0</v>
      </c>
      <c r="CF84" s="31"/>
      <c r="CG84" s="32"/>
      <c r="CH84" s="30">
        <f t="shared" si="87"/>
        <v>0</v>
      </c>
      <c r="CI84" s="31"/>
      <c r="CJ84" s="32"/>
      <c r="CK84" s="30">
        <f t="shared" si="88"/>
        <v>0</v>
      </c>
      <c r="CL84" s="31"/>
      <c r="CM84" s="32"/>
      <c r="CN84" s="30">
        <f t="shared" si="89"/>
        <v>0</v>
      </c>
      <c r="CO84" s="31"/>
      <c r="CP84" s="32"/>
      <c r="CQ84" s="30">
        <f t="shared" si="90"/>
        <v>0</v>
      </c>
      <c r="CR84" s="31"/>
      <c r="CS84" s="32"/>
      <c r="CT84" s="30">
        <f t="shared" si="91"/>
        <v>0</v>
      </c>
      <c r="CU84" s="33">
        <f t="shared" si="92"/>
        <v>0</v>
      </c>
      <c r="CV84" s="30">
        <f t="shared" si="93"/>
        <v>0</v>
      </c>
      <c r="CW84" s="30">
        <f t="shared" si="94"/>
        <v>0</v>
      </c>
    </row>
    <row r="85" spans="1:101" ht="15.75" customHeight="1" x14ac:dyDescent="0.35">
      <c r="A85" s="21" t="s">
        <v>912</v>
      </c>
      <c r="B85" s="21" t="s">
        <v>846</v>
      </c>
      <c r="C85" s="34"/>
      <c r="D85" s="32"/>
      <c r="E85" s="32"/>
      <c r="F85" s="31"/>
      <c r="G85" s="32"/>
      <c r="H85" s="30">
        <f t="shared" si="101"/>
        <v>0</v>
      </c>
      <c r="I85" s="31"/>
      <c r="J85" s="32"/>
      <c r="K85" s="30">
        <f t="shared" si="106"/>
        <v>0</v>
      </c>
      <c r="L85" s="31"/>
      <c r="M85" s="32"/>
      <c r="N85" s="30">
        <f t="shared" si="73"/>
        <v>0</v>
      </c>
      <c r="O85" s="31"/>
      <c r="P85" s="32"/>
      <c r="Q85" s="30">
        <f t="shared" si="97"/>
        <v>0</v>
      </c>
      <c r="R85" s="31"/>
      <c r="S85" s="32"/>
      <c r="T85" s="30">
        <f t="shared" si="109"/>
        <v>0</v>
      </c>
      <c r="U85" s="31"/>
      <c r="V85" s="32"/>
      <c r="W85" s="30">
        <f t="shared" si="96"/>
        <v>0</v>
      </c>
      <c r="X85" s="31"/>
      <c r="Y85" s="32"/>
      <c r="Z85" s="30">
        <f t="shared" si="103"/>
        <v>0</v>
      </c>
      <c r="AA85" s="31"/>
      <c r="AB85" s="32"/>
      <c r="AC85" s="30">
        <f t="shared" si="78"/>
        <v>0</v>
      </c>
      <c r="AD85" s="31"/>
      <c r="AE85" s="32"/>
      <c r="AF85" s="30">
        <f t="shared" si="72"/>
        <v>0</v>
      </c>
      <c r="AG85" s="31"/>
      <c r="AH85" s="32"/>
      <c r="AI85" s="30">
        <f t="shared" si="98"/>
        <v>0</v>
      </c>
      <c r="AJ85" s="31"/>
      <c r="AK85" s="32"/>
      <c r="AL85" s="30">
        <f t="shared" si="79"/>
        <v>0</v>
      </c>
      <c r="AM85" s="31"/>
      <c r="AN85" s="32"/>
      <c r="AO85" s="30">
        <f t="shared" si="80"/>
        <v>0</v>
      </c>
      <c r="AP85" s="31"/>
      <c r="AQ85" s="32"/>
      <c r="AR85" s="30">
        <f t="shared" si="107"/>
        <v>0</v>
      </c>
      <c r="AS85" s="31"/>
      <c r="AT85" s="32"/>
      <c r="AU85" s="30">
        <f t="shared" si="105"/>
        <v>0</v>
      </c>
      <c r="AV85" s="31"/>
      <c r="AW85" s="32"/>
      <c r="AX85" s="30">
        <f t="shared" si="102"/>
        <v>0</v>
      </c>
      <c r="AY85" s="31"/>
      <c r="AZ85" s="32"/>
      <c r="BA85" s="30">
        <f t="shared" si="81"/>
        <v>0</v>
      </c>
      <c r="BB85" s="31"/>
      <c r="BC85" s="32"/>
      <c r="BD85" s="30">
        <f t="shared" si="99"/>
        <v>0</v>
      </c>
      <c r="BE85" s="31"/>
      <c r="BF85" s="32"/>
      <c r="BG85" s="30">
        <f t="shared" si="82"/>
        <v>0</v>
      </c>
      <c r="BH85" s="31"/>
      <c r="BI85" s="32"/>
      <c r="BJ85" s="30">
        <f t="shared" si="83"/>
        <v>0</v>
      </c>
      <c r="BK85" s="31"/>
      <c r="BL85" s="32"/>
      <c r="BM85" s="30">
        <f t="shared" si="104"/>
        <v>0</v>
      </c>
      <c r="BN85" s="31"/>
      <c r="BO85" s="32"/>
      <c r="BP85" s="30">
        <f t="shared" si="108"/>
        <v>0</v>
      </c>
      <c r="BQ85" s="31"/>
      <c r="BR85" s="32"/>
      <c r="BS85" s="30">
        <f t="shared" si="110"/>
        <v>0</v>
      </c>
      <c r="BT85" s="31"/>
      <c r="BU85" s="32"/>
      <c r="BV85" s="30">
        <f t="shared" si="84"/>
        <v>0</v>
      </c>
      <c r="BW85" s="31"/>
      <c r="BX85" s="32"/>
      <c r="BY85" s="30">
        <f>IFERROR(BW85*BX85, 0)</f>
        <v>0</v>
      </c>
      <c r="BZ85" s="31"/>
      <c r="CA85" s="32"/>
      <c r="CB85" s="30">
        <f t="shared" si="85"/>
        <v>0</v>
      </c>
      <c r="CC85" s="31"/>
      <c r="CD85" s="32"/>
      <c r="CE85" s="30">
        <f t="shared" si="86"/>
        <v>0</v>
      </c>
      <c r="CF85" s="31"/>
      <c r="CG85" s="32"/>
      <c r="CH85" s="30">
        <f t="shared" si="87"/>
        <v>0</v>
      </c>
      <c r="CI85" s="31"/>
      <c r="CJ85" s="32"/>
      <c r="CK85" s="30">
        <f t="shared" si="88"/>
        <v>0</v>
      </c>
      <c r="CL85" s="31"/>
      <c r="CM85" s="32"/>
      <c r="CN85" s="30">
        <f t="shared" si="89"/>
        <v>0</v>
      </c>
      <c r="CO85" s="31"/>
      <c r="CP85" s="32"/>
      <c r="CQ85" s="30">
        <f t="shared" si="90"/>
        <v>0</v>
      </c>
      <c r="CR85" s="31"/>
      <c r="CS85" s="32"/>
      <c r="CT85" s="30">
        <f t="shared" si="91"/>
        <v>0</v>
      </c>
      <c r="CU85" s="33">
        <f t="shared" si="92"/>
        <v>0</v>
      </c>
      <c r="CV85" s="30">
        <f t="shared" si="93"/>
        <v>0</v>
      </c>
      <c r="CW85" s="30">
        <f t="shared" si="94"/>
        <v>0</v>
      </c>
    </row>
    <row r="86" spans="1:101" ht="15.75" customHeight="1" x14ac:dyDescent="0.35">
      <c r="A86" s="21" t="s">
        <v>913</v>
      </c>
      <c r="B86" s="21" t="s">
        <v>846</v>
      </c>
      <c r="C86" s="34"/>
      <c r="D86" s="32"/>
      <c r="E86" s="32"/>
      <c r="F86" s="31"/>
      <c r="G86" s="32"/>
      <c r="H86" s="30">
        <f t="shared" si="101"/>
        <v>0</v>
      </c>
      <c r="I86" s="31"/>
      <c r="J86" s="32"/>
      <c r="K86" s="30">
        <f t="shared" si="106"/>
        <v>0</v>
      </c>
      <c r="L86" s="31"/>
      <c r="M86" s="32"/>
      <c r="N86" s="30">
        <f t="shared" si="73"/>
        <v>0</v>
      </c>
      <c r="O86" s="31"/>
      <c r="P86" s="32"/>
      <c r="Q86" s="30">
        <f t="shared" si="97"/>
        <v>0</v>
      </c>
      <c r="R86" s="31"/>
      <c r="S86" s="32"/>
      <c r="T86" s="30">
        <f t="shared" si="109"/>
        <v>0</v>
      </c>
      <c r="U86" s="31"/>
      <c r="V86" s="32"/>
      <c r="W86" s="30">
        <f t="shared" si="96"/>
        <v>0</v>
      </c>
      <c r="X86" s="31"/>
      <c r="Y86" s="32"/>
      <c r="Z86" s="30">
        <f t="shared" si="103"/>
        <v>0</v>
      </c>
      <c r="AA86" s="31"/>
      <c r="AB86" s="32"/>
      <c r="AC86" s="30">
        <f t="shared" si="78"/>
        <v>0</v>
      </c>
      <c r="AD86" s="31"/>
      <c r="AE86" s="32"/>
      <c r="AF86" s="30">
        <f t="shared" si="72"/>
        <v>0</v>
      </c>
      <c r="AG86" s="31"/>
      <c r="AH86" s="32"/>
      <c r="AI86" s="30">
        <f t="shared" si="98"/>
        <v>0</v>
      </c>
      <c r="AJ86" s="31"/>
      <c r="AK86" s="32"/>
      <c r="AL86" s="30">
        <f t="shared" si="79"/>
        <v>0</v>
      </c>
      <c r="AM86" s="31"/>
      <c r="AN86" s="32"/>
      <c r="AO86" s="30">
        <f t="shared" si="80"/>
        <v>0</v>
      </c>
      <c r="AP86" s="31"/>
      <c r="AQ86" s="32"/>
      <c r="AR86" s="30">
        <f t="shared" si="107"/>
        <v>0</v>
      </c>
      <c r="AS86" s="31"/>
      <c r="AT86" s="32"/>
      <c r="AU86" s="30">
        <f t="shared" si="105"/>
        <v>0</v>
      </c>
      <c r="AV86" s="31"/>
      <c r="AW86" s="32"/>
      <c r="AX86" s="30">
        <f t="shared" si="102"/>
        <v>0</v>
      </c>
      <c r="AY86" s="31"/>
      <c r="AZ86" s="32"/>
      <c r="BA86" s="30">
        <f t="shared" si="81"/>
        <v>0</v>
      </c>
      <c r="BB86" s="31"/>
      <c r="BC86" s="32"/>
      <c r="BD86" s="30">
        <f t="shared" si="99"/>
        <v>0</v>
      </c>
      <c r="BE86" s="31"/>
      <c r="BF86" s="32"/>
      <c r="BG86" s="30">
        <f t="shared" si="82"/>
        <v>0</v>
      </c>
      <c r="BH86" s="31"/>
      <c r="BI86" s="32"/>
      <c r="BJ86" s="30">
        <f t="shared" si="83"/>
        <v>0</v>
      </c>
      <c r="BK86" s="31"/>
      <c r="BL86" s="32"/>
      <c r="BM86" s="30">
        <f t="shared" si="104"/>
        <v>0</v>
      </c>
      <c r="BN86" s="31"/>
      <c r="BO86" s="32"/>
      <c r="BP86" s="30">
        <f t="shared" si="108"/>
        <v>0</v>
      </c>
      <c r="BQ86" s="31"/>
      <c r="BR86" s="32"/>
      <c r="BS86" s="30">
        <f t="shared" si="110"/>
        <v>0</v>
      </c>
      <c r="BT86" s="31"/>
      <c r="BU86" s="32"/>
      <c r="BV86" s="30">
        <f t="shared" si="84"/>
        <v>0</v>
      </c>
      <c r="BW86" s="31"/>
      <c r="BX86" s="32"/>
      <c r="BY86" s="30">
        <f>IFERROR(BW86*BX86, 0)</f>
        <v>0</v>
      </c>
      <c r="BZ86" s="31"/>
      <c r="CA86" s="32"/>
      <c r="CB86" s="30">
        <f t="shared" si="85"/>
        <v>0</v>
      </c>
      <c r="CC86" s="31"/>
      <c r="CD86" s="32"/>
      <c r="CE86" s="30">
        <f t="shared" si="86"/>
        <v>0</v>
      </c>
      <c r="CF86" s="31"/>
      <c r="CG86" s="32"/>
      <c r="CH86" s="30">
        <f t="shared" si="87"/>
        <v>0</v>
      </c>
      <c r="CI86" s="31"/>
      <c r="CJ86" s="32"/>
      <c r="CK86" s="30">
        <f t="shared" si="88"/>
        <v>0</v>
      </c>
      <c r="CL86" s="31"/>
      <c r="CM86" s="32"/>
      <c r="CN86" s="30">
        <f t="shared" si="89"/>
        <v>0</v>
      </c>
      <c r="CO86" s="31"/>
      <c r="CP86" s="32"/>
      <c r="CQ86" s="30">
        <f t="shared" si="90"/>
        <v>0</v>
      </c>
      <c r="CR86" s="31"/>
      <c r="CS86" s="32"/>
      <c r="CT86" s="30">
        <f t="shared" si="91"/>
        <v>0</v>
      </c>
      <c r="CU86" s="33">
        <f t="shared" si="92"/>
        <v>0</v>
      </c>
      <c r="CV86" s="30">
        <f t="shared" si="93"/>
        <v>0</v>
      </c>
      <c r="CW86" s="30">
        <f t="shared" si="94"/>
        <v>0</v>
      </c>
    </row>
    <row r="87" spans="1:101" ht="15.75" customHeight="1" x14ac:dyDescent="0.35">
      <c r="A87" s="21" t="s">
        <v>914</v>
      </c>
      <c r="B87" s="21" t="s">
        <v>846</v>
      </c>
      <c r="C87" s="34"/>
      <c r="D87" s="32"/>
      <c r="E87" s="32"/>
      <c r="F87" s="31"/>
      <c r="G87" s="32"/>
      <c r="H87" s="30">
        <f t="shared" si="101"/>
        <v>0</v>
      </c>
      <c r="I87" s="31"/>
      <c r="J87" s="32"/>
      <c r="K87" s="30">
        <f t="shared" si="106"/>
        <v>0</v>
      </c>
      <c r="L87" s="31"/>
      <c r="M87" s="32"/>
      <c r="N87" s="30">
        <f t="shared" ref="N87:N93" si="111">IFERROR(L87*M87, 0)</f>
        <v>0</v>
      </c>
      <c r="O87" s="31"/>
      <c r="P87" s="32"/>
      <c r="Q87" s="30">
        <f t="shared" si="97"/>
        <v>0</v>
      </c>
      <c r="R87" s="31"/>
      <c r="S87" s="32"/>
      <c r="T87" s="30">
        <f t="shared" si="109"/>
        <v>0</v>
      </c>
      <c r="U87" s="31"/>
      <c r="V87" s="32"/>
      <c r="W87" s="30">
        <f t="shared" si="96"/>
        <v>0</v>
      </c>
      <c r="X87" s="31"/>
      <c r="Y87" s="32"/>
      <c r="Z87" s="30">
        <f t="shared" si="103"/>
        <v>0</v>
      </c>
      <c r="AA87" s="31"/>
      <c r="AB87" s="32"/>
      <c r="AC87" s="30">
        <f t="shared" si="78"/>
        <v>0</v>
      </c>
      <c r="AD87" s="31"/>
      <c r="AE87" s="32"/>
      <c r="AF87" s="30">
        <f t="shared" si="72"/>
        <v>0</v>
      </c>
      <c r="AG87" s="31"/>
      <c r="AH87" s="32"/>
      <c r="AI87" s="30">
        <f t="shared" si="98"/>
        <v>0</v>
      </c>
      <c r="AJ87" s="31"/>
      <c r="AK87" s="32"/>
      <c r="AL87" s="30">
        <f t="shared" si="79"/>
        <v>0</v>
      </c>
      <c r="AM87" s="31"/>
      <c r="AN87" s="32"/>
      <c r="AO87" s="30">
        <f t="shared" si="80"/>
        <v>0</v>
      </c>
      <c r="AP87" s="31"/>
      <c r="AQ87" s="32"/>
      <c r="AR87" s="30">
        <f t="shared" si="107"/>
        <v>0</v>
      </c>
      <c r="AS87" s="31"/>
      <c r="AT87" s="32"/>
      <c r="AU87" s="30">
        <f t="shared" si="105"/>
        <v>0</v>
      </c>
      <c r="AV87" s="31"/>
      <c r="AW87" s="32"/>
      <c r="AX87" s="30">
        <f t="shared" si="102"/>
        <v>0</v>
      </c>
      <c r="AY87" s="31"/>
      <c r="AZ87" s="32"/>
      <c r="BA87" s="30">
        <f t="shared" si="81"/>
        <v>0</v>
      </c>
      <c r="BB87" s="31"/>
      <c r="BC87" s="32"/>
      <c r="BD87" s="30">
        <f t="shared" si="99"/>
        <v>0</v>
      </c>
      <c r="BE87" s="31"/>
      <c r="BF87" s="32"/>
      <c r="BG87" s="30">
        <f t="shared" si="82"/>
        <v>0</v>
      </c>
      <c r="BH87" s="31"/>
      <c r="BI87" s="32"/>
      <c r="BJ87" s="30">
        <f t="shared" si="83"/>
        <v>0</v>
      </c>
      <c r="BK87" s="31"/>
      <c r="BL87" s="32"/>
      <c r="BM87" s="30">
        <f t="shared" si="104"/>
        <v>0</v>
      </c>
      <c r="BN87" s="31"/>
      <c r="BO87" s="32"/>
      <c r="BP87" s="30">
        <f t="shared" si="108"/>
        <v>0</v>
      </c>
      <c r="BQ87" s="31"/>
      <c r="BR87" s="32"/>
      <c r="BS87" s="30">
        <f t="shared" si="110"/>
        <v>0</v>
      </c>
      <c r="BT87" s="31"/>
      <c r="BU87" s="32"/>
      <c r="BV87" s="30">
        <f t="shared" si="84"/>
        <v>0</v>
      </c>
      <c r="BW87" s="31"/>
      <c r="BX87" s="32"/>
      <c r="BY87" s="30">
        <f>IFERROR(BW87*BX87, 0)</f>
        <v>0</v>
      </c>
      <c r="BZ87" s="31"/>
      <c r="CA87" s="32"/>
      <c r="CB87" s="30">
        <f t="shared" si="85"/>
        <v>0</v>
      </c>
      <c r="CC87" s="31"/>
      <c r="CD87" s="32"/>
      <c r="CE87" s="30">
        <f t="shared" si="86"/>
        <v>0</v>
      </c>
      <c r="CF87" s="31"/>
      <c r="CG87" s="32"/>
      <c r="CH87" s="30">
        <f t="shared" si="87"/>
        <v>0</v>
      </c>
      <c r="CI87" s="31"/>
      <c r="CJ87" s="32"/>
      <c r="CK87" s="30">
        <f t="shared" si="88"/>
        <v>0</v>
      </c>
      <c r="CL87" s="31"/>
      <c r="CM87" s="32"/>
      <c r="CN87" s="30">
        <f t="shared" si="89"/>
        <v>0</v>
      </c>
      <c r="CO87" s="31"/>
      <c r="CP87" s="32"/>
      <c r="CQ87" s="30">
        <f t="shared" si="90"/>
        <v>0</v>
      </c>
      <c r="CR87" s="31"/>
      <c r="CS87" s="32"/>
      <c r="CT87" s="30">
        <f t="shared" si="91"/>
        <v>0</v>
      </c>
      <c r="CU87" s="33">
        <f t="shared" si="92"/>
        <v>0</v>
      </c>
      <c r="CV87" s="30">
        <f t="shared" si="93"/>
        <v>0</v>
      </c>
      <c r="CW87" s="30">
        <f t="shared" si="94"/>
        <v>0</v>
      </c>
    </row>
    <row r="88" spans="1:101" ht="15.75" customHeight="1" x14ac:dyDescent="0.35">
      <c r="A88" s="21" t="s">
        <v>73</v>
      </c>
      <c r="B88" s="21" t="s">
        <v>846</v>
      </c>
      <c r="C88" s="34"/>
      <c r="D88" s="32"/>
      <c r="E88" s="32"/>
      <c r="F88" s="31"/>
      <c r="G88" s="32"/>
      <c r="H88" s="30">
        <f t="shared" si="101"/>
        <v>0</v>
      </c>
      <c r="I88" s="31">
        <v>1</v>
      </c>
      <c r="J88" s="32">
        <v>36400</v>
      </c>
      <c r="K88" s="30">
        <v>36400</v>
      </c>
      <c r="L88" s="31"/>
      <c r="M88" s="32"/>
      <c r="N88" s="30">
        <f t="shared" si="111"/>
        <v>0</v>
      </c>
      <c r="O88" s="31"/>
      <c r="P88" s="32"/>
      <c r="Q88" s="30">
        <f t="shared" si="97"/>
        <v>0</v>
      </c>
      <c r="R88" s="31"/>
      <c r="S88" s="32"/>
      <c r="T88" s="30">
        <f t="shared" si="109"/>
        <v>0</v>
      </c>
      <c r="U88" s="31"/>
      <c r="V88" s="32"/>
      <c r="W88" s="30">
        <f t="shared" si="96"/>
        <v>0</v>
      </c>
      <c r="X88" s="31"/>
      <c r="Y88" s="32"/>
      <c r="Z88" s="30">
        <f t="shared" si="103"/>
        <v>0</v>
      </c>
      <c r="AA88" s="31"/>
      <c r="AB88" s="32"/>
      <c r="AC88" s="30">
        <f t="shared" si="78"/>
        <v>0</v>
      </c>
      <c r="AD88" s="31"/>
      <c r="AE88" s="32"/>
      <c r="AF88" s="30">
        <f t="shared" si="72"/>
        <v>0</v>
      </c>
      <c r="AG88" s="31"/>
      <c r="AH88" s="32"/>
      <c r="AI88" s="30">
        <f t="shared" si="98"/>
        <v>0</v>
      </c>
      <c r="AJ88" s="31"/>
      <c r="AK88" s="32"/>
      <c r="AL88" s="30">
        <f t="shared" si="79"/>
        <v>0</v>
      </c>
      <c r="AM88" s="31"/>
      <c r="AN88" s="32"/>
      <c r="AO88" s="30">
        <f t="shared" si="80"/>
        <v>0</v>
      </c>
      <c r="AP88" s="31"/>
      <c r="AQ88" s="32"/>
      <c r="AR88" s="30">
        <f t="shared" si="107"/>
        <v>0</v>
      </c>
      <c r="AS88" s="31"/>
      <c r="AT88" s="32"/>
      <c r="AU88" s="30">
        <f t="shared" si="105"/>
        <v>0</v>
      </c>
      <c r="AV88" s="31"/>
      <c r="AW88" s="32"/>
      <c r="AX88" s="30">
        <f t="shared" si="102"/>
        <v>0</v>
      </c>
      <c r="AY88" s="31"/>
      <c r="AZ88" s="32"/>
      <c r="BA88" s="30">
        <f t="shared" si="81"/>
        <v>0</v>
      </c>
      <c r="BB88" s="31"/>
      <c r="BC88" s="32"/>
      <c r="BD88" s="30">
        <f t="shared" si="99"/>
        <v>0</v>
      </c>
      <c r="BE88" s="31"/>
      <c r="BF88" s="32"/>
      <c r="BG88" s="30">
        <f t="shared" si="82"/>
        <v>0</v>
      </c>
      <c r="BH88" s="31"/>
      <c r="BI88" s="32"/>
      <c r="BJ88" s="30">
        <f t="shared" si="83"/>
        <v>0</v>
      </c>
      <c r="BK88" s="31"/>
      <c r="BL88" s="32"/>
      <c r="BM88" s="30">
        <f t="shared" si="104"/>
        <v>0</v>
      </c>
      <c r="BN88" s="31"/>
      <c r="BO88" s="32"/>
      <c r="BP88" s="30">
        <f t="shared" si="108"/>
        <v>0</v>
      </c>
      <c r="BQ88" s="31"/>
      <c r="BR88" s="32"/>
      <c r="BS88" s="30">
        <f t="shared" si="110"/>
        <v>0</v>
      </c>
      <c r="BT88" s="31"/>
      <c r="BU88" s="32"/>
      <c r="BV88" s="30">
        <f t="shared" si="84"/>
        <v>0</v>
      </c>
      <c r="BW88" s="31">
        <v>15</v>
      </c>
      <c r="BX88" s="32">
        <v>6666.67</v>
      </c>
      <c r="BY88" s="30">
        <v>100000</v>
      </c>
      <c r="BZ88" s="31"/>
      <c r="CA88" s="32"/>
      <c r="CB88" s="30">
        <f t="shared" si="85"/>
        <v>0</v>
      </c>
      <c r="CC88" s="31"/>
      <c r="CD88" s="32"/>
      <c r="CE88" s="30">
        <f t="shared" si="86"/>
        <v>0</v>
      </c>
      <c r="CF88" s="31"/>
      <c r="CG88" s="32"/>
      <c r="CH88" s="30">
        <f t="shared" si="87"/>
        <v>0</v>
      </c>
      <c r="CI88" s="31"/>
      <c r="CJ88" s="32"/>
      <c r="CK88" s="30">
        <f t="shared" si="88"/>
        <v>0</v>
      </c>
      <c r="CL88" s="31"/>
      <c r="CM88" s="32"/>
      <c r="CN88" s="30">
        <f t="shared" si="89"/>
        <v>0</v>
      </c>
      <c r="CO88" s="31"/>
      <c r="CP88" s="32"/>
      <c r="CQ88" s="30">
        <f t="shared" si="90"/>
        <v>0</v>
      </c>
      <c r="CR88" s="31"/>
      <c r="CS88" s="32"/>
      <c r="CT88" s="30">
        <f t="shared" si="91"/>
        <v>0</v>
      </c>
      <c r="CU88" s="33">
        <f t="shared" si="92"/>
        <v>16</v>
      </c>
      <c r="CV88" s="30">
        <f t="shared" si="93"/>
        <v>21533.334999999999</v>
      </c>
      <c r="CW88" s="30">
        <f t="shared" si="94"/>
        <v>344533.36</v>
      </c>
    </row>
    <row r="89" spans="1:101" ht="15.75" customHeight="1" x14ac:dyDescent="0.35">
      <c r="A89" s="21" t="s">
        <v>915</v>
      </c>
      <c r="B89" s="21" t="s">
        <v>846</v>
      </c>
      <c r="C89" s="34"/>
      <c r="D89" s="32"/>
      <c r="E89" s="32"/>
      <c r="F89" s="31"/>
      <c r="G89" s="32"/>
      <c r="H89" s="30">
        <f t="shared" si="101"/>
        <v>0</v>
      </c>
      <c r="I89" s="31"/>
      <c r="J89" s="32"/>
      <c r="K89" s="30">
        <f>IFERROR(I89*J89, 0)</f>
        <v>0</v>
      </c>
      <c r="L89" s="31"/>
      <c r="M89" s="32"/>
      <c r="N89" s="30">
        <f t="shared" si="111"/>
        <v>0</v>
      </c>
      <c r="O89" s="31"/>
      <c r="P89" s="32"/>
      <c r="Q89" s="30">
        <f t="shared" si="97"/>
        <v>0</v>
      </c>
      <c r="R89" s="31"/>
      <c r="S89" s="32"/>
      <c r="T89" s="30">
        <f t="shared" si="109"/>
        <v>0</v>
      </c>
      <c r="U89" s="31"/>
      <c r="V89" s="32"/>
      <c r="W89" s="30">
        <f t="shared" si="96"/>
        <v>0</v>
      </c>
      <c r="X89" s="31"/>
      <c r="Y89" s="32"/>
      <c r="Z89" s="30">
        <f t="shared" si="103"/>
        <v>0</v>
      </c>
      <c r="AA89" s="31"/>
      <c r="AB89" s="32"/>
      <c r="AC89" s="30">
        <f t="shared" si="78"/>
        <v>0</v>
      </c>
      <c r="AD89" s="31"/>
      <c r="AE89" s="32"/>
      <c r="AF89" s="30">
        <f t="shared" si="72"/>
        <v>0</v>
      </c>
      <c r="AG89" s="31"/>
      <c r="AH89" s="32"/>
      <c r="AI89" s="30">
        <f t="shared" si="98"/>
        <v>0</v>
      </c>
      <c r="AJ89" s="31"/>
      <c r="AK89" s="32"/>
      <c r="AL89" s="30">
        <f t="shared" si="79"/>
        <v>0</v>
      </c>
      <c r="AM89" s="31"/>
      <c r="AN89" s="32"/>
      <c r="AO89" s="30">
        <f t="shared" si="80"/>
        <v>0</v>
      </c>
      <c r="AP89" s="31"/>
      <c r="AQ89" s="32"/>
      <c r="AR89" s="30">
        <f t="shared" si="107"/>
        <v>0</v>
      </c>
      <c r="AS89" s="31"/>
      <c r="AT89" s="32"/>
      <c r="AU89" s="30">
        <f t="shared" si="105"/>
        <v>0</v>
      </c>
      <c r="AV89" s="31"/>
      <c r="AW89" s="32"/>
      <c r="AX89" s="30">
        <f t="shared" si="102"/>
        <v>0</v>
      </c>
      <c r="AY89" s="31"/>
      <c r="AZ89" s="32"/>
      <c r="BA89" s="30">
        <f t="shared" si="81"/>
        <v>0</v>
      </c>
      <c r="BB89" s="31"/>
      <c r="BC89" s="32"/>
      <c r="BD89" s="30">
        <f t="shared" si="99"/>
        <v>0</v>
      </c>
      <c r="BE89" s="31"/>
      <c r="BF89" s="32"/>
      <c r="BG89" s="30">
        <f t="shared" si="82"/>
        <v>0</v>
      </c>
      <c r="BH89" s="31"/>
      <c r="BI89" s="32"/>
      <c r="BJ89" s="30">
        <f t="shared" si="83"/>
        <v>0</v>
      </c>
      <c r="BK89" s="31"/>
      <c r="BL89" s="32"/>
      <c r="BM89" s="30">
        <f t="shared" si="104"/>
        <v>0</v>
      </c>
      <c r="BN89" s="31"/>
      <c r="BO89" s="32"/>
      <c r="BP89" s="30">
        <f t="shared" si="108"/>
        <v>0</v>
      </c>
      <c r="BQ89" s="31"/>
      <c r="BR89" s="32"/>
      <c r="BS89" s="30">
        <f t="shared" si="110"/>
        <v>0</v>
      </c>
      <c r="BT89" s="31"/>
      <c r="BU89" s="32"/>
      <c r="BV89" s="30">
        <f t="shared" si="84"/>
        <v>0</v>
      </c>
      <c r="BW89" s="31"/>
      <c r="BX89" s="32"/>
      <c r="BY89" s="30">
        <f>IFERROR(BW89*BX89, 0)</f>
        <v>0</v>
      </c>
      <c r="BZ89" s="31"/>
      <c r="CA89" s="32"/>
      <c r="CB89" s="30">
        <f t="shared" si="85"/>
        <v>0</v>
      </c>
      <c r="CC89" s="31"/>
      <c r="CD89" s="32"/>
      <c r="CE89" s="30">
        <f t="shared" si="86"/>
        <v>0</v>
      </c>
      <c r="CF89" s="31"/>
      <c r="CG89" s="32"/>
      <c r="CH89" s="30">
        <f t="shared" si="87"/>
        <v>0</v>
      </c>
      <c r="CI89" s="31"/>
      <c r="CJ89" s="32"/>
      <c r="CK89" s="30">
        <f t="shared" si="88"/>
        <v>0</v>
      </c>
      <c r="CL89" s="31"/>
      <c r="CM89" s="32"/>
      <c r="CN89" s="30">
        <f t="shared" si="89"/>
        <v>0</v>
      </c>
      <c r="CO89" s="31"/>
      <c r="CP89" s="32"/>
      <c r="CQ89" s="30">
        <f t="shared" si="90"/>
        <v>0</v>
      </c>
      <c r="CR89" s="31"/>
      <c r="CS89" s="32"/>
      <c r="CT89" s="30">
        <f t="shared" si="91"/>
        <v>0</v>
      </c>
      <c r="CU89" s="33">
        <f t="shared" si="92"/>
        <v>0</v>
      </c>
      <c r="CV89" s="30">
        <f t="shared" si="93"/>
        <v>0</v>
      </c>
      <c r="CW89" s="30">
        <f t="shared" si="94"/>
        <v>0</v>
      </c>
    </row>
    <row r="90" spans="1:101" ht="15.75" customHeight="1" x14ac:dyDescent="0.35">
      <c r="A90" s="21" t="s">
        <v>207</v>
      </c>
      <c r="B90" s="21" t="s">
        <v>846</v>
      </c>
      <c r="C90" s="34"/>
      <c r="D90" s="32"/>
      <c r="E90" s="32"/>
      <c r="F90" s="31"/>
      <c r="G90" s="32"/>
      <c r="H90" s="30">
        <f t="shared" si="101"/>
        <v>0</v>
      </c>
      <c r="I90" s="31"/>
      <c r="J90" s="32"/>
      <c r="K90" s="30">
        <f>IFERROR(I90*J90, 0)</f>
        <v>0</v>
      </c>
      <c r="L90" s="31"/>
      <c r="M90" s="32"/>
      <c r="N90" s="30">
        <f t="shared" si="111"/>
        <v>0</v>
      </c>
      <c r="O90" s="31">
        <v>10</v>
      </c>
      <c r="P90" s="32">
        <v>45000</v>
      </c>
      <c r="Q90" s="30">
        <v>45000</v>
      </c>
      <c r="R90" s="31"/>
      <c r="S90" s="32"/>
      <c r="T90" s="30">
        <f t="shared" si="109"/>
        <v>0</v>
      </c>
      <c r="U90" s="31"/>
      <c r="V90" s="32"/>
      <c r="W90" s="30">
        <f t="shared" si="96"/>
        <v>0</v>
      </c>
      <c r="X90" s="31"/>
      <c r="Y90" s="32"/>
      <c r="Z90" s="30">
        <f t="shared" si="103"/>
        <v>0</v>
      </c>
      <c r="AA90" s="31"/>
      <c r="AB90" s="32"/>
      <c r="AC90" s="30">
        <f t="shared" si="78"/>
        <v>0</v>
      </c>
      <c r="AD90" s="31"/>
      <c r="AE90" s="32"/>
      <c r="AF90" s="30">
        <f t="shared" si="72"/>
        <v>0</v>
      </c>
      <c r="AG90" s="31"/>
      <c r="AH90" s="32"/>
      <c r="AI90" s="30">
        <f t="shared" si="98"/>
        <v>0</v>
      </c>
      <c r="AJ90" s="31"/>
      <c r="AK90" s="32"/>
      <c r="AL90" s="30">
        <f t="shared" si="79"/>
        <v>0</v>
      </c>
      <c r="AM90" s="31"/>
      <c r="AN90" s="32"/>
      <c r="AO90" s="30">
        <f t="shared" si="80"/>
        <v>0</v>
      </c>
      <c r="AP90" s="31">
        <v>10</v>
      </c>
      <c r="AQ90" s="32">
        <v>4500</v>
      </c>
      <c r="AR90" s="30">
        <v>45000</v>
      </c>
      <c r="AS90" s="31"/>
      <c r="AT90" s="32"/>
      <c r="AU90" s="30">
        <f t="shared" si="105"/>
        <v>0</v>
      </c>
      <c r="AV90" s="31"/>
      <c r="AW90" s="32"/>
      <c r="AX90" s="30">
        <f t="shared" si="102"/>
        <v>0</v>
      </c>
      <c r="AY90" s="31">
        <v>42</v>
      </c>
      <c r="AZ90" s="32">
        <v>4500</v>
      </c>
      <c r="BA90" s="30">
        <v>189000</v>
      </c>
      <c r="BB90" s="31"/>
      <c r="BC90" s="32"/>
      <c r="BD90" s="30">
        <f t="shared" si="99"/>
        <v>0</v>
      </c>
      <c r="BE90" s="31">
        <v>5.0650000000000004</v>
      </c>
      <c r="BF90" s="32">
        <v>3700</v>
      </c>
      <c r="BG90" s="30">
        <v>18741</v>
      </c>
      <c r="BH90" s="31"/>
      <c r="BI90" s="32"/>
      <c r="BJ90" s="30">
        <f t="shared" si="83"/>
        <v>0</v>
      </c>
      <c r="BK90" s="31"/>
      <c r="BL90" s="32"/>
      <c r="BM90" s="30">
        <f t="shared" si="104"/>
        <v>0</v>
      </c>
      <c r="BN90" s="31"/>
      <c r="BO90" s="32"/>
      <c r="BP90" s="30">
        <f t="shared" si="108"/>
        <v>0</v>
      </c>
      <c r="BQ90" s="31"/>
      <c r="BR90" s="32"/>
      <c r="BS90" s="30">
        <f t="shared" si="110"/>
        <v>0</v>
      </c>
      <c r="BT90" s="31"/>
      <c r="BU90" s="32"/>
      <c r="BV90" s="30">
        <f t="shared" si="84"/>
        <v>0</v>
      </c>
      <c r="BW90" s="31"/>
      <c r="BX90" s="32"/>
      <c r="BY90" s="30">
        <f>IFERROR(BW90*BX90, 0)</f>
        <v>0</v>
      </c>
      <c r="BZ90" s="31"/>
      <c r="CA90" s="32"/>
      <c r="CB90" s="30">
        <f t="shared" si="85"/>
        <v>0</v>
      </c>
      <c r="CC90" s="31"/>
      <c r="CD90" s="32"/>
      <c r="CE90" s="30">
        <f t="shared" si="86"/>
        <v>0</v>
      </c>
      <c r="CF90" s="31"/>
      <c r="CG90" s="32"/>
      <c r="CH90" s="30">
        <f t="shared" si="87"/>
        <v>0</v>
      </c>
      <c r="CI90" s="31"/>
      <c r="CJ90" s="32"/>
      <c r="CK90" s="30">
        <f t="shared" si="88"/>
        <v>0</v>
      </c>
      <c r="CL90" s="31"/>
      <c r="CM90" s="32"/>
      <c r="CN90" s="30">
        <f t="shared" si="89"/>
        <v>0</v>
      </c>
      <c r="CO90" s="31"/>
      <c r="CP90" s="32"/>
      <c r="CQ90" s="30">
        <f t="shared" si="90"/>
        <v>0</v>
      </c>
      <c r="CR90" s="31"/>
      <c r="CS90" s="32"/>
      <c r="CT90" s="30">
        <f t="shared" si="91"/>
        <v>0</v>
      </c>
      <c r="CU90" s="33">
        <f t="shared" si="92"/>
        <v>67.064999999999998</v>
      </c>
      <c r="CV90" s="30">
        <f t="shared" si="93"/>
        <v>14425</v>
      </c>
      <c r="CW90" s="30">
        <f t="shared" si="94"/>
        <v>967412.625</v>
      </c>
    </row>
    <row r="91" spans="1:101" ht="15.75" customHeight="1" x14ac:dyDescent="0.35">
      <c r="A91" s="21" t="s">
        <v>916</v>
      </c>
      <c r="B91" s="21" t="s">
        <v>846</v>
      </c>
      <c r="C91" s="34"/>
      <c r="D91" s="32"/>
      <c r="E91" s="32"/>
      <c r="F91" s="31"/>
      <c r="G91" s="32"/>
      <c r="H91" s="30">
        <f t="shared" si="101"/>
        <v>0</v>
      </c>
      <c r="I91" s="31"/>
      <c r="J91" s="32"/>
      <c r="K91" s="30">
        <f>IFERROR(I91*J91, 0)</f>
        <v>0</v>
      </c>
      <c r="L91" s="31"/>
      <c r="M91" s="32"/>
      <c r="N91" s="30">
        <f t="shared" si="111"/>
        <v>0</v>
      </c>
      <c r="O91" s="31"/>
      <c r="P91" s="32"/>
      <c r="Q91" s="30">
        <f>IFERROR(O91*P91, 0)</f>
        <v>0</v>
      </c>
      <c r="R91" s="31"/>
      <c r="S91" s="32"/>
      <c r="T91" s="30">
        <f t="shared" si="109"/>
        <v>0</v>
      </c>
      <c r="U91" s="31"/>
      <c r="V91" s="32"/>
      <c r="W91" s="30">
        <f t="shared" si="96"/>
        <v>0</v>
      </c>
      <c r="X91" s="31"/>
      <c r="Y91" s="32"/>
      <c r="Z91" s="30">
        <f t="shared" si="103"/>
        <v>0</v>
      </c>
      <c r="AA91" s="31"/>
      <c r="AB91" s="32"/>
      <c r="AC91" s="30">
        <f t="shared" si="78"/>
        <v>0</v>
      </c>
      <c r="AD91" s="31"/>
      <c r="AE91" s="32"/>
      <c r="AF91" s="30">
        <f t="shared" si="72"/>
        <v>0</v>
      </c>
      <c r="AG91" s="31"/>
      <c r="AH91" s="32"/>
      <c r="AI91" s="30">
        <f t="shared" si="98"/>
        <v>0</v>
      </c>
      <c r="AJ91" s="31"/>
      <c r="AK91" s="32"/>
      <c r="AL91" s="30">
        <f t="shared" si="79"/>
        <v>0</v>
      </c>
      <c r="AM91" s="31"/>
      <c r="AN91" s="32"/>
      <c r="AO91" s="30">
        <f t="shared" si="80"/>
        <v>0</v>
      </c>
      <c r="AP91" s="31"/>
      <c r="AQ91" s="32"/>
      <c r="AR91" s="30">
        <f>IFERROR(AP91*AQ91, 0)</f>
        <v>0</v>
      </c>
      <c r="AS91" s="31"/>
      <c r="AT91" s="32"/>
      <c r="AU91" s="30">
        <f t="shared" si="105"/>
        <v>0</v>
      </c>
      <c r="AV91" s="31"/>
      <c r="AW91" s="32"/>
      <c r="AX91" s="30">
        <f t="shared" si="102"/>
        <v>0</v>
      </c>
      <c r="AY91" s="31"/>
      <c r="AZ91" s="32"/>
      <c r="BA91" s="30">
        <f>IFERROR(AY91*AZ91, 0)</f>
        <v>0</v>
      </c>
      <c r="BB91" s="31"/>
      <c r="BC91" s="32"/>
      <c r="BD91" s="30">
        <f t="shared" si="99"/>
        <v>0</v>
      </c>
      <c r="BE91" s="31"/>
      <c r="BF91" s="32"/>
      <c r="BG91" s="30">
        <f t="shared" ref="BG91:BG98" si="112">IFERROR(BE91*BF91, 0)</f>
        <v>0</v>
      </c>
      <c r="BH91" s="31"/>
      <c r="BI91" s="32"/>
      <c r="BJ91" s="30">
        <f t="shared" si="83"/>
        <v>0</v>
      </c>
      <c r="BK91" s="31"/>
      <c r="BL91" s="32"/>
      <c r="BM91" s="30">
        <f t="shared" si="104"/>
        <v>0</v>
      </c>
      <c r="BN91" s="31"/>
      <c r="BO91" s="32"/>
      <c r="BP91" s="30">
        <f t="shared" si="108"/>
        <v>0</v>
      </c>
      <c r="BQ91" s="31"/>
      <c r="BR91" s="32"/>
      <c r="BS91" s="30">
        <f t="shared" si="110"/>
        <v>0</v>
      </c>
      <c r="BT91" s="31"/>
      <c r="BU91" s="32"/>
      <c r="BV91" s="30">
        <f t="shared" si="84"/>
        <v>0</v>
      </c>
      <c r="BW91" s="31"/>
      <c r="BX91" s="32"/>
      <c r="BY91" s="30">
        <f>IFERROR(BW91*BX91, 0)</f>
        <v>0</v>
      </c>
      <c r="BZ91" s="31"/>
      <c r="CA91" s="32"/>
      <c r="CB91" s="30">
        <f t="shared" si="85"/>
        <v>0</v>
      </c>
      <c r="CC91" s="31"/>
      <c r="CD91" s="32"/>
      <c r="CE91" s="30">
        <f t="shared" si="86"/>
        <v>0</v>
      </c>
      <c r="CF91" s="31"/>
      <c r="CG91" s="32"/>
      <c r="CH91" s="30">
        <f t="shared" si="87"/>
        <v>0</v>
      </c>
      <c r="CI91" s="31"/>
      <c r="CJ91" s="32"/>
      <c r="CK91" s="30">
        <f t="shared" si="88"/>
        <v>0</v>
      </c>
      <c r="CL91" s="31"/>
      <c r="CM91" s="32"/>
      <c r="CN91" s="30">
        <f t="shared" si="89"/>
        <v>0</v>
      </c>
      <c r="CO91" s="31"/>
      <c r="CP91" s="32"/>
      <c r="CQ91" s="30">
        <f t="shared" si="90"/>
        <v>0</v>
      </c>
      <c r="CR91" s="31"/>
      <c r="CS91" s="32"/>
      <c r="CT91" s="30">
        <f t="shared" si="91"/>
        <v>0</v>
      </c>
      <c r="CU91" s="33">
        <f t="shared" si="92"/>
        <v>0</v>
      </c>
      <c r="CV91" s="30">
        <f t="shared" si="93"/>
        <v>0</v>
      </c>
      <c r="CW91" s="30">
        <f t="shared" si="94"/>
        <v>0</v>
      </c>
    </row>
    <row r="92" spans="1:101" ht="15.75" customHeight="1" x14ac:dyDescent="0.35">
      <c r="A92" s="21" t="s">
        <v>364</v>
      </c>
      <c r="B92" s="21" t="s">
        <v>846</v>
      </c>
      <c r="C92" s="34"/>
      <c r="D92" s="32"/>
      <c r="E92" s="32"/>
      <c r="F92" s="31"/>
      <c r="G92" s="32"/>
      <c r="H92" s="30">
        <f t="shared" si="101"/>
        <v>0</v>
      </c>
      <c r="I92" s="31"/>
      <c r="J92" s="32"/>
      <c r="K92" s="30">
        <f>IFERROR(I92*J92, 0)</f>
        <v>0</v>
      </c>
      <c r="L92" s="31"/>
      <c r="M92" s="32"/>
      <c r="N92" s="30">
        <f t="shared" si="111"/>
        <v>0</v>
      </c>
      <c r="O92" s="31"/>
      <c r="P92" s="32"/>
      <c r="Q92" s="30">
        <f>IFERROR(O92*P92, 0)</f>
        <v>0</v>
      </c>
      <c r="R92" s="31"/>
      <c r="S92" s="32"/>
      <c r="T92" s="30">
        <f t="shared" si="109"/>
        <v>0</v>
      </c>
      <c r="U92" s="31"/>
      <c r="V92" s="32"/>
      <c r="W92" s="30">
        <f t="shared" si="96"/>
        <v>0</v>
      </c>
      <c r="X92" s="31"/>
      <c r="Y92" s="32"/>
      <c r="Z92" s="30">
        <f t="shared" si="103"/>
        <v>0</v>
      </c>
      <c r="AA92" s="31"/>
      <c r="AB92" s="32"/>
      <c r="AC92" s="30">
        <f t="shared" si="78"/>
        <v>0</v>
      </c>
      <c r="AD92" s="31">
        <v>35</v>
      </c>
      <c r="AE92" s="32">
        <v>1600</v>
      </c>
      <c r="AF92" s="30">
        <v>56000</v>
      </c>
      <c r="AG92" s="31"/>
      <c r="AH92" s="32"/>
      <c r="AI92" s="30">
        <f t="shared" si="98"/>
        <v>0</v>
      </c>
      <c r="AJ92" s="31"/>
      <c r="AK92" s="32"/>
      <c r="AL92" s="30">
        <f t="shared" si="79"/>
        <v>0</v>
      </c>
      <c r="AM92" s="31"/>
      <c r="AN92" s="32"/>
      <c r="AO92" s="30">
        <f t="shared" si="80"/>
        <v>0</v>
      </c>
      <c r="AP92" s="31"/>
      <c r="AQ92" s="32"/>
      <c r="AR92" s="30">
        <f>IFERROR(AP92*AQ92, 0)</f>
        <v>0</v>
      </c>
      <c r="AS92" s="31"/>
      <c r="AT92" s="32"/>
      <c r="AU92" s="30">
        <f t="shared" si="105"/>
        <v>0</v>
      </c>
      <c r="AV92" s="31"/>
      <c r="AW92" s="32"/>
      <c r="AX92" s="30">
        <f t="shared" si="102"/>
        <v>0</v>
      </c>
      <c r="AY92" s="31"/>
      <c r="AZ92" s="32"/>
      <c r="BA92" s="30">
        <f>IFERROR(AY92*AZ92, 0)</f>
        <v>0</v>
      </c>
      <c r="BB92" s="31"/>
      <c r="BC92" s="32"/>
      <c r="BD92" s="30">
        <f t="shared" si="99"/>
        <v>0</v>
      </c>
      <c r="BE92" s="31"/>
      <c r="BF92" s="32"/>
      <c r="BG92" s="30">
        <f t="shared" si="112"/>
        <v>0</v>
      </c>
      <c r="BH92" s="31"/>
      <c r="BI92" s="32"/>
      <c r="BJ92" s="30">
        <f t="shared" si="83"/>
        <v>0</v>
      </c>
      <c r="BK92" s="31"/>
      <c r="BL92" s="32"/>
      <c r="BM92" s="30">
        <f t="shared" si="104"/>
        <v>0</v>
      </c>
      <c r="BN92" s="31"/>
      <c r="BO92" s="32"/>
      <c r="BP92" s="30">
        <f t="shared" si="108"/>
        <v>0</v>
      </c>
      <c r="BQ92" s="31"/>
      <c r="BR92" s="32"/>
      <c r="BS92" s="30">
        <f t="shared" si="110"/>
        <v>0</v>
      </c>
      <c r="BT92" s="31"/>
      <c r="BU92" s="32"/>
      <c r="BV92" s="30">
        <f t="shared" si="84"/>
        <v>0</v>
      </c>
      <c r="BW92" s="31"/>
      <c r="BX92" s="32"/>
      <c r="BY92" s="30">
        <f>IFERROR(BW92*BX92, 0)</f>
        <v>0</v>
      </c>
      <c r="BZ92" s="31"/>
      <c r="CA92" s="32"/>
      <c r="CB92" s="30">
        <f t="shared" si="85"/>
        <v>0</v>
      </c>
      <c r="CC92" s="31"/>
      <c r="CD92" s="32"/>
      <c r="CE92" s="30">
        <f t="shared" si="86"/>
        <v>0</v>
      </c>
      <c r="CF92" s="31"/>
      <c r="CG92" s="32"/>
      <c r="CH92" s="30">
        <f t="shared" si="87"/>
        <v>0</v>
      </c>
      <c r="CI92" s="31"/>
      <c r="CJ92" s="32"/>
      <c r="CK92" s="30">
        <f t="shared" si="88"/>
        <v>0</v>
      </c>
      <c r="CL92" s="31"/>
      <c r="CM92" s="32"/>
      <c r="CN92" s="30">
        <f t="shared" si="89"/>
        <v>0</v>
      </c>
      <c r="CO92" s="31"/>
      <c r="CP92" s="32"/>
      <c r="CQ92" s="30">
        <f t="shared" si="90"/>
        <v>0</v>
      </c>
      <c r="CR92" s="31"/>
      <c r="CS92" s="32"/>
      <c r="CT92" s="30">
        <f t="shared" si="91"/>
        <v>0</v>
      </c>
      <c r="CU92" s="33">
        <f t="shared" si="92"/>
        <v>35</v>
      </c>
      <c r="CV92" s="30">
        <f t="shared" si="93"/>
        <v>1600</v>
      </c>
      <c r="CW92" s="30">
        <f t="shared" si="94"/>
        <v>56000</v>
      </c>
    </row>
    <row r="93" spans="1:101" ht="15.75" customHeight="1" x14ac:dyDescent="0.35">
      <c r="A93" s="21" t="s">
        <v>761</v>
      </c>
      <c r="B93" s="21" t="s">
        <v>846</v>
      </c>
      <c r="C93" s="34"/>
      <c r="D93" s="32"/>
      <c r="E93" s="32"/>
      <c r="F93" s="31"/>
      <c r="G93" s="32"/>
      <c r="H93" s="30">
        <f t="shared" si="101"/>
        <v>0</v>
      </c>
      <c r="I93" s="31"/>
      <c r="J93" s="32"/>
      <c r="K93" s="30">
        <f>IFERROR(I93*J93, 0)</f>
        <v>0</v>
      </c>
      <c r="L93" s="31"/>
      <c r="M93" s="32"/>
      <c r="N93" s="30">
        <f t="shared" si="111"/>
        <v>0</v>
      </c>
      <c r="O93" s="31"/>
      <c r="P93" s="32"/>
      <c r="Q93" s="30">
        <f>IFERROR(O93*P93, 0)</f>
        <v>0</v>
      </c>
      <c r="R93" s="31"/>
      <c r="S93" s="32"/>
      <c r="T93" s="30">
        <f t="shared" si="109"/>
        <v>0</v>
      </c>
      <c r="U93" s="31"/>
      <c r="V93" s="32"/>
      <c r="W93" s="30">
        <f t="shared" si="96"/>
        <v>0</v>
      </c>
      <c r="X93" s="31"/>
      <c r="Y93" s="32"/>
      <c r="Z93" s="30">
        <f t="shared" si="103"/>
        <v>0</v>
      </c>
      <c r="AA93" s="31"/>
      <c r="AB93" s="32"/>
      <c r="AC93" s="30">
        <f t="shared" si="78"/>
        <v>0</v>
      </c>
      <c r="AD93" s="31"/>
      <c r="AE93" s="32"/>
      <c r="AF93" s="30">
        <f>IFERROR(AD93*AE93, 0)</f>
        <v>0</v>
      </c>
      <c r="AG93" s="31"/>
      <c r="AH93" s="32"/>
      <c r="AI93" s="30">
        <f t="shared" si="98"/>
        <v>0</v>
      </c>
      <c r="AJ93" s="31"/>
      <c r="AK93" s="32"/>
      <c r="AL93" s="30">
        <f t="shared" si="79"/>
        <v>0</v>
      </c>
      <c r="AM93" s="31"/>
      <c r="AN93" s="32"/>
      <c r="AO93" s="30">
        <f t="shared" si="80"/>
        <v>0</v>
      </c>
      <c r="AP93" s="31"/>
      <c r="AQ93" s="32"/>
      <c r="AR93" s="30">
        <f>IFERROR(AP93*AQ93, 0)</f>
        <v>0</v>
      </c>
      <c r="AS93" s="31"/>
      <c r="AT93" s="32"/>
      <c r="AU93" s="30">
        <f t="shared" si="105"/>
        <v>0</v>
      </c>
      <c r="AV93" s="31"/>
      <c r="AW93" s="32"/>
      <c r="AX93" s="30">
        <f t="shared" si="102"/>
        <v>0</v>
      </c>
      <c r="AY93" s="31"/>
      <c r="AZ93" s="32"/>
      <c r="BA93" s="30">
        <f>IFERROR(AY93*AZ93, 0)</f>
        <v>0</v>
      </c>
      <c r="BB93" s="31"/>
      <c r="BC93" s="32"/>
      <c r="BD93" s="30">
        <f t="shared" si="99"/>
        <v>0</v>
      </c>
      <c r="BE93" s="31"/>
      <c r="BF93" s="32"/>
      <c r="BG93" s="30">
        <f t="shared" si="112"/>
        <v>0</v>
      </c>
      <c r="BH93" s="31"/>
      <c r="BI93" s="32"/>
      <c r="BJ93" s="30">
        <f t="shared" si="83"/>
        <v>0</v>
      </c>
      <c r="BK93" s="31"/>
      <c r="BL93" s="32"/>
      <c r="BM93" s="30">
        <f t="shared" si="104"/>
        <v>0</v>
      </c>
      <c r="BN93" s="31"/>
      <c r="BO93" s="32"/>
      <c r="BP93" s="30">
        <f t="shared" si="108"/>
        <v>0</v>
      </c>
      <c r="BQ93" s="31"/>
      <c r="BR93" s="32"/>
      <c r="BS93" s="30">
        <f t="shared" si="110"/>
        <v>0</v>
      </c>
      <c r="BT93" s="31"/>
      <c r="BU93" s="32"/>
      <c r="BV93" s="30">
        <f t="shared" si="84"/>
        <v>0</v>
      </c>
      <c r="BW93" s="31"/>
      <c r="BX93" s="32"/>
      <c r="BY93" s="30">
        <f>IFERROR(BW93*BX93, 0)</f>
        <v>0</v>
      </c>
      <c r="BZ93" s="31"/>
      <c r="CA93" s="32"/>
      <c r="CB93" s="30">
        <f t="shared" si="85"/>
        <v>0</v>
      </c>
      <c r="CC93" s="31"/>
      <c r="CD93" s="32"/>
      <c r="CE93" s="30">
        <f t="shared" si="86"/>
        <v>0</v>
      </c>
      <c r="CF93" s="31"/>
      <c r="CG93" s="32"/>
      <c r="CH93" s="30">
        <f t="shared" si="87"/>
        <v>0</v>
      </c>
      <c r="CI93" s="31"/>
      <c r="CJ93" s="32"/>
      <c r="CK93" s="30">
        <f t="shared" si="88"/>
        <v>0</v>
      </c>
      <c r="CL93" s="31"/>
      <c r="CM93" s="32"/>
      <c r="CN93" s="30">
        <f t="shared" si="89"/>
        <v>0</v>
      </c>
      <c r="CO93" s="31"/>
      <c r="CP93" s="32"/>
      <c r="CQ93" s="30">
        <f t="shared" si="90"/>
        <v>0</v>
      </c>
      <c r="CR93" s="31"/>
      <c r="CS93" s="32"/>
      <c r="CT93" s="30">
        <f t="shared" si="91"/>
        <v>0</v>
      </c>
      <c r="CU93" s="33">
        <f t="shared" si="92"/>
        <v>0</v>
      </c>
      <c r="CV93" s="30">
        <f t="shared" si="93"/>
        <v>0</v>
      </c>
      <c r="CW93" s="30">
        <f t="shared" si="94"/>
        <v>0</v>
      </c>
    </row>
    <row r="94" spans="1:101" ht="15.75" customHeight="1" x14ac:dyDescent="0.35">
      <c r="A94" s="21" t="s">
        <v>30</v>
      </c>
      <c r="B94" s="21" t="s">
        <v>846</v>
      </c>
      <c r="C94" s="34"/>
      <c r="D94" s="32"/>
      <c r="E94" s="32"/>
      <c r="F94" s="31">
        <v>1</v>
      </c>
      <c r="G94" s="32">
        <v>57200</v>
      </c>
      <c r="H94" s="30">
        <v>57200</v>
      </c>
      <c r="I94" s="31">
        <v>1</v>
      </c>
      <c r="J94" s="32">
        <v>60000</v>
      </c>
      <c r="K94" s="30">
        <v>60000</v>
      </c>
      <c r="L94" s="31">
        <v>7</v>
      </c>
      <c r="M94" s="32">
        <v>6800</v>
      </c>
      <c r="N94" s="30">
        <v>58000</v>
      </c>
      <c r="O94" s="31">
        <v>23</v>
      </c>
      <c r="P94" s="32">
        <v>6000</v>
      </c>
      <c r="Q94" s="30">
        <v>264000</v>
      </c>
      <c r="R94" s="31">
        <v>20</v>
      </c>
      <c r="S94" s="32">
        <v>7000</v>
      </c>
      <c r="T94" s="30">
        <v>140000</v>
      </c>
      <c r="U94" s="31"/>
      <c r="V94" s="32"/>
      <c r="W94" s="30">
        <f t="shared" si="96"/>
        <v>0</v>
      </c>
      <c r="X94" s="31">
        <v>1.03</v>
      </c>
      <c r="Y94" s="32">
        <v>8365</v>
      </c>
      <c r="Z94" s="30">
        <v>8616</v>
      </c>
      <c r="AA94" s="31"/>
      <c r="AB94" s="32"/>
      <c r="AC94" s="30">
        <f t="shared" si="78"/>
        <v>0</v>
      </c>
      <c r="AD94" s="31">
        <v>15</v>
      </c>
      <c r="AE94" s="32">
        <v>6666.67</v>
      </c>
      <c r="AF94" s="30">
        <v>100000</v>
      </c>
      <c r="AG94" s="31">
        <v>2</v>
      </c>
      <c r="AH94" s="32">
        <v>6800</v>
      </c>
      <c r="AI94" s="30">
        <v>13600</v>
      </c>
      <c r="AJ94" s="31">
        <v>13</v>
      </c>
      <c r="AK94" s="32">
        <v>6800</v>
      </c>
      <c r="AL94" s="30">
        <v>88400</v>
      </c>
      <c r="AM94" s="31">
        <v>3</v>
      </c>
      <c r="AN94" s="32">
        <v>7950</v>
      </c>
      <c r="AO94" s="30">
        <v>175900</v>
      </c>
      <c r="AP94" s="31">
        <v>1</v>
      </c>
      <c r="AQ94" s="32">
        <v>160000</v>
      </c>
      <c r="AR94" s="30">
        <v>160000</v>
      </c>
      <c r="AS94" s="31"/>
      <c r="AT94" s="32"/>
      <c r="AU94" s="30">
        <f t="shared" si="105"/>
        <v>0</v>
      </c>
      <c r="AV94" s="31"/>
      <c r="AW94" s="32"/>
      <c r="AX94" s="30">
        <f t="shared" si="102"/>
        <v>0</v>
      </c>
      <c r="AY94" s="31">
        <v>20</v>
      </c>
      <c r="AZ94" s="32">
        <v>6000</v>
      </c>
      <c r="BA94" s="30">
        <v>120000</v>
      </c>
      <c r="BB94" s="31"/>
      <c r="BC94" s="32"/>
      <c r="BD94" s="30">
        <f t="shared" si="99"/>
        <v>0</v>
      </c>
      <c r="BE94" s="31"/>
      <c r="BF94" s="32"/>
      <c r="BG94" s="30">
        <f t="shared" si="112"/>
        <v>0</v>
      </c>
      <c r="BH94" s="31">
        <v>15</v>
      </c>
      <c r="BI94" s="32">
        <v>7000</v>
      </c>
      <c r="BJ94" s="30">
        <v>105000</v>
      </c>
      <c r="BK94" s="31">
        <v>24</v>
      </c>
      <c r="BL94" s="32">
        <v>6360</v>
      </c>
      <c r="BM94" s="30">
        <v>185440</v>
      </c>
      <c r="BN94" s="31"/>
      <c r="BO94" s="32"/>
      <c r="BP94" s="30">
        <f t="shared" si="108"/>
        <v>0</v>
      </c>
      <c r="BQ94" s="31">
        <v>10</v>
      </c>
      <c r="BR94" s="32">
        <v>6000</v>
      </c>
      <c r="BS94" s="30">
        <v>60000</v>
      </c>
      <c r="BT94" s="31"/>
      <c r="BU94" s="32"/>
      <c r="BV94" s="30">
        <f t="shared" si="84"/>
        <v>0</v>
      </c>
      <c r="BW94" s="31">
        <v>15</v>
      </c>
      <c r="BX94" s="32">
        <v>7000</v>
      </c>
      <c r="BY94" s="30">
        <v>105000</v>
      </c>
      <c r="BZ94" s="31"/>
      <c r="CA94" s="32"/>
      <c r="CB94" s="30">
        <f t="shared" si="85"/>
        <v>0</v>
      </c>
      <c r="CC94" s="31"/>
      <c r="CD94" s="32"/>
      <c r="CE94" s="30">
        <f t="shared" si="86"/>
        <v>0</v>
      </c>
      <c r="CF94" s="31"/>
      <c r="CG94" s="32"/>
      <c r="CH94" s="30">
        <f t="shared" si="87"/>
        <v>0</v>
      </c>
      <c r="CI94" s="31"/>
      <c r="CJ94" s="32"/>
      <c r="CK94" s="30">
        <f t="shared" si="88"/>
        <v>0</v>
      </c>
      <c r="CL94" s="31"/>
      <c r="CM94" s="32"/>
      <c r="CN94" s="30">
        <f t="shared" si="89"/>
        <v>0</v>
      </c>
      <c r="CO94" s="31"/>
      <c r="CP94" s="32"/>
      <c r="CQ94" s="30">
        <f t="shared" si="90"/>
        <v>0</v>
      </c>
      <c r="CR94" s="31"/>
      <c r="CS94" s="32"/>
      <c r="CT94" s="30">
        <f t="shared" si="91"/>
        <v>0</v>
      </c>
      <c r="CU94" s="33">
        <f t="shared" si="92"/>
        <v>171.03</v>
      </c>
      <c r="CV94" s="30">
        <f t="shared" si="93"/>
        <v>22871.354375000003</v>
      </c>
      <c r="CW94" s="30">
        <f t="shared" si="94"/>
        <v>3911687.7387562506</v>
      </c>
    </row>
    <row r="95" spans="1:101" ht="15.75" customHeight="1" x14ac:dyDescent="0.35">
      <c r="A95" s="21" t="s">
        <v>917</v>
      </c>
      <c r="B95" s="21" t="s">
        <v>846</v>
      </c>
      <c r="C95" s="34"/>
      <c r="D95" s="32"/>
      <c r="E95" s="32"/>
      <c r="F95" s="31"/>
      <c r="G95" s="32"/>
      <c r="H95" s="30">
        <f>IFERROR(F95*G95, 0)</f>
        <v>0</v>
      </c>
      <c r="I95" s="31"/>
      <c r="J95" s="32"/>
      <c r="K95" s="30">
        <f>IFERROR(I95*J95, 0)</f>
        <v>0</v>
      </c>
      <c r="L95" s="31"/>
      <c r="M95" s="32"/>
      <c r="N95" s="30">
        <f>IFERROR(L95*M95, 0)</f>
        <v>0</v>
      </c>
      <c r="O95" s="31"/>
      <c r="P95" s="32"/>
      <c r="Q95" s="30">
        <f>IFERROR(O95*P95, 0)</f>
        <v>0</v>
      </c>
      <c r="R95" s="31"/>
      <c r="S95" s="32"/>
      <c r="T95" s="30">
        <f>IFERROR(R95*S95, 0)</f>
        <v>0</v>
      </c>
      <c r="U95" s="31"/>
      <c r="V95" s="32"/>
      <c r="W95" s="30">
        <f t="shared" si="96"/>
        <v>0</v>
      </c>
      <c r="X95" s="31"/>
      <c r="Y95" s="32"/>
      <c r="Z95" s="30">
        <f>IFERROR(X95*Y95, 0)</f>
        <v>0</v>
      </c>
      <c r="AA95" s="31"/>
      <c r="AB95" s="32"/>
      <c r="AC95" s="30">
        <f t="shared" si="78"/>
        <v>0</v>
      </c>
      <c r="AD95" s="31"/>
      <c r="AE95" s="32"/>
      <c r="AF95" s="30">
        <f>IFERROR(AD95*AE95, 0)</f>
        <v>0</v>
      </c>
      <c r="AG95" s="31"/>
      <c r="AH95" s="32"/>
      <c r="AI95" s="30">
        <f>IFERROR(AG95*AH95, 0)</f>
        <v>0</v>
      </c>
      <c r="AJ95" s="31"/>
      <c r="AK95" s="32"/>
      <c r="AL95" s="30">
        <f>IFERROR(AJ95*AK95, 0)</f>
        <v>0</v>
      </c>
      <c r="AM95" s="31"/>
      <c r="AN95" s="32"/>
      <c r="AO95" s="30">
        <f>IFERROR(AM95*AN95, 0)</f>
        <v>0</v>
      </c>
      <c r="AP95" s="31"/>
      <c r="AQ95" s="32"/>
      <c r="AR95" s="30">
        <f>IFERROR(AP95*AQ95, 0)</f>
        <v>0</v>
      </c>
      <c r="AS95" s="31"/>
      <c r="AT95" s="32"/>
      <c r="AU95" s="30">
        <f t="shared" si="105"/>
        <v>0</v>
      </c>
      <c r="AV95" s="31"/>
      <c r="AW95" s="32"/>
      <c r="AX95" s="30">
        <f t="shared" si="102"/>
        <v>0</v>
      </c>
      <c r="AY95" s="31"/>
      <c r="AZ95" s="32"/>
      <c r="BA95" s="30">
        <f>IFERROR(AY95*AZ95, 0)</f>
        <v>0</v>
      </c>
      <c r="BB95" s="31"/>
      <c r="BC95" s="32"/>
      <c r="BD95" s="30">
        <f t="shared" si="99"/>
        <v>0</v>
      </c>
      <c r="BE95" s="31"/>
      <c r="BF95" s="32"/>
      <c r="BG95" s="30">
        <f t="shared" si="112"/>
        <v>0</v>
      </c>
      <c r="BH95" s="31"/>
      <c r="BI95" s="32"/>
      <c r="BJ95" s="30">
        <f>IFERROR(BH95*BI95, 0)</f>
        <v>0</v>
      </c>
      <c r="BK95" s="31"/>
      <c r="BL95" s="32"/>
      <c r="BM95" s="30">
        <f>IFERROR(BK95*BL95, 0)</f>
        <v>0</v>
      </c>
      <c r="BN95" s="31"/>
      <c r="BO95" s="32"/>
      <c r="BP95" s="30">
        <f t="shared" si="108"/>
        <v>0</v>
      </c>
      <c r="BQ95" s="31"/>
      <c r="BR95" s="32"/>
      <c r="BS95" s="30">
        <f>IFERROR(BQ95*BR95, 0)</f>
        <v>0</v>
      </c>
      <c r="BT95" s="31"/>
      <c r="BU95" s="32"/>
      <c r="BV95" s="30">
        <f t="shared" si="84"/>
        <v>0</v>
      </c>
      <c r="BW95" s="31"/>
      <c r="BX95" s="32"/>
      <c r="BY95" s="30">
        <f>IFERROR(BW95*BX95, 0)</f>
        <v>0</v>
      </c>
      <c r="BZ95" s="31"/>
      <c r="CA95" s="32"/>
      <c r="CB95" s="30">
        <f t="shared" si="85"/>
        <v>0</v>
      </c>
      <c r="CC95" s="31"/>
      <c r="CD95" s="32"/>
      <c r="CE95" s="30">
        <f t="shared" si="86"/>
        <v>0</v>
      </c>
      <c r="CF95" s="31"/>
      <c r="CG95" s="32"/>
      <c r="CH95" s="30">
        <f t="shared" si="87"/>
        <v>0</v>
      </c>
      <c r="CI95" s="31"/>
      <c r="CJ95" s="32"/>
      <c r="CK95" s="30">
        <f t="shared" si="88"/>
        <v>0</v>
      </c>
      <c r="CL95" s="31"/>
      <c r="CM95" s="32"/>
      <c r="CN95" s="30">
        <f t="shared" si="89"/>
        <v>0</v>
      </c>
      <c r="CO95" s="31"/>
      <c r="CP95" s="32"/>
      <c r="CQ95" s="30">
        <f t="shared" si="90"/>
        <v>0</v>
      </c>
      <c r="CR95" s="31"/>
      <c r="CS95" s="32"/>
      <c r="CT95" s="30">
        <f t="shared" si="91"/>
        <v>0</v>
      </c>
      <c r="CU95" s="33">
        <f t="shared" si="92"/>
        <v>0</v>
      </c>
      <c r="CV95" s="30">
        <f t="shared" si="93"/>
        <v>0</v>
      </c>
      <c r="CW95" s="30">
        <f t="shared" si="94"/>
        <v>0</v>
      </c>
    </row>
    <row r="96" spans="1:101" ht="15.75" customHeight="1" x14ac:dyDescent="0.35">
      <c r="A96" s="21" t="s">
        <v>918</v>
      </c>
      <c r="B96" s="21" t="s">
        <v>846</v>
      </c>
      <c r="C96" s="34"/>
      <c r="D96" s="32"/>
      <c r="E96" s="32"/>
      <c r="F96" s="31"/>
      <c r="G96" s="32"/>
      <c r="H96" s="30">
        <f>IFERROR(F96*G96, 0)</f>
        <v>0</v>
      </c>
      <c r="I96" s="31"/>
      <c r="J96" s="32"/>
      <c r="K96" s="30">
        <f>IFERROR(I96*J96, 0)</f>
        <v>0</v>
      </c>
      <c r="L96" s="31"/>
      <c r="M96" s="32"/>
      <c r="N96" s="30">
        <f>IFERROR(L96*M96, 0)</f>
        <v>0</v>
      </c>
      <c r="O96" s="31"/>
      <c r="P96" s="32"/>
      <c r="Q96" s="30">
        <f>IFERROR(O96*P96, 0)</f>
        <v>0</v>
      </c>
      <c r="R96" s="31"/>
      <c r="S96" s="32"/>
      <c r="T96" s="30">
        <f>IFERROR(R96*S96, 0)</f>
        <v>0</v>
      </c>
      <c r="U96" s="31"/>
      <c r="V96" s="32"/>
      <c r="W96" s="30">
        <f t="shared" si="96"/>
        <v>0</v>
      </c>
      <c r="X96" s="31"/>
      <c r="Y96" s="32"/>
      <c r="Z96" s="30">
        <f>IFERROR(X96*Y96, 0)</f>
        <v>0</v>
      </c>
      <c r="AA96" s="31"/>
      <c r="AB96" s="32"/>
      <c r="AC96" s="30">
        <f t="shared" si="78"/>
        <v>0</v>
      </c>
      <c r="AD96" s="31"/>
      <c r="AE96" s="32"/>
      <c r="AF96" s="30">
        <f>IFERROR(AD96*AE96, 0)</f>
        <v>0</v>
      </c>
      <c r="AG96" s="31"/>
      <c r="AH96" s="32"/>
      <c r="AI96" s="30">
        <f>IFERROR(AG96*AH96, 0)</f>
        <v>0</v>
      </c>
      <c r="AJ96" s="31"/>
      <c r="AK96" s="32"/>
      <c r="AL96" s="30">
        <f>IFERROR(AJ96*AK96, 0)</f>
        <v>0</v>
      </c>
      <c r="AM96" s="31"/>
      <c r="AN96" s="32"/>
      <c r="AO96" s="30">
        <f>IFERROR(AM96*AN96, 0)</f>
        <v>0</v>
      </c>
      <c r="AP96" s="31"/>
      <c r="AQ96" s="32"/>
      <c r="AR96" s="30">
        <f>IFERROR(AP96*AQ96, 0)</f>
        <v>0</v>
      </c>
      <c r="AS96" s="31"/>
      <c r="AT96" s="32"/>
      <c r="AU96" s="30">
        <f t="shared" si="105"/>
        <v>0</v>
      </c>
      <c r="AV96" s="31"/>
      <c r="AW96" s="32"/>
      <c r="AX96" s="30">
        <f t="shared" si="102"/>
        <v>0</v>
      </c>
      <c r="AY96" s="31"/>
      <c r="AZ96" s="32"/>
      <c r="BA96" s="30">
        <f>IFERROR(AY96*AZ96, 0)</f>
        <v>0</v>
      </c>
      <c r="BB96" s="31"/>
      <c r="BC96" s="32"/>
      <c r="BD96" s="30">
        <f t="shared" si="99"/>
        <v>0</v>
      </c>
      <c r="BE96" s="31"/>
      <c r="BF96" s="32"/>
      <c r="BG96" s="30">
        <f t="shared" si="112"/>
        <v>0</v>
      </c>
      <c r="BH96" s="31"/>
      <c r="BI96" s="32"/>
      <c r="BJ96" s="30">
        <f>IFERROR(BH96*BI96, 0)</f>
        <v>0</v>
      </c>
      <c r="BK96" s="31"/>
      <c r="BL96" s="32"/>
      <c r="BM96" s="30">
        <f>IFERROR(BK96*BL96, 0)</f>
        <v>0</v>
      </c>
      <c r="BN96" s="31"/>
      <c r="BO96" s="32"/>
      <c r="BP96" s="30">
        <f t="shared" si="108"/>
        <v>0</v>
      </c>
      <c r="BQ96" s="31"/>
      <c r="BR96" s="32"/>
      <c r="BS96" s="30">
        <f>IFERROR(BQ96*BR96, 0)</f>
        <v>0</v>
      </c>
      <c r="BT96" s="31"/>
      <c r="BU96" s="32"/>
      <c r="BV96" s="30">
        <f t="shared" si="84"/>
        <v>0</v>
      </c>
      <c r="BW96" s="31"/>
      <c r="BX96" s="32"/>
      <c r="BY96" s="30">
        <f>IFERROR(BW96*BX96, 0)</f>
        <v>0</v>
      </c>
      <c r="BZ96" s="31"/>
      <c r="CA96" s="32"/>
      <c r="CB96" s="30">
        <f t="shared" si="85"/>
        <v>0</v>
      </c>
      <c r="CC96" s="31"/>
      <c r="CD96" s="32"/>
      <c r="CE96" s="30">
        <f t="shared" si="86"/>
        <v>0</v>
      </c>
      <c r="CF96" s="31"/>
      <c r="CG96" s="32"/>
      <c r="CH96" s="30">
        <f t="shared" si="87"/>
        <v>0</v>
      </c>
      <c r="CI96" s="31"/>
      <c r="CJ96" s="32"/>
      <c r="CK96" s="30">
        <f t="shared" si="88"/>
        <v>0</v>
      </c>
      <c r="CL96" s="31"/>
      <c r="CM96" s="32"/>
      <c r="CN96" s="30">
        <f t="shared" si="89"/>
        <v>0</v>
      </c>
      <c r="CO96" s="31"/>
      <c r="CP96" s="32"/>
      <c r="CQ96" s="30">
        <f t="shared" si="90"/>
        <v>0</v>
      </c>
      <c r="CR96" s="31"/>
      <c r="CS96" s="32"/>
      <c r="CT96" s="30">
        <f t="shared" si="91"/>
        <v>0</v>
      </c>
      <c r="CU96" s="33">
        <f t="shared" si="92"/>
        <v>0</v>
      </c>
      <c r="CV96" s="30">
        <f t="shared" si="93"/>
        <v>0</v>
      </c>
      <c r="CW96" s="30">
        <f t="shared" si="94"/>
        <v>0</v>
      </c>
    </row>
    <row r="97" spans="1:101" ht="15.75" customHeight="1" x14ac:dyDescent="0.35">
      <c r="A97" s="21" t="s">
        <v>919</v>
      </c>
      <c r="B97" s="21" t="s">
        <v>846</v>
      </c>
      <c r="C97" s="34"/>
      <c r="D97" s="32"/>
      <c r="E97" s="32"/>
      <c r="F97" s="31"/>
      <c r="G97" s="32"/>
      <c r="H97" s="30">
        <f>IFERROR(F97*G97, 0)</f>
        <v>0</v>
      </c>
      <c r="I97" s="31"/>
      <c r="J97" s="32"/>
      <c r="K97" s="30">
        <f>IFERROR(I97*J97, 0)</f>
        <v>0</v>
      </c>
      <c r="L97" s="31"/>
      <c r="M97" s="32"/>
      <c r="N97" s="30">
        <f>IFERROR(L97*M97, 0)</f>
        <v>0</v>
      </c>
      <c r="O97" s="31"/>
      <c r="P97" s="32"/>
      <c r="Q97" s="30">
        <f>IFERROR(O97*P97, 0)</f>
        <v>0</v>
      </c>
      <c r="R97" s="31"/>
      <c r="S97" s="32"/>
      <c r="T97" s="30">
        <f>IFERROR(R97*S97, 0)</f>
        <v>0</v>
      </c>
      <c r="U97" s="31"/>
      <c r="V97" s="32"/>
      <c r="W97" s="30">
        <f t="shared" si="96"/>
        <v>0</v>
      </c>
      <c r="X97" s="31"/>
      <c r="Y97" s="32"/>
      <c r="Z97" s="30">
        <f>IFERROR(X97*Y97, 0)</f>
        <v>0</v>
      </c>
      <c r="AA97" s="31"/>
      <c r="AB97" s="32"/>
      <c r="AC97" s="30">
        <f t="shared" si="78"/>
        <v>0</v>
      </c>
      <c r="AD97" s="31"/>
      <c r="AE97" s="32"/>
      <c r="AF97" s="30">
        <f>IFERROR(AD97*AE97, 0)</f>
        <v>0</v>
      </c>
      <c r="AG97" s="31"/>
      <c r="AH97" s="32"/>
      <c r="AI97" s="30">
        <f>IFERROR(AG97*AH97, 0)</f>
        <v>0</v>
      </c>
      <c r="AJ97" s="31"/>
      <c r="AK97" s="32"/>
      <c r="AL97" s="30">
        <f>IFERROR(AJ97*AK97, 0)</f>
        <v>0</v>
      </c>
      <c r="AM97" s="31"/>
      <c r="AN97" s="32"/>
      <c r="AO97" s="30">
        <f>IFERROR(AM97*AN97, 0)</f>
        <v>0</v>
      </c>
      <c r="AP97" s="31"/>
      <c r="AQ97" s="32"/>
      <c r="AR97" s="30">
        <f>IFERROR(AP97*AQ97, 0)</f>
        <v>0</v>
      </c>
      <c r="AS97" s="31"/>
      <c r="AT97" s="32"/>
      <c r="AU97" s="30">
        <f t="shared" si="105"/>
        <v>0</v>
      </c>
      <c r="AV97" s="31"/>
      <c r="AW97" s="32"/>
      <c r="AX97" s="30">
        <f t="shared" si="102"/>
        <v>0</v>
      </c>
      <c r="AY97" s="31"/>
      <c r="AZ97" s="32"/>
      <c r="BA97" s="30">
        <f>IFERROR(AY97*AZ97, 0)</f>
        <v>0</v>
      </c>
      <c r="BB97" s="31"/>
      <c r="BC97" s="32"/>
      <c r="BD97" s="30">
        <f t="shared" si="99"/>
        <v>0</v>
      </c>
      <c r="BE97" s="31"/>
      <c r="BF97" s="32"/>
      <c r="BG97" s="30">
        <f t="shared" si="112"/>
        <v>0</v>
      </c>
      <c r="BH97" s="31"/>
      <c r="BI97" s="32"/>
      <c r="BJ97" s="30">
        <f>IFERROR(BH97*BI97, 0)</f>
        <v>0</v>
      </c>
      <c r="BK97" s="31"/>
      <c r="BL97" s="32"/>
      <c r="BM97" s="30">
        <f>IFERROR(BK97*BL97, 0)</f>
        <v>0</v>
      </c>
      <c r="BN97" s="31"/>
      <c r="BO97" s="32"/>
      <c r="BP97" s="30">
        <f t="shared" si="108"/>
        <v>0</v>
      </c>
      <c r="BQ97" s="31"/>
      <c r="BR97" s="32"/>
      <c r="BS97" s="30">
        <f>IFERROR(BQ97*BR97, 0)</f>
        <v>0</v>
      </c>
      <c r="BT97" s="31"/>
      <c r="BU97" s="32"/>
      <c r="BV97" s="30">
        <f t="shared" si="84"/>
        <v>0</v>
      </c>
      <c r="BW97" s="31"/>
      <c r="BX97" s="32"/>
      <c r="BY97" s="30">
        <f>IFERROR(BW97*BX97, 0)</f>
        <v>0</v>
      </c>
      <c r="BZ97" s="31"/>
      <c r="CA97" s="32"/>
      <c r="CB97" s="30">
        <f t="shared" si="85"/>
        <v>0</v>
      </c>
      <c r="CC97" s="31"/>
      <c r="CD97" s="32"/>
      <c r="CE97" s="30">
        <f t="shared" si="86"/>
        <v>0</v>
      </c>
      <c r="CF97" s="31"/>
      <c r="CG97" s="32"/>
      <c r="CH97" s="30">
        <f t="shared" si="87"/>
        <v>0</v>
      </c>
      <c r="CI97" s="31"/>
      <c r="CJ97" s="32"/>
      <c r="CK97" s="30">
        <f t="shared" si="88"/>
        <v>0</v>
      </c>
      <c r="CL97" s="31"/>
      <c r="CM97" s="32"/>
      <c r="CN97" s="30">
        <f t="shared" si="89"/>
        <v>0</v>
      </c>
      <c r="CO97" s="31"/>
      <c r="CP97" s="32"/>
      <c r="CQ97" s="30">
        <f t="shared" si="90"/>
        <v>0</v>
      </c>
      <c r="CR97" s="31"/>
      <c r="CS97" s="32"/>
      <c r="CT97" s="30">
        <f t="shared" si="91"/>
        <v>0</v>
      </c>
      <c r="CU97" s="33">
        <f t="shared" si="92"/>
        <v>0</v>
      </c>
      <c r="CV97" s="30">
        <f t="shared" si="93"/>
        <v>0</v>
      </c>
      <c r="CW97" s="30">
        <f t="shared" si="94"/>
        <v>0</v>
      </c>
    </row>
    <row r="98" spans="1:101" x14ac:dyDescent="0.35">
      <c r="A98" s="35" t="s">
        <v>920</v>
      </c>
      <c r="B98" s="21" t="s">
        <v>846</v>
      </c>
      <c r="C98" s="35"/>
      <c r="D98" s="35"/>
      <c r="E98" s="35"/>
      <c r="F98" s="35"/>
      <c r="G98" s="35"/>
      <c r="H98" s="35"/>
      <c r="I98" s="31"/>
      <c r="J98" s="32"/>
      <c r="K98" s="30">
        <f>IFERROR(I98*J98, 0)</f>
        <v>0</v>
      </c>
      <c r="L98" s="31"/>
      <c r="M98" s="32"/>
      <c r="N98" s="30">
        <f>IFERROR(L98*M98, 0)</f>
        <v>0</v>
      </c>
      <c r="O98" s="31"/>
      <c r="P98" s="32"/>
      <c r="Q98" s="30">
        <f>IFERROR(O98*P98, 0)</f>
        <v>0</v>
      </c>
      <c r="R98" s="31"/>
      <c r="S98" s="32"/>
      <c r="T98" s="30">
        <f>IFERROR(R98*S98, 0)</f>
        <v>0</v>
      </c>
      <c r="U98" s="31"/>
      <c r="V98" s="32"/>
      <c r="W98" s="30">
        <f t="shared" si="96"/>
        <v>0</v>
      </c>
      <c r="X98" s="31"/>
      <c r="Y98" s="32"/>
      <c r="Z98" s="30">
        <f>IFERROR(X98*Y98, 0)</f>
        <v>0</v>
      </c>
      <c r="AA98" s="31"/>
      <c r="AB98" s="32"/>
      <c r="AC98" s="30">
        <f t="shared" si="78"/>
        <v>0</v>
      </c>
      <c r="AD98" s="31"/>
      <c r="AE98" s="32"/>
      <c r="AF98" s="30">
        <f>IFERROR(AD98*AE98, 0)</f>
        <v>0</v>
      </c>
      <c r="AG98" s="31"/>
      <c r="AH98" s="32"/>
      <c r="AI98" s="30">
        <f>IFERROR(AG98*AH98, 0)</f>
        <v>0</v>
      </c>
      <c r="AJ98" s="31"/>
      <c r="AK98" s="32"/>
      <c r="AL98" s="30">
        <f>IFERROR(AJ98*AK98, 0)</f>
        <v>0</v>
      </c>
      <c r="AM98" s="31"/>
      <c r="AN98" s="32"/>
      <c r="AO98" s="30">
        <f>IFERROR(AM98*AN98, 0)</f>
        <v>0</v>
      </c>
      <c r="AP98" s="31"/>
      <c r="AQ98" s="32"/>
      <c r="AR98" s="30">
        <f>IFERROR(AP98*AQ98, 0)</f>
        <v>0</v>
      </c>
      <c r="AS98" s="31"/>
      <c r="AT98" s="32"/>
      <c r="AU98" s="30">
        <f t="shared" si="105"/>
        <v>0</v>
      </c>
      <c r="AV98" s="31"/>
      <c r="AW98" s="32"/>
      <c r="AX98" s="30">
        <f t="shared" si="102"/>
        <v>0</v>
      </c>
      <c r="AY98" s="31"/>
      <c r="AZ98" s="32"/>
      <c r="BA98" s="30">
        <f>IFERROR(AY98*AZ98, 0)</f>
        <v>0</v>
      </c>
      <c r="BB98" s="31"/>
      <c r="BC98" s="32"/>
      <c r="BD98" s="30">
        <f t="shared" si="99"/>
        <v>0</v>
      </c>
      <c r="BE98" s="31"/>
      <c r="BF98" s="32"/>
      <c r="BG98" s="30">
        <f t="shared" si="112"/>
        <v>0</v>
      </c>
      <c r="BH98" s="31"/>
      <c r="BI98" s="32"/>
      <c r="BJ98" s="30">
        <f>IFERROR(BH98*BI98, 0)</f>
        <v>0</v>
      </c>
      <c r="BK98" s="31"/>
      <c r="BL98" s="32"/>
      <c r="BM98" s="30">
        <f>IFERROR(BK98*BL98, 0)</f>
        <v>0</v>
      </c>
      <c r="BN98" s="31"/>
      <c r="BO98" s="32"/>
      <c r="BP98" s="30">
        <f t="shared" si="108"/>
        <v>0</v>
      </c>
      <c r="BQ98" s="31"/>
      <c r="BR98" s="32"/>
      <c r="BS98" s="30">
        <f>IFERROR(BQ98*BR98, 0)</f>
        <v>0</v>
      </c>
      <c r="BT98" s="31"/>
      <c r="BU98" s="32"/>
      <c r="BV98" s="30">
        <f t="shared" si="84"/>
        <v>0</v>
      </c>
      <c r="BW98" s="31"/>
      <c r="BX98" s="32"/>
      <c r="BY98" s="30">
        <f>IFERROR(BW98*BX98, 0)</f>
        <v>0</v>
      </c>
      <c r="BZ98" s="31"/>
      <c r="CA98" s="32"/>
      <c r="CB98" s="30">
        <f t="shared" si="85"/>
        <v>0</v>
      </c>
      <c r="CC98" s="31"/>
      <c r="CD98" s="32"/>
      <c r="CE98" s="30">
        <f t="shared" si="86"/>
        <v>0</v>
      </c>
      <c r="CF98" s="31"/>
      <c r="CG98" s="32"/>
      <c r="CH98" s="30">
        <f t="shared" si="87"/>
        <v>0</v>
      </c>
      <c r="CI98" s="31"/>
      <c r="CJ98" s="32"/>
      <c r="CK98" s="30">
        <f t="shared" si="88"/>
        <v>0</v>
      </c>
      <c r="CL98" s="31"/>
      <c r="CM98" s="32"/>
      <c r="CN98" s="30">
        <f t="shared" si="89"/>
        <v>0</v>
      </c>
      <c r="CO98" s="31"/>
      <c r="CP98" s="32"/>
      <c r="CQ98" s="30">
        <f t="shared" si="90"/>
        <v>0</v>
      </c>
      <c r="CR98" s="31"/>
      <c r="CS98" s="32"/>
      <c r="CT98" s="30">
        <f t="shared" si="91"/>
        <v>0</v>
      </c>
      <c r="CU98" s="33">
        <f t="shared" si="92"/>
        <v>0</v>
      </c>
      <c r="CV98" s="30">
        <f t="shared" si="93"/>
        <v>0</v>
      </c>
      <c r="CW98" s="30">
        <f t="shared" si="94"/>
        <v>0</v>
      </c>
    </row>
  </sheetData>
  <autoFilter ref="A2:CW98" xr:uid="{00000000-0009-0000-0000-000001000000}"/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W55"/>
  <sheetViews>
    <sheetView topLeftCell="A2" zoomScaleNormal="100" workbookViewId="0">
      <pane xSplit="1" topLeftCell="CI1" activePane="topRight" state="frozen"/>
      <selection activeCell="A25" sqref="A25"/>
      <selection pane="topRight" activeCell="CW2" sqref="CW2"/>
    </sheetView>
  </sheetViews>
  <sheetFormatPr baseColWidth="10" defaultColWidth="11.453125" defaultRowHeight="15.5" x14ac:dyDescent="0.35"/>
  <cols>
    <col min="1" max="1" width="30.7265625" style="39" customWidth="1"/>
    <col min="2" max="2" width="13.81640625" style="39" customWidth="1"/>
    <col min="3" max="3" width="14.81640625" style="39" customWidth="1"/>
    <col min="4" max="4" width="11.7265625" style="39" customWidth="1"/>
    <col min="5" max="5" width="13.1796875" style="39" customWidth="1"/>
    <col min="6" max="6" width="12.7265625" style="39" customWidth="1"/>
    <col min="7" max="7" width="16" style="39" customWidth="1"/>
    <col min="8" max="8" width="16.54296875" style="39" customWidth="1"/>
    <col min="9" max="9" width="12.7265625" style="39" customWidth="1"/>
    <col min="10" max="10" width="16" style="39" customWidth="1"/>
    <col min="11" max="11" width="16.54296875" style="39" customWidth="1"/>
    <col min="12" max="12" width="12.7265625" style="39" customWidth="1"/>
    <col min="13" max="13" width="16" style="39" customWidth="1"/>
    <col min="14" max="14" width="16.54296875" style="39" customWidth="1"/>
    <col min="15" max="15" width="12.7265625" style="39" customWidth="1"/>
    <col min="16" max="16" width="16" style="39" customWidth="1"/>
    <col min="17" max="17" width="16.54296875" style="39" customWidth="1"/>
    <col min="18" max="18" width="12.7265625" style="39" customWidth="1"/>
    <col min="19" max="19" width="14.54296875" style="39" bestFit="1" customWidth="1"/>
    <col min="20" max="20" width="16.54296875" style="39" customWidth="1"/>
    <col min="21" max="21" width="12.7265625" style="39" customWidth="1"/>
    <col min="22" max="22" width="16" style="39" customWidth="1"/>
    <col min="23" max="23" width="16.54296875" style="39" customWidth="1"/>
    <col min="24" max="24" width="12.7265625" style="39" customWidth="1"/>
    <col min="25" max="25" width="16" style="39" customWidth="1"/>
    <col min="26" max="26" width="16.54296875" style="39" customWidth="1"/>
    <col min="27" max="27" width="12.7265625" style="39" customWidth="1"/>
    <col min="28" max="28" width="16" style="39" customWidth="1"/>
    <col min="29" max="29" width="16.54296875" style="39" customWidth="1"/>
    <col min="30" max="30" width="12.7265625" style="39" customWidth="1"/>
    <col min="31" max="31" width="16" style="39" customWidth="1"/>
    <col min="32" max="32" width="16.54296875" style="39" customWidth="1"/>
    <col min="33" max="33" width="12.7265625" style="39" customWidth="1"/>
    <col min="34" max="34" width="16" style="39" customWidth="1"/>
    <col min="35" max="35" width="16.54296875" style="39" customWidth="1"/>
    <col min="36" max="36" width="12.7265625" style="39" customWidth="1"/>
    <col min="37" max="37" width="16" style="39" customWidth="1"/>
    <col min="38" max="38" width="16.54296875" style="39" customWidth="1"/>
    <col min="39" max="39" width="12.7265625" style="39" customWidth="1"/>
    <col min="40" max="40" width="16" style="39" customWidth="1"/>
    <col min="41" max="41" width="16.54296875" style="39" customWidth="1"/>
    <col min="42" max="42" width="12.7265625" style="39" customWidth="1"/>
    <col min="43" max="43" width="13.26953125" style="39" bestFit="1" customWidth="1"/>
    <col min="44" max="44" width="16.54296875" style="39" customWidth="1"/>
    <col min="45" max="45" width="12.7265625" style="39" customWidth="1"/>
    <col min="46" max="46" width="16" style="39" customWidth="1"/>
    <col min="47" max="47" width="16.54296875" style="39" customWidth="1"/>
    <col min="48" max="48" width="12.7265625" style="39" customWidth="1"/>
    <col min="49" max="49" width="16" style="39" customWidth="1"/>
    <col min="50" max="50" width="16.54296875" style="39" customWidth="1"/>
    <col min="51" max="51" width="12.7265625" style="39" customWidth="1"/>
    <col min="52" max="52" width="16" style="39" customWidth="1"/>
    <col min="53" max="53" width="16.54296875" style="39" customWidth="1"/>
    <col min="54" max="54" width="12.7265625" style="39" customWidth="1"/>
    <col min="55" max="55" width="16" style="39" customWidth="1"/>
    <col min="56" max="56" width="16.54296875" style="39" customWidth="1"/>
    <col min="57" max="57" width="12.7265625" style="39" customWidth="1"/>
    <col min="58" max="58" width="16" style="39" customWidth="1"/>
    <col min="59" max="59" width="16.54296875" style="39" customWidth="1"/>
    <col min="60" max="60" width="12.7265625" style="39" customWidth="1"/>
    <col min="61" max="61" width="16" style="39" customWidth="1"/>
    <col min="62" max="62" width="16.54296875" style="39" customWidth="1"/>
    <col min="63" max="63" width="12.7265625" style="39" customWidth="1"/>
    <col min="64" max="64" width="16" style="39" customWidth="1"/>
    <col min="65" max="65" width="16.54296875" style="39" customWidth="1"/>
    <col min="66" max="66" width="12.7265625" style="39" customWidth="1"/>
    <col min="67" max="67" width="13.26953125" style="39" bestFit="1" customWidth="1"/>
    <col min="68" max="68" width="16.54296875" style="39" customWidth="1"/>
    <col min="69" max="69" width="12.7265625" style="39" customWidth="1"/>
    <col min="70" max="70" width="16" style="39" customWidth="1"/>
    <col min="71" max="71" width="16.54296875" style="39" customWidth="1"/>
    <col min="72" max="72" width="12.7265625" style="39" customWidth="1"/>
    <col min="73" max="73" width="16" style="39" customWidth="1"/>
    <col min="74" max="74" width="16.54296875" style="39" customWidth="1"/>
    <col min="75" max="75" width="12.7265625" style="39" customWidth="1"/>
    <col min="76" max="76" width="16" style="39" customWidth="1"/>
    <col min="77" max="77" width="16.54296875" style="39" customWidth="1"/>
    <col min="78" max="78" width="12.7265625" style="39" customWidth="1"/>
    <col min="79" max="79" width="16" style="39" customWidth="1"/>
    <col min="80" max="80" width="16.54296875" style="39" customWidth="1"/>
    <col min="81" max="81" width="12.7265625" style="39" customWidth="1"/>
    <col min="82" max="82" width="16.54296875" style="39" bestFit="1" customWidth="1"/>
    <col min="83" max="83" width="16.54296875" style="39" customWidth="1"/>
    <col min="84" max="84" width="12.7265625" style="39" customWidth="1"/>
    <col min="85" max="85" width="16" style="39" customWidth="1"/>
    <col min="86" max="86" width="16.54296875" style="39" customWidth="1"/>
    <col min="87" max="87" width="12.7265625" style="39" customWidth="1"/>
    <col min="88" max="88" width="16" style="39" customWidth="1"/>
    <col min="89" max="89" width="16.54296875" style="39" customWidth="1"/>
    <col min="90" max="90" width="12.7265625" style="39" customWidth="1"/>
    <col min="91" max="91" width="12" style="39" customWidth="1"/>
    <col min="92" max="92" width="16.54296875" style="39" customWidth="1"/>
    <col min="93" max="93" width="12.7265625" style="39" customWidth="1"/>
    <col min="94" max="94" width="16" style="39" customWidth="1"/>
    <col min="95" max="95" width="16.54296875" style="39" customWidth="1"/>
    <col min="96" max="96" width="12.7265625" style="39" customWidth="1"/>
    <col min="97" max="97" width="16" style="39" customWidth="1"/>
    <col min="98" max="98" width="16.54296875" style="39" customWidth="1"/>
    <col min="99" max="99" width="12.7265625" style="39" customWidth="1"/>
    <col min="100" max="100" width="16" style="39" customWidth="1"/>
    <col min="101" max="101" width="16.54296875" style="39" customWidth="1"/>
    <col min="102" max="102" width="12.26953125" style="39" customWidth="1"/>
    <col min="103" max="103" width="12.81640625" style="39" customWidth="1"/>
    <col min="104" max="104" width="8.453125" style="39" customWidth="1"/>
    <col min="105" max="105" width="12.26953125" style="39" customWidth="1"/>
    <col min="106" max="106" width="15.1796875" style="39" customWidth="1"/>
    <col min="107" max="108" width="11.453125" style="39" customWidth="1"/>
    <col min="109" max="109" width="17.26953125" style="39" customWidth="1"/>
    <col min="110" max="111" width="11.54296875" style="39" customWidth="1"/>
    <col min="112" max="112" width="14.26953125" style="39" customWidth="1"/>
    <col min="113" max="113" width="11.453125" style="39" customWidth="1"/>
    <col min="114" max="115" width="11.54296875" style="39" customWidth="1"/>
    <col min="116" max="125" width="11.453125" style="39" customWidth="1"/>
    <col min="126" max="16384" width="11.453125" style="39"/>
  </cols>
  <sheetData>
    <row r="1" spans="1:101" ht="18.75" customHeight="1" x14ac:dyDescent="0.35">
      <c r="A1" s="10" t="s">
        <v>921</v>
      </c>
      <c r="B1" s="40"/>
      <c r="C1" s="40"/>
      <c r="D1" s="40"/>
      <c r="E1" s="40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7" t="s">
        <v>828</v>
      </c>
      <c r="CV1" s="154"/>
      <c r="CW1" s="155"/>
    </row>
    <row r="2" spans="1:101" ht="16.5" customHeight="1" x14ac:dyDescent="0.35">
      <c r="A2" s="10" t="s">
        <v>829</v>
      </c>
      <c r="B2" s="6" t="s">
        <v>870</v>
      </c>
      <c r="C2" s="6" t="s">
        <v>4</v>
      </c>
      <c r="D2" s="6" t="s">
        <v>872</v>
      </c>
      <c r="E2" s="6" t="s">
        <v>832</v>
      </c>
      <c r="F2" s="95" t="s">
        <v>833</v>
      </c>
      <c r="G2" s="94" t="s">
        <v>834</v>
      </c>
      <c r="H2" s="94" t="s">
        <v>835</v>
      </c>
      <c r="I2" s="95" t="s">
        <v>833</v>
      </c>
      <c r="J2" s="94" t="s">
        <v>834</v>
      </c>
      <c r="K2" s="94" t="s">
        <v>835</v>
      </c>
      <c r="L2" s="95" t="s">
        <v>833</v>
      </c>
      <c r="M2" s="94" t="s">
        <v>834</v>
      </c>
      <c r="N2" s="94" t="s">
        <v>835</v>
      </c>
      <c r="O2" s="95" t="s">
        <v>833</v>
      </c>
      <c r="P2" s="94" t="s">
        <v>834</v>
      </c>
      <c r="Q2" s="94" t="s">
        <v>835</v>
      </c>
      <c r="R2" s="95" t="s">
        <v>833</v>
      </c>
      <c r="S2" s="95" t="s">
        <v>836</v>
      </c>
      <c r="T2" s="94" t="s">
        <v>835</v>
      </c>
      <c r="U2" s="95" t="s">
        <v>833</v>
      </c>
      <c r="V2" s="94" t="s">
        <v>834</v>
      </c>
      <c r="W2" s="94" t="s">
        <v>835</v>
      </c>
      <c r="X2" s="95" t="s">
        <v>833</v>
      </c>
      <c r="Y2" s="94" t="s">
        <v>834</v>
      </c>
      <c r="Z2" s="94" t="s">
        <v>835</v>
      </c>
      <c r="AA2" s="95" t="s">
        <v>833</v>
      </c>
      <c r="AB2" s="94" t="s">
        <v>834</v>
      </c>
      <c r="AC2" s="94" t="s">
        <v>835</v>
      </c>
      <c r="AD2" s="95" t="s">
        <v>833</v>
      </c>
      <c r="AE2" s="94" t="s">
        <v>834</v>
      </c>
      <c r="AF2" s="94" t="s">
        <v>835</v>
      </c>
      <c r="AG2" s="95" t="s">
        <v>833</v>
      </c>
      <c r="AH2" s="94" t="s">
        <v>834</v>
      </c>
      <c r="AI2" s="94" t="s">
        <v>835</v>
      </c>
      <c r="AJ2" s="95" t="s">
        <v>833</v>
      </c>
      <c r="AK2" s="94" t="s">
        <v>834</v>
      </c>
      <c r="AL2" s="94" t="s">
        <v>835</v>
      </c>
      <c r="AM2" s="95" t="s">
        <v>833</v>
      </c>
      <c r="AN2" s="94" t="s">
        <v>834</v>
      </c>
      <c r="AO2" s="94" t="s">
        <v>835</v>
      </c>
      <c r="AP2" s="95" t="s">
        <v>833</v>
      </c>
      <c r="AQ2" s="95" t="s">
        <v>836</v>
      </c>
      <c r="AR2" s="94" t="s">
        <v>835</v>
      </c>
      <c r="AS2" s="95" t="s">
        <v>833</v>
      </c>
      <c r="AT2" s="94" t="s">
        <v>834</v>
      </c>
      <c r="AU2" s="94" t="s">
        <v>835</v>
      </c>
      <c r="AV2" s="95" t="s">
        <v>833</v>
      </c>
      <c r="AW2" s="94" t="s">
        <v>834</v>
      </c>
      <c r="AX2" s="94" t="s">
        <v>835</v>
      </c>
      <c r="AY2" s="95" t="s">
        <v>833</v>
      </c>
      <c r="AZ2" s="94" t="s">
        <v>834</v>
      </c>
      <c r="BA2" s="94" t="s">
        <v>835</v>
      </c>
      <c r="BB2" s="95" t="s">
        <v>833</v>
      </c>
      <c r="BC2" s="94" t="s">
        <v>834</v>
      </c>
      <c r="BD2" s="94" t="s">
        <v>835</v>
      </c>
      <c r="BE2" s="95" t="s">
        <v>833</v>
      </c>
      <c r="BF2" s="94" t="s">
        <v>834</v>
      </c>
      <c r="BG2" s="94" t="s">
        <v>835</v>
      </c>
      <c r="BH2" s="95" t="s">
        <v>833</v>
      </c>
      <c r="BI2" s="94" t="s">
        <v>834</v>
      </c>
      <c r="BJ2" s="94" t="s">
        <v>835</v>
      </c>
      <c r="BK2" s="95" t="s">
        <v>833</v>
      </c>
      <c r="BL2" s="94" t="s">
        <v>834</v>
      </c>
      <c r="BM2" s="94" t="s">
        <v>835</v>
      </c>
      <c r="BN2" s="95" t="s">
        <v>833</v>
      </c>
      <c r="BO2" s="95" t="s">
        <v>836</v>
      </c>
      <c r="BP2" s="94" t="s">
        <v>835</v>
      </c>
      <c r="BQ2" s="95" t="s">
        <v>833</v>
      </c>
      <c r="BR2" s="94" t="s">
        <v>834</v>
      </c>
      <c r="BS2" s="94" t="s">
        <v>835</v>
      </c>
      <c r="BT2" s="95" t="s">
        <v>833</v>
      </c>
      <c r="BU2" s="94" t="s">
        <v>834</v>
      </c>
      <c r="BV2" s="94" t="s">
        <v>835</v>
      </c>
      <c r="BW2" s="95" t="s">
        <v>833</v>
      </c>
      <c r="BX2" s="94" t="s">
        <v>834</v>
      </c>
      <c r="BY2" s="94" t="s">
        <v>835</v>
      </c>
      <c r="BZ2" s="95" t="s">
        <v>833</v>
      </c>
      <c r="CA2" s="94" t="s">
        <v>834</v>
      </c>
      <c r="CB2" s="94" t="s">
        <v>835</v>
      </c>
      <c r="CC2" s="95" t="s">
        <v>833</v>
      </c>
      <c r="CD2" s="94" t="s">
        <v>834</v>
      </c>
      <c r="CE2" s="94" t="s">
        <v>835</v>
      </c>
      <c r="CF2" s="95" t="s">
        <v>833</v>
      </c>
      <c r="CG2" s="94" t="s">
        <v>834</v>
      </c>
      <c r="CH2" s="94" t="s">
        <v>835</v>
      </c>
      <c r="CI2" s="95" t="s">
        <v>833</v>
      </c>
      <c r="CJ2" s="94" t="s">
        <v>834</v>
      </c>
      <c r="CK2" s="94" t="s">
        <v>835</v>
      </c>
      <c r="CL2" s="95" t="s">
        <v>833</v>
      </c>
      <c r="CM2" s="95" t="s">
        <v>836</v>
      </c>
      <c r="CN2" s="94" t="s">
        <v>835</v>
      </c>
      <c r="CO2" s="95" t="s">
        <v>833</v>
      </c>
      <c r="CP2" s="94" t="s">
        <v>834</v>
      </c>
      <c r="CQ2" s="94" t="s">
        <v>835</v>
      </c>
      <c r="CR2" s="95" t="s">
        <v>833</v>
      </c>
      <c r="CS2" s="94" t="s">
        <v>834</v>
      </c>
      <c r="CT2" s="94" t="s">
        <v>835</v>
      </c>
      <c r="CU2" s="95" t="s">
        <v>833</v>
      </c>
      <c r="CV2" s="94" t="s">
        <v>834</v>
      </c>
      <c r="CW2" s="94" t="s">
        <v>835</v>
      </c>
    </row>
    <row r="3" spans="1:101" ht="15.75" customHeight="1" x14ac:dyDescent="0.35">
      <c r="A3" s="41" t="s">
        <v>922</v>
      </c>
      <c r="B3" s="41" t="s">
        <v>846</v>
      </c>
      <c r="C3" s="42"/>
      <c r="D3" s="43"/>
      <c r="E3" s="78">
        <f t="shared" ref="E3:E34" si="0">IFERROR(C3*D3, 0)</f>
        <v>0</v>
      </c>
      <c r="F3" s="14"/>
      <c r="G3" s="15"/>
      <c r="H3" s="16">
        <f t="shared" ref="H3:H34" si="1">IFERROR(F3*G3, 0)</f>
        <v>0</v>
      </c>
      <c r="I3" s="14"/>
      <c r="J3" s="15"/>
      <c r="K3" s="16">
        <f t="shared" ref="K3:K11" si="2">IFERROR(I3*J3, 0)</f>
        <v>0</v>
      </c>
      <c r="L3" s="14"/>
      <c r="M3" s="15"/>
      <c r="N3" s="16">
        <f t="shared" ref="N3:N8" si="3">IFERROR(L3*M3, 0)</f>
        <v>0</v>
      </c>
      <c r="O3" s="14"/>
      <c r="P3" s="15"/>
      <c r="Q3" s="16">
        <f>IFERROR(O3*P3, 0)</f>
        <v>0</v>
      </c>
      <c r="R3" s="14"/>
      <c r="S3" s="15"/>
      <c r="T3" s="16">
        <f t="shared" ref="T3:T34" si="4">IFERROR(R3*S3, 0)</f>
        <v>0</v>
      </c>
      <c r="U3" s="14"/>
      <c r="V3" s="15"/>
      <c r="W3" s="16">
        <f t="shared" ref="W3:W34" si="5">IFERROR(U3*V3, 0)</f>
        <v>0</v>
      </c>
      <c r="X3" s="14"/>
      <c r="Y3" s="15"/>
      <c r="Z3" s="16">
        <f t="shared" ref="Z3:Z45" si="6">IFERROR(X3*Y3, 0)</f>
        <v>0</v>
      </c>
      <c r="AA3" s="14"/>
      <c r="AB3" s="15"/>
      <c r="AC3" s="16">
        <f t="shared" ref="AC3:AC34" si="7">IFERROR(AA3*AB3, 0)</f>
        <v>0</v>
      </c>
      <c r="AD3" s="14"/>
      <c r="AE3" s="15"/>
      <c r="AF3" s="16">
        <f t="shared" ref="AF3:AF45" si="8">IFERROR(AD3*AE3, 0)</f>
        <v>0</v>
      </c>
      <c r="AG3" s="14"/>
      <c r="AH3" s="15"/>
      <c r="AI3" s="16">
        <f t="shared" ref="AI3:AI37" si="9">IFERROR(AG3*AH3, 0)</f>
        <v>0</v>
      </c>
      <c r="AJ3" s="14"/>
      <c r="AK3" s="15"/>
      <c r="AL3" s="16">
        <f>IFERROR(AJ3*AK3, 0)</f>
        <v>0</v>
      </c>
      <c r="AM3" s="14"/>
      <c r="AN3" s="15"/>
      <c r="AO3" s="16">
        <f t="shared" ref="AO3:AO34" si="10">IFERROR(AM3*AN3, 0)</f>
        <v>0</v>
      </c>
      <c r="AP3" s="14"/>
      <c r="AQ3" s="15"/>
      <c r="AR3" s="16">
        <f t="shared" ref="AR3:AR44" si="11">IFERROR(AP3*AQ3, 0)</f>
        <v>0</v>
      </c>
      <c r="AS3" s="14"/>
      <c r="AT3" s="15"/>
      <c r="AU3" s="16">
        <f t="shared" ref="AU3:AU24" si="12">IFERROR(AS3*AT3, 0)</f>
        <v>0</v>
      </c>
      <c r="AV3" s="14"/>
      <c r="AW3" s="15"/>
      <c r="AX3" s="16">
        <f t="shared" ref="AX3:AX34" si="13">IFERROR(AV3*AW3, 0)</f>
        <v>0</v>
      </c>
      <c r="AY3" s="14"/>
      <c r="AZ3" s="15"/>
      <c r="BA3" s="16">
        <f t="shared" ref="BA3:BA22" si="14">IFERROR(AY3*AZ3, 0)</f>
        <v>0</v>
      </c>
      <c r="BB3" s="14"/>
      <c r="BC3" s="15"/>
      <c r="BD3" s="16">
        <f>IFERROR(BB3*BC3, 0)</f>
        <v>0</v>
      </c>
      <c r="BE3" s="14"/>
      <c r="BF3" s="15"/>
      <c r="BG3" s="16">
        <f t="shared" ref="BG3:BG14" si="15">IFERROR(BE3*BF3, 0)</f>
        <v>0</v>
      </c>
      <c r="BH3" s="14"/>
      <c r="BI3" s="15"/>
      <c r="BJ3" s="16">
        <f t="shared" ref="BJ3:BJ34" si="16">IFERROR(BH3*BI3, 0)</f>
        <v>0</v>
      </c>
      <c r="BK3" s="14"/>
      <c r="BL3" s="15"/>
      <c r="BM3" s="16">
        <f t="shared" ref="BM3:BM38" si="17">IFERROR(BK3*BL3, 0)</f>
        <v>0</v>
      </c>
      <c r="BN3" s="14"/>
      <c r="BO3" s="15"/>
      <c r="BP3" s="16">
        <f>IFERROR(BN3*BO3, 0)</f>
        <v>0</v>
      </c>
      <c r="BQ3" s="14"/>
      <c r="BR3" s="15"/>
      <c r="BS3" s="16">
        <f t="shared" ref="BS3:BS34" si="18">IFERROR(BQ3*BR3, 0)</f>
        <v>0</v>
      </c>
      <c r="BT3" s="14"/>
      <c r="BU3" s="15"/>
      <c r="BV3" s="16">
        <f t="shared" ref="BV3:BV34" si="19">IFERROR(BT3*BU3, 0)</f>
        <v>0</v>
      </c>
      <c r="BW3" s="14"/>
      <c r="BX3" s="15"/>
      <c r="BY3" s="16">
        <f t="shared" ref="BY3:BY47" si="20">IFERROR(BW3*BX3, 0)</f>
        <v>0</v>
      </c>
      <c r="BZ3" s="14"/>
      <c r="CA3" s="15"/>
      <c r="CB3" s="16">
        <f t="shared" ref="CB3:CB34" si="21">IFERROR(BZ3*CA3, 0)</f>
        <v>0</v>
      </c>
      <c r="CC3" s="14"/>
      <c r="CD3" s="15"/>
      <c r="CE3" s="16">
        <f>IFERROR(CC3*CD3, 0)</f>
        <v>0</v>
      </c>
      <c r="CF3" s="14"/>
      <c r="CG3" s="15"/>
      <c r="CH3" s="16">
        <f t="shared" ref="CH3:CH34" si="22">IFERROR(CF3*CG3, 0)</f>
        <v>0</v>
      </c>
      <c r="CI3" s="14"/>
      <c r="CJ3" s="15"/>
      <c r="CK3" s="16">
        <f t="shared" ref="CK3:CK34" si="23">IFERROR(CI3*CJ3, 0)</f>
        <v>0</v>
      </c>
      <c r="CL3" s="14"/>
      <c r="CM3" s="15"/>
      <c r="CN3" s="16">
        <f t="shared" ref="CN3:CN34" si="24">IFERROR(CL3*CM3, 0)</f>
        <v>0</v>
      </c>
      <c r="CO3" s="14"/>
      <c r="CP3" s="15"/>
      <c r="CQ3" s="16">
        <f t="shared" ref="CQ3:CQ34" si="25">IFERROR(CO3*CP3, 0)</f>
        <v>0</v>
      </c>
      <c r="CR3" s="14"/>
      <c r="CS3" s="15"/>
      <c r="CT3" s="16">
        <f t="shared" ref="CT3:CT34" si="26">IFERROR(CR3*CS3, 0)</f>
        <v>0</v>
      </c>
      <c r="CU3" s="17">
        <f t="shared" ref="CU3:CU34" si="27">IFERROR(SUM(F3,I3,L3,O3,R3,U3,X3,AA3,AD3,AG3,AJ3,AM3,AP3,AS3,AV3,AY3,BB3,BE3,BH3,BK3,BN3,BQ3,BT3,BW3,BZ3,CC3,CF3,CI3,CL3,CO3,CR3), 0)</f>
        <v>0</v>
      </c>
      <c r="CV3" s="16">
        <f t="shared" ref="CV3:CV34" si="28">IFERROR(AVERAGE(G3,J3,M3,P3,S3,V3,Y3,AB3,AE3,AH3,AK3,AN3,AQ3,AT3,AW3,AZ3,BC3,BF3,BI3,BL3,BO3,BR3,BU3,BX3,CA3,CD3,CG3,CJ3,CM3,CP3,CS3), 0)</f>
        <v>0</v>
      </c>
      <c r="CW3" s="16">
        <f t="shared" ref="CW3:CW34" si="29">CU3*CV3</f>
        <v>0</v>
      </c>
    </row>
    <row r="4" spans="1:101" ht="15.75" customHeight="1" x14ac:dyDescent="0.35">
      <c r="A4" s="41" t="s">
        <v>717</v>
      </c>
      <c r="B4" s="41" t="s">
        <v>897</v>
      </c>
      <c r="C4" s="42"/>
      <c r="D4" s="43"/>
      <c r="E4" s="78">
        <f t="shared" si="0"/>
        <v>0</v>
      </c>
      <c r="F4" s="14"/>
      <c r="G4" s="15"/>
      <c r="H4" s="16">
        <f t="shared" si="1"/>
        <v>0</v>
      </c>
      <c r="I4" s="14"/>
      <c r="J4" s="15"/>
      <c r="K4" s="16">
        <f t="shared" si="2"/>
        <v>0</v>
      </c>
      <c r="L4" s="14"/>
      <c r="M4" s="15"/>
      <c r="N4" s="16">
        <f t="shared" si="3"/>
        <v>0</v>
      </c>
      <c r="O4" s="14"/>
      <c r="P4" s="15"/>
      <c r="Q4" s="16">
        <f>IFERROR(O4*P4, 0)</f>
        <v>0</v>
      </c>
      <c r="R4" s="14"/>
      <c r="S4" s="15"/>
      <c r="T4" s="16">
        <f t="shared" si="4"/>
        <v>0</v>
      </c>
      <c r="U4" s="14"/>
      <c r="V4" s="15"/>
      <c r="W4" s="16">
        <f t="shared" si="5"/>
        <v>0</v>
      </c>
      <c r="X4" s="14"/>
      <c r="Y4" s="15"/>
      <c r="Z4" s="16">
        <f t="shared" si="6"/>
        <v>0</v>
      </c>
      <c r="AA4" s="14"/>
      <c r="AB4" s="15"/>
      <c r="AC4" s="16">
        <f t="shared" si="7"/>
        <v>0</v>
      </c>
      <c r="AD4" s="14"/>
      <c r="AE4" s="15"/>
      <c r="AF4" s="16">
        <f t="shared" si="8"/>
        <v>0</v>
      </c>
      <c r="AG4" s="14"/>
      <c r="AH4" s="15"/>
      <c r="AI4" s="16">
        <f t="shared" si="9"/>
        <v>0</v>
      </c>
      <c r="AJ4" s="14"/>
      <c r="AK4" s="15"/>
      <c r="AL4" s="16">
        <f>IFERROR(AJ4*AK4, 0)</f>
        <v>0</v>
      </c>
      <c r="AM4" s="14"/>
      <c r="AN4" s="15"/>
      <c r="AO4" s="16">
        <f t="shared" si="10"/>
        <v>0</v>
      </c>
      <c r="AP4" s="14"/>
      <c r="AQ4" s="15"/>
      <c r="AR4" s="16">
        <f t="shared" si="11"/>
        <v>0</v>
      </c>
      <c r="AS4" s="14"/>
      <c r="AT4" s="15"/>
      <c r="AU4" s="16">
        <f t="shared" si="12"/>
        <v>0</v>
      </c>
      <c r="AV4" s="14"/>
      <c r="AW4" s="15"/>
      <c r="AX4" s="16">
        <f t="shared" si="13"/>
        <v>0</v>
      </c>
      <c r="AY4" s="14"/>
      <c r="AZ4" s="15"/>
      <c r="BA4" s="16">
        <f t="shared" si="14"/>
        <v>0</v>
      </c>
      <c r="BB4" s="14"/>
      <c r="BC4" s="15"/>
      <c r="BD4" s="16">
        <f>IFERROR(BB4*BC4, 0)</f>
        <v>0</v>
      </c>
      <c r="BE4" s="14"/>
      <c r="BF4" s="15"/>
      <c r="BG4" s="16">
        <f t="shared" si="15"/>
        <v>0</v>
      </c>
      <c r="BH4" s="14"/>
      <c r="BI4" s="15"/>
      <c r="BJ4" s="16">
        <f t="shared" si="16"/>
        <v>0</v>
      </c>
      <c r="BK4" s="14"/>
      <c r="BL4" s="15"/>
      <c r="BM4" s="16">
        <f t="shared" si="17"/>
        <v>0</v>
      </c>
      <c r="BN4" s="14"/>
      <c r="BO4" s="15"/>
      <c r="BP4" s="16">
        <f>IFERROR(BN4*BO4, 0)</f>
        <v>0</v>
      </c>
      <c r="BQ4" s="14"/>
      <c r="BR4" s="15"/>
      <c r="BS4" s="16">
        <f t="shared" si="18"/>
        <v>0</v>
      </c>
      <c r="BT4" s="14"/>
      <c r="BU4" s="15"/>
      <c r="BV4" s="16">
        <f t="shared" si="19"/>
        <v>0</v>
      </c>
      <c r="BW4" s="14"/>
      <c r="BX4" s="15"/>
      <c r="BY4" s="16">
        <f t="shared" si="20"/>
        <v>0</v>
      </c>
      <c r="BZ4" s="14"/>
      <c r="CA4" s="15"/>
      <c r="CB4" s="16">
        <f t="shared" si="21"/>
        <v>0</v>
      </c>
      <c r="CC4" s="14"/>
      <c r="CD4" s="15"/>
      <c r="CE4" s="16">
        <f>IFERROR(CC4*CD4, 0)</f>
        <v>0</v>
      </c>
      <c r="CF4" s="14"/>
      <c r="CG4" s="15"/>
      <c r="CH4" s="16">
        <f t="shared" si="22"/>
        <v>0</v>
      </c>
      <c r="CI4" s="14"/>
      <c r="CJ4" s="15"/>
      <c r="CK4" s="16">
        <f t="shared" si="23"/>
        <v>0</v>
      </c>
      <c r="CL4" s="14"/>
      <c r="CM4" s="15"/>
      <c r="CN4" s="16">
        <f t="shared" si="24"/>
        <v>0</v>
      </c>
      <c r="CO4" s="14"/>
      <c r="CP4" s="15"/>
      <c r="CQ4" s="16">
        <f t="shared" si="25"/>
        <v>0</v>
      </c>
      <c r="CR4" s="14"/>
      <c r="CS4" s="15"/>
      <c r="CT4" s="16">
        <f t="shared" si="26"/>
        <v>0</v>
      </c>
      <c r="CU4" s="17">
        <f t="shared" si="27"/>
        <v>0</v>
      </c>
      <c r="CV4" s="16">
        <f t="shared" si="28"/>
        <v>0</v>
      </c>
      <c r="CW4" s="16">
        <f t="shared" si="29"/>
        <v>0</v>
      </c>
    </row>
    <row r="5" spans="1:101" ht="15.75" customHeight="1" x14ac:dyDescent="0.35">
      <c r="A5" s="41" t="s">
        <v>923</v>
      </c>
      <c r="B5" s="41" t="s">
        <v>846</v>
      </c>
      <c r="C5" s="42"/>
      <c r="D5" s="43"/>
      <c r="E5" s="78">
        <f t="shared" si="0"/>
        <v>0</v>
      </c>
      <c r="F5" s="14"/>
      <c r="G5" s="15"/>
      <c r="H5" s="16">
        <f t="shared" si="1"/>
        <v>0</v>
      </c>
      <c r="I5" s="14"/>
      <c r="J5" s="15"/>
      <c r="K5" s="16">
        <f t="shared" si="2"/>
        <v>0</v>
      </c>
      <c r="L5" s="14"/>
      <c r="M5" s="15"/>
      <c r="N5" s="16">
        <f t="shared" si="3"/>
        <v>0</v>
      </c>
      <c r="O5" s="14"/>
      <c r="P5" s="15"/>
      <c r="Q5" s="16">
        <f>IFERROR(O5*P5, 0)</f>
        <v>0</v>
      </c>
      <c r="R5" s="14"/>
      <c r="S5" s="15"/>
      <c r="T5" s="16">
        <f t="shared" si="4"/>
        <v>0</v>
      </c>
      <c r="U5" s="14"/>
      <c r="V5" s="15"/>
      <c r="W5" s="16">
        <f t="shared" si="5"/>
        <v>0</v>
      </c>
      <c r="X5" s="14"/>
      <c r="Y5" s="15"/>
      <c r="Z5" s="16">
        <f t="shared" si="6"/>
        <v>0</v>
      </c>
      <c r="AA5" s="14"/>
      <c r="AB5" s="15"/>
      <c r="AC5" s="16">
        <f t="shared" si="7"/>
        <v>0</v>
      </c>
      <c r="AD5" s="14"/>
      <c r="AE5" s="15"/>
      <c r="AF5" s="16">
        <f t="shared" si="8"/>
        <v>0</v>
      </c>
      <c r="AG5" s="14"/>
      <c r="AH5" s="15"/>
      <c r="AI5" s="16">
        <f t="shared" si="9"/>
        <v>0</v>
      </c>
      <c r="AJ5" s="14"/>
      <c r="AK5" s="15"/>
      <c r="AL5" s="16">
        <f>IFERROR(AJ5*AK5, 0)</f>
        <v>0</v>
      </c>
      <c r="AM5" s="14"/>
      <c r="AN5" s="15"/>
      <c r="AO5" s="16">
        <f t="shared" si="10"/>
        <v>0</v>
      </c>
      <c r="AP5" s="14"/>
      <c r="AQ5" s="15"/>
      <c r="AR5" s="16">
        <f t="shared" si="11"/>
        <v>0</v>
      </c>
      <c r="AS5" s="14"/>
      <c r="AT5" s="15"/>
      <c r="AU5" s="16">
        <f t="shared" si="12"/>
        <v>0</v>
      </c>
      <c r="AV5" s="14"/>
      <c r="AW5" s="15"/>
      <c r="AX5" s="16">
        <f t="shared" si="13"/>
        <v>0</v>
      </c>
      <c r="AY5" s="14"/>
      <c r="AZ5" s="15"/>
      <c r="BA5" s="16">
        <f t="shared" si="14"/>
        <v>0</v>
      </c>
      <c r="BB5" s="14"/>
      <c r="BC5" s="15"/>
      <c r="BD5" s="16">
        <f>IFERROR(BB5*BC5, 0)</f>
        <v>0</v>
      </c>
      <c r="BE5" s="14"/>
      <c r="BF5" s="15"/>
      <c r="BG5" s="16">
        <f t="shared" si="15"/>
        <v>0</v>
      </c>
      <c r="BH5" s="14"/>
      <c r="BI5" s="15"/>
      <c r="BJ5" s="16">
        <f t="shared" si="16"/>
        <v>0</v>
      </c>
      <c r="BK5" s="14"/>
      <c r="BL5" s="15"/>
      <c r="BM5" s="16">
        <f t="shared" si="17"/>
        <v>0</v>
      </c>
      <c r="BN5" s="14"/>
      <c r="BO5" s="15"/>
      <c r="BP5" s="16">
        <f>IFERROR(BN5*BO5, 0)</f>
        <v>0</v>
      </c>
      <c r="BQ5" s="14"/>
      <c r="BR5" s="15"/>
      <c r="BS5" s="16">
        <f t="shared" si="18"/>
        <v>0</v>
      </c>
      <c r="BT5" s="14"/>
      <c r="BU5" s="15"/>
      <c r="BV5" s="16">
        <f t="shared" si="19"/>
        <v>0</v>
      </c>
      <c r="BW5" s="14"/>
      <c r="BX5" s="15"/>
      <c r="BY5" s="16">
        <f t="shared" si="20"/>
        <v>0</v>
      </c>
      <c r="BZ5" s="14"/>
      <c r="CA5" s="15"/>
      <c r="CB5" s="16">
        <f t="shared" si="21"/>
        <v>0</v>
      </c>
      <c r="CC5" s="14"/>
      <c r="CD5" s="15"/>
      <c r="CE5" s="16">
        <f>IFERROR(CC5*CD5, 0)</f>
        <v>0</v>
      </c>
      <c r="CF5" s="14"/>
      <c r="CG5" s="15"/>
      <c r="CH5" s="16">
        <f t="shared" si="22"/>
        <v>0</v>
      </c>
      <c r="CI5" s="14"/>
      <c r="CJ5" s="15"/>
      <c r="CK5" s="16">
        <f t="shared" si="23"/>
        <v>0</v>
      </c>
      <c r="CL5" s="14"/>
      <c r="CM5" s="15"/>
      <c r="CN5" s="16">
        <f t="shared" si="24"/>
        <v>0</v>
      </c>
      <c r="CO5" s="14"/>
      <c r="CP5" s="15"/>
      <c r="CQ5" s="16">
        <f t="shared" si="25"/>
        <v>0</v>
      </c>
      <c r="CR5" s="14"/>
      <c r="CS5" s="15"/>
      <c r="CT5" s="16">
        <f t="shared" si="26"/>
        <v>0</v>
      </c>
      <c r="CU5" s="17">
        <f t="shared" si="27"/>
        <v>0</v>
      </c>
      <c r="CV5" s="16">
        <f t="shared" si="28"/>
        <v>0</v>
      </c>
      <c r="CW5" s="16">
        <f t="shared" si="29"/>
        <v>0</v>
      </c>
    </row>
    <row r="6" spans="1:101" ht="15.75" customHeight="1" x14ac:dyDescent="0.35">
      <c r="A6" s="41" t="s">
        <v>775</v>
      </c>
      <c r="B6" s="41" t="s">
        <v>846</v>
      </c>
      <c r="C6" s="42"/>
      <c r="D6" s="43"/>
      <c r="E6" s="78">
        <f t="shared" si="0"/>
        <v>0</v>
      </c>
      <c r="F6" s="14"/>
      <c r="G6" s="15"/>
      <c r="H6" s="16">
        <f t="shared" si="1"/>
        <v>0</v>
      </c>
      <c r="I6" s="14"/>
      <c r="J6" s="15"/>
      <c r="K6" s="16">
        <f t="shared" si="2"/>
        <v>0</v>
      </c>
      <c r="L6" s="14"/>
      <c r="M6" s="15"/>
      <c r="N6" s="16">
        <f t="shared" si="3"/>
        <v>0</v>
      </c>
      <c r="O6" s="14"/>
      <c r="P6" s="15"/>
      <c r="Q6" s="16">
        <f>IFERROR(O6*P6, 0)</f>
        <v>0</v>
      </c>
      <c r="R6" s="14"/>
      <c r="S6" s="15"/>
      <c r="T6" s="16">
        <f t="shared" si="4"/>
        <v>0</v>
      </c>
      <c r="U6" s="14"/>
      <c r="V6" s="15"/>
      <c r="W6" s="16">
        <f t="shared" si="5"/>
        <v>0</v>
      </c>
      <c r="X6" s="14"/>
      <c r="Y6" s="15"/>
      <c r="Z6" s="16">
        <f t="shared" si="6"/>
        <v>0</v>
      </c>
      <c r="AA6" s="14"/>
      <c r="AB6" s="15"/>
      <c r="AC6" s="16">
        <f t="shared" si="7"/>
        <v>0</v>
      </c>
      <c r="AD6" s="14"/>
      <c r="AE6" s="15"/>
      <c r="AF6" s="16">
        <f t="shared" si="8"/>
        <v>0</v>
      </c>
      <c r="AG6" s="14"/>
      <c r="AH6" s="15"/>
      <c r="AI6" s="16">
        <f t="shared" si="9"/>
        <v>0</v>
      </c>
      <c r="AJ6" s="14"/>
      <c r="AK6" s="15"/>
      <c r="AL6" s="16">
        <f>IFERROR(AJ6*AK6, 0)</f>
        <v>0</v>
      </c>
      <c r="AM6" s="14"/>
      <c r="AN6" s="15"/>
      <c r="AO6" s="16">
        <f t="shared" si="10"/>
        <v>0</v>
      </c>
      <c r="AP6" s="14"/>
      <c r="AQ6" s="15"/>
      <c r="AR6" s="16">
        <f t="shared" si="11"/>
        <v>0</v>
      </c>
      <c r="AS6" s="14"/>
      <c r="AT6" s="15"/>
      <c r="AU6" s="16">
        <f t="shared" si="12"/>
        <v>0</v>
      </c>
      <c r="AV6" s="14"/>
      <c r="AW6" s="15"/>
      <c r="AX6" s="16">
        <f t="shared" si="13"/>
        <v>0</v>
      </c>
      <c r="AY6" s="14"/>
      <c r="AZ6" s="15"/>
      <c r="BA6" s="16">
        <f t="shared" si="14"/>
        <v>0</v>
      </c>
      <c r="BB6" s="14"/>
      <c r="BC6" s="15"/>
      <c r="BD6" s="16">
        <f>IFERROR(BB6*BC6, 0)</f>
        <v>0</v>
      </c>
      <c r="BE6" s="14"/>
      <c r="BF6" s="15"/>
      <c r="BG6" s="16">
        <f t="shared" si="15"/>
        <v>0</v>
      </c>
      <c r="BH6" s="14"/>
      <c r="BI6" s="15"/>
      <c r="BJ6" s="16">
        <f t="shared" si="16"/>
        <v>0</v>
      </c>
      <c r="BK6" s="14"/>
      <c r="BL6" s="15"/>
      <c r="BM6" s="16">
        <f t="shared" si="17"/>
        <v>0</v>
      </c>
      <c r="BN6" s="14"/>
      <c r="BO6" s="15"/>
      <c r="BP6" s="16">
        <f>IFERROR(BN6*BO6, 0)</f>
        <v>0</v>
      </c>
      <c r="BQ6" s="14"/>
      <c r="BR6" s="15"/>
      <c r="BS6" s="16">
        <f t="shared" si="18"/>
        <v>0</v>
      </c>
      <c r="BT6" s="14"/>
      <c r="BU6" s="15"/>
      <c r="BV6" s="16">
        <f t="shared" si="19"/>
        <v>0</v>
      </c>
      <c r="BW6" s="14"/>
      <c r="BX6" s="15"/>
      <c r="BY6" s="16">
        <f t="shared" si="20"/>
        <v>0</v>
      </c>
      <c r="BZ6" s="14"/>
      <c r="CA6" s="15"/>
      <c r="CB6" s="16">
        <f t="shared" si="21"/>
        <v>0</v>
      </c>
      <c r="CC6" s="14"/>
      <c r="CD6" s="15"/>
      <c r="CE6" s="16">
        <f>IFERROR(CC6*CD6, 0)</f>
        <v>0</v>
      </c>
      <c r="CF6" s="14"/>
      <c r="CG6" s="15"/>
      <c r="CH6" s="16">
        <f t="shared" si="22"/>
        <v>0</v>
      </c>
      <c r="CI6" s="14"/>
      <c r="CJ6" s="15"/>
      <c r="CK6" s="16">
        <f t="shared" si="23"/>
        <v>0</v>
      </c>
      <c r="CL6" s="14"/>
      <c r="CM6" s="15"/>
      <c r="CN6" s="16">
        <f t="shared" si="24"/>
        <v>0</v>
      </c>
      <c r="CO6" s="14"/>
      <c r="CP6" s="15"/>
      <c r="CQ6" s="16">
        <f t="shared" si="25"/>
        <v>0</v>
      </c>
      <c r="CR6" s="14"/>
      <c r="CS6" s="15"/>
      <c r="CT6" s="16">
        <f t="shared" si="26"/>
        <v>0</v>
      </c>
      <c r="CU6" s="17">
        <f t="shared" si="27"/>
        <v>0</v>
      </c>
      <c r="CV6" s="16">
        <f t="shared" si="28"/>
        <v>0</v>
      </c>
      <c r="CW6" s="16">
        <f t="shared" si="29"/>
        <v>0</v>
      </c>
    </row>
    <row r="7" spans="1:101" ht="15.75" customHeight="1" x14ac:dyDescent="0.35">
      <c r="A7" s="41" t="s">
        <v>217</v>
      </c>
      <c r="B7" s="41" t="s">
        <v>837</v>
      </c>
      <c r="C7" s="42"/>
      <c r="D7" s="43"/>
      <c r="E7" s="78">
        <f t="shared" si="0"/>
        <v>0</v>
      </c>
      <c r="F7" s="14"/>
      <c r="G7" s="15"/>
      <c r="H7" s="16">
        <f t="shared" si="1"/>
        <v>0</v>
      </c>
      <c r="I7" s="14"/>
      <c r="J7" s="15"/>
      <c r="K7" s="16">
        <f t="shared" si="2"/>
        <v>0</v>
      </c>
      <c r="L7" s="14"/>
      <c r="M7" s="15"/>
      <c r="N7" s="16">
        <f t="shared" si="3"/>
        <v>0</v>
      </c>
      <c r="O7" s="14">
        <v>2</v>
      </c>
      <c r="P7" s="15">
        <v>252000</v>
      </c>
      <c r="Q7" s="16">
        <v>504000</v>
      </c>
      <c r="R7" s="14"/>
      <c r="S7" s="15"/>
      <c r="T7" s="16">
        <f t="shared" si="4"/>
        <v>0</v>
      </c>
      <c r="U7" s="14"/>
      <c r="V7" s="15"/>
      <c r="W7" s="16">
        <f t="shared" si="5"/>
        <v>0</v>
      </c>
      <c r="X7" s="14"/>
      <c r="Y7" s="15"/>
      <c r="Z7" s="16">
        <f t="shared" si="6"/>
        <v>0</v>
      </c>
      <c r="AA7" s="14"/>
      <c r="AB7" s="15"/>
      <c r="AC7" s="16">
        <f t="shared" si="7"/>
        <v>0</v>
      </c>
      <c r="AD7" s="14"/>
      <c r="AE7" s="15"/>
      <c r="AF7" s="16">
        <f t="shared" si="8"/>
        <v>0</v>
      </c>
      <c r="AG7" s="14"/>
      <c r="AH7" s="15"/>
      <c r="AI7" s="16">
        <f t="shared" si="9"/>
        <v>0</v>
      </c>
      <c r="AJ7" s="14">
        <v>3</v>
      </c>
      <c r="AK7" s="15">
        <v>252000</v>
      </c>
      <c r="AL7" s="16">
        <v>756000</v>
      </c>
      <c r="AM7" s="14"/>
      <c r="AN7" s="15"/>
      <c r="AO7" s="16">
        <f t="shared" si="10"/>
        <v>0</v>
      </c>
      <c r="AP7" s="14"/>
      <c r="AQ7" s="15"/>
      <c r="AR7" s="16">
        <f t="shared" si="11"/>
        <v>0</v>
      </c>
      <c r="AS7" s="14"/>
      <c r="AT7" s="15"/>
      <c r="AU7" s="16">
        <f t="shared" si="12"/>
        <v>0</v>
      </c>
      <c r="AV7" s="14"/>
      <c r="AW7" s="15"/>
      <c r="AX7" s="16">
        <f t="shared" si="13"/>
        <v>0</v>
      </c>
      <c r="AY7" s="14"/>
      <c r="AZ7" s="15"/>
      <c r="BA7" s="16">
        <f t="shared" si="14"/>
        <v>0</v>
      </c>
      <c r="BB7" s="14">
        <v>2</v>
      </c>
      <c r="BC7" s="15">
        <v>340000</v>
      </c>
      <c r="BD7" s="16">
        <v>680000</v>
      </c>
      <c r="BE7" s="14"/>
      <c r="BF7" s="15"/>
      <c r="BG7" s="16">
        <f t="shared" si="15"/>
        <v>0</v>
      </c>
      <c r="BH7" s="14"/>
      <c r="BI7" s="15"/>
      <c r="BJ7" s="16">
        <f t="shared" si="16"/>
        <v>0</v>
      </c>
      <c r="BK7" s="14"/>
      <c r="BL7" s="15"/>
      <c r="BM7" s="16">
        <f t="shared" si="17"/>
        <v>0</v>
      </c>
      <c r="BN7" s="14">
        <v>2</v>
      </c>
      <c r="BO7" s="15">
        <v>252000</v>
      </c>
      <c r="BP7" s="16">
        <v>504000</v>
      </c>
      <c r="BQ7" s="14"/>
      <c r="BR7" s="15"/>
      <c r="BS7" s="16">
        <f t="shared" si="18"/>
        <v>0</v>
      </c>
      <c r="BT7" s="14"/>
      <c r="BU7" s="15"/>
      <c r="BV7" s="16">
        <f t="shared" si="19"/>
        <v>0</v>
      </c>
      <c r="BW7" s="14"/>
      <c r="BX7" s="15"/>
      <c r="BY7" s="16">
        <f t="shared" si="20"/>
        <v>0</v>
      </c>
      <c r="BZ7" s="14"/>
      <c r="CA7" s="15"/>
      <c r="CB7" s="16">
        <f t="shared" si="21"/>
        <v>0</v>
      </c>
      <c r="CC7" s="14">
        <v>2</v>
      </c>
      <c r="CD7" s="15">
        <v>340000</v>
      </c>
      <c r="CE7" s="16">
        <v>680000</v>
      </c>
      <c r="CF7" s="14"/>
      <c r="CG7" s="15"/>
      <c r="CH7" s="16">
        <f t="shared" si="22"/>
        <v>0</v>
      </c>
      <c r="CI7" s="14"/>
      <c r="CJ7" s="15"/>
      <c r="CK7" s="16">
        <f t="shared" si="23"/>
        <v>0</v>
      </c>
      <c r="CL7" s="14"/>
      <c r="CM7" s="15"/>
      <c r="CN7" s="16">
        <f t="shared" si="24"/>
        <v>0</v>
      </c>
      <c r="CO7" s="14"/>
      <c r="CP7" s="15"/>
      <c r="CQ7" s="16">
        <f t="shared" si="25"/>
        <v>0</v>
      </c>
      <c r="CR7" s="14"/>
      <c r="CS7" s="15"/>
      <c r="CT7" s="16">
        <f t="shared" si="26"/>
        <v>0</v>
      </c>
      <c r="CU7" s="17">
        <f t="shared" si="27"/>
        <v>11</v>
      </c>
      <c r="CV7" s="16">
        <f t="shared" si="28"/>
        <v>287200</v>
      </c>
      <c r="CW7" s="16">
        <f t="shared" si="29"/>
        <v>3159200</v>
      </c>
    </row>
    <row r="8" spans="1:101" ht="15.75" customHeight="1" x14ac:dyDescent="0.35">
      <c r="A8" s="41" t="s">
        <v>454</v>
      </c>
      <c r="B8" s="41" t="s">
        <v>837</v>
      </c>
      <c r="C8" s="42"/>
      <c r="D8" s="43"/>
      <c r="E8" s="78">
        <f t="shared" si="0"/>
        <v>0</v>
      </c>
      <c r="F8" s="14"/>
      <c r="G8" s="15"/>
      <c r="H8" s="16">
        <f t="shared" si="1"/>
        <v>0</v>
      </c>
      <c r="I8" s="14"/>
      <c r="J8" s="15"/>
      <c r="K8" s="16">
        <f t="shared" si="2"/>
        <v>0</v>
      </c>
      <c r="L8" s="14"/>
      <c r="M8" s="15"/>
      <c r="N8" s="16">
        <f t="shared" si="3"/>
        <v>0</v>
      </c>
      <c r="O8" s="14"/>
      <c r="P8" s="15"/>
      <c r="Q8" s="16">
        <f t="shared" ref="Q8:Q30" si="30">IFERROR(O8*P8, 0)</f>
        <v>0</v>
      </c>
      <c r="R8" s="14"/>
      <c r="S8" s="15"/>
      <c r="T8" s="16">
        <f t="shared" si="4"/>
        <v>0</v>
      </c>
      <c r="U8" s="14"/>
      <c r="V8" s="15"/>
      <c r="W8" s="16">
        <f t="shared" si="5"/>
        <v>0</v>
      </c>
      <c r="X8" s="14"/>
      <c r="Y8" s="15"/>
      <c r="Z8" s="16">
        <f t="shared" si="6"/>
        <v>0</v>
      </c>
      <c r="AA8" s="14"/>
      <c r="AB8" s="15"/>
      <c r="AC8" s="16">
        <f t="shared" si="7"/>
        <v>0</v>
      </c>
      <c r="AD8" s="14"/>
      <c r="AE8" s="15"/>
      <c r="AF8" s="16">
        <f t="shared" si="8"/>
        <v>0</v>
      </c>
      <c r="AG8" s="14"/>
      <c r="AH8" s="15"/>
      <c r="AI8" s="16">
        <f t="shared" si="9"/>
        <v>0</v>
      </c>
      <c r="AJ8" s="14">
        <v>1</v>
      </c>
      <c r="AK8" s="15">
        <v>160000</v>
      </c>
      <c r="AL8" s="16">
        <v>160000</v>
      </c>
      <c r="AM8" s="14"/>
      <c r="AN8" s="15"/>
      <c r="AO8" s="16">
        <f t="shared" si="10"/>
        <v>0</v>
      </c>
      <c r="AP8" s="14"/>
      <c r="AQ8" s="15"/>
      <c r="AR8" s="16">
        <f t="shared" si="11"/>
        <v>0</v>
      </c>
      <c r="AS8" s="14"/>
      <c r="AT8" s="15"/>
      <c r="AU8" s="16">
        <f t="shared" si="12"/>
        <v>0</v>
      </c>
      <c r="AV8" s="14"/>
      <c r="AW8" s="15"/>
      <c r="AX8" s="16">
        <f t="shared" si="13"/>
        <v>0</v>
      </c>
      <c r="AY8" s="14"/>
      <c r="AZ8" s="15"/>
      <c r="BA8" s="16">
        <f t="shared" si="14"/>
        <v>0</v>
      </c>
      <c r="BB8" s="14"/>
      <c r="BC8" s="15"/>
      <c r="BD8" s="16">
        <f>IFERROR(BB8*BC8, 0)</f>
        <v>0</v>
      </c>
      <c r="BE8" s="14"/>
      <c r="BF8" s="15"/>
      <c r="BG8" s="16">
        <f t="shared" si="15"/>
        <v>0</v>
      </c>
      <c r="BH8" s="14"/>
      <c r="BI8" s="15"/>
      <c r="BJ8" s="16">
        <f t="shared" si="16"/>
        <v>0</v>
      </c>
      <c r="BK8" s="14"/>
      <c r="BL8" s="15"/>
      <c r="BM8" s="16">
        <f t="shared" si="17"/>
        <v>0</v>
      </c>
      <c r="BN8" s="14"/>
      <c r="BO8" s="15"/>
      <c r="BP8" s="16">
        <f t="shared" ref="BP8:BP34" si="31">IFERROR(BN8*BO8, 0)</f>
        <v>0</v>
      </c>
      <c r="BQ8" s="14"/>
      <c r="BR8" s="15"/>
      <c r="BS8" s="16">
        <f t="shared" si="18"/>
        <v>0</v>
      </c>
      <c r="BT8" s="14"/>
      <c r="BU8" s="15"/>
      <c r="BV8" s="16">
        <f t="shared" si="19"/>
        <v>0</v>
      </c>
      <c r="BW8" s="14"/>
      <c r="BX8" s="15"/>
      <c r="BY8" s="16">
        <f t="shared" si="20"/>
        <v>0</v>
      </c>
      <c r="BZ8" s="14"/>
      <c r="CA8" s="15"/>
      <c r="CB8" s="16">
        <f t="shared" si="21"/>
        <v>0</v>
      </c>
      <c r="CC8" s="14"/>
      <c r="CD8" s="15"/>
      <c r="CE8" s="16">
        <f t="shared" ref="CE8:CE55" si="32">IFERROR(CC8*CD8, 0)</f>
        <v>0</v>
      </c>
      <c r="CF8" s="14"/>
      <c r="CG8" s="15"/>
      <c r="CH8" s="16">
        <f t="shared" si="22"/>
        <v>0</v>
      </c>
      <c r="CI8" s="14"/>
      <c r="CJ8" s="15"/>
      <c r="CK8" s="16">
        <f t="shared" si="23"/>
        <v>0</v>
      </c>
      <c r="CL8" s="14"/>
      <c r="CM8" s="15"/>
      <c r="CN8" s="16">
        <f t="shared" si="24"/>
        <v>0</v>
      </c>
      <c r="CO8" s="14"/>
      <c r="CP8" s="15"/>
      <c r="CQ8" s="16">
        <f t="shared" si="25"/>
        <v>0</v>
      </c>
      <c r="CR8" s="14"/>
      <c r="CS8" s="15"/>
      <c r="CT8" s="16">
        <f t="shared" si="26"/>
        <v>0</v>
      </c>
      <c r="CU8" s="17">
        <f t="shared" si="27"/>
        <v>1</v>
      </c>
      <c r="CV8" s="16">
        <f t="shared" si="28"/>
        <v>160000</v>
      </c>
      <c r="CW8" s="16">
        <f t="shared" si="29"/>
        <v>160000</v>
      </c>
    </row>
    <row r="9" spans="1:101" ht="15.75" customHeight="1" x14ac:dyDescent="0.35">
      <c r="A9" s="41" t="s">
        <v>177</v>
      </c>
      <c r="B9" s="41" t="s">
        <v>846</v>
      </c>
      <c r="C9" s="42"/>
      <c r="D9" s="43"/>
      <c r="E9" s="78">
        <f t="shared" si="0"/>
        <v>0</v>
      </c>
      <c r="F9" s="14"/>
      <c r="G9" s="15"/>
      <c r="H9" s="16">
        <f t="shared" si="1"/>
        <v>0</v>
      </c>
      <c r="I9" s="14"/>
      <c r="J9" s="15"/>
      <c r="K9" s="16">
        <f t="shared" si="2"/>
        <v>0</v>
      </c>
      <c r="L9" s="14">
        <v>1</v>
      </c>
      <c r="M9" s="15">
        <v>130000</v>
      </c>
      <c r="N9" s="16">
        <v>130000</v>
      </c>
      <c r="O9" s="14"/>
      <c r="P9" s="15"/>
      <c r="Q9" s="16">
        <f t="shared" si="30"/>
        <v>0</v>
      </c>
      <c r="R9" s="14"/>
      <c r="S9" s="15"/>
      <c r="T9" s="16">
        <f t="shared" si="4"/>
        <v>0</v>
      </c>
      <c r="U9" s="14"/>
      <c r="V9" s="15"/>
      <c r="W9" s="16">
        <f t="shared" si="5"/>
        <v>0</v>
      </c>
      <c r="X9" s="14"/>
      <c r="Y9" s="15"/>
      <c r="Z9" s="16">
        <f t="shared" si="6"/>
        <v>0</v>
      </c>
      <c r="AA9" s="14"/>
      <c r="AB9" s="15"/>
      <c r="AC9" s="16">
        <f t="shared" si="7"/>
        <v>0</v>
      </c>
      <c r="AD9" s="14"/>
      <c r="AE9" s="15"/>
      <c r="AF9" s="16">
        <f t="shared" si="8"/>
        <v>0</v>
      </c>
      <c r="AG9" s="14"/>
      <c r="AH9" s="15"/>
      <c r="AI9" s="16">
        <f t="shared" si="9"/>
        <v>0</v>
      </c>
      <c r="AJ9" s="14"/>
      <c r="AK9" s="15"/>
      <c r="AL9" s="16">
        <f t="shared" ref="AL9:AL30" si="33">IFERROR(AJ9*AK9, 0)</f>
        <v>0</v>
      </c>
      <c r="AM9" s="14"/>
      <c r="AN9" s="15"/>
      <c r="AO9" s="16">
        <f t="shared" si="10"/>
        <v>0</v>
      </c>
      <c r="AP9" s="14"/>
      <c r="AQ9" s="15"/>
      <c r="AR9" s="16">
        <f t="shared" si="11"/>
        <v>0</v>
      </c>
      <c r="AS9" s="14"/>
      <c r="AT9" s="15"/>
      <c r="AU9" s="16">
        <f t="shared" si="12"/>
        <v>0</v>
      </c>
      <c r="AV9" s="14"/>
      <c r="AW9" s="15"/>
      <c r="AX9" s="16">
        <f t="shared" si="13"/>
        <v>0</v>
      </c>
      <c r="AY9" s="14"/>
      <c r="AZ9" s="15"/>
      <c r="BA9" s="16">
        <f t="shared" si="14"/>
        <v>0</v>
      </c>
      <c r="BB9" s="14"/>
      <c r="BC9" s="15"/>
      <c r="BD9" s="16">
        <f>IFERROR(BB9*BC9, 0)</f>
        <v>0</v>
      </c>
      <c r="BE9" s="14"/>
      <c r="BF9" s="15"/>
      <c r="BG9" s="16">
        <f t="shared" si="15"/>
        <v>0</v>
      </c>
      <c r="BH9" s="14"/>
      <c r="BI9" s="15"/>
      <c r="BJ9" s="16">
        <f t="shared" si="16"/>
        <v>0</v>
      </c>
      <c r="BK9" s="14"/>
      <c r="BL9" s="15"/>
      <c r="BM9" s="16">
        <f t="shared" si="17"/>
        <v>0</v>
      </c>
      <c r="BN9" s="14"/>
      <c r="BO9" s="15"/>
      <c r="BP9" s="16">
        <f t="shared" si="31"/>
        <v>0</v>
      </c>
      <c r="BQ9" s="14"/>
      <c r="BR9" s="15"/>
      <c r="BS9" s="16">
        <f t="shared" si="18"/>
        <v>0</v>
      </c>
      <c r="BT9" s="14"/>
      <c r="BU9" s="15"/>
      <c r="BV9" s="16">
        <f t="shared" si="19"/>
        <v>0</v>
      </c>
      <c r="BW9" s="14"/>
      <c r="BX9" s="15"/>
      <c r="BY9" s="16">
        <f t="shared" si="20"/>
        <v>0</v>
      </c>
      <c r="BZ9" s="14"/>
      <c r="CA9" s="15"/>
      <c r="CB9" s="16">
        <f t="shared" si="21"/>
        <v>0</v>
      </c>
      <c r="CC9" s="14"/>
      <c r="CD9" s="15"/>
      <c r="CE9" s="16">
        <f t="shared" si="32"/>
        <v>0</v>
      </c>
      <c r="CF9" s="14"/>
      <c r="CG9" s="15"/>
      <c r="CH9" s="16">
        <f t="shared" si="22"/>
        <v>0</v>
      </c>
      <c r="CI9" s="14"/>
      <c r="CJ9" s="15"/>
      <c r="CK9" s="16">
        <f t="shared" si="23"/>
        <v>0</v>
      </c>
      <c r="CL9" s="14"/>
      <c r="CM9" s="15"/>
      <c r="CN9" s="16">
        <f t="shared" si="24"/>
        <v>0</v>
      </c>
      <c r="CO9" s="14"/>
      <c r="CP9" s="15"/>
      <c r="CQ9" s="16">
        <f t="shared" si="25"/>
        <v>0</v>
      </c>
      <c r="CR9" s="14"/>
      <c r="CS9" s="15"/>
      <c r="CT9" s="16">
        <f t="shared" si="26"/>
        <v>0</v>
      </c>
      <c r="CU9" s="17">
        <f t="shared" si="27"/>
        <v>1</v>
      </c>
      <c r="CV9" s="16">
        <f t="shared" si="28"/>
        <v>130000</v>
      </c>
      <c r="CW9" s="16">
        <f t="shared" si="29"/>
        <v>130000</v>
      </c>
    </row>
    <row r="10" spans="1:101" ht="15.75" customHeight="1" x14ac:dyDescent="0.35">
      <c r="A10" s="41" t="s">
        <v>924</v>
      </c>
      <c r="B10" s="41" t="s">
        <v>925</v>
      </c>
      <c r="C10" s="42"/>
      <c r="D10" s="43"/>
      <c r="E10" s="78">
        <f t="shared" si="0"/>
        <v>0</v>
      </c>
      <c r="F10" s="14"/>
      <c r="G10" s="15"/>
      <c r="H10" s="16">
        <f t="shared" si="1"/>
        <v>0</v>
      </c>
      <c r="I10" s="14"/>
      <c r="J10" s="15"/>
      <c r="K10" s="16">
        <f t="shared" si="2"/>
        <v>0</v>
      </c>
      <c r="L10" s="14"/>
      <c r="M10" s="15"/>
      <c r="N10" s="16">
        <f t="shared" ref="N10:N55" si="34">IFERROR(L10*M10, 0)</f>
        <v>0</v>
      </c>
      <c r="O10" s="14"/>
      <c r="P10" s="15"/>
      <c r="Q10" s="16">
        <f t="shared" si="30"/>
        <v>0</v>
      </c>
      <c r="R10" s="14"/>
      <c r="S10" s="15"/>
      <c r="T10" s="16">
        <f t="shared" si="4"/>
        <v>0</v>
      </c>
      <c r="U10" s="14"/>
      <c r="V10" s="15"/>
      <c r="W10" s="16">
        <f t="shared" si="5"/>
        <v>0</v>
      </c>
      <c r="X10" s="14"/>
      <c r="Y10" s="15"/>
      <c r="Z10" s="16">
        <f t="shared" si="6"/>
        <v>0</v>
      </c>
      <c r="AA10" s="14"/>
      <c r="AB10" s="15"/>
      <c r="AC10" s="16">
        <f t="shared" si="7"/>
        <v>0</v>
      </c>
      <c r="AD10" s="14"/>
      <c r="AE10" s="15"/>
      <c r="AF10" s="16">
        <f t="shared" si="8"/>
        <v>0</v>
      </c>
      <c r="AG10" s="14"/>
      <c r="AH10" s="15"/>
      <c r="AI10" s="16">
        <f t="shared" si="9"/>
        <v>0</v>
      </c>
      <c r="AJ10" s="14"/>
      <c r="AK10" s="15"/>
      <c r="AL10" s="16">
        <f t="shared" si="33"/>
        <v>0</v>
      </c>
      <c r="AM10" s="14"/>
      <c r="AN10" s="15"/>
      <c r="AO10" s="16">
        <f t="shared" si="10"/>
        <v>0</v>
      </c>
      <c r="AP10" s="14"/>
      <c r="AQ10" s="15"/>
      <c r="AR10" s="16">
        <f t="shared" si="11"/>
        <v>0</v>
      </c>
      <c r="AS10" s="14"/>
      <c r="AT10" s="15"/>
      <c r="AU10" s="16">
        <f t="shared" si="12"/>
        <v>0</v>
      </c>
      <c r="AV10" s="14"/>
      <c r="AW10" s="15"/>
      <c r="AX10" s="16">
        <f t="shared" si="13"/>
        <v>0</v>
      </c>
      <c r="AY10" s="14"/>
      <c r="AZ10" s="15"/>
      <c r="BA10" s="16">
        <f t="shared" si="14"/>
        <v>0</v>
      </c>
      <c r="BB10" s="14"/>
      <c r="BC10" s="15"/>
      <c r="BD10" s="16">
        <f>IFERROR(BB10*BC10, 0)</f>
        <v>0</v>
      </c>
      <c r="BE10" s="14"/>
      <c r="BF10" s="15"/>
      <c r="BG10" s="16">
        <f t="shared" si="15"/>
        <v>0</v>
      </c>
      <c r="BH10" s="14"/>
      <c r="BI10" s="15"/>
      <c r="BJ10" s="16">
        <f t="shared" si="16"/>
        <v>0</v>
      </c>
      <c r="BK10" s="14"/>
      <c r="BL10" s="15"/>
      <c r="BM10" s="16">
        <f t="shared" si="17"/>
        <v>0</v>
      </c>
      <c r="BN10" s="14"/>
      <c r="BO10" s="15"/>
      <c r="BP10" s="16">
        <f t="shared" si="31"/>
        <v>0</v>
      </c>
      <c r="BQ10" s="14"/>
      <c r="BR10" s="15"/>
      <c r="BS10" s="16">
        <f t="shared" si="18"/>
        <v>0</v>
      </c>
      <c r="BT10" s="14"/>
      <c r="BU10" s="15"/>
      <c r="BV10" s="16">
        <f t="shared" si="19"/>
        <v>0</v>
      </c>
      <c r="BW10" s="14"/>
      <c r="BX10" s="15"/>
      <c r="BY10" s="16">
        <f t="shared" si="20"/>
        <v>0</v>
      </c>
      <c r="BZ10" s="14"/>
      <c r="CA10" s="15"/>
      <c r="CB10" s="16">
        <f t="shared" si="21"/>
        <v>0</v>
      </c>
      <c r="CC10" s="14"/>
      <c r="CD10" s="15"/>
      <c r="CE10" s="16">
        <f t="shared" si="32"/>
        <v>0</v>
      </c>
      <c r="CF10" s="14"/>
      <c r="CG10" s="15"/>
      <c r="CH10" s="16">
        <f t="shared" si="22"/>
        <v>0</v>
      </c>
      <c r="CI10" s="14"/>
      <c r="CJ10" s="15"/>
      <c r="CK10" s="16">
        <f t="shared" si="23"/>
        <v>0</v>
      </c>
      <c r="CL10" s="14"/>
      <c r="CM10" s="15"/>
      <c r="CN10" s="16">
        <f t="shared" si="24"/>
        <v>0</v>
      </c>
      <c r="CO10" s="14"/>
      <c r="CP10" s="15"/>
      <c r="CQ10" s="16">
        <f t="shared" si="25"/>
        <v>0</v>
      </c>
      <c r="CR10" s="14"/>
      <c r="CS10" s="15"/>
      <c r="CT10" s="16">
        <f t="shared" si="26"/>
        <v>0</v>
      </c>
      <c r="CU10" s="17">
        <f t="shared" si="27"/>
        <v>0</v>
      </c>
      <c r="CV10" s="16">
        <f t="shared" si="28"/>
        <v>0</v>
      </c>
      <c r="CW10" s="16">
        <f t="shared" si="29"/>
        <v>0</v>
      </c>
    </row>
    <row r="11" spans="1:101" ht="15.75" customHeight="1" x14ac:dyDescent="0.35">
      <c r="A11" s="41" t="s">
        <v>568</v>
      </c>
      <c r="B11" s="41" t="s">
        <v>925</v>
      </c>
      <c r="C11" s="42"/>
      <c r="D11" s="43"/>
      <c r="E11" s="78">
        <f t="shared" si="0"/>
        <v>0</v>
      </c>
      <c r="F11" s="14"/>
      <c r="G11" s="15"/>
      <c r="H11" s="16">
        <f t="shared" si="1"/>
        <v>0</v>
      </c>
      <c r="I11" s="14"/>
      <c r="J11" s="15"/>
      <c r="K11" s="16">
        <f t="shared" si="2"/>
        <v>0</v>
      </c>
      <c r="L11" s="14"/>
      <c r="M11" s="15"/>
      <c r="N11" s="16">
        <f t="shared" si="34"/>
        <v>0</v>
      </c>
      <c r="O11" s="14"/>
      <c r="P11" s="15"/>
      <c r="Q11" s="16">
        <f t="shared" si="30"/>
        <v>0</v>
      </c>
      <c r="R11" s="14"/>
      <c r="S11" s="15"/>
      <c r="T11" s="16">
        <f t="shared" si="4"/>
        <v>0</v>
      </c>
      <c r="U11" s="14"/>
      <c r="V11" s="15"/>
      <c r="W11" s="16">
        <f t="shared" si="5"/>
        <v>0</v>
      </c>
      <c r="X11" s="14"/>
      <c r="Y11" s="15"/>
      <c r="Z11" s="16">
        <f t="shared" si="6"/>
        <v>0</v>
      </c>
      <c r="AA11" s="14"/>
      <c r="AB11" s="15"/>
      <c r="AC11" s="16">
        <f t="shared" si="7"/>
        <v>0</v>
      </c>
      <c r="AD11" s="14"/>
      <c r="AE11" s="15"/>
      <c r="AF11" s="16">
        <f t="shared" si="8"/>
        <v>0</v>
      </c>
      <c r="AG11" s="14"/>
      <c r="AH11" s="15"/>
      <c r="AI11" s="16">
        <f t="shared" si="9"/>
        <v>0</v>
      </c>
      <c r="AJ11" s="14"/>
      <c r="AK11" s="15"/>
      <c r="AL11" s="16">
        <f t="shared" si="33"/>
        <v>0</v>
      </c>
      <c r="AM11" s="14"/>
      <c r="AN11" s="15"/>
      <c r="AO11" s="16">
        <f t="shared" si="10"/>
        <v>0</v>
      </c>
      <c r="AP11" s="14"/>
      <c r="AQ11" s="15"/>
      <c r="AR11" s="16">
        <f t="shared" si="11"/>
        <v>0</v>
      </c>
      <c r="AS11" s="14"/>
      <c r="AT11" s="15"/>
      <c r="AU11" s="16">
        <f t="shared" si="12"/>
        <v>0</v>
      </c>
      <c r="AV11" s="14"/>
      <c r="AW11" s="15"/>
      <c r="AX11" s="16">
        <f t="shared" si="13"/>
        <v>0</v>
      </c>
      <c r="AY11" s="14"/>
      <c r="AZ11" s="15"/>
      <c r="BA11" s="16">
        <f t="shared" si="14"/>
        <v>0</v>
      </c>
      <c r="BB11" s="14">
        <v>1</v>
      </c>
      <c r="BC11" s="15">
        <v>19000</v>
      </c>
      <c r="BD11" s="16">
        <v>19000</v>
      </c>
      <c r="BE11" s="14"/>
      <c r="BF11" s="15"/>
      <c r="BG11" s="16">
        <f t="shared" si="15"/>
        <v>0</v>
      </c>
      <c r="BH11" s="14"/>
      <c r="BI11" s="15"/>
      <c r="BJ11" s="16">
        <f t="shared" si="16"/>
        <v>0</v>
      </c>
      <c r="BK11" s="14"/>
      <c r="BL11" s="15"/>
      <c r="BM11" s="16">
        <f t="shared" si="17"/>
        <v>0</v>
      </c>
      <c r="BN11" s="14"/>
      <c r="BO11" s="15"/>
      <c r="BP11" s="16">
        <f t="shared" si="31"/>
        <v>0</v>
      </c>
      <c r="BQ11" s="14"/>
      <c r="BR11" s="15"/>
      <c r="BS11" s="16">
        <f t="shared" si="18"/>
        <v>0</v>
      </c>
      <c r="BT11" s="14"/>
      <c r="BU11" s="15"/>
      <c r="BV11" s="16">
        <f t="shared" si="19"/>
        <v>0</v>
      </c>
      <c r="BW11" s="14"/>
      <c r="BX11" s="15"/>
      <c r="BY11" s="16">
        <f t="shared" si="20"/>
        <v>0</v>
      </c>
      <c r="BZ11" s="14"/>
      <c r="CA11" s="15"/>
      <c r="CB11" s="16">
        <f t="shared" si="21"/>
        <v>0</v>
      </c>
      <c r="CC11" s="14"/>
      <c r="CD11" s="15"/>
      <c r="CE11" s="16">
        <f t="shared" si="32"/>
        <v>0</v>
      </c>
      <c r="CF11" s="14"/>
      <c r="CG11" s="15"/>
      <c r="CH11" s="16">
        <f t="shared" si="22"/>
        <v>0</v>
      </c>
      <c r="CI11" s="14"/>
      <c r="CJ11" s="15"/>
      <c r="CK11" s="16">
        <f t="shared" si="23"/>
        <v>0</v>
      </c>
      <c r="CL11" s="14"/>
      <c r="CM11" s="15"/>
      <c r="CN11" s="16">
        <f t="shared" si="24"/>
        <v>0</v>
      </c>
      <c r="CO11" s="14"/>
      <c r="CP11" s="15"/>
      <c r="CQ11" s="16">
        <f t="shared" si="25"/>
        <v>0</v>
      </c>
      <c r="CR11" s="14"/>
      <c r="CS11" s="15"/>
      <c r="CT11" s="16">
        <f t="shared" si="26"/>
        <v>0</v>
      </c>
      <c r="CU11" s="17">
        <f t="shared" si="27"/>
        <v>1</v>
      </c>
      <c r="CV11" s="16">
        <f t="shared" si="28"/>
        <v>19000</v>
      </c>
      <c r="CW11" s="16">
        <f t="shared" si="29"/>
        <v>19000</v>
      </c>
    </row>
    <row r="12" spans="1:101" ht="15.75" customHeight="1" x14ac:dyDescent="0.35">
      <c r="A12" s="41" t="s">
        <v>87</v>
      </c>
      <c r="B12" s="41" t="s">
        <v>925</v>
      </c>
      <c r="C12" s="42"/>
      <c r="D12" s="43"/>
      <c r="E12" s="78">
        <f t="shared" si="0"/>
        <v>0</v>
      </c>
      <c r="F12" s="14"/>
      <c r="G12" s="15"/>
      <c r="H12" s="16">
        <f t="shared" si="1"/>
        <v>0</v>
      </c>
      <c r="I12" s="14">
        <v>1</v>
      </c>
      <c r="J12" s="15">
        <v>15000</v>
      </c>
      <c r="K12" s="16">
        <v>15000</v>
      </c>
      <c r="L12" s="14"/>
      <c r="M12" s="15"/>
      <c r="N12" s="16">
        <f t="shared" si="34"/>
        <v>0</v>
      </c>
      <c r="O12" s="14"/>
      <c r="P12" s="15"/>
      <c r="Q12" s="16">
        <f t="shared" si="30"/>
        <v>0</v>
      </c>
      <c r="R12" s="14"/>
      <c r="S12" s="15"/>
      <c r="T12" s="16">
        <f t="shared" si="4"/>
        <v>0</v>
      </c>
      <c r="U12" s="14"/>
      <c r="V12" s="15"/>
      <c r="W12" s="16">
        <f t="shared" si="5"/>
        <v>0</v>
      </c>
      <c r="X12" s="14"/>
      <c r="Y12" s="15"/>
      <c r="Z12" s="16">
        <f t="shared" si="6"/>
        <v>0</v>
      </c>
      <c r="AA12" s="14"/>
      <c r="AB12" s="15"/>
      <c r="AC12" s="16">
        <f t="shared" si="7"/>
        <v>0</v>
      </c>
      <c r="AD12" s="14"/>
      <c r="AE12" s="15"/>
      <c r="AF12" s="16">
        <f t="shared" si="8"/>
        <v>0</v>
      </c>
      <c r="AG12" s="14"/>
      <c r="AH12" s="15"/>
      <c r="AI12" s="16">
        <f t="shared" si="9"/>
        <v>0</v>
      </c>
      <c r="AJ12" s="14"/>
      <c r="AK12" s="15"/>
      <c r="AL12" s="16">
        <f t="shared" si="33"/>
        <v>0</v>
      </c>
      <c r="AM12" s="14"/>
      <c r="AN12" s="15"/>
      <c r="AO12" s="16">
        <f t="shared" si="10"/>
        <v>0</v>
      </c>
      <c r="AP12" s="14"/>
      <c r="AQ12" s="15"/>
      <c r="AR12" s="16">
        <f t="shared" si="11"/>
        <v>0</v>
      </c>
      <c r="AS12" s="14"/>
      <c r="AT12" s="15"/>
      <c r="AU12" s="16">
        <f t="shared" si="12"/>
        <v>0</v>
      </c>
      <c r="AV12" s="14"/>
      <c r="AW12" s="15"/>
      <c r="AX12" s="16">
        <f t="shared" si="13"/>
        <v>0</v>
      </c>
      <c r="AY12" s="14"/>
      <c r="AZ12" s="15"/>
      <c r="BA12" s="16">
        <f t="shared" si="14"/>
        <v>0</v>
      </c>
      <c r="BB12" s="14"/>
      <c r="BC12" s="15"/>
      <c r="BD12" s="16">
        <f t="shared" ref="BD12:BD54" si="35">IFERROR(BB12*BC12, 0)</f>
        <v>0</v>
      </c>
      <c r="BE12" s="14"/>
      <c r="BF12" s="15"/>
      <c r="BG12" s="16">
        <f t="shared" si="15"/>
        <v>0</v>
      </c>
      <c r="BH12" s="14"/>
      <c r="BI12" s="15"/>
      <c r="BJ12" s="16">
        <f t="shared" si="16"/>
        <v>0</v>
      </c>
      <c r="BK12" s="14"/>
      <c r="BL12" s="15"/>
      <c r="BM12" s="16">
        <f t="shared" si="17"/>
        <v>0</v>
      </c>
      <c r="BN12" s="14"/>
      <c r="BO12" s="15"/>
      <c r="BP12" s="16">
        <f t="shared" si="31"/>
        <v>0</v>
      </c>
      <c r="BQ12" s="14"/>
      <c r="BR12" s="15"/>
      <c r="BS12" s="16">
        <f t="shared" si="18"/>
        <v>0</v>
      </c>
      <c r="BT12" s="14"/>
      <c r="BU12" s="15"/>
      <c r="BV12" s="16">
        <f t="shared" si="19"/>
        <v>0</v>
      </c>
      <c r="BW12" s="14"/>
      <c r="BX12" s="15"/>
      <c r="BY12" s="16">
        <f t="shared" si="20"/>
        <v>0</v>
      </c>
      <c r="BZ12" s="14"/>
      <c r="CA12" s="15"/>
      <c r="CB12" s="16">
        <f t="shared" si="21"/>
        <v>0</v>
      </c>
      <c r="CC12" s="14"/>
      <c r="CD12" s="15"/>
      <c r="CE12" s="16">
        <f t="shared" si="32"/>
        <v>0</v>
      </c>
      <c r="CF12" s="14"/>
      <c r="CG12" s="15"/>
      <c r="CH12" s="16">
        <f t="shared" si="22"/>
        <v>0</v>
      </c>
      <c r="CI12" s="14"/>
      <c r="CJ12" s="15"/>
      <c r="CK12" s="16">
        <f t="shared" si="23"/>
        <v>0</v>
      </c>
      <c r="CL12" s="14"/>
      <c r="CM12" s="15"/>
      <c r="CN12" s="16">
        <f t="shared" si="24"/>
        <v>0</v>
      </c>
      <c r="CO12" s="14"/>
      <c r="CP12" s="15"/>
      <c r="CQ12" s="16">
        <f t="shared" si="25"/>
        <v>0</v>
      </c>
      <c r="CR12" s="14"/>
      <c r="CS12" s="15"/>
      <c r="CT12" s="16">
        <f t="shared" si="26"/>
        <v>0</v>
      </c>
      <c r="CU12" s="17">
        <f t="shared" si="27"/>
        <v>1</v>
      </c>
      <c r="CV12" s="16">
        <f t="shared" si="28"/>
        <v>15000</v>
      </c>
      <c r="CW12" s="16">
        <f t="shared" si="29"/>
        <v>15000</v>
      </c>
    </row>
    <row r="13" spans="1:101" ht="15.75" customHeight="1" x14ac:dyDescent="0.35">
      <c r="A13" s="41" t="s">
        <v>926</v>
      </c>
      <c r="B13" s="41" t="s">
        <v>897</v>
      </c>
      <c r="C13" s="42"/>
      <c r="D13" s="43"/>
      <c r="E13" s="78">
        <f t="shared" si="0"/>
        <v>0</v>
      </c>
      <c r="F13" s="14"/>
      <c r="G13" s="15"/>
      <c r="H13" s="16">
        <f t="shared" si="1"/>
        <v>0</v>
      </c>
      <c r="I13" s="14"/>
      <c r="J13" s="15"/>
      <c r="K13" s="16">
        <f t="shared" ref="K13:K55" si="36">IFERROR(I13*J13, 0)</f>
        <v>0</v>
      </c>
      <c r="L13" s="14"/>
      <c r="M13" s="15"/>
      <c r="N13" s="16">
        <f t="shared" si="34"/>
        <v>0</v>
      </c>
      <c r="O13" s="14"/>
      <c r="P13" s="15"/>
      <c r="Q13" s="16">
        <f t="shared" si="30"/>
        <v>0</v>
      </c>
      <c r="R13" s="14"/>
      <c r="S13" s="15"/>
      <c r="T13" s="16">
        <f t="shared" si="4"/>
        <v>0</v>
      </c>
      <c r="U13" s="14"/>
      <c r="V13" s="15"/>
      <c r="W13" s="16">
        <f t="shared" si="5"/>
        <v>0</v>
      </c>
      <c r="X13" s="14"/>
      <c r="Y13" s="15"/>
      <c r="Z13" s="16">
        <f t="shared" si="6"/>
        <v>0</v>
      </c>
      <c r="AA13" s="14"/>
      <c r="AB13" s="15"/>
      <c r="AC13" s="16">
        <f t="shared" si="7"/>
        <v>0</v>
      </c>
      <c r="AD13" s="14"/>
      <c r="AE13" s="15"/>
      <c r="AF13" s="16">
        <f t="shared" si="8"/>
        <v>0</v>
      </c>
      <c r="AG13" s="14"/>
      <c r="AH13" s="15"/>
      <c r="AI13" s="16">
        <f t="shared" si="9"/>
        <v>0</v>
      </c>
      <c r="AJ13" s="14"/>
      <c r="AK13" s="15"/>
      <c r="AL13" s="16">
        <f t="shared" si="33"/>
        <v>0</v>
      </c>
      <c r="AM13" s="14"/>
      <c r="AN13" s="15"/>
      <c r="AO13" s="16">
        <f t="shared" si="10"/>
        <v>0</v>
      </c>
      <c r="AP13" s="14"/>
      <c r="AQ13" s="15"/>
      <c r="AR13" s="16">
        <f t="shared" si="11"/>
        <v>0</v>
      </c>
      <c r="AS13" s="14"/>
      <c r="AT13" s="15"/>
      <c r="AU13" s="16">
        <f t="shared" si="12"/>
        <v>0</v>
      </c>
      <c r="AV13" s="14"/>
      <c r="AW13" s="15"/>
      <c r="AX13" s="16">
        <f t="shared" si="13"/>
        <v>0</v>
      </c>
      <c r="AY13" s="14"/>
      <c r="AZ13" s="15"/>
      <c r="BA13" s="16">
        <f t="shared" si="14"/>
        <v>0</v>
      </c>
      <c r="BB13" s="14"/>
      <c r="BC13" s="15"/>
      <c r="BD13" s="16">
        <f t="shared" si="35"/>
        <v>0</v>
      </c>
      <c r="BE13" s="14"/>
      <c r="BF13" s="15"/>
      <c r="BG13" s="16">
        <f t="shared" si="15"/>
        <v>0</v>
      </c>
      <c r="BH13" s="14"/>
      <c r="BI13" s="15"/>
      <c r="BJ13" s="16">
        <f t="shared" si="16"/>
        <v>0</v>
      </c>
      <c r="BK13" s="14"/>
      <c r="BL13" s="15"/>
      <c r="BM13" s="16">
        <f t="shared" si="17"/>
        <v>0</v>
      </c>
      <c r="BN13" s="14"/>
      <c r="BO13" s="15"/>
      <c r="BP13" s="16">
        <f t="shared" si="31"/>
        <v>0</v>
      </c>
      <c r="BQ13" s="14"/>
      <c r="BR13" s="15"/>
      <c r="BS13" s="16">
        <f t="shared" si="18"/>
        <v>0</v>
      </c>
      <c r="BT13" s="14"/>
      <c r="BU13" s="15"/>
      <c r="BV13" s="16">
        <f t="shared" si="19"/>
        <v>0</v>
      </c>
      <c r="BW13" s="14"/>
      <c r="BX13" s="15"/>
      <c r="BY13" s="16">
        <f t="shared" si="20"/>
        <v>0</v>
      </c>
      <c r="BZ13" s="14"/>
      <c r="CA13" s="15"/>
      <c r="CB13" s="16">
        <f t="shared" si="21"/>
        <v>0</v>
      </c>
      <c r="CC13" s="14"/>
      <c r="CD13" s="15"/>
      <c r="CE13" s="16">
        <f t="shared" si="32"/>
        <v>0</v>
      </c>
      <c r="CF13" s="14"/>
      <c r="CG13" s="15"/>
      <c r="CH13" s="16">
        <f t="shared" si="22"/>
        <v>0</v>
      </c>
      <c r="CI13" s="14"/>
      <c r="CJ13" s="15"/>
      <c r="CK13" s="16">
        <f t="shared" si="23"/>
        <v>0</v>
      </c>
      <c r="CL13" s="14"/>
      <c r="CM13" s="15"/>
      <c r="CN13" s="16">
        <f t="shared" si="24"/>
        <v>0</v>
      </c>
      <c r="CO13" s="14"/>
      <c r="CP13" s="15"/>
      <c r="CQ13" s="16">
        <f t="shared" si="25"/>
        <v>0</v>
      </c>
      <c r="CR13" s="14"/>
      <c r="CS13" s="15"/>
      <c r="CT13" s="16">
        <f t="shared" si="26"/>
        <v>0</v>
      </c>
      <c r="CU13" s="17">
        <f t="shared" si="27"/>
        <v>0</v>
      </c>
      <c r="CV13" s="16">
        <f t="shared" si="28"/>
        <v>0</v>
      </c>
      <c r="CW13" s="16">
        <f t="shared" si="29"/>
        <v>0</v>
      </c>
    </row>
    <row r="14" spans="1:101" ht="15.75" customHeight="1" x14ac:dyDescent="0.35">
      <c r="A14" s="41" t="s">
        <v>927</v>
      </c>
      <c r="B14" s="41" t="s">
        <v>928</v>
      </c>
      <c r="C14" s="42"/>
      <c r="D14" s="43"/>
      <c r="E14" s="78">
        <f t="shared" si="0"/>
        <v>0</v>
      </c>
      <c r="F14" s="14"/>
      <c r="G14" s="15"/>
      <c r="H14" s="16">
        <f t="shared" si="1"/>
        <v>0</v>
      </c>
      <c r="I14" s="14"/>
      <c r="J14" s="15"/>
      <c r="K14" s="16">
        <f t="shared" si="36"/>
        <v>0</v>
      </c>
      <c r="L14" s="14"/>
      <c r="M14" s="15"/>
      <c r="N14" s="16">
        <f t="shared" si="34"/>
        <v>0</v>
      </c>
      <c r="O14" s="14"/>
      <c r="P14" s="15"/>
      <c r="Q14" s="16">
        <f t="shared" si="30"/>
        <v>0</v>
      </c>
      <c r="R14" s="14"/>
      <c r="S14" s="15"/>
      <c r="T14" s="16">
        <f t="shared" si="4"/>
        <v>0</v>
      </c>
      <c r="U14" s="14"/>
      <c r="V14" s="15"/>
      <c r="W14" s="16">
        <f t="shared" si="5"/>
        <v>0</v>
      </c>
      <c r="X14" s="14"/>
      <c r="Y14" s="15"/>
      <c r="Z14" s="16">
        <f t="shared" si="6"/>
        <v>0</v>
      </c>
      <c r="AA14" s="14"/>
      <c r="AB14" s="15"/>
      <c r="AC14" s="16">
        <f t="shared" si="7"/>
        <v>0</v>
      </c>
      <c r="AD14" s="14"/>
      <c r="AE14" s="15"/>
      <c r="AF14" s="16">
        <f t="shared" si="8"/>
        <v>0</v>
      </c>
      <c r="AG14" s="14"/>
      <c r="AH14" s="15"/>
      <c r="AI14" s="16">
        <f t="shared" si="9"/>
        <v>0</v>
      </c>
      <c r="AJ14" s="14"/>
      <c r="AK14" s="15"/>
      <c r="AL14" s="16">
        <f t="shared" si="33"/>
        <v>0</v>
      </c>
      <c r="AM14" s="14"/>
      <c r="AN14" s="15"/>
      <c r="AO14" s="16">
        <f t="shared" si="10"/>
        <v>0</v>
      </c>
      <c r="AP14" s="14"/>
      <c r="AQ14" s="15"/>
      <c r="AR14" s="16">
        <f t="shared" si="11"/>
        <v>0</v>
      </c>
      <c r="AS14" s="14"/>
      <c r="AT14" s="15"/>
      <c r="AU14" s="16">
        <f t="shared" si="12"/>
        <v>0</v>
      </c>
      <c r="AV14" s="14"/>
      <c r="AW14" s="15"/>
      <c r="AX14" s="16">
        <f t="shared" si="13"/>
        <v>0</v>
      </c>
      <c r="AY14" s="14"/>
      <c r="AZ14" s="15"/>
      <c r="BA14" s="16">
        <f t="shared" si="14"/>
        <v>0</v>
      </c>
      <c r="BB14" s="14"/>
      <c r="BC14" s="15"/>
      <c r="BD14" s="16">
        <f t="shared" si="35"/>
        <v>0</v>
      </c>
      <c r="BE14" s="14"/>
      <c r="BF14" s="15"/>
      <c r="BG14" s="16">
        <f t="shared" si="15"/>
        <v>0</v>
      </c>
      <c r="BH14" s="14"/>
      <c r="BI14" s="15"/>
      <c r="BJ14" s="16">
        <f t="shared" si="16"/>
        <v>0</v>
      </c>
      <c r="BK14" s="14"/>
      <c r="BL14" s="15"/>
      <c r="BM14" s="16">
        <f t="shared" si="17"/>
        <v>0</v>
      </c>
      <c r="BN14" s="14"/>
      <c r="BO14" s="15"/>
      <c r="BP14" s="16">
        <f t="shared" si="31"/>
        <v>0</v>
      </c>
      <c r="BQ14" s="14"/>
      <c r="BR14" s="15"/>
      <c r="BS14" s="16">
        <f t="shared" si="18"/>
        <v>0</v>
      </c>
      <c r="BT14" s="14"/>
      <c r="BU14" s="15"/>
      <c r="BV14" s="16">
        <f t="shared" si="19"/>
        <v>0</v>
      </c>
      <c r="BW14" s="14"/>
      <c r="BX14" s="15"/>
      <c r="BY14" s="16">
        <f t="shared" si="20"/>
        <v>0</v>
      </c>
      <c r="BZ14" s="14"/>
      <c r="CA14" s="15"/>
      <c r="CB14" s="16">
        <f t="shared" si="21"/>
        <v>0</v>
      </c>
      <c r="CC14" s="14"/>
      <c r="CD14" s="15"/>
      <c r="CE14" s="16">
        <f t="shared" si="32"/>
        <v>0</v>
      </c>
      <c r="CF14" s="14"/>
      <c r="CG14" s="15"/>
      <c r="CH14" s="16">
        <f t="shared" si="22"/>
        <v>0</v>
      </c>
      <c r="CI14" s="14"/>
      <c r="CJ14" s="15"/>
      <c r="CK14" s="16">
        <f t="shared" si="23"/>
        <v>0</v>
      </c>
      <c r="CL14" s="14"/>
      <c r="CM14" s="15"/>
      <c r="CN14" s="16">
        <f t="shared" si="24"/>
        <v>0</v>
      </c>
      <c r="CO14" s="14"/>
      <c r="CP14" s="15"/>
      <c r="CQ14" s="16">
        <f t="shared" si="25"/>
        <v>0</v>
      </c>
      <c r="CR14" s="14"/>
      <c r="CS14" s="15"/>
      <c r="CT14" s="16">
        <f t="shared" si="26"/>
        <v>0</v>
      </c>
      <c r="CU14" s="17">
        <f t="shared" si="27"/>
        <v>0</v>
      </c>
      <c r="CV14" s="16">
        <f t="shared" si="28"/>
        <v>0</v>
      </c>
      <c r="CW14" s="16">
        <f t="shared" si="29"/>
        <v>0</v>
      </c>
    </row>
    <row r="15" spans="1:101" ht="15.75" customHeight="1" x14ac:dyDescent="0.35">
      <c r="A15" s="41" t="s">
        <v>578</v>
      </c>
      <c r="B15" s="41" t="s">
        <v>837</v>
      </c>
      <c r="C15" s="42"/>
      <c r="D15" s="43"/>
      <c r="E15" s="78">
        <f t="shared" si="0"/>
        <v>0</v>
      </c>
      <c r="F15" s="14"/>
      <c r="G15" s="15"/>
      <c r="H15" s="16">
        <f t="shared" si="1"/>
        <v>0</v>
      </c>
      <c r="I15" s="14"/>
      <c r="J15" s="15"/>
      <c r="K15" s="16">
        <f t="shared" si="36"/>
        <v>0</v>
      </c>
      <c r="L15" s="14"/>
      <c r="M15" s="15"/>
      <c r="N15" s="16">
        <f t="shared" si="34"/>
        <v>0</v>
      </c>
      <c r="O15" s="14"/>
      <c r="P15" s="15"/>
      <c r="Q15" s="16">
        <f t="shared" si="30"/>
        <v>0</v>
      </c>
      <c r="R15" s="14"/>
      <c r="S15" s="15"/>
      <c r="T15" s="16">
        <f t="shared" si="4"/>
        <v>0</v>
      </c>
      <c r="U15" s="14"/>
      <c r="V15" s="15"/>
      <c r="W15" s="16">
        <f t="shared" si="5"/>
        <v>0</v>
      </c>
      <c r="X15" s="14"/>
      <c r="Y15" s="15"/>
      <c r="Z15" s="16">
        <f t="shared" si="6"/>
        <v>0</v>
      </c>
      <c r="AA15" s="14"/>
      <c r="AB15" s="15"/>
      <c r="AC15" s="16">
        <f t="shared" si="7"/>
        <v>0</v>
      </c>
      <c r="AD15" s="14"/>
      <c r="AE15" s="15"/>
      <c r="AF15" s="16">
        <f t="shared" si="8"/>
        <v>0</v>
      </c>
      <c r="AG15" s="14"/>
      <c r="AH15" s="15"/>
      <c r="AI15" s="16">
        <f t="shared" si="9"/>
        <v>0</v>
      </c>
      <c r="AJ15" s="14"/>
      <c r="AK15" s="15"/>
      <c r="AL15" s="16">
        <f t="shared" si="33"/>
        <v>0</v>
      </c>
      <c r="AM15" s="14"/>
      <c r="AN15" s="15"/>
      <c r="AO15" s="16">
        <f t="shared" si="10"/>
        <v>0</v>
      </c>
      <c r="AP15" s="14"/>
      <c r="AQ15" s="15"/>
      <c r="AR15" s="16">
        <f t="shared" si="11"/>
        <v>0</v>
      </c>
      <c r="AS15" s="14"/>
      <c r="AT15" s="15"/>
      <c r="AU15" s="16">
        <f t="shared" si="12"/>
        <v>0</v>
      </c>
      <c r="AV15" s="14"/>
      <c r="AW15" s="15"/>
      <c r="AX15" s="16">
        <f t="shared" si="13"/>
        <v>0</v>
      </c>
      <c r="AY15" s="14"/>
      <c r="AZ15" s="15"/>
      <c r="BA15" s="16">
        <f t="shared" si="14"/>
        <v>0</v>
      </c>
      <c r="BB15" s="14"/>
      <c r="BC15" s="15"/>
      <c r="BD15" s="16">
        <f t="shared" si="35"/>
        <v>0</v>
      </c>
      <c r="BE15" s="14">
        <v>2</v>
      </c>
      <c r="BF15" s="15">
        <v>4377</v>
      </c>
      <c r="BG15" s="16">
        <v>8754</v>
      </c>
      <c r="BH15" s="14"/>
      <c r="BI15" s="15"/>
      <c r="BJ15" s="16">
        <f t="shared" si="16"/>
        <v>0</v>
      </c>
      <c r="BK15" s="14"/>
      <c r="BL15" s="15"/>
      <c r="BM15" s="16">
        <f t="shared" si="17"/>
        <v>0</v>
      </c>
      <c r="BN15" s="14"/>
      <c r="BO15" s="15"/>
      <c r="BP15" s="16">
        <f t="shared" si="31"/>
        <v>0</v>
      </c>
      <c r="BQ15" s="14"/>
      <c r="BR15" s="15"/>
      <c r="BS15" s="16">
        <f t="shared" si="18"/>
        <v>0</v>
      </c>
      <c r="BT15" s="14"/>
      <c r="BU15" s="15"/>
      <c r="BV15" s="16">
        <f t="shared" si="19"/>
        <v>0</v>
      </c>
      <c r="BW15" s="14"/>
      <c r="BX15" s="15"/>
      <c r="BY15" s="16">
        <f t="shared" si="20"/>
        <v>0</v>
      </c>
      <c r="BZ15" s="14"/>
      <c r="CA15" s="15"/>
      <c r="CB15" s="16">
        <f t="shared" si="21"/>
        <v>0</v>
      </c>
      <c r="CC15" s="14"/>
      <c r="CD15" s="15"/>
      <c r="CE15" s="16">
        <f t="shared" si="32"/>
        <v>0</v>
      </c>
      <c r="CF15" s="14"/>
      <c r="CG15" s="15"/>
      <c r="CH15" s="16">
        <f t="shared" si="22"/>
        <v>0</v>
      </c>
      <c r="CI15" s="14"/>
      <c r="CJ15" s="15"/>
      <c r="CK15" s="16">
        <f t="shared" si="23"/>
        <v>0</v>
      </c>
      <c r="CL15" s="14"/>
      <c r="CM15" s="15"/>
      <c r="CN15" s="16">
        <f t="shared" si="24"/>
        <v>0</v>
      </c>
      <c r="CO15" s="14"/>
      <c r="CP15" s="15"/>
      <c r="CQ15" s="16">
        <f t="shared" si="25"/>
        <v>0</v>
      </c>
      <c r="CR15" s="14"/>
      <c r="CS15" s="15"/>
      <c r="CT15" s="16">
        <f t="shared" si="26"/>
        <v>0</v>
      </c>
      <c r="CU15" s="17">
        <f t="shared" si="27"/>
        <v>2</v>
      </c>
      <c r="CV15" s="16">
        <f t="shared" si="28"/>
        <v>4377</v>
      </c>
      <c r="CW15" s="16">
        <f t="shared" si="29"/>
        <v>8754</v>
      </c>
    </row>
    <row r="16" spans="1:101" ht="15.75" customHeight="1" x14ac:dyDescent="0.35">
      <c r="A16" s="41" t="s">
        <v>929</v>
      </c>
      <c r="B16" s="41" t="s">
        <v>846</v>
      </c>
      <c r="C16" s="42"/>
      <c r="D16" s="43"/>
      <c r="E16" s="78">
        <f t="shared" si="0"/>
        <v>0</v>
      </c>
      <c r="F16" s="14"/>
      <c r="G16" s="15"/>
      <c r="H16" s="16">
        <f t="shared" si="1"/>
        <v>0</v>
      </c>
      <c r="I16" s="14"/>
      <c r="J16" s="15"/>
      <c r="K16" s="16">
        <f t="shared" si="36"/>
        <v>0</v>
      </c>
      <c r="L16" s="14"/>
      <c r="M16" s="15"/>
      <c r="N16" s="16">
        <f t="shared" si="34"/>
        <v>0</v>
      </c>
      <c r="O16" s="14"/>
      <c r="P16" s="15"/>
      <c r="Q16" s="16">
        <f t="shared" si="30"/>
        <v>0</v>
      </c>
      <c r="R16" s="14"/>
      <c r="S16" s="15"/>
      <c r="T16" s="16">
        <f t="shared" si="4"/>
        <v>0</v>
      </c>
      <c r="U16" s="14"/>
      <c r="V16" s="15"/>
      <c r="W16" s="16">
        <f t="shared" si="5"/>
        <v>0</v>
      </c>
      <c r="X16" s="14"/>
      <c r="Y16" s="15"/>
      <c r="Z16" s="16">
        <f t="shared" si="6"/>
        <v>0</v>
      </c>
      <c r="AA16" s="14"/>
      <c r="AB16" s="15"/>
      <c r="AC16" s="16">
        <f t="shared" si="7"/>
        <v>0</v>
      </c>
      <c r="AD16" s="14"/>
      <c r="AE16" s="15"/>
      <c r="AF16" s="16">
        <f t="shared" si="8"/>
        <v>0</v>
      </c>
      <c r="AG16" s="14"/>
      <c r="AH16" s="15"/>
      <c r="AI16" s="16">
        <f t="shared" si="9"/>
        <v>0</v>
      </c>
      <c r="AJ16" s="14"/>
      <c r="AK16" s="15"/>
      <c r="AL16" s="16">
        <f t="shared" si="33"/>
        <v>0</v>
      </c>
      <c r="AM16" s="14"/>
      <c r="AN16" s="15"/>
      <c r="AO16" s="16">
        <f t="shared" si="10"/>
        <v>0</v>
      </c>
      <c r="AP16" s="14"/>
      <c r="AQ16" s="15"/>
      <c r="AR16" s="16">
        <f t="shared" si="11"/>
        <v>0</v>
      </c>
      <c r="AS16" s="14"/>
      <c r="AT16" s="15"/>
      <c r="AU16" s="16">
        <f t="shared" si="12"/>
        <v>0</v>
      </c>
      <c r="AV16" s="14"/>
      <c r="AW16" s="15"/>
      <c r="AX16" s="16">
        <f t="shared" si="13"/>
        <v>0</v>
      </c>
      <c r="AY16" s="14"/>
      <c r="AZ16" s="15"/>
      <c r="BA16" s="16">
        <f t="shared" si="14"/>
        <v>0</v>
      </c>
      <c r="BB16" s="14"/>
      <c r="BC16" s="15"/>
      <c r="BD16" s="16">
        <f t="shared" si="35"/>
        <v>0</v>
      </c>
      <c r="BE16" s="14"/>
      <c r="BF16" s="15"/>
      <c r="BG16" s="16">
        <f t="shared" ref="BG16:BG35" si="37">IFERROR(BE16*BF16, 0)</f>
        <v>0</v>
      </c>
      <c r="BH16" s="14"/>
      <c r="BI16" s="15"/>
      <c r="BJ16" s="16">
        <f t="shared" si="16"/>
        <v>0</v>
      </c>
      <c r="BK16" s="14"/>
      <c r="BL16" s="15"/>
      <c r="BM16" s="16">
        <f t="shared" si="17"/>
        <v>0</v>
      </c>
      <c r="BN16" s="14"/>
      <c r="BO16" s="15"/>
      <c r="BP16" s="16">
        <f t="shared" si="31"/>
        <v>0</v>
      </c>
      <c r="BQ16" s="14"/>
      <c r="BR16" s="15"/>
      <c r="BS16" s="16">
        <f t="shared" si="18"/>
        <v>0</v>
      </c>
      <c r="BT16" s="14"/>
      <c r="BU16" s="15"/>
      <c r="BV16" s="16">
        <f t="shared" si="19"/>
        <v>0</v>
      </c>
      <c r="BW16" s="14"/>
      <c r="BX16" s="15"/>
      <c r="BY16" s="16">
        <f t="shared" si="20"/>
        <v>0</v>
      </c>
      <c r="BZ16" s="14"/>
      <c r="CA16" s="15"/>
      <c r="CB16" s="16">
        <f t="shared" si="21"/>
        <v>0</v>
      </c>
      <c r="CC16" s="14"/>
      <c r="CD16" s="15"/>
      <c r="CE16" s="16">
        <f t="shared" si="32"/>
        <v>0</v>
      </c>
      <c r="CF16" s="14"/>
      <c r="CG16" s="15"/>
      <c r="CH16" s="16">
        <f t="shared" si="22"/>
        <v>0</v>
      </c>
      <c r="CI16" s="14"/>
      <c r="CJ16" s="15"/>
      <c r="CK16" s="16">
        <f t="shared" si="23"/>
        <v>0</v>
      </c>
      <c r="CL16" s="14"/>
      <c r="CM16" s="15"/>
      <c r="CN16" s="16">
        <f t="shared" si="24"/>
        <v>0</v>
      </c>
      <c r="CO16" s="14"/>
      <c r="CP16" s="15"/>
      <c r="CQ16" s="16">
        <f t="shared" si="25"/>
        <v>0</v>
      </c>
      <c r="CR16" s="14"/>
      <c r="CS16" s="15"/>
      <c r="CT16" s="16">
        <f t="shared" si="26"/>
        <v>0</v>
      </c>
      <c r="CU16" s="17">
        <f t="shared" si="27"/>
        <v>0</v>
      </c>
      <c r="CV16" s="16">
        <f t="shared" si="28"/>
        <v>0</v>
      </c>
      <c r="CW16" s="16">
        <f t="shared" si="29"/>
        <v>0</v>
      </c>
    </row>
    <row r="17" spans="1:101" ht="15.75" customHeight="1" x14ac:dyDescent="0.35">
      <c r="A17" s="41" t="s">
        <v>930</v>
      </c>
      <c r="B17" s="41" t="s">
        <v>837</v>
      </c>
      <c r="C17" s="42"/>
      <c r="D17" s="43"/>
      <c r="E17" s="78">
        <f t="shared" si="0"/>
        <v>0</v>
      </c>
      <c r="F17" s="14"/>
      <c r="G17" s="15"/>
      <c r="H17" s="16">
        <f t="shared" si="1"/>
        <v>0</v>
      </c>
      <c r="I17" s="14"/>
      <c r="J17" s="15"/>
      <c r="K17" s="16">
        <f t="shared" si="36"/>
        <v>0</v>
      </c>
      <c r="L17" s="14"/>
      <c r="M17" s="15"/>
      <c r="N17" s="16">
        <f t="shared" si="34"/>
        <v>0</v>
      </c>
      <c r="O17" s="14"/>
      <c r="P17" s="15"/>
      <c r="Q17" s="16">
        <f t="shared" si="30"/>
        <v>0</v>
      </c>
      <c r="R17" s="14"/>
      <c r="S17" s="15"/>
      <c r="T17" s="16">
        <f t="shared" si="4"/>
        <v>0</v>
      </c>
      <c r="U17" s="14"/>
      <c r="V17" s="15"/>
      <c r="W17" s="16">
        <f t="shared" si="5"/>
        <v>0</v>
      </c>
      <c r="X17" s="14"/>
      <c r="Y17" s="15"/>
      <c r="Z17" s="16">
        <f t="shared" si="6"/>
        <v>0</v>
      </c>
      <c r="AA17" s="14"/>
      <c r="AB17" s="15"/>
      <c r="AC17" s="16">
        <f t="shared" si="7"/>
        <v>0</v>
      </c>
      <c r="AD17" s="14"/>
      <c r="AE17" s="15"/>
      <c r="AF17" s="16">
        <f t="shared" si="8"/>
        <v>0</v>
      </c>
      <c r="AG17" s="14"/>
      <c r="AH17" s="15"/>
      <c r="AI17" s="16">
        <f t="shared" si="9"/>
        <v>0</v>
      </c>
      <c r="AJ17" s="14"/>
      <c r="AK17" s="15"/>
      <c r="AL17" s="16">
        <f t="shared" si="33"/>
        <v>0</v>
      </c>
      <c r="AM17" s="14"/>
      <c r="AN17" s="15"/>
      <c r="AO17" s="16">
        <f t="shared" si="10"/>
        <v>0</v>
      </c>
      <c r="AP17" s="14"/>
      <c r="AQ17" s="15"/>
      <c r="AR17" s="16">
        <f t="shared" si="11"/>
        <v>0</v>
      </c>
      <c r="AS17" s="14"/>
      <c r="AT17" s="15"/>
      <c r="AU17" s="16">
        <f t="shared" si="12"/>
        <v>0</v>
      </c>
      <c r="AV17" s="14"/>
      <c r="AW17" s="15"/>
      <c r="AX17" s="16">
        <f t="shared" si="13"/>
        <v>0</v>
      </c>
      <c r="AY17" s="14"/>
      <c r="AZ17" s="15"/>
      <c r="BA17" s="16">
        <f t="shared" si="14"/>
        <v>0</v>
      </c>
      <c r="BB17" s="14"/>
      <c r="BC17" s="15"/>
      <c r="BD17" s="16">
        <f t="shared" si="35"/>
        <v>0</v>
      </c>
      <c r="BE17" s="14"/>
      <c r="BF17" s="15"/>
      <c r="BG17" s="16">
        <f t="shared" si="37"/>
        <v>0</v>
      </c>
      <c r="BH17" s="14"/>
      <c r="BI17" s="15"/>
      <c r="BJ17" s="16">
        <f t="shared" si="16"/>
        <v>0</v>
      </c>
      <c r="BK17" s="14"/>
      <c r="BL17" s="15"/>
      <c r="BM17" s="16">
        <f t="shared" si="17"/>
        <v>0</v>
      </c>
      <c r="BN17" s="14"/>
      <c r="BO17" s="15"/>
      <c r="BP17" s="16">
        <f t="shared" si="31"/>
        <v>0</v>
      </c>
      <c r="BQ17" s="14"/>
      <c r="BR17" s="15"/>
      <c r="BS17" s="16">
        <f t="shared" si="18"/>
        <v>0</v>
      </c>
      <c r="BT17" s="14"/>
      <c r="BU17" s="15"/>
      <c r="BV17" s="16">
        <f t="shared" si="19"/>
        <v>0</v>
      </c>
      <c r="BW17" s="14"/>
      <c r="BX17" s="15"/>
      <c r="BY17" s="16">
        <f t="shared" si="20"/>
        <v>0</v>
      </c>
      <c r="BZ17" s="14"/>
      <c r="CA17" s="15"/>
      <c r="CB17" s="16">
        <f t="shared" si="21"/>
        <v>0</v>
      </c>
      <c r="CC17" s="14"/>
      <c r="CD17" s="15"/>
      <c r="CE17" s="16">
        <f t="shared" si="32"/>
        <v>0</v>
      </c>
      <c r="CF17" s="14"/>
      <c r="CG17" s="15"/>
      <c r="CH17" s="16">
        <f t="shared" si="22"/>
        <v>0</v>
      </c>
      <c r="CI17" s="14"/>
      <c r="CJ17" s="15"/>
      <c r="CK17" s="16">
        <f t="shared" si="23"/>
        <v>0</v>
      </c>
      <c r="CL17" s="14"/>
      <c r="CM17" s="15"/>
      <c r="CN17" s="16">
        <f t="shared" si="24"/>
        <v>0</v>
      </c>
      <c r="CO17" s="14"/>
      <c r="CP17" s="15"/>
      <c r="CQ17" s="16">
        <f t="shared" si="25"/>
        <v>0</v>
      </c>
      <c r="CR17" s="14"/>
      <c r="CS17" s="15"/>
      <c r="CT17" s="16">
        <f t="shared" si="26"/>
        <v>0</v>
      </c>
      <c r="CU17" s="17">
        <f t="shared" si="27"/>
        <v>0</v>
      </c>
      <c r="CV17" s="16">
        <f t="shared" si="28"/>
        <v>0</v>
      </c>
      <c r="CW17" s="16">
        <f t="shared" si="29"/>
        <v>0</v>
      </c>
    </row>
    <row r="18" spans="1:101" ht="15.75" customHeight="1" x14ac:dyDescent="0.35">
      <c r="A18" s="41" t="s">
        <v>931</v>
      </c>
      <c r="B18" s="41" t="s">
        <v>837</v>
      </c>
      <c r="C18" s="42"/>
      <c r="D18" s="43"/>
      <c r="E18" s="78">
        <f t="shared" si="0"/>
        <v>0</v>
      </c>
      <c r="F18" s="14"/>
      <c r="G18" s="15"/>
      <c r="H18" s="16">
        <f t="shared" si="1"/>
        <v>0</v>
      </c>
      <c r="I18" s="14"/>
      <c r="J18" s="15"/>
      <c r="K18" s="16">
        <f t="shared" si="36"/>
        <v>0</v>
      </c>
      <c r="L18" s="14"/>
      <c r="M18" s="15"/>
      <c r="N18" s="16">
        <f t="shared" si="34"/>
        <v>0</v>
      </c>
      <c r="O18" s="14"/>
      <c r="P18" s="15"/>
      <c r="Q18" s="16">
        <f t="shared" si="30"/>
        <v>0</v>
      </c>
      <c r="R18" s="14"/>
      <c r="S18" s="15"/>
      <c r="T18" s="16">
        <f t="shared" si="4"/>
        <v>0</v>
      </c>
      <c r="U18" s="14"/>
      <c r="V18" s="15"/>
      <c r="W18" s="16">
        <f t="shared" si="5"/>
        <v>0</v>
      </c>
      <c r="X18" s="14"/>
      <c r="Y18" s="15"/>
      <c r="Z18" s="16">
        <f t="shared" si="6"/>
        <v>0</v>
      </c>
      <c r="AA18" s="14"/>
      <c r="AB18" s="15"/>
      <c r="AC18" s="16">
        <f t="shared" si="7"/>
        <v>0</v>
      </c>
      <c r="AD18" s="14"/>
      <c r="AE18" s="15"/>
      <c r="AF18" s="16">
        <f t="shared" si="8"/>
        <v>0</v>
      </c>
      <c r="AG18" s="14"/>
      <c r="AH18" s="15"/>
      <c r="AI18" s="16">
        <f t="shared" si="9"/>
        <v>0</v>
      </c>
      <c r="AJ18" s="14"/>
      <c r="AK18" s="15"/>
      <c r="AL18" s="16">
        <f t="shared" si="33"/>
        <v>0</v>
      </c>
      <c r="AM18" s="14"/>
      <c r="AN18" s="15"/>
      <c r="AO18" s="16">
        <f t="shared" si="10"/>
        <v>0</v>
      </c>
      <c r="AP18" s="14"/>
      <c r="AQ18" s="15"/>
      <c r="AR18" s="16">
        <f t="shared" si="11"/>
        <v>0</v>
      </c>
      <c r="AS18" s="14"/>
      <c r="AT18" s="15"/>
      <c r="AU18" s="16">
        <f t="shared" si="12"/>
        <v>0</v>
      </c>
      <c r="AV18" s="14"/>
      <c r="AW18" s="15"/>
      <c r="AX18" s="16">
        <f t="shared" si="13"/>
        <v>0</v>
      </c>
      <c r="AY18" s="14"/>
      <c r="AZ18" s="15"/>
      <c r="BA18" s="16">
        <f t="shared" si="14"/>
        <v>0</v>
      </c>
      <c r="BB18" s="14"/>
      <c r="BC18" s="15"/>
      <c r="BD18" s="16">
        <f t="shared" si="35"/>
        <v>0</v>
      </c>
      <c r="BE18" s="14"/>
      <c r="BF18" s="15"/>
      <c r="BG18" s="16">
        <f t="shared" si="37"/>
        <v>0</v>
      </c>
      <c r="BH18" s="14"/>
      <c r="BI18" s="15"/>
      <c r="BJ18" s="16">
        <f t="shared" si="16"/>
        <v>0</v>
      </c>
      <c r="BK18" s="14"/>
      <c r="BL18" s="15"/>
      <c r="BM18" s="16">
        <f t="shared" si="17"/>
        <v>0</v>
      </c>
      <c r="BN18" s="14"/>
      <c r="BO18" s="15"/>
      <c r="BP18" s="16">
        <f t="shared" si="31"/>
        <v>0</v>
      </c>
      <c r="BQ18" s="14"/>
      <c r="BR18" s="15"/>
      <c r="BS18" s="16">
        <f t="shared" si="18"/>
        <v>0</v>
      </c>
      <c r="BT18" s="14"/>
      <c r="BU18" s="15"/>
      <c r="BV18" s="16">
        <f t="shared" si="19"/>
        <v>0</v>
      </c>
      <c r="BW18" s="14"/>
      <c r="BX18" s="15"/>
      <c r="BY18" s="16">
        <f t="shared" si="20"/>
        <v>0</v>
      </c>
      <c r="BZ18" s="14"/>
      <c r="CA18" s="15"/>
      <c r="CB18" s="16">
        <f t="shared" si="21"/>
        <v>0</v>
      </c>
      <c r="CC18" s="14"/>
      <c r="CD18" s="15"/>
      <c r="CE18" s="16">
        <f t="shared" si="32"/>
        <v>0</v>
      </c>
      <c r="CF18" s="14"/>
      <c r="CG18" s="15"/>
      <c r="CH18" s="16">
        <f t="shared" si="22"/>
        <v>0</v>
      </c>
      <c r="CI18" s="14"/>
      <c r="CJ18" s="15"/>
      <c r="CK18" s="16">
        <f t="shared" si="23"/>
        <v>0</v>
      </c>
      <c r="CL18" s="14"/>
      <c r="CM18" s="15"/>
      <c r="CN18" s="16">
        <f t="shared" si="24"/>
        <v>0</v>
      </c>
      <c r="CO18" s="14"/>
      <c r="CP18" s="15"/>
      <c r="CQ18" s="16">
        <f t="shared" si="25"/>
        <v>0</v>
      </c>
      <c r="CR18" s="14"/>
      <c r="CS18" s="15"/>
      <c r="CT18" s="16">
        <f t="shared" si="26"/>
        <v>0</v>
      </c>
      <c r="CU18" s="17">
        <f t="shared" si="27"/>
        <v>0</v>
      </c>
      <c r="CV18" s="16">
        <f t="shared" si="28"/>
        <v>0</v>
      </c>
      <c r="CW18" s="16">
        <f t="shared" si="29"/>
        <v>0</v>
      </c>
    </row>
    <row r="19" spans="1:101" ht="15.75" customHeight="1" x14ac:dyDescent="0.35">
      <c r="A19" s="41" t="s">
        <v>932</v>
      </c>
      <c r="B19" s="41" t="s">
        <v>889</v>
      </c>
      <c r="C19" s="42"/>
      <c r="D19" s="43"/>
      <c r="E19" s="78">
        <f t="shared" si="0"/>
        <v>0</v>
      </c>
      <c r="F19" s="14"/>
      <c r="G19" s="15"/>
      <c r="H19" s="16">
        <f t="shared" si="1"/>
        <v>0</v>
      </c>
      <c r="I19" s="14"/>
      <c r="J19" s="15"/>
      <c r="K19" s="16">
        <f t="shared" si="36"/>
        <v>0</v>
      </c>
      <c r="L19" s="14"/>
      <c r="M19" s="15"/>
      <c r="N19" s="16">
        <f t="shared" si="34"/>
        <v>0</v>
      </c>
      <c r="O19" s="14"/>
      <c r="P19" s="15"/>
      <c r="Q19" s="16">
        <f t="shared" si="30"/>
        <v>0</v>
      </c>
      <c r="R19" s="14"/>
      <c r="S19" s="15"/>
      <c r="T19" s="16">
        <f t="shared" si="4"/>
        <v>0</v>
      </c>
      <c r="U19" s="14"/>
      <c r="V19" s="15"/>
      <c r="W19" s="16">
        <f t="shared" si="5"/>
        <v>0</v>
      </c>
      <c r="X19" s="14"/>
      <c r="Y19" s="15"/>
      <c r="Z19" s="16">
        <f t="shared" si="6"/>
        <v>0</v>
      </c>
      <c r="AA19" s="14"/>
      <c r="AB19" s="15"/>
      <c r="AC19" s="16">
        <f t="shared" si="7"/>
        <v>0</v>
      </c>
      <c r="AD19" s="14"/>
      <c r="AE19" s="15"/>
      <c r="AF19" s="16">
        <f t="shared" si="8"/>
        <v>0</v>
      </c>
      <c r="AG19" s="14"/>
      <c r="AH19" s="15"/>
      <c r="AI19" s="16">
        <f t="shared" si="9"/>
        <v>0</v>
      </c>
      <c r="AJ19" s="14"/>
      <c r="AK19" s="15"/>
      <c r="AL19" s="16">
        <f t="shared" si="33"/>
        <v>0</v>
      </c>
      <c r="AM19" s="14"/>
      <c r="AN19" s="15"/>
      <c r="AO19" s="16">
        <f t="shared" si="10"/>
        <v>0</v>
      </c>
      <c r="AP19" s="14"/>
      <c r="AQ19" s="15"/>
      <c r="AR19" s="16">
        <f t="shared" si="11"/>
        <v>0</v>
      </c>
      <c r="AS19" s="14"/>
      <c r="AT19" s="15"/>
      <c r="AU19" s="16">
        <f t="shared" si="12"/>
        <v>0</v>
      </c>
      <c r="AV19" s="14"/>
      <c r="AW19" s="15"/>
      <c r="AX19" s="16">
        <f t="shared" si="13"/>
        <v>0</v>
      </c>
      <c r="AY19" s="14"/>
      <c r="AZ19" s="15"/>
      <c r="BA19" s="16">
        <f t="shared" si="14"/>
        <v>0</v>
      </c>
      <c r="BB19" s="14"/>
      <c r="BC19" s="15"/>
      <c r="BD19" s="16">
        <f t="shared" si="35"/>
        <v>0</v>
      </c>
      <c r="BE19" s="14"/>
      <c r="BF19" s="15"/>
      <c r="BG19" s="16">
        <f t="shared" si="37"/>
        <v>0</v>
      </c>
      <c r="BH19" s="14"/>
      <c r="BI19" s="15"/>
      <c r="BJ19" s="16">
        <f t="shared" si="16"/>
        <v>0</v>
      </c>
      <c r="BK19" s="14"/>
      <c r="BL19" s="15"/>
      <c r="BM19" s="16">
        <f t="shared" si="17"/>
        <v>0</v>
      </c>
      <c r="BN19" s="14"/>
      <c r="BO19" s="15"/>
      <c r="BP19" s="16">
        <f t="shared" si="31"/>
        <v>0</v>
      </c>
      <c r="BQ19" s="14"/>
      <c r="BR19" s="15"/>
      <c r="BS19" s="16">
        <f t="shared" si="18"/>
        <v>0</v>
      </c>
      <c r="BT19" s="14"/>
      <c r="BU19" s="15"/>
      <c r="BV19" s="16">
        <f t="shared" si="19"/>
        <v>0</v>
      </c>
      <c r="BW19" s="14"/>
      <c r="BX19" s="15"/>
      <c r="BY19" s="16">
        <f t="shared" si="20"/>
        <v>0</v>
      </c>
      <c r="BZ19" s="14"/>
      <c r="CA19" s="15"/>
      <c r="CB19" s="16">
        <f t="shared" si="21"/>
        <v>0</v>
      </c>
      <c r="CC19" s="14"/>
      <c r="CD19" s="15"/>
      <c r="CE19" s="16">
        <f t="shared" si="32"/>
        <v>0</v>
      </c>
      <c r="CF19" s="14"/>
      <c r="CG19" s="15"/>
      <c r="CH19" s="16">
        <f t="shared" si="22"/>
        <v>0</v>
      </c>
      <c r="CI19" s="14"/>
      <c r="CJ19" s="15"/>
      <c r="CK19" s="16">
        <f t="shared" si="23"/>
        <v>0</v>
      </c>
      <c r="CL19" s="14"/>
      <c r="CM19" s="15"/>
      <c r="CN19" s="16">
        <f t="shared" si="24"/>
        <v>0</v>
      </c>
      <c r="CO19" s="14"/>
      <c r="CP19" s="15"/>
      <c r="CQ19" s="16">
        <f t="shared" si="25"/>
        <v>0</v>
      </c>
      <c r="CR19" s="14"/>
      <c r="CS19" s="15"/>
      <c r="CT19" s="16">
        <f t="shared" si="26"/>
        <v>0</v>
      </c>
      <c r="CU19" s="17">
        <f t="shared" si="27"/>
        <v>0</v>
      </c>
      <c r="CV19" s="16">
        <f t="shared" si="28"/>
        <v>0</v>
      </c>
      <c r="CW19" s="16">
        <f t="shared" si="29"/>
        <v>0</v>
      </c>
    </row>
    <row r="20" spans="1:101" ht="15.75" customHeight="1" x14ac:dyDescent="0.35">
      <c r="A20" s="41" t="s">
        <v>933</v>
      </c>
      <c r="B20" s="41" t="s">
        <v>897</v>
      </c>
      <c r="C20" s="42"/>
      <c r="D20" s="43"/>
      <c r="E20" s="78">
        <f t="shared" si="0"/>
        <v>0</v>
      </c>
      <c r="F20" s="14"/>
      <c r="G20" s="15"/>
      <c r="H20" s="16">
        <f t="shared" si="1"/>
        <v>0</v>
      </c>
      <c r="I20" s="14"/>
      <c r="J20" s="15"/>
      <c r="K20" s="16">
        <f t="shared" si="36"/>
        <v>0</v>
      </c>
      <c r="L20" s="14"/>
      <c r="M20" s="15"/>
      <c r="N20" s="16">
        <f t="shared" si="34"/>
        <v>0</v>
      </c>
      <c r="O20" s="14"/>
      <c r="P20" s="15"/>
      <c r="Q20" s="16">
        <f t="shared" si="30"/>
        <v>0</v>
      </c>
      <c r="R20" s="14"/>
      <c r="S20" s="15"/>
      <c r="T20" s="16">
        <f t="shared" si="4"/>
        <v>0</v>
      </c>
      <c r="U20" s="14"/>
      <c r="V20" s="15"/>
      <c r="W20" s="16">
        <f t="shared" si="5"/>
        <v>0</v>
      </c>
      <c r="X20" s="14"/>
      <c r="Y20" s="15"/>
      <c r="Z20" s="16">
        <f t="shared" si="6"/>
        <v>0</v>
      </c>
      <c r="AA20" s="14"/>
      <c r="AB20" s="15"/>
      <c r="AC20" s="16">
        <f t="shared" si="7"/>
        <v>0</v>
      </c>
      <c r="AD20" s="14"/>
      <c r="AE20" s="15"/>
      <c r="AF20" s="16">
        <f t="shared" si="8"/>
        <v>0</v>
      </c>
      <c r="AG20" s="14"/>
      <c r="AH20" s="15"/>
      <c r="AI20" s="16">
        <f t="shared" si="9"/>
        <v>0</v>
      </c>
      <c r="AJ20" s="14"/>
      <c r="AK20" s="15"/>
      <c r="AL20" s="16">
        <f t="shared" si="33"/>
        <v>0</v>
      </c>
      <c r="AM20" s="14"/>
      <c r="AN20" s="15"/>
      <c r="AO20" s="16">
        <f t="shared" si="10"/>
        <v>0</v>
      </c>
      <c r="AP20" s="14"/>
      <c r="AQ20" s="15"/>
      <c r="AR20" s="16">
        <f t="shared" si="11"/>
        <v>0</v>
      </c>
      <c r="AS20" s="14"/>
      <c r="AT20" s="15"/>
      <c r="AU20" s="16">
        <f t="shared" si="12"/>
        <v>0</v>
      </c>
      <c r="AV20" s="14"/>
      <c r="AW20" s="15"/>
      <c r="AX20" s="16">
        <f t="shared" si="13"/>
        <v>0</v>
      </c>
      <c r="AY20" s="14"/>
      <c r="AZ20" s="15"/>
      <c r="BA20" s="16">
        <f t="shared" si="14"/>
        <v>0</v>
      </c>
      <c r="BB20" s="14"/>
      <c r="BC20" s="15"/>
      <c r="BD20" s="16">
        <f t="shared" si="35"/>
        <v>0</v>
      </c>
      <c r="BE20" s="14"/>
      <c r="BF20" s="15"/>
      <c r="BG20" s="16">
        <f t="shared" si="37"/>
        <v>0</v>
      </c>
      <c r="BH20" s="14"/>
      <c r="BI20" s="15"/>
      <c r="BJ20" s="16">
        <f t="shared" si="16"/>
        <v>0</v>
      </c>
      <c r="BK20" s="14"/>
      <c r="BL20" s="15"/>
      <c r="BM20" s="16">
        <f t="shared" si="17"/>
        <v>0</v>
      </c>
      <c r="BN20" s="14"/>
      <c r="BO20" s="15"/>
      <c r="BP20" s="16">
        <f t="shared" si="31"/>
        <v>0</v>
      </c>
      <c r="BQ20" s="14"/>
      <c r="BR20" s="15"/>
      <c r="BS20" s="16">
        <f t="shared" si="18"/>
        <v>0</v>
      </c>
      <c r="BT20" s="14"/>
      <c r="BU20" s="15"/>
      <c r="BV20" s="16">
        <f t="shared" si="19"/>
        <v>0</v>
      </c>
      <c r="BW20" s="14"/>
      <c r="BX20" s="15"/>
      <c r="BY20" s="16">
        <f t="shared" si="20"/>
        <v>0</v>
      </c>
      <c r="BZ20" s="14"/>
      <c r="CA20" s="15"/>
      <c r="CB20" s="16">
        <f t="shared" si="21"/>
        <v>0</v>
      </c>
      <c r="CC20" s="14"/>
      <c r="CD20" s="15"/>
      <c r="CE20" s="16">
        <f t="shared" si="32"/>
        <v>0</v>
      </c>
      <c r="CF20" s="14"/>
      <c r="CG20" s="15"/>
      <c r="CH20" s="16">
        <f t="shared" si="22"/>
        <v>0</v>
      </c>
      <c r="CI20" s="14"/>
      <c r="CJ20" s="15"/>
      <c r="CK20" s="16">
        <f t="shared" si="23"/>
        <v>0</v>
      </c>
      <c r="CL20" s="14"/>
      <c r="CM20" s="15"/>
      <c r="CN20" s="16">
        <f t="shared" si="24"/>
        <v>0</v>
      </c>
      <c r="CO20" s="14"/>
      <c r="CP20" s="15"/>
      <c r="CQ20" s="16">
        <f t="shared" si="25"/>
        <v>0</v>
      </c>
      <c r="CR20" s="14"/>
      <c r="CS20" s="15"/>
      <c r="CT20" s="16">
        <f t="shared" si="26"/>
        <v>0</v>
      </c>
      <c r="CU20" s="17">
        <f t="shared" si="27"/>
        <v>0</v>
      </c>
      <c r="CV20" s="16">
        <f t="shared" si="28"/>
        <v>0</v>
      </c>
      <c r="CW20" s="16">
        <f t="shared" si="29"/>
        <v>0</v>
      </c>
    </row>
    <row r="21" spans="1:101" ht="15.75" customHeight="1" x14ac:dyDescent="0.35">
      <c r="A21" s="41" t="s">
        <v>934</v>
      </c>
      <c r="B21" s="41" t="s">
        <v>837</v>
      </c>
      <c r="C21" s="42"/>
      <c r="D21" s="43"/>
      <c r="E21" s="78">
        <f t="shared" si="0"/>
        <v>0</v>
      </c>
      <c r="F21" s="14"/>
      <c r="G21" s="15"/>
      <c r="H21" s="16">
        <f t="shared" si="1"/>
        <v>0</v>
      </c>
      <c r="I21" s="14"/>
      <c r="J21" s="15"/>
      <c r="K21" s="16">
        <f t="shared" si="36"/>
        <v>0</v>
      </c>
      <c r="L21" s="14"/>
      <c r="M21" s="15"/>
      <c r="N21" s="16">
        <f t="shared" si="34"/>
        <v>0</v>
      </c>
      <c r="O21" s="14"/>
      <c r="P21" s="15"/>
      <c r="Q21" s="16">
        <f t="shared" si="30"/>
        <v>0</v>
      </c>
      <c r="R21" s="14"/>
      <c r="S21" s="15"/>
      <c r="T21" s="16">
        <f t="shared" si="4"/>
        <v>0</v>
      </c>
      <c r="U21" s="14"/>
      <c r="V21" s="15"/>
      <c r="W21" s="16">
        <f t="shared" si="5"/>
        <v>0</v>
      </c>
      <c r="X21" s="14"/>
      <c r="Y21" s="15"/>
      <c r="Z21" s="16">
        <f t="shared" si="6"/>
        <v>0</v>
      </c>
      <c r="AA21" s="14"/>
      <c r="AB21" s="15"/>
      <c r="AC21" s="16">
        <f t="shared" si="7"/>
        <v>0</v>
      </c>
      <c r="AD21" s="14"/>
      <c r="AE21" s="15"/>
      <c r="AF21" s="16">
        <f t="shared" si="8"/>
        <v>0</v>
      </c>
      <c r="AG21" s="14"/>
      <c r="AH21" s="15"/>
      <c r="AI21" s="16">
        <f t="shared" si="9"/>
        <v>0</v>
      </c>
      <c r="AJ21" s="14"/>
      <c r="AK21" s="15"/>
      <c r="AL21" s="16">
        <f t="shared" si="33"/>
        <v>0</v>
      </c>
      <c r="AM21" s="14"/>
      <c r="AN21" s="15"/>
      <c r="AO21" s="16">
        <f t="shared" si="10"/>
        <v>0</v>
      </c>
      <c r="AP21" s="14"/>
      <c r="AQ21" s="15"/>
      <c r="AR21" s="16">
        <f t="shared" si="11"/>
        <v>0</v>
      </c>
      <c r="AS21" s="14"/>
      <c r="AT21" s="15"/>
      <c r="AU21" s="16">
        <f t="shared" si="12"/>
        <v>0</v>
      </c>
      <c r="AV21" s="14"/>
      <c r="AW21" s="15"/>
      <c r="AX21" s="16">
        <f t="shared" si="13"/>
        <v>0</v>
      </c>
      <c r="AY21" s="14"/>
      <c r="AZ21" s="15"/>
      <c r="BA21" s="16">
        <f t="shared" si="14"/>
        <v>0</v>
      </c>
      <c r="BB21" s="14"/>
      <c r="BC21" s="15"/>
      <c r="BD21" s="16">
        <f t="shared" si="35"/>
        <v>0</v>
      </c>
      <c r="BE21" s="14"/>
      <c r="BF21" s="15"/>
      <c r="BG21" s="16">
        <f t="shared" si="37"/>
        <v>0</v>
      </c>
      <c r="BH21" s="14"/>
      <c r="BI21" s="15"/>
      <c r="BJ21" s="16">
        <f t="shared" si="16"/>
        <v>0</v>
      </c>
      <c r="BK21" s="14"/>
      <c r="BL21" s="15"/>
      <c r="BM21" s="16">
        <f t="shared" si="17"/>
        <v>0</v>
      </c>
      <c r="BN21" s="14"/>
      <c r="BO21" s="15"/>
      <c r="BP21" s="16">
        <f t="shared" si="31"/>
        <v>0</v>
      </c>
      <c r="BQ21" s="14"/>
      <c r="BR21" s="15"/>
      <c r="BS21" s="16">
        <f t="shared" si="18"/>
        <v>0</v>
      </c>
      <c r="BT21" s="14"/>
      <c r="BU21" s="15"/>
      <c r="BV21" s="16">
        <f t="shared" si="19"/>
        <v>0</v>
      </c>
      <c r="BW21" s="14"/>
      <c r="BX21" s="15"/>
      <c r="BY21" s="16">
        <f t="shared" si="20"/>
        <v>0</v>
      </c>
      <c r="BZ21" s="14"/>
      <c r="CA21" s="15"/>
      <c r="CB21" s="16">
        <f t="shared" si="21"/>
        <v>0</v>
      </c>
      <c r="CC21" s="14"/>
      <c r="CD21" s="15"/>
      <c r="CE21" s="16">
        <f t="shared" si="32"/>
        <v>0</v>
      </c>
      <c r="CF21" s="14"/>
      <c r="CG21" s="15"/>
      <c r="CH21" s="16">
        <f t="shared" si="22"/>
        <v>0</v>
      </c>
      <c r="CI21" s="14"/>
      <c r="CJ21" s="15"/>
      <c r="CK21" s="16">
        <f t="shared" si="23"/>
        <v>0</v>
      </c>
      <c r="CL21" s="14"/>
      <c r="CM21" s="15"/>
      <c r="CN21" s="16">
        <f t="shared" si="24"/>
        <v>0</v>
      </c>
      <c r="CO21" s="14"/>
      <c r="CP21" s="15"/>
      <c r="CQ21" s="16">
        <f t="shared" si="25"/>
        <v>0</v>
      </c>
      <c r="CR21" s="14"/>
      <c r="CS21" s="15"/>
      <c r="CT21" s="16">
        <f t="shared" si="26"/>
        <v>0</v>
      </c>
      <c r="CU21" s="17">
        <f t="shared" si="27"/>
        <v>0</v>
      </c>
      <c r="CV21" s="16">
        <f t="shared" si="28"/>
        <v>0</v>
      </c>
      <c r="CW21" s="16">
        <f t="shared" si="29"/>
        <v>0</v>
      </c>
    </row>
    <row r="22" spans="1:101" ht="15.75" customHeight="1" x14ac:dyDescent="0.35">
      <c r="A22" s="41" t="s">
        <v>742</v>
      </c>
      <c r="B22" s="41" t="s">
        <v>846</v>
      </c>
      <c r="C22" s="42"/>
      <c r="D22" s="43"/>
      <c r="E22" s="78">
        <f t="shared" si="0"/>
        <v>0</v>
      </c>
      <c r="F22" s="14"/>
      <c r="G22" s="15"/>
      <c r="H22" s="16">
        <f t="shared" si="1"/>
        <v>0</v>
      </c>
      <c r="I22" s="14"/>
      <c r="J22" s="15"/>
      <c r="K22" s="16">
        <f t="shared" si="36"/>
        <v>0</v>
      </c>
      <c r="L22" s="14"/>
      <c r="M22" s="15"/>
      <c r="N22" s="16">
        <f t="shared" si="34"/>
        <v>0</v>
      </c>
      <c r="O22" s="14"/>
      <c r="P22" s="15"/>
      <c r="Q22" s="16">
        <f t="shared" si="30"/>
        <v>0</v>
      </c>
      <c r="R22" s="14"/>
      <c r="S22" s="15"/>
      <c r="T22" s="16">
        <f t="shared" si="4"/>
        <v>0</v>
      </c>
      <c r="U22" s="14"/>
      <c r="V22" s="15"/>
      <c r="W22" s="16">
        <f t="shared" si="5"/>
        <v>0</v>
      </c>
      <c r="X22" s="14"/>
      <c r="Y22" s="15"/>
      <c r="Z22" s="16">
        <f t="shared" si="6"/>
        <v>0</v>
      </c>
      <c r="AA22" s="14"/>
      <c r="AB22" s="15"/>
      <c r="AC22" s="16">
        <f t="shared" si="7"/>
        <v>0</v>
      </c>
      <c r="AD22" s="14"/>
      <c r="AE22" s="15"/>
      <c r="AF22" s="16">
        <f t="shared" si="8"/>
        <v>0</v>
      </c>
      <c r="AG22" s="14"/>
      <c r="AH22" s="15"/>
      <c r="AI22" s="16">
        <f t="shared" si="9"/>
        <v>0</v>
      </c>
      <c r="AJ22" s="14"/>
      <c r="AK22" s="15"/>
      <c r="AL22" s="16">
        <f t="shared" si="33"/>
        <v>0</v>
      </c>
      <c r="AM22" s="14"/>
      <c r="AN22" s="15"/>
      <c r="AO22" s="16">
        <f t="shared" si="10"/>
        <v>0</v>
      </c>
      <c r="AP22" s="14"/>
      <c r="AQ22" s="15"/>
      <c r="AR22" s="16">
        <f t="shared" si="11"/>
        <v>0</v>
      </c>
      <c r="AS22" s="14"/>
      <c r="AT22" s="15"/>
      <c r="AU22" s="16">
        <f t="shared" si="12"/>
        <v>0</v>
      </c>
      <c r="AV22" s="14"/>
      <c r="AW22" s="15"/>
      <c r="AX22" s="16">
        <f t="shared" si="13"/>
        <v>0</v>
      </c>
      <c r="AY22" s="14"/>
      <c r="AZ22" s="15"/>
      <c r="BA22" s="16">
        <f t="shared" si="14"/>
        <v>0</v>
      </c>
      <c r="BB22" s="14"/>
      <c r="BC22" s="15"/>
      <c r="BD22" s="16">
        <f t="shared" si="35"/>
        <v>0</v>
      </c>
      <c r="BE22" s="14"/>
      <c r="BF22" s="15"/>
      <c r="BG22" s="16">
        <f t="shared" si="37"/>
        <v>0</v>
      </c>
      <c r="BH22" s="14"/>
      <c r="BI22" s="15"/>
      <c r="BJ22" s="16">
        <f t="shared" si="16"/>
        <v>0</v>
      </c>
      <c r="BK22" s="14"/>
      <c r="BL22" s="15"/>
      <c r="BM22" s="16">
        <f t="shared" si="17"/>
        <v>0</v>
      </c>
      <c r="BN22" s="14"/>
      <c r="BO22" s="15"/>
      <c r="BP22" s="16">
        <f t="shared" si="31"/>
        <v>0</v>
      </c>
      <c r="BQ22" s="14"/>
      <c r="BR22" s="15"/>
      <c r="BS22" s="16">
        <f t="shared" si="18"/>
        <v>0</v>
      </c>
      <c r="BT22" s="14"/>
      <c r="BU22" s="15"/>
      <c r="BV22" s="16">
        <f t="shared" si="19"/>
        <v>0</v>
      </c>
      <c r="BW22" s="14"/>
      <c r="BX22" s="15"/>
      <c r="BY22" s="16">
        <f t="shared" si="20"/>
        <v>0</v>
      </c>
      <c r="BZ22" s="14"/>
      <c r="CA22" s="15"/>
      <c r="CB22" s="16">
        <f t="shared" si="21"/>
        <v>0</v>
      </c>
      <c r="CC22" s="14"/>
      <c r="CD22" s="15"/>
      <c r="CE22" s="16">
        <f t="shared" si="32"/>
        <v>0</v>
      </c>
      <c r="CF22" s="14"/>
      <c r="CG22" s="15"/>
      <c r="CH22" s="16">
        <f t="shared" si="22"/>
        <v>0</v>
      </c>
      <c r="CI22" s="14"/>
      <c r="CJ22" s="15"/>
      <c r="CK22" s="16">
        <f t="shared" si="23"/>
        <v>0</v>
      </c>
      <c r="CL22" s="14"/>
      <c r="CM22" s="15"/>
      <c r="CN22" s="16">
        <f t="shared" si="24"/>
        <v>0</v>
      </c>
      <c r="CO22" s="14"/>
      <c r="CP22" s="15"/>
      <c r="CQ22" s="16">
        <f t="shared" si="25"/>
        <v>0</v>
      </c>
      <c r="CR22" s="14"/>
      <c r="CS22" s="15"/>
      <c r="CT22" s="16">
        <f t="shared" si="26"/>
        <v>0</v>
      </c>
      <c r="CU22" s="17">
        <f t="shared" si="27"/>
        <v>0</v>
      </c>
      <c r="CV22" s="16">
        <f t="shared" si="28"/>
        <v>0</v>
      </c>
      <c r="CW22" s="16">
        <f t="shared" si="29"/>
        <v>0</v>
      </c>
    </row>
    <row r="23" spans="1:101" ht="15.75" customHeight="1" x14ac:dyDescent="0.35">
      <c r="A23" s="41" t="s">
        <v>556</v>
      </c>
      <c r="B23" s="41" t="s">
        <v>935</v>
      </c>
      <c r="C23" s="42"/>
      <c r="D23" s="43"/>
      <c r="E23" s="78">
        <f t="shared" si="0"/>
        <v>0</v>
      </c>
      <c r="F23" s="14"/>
      <c r="G23" s="15"/>
      <c r="H23" s="16">
        <f t="shared" si="1"/>
        <v>0</v>
      </c>
      <c r="I23" s="14"/>
      <c r="J23" s="15"/>
      <c r="K23" s="16">
        <f t="shared" si="36"/>
        <v>0</v>
      </c>
      <c r="L23" s="14"/>
      <c r="M23" s="15"/>
      <c r="N23" s="16">
        <f t="shared" si="34"/>
        <v>0</v>
      </c>
      <c r="O23" s="14"/>
      <c r="P23" s="15"/>
      <c r="Q23" s="16">
        <f t="shared" si="30"/>
        <v>0</v>
      </c>
      <c r="R23" s="14"/>
      <c r="S23" s="15"/>
      <c r="T23" s="16">
        <f t="shared" si="4"/>
        <v>0</v>
      </c>
      <c r="U23" s="14"/>
      <c r="V23" s="15"/>
      <c r="W23" s="16">
        <f t="shared" si="5"/>
        <v>0</v>
      </c>
      <c r="X23" s="14"/>
      <c r="Y23" s="15"/>
      <c r="Z23" s="16">
        <f t="shared" si="6"/>
        <v>0</v>
      </c>
      <c r="AA23" s="14"/>
      <c r="AB23" s="15"/>
      <c r="AC23" s="16">
        <f t="shared" si="7"/>
        <v>0</v>
      </c>
      <c r="AD23" s="14"/>
      <c r="AE23" s="15"/>
      <c r="AF23" s="16">
        <f t="shared" si="8"/>
        <v>0</v>
      </c>
      <c r="AG23" s="14"/>
      <c r="AH23" s="15"/>
      <c r="AI23" s="16">
        <f t="shared" si="9"/>
        <v>0</v>
      </c>
      <c r="AJ23" s="14"/>
      <c r="AK23" s="15"/>
      <c r="AL23" s="16">
        <f t="shared" si="33"/>
        <v>0</v>
      </c>
      <c r="AM23" s="14"/>
      <c r="AN23" s="15"/>
      <c r="AO23" s="16">
        <f t="shared" si="10"/>
        <v>0</v>
      </c>
      <c r="AP23" s="14"/>
      <c r="AQ23" s="15"/>
      <c r="AR23" s="16">
        <f t="shared" si="11"/>
        <v>0</v>
      </c>
      <c r="AS23" s="14"/>
      <c r="AT23" s="15"/>
      <c r="AU23" s="16">
        <f t="shared" si="12"/>
        <v>0</v>
      </c>
      <c r="AV23" s="14"/>
      <c r="AW23" s="15"/>
      <c r="AX23" s="16">
        <f t="shared" si="13"/>
        <v>0</v>
      </c>
      <c r="AY23" s="14">
        <v>1</v>
      </c>
      <c r="AZ23" s="15">
        <v>47700</v>
      </c>
      <c r="BA23" s="16">
        <v>47700</v>
      </c>
      <c r="BB23" s="14"/>
      <c r="BC23" s="15"/>
      <c r="BD23" s="16">
        <f t="shared" si="35"/>
        <v>0</v>
      </c>
      <c r="BE23" s="14"/>
      <c r="BF23" s="15"/>
      <c r="BG23" s="16">
        <f t="shared" si="37"/>
        <v>0</v>
      </c>
      <c r="BH23" s="14"/>
      <c r="BI23" s="15"/>
      <c r="BJ23" s="16">
        <f t="shared" si="16"/>
        <v>0</v>
      </c>
      <c r="BK23" s="14"/>
      <c r="BL23" s="15"/>
      <c r="BM23" s="16">
        <f t="shared" si="17"/>
        <v>0</v>
      </c>
      <c r="BN23" s="14"/>
      <c r="BO23" s="15"/>
      <c r="BP23" s="16">
        <f t="shared" si="31"/>
        <v>0</v>
      </c>
      <c r="BQ23" s="14"/>
      <c r="BR23" s="15"/>
      <c r="BS23" s="16">
        <f t="shared" si="18"/>
        <v>0</v>
      </c>
      <c r="BT23" s="14"/>
      <c r="BU23" s="15"/>
      <c r="BV23" s="16">
        <f t="shared" si="19"/>
        <v>0</v>
      </c>
      <c r="BW23" s="14"/>
      <c r="BX23" s="15"/>
      <c r="BY23" s="16">
        <f t="shared" si="20"/>
        <v>0</v>
      </c>
      <c r="BZ23" s="14"/>
      <c r="CA23" s="15"/>
      <c r="CB23" s="16">
        <f t="shared" si="21"/>
        <v>0</v>
      </c>
      <c r="CC23" s="14"/>
      <c r="CD23" s="15"/>
      <c r="CE23" s="16">
        <f t="shared" si="32"/>
        <v>0</v>
      </c>
      <c r="CF23" s="14"/>
      <c r="CG23" s="15"/>
      <c r="CH23" s="16">
        <f t="shared" si="22"/>
        <v>0</v>
      </c>
      <c r="CI23" s="14"/>
      <c r="CJ23" s="15"/>
      <c r="CK23" s="16">
        <f t="shared" si="23"/>
        <v>0</v>
      </c>
      <c r="CL23" s="14"/>
      <c r="CM23" s="15"/>
      <c r="CN23" s="16">
        <f t="shared" si="24"/>
        <v>0</v>
      </c>
      <c r="CO23" s="14"/>
      <c r="CP23" s="15"/>
      <c r="CQ23" s="16">
        <f t="shared" si="25"/>
        <v>0</v>
      </c>
      <c r="CR23" s="14"/>
      <c r="CS23" s="15"/>
      <c r="CT23" s="16">
        <f t="shared" si="26"/>
        <v>0</v>
      </c>
      <c r="CU23" s="17">
        <f t="shared" si="27"/>
        <v>1</v>
      </c>
      <c r="CV23" s="16">
        <f t="shared" si="28"/>
        <v>47700</v>
      </c>
      <c r="CW23" s="16">
        <f t="shared" si="29"/>
        <v>47700</v>
      </c>
    </row>
    <row r="24" spans="1:101" ht="15.75" customHeight="1" x14ac:dyDescent="0.35">
      <c r="A24" s="41" t="s">
        <v>936</v>
      </c>
      <c r="B24" s="41" t="s">
        <v>928</v>
      </c>
      <c r="C24" s="42"/>
      <c r="D24" s="43"/>
      <c r="E24" s="78">
        <f t="shared" si="0"/>
        <v>0</v>
      </c>
      <c r="F24" s="14"/>
      <c r="G24" s="15"/>
      <c r="H24" s="16">
        <f t="shared" si="1"/>
        <v>0</v>
      </c>
      <c r="I24" s="14"/>
      <c r="J24" s="15"/>
      <c r="K24" s="16">
        <f t="shared" si="36"/>
        <v>0</v>
      </c>
      <c r="L24" s="14"/>
      <c r="M24" s="15"/>
      <c r="N24" s="16">
        <f t="shared" si="34"/>
        <v>0</v>
      </c>
      <c r="O24" s="14"/>
      <c r="P24" s="15"/>
      <c r="Q24" s="16">
        <f t="shared" si="30"/>
        <v>0</v>
      </c>
      <c r="R24" s="14"/>
      <c r="S24" s="15"/>
      <c r="T24" s="16">
        <f t="shared" si="4"/>
        <v>0</v>
      </c>
      <c r="U24" s="14"/>
      <c r="V24" s="15"/>
      <c r="W24" s="16">
        <f t="shared" si="5"/>
        <v>0</v>
      </c>
      <c r="X24" s="14"/>
      <c r="Y24" s="15"/>
      <c r="Z24" s="16">
        <f t="shared" si="6"/>
        <v>0</v>
      </c>
      <c r="AA24" s="14"/>
      <c r="AB24" s="15"/>
      <c r="AC24" s="16">
        <f t="shared" si="7"/>
        <v>0</v>
      </c>
      <c r="AD24" s="14"/>
      <c r="AE24" s="15"/>
      <c r="AF24" s="16">
        <f t="shared" si="8"/>
        <v>0</v>
      </c>
      <c r="AG24" s="14"/>
      <c r="AH24" s="15"/>
      <c r="AI24" s="16">
        <f t="shared" si="9"/>
        <v>0</v>
      </c>
      <c r="AJ24" s="14"/>
      <c r="AK24" s="15"/>
      <c r="AL24" s="16">
        <f t="shared" si="33"/>
        <v>0</v>
      </c>
      <c r="AM24" s="14"/>
      <c r="AN24" s="15"/>
      <c r="AO24" s="16">
        <f t="shared" si="10"/>
        <v>0</v>
      </c>
      <c r="AP24" s="14"/>
      <c r="AQ24" s="15"/>
      <c r="AR24" s="16">
        <f t="shared" si="11"/>
        <v>0</v>
      </c>
      <c r="AS24" s="14"/>
      <c r="AT24" s="15"/>
      <c r="AU24" s="16">
        <f t="shared" si="12"/>
        <v>0</v>
      </c>
      <c r="AV24" s="14"/>
      <c r="AW24" s="15"/>
      <c r="AX24" s="16">
        <f t="shared" si="13"/>
        <v>0</v>
      </c>
      <c r="AY24" s="14"/>
      <c r="AZ24" s="15"/>
      <c r="BA24" s="16">
        <f t="shared" ref="BA24:BA40" si="38">IFERROR(AY24*AZ24, 0)</f>
        <v>0</v>
      </c>
      <c r="BB24" s="14"/>
      <c r="BC24" s="15"/>
      <c r="BD24" s="16">
        <f t="shared" si="35"/>
        <v>0</v>
      </c>
      <c r="BE24" s="14"/>
      <c r="BF24" s="15"/>
      <c r="BG24" s="16">
        <f t="shared" si="37"/>
        <v>0</v>
      </c>
      <c r="BH24" s="14"/>
      <c r="BI24" s="15"/>
      <c r="BJ24" s="16">
        <f t="shared" si="16"/>
        <v>0</v>
      </c>
      <c r="BK24" s="14"/>
      <c r="BL24" s="15"/>
      <c r="BM24" s="16">
        <f t="shared" si="17"/>
        <v>0</v>
      </c>
      <c r="BN24" s="14"/>
      <c r="BO24" s="15"/>
      <c r="BP24" s="16">
        <f t="shared" si="31"/>
        <v>0</v>
      </c>
      <c r="BQ24" s="14"/>
      <c r="BR24" s="15"/>
      <c r="BS24" s="16">
        <f t="shared" si="18"/>
        <v>0</v>
      </c>
      <c r="BT24" s="14"/>
      <c r="BU24" s="15"/>
      <c r="BV24" s="16">
        <f t="shared" si="19"/>
        <v>0</v>
      </c>
      <c r="BW24" s="14"/>
      <c r="BX24" s="15"/>
      <c r="BY24" s="16">
        <f t="shared" si="20"/>
        <v>0</v>
      </c>
      <c r="BZ24" s="14"/>
      <c r="CA24" s="15"/>
      <c r="CB24" s="16">
        <f t="shared" si="21"/>
        <v>0</v>
      </c>
      <c r="CC24" s="14"/>
      <c r="CD24" s="15"/>
      <c r="CE24" s="16">
        <f t="shared" si="32"/>
        <v>0</v>
      </c>
      <c r="CF24" s="14"/>
      <c r="CG24" s="15"/>
      <c r="CH24" s="16">
        <f t="shared" si="22"/>
        <v>0</v>
      </c>
      <c r="CI24" s="14"/>
      <c r="CJ24" s="15"/>
      <c r="CK24" s="16">
        <f t="shared" si="23"/>
        <v>0</v>
      </c>
      <c r="CL24" s="14"/>
      <c r="CM24" s="15"/>
      <c r="CN24" s="16">
        <f t="shared" si="24"/>
        <v>0</v>
      </c>
      <c r="CO24" s="14"/>
      <c r="CP24" s="15"/>
      <c r="CQ24" s="16">
        <f t="shared" si="25"/>
        <v>0</v>
      </c>
      <c r="CR24" s="14"/>
      <c r="CS24" s="15"/>
      <c r="CT24" s="16">
        <f t="shared" si="26"/>
        <v>0</v>
      </c>
      <c r="CU24" s="17">
        <f t="shared" si="27"/>
        <v>0</v>
      </c>
      <c r="CV24" s="16">
        <f t="shared" si="28"/>
        <v>0</v>
      </c>
      <c r="CW24" s="16">
        <f t="shared" si="29"/>
        <v>0</v>
      </c>
    </row>
    <row r="25" spans="1:101" ht="15.75" customHeight="1" x14ac:dyDescent="0.35">
      <c r="A25" s="41" t="s">
        <v>520</v>
      </c>
      <c r="B25" s="41" t="s">
        <v>928</v>
      </c>
      <c r="C25" s="42"/>
      <c r="D25" s="43"/>
      <c r="E25" s="78">
        <f t="shared" si="0"/>
        <v>0</v>
      </c>
      <c r="F25" s="14"/>
      <c r="G25" s="15"/>
      <c r="H25" s="16">
        <f t="shared" si="1"/>
        <v>0</v>
      </c>
      <c r="I25" s="14"/>
      <c r="J25" s="15"/>
      <c r="K25" s="16">
        <f t="shared" si="36"/>
        <v>0</v>
      </c>
      <c r="L25" s="14"/>
      <c r="M25" s="15"/>
      <c r="N25" s="16">
        <f t="shared" si="34"/>
        <v>0</v>
      </c>
      <c r="O25" s="14"/>
      <c r="P25" s="15"/>
      <c r="Q25" s="16">
        <f t="shared" si="30"/>
        <v>0</v>
      </c>
      <c r="R25" s="14"/>
      <c r="S25" s="15"/>
      <c r="T25" s="16">
        <f t="shared" si="4"/>
        <v>0</v>
      </c>
      <c r="U25" s="14"/>
      <c r="V25" s="15"/>
      <c r="W25" s="16">
        <f t="shared" si="5"/>
        <v>0</v>
      </c>
      <c r="X25" s="14"/>
      <c r="Y25" s="15"/>
      <c r="Z25" s="16">
        <f t="shared" si="6"/>
        <v>0</v>
      </c>
      <c r="AA25" s="14"/>
      <c r="AB25" s="15"/>
      <c r="AC25" s="16">
        <f t="shared" si="7"/>
        <v>0</v>
      </c>
      <c r="AD25" s="14"/>
      <c r="AE25" s="15"/>
      <c r="AF25" s="16">
        <f t="shared" si="8"/>
        <v>0</v>
      </c>
      <c r="AG25" s="14"/>
      <c r="AH25" s="15"/>
      <c r="AI25" s="16">
        <f t="shared" si="9"/>
        <v>0</v>
      </c>
      <c r="AJ25" s="14"/>
      <c r="AK25" s="15"/>
      <c r="AL25" s="16">
        <f t="shared" si="33"/>
        <v>0</v>
      </c>
      <c r="AM25" s="14"/>
      <c r="AN25" s="15"/>
      <c r="AO25" s="16">
        <f t="shared" si="10"/>
        <v>0</v>
      </c>
      <c r="AP25" s="14"/>
      <c r="AQ25" s="15"/>
      <c r="AR25" s="16">
        <f t="shared" si="11"/>
        <v>0</v>
      </c>
      <c r="AS25" s="14">
        <v>7</v>
      </c>
      <c r="AT25" s="15">
        <v>21428</v>
      </c>
      <c r="AU25" s="16">
        <v>150000</v>
      </c>
      <c r="AV25" s="14"/>
      <c r="AW25" s="15"/>
      <c r="AX25" s="16">
        <f t="shared" si="13"/>
        <v>0</v>
      </c>
      <c r="AY25" s="14"/>
      <c r="AZ25" s="15"/>
      <c r="BA25" s="16">
        <f t="shared" si="38"/>
        <v>0</v>
      </c>
      <c r="BB25" s="14"/>
      <c r="BC25" s="15"/>
      <c r="BD25" s="16">
        <f t="shared" si="35"/>
        <v>0</v>
      </c>
      <c r="BE25" s="14"/>
      <c r="BF25" s="15"/>
      <c r="BG25" s="16">
        <f t="shared" si="37"/>
        <v>0</v>
      </c>
      <c r="BH25" s="14"/>
      <c r="BI25" s="15"/>
      <c r="BJ25" s="16">
        <f t="shared" si="16"/>
        <v>0</v>
      </c>
      <c r="BK25" s="14"/>
      <c r="BL25" s="15"/>
      <c r="BM25" s="16">
        <f t="shared" si="17"/>
        <v>0</v>
      </c>
      <c r="BN25" s="14"/>
      <c r="BO25" s="15"/>
      <c r="BP25" s="16">
        <f t="shared" si="31"/>
        <v>0</v>
      </c>
      <c r="BQ25" s="14"/>
      <c r="BR25" s="15"/>
      <c r="BS25" s="16">
        <f t="shared" si="18"/>
        <v>0</v>
      </c>
      <c r="BT25" s="14"/>
      <c r="BU25" s="15"/>
      <c r="BV25" s="16">
        <f t="shared" si="19"/>
        <v>0</v>
      </c>
      <c r="BW25" s="14"/>
      <c r="BX25" s="15"/>
      <c r="BY25" s="16">
        <f t="shared" si="20"/>
        <v>0</v>
      </c>
      <c r="BZ25" s="14"/>
      <c r="CA25" s="15"/>
      <c r="CB25" s="16">
        <f t="shared" si="21"/>
        <v>0</v>
      </c>
      <c r="CC25" s="14"/>
      <c r="CD25" s="15"/>
      <c r="CE25" s="16">
        <f t="shared" si="32"/>
        <v>0</v>
      </c>
      <c r="CF25" s="14"/>
      <c r="CG25" s="15"/>
      <c r="CH25" s="16">
        <f t="shared" si="22"/>
        <v>0</v>
      </c>
      <c r="CI25" s="14"/>
      <c r="CJ25" s="15"/>
      <c r="CK25" s="16">
        <f t="shared" si="23"/>
        <v>0</v>
      </c>
      <c r="CL25" s="14"/>
      <c r="CM25" s="15"/>
      <c r="CN25" s="16">
        <f t="shared" si="24"/>
        <v>0</v>
      </c>
      <c r="CO25" s="14"/>
      <c r="CP25" s="15"/>
      <c r="CQ25" s="16">
        <f t="shared" si="25"/>
        <v>0</v>
      </c>
      <c r="CR25" s="14"/>
      <c r="CS25" s="15"/>
      <c r="CT25" s="16">
        <f t="shared" si="26"/>
        <v>0</v>
      </c>
      <c r="CU25" s="17">
        <f t="shared" si="27"/>
        <v>7</v>
      </c>
      <c r="CV25" s="16">
        <f t="shared" si="28"/>
        <v>21428</v>
      </c>
      <c r="CW25" s="16">
        <f t="shared" si="29"/>
        <v>149996</v>
      </c>
    </row>
    <row r="26" spans="1:101" ht="15.75" customHeight="1" x14ac:dyDescent="0.35">
      <c r="A26" s="41" t="s">
        <v>937</v>
      </c>
      <c r="B26" s="41" t="s">
        <v>928</v>
      </c>
      <c r="C26" s="42"/>
      <c r="D26" s="43"/>
      <c r="E26" s="78">
        <f t="shared" si="0"/>
        <v>0</v>
      </c>
      <c r="F26" s="14"/>
      <c r="G26" s="15"/>
      <c r="H26" s="16">
        <f t="shared" si="1"/>
        <v>0</v>
      </c>
      <c r="I26" s="14"/>
      <c r="J26" s="15"/>
      <c r="K26" s="16">
        <f t="shared" si="36"/>
        <v>0</v>
      </c>
      <c r="L26" s="14"/>
      <c r="M26" s="15"/>
      <c r="N26" s="16">
        <f t="shared" si="34"/>
        <v>0</v>
      </c>
      <c r="O26" s="14"/>
      <c r="P26" s="15"/>
      <c r="Q26" s="16">
        <f t="shared" si="30"/>
        <v>0</v>
      </c>
      <c r="R26" s="14"/>
      <c r="S26" s="15"/>
      <c r="T26" s="16">
        <f t="shared" si="4"/>
        <v>0</v>
      </c>
      <c r="U26" s="14"/>
      <c r="V26" s="15"/>
      <c r="W26" s="16">
        <f t="shared" si="5"/>
        <v>0</v>
      </c>
      <c r="X26" s="14"/>
      <c r="Y26" s="15"/>
      <c r="Z26" s="16">
        <f t="shared" si="6"/>
        <v>0</v>
      </c>
      <c r="AA26" s="14"/>
      <c r="AB26" s="15"/>
      <c r="AC26" s="16">
        <f t="shared" si="7"/>
        <v>0</v>
      </c>
      <c r="AD26" s="14"/>
      <c r="AE26" s="15"/>
      <c r="AF26" s="16">
        <f t="shared" si="8"/>
        <v>0</v>
      </c>
      <c r="AG26" s="14"/>
      <c r="AH26" s="15"/>
      <c r="AI26" s="16">
        <f t="shared" si="9"/>
        <v>0</v>
      </c>
      <c r="AJ26" s="14"/>
      <c r="AK26" s="15"/>
      <c r="AL26" s="16">
        <f t="shared" si="33"/>
        <v>0</v>
      </c>
      <c r="AM26" s="14"/>
      <c r="AN26" s="15"/>
      <c r="AO26" s="16">
        <f t="shared" si="10"/>
        <v>0</v>
      </c>
      <c r="AP26" s="14"/>
      <c r="AQ26" s="15"/>
      <c r="AR26" s="16">
        <f t="shared" si="11"/>
        <v>0</v>
      </c>
      <c r="AS26" s="14"/>
      <c r="AT26" s="15"/>
      <c r="AU26" s="16">
        <f t="shared" ref="AU26:AU55" si="39">IFERROR(AS26*AT26, 0)</f>
        <v>0</v>
      </c>
      <c r="AV26" s="14"/>
      <c r="AW26" s="15"/>
      <c r="AX26" s="16">
        <f t="shared" si="13"/>
        <v>0</v>
      </c>
      <c r="AY26" s="14"/>
      <c r="AZ26" s="15"/>
      <c r="BA26" s="16">
        <f t="shared" si="38"/>
        <v>0</v>
      </c>
      <c r="BB26" s="14"/>
      <c r="BC26" s="15"/>
      <c r="BD26" s="16">
        <f t="shared" si="35"/>
        <v>0</v>
      </c>
      <c r="BE26" s="14"/>
      <c r="BF26" s="15"/>
      <c r="BG26" s="16">
        <f t="shared" si="37"/>
        <v>0</v>
      </c>
      <c r="BH26" s="14"/>
      <c r="BI26" s="15"/>
      <c r="BJ26" s="16">
        <f t="shared" si="16"/>
        <v>0</v>
      </c>
      <c r="BK26" s="14"/>
      <c r="BL26" s="15"/>
      <c r="BM26" s="16">
        <f t="shared" si="17"/>
        <v>0</v>
      </c>
      <c r="BN26" s="14"/>
      <c r="BO26" s="15"/>
      <c r="BP26" s="16">
        <f t="shared" si="31"/>
        <v>0</v>
      </c>
      <c r="BQ26" s="14"/>
      <c r="BR26" s="15"/>
      <c r="BS26" s="16">
        <f t="shared" si="18"/>
        <v>0</v>
      </c>
      <c r="BT26" s="14"/>
      <c r="BU26" s="15"/>
      <c r="BV26" s="16">
        <f t="shared" si="19"/>
        <v>0</v>
      </c>
      <c r="BW26" s="14"/>
      <c r="BX26" s="15"/>
      <c r="BY26" s="16">
        <f t="shared" si="20"/>
        <v>0</v>
      </c>
      <c r="BZ26" s="14"/>
      <c r="CA26" s="15"/>
      <c r="CB26" s="16">
        <f t="shared" si="21"/>
        <v>0</v>
      </c>
      <c r="CC26" s="14"/>
      <c r="CD26" s="15"/>
      <c r="CE26" s="16">
        <f t="shared" si="32"/>
        <v>0</v>
      </c>
      <c r="CF26" s="14"/>
      <c r="CG26" s="15"/>
      <c r="CH26" s="16">
        <f t="shared" si="22"/>
        <v>0</v>
      </c>
      <c r="CI26" s="14"/>
      <c r="CJ26" s="15"/>
      <c r="CK26" s="16">
        <f t="shared" si="23"/>
        <v>0</v>
      </c>
      <c r="CL26" s="14"/>
      <c r="CM26" s="15"/>
      <c r="CN26" s="16">
        <f t="shared" si="24"/>
        <v>0</v>
      </c>
      <c r="CO26" s="14"/>
      <c r="CP26" s="15"/>
      <c r="CQ26" s="16">
        <f t="shared" si="25"/>
        <v>0</v>
      </c>
      <c r="CR26" s="14"/>
      <c r="CS26" s="15"/>
      <c r="CT26" s="16">
        <f t="shared" si="26"/>
        <v>0</v>
      </c>
      <c r="CU26" s="17">
        <f t="shared" si="27"/>
        <v>0</v>
      </c>
      <c r="CV26" s="16">
        <f t="shared" si="28"/>
        <v>0</v>
      </c>
      <c r="CW26" s="16">
        <f t="shared" si="29"/>
        <v>0</v>
      </c>
    </row>
    <row r="27" spans="1:101" ht="15.75" customHeight="1" x14ac:dyDescent="0.35">
      <c r="A27" s="41" t="s">
        <v>938</v>
      </c>
      <c r="B27" s="41" t="s">
        <v>925</v>
      </c>
      <c r="C27" s="42"/>
      <c r="D27" s="43"/>
      <c r="E27" s="78">
        <f t="shared" si="0"/>
        <v>0</v>
      </c>
      <c r="F27" s="14"/>
      <c r="G27" s="15"/>
      <c r="H27" s="16">
        <f t="shared" si="1"/>
        <v>0</v>
      </c>
      <c r="I27" s="14"/>
      <c r="J27" s="15"/>
      <c r="K27" s="16">
        <f t="shared" si="36"/>
        <v>0</v>
      </c>
      <c r="L27" s="14"/>
      <c r="M27" s="15"/>
      <c r="N27" s="16">
        <f t="shared" si="34"/>
        <v>0</v>
      </c>
      <c r="O27" s="14"/>
      <c r="P27" s="15"/>
      <c r="Q27" s="16">
        <f t="shared" si="30"/>
        <v>0</v>
      </c>
      <c r="R27" s="14"/>
      <c r="S27" s="15"/>
      <c r="T27" s="16">
        <f t="shared" si="4"/>
        <v>0</v>
      </c>
      <c r="U27" s="14"/>
      <c r="V27" s="15"/>
      <c r="W27" s="16">
        <f t="shared" si="5"/>
        <v>0</v>
      </c>
      <c r="X27" s="14"/>
      <c r="Y27" s="15"/>
      <c r="Z27" s="16">
        <f t="shared" si="6"/>
        <v>0</v>
      </c>
      <c r="AA27" s="14"/>
      <c r="AB27" s="15"/>
      <c r="AC27" s="16">
        <f t="shared" si="7"/>
        <v>0</v>
      </c>
      <c r="AD27" s="14"/>
      <c r="AE27" s="15"/>
      <c r="AF27" s="16">
        <f t="shared" si="8"/>
        <v>0</v>
      </c>
      <c r="AG27" s="14"/>
      <c r="AH27" s="15"/>
      <c r="AI27" s="16">
        <f t="shared" si="9"/>
        <v>0</v>
      </c>
      <c r="AJ27" s="14"/>
      <c r="AK27" s="15"/>
      <c r="AL27" s="16">
        <f t="shared" si="33"/>
        <v>0</v>
      </c>
      <c r="AM27" s="14"/>
      <c r="AN27" s="15"/>
      <c r="AO27" s="16">
        <f t="shared" si="10"/>
        <v>0</v>
      </c>
      <c r="AP27" s="14"/>
      <c r="AQ27" s="15"/>
      <c r="AR27" s="16">
        <f t="shared" si="11"/>
        <v>0</v>
      </c>
      <c r="AS27" s="14"/>
      <c r="AT27" s="15"/>
      <c r="AU27" s="16">
        <f t="shared" si="39"/>
        <v>0</v>
      </c>
      <c r="AV27" s="14"/>
      <c r="AW27" s="15"/>
      <c r="AX27" s="16">
        <f t="shared" si="13"/>
        <v>0</v>
      </c>
      <c r="AY27" s="14"/>
      <c r="AZ27" s="15"/>
      <c r="BA27" s="16">
        <f t="shared" si="38"/>
        <v>0</v>
      </c>
      <c r="BB27" s="14"/>
      <c r="BC27" s="15"/>
      <c r="BD27" s="16">
        <f t="shared" si="35"/>
        <v>0</v>
      </c>
      <c r="BE27" s="14"/>
      <c r="BF27" s="15"/>
      <c r="BG27" s="16">
        <f t="shared" si="37"/>
        <v>0</v>
      </c>
      <c r="BH27" s="14"/>
      <c r="BI27" s="15"/>
      <c r="BJ27" s="16">
        <f t="shared" si="16"/>
        <v>0</v>
      </c>
      <c r="BK27" s="14"/>
      <c r="BL27" s="15"/>
      <c r="BM27" s="16">
        <f t="shared" si="17"/>
        <v>0</v>
      </c>
      <c r="BN27" s="14"/>
      <c r="BO27" s="15"/>
      <c r="BP27" s="16">
        <f t="shared" si="31"/>
        <v>0</v>
      </c>
      <c r="BQ27" s="14"/>
      <c r="BR27" s="15"/>
      <c r="BS27" s="16">
        <f t="shared" si="18"/>
        <v>0</v>
      </c>
      <c r="BT27" s="14"/>
      <c r="BU27" s="15"/>
      <c r="BV27" s="16">
        <f t="shared" si="19"/>
        <v>0</v>
      </c>
      <c r="BW27" s="14"/>
      <c r="BX27" s="15"/>
      <c r="BY27" s="16">
        <f t="shared" si="20"/>
        <v>0</v>
      </c>
      <c r="BZ27" s="14"/>
      <c r="CA27" s="15"/>
      <c r="CB27" s="16">
        <f t="shared" si="21"/>
        <v>0</v>
      </c>
      <c r="CC27" s="14"/>
      <c r="CD27" s="15"/>
      <c r="CE27" s="16">
        <f t="shared" si="32"/>
        <v>0</v>
      </c>
      <c r="CF27" s="14"/>
      <c r="CG27" s="15"/>
      <c r="CH27" s="16">
        <f t="shared" si="22"/>
        <v>0</v>
      </c>
      <c r="CI27" s="14"/>
      <c r="CJ27" s="15"/>
      <c r="CK27" s="16">
        <f t="shared" si="23"/>
        <v>0</v>
      </c>
      <c r="CL27" s="14"/>
      <c r="CM27" s="15"/>
      <c r="CN27" s="16">
        <f t="shared" si="24"/>
        <v>0</v>
      </c>
      <c r="CO27" s="14"/>
      <c r="CP27" s="15"/>
      <c r="CQ27" s="16">
        <f t="shared" si="25"/>
        <v>0</v>
      </c>
      <c r="CR27" s="14"/>
      <c r="CS27" s="15"/>
      <c r="CT27" s="16">
        <f t="shared" si="26"/>
        <v>0</v>
      </c>
      <c r="CU27" s="17">
        <f t="shared" si="27"/>
        <v>0</v>
      </c>
      <c r="CV27" s="16">
        <f t="shared" si="28"/>
        <v>0</v>
      </c>
      <c r="CW27" s="16">
        <f t="shared" si="29"/>
        <v>0</v>
      </c>
    </row>
    <row r="28" spans="1:101" ht="15.75" customHeight="1" x14ac:dyDescent="0.35">
      <c r="A28" s="41" t="s">
        <v>939</v>
      </c>
      <c r="B28" s="41" t="s">
        <v>940</v>
      </c>
      <c r="C28" s="42"/>
      <c r="D28" s="43"/>
      <c r="E28" s="78">
        <f t="shared" si="0"/>
        <v>0</v>
      </c>
      <c r="F28" s="14"/>
      <c r="G28" s="15"/>
      <c r="H28" s="16">
        <f t="shared" si="1"/>
        <v>0</v>
      </c>
      <c r="I28" s="14"/>
      <c r="J28" s="15"/>
      <c r="K28" s="16">
        <f t="shared" si="36"/>
        <v>0</v>
      </c>
      <c r="L28" s="14"/>
      <c r="M28" s="15"/>
      <c r="N28" s="16">
        <f t="shared" si="34"/>
        <v>0</v>
      </c>
      <c r="O28" s="14"/>
      <c r="P28" s="15"/>
      <c r="Q28" s="16">
        <f t="shared" si="30"/>
        <v>0</v>
      </c>
      <c r="R28" s="14"/>
      <c r="S28" s="15"/>
      <c r="T28" s="16">
        <f t="shared" si="4"/>
        <v>0</v>
      </c>
      <c r="U28" s="14"/>
      <c r="V28" s="15"/>
      <c r="W28" s="16">
        <f t="shared" si="5"/>
        <v>0</v>
      </c>
      <c r="X28" s="14"/>
      <c r="Y28" s="15"/>
      <c r="Z28" s="16">
        <f t="shared" si="6"/>
        <v>0</v>
      </c>
      <c r="AA28" s="14"/>
      <c r="AB28" s="15"/>
      <c r="AC28" s="16">
        <f t="shared" si="7"/>
        <v>0</v>
      </c>
      <c r="AD28" s="14"/>
      <c r="AE28" s="15"/>
      <c r="AF28" s="16">
        <f t="shared" si="8"/>
        <v>0</v>
      </c>
      <c r="AG28" s="14"/>
      <c r="AH28" s="15"/>
      <c r="AI28" s="16">
        <f t="shared" si="9"/>
        <v>0</v>
      </c>
      <c r="AJ28" s="14"/>
      <c r="AK28" s="15"/>
      <c r="AL28" s="16">
        <f t="shared" si="33"/>
        <v>0</v>
      </c>
      <c r="AM28" s="14"/>
      <c r="AN28" s="15"/>
      <c r="AO28" s="16">
        <f t="shared" si="10"/>
        <v>0</v>
      </c>
      <c r="AP28" s="14"/>
      <c r="AQ28" s="15"/>
      <c r="AR28" s="16">
        <f t="shared" si="11"/>
        <v>0</v>
      </c>
      <c r="AS28" s="14"/>
      <c r="AT28" s="15"/>
      <c r="AU28" s="16">
        <f t="shared" si="39"/>
        <v>0</v>
      </c>
      <c r="AV28" s="14"/>
      <c r="AW28" s="15"/>
      <c r="AX28" s="16">
        <f t="shared" si="13"/>
        <v>0</v>
      </c>
      <c r="AY28" s="14"/>
      <c r="AZ28" s="15"/>
      <c r="BA28" s="16">
        <f t="shared" si="38"/>
        <v>0</v>
      </c>
      <c r="BB28" s="14"/>
      <c r="BC28" s="15"/>
      <c r="BD28" s="16">
        <f t="shared" si="35"/>
        <v>0</v>
      </c>
      <c r="BE28" s="14"/>
      <c r="BF28" s="15"/>
      <c r="BG28" s="16">
        <f t="shared" si="37"/>
        <v>0</v>
      </c>
      <c r="BH28" s="14"/>
      <c r="BI28" s="15"/>
      <c r="BJ28" s="16">
        <f t="shared" si="16"/>
        <v>0</v>
      </c>
      <c r="BK28" s="14"/>
      <c r="BL28" s="15"/>
      <c r="BM28" s="16">
        <f t="shared" si="17"/>
        <v>0</v>
      </c>
      <c r="BN28" s="14"/>
      <c r="BO28" s="15"/>
      <c r="BP28" s="16">
        <f t="shared" si="31"/>
        <v>0</v>
      </c>
      <c r="BQ28" s="14"/>
      <c r="BR28" s="15"/>
      <c r="BS28" s="16">
        <f t="shared" si="18"/>
        <v>0</v>
      </c>
      <c r="BT28" s="14"/>
      <c r="BU28" s="15"/>
      <c r="BV28" s="16">
        <f t="shared" si="19"/>
        <v>0</v>
      </c>
      <c r="BW28" s="14"/>
      <c r="BX28" s="15"/>
      <c r="BY28" s="16">
        <f t="shared" si="20"/>
        <v>0</v>
      </c>
      <c r="BZ28" s="14"/>
      <c r="CA28" s="15"/>
      <c r="CB28" s="16">
        <f t="shared" si="21"/>
        <v>0</v>
      </c>
      <c r="CC28" s="14"/>
      <c r="CD28" s="15"/>
      <c r="CE28" s="16">
        <f t="shared" si="32"/>
        <v>0</v>
      </c>
      <c r="CF28" s="14"/>
      <c r="CG28" s="15"/>
      <c r="CH28" s="16">
        <f t="shared" si="22"/>
        <v>0</v>
      </c>
      <c r="CI28" s="14"/>
      <c r="CJ28" s="15"/>
      <c r="CK28" s="16">
        <f t="shared" si="23"/>
        <v>0</v>
      </c>
      <c r="CL28" s="14"/>
      <c r="CM28" s="15"/>
      <c r="CN28" s="16">
        <f t="shared" si="24"/>
        <v>0</v>
      </c>
      <c r="CO28" s="14"/>
      <c r="CP28" s="15"/>
      <c r="CQ28" s="16">
        <f t="shared" si="25"/>
        <v>0</v>
      </c>
      <c r="CR28" s="14"/>
      <c r="CS28" s="15"/>
      <c r="CT28" s="16">
        <f t="shared" si="26"/>
        <v>0</v>
      </c>
      <c r="CU28" s="17">
        <f t="shared" si="27"/>
        <v>0</v>
      </c>
      <c r="CV28" s="16">
        <f t="shared" si="28"/>
        <v>0</v>
      </c>
      <c r="CW28" s="16">
        <f t="shared" si="29"/>
        <v>0</v>
      </c>
    </row>
    <row r="29" spans="1:101" ht="15.75" customHeight="1" x14ac:dyDescent="0.35">
      <c r="A29" s="41" t="s">
        <v>941</v>
      </c>
      <c r="B29" s="41" t="s">
        <v>837</v>
      </c>
      <c r="C29" s="42"/>
      <c r="D29" s="43"/>
      <c r="E29" s="78">
        <f t="shared" si="0"/>
        <v>0</v>
      </c>
      <c r="F29" s="14"/>
      <c r="G29" s="15"/>
      <c r="H29" s="16">
        <f t="shared" si="1"/>
        <v>0</v>
      </c>
      <c r="I29" s="14"/>
      <c r="J29" s="15"/>
      <c r="K29" s="16">
        <f t="shared" si="36"/>
        <v>0</v>
      </c>
      <c r="L29" s="14"/>
      <c r="M29" s="15"/>
      <c r="N29" s="16">
        <f t="shared" si="34"/>
        <v>0</v>
      </c>
      <c r="O29" s="14"/>
      <c r="P29" s="15"/>
      <c r="Q29" s="16">
        <f t="shared" si="30"/>
        <v>0</v>
      </c>
      <c r="R29" s="14"/>
      <c r="S29" s="15"/>
      <c r="T29" s="16">
        <f t="shared" si="4"/>
        <v>0</v>
      </c>
      <c r="U29" s="14"/>
      <c r="V29" s="15"/>
      <c r="W29" s="16">
        <f t="shared" si="5"/>
        <v>0</v>
      </c>
      <c r="X29" s="14"/>
      <c r="Y29" s="15"/>
      <c r="Z29" s="16">
        <f t="shared" si="6"/>
        <v>0</v>
      </c>
      <c r="AA29" s="14"/>
      <c r="AB29" s="15"/>
      <c r="AC29" s="16">
        <f t="shared" si="7"/>
        <v>0</v>
      </c>
      <c r="AD29" s="14"/>
      <c r="AE29" s="15"/>
      <c r="AF29" s="16">
        <f t="shared" si="8"/>
        <v>0</v>
      </c>
      <c r="AG29" s="14"/>
      <c r="AH29" s="15"/>
      <c r="AI29" s="16">
        <f t="shared" si="9"/>
        <v>0</v>
      </c>
      <c r="AJ29" s="14"/>
      <c r="AK29" s="15"/>
      <c r="AL29" s="16">
        <f t="shared" si="33"/>
        <v>0</v>
      </c>
      <c r="AM29" s="14"/>
      <c r="AN29" s="15"/>
      <c r="AO29" s="16">
        <f t="shared" si="10"/>
        <v>0</v>
      </c>
      <c r="AP29" s="14"/>
      <c r="AQ29" s="15"/>
      <c r="AR29" s="16">
        <f t="shared" si="11"/>
        <v>0</v>
      </c>
      <c r="AS29" s="14"/>
      <c r="AT29" s="15"/>
      <c r="AU29" s="16">
        <f t="shared" si="39"/>
        <v>0</v>
      </c>
      <c r="AV29" s="14"/>
      <c r="AW29" s="15"/>
      <c r="AX29" s="16">
        <f t="shared" si="13"/>
        <v>0</v>
      </c>
      <c r="AY29" s="14"/>
      <c r="AZ29" s="15"/>
      <c r="BA29" s="16">
        <f t="shared" si="38"/>
        <v>0</v>
      </c>
      <c r="BB29" s="14"/>
      <c r="BC29" s="15"/>
      <c r="BD29" s="16">
        <f t="shared" si="35"/>
        <v>0</v>
      </c>
      <c r="BE29" s="14"/>
      <c r="BF29" s="15"/>
      <c r="BG29" s="16">
        <f t="shared" si="37"/>
        <v>0</v>
      </c>
      <c r="BH29" s="14"/>
      <c r="BI29" s="15"/>
      <c r="BJ29" s="16">
        <f t="shared" si="16"/>
        <v>0</v>
      </c>
      <c r="BK29" s="14"/>
      <c r="BL29" s="15"/>
      <c r="BM29" s="16">
        <f t="shared" si="17"/>
        <v>0</v>
      </c>
      <c r="BN29" s="14"/>
      <c r="BO29" s="15"/>
      <c r="BP29" s="16">
        <f t="shared" si="31"/>
        <v>0</v>
      </c>
      <c r="BQ29" s="14"/>
      <c r="BR29" s="15"/>
      <c r="BS29" s="16">
        <f t="shared" si="18"/>
        <v>0</v>
      </c>
      <c r="BT29" s="14"/>
      <c r="BU29" s="15"/>
      <c r="BV29" s="16">
        <f t="shared" si="19"/>
        <v>0</v>
      </c>
      <c r="BW29" s="14"/>
      <c r="BX29" s="15"/>
      <c r="BY29" s="16">
        <f t="shared" si="20"/>
        <v>0</v>
      </c>
      <c r="BZ29" s="14"/>
      <c r="CA29" s="15"/>
      <c r="CB29" s="16">
        <f t="shared" si="21"/>
        <v>0</v>
      </c>
      <c r="CC29" s="14"/>
      <c r="CD29" s="15"/>
      <c r="CE29" s="16">
        <f t="shared" si="32"/>
        <v>0</v>
      </c>
      <c r="CF29" s="14"/>
      <c r="CG29" s="15"/>
      <c r="CH29" s="16">
        <f t="shared" si="22"/>
        <v>0</v>
      </c>
      <c r="CI29" s="14"/>
      <c r="CJ29" s="15"/>
      <c r="CK29" s="16">
        <f t="shared" si="23"/>
        <v>0</v>
      </c>
      <c r="CL29" s="14"/>
      <c r="CM29" s="15"/>
      <c r="CN29" s="16">
        <f t="shared" si="24"/>
        <v>0</v>
      </c>
      <c r="CO29" s="14"/>
      <c r="CP29" s="15"/>
      <c r="CQ29" s="16">
        <f t="shared" si="25"/>
        <v>0</v>
      </c>
      <c r="CR29" s="14"/>
      <c r="CS29" s="15"/>
      <c r="CT29" s="16">
        <f t="shared" si="26"/>
        <v>0</v>
      </c>
      <c r="CU29" s="17">
        <f t="shared" si="27"/>
        <v>0</v>
      </c>
      <c r="CV29" s="16">
        <f t="shared" si="28"/>
        <v>0</v>
      </c>
      <c r="CW29" s="16">
        <f t="shared" si="29"/>
        <v>0</v>
      </c>
    </row>
    <row r="30" spans="1:101" ht="15.75" customHeight="1" x14ac:dyDescent="0.35">
      <c r="A30" s="41" t="s">
        <v>942</v>
      </c>
      <c r="B30" s="41" t="s">
        <v>846</v>
      </c>
      <c r="C30" s="42"/>
      <c r="D30" s="43"/>
      <c r="E30" s="78">
        <f t="shared" si="0"/>
        <v>0</v>
      </c>
      <c r="F30" s="14"/>
      <c r="G30" s="15"/>
      <c r="H30" s="16">
        <f t="shared" si="1"/>
        <v>0</v>
      </c>
      <c r="I30" s="14"/>
      <c r="J30" s="15"/>
      <c r="K30" s="16">
        <f t="shared" si="36"/>
        <v>0</v>
      </c>
      <c r="L30" s="14"/>
      <c r="M30" s="15"/>
      <c r="N30" s="16">
        <f t="shared" si="34"/>
        <v>0</v>
      </c>
      <c r="O30" s="14"/>
      <c r="P30" s="15"/>
      <c r="Q30" s="16">
        <f t="shared" si="30"/>
        <v>0</v>
      </c>
      <c r="R30" s="14"/>
      <c r="S30" s="15"/>
      <c r="T30" s="16">
        <f t="shared" si="4"/>
        <v>0</v>
      </c>
      <c r="U30" s="14"/>
      <c r="V30" s="15"/>
      <c r="W30" s="16">
        <f t="shared" si="5"/>
        <v>0</v>
      </c>
      <c r="X30" s="14"/>
      <c r="Y30" s="15"/>
      <c r="Z30" s="16">
        <f t="shared" si="6"/>
        <v>0</v>
      </c>
      <c r="AA30" s="14"/>
      <c r="AB30" s="15"/>
      <c r="AC30" s="16">
        <f t="shared" si="7"/>
        <v>0</v>
      </c>
      <c r="AD30" s="14"/>
      <c r="AE30" s="15"/>
      <c r="AF30" s="16">
        <f t="shared" si="8"/>
        <v>0</v>
      </c>
      <c r="AG30" s="14"/>
      <c r="AH30" s="15"/>
      <c r="AI30" s="16">
        <f t="shared" si="9"/>
        <v>0</v>
      </c>
      <c r="AJ30" s="14"/>
      <c r="AK30" s="15"/>
      <c r="AL30" s="16">
        <f t="shared" si="33"/>
        <v>0</v>
      </c>
      <c r="AM30" s="14"/>
      <c r="AN30" s="15"/>
      <c r="AO30" s="16">
        <f t="shared" si="10"/>
        <v>0</v>
      </c>
      <c r="AP30" s="14"/>
      <c r="AQ30" s="15"/>
      <c r="AR30" s="16">
        <f t="shared" si="11"/>
        <v>0</v>
      </c>
      <c r="AS30" s="14"/>
      <c r="AT30" s="15"/>
      <c r="AU30" s="16">
        <f t="shared" si="39"/>
        <v>0</v>
      </c>
      <c r="AV30" s="14"/>
      <c r="AW30" s="15"/>
      <c r="AX30" s="16">
        <f t="shared" si="13"/>
        <v>0</v>
      </c>
      <c r="AY30" s="14"/>
      <c r="AZ30" s="15"/>
      <c r="BA30" s="16">
        <f t="shared" si="38"/>
        <v>0</v>
      </c>
      <c r="BB30" s="14"/>
      <c r="BC30" s="15"/>
      <c r="BD30" s="16">
        <f t="shared" si="35"/>
        <v>0</v>
      </c>
      <c r="BE30" s="14"/>
      <c r="BF30" s="15"/>
      <c r="BG30" s="16">
        <f t="shared" si="37"/>
        <v>0</v>
      </c>
      <c r="BH30" s="14"/>
      <c r="BI30" s="15"/>
      <c r="BJ30" s="16">
        <f t="shared" si="16"/>
        <v>0</v>
      </c>
      <c r="BK30" s="14"/>
      <c r="BL30" s="15"/>
      <c r="BM30" s="16">
        <f t="shared" si="17"/>
        <v>0</v>
      </c>
      <c r="BN30" s="14"/>
      <c r="BO30" s="15"/>
      <c r="BP30" s="16">
        <f t="shared" si="31"/>
        <v>0</v>
      </c>
      <c r="BQ30" s="14"/>
      <c r="BR30" s="15"/>
      <c r="BS30" s="16">
        <f t="shared" si="18"/>
        <v>0</v>
      </c>
      <c r="BT30" s="14"/>
      <c r="BU30" s="15"/>
      <c r="BV30" s="16">
        <f t="shared" si="19"/>
        <v>0</v>
      </c>
      <c r="BW30" s="14"/>
      <c r="BX30" s="15"/>
      <c r="BY30" s="16">
        <f t="shared" si="20"/>
        <v>0</v>
      </c>
      <c r="BZ30" s="14"/>
      <c r="CA30" s="15"/>
      <c r="CB30" s="16">
        <f t="shared" si="21"/>
        <v>0</v>
      </c>
      <c r="CC30" s="14"/>
      <c r="CD30" s="15"/>
      <c r="CE30" s="16">
        <f t="shared" si="32"/>
        <v>0</v>
      </c>
      <c r="CF30" s="14"/>
      <c r="CG30" s="15"/>
      <c r="CH30" s="16">
        <f t="shared" si="22"/>
        <v>0</v>
      </c>
      <c r="CI30" s="14"/>
      <c r="CJ30" s="15"/>
      <c r="CK30" s="16">
        <f t="shared" si="23"/>
        <v>0</v>
      </c>
      <c r="CL30" s="14"/>
      <c r="CM30" s="15"/>
      <c r="CN30" s="16">
        <f t="shared" si="24"/>
        <v>0</v>
      </c>
      <c r="CO30" s="14"/>
      <c r="CP30" s="15"/>
      <c r="CQ30" s="16">
        <f t="shared" si="25"/>
        <v>0</v>
      </c>
      <c r="CR30" s="14"/>
      <c r="CS30" s="15"/>
      <c r="CT30" s="16">
        <f t="shared" si="26"/>
        <v>0</v>
      </c>
      <c r="CU30" s="17">
        <f t="shared" si="27"/>
        <v>0</v>
      </c>
      <c r="CV30" s="16">
        <f t="shared" si="28"/>
        <v>0</v>
      </c>
      <c r="CW30" s="16">
        <f t="shared" si="29"/>
        <v>0</v>
      </c>
    </row>
    <row r="31" spans="1:101" ht="15.75" customHeight="1" x14ac:dyDescent="0.35">
      <c r="A31" s="41" t="s">
        <v>221</v>
      </c>
      <c r="B31" s="41" t="s">
        <v>846</v>
      </c>
      <c r="C31" s="42"/>
      <c r="D31" s="43"/>
      <c r="E31" s="78">
        <f t="shared" si="0"/>
        <v>0</v>
      </c>
      <c r="F31" s="14"/>
      <c r="G31" s="15"/>
      <c r="H31" s="16">
        <f t="shared" si="1"/>
        <v>0</v>
      </c>
      <c r="I31" s="14"/>
      <c r="J31" s="15"/>
      <c r="K31" s="16">
        <f t="shared" si="36"/>
        <v>0</v>
      </c>
      <c r="L31" s="14"/>
      <c r="M31" s="15"/>
      <c r="N31" s="16">
        <f t="shared" si="34"/>
        <v>0</v>
      </c>
      <c r="O31" s="14">
        <v>4</v>
      </c>
      <c r="P31" s="15">
        <v>102000</v>
      </c>
      <c r="Q31" s="16">
        <v>408000</v>
      </c>
      <c r="R31" s="14"/>
      <c r="S31" s="15"/>
      <c r="T31" s="16">
        <f t="shared" si="4"/>
        <v>0</v>
      </c>
      <c r="U31" s="14"/>
      <c r="V31" s="15"/>
      <c r="W31" s="16">
        <f t="shared" si="5"/>
        <v>0</v>
      </c>
      <c r="X31" s="14"/>
      <c r="Y31" s="15"/>
      <c r="Z31" s="16">
        <f t="shared" si="6"/>
        <v>0</v>
      </c>
      <c r="AA31" s="14"/>
      <c r="AB31" s="15"/>
      <c r="AC31" s="16">
        <f t="shared" si="7"/>
        <v>0</v>
      </c>
      <c r="AD31" s="14"/>
      <c r="AE31" s="15"/>
      <c r="AF31" s="16">
        <f t="shared" si="8"/>
        <v>0</v>
      </c>
      <c r="AG31" s="14"/>
      <c r="AH31" s="15"/>
      <c r="AI31" s="16">
        <f t="shared" si="9"/>
        <v>0</v>
      </c>
      <c r="AJ31" s="14">
        <v>3</v>
      </c>
      <c r="AK31" s="15">
        <v>102000</v>
      </c>
      <c r="AL31" s="16">
        <v>306000</v>
      </c>
      <c r="AM31" s="14"/>
      <c r="AN31" s="15"/>
      <c r="AO31" s="16">
        <f t="shared" si="10"/>
        <v>0</v>
      </c>
      <c r="AP31" s="14"/>
      <c r="AQ31" s="15"/>
      <c r="AR31" s="16">
        <f t="shared" si="11"/>
        <v>0</v>
      </c>
      <c r="AS31" s="14"/>
      <c r="AT31" s="15"/>
      <c r="AU31" s="16">
        <f t="shared" si="39"/>
        <v>0</v>
      </c>
      <c r="AV31" s="14"/>
      <c r="AW31" s="15"/>
      <c r="AX31" s="16">
        <f t="shared" si="13"/>
        <v>0</v>
      </c>
      <c r="AY31" s="14"/>
      <c r="AZ31" s="15"/>
      <c r="BA31" s="16">
        <f t="shared" si="38"/>
        <v>0</v>
      </c>
      <c r="BB31" s="14"/>
      <c r="BC31" s="15"/>
      <c r="BD31" s="16">
        <f t="shared" si="35"/>
        <v>0</v>
      </c>
      <c r="BE31" s="14"/>
      <c r="BF31" s="15"/>
      <c r="BG31" s="16">
        <f t="shared" si="37"/>
        <v>0</v>
      </c>
      <c r="BH31" s="14"/>
      <c r="BI31" s="15"/>
      <c r="BJ31" s="16">
        <f t="shared" si="16"/>
        <v>0</v>
      </c>
      <c r="BK31" s="14"/>
      <c r="BL31" s="15"/>
      <c r="BM31" s="16">
        <f t="shared" si="17"/>
        <v>0</v>
      </c>
      <c r="BN31" s="14"/>
      <c r="BO31" s="15"/>
      <c r="BP31" s="16">
        <f t="shared" si="31"/>
        <v>0</v>
      </c>
      <c r="BQ31" s="14"/>
      <c r="BR31" s="15"/>
      <c r="BS31" s="16">
        <f t="shared" si="18"/>
        <v>0</v>
      </c>
      <c r="BT31" s="14"/>
      <c r="BU31" s="15"/>
      <c r="BV31" s="16">
        <f t="shared" si="19"/>
        <v>0</v>
      </c>
      <c r="BW31" s="14"/>
      <c r="BX31" s="15"/>
      <c r="BY31" s="16">
        <f t="shared" si="20"/>
        <v>0</v>
      </c>
      <c r="BZ31" s="14"/>
      <c r="CA31" s="15"/>
      <c r="CB31" s="16">
        <f t="shared" si="21"/>
        <v>0</v>
      </c>
      <c r="CC31" s="14"/>
      <c r="CD31" s="15"/>
      <c r="CE31" s="16">
        <f t="shared" si="32"/>
        <v>0</v>
      </c>
      <c r="CF31" s="14"/>
      <c r="CG31" s="15"/>
      <c r="CH31" s="16">
        <f t="shared" si="22"/>
        <v>0</v>
      </c>
      <c r="CI31" s="14"/>
      <c r="CJ31" s="15"/>
      <c r="CK31" s="16">
        <f t="shared" si="23"/>
        <v>0</v>
      </c>
      <c r="CL31" s="14"/>
      <c r="CM31" s="15"/>
      <c r="CN31" s="16">
        <f t="shared" si="24"/>
        <v>0</v>
      </c>
      <c r="CO31" s="14"/>
      <c r="CP31" s="15"/>
      <c r="CQ31" s="16">
        <f t="shared" si="25"/>
        <v>0</v>
      </c>
      <c r="CR31" s="14"/>
      <c r="CS31" s="15"/>
      <c r="CT31" s="16">
        <f t="shared" si="26"/>
        <v>0</v>
      </c>
      <c r="CU31" s="17">
        <f t="shared" si="27"/>
        <v>7</v>
      </c>
      <c r="CV31" s="16">
        <f t="shared" si="28"/>
        <v>102000</v>
      </c>
      <c r="CW31" s="16">
        <f t="shared" si="29"/>
        <v>714000</v>
      </c>
    </row>
    <row r="32" spans="1:101" ht="15.75" customHeight="1" x14ac:dyDescent="0.35">
      <c r="A32" s="41" t="s">
        <v>700</v>
      </c>
      <c r="B32" s="41" t="s">
        <v>880</v>
      </c>
      <c r="C32" s="42"/>
      <c r="D32" s="43"/>
      <c r="E32" s="78">
        <f t="shared" si="0"/>
        <v>0</v>
      </c>
      <c r="F32" s="14"/>
      <c r="G32" s="15"/>
      <c r="H32" s="16">
        <f t="shared" si="1"/>
        <v>0</v>
      </c>
      <c r="I32" s="14"/>
      <c r="J32" s="15"/>
      <c r="K32" s="16">
        <f t="shared" si="36"/>
        <v>0</v>
      </c>
      <c r="L32" s="14"/>
      <c r="M32" s="15"/>
      <c r="N32" s="16">
        <f t="shared" si="34"/>
        <v>0</v>
      </c>
      <c r="O32" s="14"/>
      <c r="P32" s="15"/>
      <c r="Q32" s="16">
        <f>IFERROR(O32*P32, 0)</f>
        <v>0</v>
      </c>
      <c r="R32" s="14"/>
      <c r="S32" s="15"/>
      <c r="T32" s="16">
        <f t="shared" si="4"/>
        <v>0</v>
      </c>
      <c r="U32" s="14"/>
      <c r="V32" s="15"/>
      <c r="W32" s="16">
        <f t="shared" si="5"/>
        <v>0</v>
      </c>
      <c r="X32" s="14"/>
      <c r="Y32" s="15"/>
      <c r="Z32" s="16">
        <f t="shared" si="6"/>
        <v>0</v>
      </c>
      <c r="AA32" s="14"/>
      <c r="AB32" s="15"/>
      <c r="AC32" s="16">
        <f t="shared" si="7"/>
        <v>0</v>
      </c>
      <c r="AD32" s="14"/>
      <c r="AE32" s="15"/>
      <c r="AF32" s="16">
        <f t="shared" si="8"/>
        <v>0</v>
      </c>
      <c r="AG32" s="14"/>
      <c r="AH32" s="15"/>
      <c r="AI32" s="16">
        <f t="shared" si="9"/>
        <v>0</v>
      </c>
      <c r="AJ32" s="14"/>
      <c r="AK32" s="15"/>
      <c r="AL32" s="16">
        <f t="shared" ref="AL32:AL54" si="40">IFERROR(AJ32*AK32, 0)</f>
        <v>0</v>
      </c>
      <c r="AM32" s="14"/>
      <c r="AN32" s="15"/>
      <c r="AO32" s="16">
        <f t="shared" si="10"/>
        <v>0</v>
      </c>
      <c r="AP32" s="14"/>
      <c r="AQ32" s="15"/>
      <c r="AR32" s="16">
        <f t="shared" si="11"/>
        <v>0</v>
      </c>
      <c r="AS32" s="14"/>
      <c r="AT32" s="15"/>
      <c r="AU32" s="16">
        <f t="shared" si="39"/>
        <v>0</v>
      </c>
      <c r="AV32" s="14"/>
      <c r="AW32" s="15"/>
      <c r="AX32" s="16">
        <f t="shared" si="13"/>
        <v>0</v>
      </c>
      <c r="AY32" s="14"/>
      <c r="AZ32" s="15"/>
      <c r="BA32" s="16">
        <f t="shared" si="38"/>
        <v>0</v>
      </c>
      <c r="BB32" s="14"/>
      <c r="BC32" s="15"/>
      <c r="BD32" s="16">
        <f t="shared" si="35"/>
        <v>0</v>
      </c>
      <c r="BE32" s="14"/>
      <c r="BF32" s="15"/>
      <c r="BG32" s="16">
        <f t="shared" si="37"/>
        <v>0</v>
      </c>
      <c r="BH32" s="14"/>
      <c r="BI32" s="15"/>
      <c r="BJ32" s="16">
        <f t="shared" si="16"/>
        <v>0</v>
      </c>
      <c r="BK32" s="14"/>
      <c r="BL32" s="15"/>
      <c r="BM32" s="16">
        <f t="shared" si="17"/>
        <v>0</v>
      </c>
      <c r="BN32" s="14"/>
      <c r="BO32" s="15"/>
      <c r="BP32" s="16">
        <f t="shared" si="31"/>
        <v>0</v>
      </c>
      <c r="BQ32" s="14"/>
      <c r="BR32" s="15"/>
      <c r="BS32" s="16">
        <f t="shared" si="18"/>
        <v>0</v>
      </c>
      <c r="BT32" s="14"/>
      <c r="BU32" s="15"/>
      <c r="BV32" s="16">
        <f t="shared" si="19"/>
        <v>0</v>
      </c>
      <c r="BW32" s="14"/>
      <c r="BX32" s="15"/>
      <c r="BY32" s="16">
        <f t="shared" si="20"/>
        <v>0</v>
      </c>
      <c r="BZ32" s="14"/>
      <c r="CA32" s="15"/>
      <c r="CB32" s="16">
        <f t="shared" si="21"/>
        <v>0</v>
      </c>
      <c r="CC32" s="14"/>
      <c r="CD32" s="15"/>
      <c r="CE32" s="16">
        <f t="shared" si="32"/>
        <v>0</v>
      </c>
      <c r="CF32" s="14"/>
      <c r="CG32" s="15"/>
      <c r="CH32" s="16">
        <f t="shared" si="22"/>
        <v>0</v>
      </c>
      <c r="CI32" s="14"/>
      <c r="CJ32" s="15"/>
      <c r="CK32" s="16">
        <f t="shared" si="23"/>
        <v>0</v>
      </c>
      <c r="CL32" s="14"/>
      <c r="CM32" s="15"/>
      <c r="CN32" s="16">
        <f t="shared" si="24"/>
        <v>0</v>
      </c>
      <c r="CO32" s="14"/>
      <c r="CP32" s="15"/>
      <c r="CQ32" s="16">
        <f t="shared" si="25"/>
        <v>0</v>
      </c>
      <c r="CR32" s="14"/>
      <c r="CS32" s="15"/>
      <c r="CT32" s="16">
        <f t="shared" si="26"/>
        <v>0</v>
      </c>
      <c r="CU32" s="17">
        <f t="shared" si="27"/>
        <v>0</v>
      </c>
      <c r="CV32" s="16">
        <f t="shared" si="28"/>
        <v>0</v>
      </c>
      <c r="CW32" s="16">
        <f t="shared" si="29"/>
        <v>0</v>
      </c>
    </row>
    <row r="33" spans="1:101" ht="15.75" customHeight="1" x14ac:dyDescent="0.35">
      <c r="A33" s="41" t="s">
        <v>943</v>
      </c>
      <c r="B33" s="41" t="s">
        <v>837</v>
      </c>
      <c r="C33" s="42"/>
      <c r="D33" s="43"/>
      <c r="E33" s="78">
        <f t="shared" si="0"/>
        <v>0</v>
      </c>
      <c r="F33" s="14"/>
      <c r="G33" s="15"/>
      <c r="H33" s="16">
        <f t="shared" si="1"/>
        <v>0</v>
      </c>
      <c r="I33" s="14"/>
      <c r="J33" s="15"/>
      <c r="K33" s="16">
        <f t="shared" si="36"/>
        <v>0</v>
      </c>
      <c r="L33" s="14"/>
      <c r="M33" s="15"/>
      <c r="N33" s="16">
        <f t="shared" si="34"/>
        <v>0</v>
      </c>
      <c r="O33" s="14"/>
      <c r="P33" s="15"/>
      <c r="Q33" s="16">
        <f>IFERROR(O33*P33, 0)</f>
        <v>0</v>
      </c>
      <c r="R33" s="14"/>
      <c r="S33" s="15"/>
      <c r="T33" s="16">
        <f t="shared" si="4"/>
        <v>0</v>
      </c>
      <c r="U33" s="14"/>
      <c r="V33" s="15"/>
      <c r="W33" s="16">
        <f t="shared" si="5"/>
        <v>0</v>
      </c>
      <c r="X33" s="14"/>
      <c r="Y33" s="15"/>
      <c r="Z33" s="16">
        <f t="shared" si="6"/>
        <v>0</v>
      </c>
      <c r="AA33" s="14"/>
      <c r="AB33" s="15"/>
      <c r="AC33" s="16">
        <f t="shared" si="7"/>
        <v>0</v>
      </c>
      <c r="AD33" s="14"/>
      <c r="AE33" s="15"/>
      <c r="AF33" s="16">
        <f t="shared" si="8"/>
        <v>0</v>
      </c>
      <c r="AG33" s="14"/>
      <c r="AH33" s="15"/>
      <c r="AI33" s="16">
        <f t="shared" si="9"/>
        <v>0</v>
      </c>
      <c r="AJ33" s="14"/>
      <c r="AK33" s="15"/>
      <c r="AL33" s="16">
        <f t="shared" si="40"/>
        <v>0</v>
      </c>
      <c r="AM33" s="14"/>
      <c r="AN33" s="15"/>
      <c r="AO33" s="16">
        <f t="shared" si="10"/>
        <v>0</v>
      </c>
      <c r="AP33" s="14"/>
      <c r="AQ33" s="15"/>
      <c r="AR33" s="16">
        <f t="shared" si="11"/>
        <v>0</v>
      </c>
      <c r="AS33" s="14"/>
      <c r="AT33" s="15"/>
      <c r="AU33" s="16">
        <f t="shared" si="39"/>
        <v>0</v>
      </c>
      <c r="AV33" s="14"/>
      <c r="AW33" s="15"/>
      <c r="AX33" s="16">
        <f t="shared" si="13"/>
        <v>0</v>
      </c>
      <c r="AY33" s="14"/>
      <c r="AZ33" s="15"/>
      <c r="BA33" s="16">
        <f t="shared" si="38"/>
        <v>0</v>
      </c>
      <c r="BB33" s="14"/>
      <c r="BC33" s="15"/>
      <c r="BD33" s="16">
        <f t="shared" si="35"/>
        <v>0</v>
      </c>
      <c r="BE33" s="14"/>
      <c r="BF33" s="15"/>
      <c r="BG33" s="16">
        <f t="shared" si="37"/>
        <v>0</v>
      </c>
      <c r="BH33" s="14"/>
      <c r="BI33" s="15"/>
      <c r="BJ33" s="16">
        <f t="shared" si="16"/>
        <v>0</v>
      </c>
      <c r="BK33" s="14"/>
      <c r="BL33" s="15"/>
      <c r="BM33" s="16">
        <f t="shared" si="17"/>
        <v>0</v>
      </c>
      <c r="BN33" s="14"/>
      <c r="BO33" s="15"/>
      <c r="BP33" s="16">
        <f t="shared" si="31"/>
        <v>0</v>
      </c>
      <c r="BQ33" s="14"/>
      <c r="BR33" s="15"/>
      <c r="BS33" s="16">
        <f t="shared" si="18"/>
        <v>0</v>
      </c>
      <c r="BT33" s="14"/>
      <c r="BU33" s="15"/>
      <c r="BV33" s="16">
        <f t="shared" si="19"/>
        <v>0</v>
      </c>
      <c r="BW33" s="14"/>
      <c r="BX33" s="15"/>
      <c r="BY33" s="16">
        <f t="shared" si="20"/>
        <v>0</v>
      </c>
      <c r="BZ33" s="14"/>
      <c r="CA33" s="15"/>
      <c r="CB33" s="16">
        <f t="shared" si="21"/>
        <v>0</v>
      </c>
      <c r="CC33" s="14"/>
      <c r="CD33" s="15"/>
      <c r="CE33" s="16">
        <f t="shared" si="32"/>
        <v>0</v>
      </c>
      <c r="CF33" s="14"/>
      <c r="CG33" s="15"/>
      <c r="CH33" s="16">
        <f t="shared" si="22"/>
        <v>0</v>
      </c>
      <c r="CI33" s="14"/>
      <c r="CJ33" s="15"/>
      <c r="CK33" s="16">
        <f t="shared" si="23"/>
        <v>0</v>
      </c>
      <c r="CL33" s="14"/>
      <c r="CM33" s="15"/>
      <c r="CN33" s="16">
        <f t="shared" si="24"/>
        <v>0</v>
      </c>
      <c r="CO33" s="14"/>
      <c r="CP33" s="15"/>
      <c r="CQ33" s="16">
        <f t="shared" si="25"/>
        <v>0</v>
      </c>
      <c r="CR33" s="14"/>
      <c r="CS33" s="15"/>
      <c r="CT33" s="16">
        <f t="shared" si="26"/>
        <v>0</v>
      </c>
      <c r="CU33" s="17">
        <f t="shared" si="27"/>
        <v>0</v>
      </c>
      <c r="CV33" s="16">
        <f t="shared" si="28"/>
        <v>0</v>
      </c>
      <c r="CW33" s="16">
        <f t="shared" si="29"/>
        <v>0</v>
      </c>
    </row>
    <row r="34" spans="1:101" ht="15.75" customHeight="1" x14ac:dyDescent="0.35">
      <c r="A34" s="41" t="s">
        <v>944</v>
      </c>
      <c r="B34" s="41" t="s">
        <v>837</v>
      </c>
      <c r="C34" s="42"/>
      <c r="D34" s="43"/>
      <c r="E34" s="78">
        <f t="shared" si="0"/>
        <v>0</v>
      </c>
      <c r="F34" s="14"/>
      <c r="G34" s="15"/>
      <c r="H34" s="16">
        <f t="shared" si="1"/>
        <v>0</v>
      </c>
      <c r="I34" s="14"/>
      <c r="J34" s="15"/>
      <c r="K34" s="16">
        <f t="shared" si="36"/>
        <v>0</v>
      </c>
      <c r="L34" s="14"/>
      <c r="M34" s="15"/>
      <c r="N34" s="16">
        <f t="shared" si="34"/>
        <v>0</v>
      </c>
      <c r="O34" s="14"/>
      <c r="P34" s="15"/>
      <c r="Q34" s="16">
        <f>IFERROR(O34*P34, 0)</f>
        <v>0</v>
      </c>
      <c r="R34" s="14"/>
      <c r="S34" s="15"/>
      <c r="T34" s="16">
        <f t="shared" si="4"/>
        <v>0</v>
      </c>
      <c r="U34" s="14"/>
      <c r="V34" s="15"/>
      <c r="W34" s="16">
        <f t="shared" si="5"/>
        <v>0</v>
      </c>
      <c r="X34" s="14"/>
      <c r="Y34" s="15"/>
      <c r="Z34" s="16">
        <f t="shared" si="6"/>
        <v>0</v>
      </c>
      <c r="AA34" s="14"/>
      <c r="AB34" s="15"/>
      <c r="AC34" s="16">
        <f t="shared" si="7"/>
        <v>0</v>
      </c>
      <c r="AD34" s="14"/>
      <c r="AE34" s="15"/>
      <c r="AF34" s="16">
        <f t="shared" si="8"/>
        <v>0</v>
      </c>
      <c r="AG34" s="14"/>
      <c r="AH34" s="15"/>
      <c r="AI34" s="16">
        <f t="shared" si="9"/>
        <v>0</v>
      </c>
      <c r="AJ34" s="14"/>
      <c r="AK34" s="15"/>
      <c r="AL34" s="16">
        <f t="shared" si="40"/>
        <v>0</v>
      </c>
      <c r="AM34" s="14"/>
      <c r="AN34" s="15"/>
      <c r="AO34" s="16">
        <f t="shared" si="10"/>
        <v>0</v>
      </c>
      <c r="AP34" s="14"/>
      <c r="AQ34" s="15"/>
      <c r="AR34" s="16">
        <f t="shared" si="11"/>
        <v>0</v>
      </c>
      <c r="AS34" s="14"/>
      <c r="AT34" s="15"/>
      <c r="AU34" s="16">
        <f t="shared" si="39"/>
        <v>0</v>
      </c>
      <c r="AV34" s="14"/>
      <c r="AW34" s="15"/>
      <c r="AX34" s="16">
        <f t="shared" si="13"/>
        <v>0</v>
      </c>
      <c r="AY34" s="14"/>
      <c r="AZ34" s="15"/>
      <c r="BA34" s="16">
        <f t="shared" si="38"/>
        <v>0</v>
      </c>
      <c r="BB34" s="14"/>
      <c r="BC34" s="15"/>
      <c r="BD34" s="16">
        <f t="shared" si="35"/>
        <v>0</v>
      </c>
      <c r="BE34" s="14"/>
      <c r="BF34" s="15"/>
      <c r="BG34" s="16">
        <f t="shared" si="37"/>
        <v>0</v>
      </c>
      <c r="BH34" s="14"/>
      <c r="BI34" s="15"/>
      <c r="BJ34" s="16">
        <f t="shared" si="16"/>
        <v>0</v>
      </c>
      <c r="BK34" s="14"/>
      <c r="BL34" s="15"/>
      <c r="BM34" s="16">
        <f t="shared" si="17"/>
        <v>0</v>
      </c>
      <c r="BN34" s="14"/>
      <c r="BO34" s="15"/>
      <c r="BP34" s="16">
        <f t="shared" si="31"/>
        <v>0</v>
      </c>
      <c r="BQ34" s="14"/>
      <c r="BR34" s="15"/>
      <c r="BS34" s="16">
        <f t="shared" si="18"/>
        <v>0</v>
      </c>
      <c r="BT34" s="14"/>
      <c r="BU34" s="15"/>
      <c r="BV34" s="16">
        <f t="shared" si="19"/>
        <v>0</v>
      </c>
      <c r="BW34" s="14"/>
      <c r="BX34" s="15"/>
      <c r="BY34" s="16">
        <f t="shared" si="20"/>
        <v>0</v>
      </c>
      <c r="BZ34" s="14"/>
      <c r="CA34" s="15"/>
      <c r="CB34" s="16">
        <f t="shared" si="21"/>
        <v>0</v>
      </c>
      <c r="CC34" s="14"/>
      <c r="CD34" s="15"/>
      <c r="CE34" s="16">
        <f t="shared" si="32"/>
        <v>0</v>
      </c>
      <c r="CF34" s="14"/>
      <c r="CG34" s="15"/>
      <c r="CH34" s="16">
        <f t="shared" si="22"/>
        <v>0</v>
      </c>
      <c r="CI34" s="14"/>
      <c r="CJ34" s="15"/>
      <c r="CK34" s="16">
        <f t="shared" si="23"/>
        <v>0</v>
      </c>
      <c r="CL34" s="14"/>
      <c r="CM34" s="15"/>
      <c r="CN34" s="16">
        <f t="shared" si="24"/>
        <v>0</v>
      </c>
      <c r="CO34" s="14"/>
      <c r="CP34" s="15"/>
      <c r="CQ34" s="16">
        <f t="shared" si="25"/>
        <v>0</v>
      </c>
      <c r="CR34" s="14"/>
      <c r="CS34" s="15"/>
      <c r="CT34" s="16">
        <f t="shared" si="26"/>
        <v>0</v>
      </c>
      <c r="CU34" s="17">
        <f t="shared" si="27"/>
        <v>0</v>
      </c>
      <c r="CV34" s="16">
        <f t="shared" si="28"/>
        <v>0</v>
      </c>
      <c r="CW34" s="16">
        <f t="shared" si="29"/>
        <v>0</v>
      </c>
    </row>
    <row r="35" spans="1:101" ht="15.75" customHeight="1" x14ac:dyDescent="0.35">
      <c r="A35" s="41" t="s">
        <v>64</v>
      </c>
      <c r="B35" s="41" t="s">
        <v>837</v>
      </c>
      <c r="C35" s="42"/>
      <c r="D35" s="43"/>
      <c r="E35" s="78">
        <f t="shared" ref="E35:E55" si="41">IFERROR(C35*D35, 0)</f>
        <v>0</v>
      </c>
      <c r="F35" s="14">
        <v>50</v>
      </c>
      <c r="G35" s="15">
        <v>4180</v>
      </c>
      <c r="H35" s="16">
        <v>209000</v>
      </c>
      <c r="I35" s="14"/>
      <c r="J35" s="15"/>
      <c r="K35" s="16">
        <f t="shared" si="36"/>
        <v>0</v>
      </c>
      <c r="L35" s="14"/>
      <c r="M35" s="15"/>
      <c r="N35" s="16">
        <f t="shared" si="34"/>
        <v>0</v>
      </c>
      <c r="O35" s="14"/>
      <c r="P35" s="15"/>
      <c r="Q35" s="16">
        <f>IFERROR(O35*P35, 0)</f>
        <v>0</v>
      </c>
      <c r="R35" s="14"/>
      <c r="S35" s="15"/>
      <c r="T35" s="16">
        <f t="shared" ref="T35:T55" si="42">IFERROR(R35*S35, 0)</f>
        <v>0</v>
      </c>
      <c r="U35" s="14"/>
      <c r="V35" s="15"/>
      <c r="W35" s="16">
        <f t="shared" ref="W35:W55" si="43">IFERROR(U35*V35, 0)</f>
        <v>0</v>
      </c>
      <c r="X35" s="14"/>
      <c r="Y35" s="15"/>
      <c r="Z35" s="16">
        <f t="shared" si="6"/>
        <v>0</v>
      </c>
      <c r="AA35" s="14">
        <v>40</v>
      </c>
      <c r="AB35" s="15">
        <v>4180</v>
      </c>
      <c r="AC35" s="16">
        <v>167200</v>
      </c>
      <c r="AD35" s="14"/>
      <c r="AE35" s="15"/>
      <c r="AF35" s="16">
        <f t="shared" si="8"/>
        <v>0</v>
      </c>
      <c r="AG35" s="14"/>
      <c r="AH35" s="15"/>
      <c r="AI35" s="16">
        <f t="shared" si="9"/>
        <v>0</v>
      </c>
      <c r="AJ35" s="14"/>
      <c r="AK35" s="15"/>
      <c r="AL35" s="16">
        <f t="shared" si="40"/>
        <v>0</v>
      </c>
      <c r="AM35" s="14"/>
      <c r="AN35" s="15"/>
      <c r="AO35" s="16">
        <f t="shared" ref="AO35:AO55" si="44">IFERROR(AM35*AN35, 0)</f>
        <v>0</v>
      </c>
      <c r="AP35" s="14"/>
      <c r="AQ35" s="15"/>
      <c r="AR35" s="16">
        <f t="shared" si="11"/>
        <v>0</v>
      </c>
      <c r="AS35" s="14"/>
      <c r="AT35" s="15"/>
      <c r="AU35" s="16">
        <f t="shared" si="39"/>
        <v>0</v>
      </c>
      <c r="AV35" s="14"/>
      <c r="AW35" s="15"/>
      <c r="AX35" s="16">
        <f t="shared" ref="AX35:AX54" si="45">IFERROR(AV35*AW35, 0)</f>
        <v>0</v>
      </c>
      <c r="AY35" s="14"/>
      <c r="AZ35" s="15"/>
      <c r="BA35" s="16">
        <f t="shared" si="38"/>
        <v>0</v>
      </c>
      <c r="BB35" s="14"/>
      <c r="BC35" s="15"/>
      <c r="BD35" s="16">
        <f t="shared" si="35"/>
        <v>0</v>
      </c>
      <c r="BE35" s="14"/>
      <c r="BF35" s="15"/>
      <c r="BG35" s="16">
        <f t="shared" si="37"/>
        <v>0</v>
      </c>
      <c r="BH35" s="14"/>
      <c r="BI35" s="15"/>
      <c r="BJ35" s="16">
        <f t="shared" ref="BJ35:BJ52" si="46">IFERROR(BH35*BI35, 0)</f>
        <v>0</v>
      </c>
      <c r="BK35" s="14"/>
      <c r="BL35" s="15"/>
      <c r="BM35" s="16">
        <f t="shared" si="17"/>
        <v>0</v>
      </c>
      <c r="BN35" s="14">
        <v>60</v>
      </c>
      <c r="BO35" s="15">
        <v>4180</v>
      </c>
      <c r="BP35" s="16">
        <v>250800</v>
      </c>
      <c r="BQ35" s="14">
        <v>60</v>
      </c>
      <c r="BR35" s="15">
        <v>4180</v>
      </c>
      <c r="BS35" s="16">
        <v>250800</v>
      </c>
      <c r="BT35" s="14"/>
      <c r="BU35" s="15"/>
      <c r="BV35" s="16">
        <f t="shared" ref="BV35:BV55" si="47">IFERROR(BT35*BU35, 0)</f>
        <v>0</v>
      </c>
      <c r="BW35" s="14"/>
      <c r="BX35" s="15"/>
      <c r="BY35" s="16">
        <f t="shared" si="20"/>
        <v>0</v>
      </c>
      <c r="BZ35" s="14"/>
      <c r="CA35" s="15"/>
      <c r="CB35" s="16">
        <f t="shared" ref="CB35:CB55" si="48">IFERROR(BZ35*CA35, 0)</f>
        <v>0</v>
      </c>
      <c r="CC35" s="14"/>
      <c r="CD35" s="15"/>
      <c r="CE35" s="16">
        <f t="shared" si="32"/>
        <v>0</v>
      </c>
      <c r="CF35" s="14"/>
      <c r="CG35" s="15"/>
      <c r="CH35" s="16">
        <f t="shared" ref="CH35:CH55" si="49">IFERROR(CF35*CG35, 0)</f>
        <v>0</v>
      </c>
      <c r="CI35" s="14"/>
      <c r="CJ35" s="15"/>
      <c r="CK35" s="16">
        <f t="shared" ref="CK35:CK55" si="50">IFERROR(CI35*CJ35, 0)</f>
        <v>0</v>
      </c>
      <c r="CL35" s="14"/>
      <c r="CM35" s="15"/>
      <c r="CN35" s="16">
        <f t="shared" ref="CN35:CN55" si="51">IFERROR(CL35*CM35, 0)</f>
        <v>0</v>
      </c>
      <c r="CO35" s="14"/>
      <c r="CP35" s="15"/>
      <c r="CQ35" s="16">
        <f t="shared" ref="CQ35:CQ55" si="52">IFERROR(CO35*CP35, 0)</f>
        <v>0</v>
      </c>
      <c r="CR35" s="14"/>
      <c r="CS35" s="15"/>
      <c r="CT35" s="16">
        <f t="shared" ref="CT35:CT55" si="53">IFERROR(CR35*CS35, 0)</f>
        <v>0</v>
      </c>
      <c r="CU35" s="17">
        <f t="shared" ref="CU35:CU55" si="54">IFERROR(SUM(F35,I35,L35,O35,R35,U35,X35,AA35,AD35,AG35,AJ35,AM35,AP35,AS35,AV35,AY35,BB35,BE35,BH35,BK35,BN35,BQ35,BT35,BW35,BZ35,CC35,CF35,CI35,CL35,CO35,CR35), 0)</f>
        <v>210</v>
      </c>
      <c r="CV35" s="16">
        <f t="shared" ref="CV35:CV55" si="55">IFERROR(AVERAGE(G35,J35,M35,P35,S35,V35,Y35,AB35,AE35,AH35,AK35,AN35,AQ35,AT35,AW35,AZ35,BC35,BF35,BI35,BL35,BO35,BR35,BU35,BX35,CA35,CD35,CG35,CJ35,CM35,CP35,CS35), 0)</f>
        <v>4180</v>
      </c>
      <c r="CW35" s="16">
        <f t="shared" ref="CW35:CW55" si="56">CU35*CV35</f>
        <v>877800</v>
      </c>
    </row>
    <row r="36" spans="1:101" ht="15.75" customHeight="1" x14ac:dyDescent="0.35">
      <c r="A36" s="41" t="s">
        <v>219</v>
      </c>
      <c r="B36" s="41" t="s">
        <v>837</v>
      </c>
      <c r="C36" s="42"/>
      <c r="D36" s="43"/>
      <c r="E36" s="78">
        <f t="shared" si="41"/>
        <v>0</v>
      </c>
      <c r="F36" s="14"/>
      <c r="G36" s="15"/>
      <c r="H36" s="16">
        <f t="shared" ref="H36:H44" si="57">IFERROR(F36*G36, 0)</f>
        <v>0</v>
      </c>
      <c r="I36" s="14"/>
      <c r="J36" s="15"/>
      <c r="K36" s="16">
        <f t="shared" si="36"/>
        <v>0</v>
      </c>
      <c r="L36" s="14"/>
      <c r="M36" s="15"/>
      <c r="N36" s="16">
        <f t="shared" si="34"/>
        <v>0</v>
      </c>
      <c r="O36" s="14">
        <v>1</v>
      </c>
      <c r="P36" s="15">
        <v>70000</v>
      </c>
      <c r="Q36" s="16">
        <v>70000</v>
      </c>
      <c r="R36" s="14"/>
      <c r="S36" s="15"/>
      <c r="T36" s="16">
        <f t="shared" si="42"/>
        <v>0</v>
      </c>
      <c r="U36" s="14"/>
      <c r="V36" s="15"/>
      <c r="W36" s="16">
        <f t="shared" si="43"/>
        <v>0</v>
      </c>
      <c r="X36" s="14"/>
      <c r="Y36" s="15"/>
      <c r="Z36" s="16">
        <f t="shared" si="6"/>
        <v>0</v>
      </c>
      <c r="AA36" s="14"/>
      <c r="AB36" s="15"/>
      <c r="AC36" s="16">
        <f t="shared" ref="AC36:AC45" si="58">IFERROR(AA36*AB36, 0)</f>
        <v>0</v>
      </c>
      <c r="AD36" s="14"/>
      <c r="AE36" s="15"/>
      <c r="AF36" s="16">
        <f t="shared" si="8"/>
        <v>0</v>
      </c>
      <c r="AG36" s="14"/>
      <c r="AH36" s="15"/>
      <c r="AI36" s="16">
        <f t="shared" si="9"/>
        <v>0</v>
      </c>
      <c r="AJ36" s="14"/>
      <c r="AK36" s="15"/>
      <c r="AL36" s="16">
        <f t="shared" si="40"/>
        <v>0</v>
      </c>
      <c r="AM36" s="14"/>
      <c r="AN36" s="15"/>
      <c r="AO36" s="16">
        <f t="shared" si="44"/>
        <v>0</v>
      </c>
      <c r="AP36" s="14"/>
      <c r="AQ36" s="15"/>
      <c r="AR36" s="16">
        <f t="shared" si="11"/>
        <v>0</v>
      </c>
      <c r="AS36" s="14"/>
      <c r="AT36" s="15"/>
      <c r="AU36" s="16">
        <f t="shared" si="39"/>
        <v>0</v>
      </c>
      <c r="AV36" s="14"/>
      <c r="AW36" s="15"/>
      <c r="AX36" s="16">
        <f t="shared" si="45"/>
        <v>0</v>
      </c>
      <c r="AY36" s="14"/>
      <c r="AZ36" s="15"/>
      <c r="BA36" s="16">
        <f t="shared" si="38"/>
        <v>0</v>
      </c>
      <c r="BB36" s="14"/>
      <c r="BC36" s="15"/>
      <c r="BD36" s="16">
        <f t="shared" si="35"/>
        <v>0</v>
      </c>
      <c r="BE36" s="14">
        <v>1</v>
      </c>
      <c r="BF36" s="15">
        <v>4900</v>
      </c>
      <c r="BG36" s="16">
        <v>4900</v>
      </c>
      <c r="BH36" s="14"/>
      <c r="BI36" s="15"/>
      <c r="BJ36" s="16">
        <f t="shared" si="46"/>
        <v>0</v>
      </c>
      <c r="BK36" s="14"/>
      <c r="BL36" s="15"/>
      <c r="BM36" s="16">
        <f t="shared" si="17"/>
        <v>0</v>
      </c>
      <c r="BN36" s="14"/>
      <c r="BO36" s="15"/>
      <c r="BP36" s="16">
        <f t="shared" ref="BP36:BP55" si="59">IFERROR(BN36*BO36, 0)</f>
        <v>0</v>
      </c>
      <c r="BQ36" s="14"/>
      <c r="BR36" s="15"/>
      <c r="BS36" s="16">
        <f t="shared" ref="BS36:BS55" si="60">IFERROR(BQ36*BR36, 0)</f>
        <v>0</v>
      </c>
      <c r="BT36" s="14"/>
      <c r="BU36" s="15"/>
      <c r="BV36" s="16">
        <f t="shared" si="47"/>
        <v>0</v>
      </c>
      <c r="BW36" s="14"/>
      <c r="BX36" s="15"/>
      <c r="BY36" s="16">
        <f t="shared" si="20"/>
        <v>0</v>
      </c>
      <c r="BZ36" s="14"/>
      <c r="CA36" s="15"/>
      <c r="CB36" s="16">
        <f t="shared" si="48"/>
        <v>0</v>
      </c>
      <c r="CC36" s="14"/>
      <c r="CD36" s="15"/>
      <c r="CE36" s="16">
        <f t="shared" si="32"/>
        <v>0</v>
      </c>
      <c r="CF36" s="14"/>
      <c r="CG36" s="15"/>
      <c r="CH36" s="16">
        <f t="shared" si="49"/>
        <v>0</v>
      </c>
      <c r="CI36" s="14"/>
      <c r="CJ36" s="15"/>
      <c r="CK36" s="16">
        <f t="shared" si="50"/>
        <v>0</v>
      </c>
      <c r="CL36" s="14"/>
      <c r="CM36" s="15"/>
      <c r="CN36" s="16">
        <f t="shared" si="51"/>
        <v>0</v>
      </c>
      <c r="CO36" s="14"/>
      <c r="CP36" s="15"/>
      <c r="CQ36" s="16">
        <f t="shared" si="52"/>
        <v>0</v>
      </c>
      <c r="CR36" s="14"/>
      <c r="CS36" s="15"/>
      <c r="CT36" s="16">
        <f t="shared" si="53"/>
        <v>0</v>
      </c>
      <c r="CU36" s="17">
        <f t="shared" si="54"/>
        <v>2</v>
      </c>
      <c r="CV36" s="16">
        <f t="shared" si="55"/>
        <v>37450</v>
      </c>
      <c r="CW36" s="16">
        <f t="shared" si="56"/>
        <v>74900</v>
      </c>
    </row>
    <row r="37" spans="1:101" ht="15.75" customHeight="1" x14ac:dyDescent="0.35">
      <c r="A37" s="41" t="s">
        <v>945</v>
      </c>
      <c r="B37" s="41" t="s">
        <v>837</v>
      </c>
      <c r="C37" s="42"/>
      <c r="D37" s="43"/>
      <c r="E37" s="78">
        <f t="shared" si="41"/>
        <v>0</v>
      </c>
      <c r="F37" s="14"/>
      <c r="G37" s="15"/>
      <c r="H37" s="16">
        <f t="shared" si="57"/>
        <v>0</v>
      </c>
      <c r="I37" s="14"/>
      <c r="J37" s="15"/>
      <c r="K37" s="16">
        <f t="shared" si="36"/>
        <v>0</v>
      </c>
      <c r="L37" s="14"/>
      <c r="M37" s="15"/>
      <c r="N37" s="16">
        <f t="shared" si="34"/>
        <v>0</v>
      </c>
      <c r="O37" s="14"/>
      <c r="P37" s="15"/>
      <c r="Q37" s="16">
        <f t="shared" ref="Q37:Q54" si="61">IFERROR(O37*P37, 0)</f>
        <v>0</v>
      </c>
      <c r="R37" s="14"/>
      <c r="S37" s="15"/>
      <c r="T37" s="16">
        <f t="shared" si="42"/>
        <v>0</v>
      </c>
      <c r="U37" s="14"/>
      <c r="V37" s="15"/>
      <c r="W37" s="16">
        <f t="shared" si="43"/>
        <v>0</v>
      </c>
      <c r="X37" s="14"/>
      <c r="Y37" s="15"/>
      <c r="Z37" s="16">
        <f t="shared" si="6"/>
        <v>0</v>
      </c>
      <c r="AA37" s="14"/>
      <c r="AB37" s="15"/>
      <c r="AC37" s="16">
        <f t="shared" si="58"/>
        <v>0</v>
      </c>
      <c r="AD37" s="14"/>
      <c r="AE37" s="15"/>
      <c r="AF37" s="16">
        <f t="shared" si="8"/>
        <v>0</v>
      </c>
      <c r="AG37" s="14"/>
      <c r="AH37" s="15"/>
      <c r="AI37" s="16">
        <f t="shared" si="9"/>
        <v>0</v>
      </c>
      <c r="AJ37" s="14"/>
      <c r="AK37" s="15"/>
      <c r="AL37" s="16">
        <f t="shared" si="40"/>
        <v>0</v>
      </c>
      <c r="AM37" s="14"/>
      <c r="AN37" s="15"/>
      <c r="AO37" s="16">
        <f t="shared" si="44"/>
        <v>0</v>
      </c>
      <c r="AP37" s="14"/>
      <c r="AQ37" s="15"/>
      <c r="AR37" s="16">
        <f t="shared" si="11"/>
        <v>0</v>
      </c>
      <c r="AS37" s="14"/>
      <c r="AT37" s="15"/>
      <c r="AU37" s="16">
        <f t="shared" si="39"/>
        <v>0</v>
      </c>
      <c r="AV37" s="14"/>
      <c r="AW37" s="15"/>
      <c r="AX37" s="16">
        <f t="shared" si="45"/>
        <v>0</v>
      </c>
      <c r="AY37" s="14"/>
      <c r="AZ37" s="15"/>
      <c r="BA37" s="16">
        <f t="shared" si="38"/>
        <v>0</v>
      </c>
      <c r="BB37" s="14"/>
      <c r="BC37" s="15"/>
      <c r="BD37" s="16">
        <f t="shared" si="35"/>
        <v>0</v>
      </c>
      <c r="BE37" s="14"/>
      <c r="BF37" s="15"/>
      <c r="BG37" s="16">
        <f t="shared" ref="BG37:BG54" si="62">IFERROR(BE37*BF37, 0)</f>
        <v>0</v>
      </c>
      <c r="BH37" s="14"/>
      <c r="BI37" s="15"/>
      <c r="BJ37" s="16">
        <f t="shared" si="46"/>
        <v>0</v>
      </c>
      <c r="BK37" s="14"/>
      <c r="BL37" s="15"/>
      <c r="BM37" s="16">
        <f t="shared" si="17"/>
        <v>0</v>
      </c>
      <c r="BN37" s="14"/>
      <c r="BO37" s="15"/>
      <c r="BP37" s="16">
        <f t="shared" si="59"/>
        <v>0</v>
      </c>
      <c r="BQ37" s="14"/>
      <c r="BR37" s="15"/>
      <c r="BS37" s="16">
        <f t="shared" si="60"/>
        <v>0</v>
      </c>
      <c r="BT37" s="14"/>
      <c r="BU37" s="15"/>
      <c r="BV37" s="16">
        <f t="shared" si="47"/>
        <v>0</v>
      </c>
      <c r="BW37" s="14"/>
      <c r="BX37" s="15"/>
      <c r="BY37" s="16">
        <f t="shared" si="20"/>
        <v>0</v>
      </c>
      <c r="BZ37" s="14"/>
      <c r="CA37" s="15"/>
      <c r="CB37" s="16">
        <f t="shared" si="48"/>
        <v>0</v>
      </c>
      <c r="CC37" s="14"/>
      <c r="CD37" s="15"/>
      <c r="CE37" s="16">
        <f t="shared" si="32"/>
        <v>0</v>
      </c>
      <c r="CF37" s="14"/>
      <c r="CG37" s="15"/>
      <c r="CH37" s="16">
        <f t="shared" si="49"/>
        <v>0</v>
      </c>
      <c r="CI37" s="14"/>
      <c r="CJ37" s="15"/>
      <c r="CK37" s="16">
        <f t="shared" si="50"/>
        <v>0</v>
      </c>
      <c r="CL37" s="14"/>
      <c r="CM37" s="15"/>
      <c r="CN37" s="16">
        <f t="shared" si="51"/>
        <v>0</v>
      </c>
      <c r="CO37" s="14"/>
      <c r="CP37" s="15"/>
      <c r="CQ37" s="16">
        <f t="shared" si="52"/>
        <v>0</v>
      </c>
      <c r="CR37" s="14"/>
      <c r="CS37" s="15"/>
      <c r="CT37" s="16">
        <f t="shared" si="53"/>
        <v>0</v>
      </c>
      <c r="CU37" s="17">
        <f t="shared" si="54"/>
        <v>0</v>
      </c>
      <c r="CV37" s="16">
        <f t="shared" si="55"/>
        <v>0</v>
      </c>
      <c r="CW37" s="16">
        <f t="shared" si="56"/>
        <v>0</v>
      </c>
    </row>
    <row r="38" spans="1:101" ht="15.75" customHeight="1" x14ac:dyDescent="0.35">
      <c r="A38" s="41" t="s">
        <v>408</v>
      </c>
      <c r="B38" s="41" t="s">
        <v>837</v>
      </c>
      <c r="C38" s="42"/>
      <c r="D38" s="43"/>
      <c r="E38" s="78">
        <f t="shared" si="41"/>
        <v>0</v>
      </c>
      <c r="F38" s="14"/>
      <c r="G38" s="15"/>
      <c r="H38" s="16">
        <f t="shared" si="57"/>
        <v>0</v>
      </c>
      <c r="I38" s="14"/>
      <c r="J38" s="15"/>
      <c r="K38" s="16">
        <f t="shared" si="36"/>
        <v>0</v>
      </c>
      <c r="L38" s="14"/>
      <c r="M38" s="15"/>
      <c r="N38" s="16">
        <f t="shared" si="34"/>
        <v>0</v>
      </c>
      <c r="O38" s="14"/>
      <c r="P38" s="15"/>
      <c r="Q38" s="16">
        <f t="shared" si="61"/>
        <v>0</v>
      </c>
      <c r="R38" s="14"/>
      <c r="S38" s="15"/>
      <c r="T38" s="16">
        <f t="shared" si="42"/>
        <v>0</v>
      </c>
      <c r="U38" s="14"/>
      <c r="V38" s="15"/>
      <c r="W38" s="16">
        <f t="shared" si="43"/>
        <v>0</v>
      </c>
      <c r="X38" s="14"/>
      <c r="Y38" s="15"/>
      <c r="Z38" s="16">
        <f t="shared" si="6"/>
        <v>0</v>
      </c>
      <c r="AA38" s="14"/>
      <c r="AB38" s="15"/>
      <c r="AC38" s="16">
        <f t="shared" si="58"/>
        <v>0</v>
      </c>
      <c r="AD38" s="14"/>
      <c r="AE38" s="15"/>
      <c r="AF38" s="16">
        <f t="shared" si="8"/>
        <v>0</v>
      </c>
      <c r="AG38" s="14">
        <v>2</v>
      </c>
      <c r="AH38" s="15">
        <v>7200</v>
      </c>
      <c r="AI38" s="16">
        <v>14400</v>
      </c>
      <c r="AJ38" s="14"/>
      <c r="AK38" s="15"/>
      <c r="AL38" s="16">
        <f t="shared" si="40"/>
        <v>0</v>
      </c>
      <c r="AM38" s="14"/>
      <c r="AN38" s="15"/>
      <c r="AO38" s="16">
        <f t="shared" si="44"/>
        <v>0</v>
      </c>
      <c r="AP38" s="14"/>
      <c r="AQ38" s="15"/>
      <c r="AR38" s="16">
        <f t="shared" si="11"/>
        <v>0</v>
      </c>
      <c r="AS38" s="14"/>
      <c r="AT38" s="15"/>
      <c r="AU38" s="16">
        <f t="shared" si="39"/>
        <v>0</v>
      </c>
      <c r="AV38" s="14"/>
      <c r="AW38" s="15"/>
      <c r="AX38" s="16">
        <f t="shared" si="45"/>
        <v>0</v>
      </c>
      <c r="AY38" s="14"/>
      <c r="AZ38" s="15"/>
      <c r="BA38" s="16">
        <f t="shared" si="38"/>
        <v>0</v>
      </c>
      <c r="BB38" s="14"/>
      <c r="BC38" s="15"/>
      <c r="BD38" s="16">
        <f t="shared" si="35"/>
        <v>0</v>
      </c>
      <c r="BE38" s="14"/>
      <c r="BF38" s="15"/>
      <c r="BG38" s="16">
        <f t="shared" si="62"/>
        <v>0</v>
      </c>
      <c r="BH38" s="14"/>
      <c r="BI38" s="15"/>
      <c r="BJ38" s="16">
        <f t="shared" si="46"/>
        <v>0</v>
      </c>
      <c r="BK38" s="14"/>
      <c r="BL38" s="15"/>
      <c r="BM38" s="16">
        <f t="shared" si="17"/>
        <v>0</v>
      </c>
      <c r="BN38" s="14"/>
      <c r="BO38" s="15"/>
      <c r="BP38" s="16">
        <f t="shared" si="59"/>
        <v>0</v>
      </c>
      <c r="BQ38" s="14"/>
      <c r="BR38" s="15"/>
      <c r="BS38" s="16">
        <f t="shared" si="60"/>
        <v>0</v>
      </c>
      <c r="BT38" s="14"/>
      <c r="BU38" s="15"/>
      <c r="BV38" s="16">
        <f t="shared" si="47"/>
        <v>0</v>
      </c>
      <c r="BW38" s="14"/>
      <c r="BX38" s="15"/>
      <c r="BY38" s="16">
        <f t="shared" si="20"/>
        <v>0</v>
      </c>
      <c r="BZ38" s="14"/>
      <c r="CA38" s="15"/>
      <c r="CB38" s="16">
        <f t="shared" si="48"/>
        <v>0</v>
      </c>
      <c r="CC38" s="14"/>
      <c r="CD38" s="15"/>
      <c r="CE38" s="16">
        <f t="shared" si="32"/>
        <v>0</v>
      </c>
      <c r="CF38" s="14"/>
      <c r="CG38" s="15"/>
      <c r="CH38" s="16">
        <f t="shared" si="49"/>
        <v>0</v>
      </c>
      <c r="CI38" s="14"/>
      <c r="CJ38" s="15"/>
      <c r="CK38" s="16">
        <f t="shared" si="50"/>
        <v>0</v>
      </c>
      <c r="CL38" s="14"/>
      <c r="CM38" s="15"/>
      <c r="CN38" s="16">
        <f t="shared" si="51"/>
        <v>0</v>
      </c>
      <c r="CO38" s="14"/>
      <c r="CP38" s="15"/>
      <c r="CQ38" s="16">
        <f t="shared" si="52"/>
        <v>0</v>
      </c>
      <c r="CR38" s="14"/>
      <c r="CS38" s="15"/>
      <c r="CT38" s="16">
        <f t="shared" si="53"/>
        <v>0</v>
      </c>
      <c r="CU38" s="17">
        <f t="shared" si="54"/>
        <v>2</v>
      </c>
      <c r="CV38" s="16">
        <f t="shared" si="55"/>
        <v>7200</v>
      </c>
      <c r="CW38" s="16">
        <f t="shared" si="56"/>
        <v>14400</v>
      </c>
    </row>
    <row r="39" spans="1:101" ht="15.75" customHeight="1" x14ac:dyDescent="0.35">
      <c r="A39" s="41" t="s">
        <v>610</v>
      </c>
      <c r="B39" s="41" t="s">
        <v>837</v>
      </c>
      <c r="C39" s="42"/>
      <c r="D39" s="43"/>
      <c r="E39" s="78">
        <f t="shared" si="41"/>
        <v>0</v>
      </c>
      <c r="F39" s="14"/>
      <c r="G39" s="15"/>
      <c r="H39" s="16">
        <f t="shared" si="57"/>
        <v>0</v>
      </c>
      <c r="I39" s="14"/>
      <c r="J39" s="15"/>
      <c r="K39" s="16">
        <f t="shared" si="36"/>
        <v>0</v>
      </c>
      <c r="L39" s="14"/>
      <c r="M39" s="15"/>
      <c r="N39" s="16">
        <f t="shared" si="34"/>
        <v>0</v>
      </c>
      <c r="O39" s="14"/>
      <c r="P39" s="15"/>
      <c r="Q39" s="16">
        <f t="shared" si="61"/>
        <v>0</v>
      </c>
      <c r="R39" s="14"/>
      <c r="S39" s="15"/>
      <c r="T39" s="16">
        <f t="shared" si="42"/>
        <v>0</v>
      </c>
      <c r="U39" s="14"/>
      <c r="V39" s="15"/>
      <c r="W39" s="16">
        <f t="shared" si="43"/>
        <v>0</v>
      </c>
      <c r="X39" s="14"/>
      <c r="Y39" s="15"/>
      <c r="Z39" s="16">
        <f t="shared" si="6"/>
        <v>0</v>
      </c>
      <c r="AA39" s="14"/>
      <c r="AB39" s="15"/>
      <c r="AC39" s="16">
        <f t="shared" si="58"/>
        <v>0</v>
      </c>
      <c r="AD39" s="14"/>
      <c r="AE39" s="15"/>
      <c r="AF39" s="16">
        <f t="shared" si="8"/>
        <v>0</v>
      </c>
      <c r="AG39" s="14"/>
      <c r="AH39" s="15"/>
      <c r="AI39" s="16">
        <f t="shared" ref="AI39:AI55" si="63">IFERROR(AG39*AH39, 0)</f>
        <v>0</v>
      </c>
      <c r="AJ39" s="14"/>
      <c r="AK39" s="15"/>
      <c r="AL39" s="16">
        <f t="shared" si="40"/>
        <v>0</v>
      </c>
      <c r="AM39" s="14"/>
      <c r="AN39" s="15"/>
      <c r="AO39" s="16">
        <f t="shared" si="44"/>
        <v>0</v>
      </c>
      <c r="AP39" s="14"/>
      <c r="AQ39" s="15"/>
      <c r="AR39" s="16">
        <f t="shared" si="11"/>
        <v>0</v>
      </c>
      <c r="AS39" s="14"/>
      <c r="AT39" s="15"/>
      <c r="AU39" s="16">
        <f t="shared" si="39"/>
        <v>0</v>
      </c>
      <c r="AV39" s="14"/>
      <c r="AW39" s="15"/>
      <c r="AX39" s="16">
        <f t="shared" si="45"/>
        <v>0</v>
      </c>
      <c r="AY39" s="14"/>
      <c r="AZ39" s="15"/>
      <c r="BA39" s="16">
        <f t="shared" si="38"/>
        <v>0</v>
      </c>
      <c r="BB39" s="14"/>
      <c r="BC39" s="15"/>
      <c r="BD39" s="16">
        <f t="shared" si="35"/>
        <v>0</v>
      </c>
      <c r="BE39" s="14"/>
      <c r="BF39" s="15"/>
      <c r="BG39" s="16">
        <f t="shared" si="62"/>
        <v>0</v>
      </c>
      <c r="BH39" s="14"/>
      <c r="BI39" s="15"/>
      <c r="BJ39" s="16">
        <f t="shared" si="46"/>
        <v>0</v>
      </c>
      <c r="BK39" s="14">
        <v>5</v>
      </c>
      <c r="BL39" s="15">
        <v>45000</v>
      </c>
      <c r="BM39" s="16">
        <v>225000</v>
      </c>
      <c r="BN39" s="14"/>
      <c r="BO39" s="15"/>
      <c r="BP39" s="16">
        <f t="shared" si="59"/>
        <v>0</v>
      </c>
      <c r="BQ39" s="14"/>
      <c r="BR39" s="15"/>
      <c r="BS39" s="16">
        <f t="shared" si="60"/>
        <v>0</v>
      </c>
      <c r="BT39" s="14"/>
      <c r="BU39" s="15"/>
      <c r="BV39" s="16">
        <f t="shared" si="47"/>
        <v>0</v>
      </c>
      <c r="BW39" s="14"/>
      <c r="BX39" s="15"/>
      <c r="BY39" s="16">
        <f t="shared" si="20"/>
        <v>0</v>
      </c>
      <c r="BZ39" s="14"/>
      <c r="CA39" s="15"/>
      <c r="CB39" s="16">
        <f t="shared" si="48"/>
        <v>0</v>
      </c>
      <c r="CC39" s="14"/>
      <c r="CD39" s="15"/>
      <c r="CE39" s="16">
        <f t="shared" si="32"/>
        <v>0</v>
      </c>
      <c r="CF39" s="14"/>
      <c r="CG39" s="15"/>
      <c r="CH39" s="16">
        <f t="shared" si="49"/>
        <v>0</v>
      </c>
      <c r="CI39" s="14"/>
      <c r="CJ39" s="15"/>
      <c r="CK39" s="16">
        <f t="shared" si="50"/>
        <v>0</v>
      </c>
      <c r="CL39" s="14"/>
      <c r="CM39" s="15"/>
      <c r="CN39" s="16">
        <f t="shared" si="51"/>
        <v>0</v>
      </c>
      <c r="CO39" s="14"/>
      <c r="CP39" s="15"/>
      <c r="CQ39" s="16">
        <f t="shared" si="52"/>
        <v>0</v>
      </c>
      <c r="CR39" s="14"/>
      <c r="CS39" s="15"/>
      <c r="CT39" s="16">
        <f t="shared" si="53"/>
        <v>0</v>
      </c>
      <c r="CU39" s="17">
        <f t="shared" si="54"/>
        <v>5</v>
      </c>
      <c r="CV39" s="16">
        <f t="shared" si="55"/>
        <v>45000</v>
      </c>
      <c r="CW39" s="16">
        <f t="shared" si="56"/>
        <v>225000</v>
      </c>
    </row>
    <row r="40" spans="1:101" ht="16.5" customHeight="1" x14ac:dyDescent="0.35">
      <c r="A40" s="41" t="s">
        <v>946</v>
      </c>
      <c r="B40" s="41" t="s">
        <v>935</v>
      </c>
      <c r="C40" s="42"/>
      <c r="D40" s="43"/>
      <c r="E40" s="78">
        <f t="shared" si="41"/>
        <v>0</v>
      </c>
      <c r="F40" s="14"/>
      <c r="G40" s="15"/>
      <c r="H40" s="16">
        <f t="shared" si="57"/>
        <v>0</v>
      </c>
      <c r="I40" s="14"/>
      <c r="J40" s="15"/>
      <c r="K40" s="16">
        <f t="shared" si="36"/>
        <v>0</v>
      </c>
      <c r="L40" s="14"/>
      <c r="M40" s="15"/>
      <c r="N40" s="16">
        <f t="shared" si="34"/>
        <v>0</v>
      </c>
      <c r="O40" s="14"/>
      <c r="P40" s="15"/>
      <c r="Q40" s="16">
        <f t="shared" si="61"/>
        <v>0</v>
      </c>
      <c r="R40" s="14"/>
      <c r="S40" s="15"/>
      <c r="T40" s="16">
        <f t="shared" si="42"/>
        <v>0</v>
      </c>
      <c r="U40" s="14"/>
      <c r="V40" s="15"/>
      <c r="W40" s="16">
        <f t="shared" si="43"/>
        <v>0</v>
      </c>
      <c r="X40" s="14"/>
      <c r="Y40" s="15"/>
      <c r="Z40" s="16">
        <f t="shared" si="6"/>
        <v>0</v>
      </c>
      <c r="AA40" s="14"/>
      <c r="AB40" s="15"/>
      <c r="AC40" s="16">
        <f t="shared" si="58"/>
        <v>0</v>
      </c>
      <c r="AD40" s="14"/>
      <c r="AE40" s="15"/>
      <c r="AF40" s="16">
        <f t="shared" si="8"/>
        <v>0</v>
      </c>
      <c r="AG40" s="14"/>
      <c r="AH40" s="15"/>
      <c r="AI40" s="16">
        <f t="shared" si="63"/>
        <v>0</v>
      </c>
      <c r="AJ40" s="14"/>
      <c r="AK40" s="15"/>
      <c r="AL40" s="16">
        <f t="shared" si="40"/>
        <v>0</v>
      </c>
      <c r="AM40" s="14"/>
      <c r="AN40" s="15"/>
      <c r="AO40" s="16">
        <f t="shared" si="44"/>
        <v>0</v>
      </c>
      <c r="AP40" s="14"/>
      <c r="AQ40" s="15"/>
      <c r="AR40" s="16">
        <f t="shared" si="11"/>
        <v>0</v>
      </c>
      <c r="AS40" s="14"/>
      <c r="AT40" s="15"/>
      <c r="AU40" s="16">
        <f t="shared" si="39"/>
        <v>0</v>
      </c>
      <c r="AV40" s="14"/>
      <c r="AW40" s="15"/>
      <c r="AX40" s="16">
        <f t="shared" si="45"/>
        <v>0</v>
      </c>
      <c r="AY40" s="14"/>
      <c r="AZ40" s="15"/>
      <c r="BA40" s="16">
        <f t="shared" si="38"/>
        <v>0</v>
      </c>
      <c r="BB40" s="14"/>
      <c r="BC40" s="15"/>
      <c r="BD40" s="16">
        <f t="shared" si="35"/>
        <v>0</v>
      </c>
      <c r="BE40" s="14"/>
      <c r="BF40" s="15"/>
      <c r="BG40" s="16">
        <f t="shared" si="62"/>
        <v>0</v>
      </c>
      <c r="BH40" s="14"/>
      <c r="BI40" s="15"/>
      <c r="BJ40" s="16">
        <f t="shared" si="46"/>
        <v>0</v>
      </c>
      <c r="BK40" s="14"/>
      <c r="BL40" s="15"/>
      <c r="BM40" s="16">
        <f t="shared" ref="BM40:BM54" si="64">IFERROR(BK40*BL40, 0)</f>
        <v>0</v>
      </c>
      <c r="BN40" s="14"/>
      <c r="BO40" s="15"/>
      <c r="BP40" s="16">
        <f t="shared" si="59"/>
        <v>0</v>
      </c>
      <c r="BQ40" s="14"/>
      <c r="BR40" s="15"/>
      <c r="BS40" s="16">
        <f t="shared" si="60"/>
        <v>0</v>
      </c>
      <c r="BT40" s="14"/>
      <c r="BU40" s="15"/>
      <c r="BV40" s="16">
        <f t="shared" si="47"/>
        <v>0</v>
      </c>
      <c r="BW40" s="14"/>
      <c r="BX40" s="15"/>
      <c r="BY40" s="16">
        <f t="shared" si="20"/>
        <v>0</v>
      </c>
      <c r="BZ40" s="14"/>
      <c r="CA40" s="15"/>
      <c r="CB40" s="16">
        <f t="shared" si="48"/>
        <v>0</v>
      </c>
      <c r="CC40" s="14"/>
      <c r="CD40" s="15"/>
      <c r="CE40" s="16">
        <f t="shared" si="32"/>
        <v>0</v>
      </c>
      <c r="CF40" s="14"/>
      <c r="CG40" s="15"/>
      <c r="CH40" s="16">
        <f t="shared" si="49"/>
        <v>0</v>
      </c>
      <c r="CI40" s="14"/>
      <c r="CJ40" s="15"/>
      <c r="CK40" s="16">
        <f t="shared" si="50"/>
        <v>0</v>
      </c>
      <c r="CL40" s="14"/>
      <c r="CM40" s="15"/>
      <c r="CN40" s="16">
        <f t="shared" si="51"/>
        <v>0</v>
      </c>
      <c r="CO40" s="14"/>
      <c r="CP40" s="15"/>
      <c r="CQ40" s="16">
        <f t="shared" si="52"/>
        <v>0</v>
      </c>
      <c r="CR40" s="14"/>
      <c r="CS40" s="15"/>
      <c r="CT40" s="16">
        <f t="shared" si="53"/>
        <v>0</v>
      </c>
      <c r="CU40" s="17">
        <f t="shared" si="54"/>
        <v>0</v>
      </c>
      <c r="CV40" s="16">
        <f t="shared" si="55"/>
        <v>0</v>
      </c>
      <c r="CW40" s="16">
        <f t="shared" si="56"/>
        <v>0</v>
      </c>
    </row>
    <row r="41" spans="1:101" ht="15.75" customHeight="1" x14ac:dyDescent="0.35">
      <c r="A41" s="41" t="s">
        <v>545</v>
      </c>
      <c r="B41" s="41" t="s">
        <v>846</v>
      </c>
      <c r="C41" s="19"/>
      <c r="D41" s="20"/>
      <c r="E41" s="78">
        <f t="shared" si="41"/>
        <v>0</v>
      </c>
      <c r="F41" s="14"/>
      <c r="G41" s="15"/>
      <c r="H41" s="16">
        <f t="shared" si="57"/>
        <v>0</v>
      </c>
      <c r="I41" s="14"/>
      <c r="J41" s="15"/>
      <c r="K41" s="16">
        <f t="shared" si="36"/>
        <v>0</v>
      </c>
      <c r="L41" s="14"/>
      <c r="M41" s="15"/>
      <c r="N41" s="16">
        <f t="shared" si="34"/>
        <v>0</v>
      </c>
      <c r="O41" s="14"/>
      <c r="P41" s="15"/>
      <c r="Q41" s="16">
        <f t="shared" si="61"/>
        <v>0</v>
      </c>
      <c r="R41" s="14"/>
      <c r="S41" s="15"/>
      <c r="T41" s="16">
        <f t="shared" si="42"/>
        <v>0</v>
      </c>
      <c r="U41" s="14"/>
      <c r="V41" s="15"/>
      <c r="W41" s="16">
        <f t="shared" si="43"/>
        <v>0</v>
      </c>
      <c r="X41" s="14"/>
      <c r="Y41" s="15"/>
      <c r="Z41" s="16">
        <f t="shared" si="6"/>
        <v>0</v>
      </c>
      <c r="AA41" s="14"/>
      <c r="AB41" s="15"/>
      <c r="AC41" s="16">
        <f t="shared" si="58"/>
        <v>0</v>
      </c>
      <c r="AD41" s="14"/>
      <c r="AE41" s="15"/>
      <c r="AF41" s="16">
        <f t="shared" si="8"/>
        <v>0</v>
      </c>
      <c r="AG41" s="14"/>
      <c r="AH41" s="15"/>
      <c r="AI41" s="16">
        <f t="shared" si="63"/>
        <v>0</v>
      </c>
      <c r="AJ41" s="14"/>
      <c r="AK41" s="15"/>
      <c r="AL41" s="16">
        <f t="shared" si="40"/>
        <v>0</v>
      </c>
      <c r="AM41" s="14"/>
      <c r="AN41" s="15"/>
      <c r="AO41" s="16">
        <f t="shared" si="44"/>
        <v>0</v>
      </c>
      <c r="AP41" s="14"/>
      <c r="AQ41" s="15"/>
      <c r="AR41" s="16">
        <f t="shared" si="11"/>
        <v>0</v>
      </c>
      <c r="AS41" s="14"/>
      <c r="AT41" s="15"/>
      <c r="AU41" s="16">
        <f t="shared" si="39"/>
        <v>0</v>
      </c>
      <c r="AV41" s="14"/>
      <c r="AW41" s="15"/>
      <c r="AX41" s="16">
        <f t="shared" si="45"/>
        <v>0</v>
      </c>
      <c r="AY41" s="14">
        <v>1</v>
      </c>
      <c r="AZ41" s="15">
        <v>3650</v>
      </c>
      <c r="BA41" s="16">
        <v>3650</v>
      </c>
      <c r="BB41" s="14"/>
      <c r="BC41" s="15"/>
      <c r="BD41" s="16">
        <f t="shared" si="35"/>
        <v>0</v>
      </c>
      <c r="BE41" s="14"/>
      <c r="BF41" s="15"/>
      <c r="BG41" s="16">
        <f t="shared" si="62"/>
        <v>0</v>
      </c>
      <c r="BH41" s="14"/>
      <c r="BI41" s="15"/>
      <c r="BJ41" s="16">
        <f t="shared" si="46"/>
        <v>0</v>
      </c>
      <c r="BK41" s="14"/>
      <c r="BL41" s="15"/>
      <c r="BM41" s="16">
        <f t="shared" si="64"/>
        <v>0</v>
      </c>
      <c r="BN41" s="14"/>
      <c r="BO41" s="15"/>
      <c r="BP41" s="16">
        <f t="shared" si="59"/>
        <v>0</v>
      </c>
      <c r="BQ41" s="14"/>
      <c r="BR41" s="15"/>
      <c r="BS41" s="16">
        <f t="shared" si="60"/>
        <v>0</v>
      </c>
      <c r="BT41" s="14"/>
      <c r="BU41" s="15"/>
      <c r="BV41" s="16">
        <f t="shared" si="47"/>
        <v>0</v>
      </c>
      <c r="BW41" s="14"/>
      <c r="BX41" s="15"/>
      <c r="BY41" s="16">
        <f t="shared" si="20"/>
        <v>0</v>
      </c>
      <c r="BZ41" s="14"/>
      <c r="CA41" s="15"/>
      <c r="CB41" s="16">
        <f t="shared" si="48"/>
        <v>0</v>
      </c>
      <c r="CC41" s="14"/>
      <c r="CD41" s="15"/>
      <c r="CE41" s="16">
        <f t="shared" si="32"/>
        <v>0</v>
      </c>
      <c r="CF41" s="14"/>
      <c r="CG41" s="15"/>
      <c r="CH41" s="16">
        <f t="shared" si="49"/>
        <v>0</v>
      </c>
      <c r="CI41" s="14"/>
      <c r="CJ41" s="15"/>
      <c r="CK41" s="16">
        <f t="shared" si="50"/>
        <v>0</v>
      </c>
      <c r="CL41" s="14"/>
      <c r="CM41" s="15"/>
      <c r="CN41" s="16">
        <f t="shared" si="51"/>
        <v>0</v>
      </c>
      <c r="CO41" s="14"/>
      <c r="CP41" s="15"/>
      <c r="CQ41" s="16">
        <f t="shared" si="52"/>
        <v>0</v>
      </c>
      <c r="CR41" s="14"/>
      <c r="CS41" s="15"/>
      <c r="CT41" s="16">
        <f t="shared" si="53"/>
        <v>0</v>
      </c>
      <c r="CU41" s="17">
        <f t="shared" si="54"/>
        <v>1</v>
      </c>
      <c r="CV41" s="16">
        <f t="shared" si="55"/>
        <v>3650</v>
      </c>
      <c r="CW41" s="16">
        <f t="shared" si="56"/>
        <v>3650</v>
      </c>
    </row>
    <row r="42" spans="1:101" ht="15.75" customHeight="1" x14ac:dyDescent="0.35">
      <c r="A42" s="41" t="s">
        <v>947</v>
      </c>
      <c r="B42" s="41" t="s">
        <v>846</v>
      </c>
      <c r="C42" s="19"/>
      <c r="D42" s="20"/>
      <c r="E42" s="78">
        <f t="shared" si="41"/>
        <v>0</v>
      </c>
      <c r="F42" s="14"/>
      <c r="G42" s="15"/>
      <c r="H42" s="16">
        <f t="shared" si="57"/>
        <v>0</v>
      </c>
      <c r="I42" s="14"/>
      <c r="J42" s="15"/>
      <c r="K42" s="16">
        <f t="shared" si="36"/>
        <v>0</v>
      </c>
      <c r="L42" s="14"/>
      <c r="M42" s="15"/>
      <c r="N42" s="16">
        <f t="shared" si="34"/>
        <v>0</v>
      </c>
      <c r="O42" s="14"/>
      <c r="P42" s="15"/>
      <c r="Q42" s="16">
        <f t="shared" si="61"/>
        <v>0</v>
      </c>
      <c r="R42" s="14"/>
      <c r="S42" s="15"/>
      <c r="T42" s="16">
        <f t="shared" si="42"/>
        <v>0</v>
      </c>
      <c r="U42" s="14"/>
      <c r="V42" s="15"/>
      <c r="W42" s="16">
        <f t="shared" si="43"/>
        <v>0</v>
      </c>
      <c r="X42" s="14"/>
      <c r="Y42" s="15"/>
      <c r="Z42" s="16">
        <f t="shared" si="6"/>
        <v>0</v>
      </c>
      <c r="AA42" s="14"/>
      <c r="AB42" s="15"/>
      <c r="AC42" s="16">
        <f t="shared" si="58"/>
        <v>0</v>
      </c>
      <c r="AD42" s="14"/>
      <c r="AE42" s="15"/>
      <c r="AF42" s="16">
        <f t="shared" si="8"/>
        <v>0</v>
      </c>
      <c r="AG42" s="14"/>
      <c r="AH42" s="15"/>
      <c r="AI42" s="16">
        <f t="shared" si="63"/>
        <v>0</v>
      </c>
      <c r="AJ42" s="14"/>
      <c r="AK42" s="15"/>
      <c r="AL42" s="16">
        <f t="shared" si="40"/>
        <v>0</v>
      </c>
      <c r="AM42" s="14"/>
      <c r="AN42" s="15"/>
      <c r="AO42" s="16">
        <f t="shared" si="44"/>
        <v>0</v>
      </c>
      <c r="AP42" s="14"/>
      <c r="AQ42" s="15"/>
      <c r="AR42" s="16">
        <f t="shared" si="11"/>
        <v>0</v>
      </c>
      <c r="AS42" s="14"/>
      <c r="AT42" s="15"/>
      <c r="AU42" s="16">
        <f t="shared" si="39"/>
        <v>0</v>
      </c>
      <c r="AV42" s="14"/>
      <c r="AW42" s="15"/>
      <c r="AX42" s="16">
        <f t="shared" si="45"/>
        <v>0</v>
      </c>
      <c r="AY42" s="14"/>
      <c r="AZ42" s="15"/>
      <c r="BA42" s="16">
        <f>IFERROR(AY42*AZ42, 0)</f>
        <v>0</v>
      </c>
      <c r="BB42" s="14"/>
      <c r="BC42" s="15"/>
      <c r="BD42" s="16">
        <f t="shared" si="35"/>
        <v>0</v>
      </c>
      <c r="BE42" s="14"/>
      <c r="BF42" s="15"/>
      <c r="BG42" s="16">
        <f t="shared" si="62"/>
        <v>0</v>
      </c>
      <c r="BH42" s="14"/>
      <c r="BI42" s="15"/>
      <c r="BJ42" s="16">
        <f t="shared" si="46"/>
        <v>0</v>
      </c>
      <c r="BK42" s="14"/>
      <c r="BL42" s="15"/>
      <c r="BM42" s="16">
        <f t="shared" si="64"/>
        <v>0</v>
      </c>
      <c r="BN42" s="14"/>
      <c r="BO42" s="15"/>
      <c r="BP42" s="16">
        <f t="shared" si="59"/>
        <v>0</v>
      </c>
      <c r="BQ42" s="14"/>
      <c r="BR42" s="15"/>
      <c r="BS42" s="16">
        <f t="shared" si="60"/>
        <v>0</v>
      </c>
      <c r="BT42" s="14"/>
      <c r="BU42" s="15"/>
      <c r="BV42" s="16">
        <f t="shared" si="47"/>
        <v>0</v>
      </c>
      <c r="BW42" s="14"/>
      <c r="BX42" s="15"/>
      <c r="BY42" s="16">
        <f t="shared" si="20"/>
        <v>0</v>
      </c>
      <c r="BZ42" s="14"/>
      <c r="CA42" s="15"/>
      <c r="CB42" s="16">
        <f t="shared" si="48"/>
        <v>0</v>
      </c>
      <c r="CC42" s="14"/>
      <c r="CD42" s="15"/>
      <c r="CE42" s="16">
        <f t="shared" si="32"/>
        <v>0</v>
      </c>
      <c r="CF42" s="14"/>
      <c r="CG42" s="15"/>
      <c r="CH42" s="16">
        <f t="shared" si="49"/>
        <v>0</v>
      </c>
      <c r="CI42" s="14"/>
      <c r="CJ42" s="15"/>
      <c r="CK42" s="16">
        <f t="shared" si="50"/>
        <v>0</v>
      </c>
      <c r="CL42" s="14"/>
      <c r="CM42" s="15"/>
      <c r="CN42" s="16">
        <f t="shared" si="51"/>
        <v>0</v>
      </c>
      <c r="CO42" s="14"/>
      <c r="CP42" s="15"/>
      <c r="CQ42" s="16">
        <f t="shared" si="52"/>
        <v>0</v>
      </c>
      <c r="CR42" s="14"/>
      <c r="CS42" s="15"/>
      <c r="CT42" s="16">
        <f t="shared" si="53"/>
        <v>0</v>
      </c>
      <c r="CU42" s="17">
        <f t="shared" si="54"/>
        <v>0</v>
      </c>
      <c r="CV42" s="16">
        <f t="shared" si="55"/>
        <v>0</v>
      </c>
      <c r="CW42" s="16">
        <f t="shared" si="56"/>
        <v>0</v>
      </c>
    </row>
    <row r="43" spans="1:101" ht="15.75" customHeight="1" x14ac:dyDescent="0.35">
      <c r="A43" s="21" t="s">
        <v>948</v>
      </c>
      <c r="B43" s="21" t="s">
        <v>846</v>
      </c>
      <c r="C43" s="44"/>
      <c r="D43" s="22"/>
      <c r="E43" s="78">
        <f t="shared" si="41"/>
        <v>0</v>
      </c>
      <c r="F43" s="14"/>
      <c r="G43" s="15"/>
      <c r="H43" s="16">
        <f t="shared" si="57"/>
        <v>0</v>
      </c>
      <c r="I43" s="14"/>
      <c r="J43" s="15"/>
      <c r="K43" s="16">
        <f t="shared" si="36"/>
        <v>0</v>
      </c>
      <c r="L43" s="14"/>
      <c r="M43" s="15"/>
      <c r="N43" s="16">
        <f t="shared" si="34"/>
        <v>0</v>
      </c>
      <c r="O43" s="14"/>
      <c r="P43" s="15"/>
      <c r="Q43" s="16">
        <f t="shared" si="61"/>
        <v>0</v>
      </c>
      <c r="R43" s="14"/>
      <c r="S43" s="15"/>
      <c r="T43" s="16">
        <f t="shared" si="42"/>
        <v>0</v>
      </c>
      <c r="U43" s="14"/>
      <c r="V43" s="15"/>
      <c r="W43" s="16">
        <f t="shared" si="43"/>
        <v>0</v>
      </c>
      <c r="X43" s="14"/>
      <c r="Y43" s="15"/>
      <c r="Z43" s="16">
        <f t="shared" si="6"/>
        <v>0</v>
      </c>
      <c r="AA43" s="14"/>
      <c r="AB43" s="15"/>
      <c r="AC43" s="16">
        <f t="shared" si="58"/>
        <v>0</v>
      </c>
      <c r="AD43" s="14"/>
      <c r="AE43" s="15"/>
      <c r="AF43" s="16">
        <f t="shared" si="8"/>
        <v>0</v>
      </c>
      <c r="AG43" s="14"/>
      <c r="AH43" s="15"/>
      <c r="AI43" s="16">
        <f t="shared" si="63"/>
        <v>0</v>
      </c>
      <c r="AJ43" s="14"/>
      <c r="AK43" s="15"/>
      <c r="AL43" s="16">
        <f t="shared" si="40"/>
        <v>0</v>
      </c>
      <c r="AM43" s="14"/>
      <c r="AN43" s="15"/>
      <c r="AO43" s="16">
        <f t="shared" si="44"/>
        <v>0</v>
      </c>
      <c r="AP43" s="14"/>
      <c r="AQ43" s="15"/>
      <c r="AR43" s="16">
        <f t="shared" si="11"/>
        <v>0</v>
      </c>
      <c r="AS43" s="14"/>
      <c r="AT43" s="15"/>
      <c r="AU43" s="16">
        <f t="shared" si="39"/>
        <v>0</v>
      </c>
      <c r="AV43" s="14"/>
      <c r="AW43" s="15"/>
      <c r="AX43" s="16">
        <f t="shared" si="45"/>
        <v>0</v>
      </c>
      <c r="AY43" s="14"/>
      <c r="AZ43" s="15"/>
      <c r="BA43" s="16">
        <f>IFERROR(AY43*AZ43, 0)</f>
        <v>0</v>
      </c>
      <c r="BB43" s="14"/>
      <c r="BC43" s="15"/>
      <c r="BD43" s="16">
        <f t="shared" si="35"/>
        <v>0</v>
      </c>
      <c r="BE43" s="14"/>
      <c r="BF43" s="15"/>
      <c r="BG43" s="16">
        <f t="shared" si="62"/>
        <v>0</v>
      </c>
      <c r="BH43" s="14"/>
      <c r="BI43" s="15"/>
      <c r="BJ43" s="16">
        <f t="shared" si="46"/>
        <v>0</v>
      </c>
      <c r="BK43" s="14"/>
      <c r="BL43" s="15"/>
      <c r="BM43" s="16">
        <f t="shared" si="64"/>
        <v>0</v>
      </c>
      <c r="BN43" s="14"/>
      <c r="BO43" s="15"/>
      <c r="BP43" s="16">
        <f t="shared" si="59"/>
        <v>0</v>
      </c>
      <c r="BQ43" s="14"/>
      <c r="BR43" s="15"/>
      <c r="BS43" s="16">
        <f t="shared" si="60"/>
        <v>0</v>
      </c>
      <c r="BT43" s="14"/>
      <c r="BU43" s="15"/>
      <c r="BV43" s="16">
        <f t="shared" si="47"/>
        <v>0</v>
      </c>
      <c r="BW43" s="14"/>
      <c r="BX43" s="15"/>
      <c r="BY43" s="16">
        <f t="shared" si="20"/>
        <v>0</v>
      </c>
      <c r="BZ43" s="14"/>
      <c r="CA43" s="15"/>
      <c r="CB43" s="16">
        <f t="shared" si="48"/>
        <v>0</v>
      </c>
      <c r="CC43" s="14"/>
      <c r="CD43" s="15"/>
      <c r="CE43" s="16">
        <f t="shared" si="32"/>
        <v>0</v>
      </c>
      <c r="CF43" s="14"/>
      <c r="CG43" s="15"/>
      <c r="CH43" s="16">
        <f t="shared" si="49"/>
        <v>0</v>
      </c>
      <c r="CI43" s="14"/>
      <c r="CJ43" s="15"/>
      <c r="CK43" s="16">
        <f t="shared" si="50"/>
        <v>0</v>
      </c>
      <c r="CL43" s="14"/>
      <c r="CM43" s="15"/>
      <c r="CN43" s="16">
        <f t="shared" si="51"/>
        <v>0</v>
      </c>
      <c r="CO43" s="14"/>
      <c r="CP43" s="15"/>
      <c r="CQ43" s="16">
        <f t="shared" si="52"/>
        <v>0</v>
      </c>
      <c r="CR43" s="14"/>
      <c r="CS43" s="15"/>
      <c r="CT43" s="16">
        <f t="shared" si="53"/>
        <v>0</v>
      </c>
      <c r="CU43" s="17">
        <f t="shared" si="54"/>
        <v>0</v>
      </c>
      <c r="CV43" s="16">
        <f t="shared" si="55"/>
        <v>0</v>
      </c>
      <c r="CW43" s="16">
        <f t="shared" si="56"/>
        <v>0</v>
      </c>
    </row>
    <row r="44" spans="1:101" ht="15.75" customHeight="1" x14ac:dyDescent="0.35">
      <c r="A44" s="21" t="s">
        <v>949</v>
      </c>
      <c r="B44" s="21" t="s">
        <v>846</v>
      </c>
      <c r="C44" s="21"/>
      <c r="D44" s="21"/>
      <c r="E44" s="78">
        <f t="shared" si="41"/>
        <v>0</v>
      </c>
      <c r="F44" s="14"/>
      <c r="G44" s="15"/>
      <c r="H44" s="16">
        <f t="shared" si="57"/>
        <v>0</v>
      </c>
      <c r="I44" s="14"/>
      <c r="J44" s="15"/>
      <c r="K44" s="16">
        <f t="shared" si="36"/>
        <v>0</v>
      </c>
      <c r="L44" s="14"/>
      <c r="M44" s="15"/>
      <c r="N44" s="16">
        <f t="shared" si="34"/>
        <v>0</v>
      </c>
      <c r="O44" s="14"/>
      <c r="P44" s="15"/>
      <c r="Q44" s="16">
        <f t="shared" si="61"/>
        <v>0</v>
      </c>
      <c r="R44" s="14"/>
      <c r="S44" s="15"/>
      <c r="T44" s="16">
        <f t="shared" si="42"/>
        <v>0</v>
      </c>
      <c r="U44" s="14"/>
      <c r="V44" s="15"/>
      <c r="W44" s="16">
        <f t="shared" si="43"/>
        <v>0</v>
      </c>
      <c r="X44" s="14"/>
      <c r="Y44" s="15"/>
      <c r="Z44" s="16">
        <f t="shared" si="6"/>
        <v>0</v>
      </c>
      <c r="AA44" s="14"/>
      <c r="AB44" s="15"/>
      <c r="AC44" s="16">
        <f t="shared" si="58"/>
        <v>0</v>
      </c>
      <c r="AD44" s="14"/>
      <c r="AE44" s="15"/>
      <c r="AF44" s="16">
        <f t="shared" si="8"/>
        <v>0</v>
      </c>
      <c r="AG44" s="14"/>
      <c r="AH44" s="15"/>
      <c r="AI44" s="16">
        <f t="shared" si="63"/>
        <v>0</v>
      </c>
      <c r="AJ44" s="14"/>
      <c r="AK44" s="15"/>
      <c r="AL44" s="16">
        <f t="shared" si="40"/>
        <v>0</v>
      </c>
      <c r="AM44" s="14"/>
      <c r="AN44" s="15"/>
      <c r="AO44" s="16">
        <f t="shared" si="44"/>
        <v>0</v>
      </c>
      <c r="AP44" s="14"/>
      <c r="AQ44" s="15"/>
      <c r="AR44" s="16">
        <f t="shared" si="11"/>
        <v>0</v>
      </c>
      <c r="AS44" s="14"/>
      <c r="AT44" s="15"/>
      <c r="AU44" s="16">
        <f t="shared" si="39"/>
        <v>0</v>
      </c>
      <c r="AV44" s="14"/>
      <c r="AW44" s="15"/>
      <c r="AX44" s="16">
        <f t="shared" si="45"/>
        <v>0</v>
      </c>
      <c r="AY44" s="14"/>
      <c r="AZ44" s="15"/>
      <c r="BA44" s="16">
        <f>IFERROR(AY44*AZ44, 0)</f>
        <v>0</v>
      </c>
      <c r="BB44" s="14"/>
      <c r="BC44" s="15"/>
      <c r="BD44" s="16">
        <f t="shared" si="35"/>
        <v>0</v>
      </c>
      <c r="BE44" s="14"/>
      <c r="BF44" s="15"/>
      <c r="BG44" s="16">
        <f t="shared" si="62"/>
        <v>0</v>
      </c>
      <c r="BH44" s="14"/>
      <c r="BI44" s="15"/>
      <c r="BJ44" s="16">
        <f t="shared" si="46"/>
        <v>0</v>
      </c>
      <c r="BK44" s="14"/>
      <c r="BL44" s="15"/>
      <c r="BM44" s="16">
        <f t="shared" si="64"/>
        <v>0</v>
      </c>
      <c r="BN44" s="14"/>
      <c r="BO44" s="15"/>
      <c r="BP44" s="16">
        <f t="shared" si="59"/>
        <v>0</v>
      </c>
      <c r="BQ44" s="14"/>
      <c r="BR44" s="15"/>
      <c r="BS44" s="16">
        <f t="shared" si="60"/>
        <v>0</v>
      </c>
      <c r="BT44" s="14"/>
      <c r="BU44" s="15"/>
      <c r="BV44" s="16">
        <f t="shared" si="47"/>
        <v>0</v>
      </c>
      <c r="BW44" s="14"/>
      <c r="BX44" s="15"/>
      <c r="BY44" s="16">
        <f t="shared" si="20"/>
        <v>0</v>
      </c>
      <c r="BZ44" s="14"/>
      <c r="CA44" s="15"/>
      <c r="CB44" s="16">
        <f t="shared" si="48"/>
        <v>0</v>
      </c>
      <c r="CC44" s="14"/>
      <c r="CD44" s="15"/>
      <c r="CE44" s="16">
        <f t="shared" si="32"/>
        <v>0</v>
      </c>
      <c r="CF44" s="14"/>
      <c r="CG44" s="15"/>
      <c r="CH44" s="16">
        <f t="shared" si="49"/>
        <v>0</v>
      </c>
      <c r="CI44" s="14"/>
      <c r="CJ44" s="15"/>
      <c r="CK44" s="16">
        <f t="shared" si="50"/>
        <v>0</v>
      </c>
      <c r="CL44" s="14"/>
      <c r="CM44" s="15"/>
      <c r="CN44" s="16">
        <f t="shared" si="51"/>
        <v>0</v>
      </c>
      <c r="CO44" s="14"/>
      <c r="CP44" s="15"/>
      <c r="CQ44" s="16">
        <f t="shared" si="52"/>
        <v>0</v>
      </c>
      <c r="CR44" s="14"/>
      <c r="CS44" s="15"/>
      <c r="CT44" s="16">
        <f t="shared" si="53"/>
        <v>0</v>
      </c>
      <c r="CU44" s="17">
        <f t="shared" si="54"/>
        <v>0</v>
      </c>
      <c r="CV44" s="16">
        <f t="shared" si="55"/>
        <v>0</v>
      </c>
      <c r="CW44" s="16">
        <f t="shared" si="56"/>
        <v>0</v>
      </c>
    </row>
    <row r="45" spans="1:101" ht="15.75" customHeight="1" x14ac:dyDescent="0.35">
      <c r="A45" s="21" t="s">
        <v>27</v>
      </c>
      <c r="B45" s="21" t="s">
        <v>846</v>
      </c>
      <c r="C45" s="21"/>
      <c r="D45" s="21"/>
      <c r="E45" s="78">
        <f t="shared" si="41"/>
        <v>0</v>
      </c>
      <c r="F45" s="14">
        <v>1</v>
      </c>
      <c r="G45" s="15">
        <v>13500</v>
      </c>
      <c r="H45" s="16">
        <v>13500</v>
      </c>
      <c r="I45" s="14"/>
      <c r="J45" s="15"/>
      <c r="K45" s="16">
        <f t="shared" si="36"/>
        <v>0</v>
      </c>
      <c r="L45" s="14"/>
      <c r="M45" s="15"/>
      <c r="N45" s="16">
        <f t="shared" si="34"/>
        <v>0</v>
      </c>
      <c r="O45" s="14"/>
      <c r="P45" s="15"/>
      <c r="Q45" s="16">
        <f t="shared" si="61"/>
        <v>0</v>
      </c>
      <c r="R45" s="14"/>
      <c r="S45" s="15"/>
      <c r="T45" s="16">
        <f t="shared" si="42"/>
        <v>0</v>
      </c>
      <c r="U45" s="14"/>
      <c r="V45" s="15"/>
      <c r="W45" s="16">
        <f t="shared" si="43"/>
        <v>0</v>
      </c>
      <c r="X45" s="14"/>
      <c r="Y45" s="15"/>
      <c r="Z45" s="16">
        <f t="shared" si="6"/>
        <v>0</v>
      </c>
      <c r="AA45" s="14"/>
      <c r="AB45" s="15"/>
      <c r="AC45" s="16">
        <f t="shared" si="58"/>
        <v>0</v>
      </c>
      <c r="AD45" s="14"/>
      <c r="AE45" s="15"/>
      <c r="AF45" s="16">
        <f t="shared" si="8"/>
        <v>0</v>
      </c>
      <c r="AG45" s="14"/>
      <c r="AH45" s="15"/>
      <c r="AI45" s="16">
        <f t="shared" si="63"/>
        <v>0</v>
      </c>
      <c r="AJ45" s="14"/>
      <c r="AK45" s="15"/>
      <c r="AL45" s="16">
        <f t="shared" si="40"/>
        <v>0</v>
      </c>
      <c r="AM45" s="14"/>
      <c r="AN45" s="15"/>
      <c r="AO45" s="16">
        <f t="shared" si="44"/>
        <v>0</v>
      </c>
      <c r="AP45" s="14">
        <v>1</v>
      </c>
      <c r="AQ45" s="15">
        <v>13500</v>
      </c>
      <c r="AR45" s="16">
        <v>13500</v>
      </c>
      <c r="AS45" s="14"/>
      <c r="AT45" s="15"/>
      <c r="AU45" s="16">
        <f t="shared" si="39"/>
        <v>0</v>
      </c>
      <c r="AV45" s="14"/>
      <c r="AW45" s="15"/>
      <c r="AX45" s="16">
        <f t="shared" si="45"/>
        <v>0</v>
      </c>
      <c r="AY45" s="14"/>
      <c r="AZ45" s="15"/>
      <c r="BA45" s="16">
        <f>IFERROR(AY45*AZ45, 0)</f>
        <v>0</v>
      </c>
      <c r="BB45" s="14"/>
      <c r="BC45" s="15"/>
      <c r="BD45" s="16">
        <f t="shared" si="35"/>
        <v>0</v>
      </c>
      <c r="BE45" s="14"/>
      <c r="BF45" s="15"/>
      <c r="BG45" s="16">
        <f t="shared" si="62"/>
        <v>0</v>
      </c>
      <c r="BH45" s="14"/>
      <c r="BI45" s="15"/>
      <c r="BJ45" s="16">
        <f t="shared" si="46"/>
        <v>0</v>
      </c>
      <c r="BK45" s="14"/>
      <c r="BL45" s="15"/>
      <c r="BM45" s="16">
        <f t="shared" si="64"/>
        <v>0</v>
      </c>
      <c r="BN45" s="14"/>
      <c r="BO45" s="15"/>
      <c r="BP45" s="16">
        <f t="shared" si="59"/>
        <v>0</v>
      </c>
      <c r="BQ45" s="14"/>
      <c r="BR45" s="15"/>
      <c r="BS45" s="16">
        <f t="shared" si="60"/>
        <v>0</v>
      </c>
      <c r="BT45" s="14"/>
      <c r="BU45" s="15"/>
      <c r="BV45" s="16">
        <f t="shared" si="47"/>
        <v>0</v>
      </c>
      <c r="BW45" s="14"/>
      <c r="BX45" s="15"/>
      <c r="BY45" s="16">
        <f t="shared" si="20"/>
        <v>0</v>
      </c>
      <c r="BZ45" s="14"/>
      <c r="CA45" s="15"/>
      <c r="CB45" s="16">
        <f t="shared" si="48"/>
        <v>0</v>
      </c>
      <c r="CC45" s="14"/>
      <c r="CD45" s="15"/>
      <c r="CE45" s="16">
        <f t="shared" si="32"/>
        <v>0</v>
      </c>
      <c r="CF45" s="14"/>
      <c r="CG45" s="15"/>
      <c r="CH45" s="16">
        <f t="shared" si="49"/>
        <v>0</v>
      </c>
      <c r="CI45" s="14"/>
      <c r="CJ45" s="15"/>
      <c r="CK45" s="16">
        <f t="shared" si="50"/>
        <v>0</v>
      </c>
      <c r="CL45" s="14"/>
      <c r="CM45" s="15"/>
      <c r="CN45" s="16">
        <f t="shared" si="51"/>
        <v>0</v>
      </c>
      <c r="CO45" s="14"/>
      <c r="CP45" s="15"/>
      <c r="CQ45" s="16">
        <f t="shared" si="52"/>
        <v>0</v>
      </c>
      <c r="CR45" s="14"/>
      <c r="CS45" s="15"/>
      <c r="CT45" s="16">
        <f t="shared" si="53"/>
        <v>0</v>
      </c>
      <c r="CU45" s="17">
        <f t="shared" si="54"/>
        <v>2</v>
      </c>
      <c r="CV45" s="16">
        <f t="shared" si="55"/>
        <v>13500</v>
      </c>
      <c r="CW45" s="16">
        <f t="shared" si="56"/>
        <v>27000</v>
      </c>
    </row>
    <row r="46" spans="1:101" ht="15.75" customHeight="1" x14ac:dyDescent="0.35">
      <c r="A46" s="21" t="s">
        <v>22</v>
      </c>
      <c r="B46" s="21" t="s">
        <v>846</v>
      </c>
      <c r="C46" s="21"/>
      <c r="D46" s="21"/>
      <c r="E46" s="78">
        <f t="shared" si="41"/>
        <v>0</v>
      </c>
      <c r="F46" s="14">
        <v>6</v>
      </c>
      <c r="G46" s="15">
        <v>1912</v>
      </c>
      <c r="H46" s="16">
        <v>11472</v>
      </c>
      <c r="I46" s="14"/>
      <c r="J46" s="15"/>
      <c r="K46" s="16">
        <f t="shared" si="36"/>
        <v>0</v>
      </c>
      <c r="L46" s="14"/>
      <c r="M46" s="15"/>
      <c r="N46" s="16">
        <f t="shared" si="34"/>
        <v>0</v>
      </c>
      <c r="O46" s="14"/>
      <c r="P46" s="15"/>
      <c r="Q46" s="16">
        <f t="shared" si="61"/>
        <v>0</v>
      </c>
      <c r="R46" s="14"/>
      <c r="S46" s="15"/>
      <c r="T46" s="16">
        <f t="shared" si="42"/>
        <v>0</v>
      </c>
      <c r="U46" s="14"/>
      <c r="V46" s="15"/>
      <c r="W46" s="16">
        <f t="shared" si="43"/>
        <v>0</v>
      </c>
      <c r="X46" s="14">
        <v>1</v>
      </c>
      <c r="Y46" s="15">
        <v>6600</v>
      </c>
      <c r="Z46" s="16">
        <v>6600</v>
      </c>
      <c r="AA46" s="14">
        <v>1</v>
      </c>
      <c r="AB46" s="15">
        <v>6600</v>
      </c>
      <c r="AC46" s="16">
        <v>6600</v>
      </c>
      <c r="AD46" s="14">
        <v>1</v>
      </c>
      <c r="AE46" s="15">
        <v>6600</v>
      </c>
      <c r="AF46" s="16">
        <v>6600</v>
      </c>
      <c r="AG46" s="14"/>
      <c r="AH46" s="15"/>
      <c r="AI46" s="16">
        <f t="shared" si="63"/>
        <v>0</v>
      </c>
      <c r="AJ46" s="14"/>
      <c r="AK46" s="15"/>
      <c r="AL46" s="16">
        <f t="shared" si="40"/>
        <v>0</v>
      </c>
      <c r="AM46" s="14"/>
      <c r="AN46" s="15"/>
      <c r="AO46" s="16">
        <f t="shared" si="44"/>
        <v>0</v>
      </c>
      <c r="AP46" s="14"/>
      <c r="AQ46" s="15"/>
      <c r="AR46" s="16">
        <f t="shared" ref="AR46:AR55" si="65">IFERROR(AP46*AQ46, 0)</f>
        <v>0</v>
      </c>
      <c r="AS46" s="14"/>
      <c r="AT46" s="15"/>
      <c r="AU46" s="16">
        <f t="shared" si="39"/>
        <v>0</v>
      </c>
      <c r="AV46" s="14"/>
      <c r="AW46" s="15"/>
      <c r="AX46" s="16">
        <f t="shared" si="45"/>
        <v>0</v>
      </c>
      <c r="AY46" s="14">
        <v>7</v>
      </c>
      <c r="AZ46" s="15">
        <v>1912</v>
      </c>
      <c r="BA46" s="16">
        <v>13384</v>
      </c>
      <c r="BB46" s="14"/>
      <c r="BC46" s="15"/>
      <c r="BD46" s="16">
        <f t="shared" si="35"/>
        <v>0</v>
      </c>
      <c r="BE46" s="14"/>
      <c r="BF46" s="15"/>
      <c r="BG46" s="16">
        <f t="shared" si="62"/>
        <v>0</v>
      </c>
      <c r="BH46" s="14"/>
      <c r="BI46" s="15"/>
      <c r="BJ46" s="16">
        <f t="shared" si="46"/>
        <v>0</v>
      </c>
      <c r="BK46" s="14"/>
      <c r="BL46" s="15"/>
      <c r="BM46" s="16">
        <f t="shared" si="64"/>
        <v>0</v>
      </c>
      <c r="BN46" s="14"/>
      <c r="BO46" s="15"/>
      <c r="BP46" s="16">
        <f t="shared" si="59"/>
        <v>0</v>
      </c>
      <c r="BQ46" s="14"/>
      <c r="BR46" s="15"/>
      <c r="BS46" s="16">
        <f t="shared" si="60"/>
        <v>0</v>
      </c>
      <c r="BT46" s="14"/>
      <c r="BU46" s="15"/>
      <c r="BV46" s="16">
        <f t="shared" si="47"/>
        <v>0</v>
      </c>
      <c r="BW46" s="14"/>
      <c r="BX46" s="15"/>
      <c r="BY46" s="16">
        <f t="shared" si="20"/>
        <v>0</v>
      </c>
      <c r="BZ46" s="14"/>
      <c r="CA46" s="15"/>
      <c r="CB46" s="16">
        <f t="shared" si="48"/>
        <v>0</v>
      </c>
      <c r="CC46" s="14"/>
      <c r="CD46" s="15"/>
      <c r="CE46" s="16">
        <f t="shared" si="32"/>
        <v>0</v>
      </c>
      <c r="CF46" s="14"/>
      <c r="CG46" s="15"/>
      <c r="CH46" s="16">
        <f t="shared" si="49"/>
        <v>0</v>
      </c>
      <c r="CI46" s="14"/>
      <c r="CJ46" s="15"/>
      <c r="CK46" s="16">
        <f t="shared" si="50"/>
        <v>0</v>
      </c>
      <c r="CL46" s="14"/>
      <c r="CM46" s="15"/>
      <c r="CN46" s="16">
        <f t="shared" si="51"/>
        <v>0</v>
      </c>
      <c r="CO46" s="14"/>
      <c r="CP46" s="15"/>
      <c r="CQ46" s="16">
        <f t="shared" si="52"/>
        <v>0</v>
      </c>
      <c r="CR46" s="14"/>
      <c r="CS46" s="15"/>
      <c r="CT46" s="16">
        <f t="shared" si="53"/>
        <v>0</v>
      </c>
      <c r="CU46" s="17">
        <f t="shared" si="54"/>
        <v>16</v>
      </c>
      <c r="CV46" s="16">
        <f t="shared" si="55"/>
        <v>4724.8</v>
      </c>
      <c r="CW46" s="16">
        <f t="shared" si="56"/>
        <v>75596.800000000003</v>
      </c>
    </row>
    <row r="47" spans="1:101" ht="15.75" customHeight="1" x14ac:dyDescent="0.35">
      <c r="A47" s="21" t="s">
        <v>950</v>
      </c>
      <c r="B47" s="21" t="s">
        <v>846</v>
      </c>
      <c r="C47" s="21"/>
      <c r="D47" s="21"/>
      <c r="E47" s="78">
        <f t="shared" si="41"/>
        <v>0</v>
      </c>
      <c r="F47" s="14"/>
      <c r="G47" s="15"/>
      <c r="H47" s="16">
        <f t="shared" ref="H47:H55" si="66">IFERROR(F47*G47, 0)</f>
        <v>0</v>
      </c>
      <c r="I47" s="14"/>
      <c r="J47" s="15"/>
      <c r="K47" s="16">
        <f t="shared" si="36"/>
        <v>0</v>
      </c>
      <c r="L47" s="14"/>
      <c r="M47" s="15"/>
      <c r="N47" s="16">
        <f t="shared" si="34"/>
        <v>0</v>
      </c>
      <c r="O47" s="14"/>
      <c r="P47" s="15"/>
      <c r="Q47" s="16">
        <f t="shared" si="61"/>
        <v>0</v>
      </c>
      <c r="R47" s="14"/>
      <c r="S47" s="15"/>
      <c r="T47" s="16">
        <f t="shared" si="42"/>
        <v>0</v>
      </c>
      <c r="U47" s="14"/>
      <c r="V47" s="15"/>
      <c r="W47" s="16">
        <f t="shared" si="43"/>
        <v>0</v>
      </c>
      <c r="X47" s="14"/>
      <c r="Y47" s="15"/>
      <c r="Z47" s="16">
        <f t="shared" ref="Z47:Z55" si="67">IFERROR(X47*Y47, 0)</f>
        <v>0</v>
      </c>
      <c r="AA47" s="14"/>
      <c r="AB47" s="15"/>
      <c r="AC47" s="16">
        <f t="shared" ref="AC47:AC55" si="68">IFERROR(AA47*AB47, 0)</f>
        <v>0</v>
      </c>
      <c r="AD47" s="14"/>
      <c r="AE47" s="15"/>
      <c r="AF47" s="16">
        <f t="shared" ref="AF47:AF55" si="69">IFERROR(AD47*AE47, 0)</f>
        <v>0</v>
      </c>
      <c r="AG47" s="14"/>
      <c r="AH47" s="15"/>
      <c r="AI47" s="16">
        <f t="shared" si="63"/>
        <v>0</v>
      </c>
      <c r="AJ47" s="14"/>
      <c r="AK47" s="15"/>
      <c r="AL47" s="16">
        <f t="shared" si="40"/>
        <v>0</v>
      </c>
      <c r="AM47" s="14"/>
      <c r="AN47" s="15"/>
      <c r="AO47" s="16">
        <f t="shared" si="44"/>
        <v>0</v>
      </c>
      <c r="AP47" s="14"/>
      <c r="AQ47" s="15"/>
      <c r="AR47" s="16">
        <f t="shared" si="65"/>
        <v>0</v>
      </c>
      <c r="AS47" s="14"/>
      <c r="AT47" s="15"/>
      <c r="AU47" s="16">
        <f t="shared" si="39"/>
        <v>0</v>
      </c>
      <c r="AV47" s="14"/>
      <c r="AW47" s="15"/>
      <c r="AX47" s="16">
        <f t="shared" si="45"/>
        <v>0</v>
      </c>
      <c r="AY47" s="14"/>
      <c r="AZ47" s="15"/>
      <c r="BA47" s="16">
        <f t="shared" ref="BA47:BA54" si="70">IFERROR(AY47*AZ47, 0)</f>
        <v>0</v>
      </c>
      <c r="BB47" s="14"/>
      <c r="BC47" s="15"/>
      <c r="BD47" s="16">
        <f t="shared" si="35"/>
        <v>0</v>
      </c>
      <c r="BE47" s="14"/>
      <c r="BF47" s="15"/>
      <c r="BG47" s="16">
        <f t="shared" si="62"/>
        <v>0</v>
      </c>
      <c r="BH47" s="14"/>
      <c r="BI47" s="15"/>
      <c r="BJ47" s="16">
        <f t="shared" si="46"/>
        <v>0</v>
      </c>
      <c r="BK47" s="14"/>
      <c r="BL47" s="15"/>
      <c r="BM47" s="16">
        <f t="shared" si="64"/>
        <v>0</v>
      </c>
      <c r="BN47" s="14"/>
      <c r="BO47" s="15"/>
      <c r="BP47" s="16">
        <f t="shared" si="59"/>
        <v>0</v>
      </c>
      <c r="BQ47" s="14"/>
      <c r="BR47" s="15"/>
      <c r="BS47" s="16">
        <f t="shared" si="60"/>
        <v>0</v>
      </c>
      <c r="BT47" s="14"/>
      <c r="BU47" s="15"/>
      <c r="BV47" s="16">
        <f t="shared" si="47"/>
        <v>0</v>
      </c>
      <c r="BW47" s="14"/>
      <c r="BX47" s="15"/>
      <c r="BY47" s="16">
        <f t="shared" si="20"/>
        <v>0</v>
      </c>
      <c r="BZ47" s="14"/>
      <c r="CA47" s="15"/>
      <c r="CB47" s="16">
        <f t="shared" si="48"/>
        <v>0</v>
      </c>
      <c r="CC47" s="14"/>
      <c r="CD47" s="15"/>
      <c r="CE47" s="16">
        <f t="shared" si="32"/>
        <v>0</v>
      </c>
      <c r="CF47" s="14"/>
      <c r="CG47" s="15"/>
      <c r="CH47" s="16">
        <f t="shared" si="49"/>
        <v>0</v>
      </c>
      <c r="CI47" s="14"/>
      <c r="CJ47" s="15"/>
      <c r="CK47" s="16">
        <f t="shared" si="50"/>
        <v>0</v>
      </c>
      <c r="CL47" s="14"/>
      <c r="CM47" s="15"/>
      <c r="CN47" s="16">
        <f t="shared" si="51"/>
        <v>0</v>
      </c>
      <c r="CO47" s="14"/>
      <c r="CP47" s="15"/>
      <c r="CQ47" s="16">
        <f t="shared" si="52"/>
        <v>0</v>
      </c>
      <c r="CR47" s="14"/>
      <c r="CS47" s="15"/>
      <c r="CT47" s="16">
        <f t="shared" si="53"/>
        <v>0</v>
      </c>
      <c r="CU47" s="17">
        <f t="shared" si="54"/>
        <v>0</v>
      </c>
      <c r="CV47" s="16">
        <f t="shared" si="55"/>
        <v>0</v>
      </c>
      <c r="CW47" s="16">
        <f t="shared" si="56"/>
        <v>0</v>
      </c>
    </row>
    <row r="48" spans="1:101" ht="15.75" customHeight="1" x14ac:dyDescent="0.35">
      <c r="A48" s="21" t="s">
        <v>681</v>
      </c>
      <c r="B48" s="21" t="s">
        <v>846</v>
      </c>
      <c r="C48" s="21"/>
      <c r="D48" s="21"/>
      <c r="E48" s="78">
        <f t="shared" si="41"/>
        <v>0</v>
      </c>
      <c r="F48" s="14"/>
      <c r="G48" s="15"/>
      <c r="H48" s="16">
        <f t="shared" si="66"/>
        <v>0</v>
      </c>
      <c r="I48" s="14"/>
      <c r="J48" s="15"/>
      <c r="K48" s="16">
        <f t="shared" si="36"/>
        <v>0</v>
      </c>
      <c r="L48" s="14"/>
      <c r="M48" s="15"/>
      <c r="N48" s="16">
        <f t="shared" si="34"/>
        <v>0</v>
      </c>
      <c r="O48" s="14"/>
      <c r="P48" s="15"/>
      <c r="Q48" s="16">
        <f t="shared" si="61"/>
        <v>0</v>
      </c>
      <c r="R48" s="14"/>
      <c r="S48" s="15"/>
      <c r="T48" s="16">
        <f t="shared" si="42"/>
        <v>0</v>
      </c>
      <c r="U48" s="14"/>
      <c r="V48" s="15"/>
      <c r="W48" s="16">
        <f t="shared" si="43"/>
        <v>0</v>
      </c>
      <c r="X48" s="14"/>
      <c r="Y48" s="15"/>
      <c r="Z48" s="16">
        <f t="shared" si="67"/>
        <v>0</v>
      </c>
      <c r="AA48" s="14"/>
      <c r="AB48" s="15"/>
      <c r="AC48" s="16">
        <f t="shared" si="68"/>
        <v>0</v>
      </c>
      <c r="AD48" s="14"/>
      <c r="AE48" s="15"/>
      <c r="AF48" s="16">
        <f t="shared" si="69"/>
        <v>0</v>
      </c>
      <c r="AG48" s="14"/>
      <c r="AH48" s="15"/>
      <c r="AI48" s="16">
        <f t="shared" si="63"/>
        <v>0</v>
      </c>
      <c r="AJ48" s="14"/>
      <c r="AK48" s="15"/>
      <c r="AL48" s="16">
        <f t="shared" si="40"/>
        <v>0</v>
      </c>
      <c r="AM48" s="14"/>
      <c r="AN48" s="15"/>
      <c r="AO48" s="16">
        <f t="shared" si="44"/>
        <v>0</v>
      </c>
      <c r="AP48" s="14"/>
      <c r="AQ48" s="15"/>
      <c r="AR48" s="16">
        <f t="shared" si="65"/>
        <v>0</v>
      </c>
      <c r="AS48" s="14"/>
      <c r="AT48" s="15"/>
      <c r="AU48" s="16">
        <f t="shared" si="39"/>
        <v>0</v>
      </c>
      <c r="AV48" s="14"/>
      <c r="AW48" s="15"/>
      <c r="AX48" s="16">
        <f t="shared" si="45"/>
        <v>0</v>
      </c>
      <c r="AY48" s="14"/>
      <c r="AZ48" s="15"/>
      <c r="BA48" s="16">
        <f t="shared" si="70"/>
        <v>0</v>
      </c>
      <c r="BB48" s="14"/>
      <c r="BC48" s="15"/>
      <c r="BD48" s="16">
        <f t="shared" si="35"/>
        <v>0</v>
      </c>
      <c r="BE48" s="14"/>
      <c r="BF48" s="15"/>
      <c r="BG48" s="16">
        <f t="shared" si="62"/>
        <v>0</v>
      </c>
      <c r="BH48" s="14"/>
      <c r="BI48" s="15"/>
      <c r="BJ48" s="16">
        <f t="shared" si="46"/>
        <v>0</v>
      </c>
      <c r="BK48" s="14"/>
      <c r="BL48" s="15"/>
      <c r="BM48" s="16">
        <f t="shared" si="64"/>
        <v>0</v>
      </c>
      <c r="BN48" s="14"/>
      <c r="BO48" s="15"/>
      <c r="BP48" s="16">
        <f t="shared" si="59"/>
        <v>0</v>
      </c>
      <c r="BQ48" s="14"/>
      <c r="BR48" s="15"/>
      <c r="BS48" s="16">
        <f t="shared" si="60"/>
        <v>0</v>
      </c>
      <c r="BT48" s="14"/>
      <c r="BU48" s="15"/>
      <c r="BV48" s="16">
        <f t="shared" si="47"/>
        <v>0</v>
      </c>
      <c r="BW48" s="14">
        <v>1</v>
      </c>
      <c r="BX48" s="15">
        <v>23000</v>
      </c>
      <c r="BY48" s="16">
        <v>23000</v>
      </c>
      <c r="BZ48" s="14"/>
      <c r="CA48" s="15"/>
      <c r="CB48" s="16">
        <f t="shared" si="48"/>
        <v>0</v>
      </c>
      <c r="CC48" s="14"/>
      <c r="CD48" s="15"/>
      <c r="CE48" s="16">
        <f t="shared" si="32"/>
        <v>0</v>
      </c>
      <c r="CF48" s="14"/>
      <c r="CG48" s="15"/>
      <c r="CH48" s="16">
        <f t="shared" si="49"/>
        <v>0</v>
      </c>
      <c r="CI48" s="14"/>
      <c r="CJ48" s="15"/>
      <c r="CK48" s="16">
        <f t="shared" si="50"/>
        <v>0</v>
      </c>
      <c r="CL48" s="14"/>
      <c r="CM48" s="15"/>
      <c r="CN48" s="16">
        <f t="shared" si="51"/>
        <v>0</v>
      </c>
      <c r="CO48" s="14"/>
      <c r="CP48" s="15"/>
      <c r="CQ48" s="16">
        <f t="shared" si="52"/>
        <v>0</v>
      </c>
      <c r="CR48" s="14"/>
      <c r="CS48" s="15"/>
      <c r="CT48" s="16">
        <f t="shared" si="53"/>
        <v>0</v>
      </c>
      <c r="CU48" s="17">
        <f t="shared" si="54"/>
        <v>1</v>
      </c>
      <c r="CV48" s="16">
        <f t="shared" si="55"/>
        <v>23000</v>
      </c>
      <c r="CW48" s="16">
        <f t="shared" si="56"/>
        <v>23000</v>
      </c>
    </row>
    <row r="49" spans="1:101" ht="15.75" customHeight="1" x14ac:dyDescent="0.35">
      <c r="A49" s="21" t="s">
        <v>951</v>
      </c>
      <c r="B49" s="21" t="s">
        <v>846</v>
      </c>
      <c r="C49" s="21"/>
      <c r="D49" s="21"/>
      <c r="E49" s="78">
        <f t="shared" si="41"/>
        <v>0</v>
      </c>
      <c r="F49" s="14"/>
      <c r="G49" s="15"/>
      <c r="H49" s="16">
        <f t="shared" si="66"/>
        <v>0</v>
      </c>
      <c r="I49" s="14"/>
      <c r="J49" s="15"/>
      <c r="K49" s="16">
        <f t="shared" si="36"/>
        <v>0</v>
      </c>
      <c r="L49" s="14"/>
      <c r="M49" s="15"/>
      <c r="N49" s="16">
        <f t="shared" si="34"/>
        <v>0</v>
      </c>
      <c r="O49" s="14"/>
      <c r="P49" s="15"/>
      <c r="Q49" s="16">
        <f t="shared" si="61"/>
        <v>0</v>
      </c>
      <c r="R49" s="14"/>
      <c r="S49" s="15"/>
      <c r="T49" s="16">
        <f t="shared" si="42"/>
        <v>0</v>
      </c>
      <c r="U49" s="14"/>
      <c r="V49" s="15"/>
      <c r="W49" s="16">
        <f t="shared" si="43"/>
        <v>0</v>
      </c>
      <c r="X49" s="14"/>
      <c r="Y49" s="15"/>
      <c r="Z49" s="16">
        <f t="shared" si="67"/>
        <v>0</v>
      </c>
      <c r="AA49" s="14"/>
      <c r="AB49" s="15"/>
      <c r="AC49" s="16">
        <f t="shared" si="68"/>
        <v>0</v>
      </c>
      <c r="AD49" s="14"/>
      <c r="AE49" s="15"/>
      <c r="AF49" s="16">
        <f t="shared" si="69"/>
        <v>0</v>
      </c>
      <c r="AG49" s="14"/>
      <c r="AH49" s="15"/>
      <c r="AI49" s="16">
        <f t="shared" si="63"/>
        <v>0</v>
      </c>
      <c r="AJ49" s="14"/>
      <c r="AK49" s="15"/>
      <c r="AL49" s="16">
        <f t="shared" si="40"/>
        <v>0</v>
      </c>
      <c r="AM49" s="14"/>
      <c r="AN49" s="15"/>
      <c r="AO49" s="16">
        <f t="shared" si="44"/>
        <v>0</v>
      </c>
      <c r="AP49" s="14"/>
      <c r="AQ49" s="15"/>
      <c r="AR49" s="16">
        <f t="shared" si="65"/>
        <v>0</v>
      </c>
      <c r="AS49" s="14"/>
      <c r="AT49" s="15"/>
      <c r="AU49" s="16">
        <f t="shared" si="39"/>
        <v>0</v>
      </c>
      <c r="AV49" s="14"/>
      <c r="AW49" s="15"/>
      <c r="AX49" s="16">
        <f t="shared" si="45"/>
        <v>0</v>
      </c>
      <c r="AY49" s="14"/>
      <c r="AZ49" s="15"/>
      <c r="BA49" s="16">
        <f t="shared" si="70"/>
        <v>0</v>
      </c>
      <c r="BB49" s="14"/>
      <c r="BC49" s="15"/>
      <c r="BD49" s="16">
        <f t="shared" si="35"/>
        <v>0</v>
      </c>
      <c r="BE49" s="14"/>
      <c r="BF49" s="15"/>
      <c r="BG49" s="16">
        <f t="shared" si="62"/>
        <v>0</v>
      </c>
      <c r="BH49" s="14"/>
      <c r="BI49" s="15"/>
      <c r="BJ49" s="16">
        <f t="shared" si="46"/>
        <v>0</v>
      </c>
      <c r="BK49" s="14"/>
      <c r="BL49" s="15"/>
      <c r="BM49" s="16">
        <f t="shared" si="64"/>
        <v>0</v>
      </c>
      <c r="BN49" s="14"/>
      <c r="BO49" s="15"/>
      <c r="BP49" s="16">
        <f t="shared" si="59"/>
        <v>0</v>
      </c>
      <c r="BQ49" s="14"/>
      <c r="BR49" s="15"/>
      <c r="BS49" s="16">
        <f t="shared" si="60"/>
        <v>0</v>
      </c>
      <c r="BT49" s="14"/>
      <c r="BU49" s="15"/>
      <c r="BV49" s="16">
        <f t="shared" si="47"/>
        <v>0</v>
      </c>
      <c r="BW49" s="14"/>
      <c r="BX49" s="15"/>
      <c r="BY49" s="16">
        <f t="shared" ref="BY49:BY55" si="71">IFERROR(BW49*BX49, 0)</f>
        <v>0</v>
      </c>
      <c r="BZ49" s="14"/>
      <c r="CA49" s="15"/>
      <c r="CB49" s="16">
        <f t="shared" si="48"/>
        <v>0</v>
      </c>
      <c r="CC49" s="14"/>
      <c r="CD49" s="15"/>
      <c r="CE49" s="16">
        <f t="shared" si="32"/>
        <v>0</v>
      </c>
      <c r="CF49" s="14"/>
      <c r="CG49" s="15"/>
      <c r="CH49" s="16">
        <f t="shared" si="49"/>
        <v>0</v>
      </c>
      <c r="CI49" s="14"/>
      <c r="CJ49" s="15"/>
      <c r="CK49" s="16">
        <f t="shared" si="50"/>
        <v>0</v>
      </c>
      <c r="CL49" s="14"/>
      <c r="CM49" s="15"/>
      <c r="CN49" s="16">
        <f t="shared" si="51"/>
        <v>0</v>
      </c>
      <c r="CO49" s="14"/>
      <c r="CP49" s="15"/>
      <c r="CQ49" s="16">
        <f t="shared" si="52"/>
        <v>0</v>
      </c>
      <c r="CR49" s="14"/>
      <c r="CS49" s="15"/>
      <c r="CT49" s="16">
        <f t="shared" si="53"/>
        <v>0</v>
      </c>
      <c r="CU49" s="17">
        <f t="shared" si="54"/>
        <v>0</v>
      </c>
      <c r="CV49" s="16">
        <f t="shared" si="55"/>
        <v>0</v>
      </c>
      <c r="CW49" s="16">
        <f t="shared" si="56"/>
        <v>0</v>
      </c>
    </row>
    <row r="50" spans="1:101" ht="15.75" customHeight="1" x14ac:dyDescent="0.35">
      <c r="A50" s="21" t="s">
        <v>952</v>
      </c>
      <c r="B50" s="21" t="s">
        <v>846</v>
      </c>
      <c r="C50" s="21"/>
      <c r="D50" s="21"/>
      <c r="E50" s="78">
        <f t="shared" si="41"/>
        <v>0</v>
      </c>
      <c r="F50" s="14"/>
      <c r="G50" s="15"/>
      <c r="H50" s="16">
        <f t="shared" si="66"/>
        <v>0</v>
      </c>
      <c r="I50" s="14"/>
      <c r="J50" s="15"/>
      <c r="K50" s="16">
        <f t="shared" si="36"/>
        <v>0</v>
      </c>
      <c r="L50" s="14"/>
      <c r="M50" s="15"/>
      <c r="N50" s="16">
        <f t="shared" si="34"/>
        <v>0</v>
      </c>
      <c r="O50" s="14"/>
      <c r="P50" s="15"/>
      <c r="Q50" s="16">
        <f t="shared" si="61"/>
        <v>0</v>
      </c>
      <c r="R50" s="14"/>
      <c r="S50" s="15"/>
      <c r="T50" s="16">
        <f t="shared" si="42"/>
        <v>0</v>
      </c>
      <c r="U50" s="14"/>
      <c r="V50" s="15"/>
      <c r="W50" s="16">
        <f t="shared" si="43"/>
        <v>0</v>
      </c>
      <c r="X50" s="14"/>
      <c r="Y50" s="15"/>
      <c r="Z50" s="16">
        <f t="shared" si="67"/>
        <v>0</v>
      </c>
      <c r="AA50" s="14"/>
      <c r="AB50" s="15"/>
      <c r="AC50" s="16">
        <f t="shared" si="68"/>
        <v>0</v>
      </c>
      <c r="AD50" s="14"/>
      <c r="AE50" s="15"/>
      <c r="AF50" s="16">
        <f t="shared" si="69"/>
        <v>0</v>
      </c>
      <c r="AG50" s="14"/>
      <c r="AH50" s="15"/>
      <c r="AI50" s="16">
        <f t="shared" si="63"/>
        <v>0</v>
      </c>
      <c r="AJ50" s="14"/>
      <c r="AK50" s="15"/>
      <c r="AL50" s="16">
        <f t="shared" si="40"/>
        <v>0</v>
      </c>
      <c r="AM50" s="14"/>
      <c r="AN50" s="15"/>
      <c r="AO50" s="16">
        <f t="shared" si="44"/>
        <v>0</v>
      </c>
      <c r="AP50" s="14"/>
      <c r="AQ50" s="15"/>
      <c r="AR50" s="16">
        <f t="shared" si="65"/>
        <v>0</v>
      </c>
      <c r="AS50" s="14"/>
      <c r="AT50" s="15"/>
      <c r="AU50" s="16">
        <f t="shared" si="39"/>
        <v>0</v>
      </c>
      <c r="AV50" s="14"/>
      <c r="AW50" s="15"/>
      <c r="AX50" s="16">
        <f t="shared" si="45"/>
        <v>0</v>
      </c>
      <c r="AY50" s="14"/>
      <c r="AZ50" s="15"/>
      <c r="BA50" s="16">
        <f t="shared" si="70"/>
        <v>0</v>
      </c>
      <c r="BB50" s="14"/>
      <c r="BC50" s="15"/>
      <c r="BD50" s="16">
        <f t="shared" si="35"/>
        <v>0</v>
      </c>
      <c r="BE50" s="14"/>
      <c r="BF50" s="15"/>
      <c r="BG50" s="16">
        <f t="shared" si="62"/>
        <v>0</v>
      </c>
      <c r="BH50" s="14"/>
      <c r="BI50" s="15"/>
      <c r="BJ50" s="16">
        <f t="shared" si="46"/>
        <v>0</v>
      </c>
      <c r="BK50" s="14"/>
      <c r="BL50" s="15"/>
      <c r="BM50" s="16">
        <f t="shared" si="64"/>
        <v>0</v>
      </c>
      <c r="BN50" s="14"/>
      <c r="BO50" s="15"/>
      <c r="BP50" s="16">
        <f t="shared" si="59"/>
        <v>0</v>
      </c>
      <c r="BQ50" s="14"/>
      <c r="BR50" s="15"/>
      <c r="BS50" s="16">
        <f t="shared" si="60"/>
        <v>0</v>
      </c>
      <c r="BT50" s="14"/>
      <c r="BU50" s="15"/>
      <c r="BV50" s="16">
        <f t="shared" si="47"/>
        <v>0</v>
      </c>
      <c r="BW50" s="14"/>
      <c r="BX50" s="15"/>
      <c r="BY50" s="16">
        <f t="shared" si="71"/>
        <v>0</v>
      </c>
      <c r="BZ50" s="14"/>
      <c r="CA50" s="15"/>
      <c r="CB50" s="16">
        <f t="shared" si="48"/>
        <v>0</v>
      </c>
      <c r="CC50" s="14"/>
      <c r="CD50" s="15"/>
      <c r="CE50" s="16">
        <f t="shared" si="32"/>
        <v>0</v>
      </c>
      <c r="CF50" s="14"/>
      <c r="CG50" s="15"/>
      <c r="CH50" s="16">
        <f t="shared" si="49"/>
        <v>0</v>
      </c>
      <c r="CI50" s="14"/>
      <c r="CJ50" s="15"/>
      <c r="CK50" s="16">
        <f t="shared" si="50"/>
        <v>0</v>
      </c>
      <c r="CL50" s="14"/>
      <c r="CM50" s="15"/>
      <c r="CN50" s="16">
        <f t="shared" si="51"/>
        <v>0</v>
      </c>
      <c r="CO50" s="14"/>
      <c r="CP50" s="15"/>
      <c r="CQ50" s="16">
        <f t="shared" si="52"/>
        <v>0</v>
      </c>
      <c r="CR50" s="14"/>
      <c r="CS50" s="15"/>
      <c r="CT50" s="16">
        <f t="shared" si="53"/>
        <v>0</v>
      </c>
      <c r="CU50" s="17">
        <f t="shared" si="54"/>
        <v>0</v>
      </c>
      <c r="CV50" s="16">
        <f t="shared" si="55"/>
        <v>0</v>
      </c>
      <c r="CW50" s="16">
        <f t="shared" si="56"/>
        <v>0</v>
      </c>
    </row>
    <row r="51" spans="1:101" ht="15.75" customHeight="1" x14ac:dyDescent="0.35">
      <c r="A51" s="21" t="s">
        <v>953</v>
      </c>
      <c r="B51" s="21" t="s">
        <v>846</v>
      </c>
      <c r="C51" s="21"/>
      <c r="D51" s="21"/>
      <c r="E51" s="78">
        <f t="shared" si="41"/>
        <v>0</v>
      </c>
      <c r="F51" s="14"/>
      <c r="G51" s="15"/>
      <c r="H51" s="16">
        <f t="shared" si="66"/>
        <v>0</v>
      </c>
      <c r="I51" s="14"/>
      <c r="J51" s="15"/>
      <c r="K51" s="16">
        <f t="shared" si="36"/>
        <v>0</v>
      </c>
      <c r="L51" s="14"/>
      <c r="M51" s="15"/>
      <c r="N51" s="16">
        <f t="shared" si="34"/>
        <v>0</v>
      </c>
      <c r="O51" s="14"/>
      <c r="P51" s="15"/>
      <c r="Q51" s="16">
        <f t="shared" si="61"/>
        <v>0</v>
      </c>
      <c r="R51" s="14"/>
      <c r="S51" s="15"/>
      <c r="T51" s="16">
        <f t="shared" si="42"/>
        <v>0</v>
      </c>
      <c r="U51" s="14"/>
      <c r="V51" s="15"/>
      <c r="W51" s="16">
        <f t="shared" si="43"/>
        <v>0</v>
      </c>
      <c r="X51" s="14"/>
      <c r="Y51" s="15"/>
      <c r="Z51" s="16">
        <f t="shared" si="67"/>
        <v>0</v>
      </c>
      <c r="AA51" s="14"/>
      <c r="AB51" s="15"/>
      <c r="AC51" s="16">
        <f t="shared" si="68"/>
        <v>0</v>
      </c>
      <c r="AD51" s="14"/>
      <c r="AE51" s="15"/>
      <c r="AF51" s="16">
        <f t="shared" si="69"/>
        <v>0</v>
      </c>
      <c r="AG51" s="14"/>
      <c r="AH51" s="15"/>
      <c r="AI51" s="16">
        <f t="shared" si="63"/>
        <v>0</v>
      </c>
      <c r="AJ51" s="14"/>
      <c r="AK51" s="15"/>
      <c r="AL51" s="16">
        <f t="shared" si="40"/>
        <v>0</v>
      </c>
      <c r="AM51" s="14"/>
      <c r="AN51" s="15"/>
      <c r="AO51" s="16">
        <f t="shared" si="44"/>
        <v>0</v>
      </c>
      <c r="AP51" s="14"/>
      <c r="AQ51" s="15"/>
      <c r="AR51" s="16">
        <f t="shared" si="65"/>
        <v>0</v>
      </c>
      <c r="AS51" s="14"/>
      <c r="AT51" s="15"/>
      <c r="AU51" s="16">
        <f t="shared" si="39"/>
        <v>0</v>
      </c>
      <c r="AV51" s="14"/>
      <c r="AW51" s="15"/>
      <c r="AX51" s="16">
        <f t="shared" si="45"/>
        <v>0</v>
      </c>
      <c r="AY51" s="14"/>
      <c r="AZ51" s="15"/>
      <c r="BA51" s="16">
        <f t="shared" si="70"/>
        <v>0</v>
      </c>
      <c r="BB51" s="14"/>
      <c r="BC51" s="15"/>
      <c r="BD51" s="16">
        <f t="shared" si="35"/>
        <v>0</v>
      </c>
      <c r="BE51" s="14"/>
      <c r="BF51" s="15"/>
      <c r="BG51" s="16">
        <f t="shared" si="62"/>
        <v>0</v>
      </c>
      <c r="BH51" s="14"/>
      <c r="BI51" s="15"/>
      <c r="BJ51" s="16">
        <f t="shared" si="46"/>
        <v>0</v>
      </c>
      <c r="BK51" s="14"/>
      <c r="BL51" s="15"/>
      <c r="BM51" s="16">
        <f t="shared" si="64"/>
        <v>0</v>
      </c>
      <c r="BN51" s="14"/>
      <c r="BO51" s="15"/>
      <c r="BP51" s="16">
        <f t="shared" si="59"/>
        <v>0</v>
      </c>
      <c r="BQ51" s="14"/>
      <c r="BR51" s="15"/>
      <c r="BS51" s="16">
        <f t="shared" si="60"/>
        <v>0</v>
      </c>
      <c r="BT51" s="14"/>
      <c r="BU51" s="15"/>
      <c r="BV51" s="16">
        <f t="shared" si="47"/>
        <v>0</v>
      </c>
      <c r="BW51" s="14"/>
      <c r="BX51" s="15"/>
      <c r="BY51" s="16">
        <f t="shared" si="71"/>
        <v>0</v>
      </c>
      <c r="BZ51" s="14"/>
      <c r="CA51" s="15"/>
      <c r="CB51" s="16">
        <f t="shared" si="48"/>
        <v>0</v>
      </c>
      <c r="CC51" s="14"/>
      <c r="CD51" s="15"/>
      <c r="CE51" s="16">
        <f t="shared" si="32"/>
        <v>0</v>
      </c>
      <c r="CF51" s="14"/>
      <c r="CG51" s="15"/>
      <c r="CH51" s="16">
        <f t="shared" si="49"/>
        <v>0</v>
      </c>
      <c r="CI51" s="14"/>
      <c r="CJ51" s="15"/>
      <c r="CK51" s="16">
        <f t="shared" si="50"/>
        <v>0</v>
      </c>
      <c r="CL51" s="14"/>
      <c r="CM51" s="15"/>
      <c r="CN51" s="16">
        <f t="shared" si="51"/>
        <v>0</v>
      </c>
      <c r="CO51" s="14"/>
      <c r="CP51" s="15"/>
      <c r="CQ51" s="16">
        <f t="shared" si="52"/>
        <v>0</v>
      </c>
      <c r="CR51" s="14"/>
      <c r="CS51" s="15"/>
      <c r="CT51" s="16">
        <f t="shared" si="53"/>
        <v>0</v>
      </c>
      <c r="CU51" s="17">
        <f t="shared" si="54"/>
        <v>0</v>
      </c>
      <c r="CV51" s="16">
        <f t="shared" si="55"/>
        <v>0</v>
      </c>
      <c r="CW51" s="16">
        <f t="shared" si="56"/>
        <v>0</v>
      </c>
    </row>
    <row r="52" spans="1:101" ht="15.75" customHeight="1" x14ac:dyDescent="0.35">
      <c r="A52" s="21" t="s">
        <v>954</v>
      </c>
      <c r="B52" s="21" t="s">
        <v>846</v>
      </c>
      <c r="C52" s="21"/>
      <c r="D52" s="21"/>
      <c r="E52" s="78">
        <f t="shared" si="41"/>
        <v>0</v>
      </c>
      <c r="F52" s="14"/>
      <c r="G52" s="15"/>
      <c r="H52" s="16">
        <f t="shared" si="66"/>
        <v>0</v>
      </c>
      <c r="I52" s="14"/>
      <c r="J52" s="15"/>
      <c r="K52" s="16">
        <f t="shared" si="36"/>
        <v>0</v>
      </c>
      <c r="L52" s="14"/>
      <c r="M52" s="15"/>
      <c r="N52" s="16">
        <f t="shared" si="34"/>
        <v>0</v>
      </c>
      <c r="O52" s="14"/>
      <c r="P52" s="15"/>
      <c r="Q52" s="16">
        <f t="shared" si="61"/>
        <v>0</v>
      </c>
      <c r="R52" s="14"/>
      <c r="S52" s="15"/>
      <c r="T52" s="16">
        <f t="shared" si="42"/>
        <v>0</v>
      </c>
      <c r="U52" s="14"/>
      <c r="V52" s="15"/>
      <c r="W52" s="16">
        <f t="shared" si="43"/>
        <v>0</v>
      </c>
      <c r="X52" s="14"/>
      <c r="Y52" s="15"/>
      <c r="Z52" s="16">
        <f t="shared" si="67"/>
        <v>0</v>
      </c>
      <c r="AA52" s="14"/>
      <c r="AB52" s="15"/>
      <c r="AC52" s="16">
        <f t="shared" si="68"/>
        <v>0</v>
      </c>
      <c r="AD52" s="14"/>
      <c r="AE52" s="15"/>
      <c r="AF52" s="16">
        <f t="shared" si="69"/>
        <v>0</v>
      </c>
      <c r="AG52" s="14"/>
      <c r="AH52" s="15"/>
      <c r="AI52" s="16">
        <f t="shared" si="63"/>
        <v>0</v>
      </c>
      <c r="AJ52" s="14"/>
      <c r="AK52" s="15"/>
      <c r="AL52" s="16">
        <f t="shared" si="40"/>
        <v>0</v>
      </c>
      <c r="AM52" s="14"/>
      <c r="AN52" s="15"/>
      <c r="AO52" s="16">
        <f t="shared" si="44"/>
        <v>0</v>
      </c>
      <c r="AP52" s="14"/>
      <c r="AQ52" s="15"/>
      <c r="AR52" s="16">
        <f t="shared" si="65"/>
        <v>0</v>
      </c>
      <c r="AS52" s="14"/>
      <c r="AT52" s="15"/>
      <c r="AU52" s="16">
        <f t="shared" si="39"/>
        <v>0</v>
      </c>
      <c r="AV52" s="14"/>
      <c r="AW52" s="15"/>
      <c r="AX52" s="16">
        <f t="shared" si="45"/>
        <v>0</v>
      </c>
      <c r="AY52" s="14"/>
      <c r="AZ52" s="15"/>
      <c r="BA52" s="16">
        <f t="shared" si="70"/>
        <v>0</v>
      </c>
      <c r="BB52" s="14"/>
      <c r="BC52" s="15"/>
      <c r="BD52" s="16">
        <f t="shared" si="35"/>
        <v>0</v>
      </c>
      <c r="BE52" s="14"/>
      <c r="BF52" s="15"/>
      <c r="BG52" s="16">
        <f t="shared" si="62"/>
        <v>0</v>
      </c>
      <c r="BH52" s="14"/>
      <c r="BI52" s="15"/>
      <c r="BJ52" s="16">
        <f t="shared" si="46"/>
        <v>0</v>
      </c>
      <c r="BK52" s="14"/>
      <c r="BL52" s="15"/>
      <c r="BM52" s="16">
        <f t="shared" si="64"/>
        <v>0</v>
      </c>
      <c r="BN52" s="14"/>
      <c r="BO52" s="15"/>
      <c r="BP52" s="16">
        <f t="shared" si="59"/>
        <v>0</v>
      </c>
      <c r="BQ52" s="14"/>
      <c r="BR52" s="15"/>
      <c r="BS52" s="16">
        <f t="shared" si="60"/>
        <v>0</v>
      </c>
      <c r="BT52" s="14"/>
      <c r="BU52" s="15"/>
      <c r="BV52" s="16">
        <f t="shared" si="47"/>
        <v>0</v>
      </c>
      <c r="BW52" s="14"/>
      <c r="BX52" s="15"/>
      <c r="BY52" s="16">
        <f t="shared" si="71"/>
        <v>0</v>
      </c>
      <c r="BZ52" s="14"/>
      <c r="CA52" s="15"/>
      <c r="CB52" s="16">
        <f t="shared" si="48"/>
        <v>0</v>
      </c>
      <c r="CC52" s="14"/>
      <c r="CD52" s="15"/>
      <c r="CE52" s="16">
        <f t="shared" si="32"/>
        <v>0</v>
      </c>
      <c r="CF52" s="14"/>
      <c r="CG52" s="15"/>
      <c r="CH52" s="16">
        <f t="shared" si="49"/>
        <v>0</v>
      </c>
      <c r="CI52" s="14"/>
      <c r="CJ52" s="15"/>
      <c r="CK52" s="16">
        <f t="shared" si="50"/>
        <v>0</v>
      </c>
      <c r="CL52" s="14"/>
      <c r="CM52" s="15"/>
      <c r="CN52" s="16">
        <f t="shared" si="51"/>
        <v>0</v>
      </c>
      <c r="CO52" s="14"/>
      <c r="CP52" s="15"/>
      <c r="CQ52" s="16">
        <f t="shared" si="52"/>
        <v>0</v>
      </c>
      <c r="CR52" s="14"/>
      <c r="CS52" s="15"/>
      <c r="CT52" s="16">
        <f t="shared" si="53"/>
        <v>0</v>
      </c>
      <c r="CU52" s="17">
        <f t="shared" si="54"/>
        <v>0</v>
      </c>
      <c r="CV52" s="16">
        <f t="shared" si="55"/>
        <v>0</v>
      </c>
      <c r="CW52" s="16">
        <f t="shared" si="56"/>
        <v>0</v>
      </c>
    </row>
    <row r="53" spans="1:101" ht="15.75" customHeight="1" x14ac:dyDescent="0.35">
      <c r="A53" s="21" t="s">
        <v>600</v>
      </c>
      <c r="B53" s="21" t="s">
        <v>846</v>
      </c>
      <c r="C53" s="21"/>
      <c r="D53" s="21"/>
      <c r="E53" s="78">
        <f t="shared" si="41"/>
        <v>0</v>
      </c>
      <c r="F53" s="14"/>
      <c r="G53" s="15"/>
      <c r="H53" s="16">
        <f t="shared" si="66"/>
        <v>0</v>
      </c>
      <c r="I53" s="14"/>
      <c r="J53" s="15"/>
      <c r="K53" s="16">
        <f t="shared" si="36"/>
        <v>0</v>
      </c>
      <c r="L53" s="14"/>
      <c r="M53" s="15"/>
      <c r="N53" s="16">
        <f t="shared" si="34"/>
        <v>0</v>
      </c>
      <c r="O53" s="14"/>
      <c r="P53" s="15"/>
      <c r="Q53" s="16">
        <f t="shared" si="61"/>
        <v>0</v>
      </c>
      <c r="R53" s="14"/>
      <c r="S53" s="15"/>
      <c r="T53" s="16">
        <f t="shared" si="42"/>
        <v>0</v>
      </c>
      <c r="U53" s="14"/>
      <c r="V53" s="15"/>
      <c r="W53" s="16">
        <f t="shared" si="43"/>
        <v>0</v>
      </c>
      <c r="X53" s="14"/>
      <c r="Y53" s="15"/>
      <c r="Z53" s="16">
        <f t="shared" si="67"/>
        <v>0</v>
      </c>
      <c r="AA53" s="14"/>
      <c r="AB53" s="15"/>
      <c r="AC53" s="16">
        <f t="shared" si="68"/>
        <v>0</v>
      </c>
      <c r="AD53" s="14"/>
      <c r="AE53" s="15"/>
      <c r="AF53" s="16">
        <f t="shared" si="69"/>
        <v>0</v>
      </c>
      <c r="AG53" s="14"/>
      <c r="AH53" s="15"/>
      <c r="AI53" s="16">
        <f t="shared" si="63"/>
        <v>0</v>
      </c>
      <c r="AJ53" s="14"/>
      <c r="AK53" s="15"/>
      <c r="AL53" s="16">
        <f t="shared" si="40"/>
        <v>0</v>
      </c>
      <c r="AM53" s="14"/>
      <c r="AN53" s="15"/>
      <c r="AO53" s="16">
        <f t="shared" si="44"/>
        <v>0</v>
      </c>
      <c r="AP53" s="14"/>
      <c r="AQ53" s="15"/>
      <c r="AR53" s="16">
        <f t="shared" si="65"/>
        <v>0</v>
      </c>
      <c r="AS53" s="14"/>
      <c r="AT53" s="15"/>
      <c r="AU53" s="16">
        <f t="shared" si="39"/>
        <v>0</v>
      </c>
      <c r="AV53" s="14"/>
      <c r="AW53" s="15"/>
      <c r="AX53" s="16">
        <f t="shared" si="45"/>
        <v>0</v>
      </c>
      <c r="AY53" s="14"/>
      <c r="AZ53" s="15"/>
      <c r="BA53" s="16">
        <f t="shared" si="70"/>
        <v>0</v>
      </c>
      <c r="BB53" s="14"/>
      <c r="BC53" s="15"/>
      <c r="BD53" s="16">
        <f t="shared" si="35"/>
        <v>0</v>
      </c>
      <c r="BE53" s="14"/>
      <c r="BF53" s="15"/>
      <c r="BG53" s="16">
        <f t="shared" si="62"/>
        <v>0</v>
      </c>
      <c r="BH53" s="14">
        <v>6</v>
      </c>
      <c r="BI53" s="15">
        <v>22990</v>
      </c>
      <c r="BJ53" s="16">
        <v>137940</v>
      </c>
      <c r="BK53" s="14"/>
      <c r="BL53" s="15"/>
      <c r="BM53" s="16">
        <f t="shared" si="64"/>
        <v>0</v>
      </c>
      <c r="BN53" s="14"/>
      <c r="BO53" s="15"/>
      <c r="BP53" s="16">
        <f t="shared" si="59"/>
        <v>0</v>
      </c>
      <c r="BQ53" s="14"/>
      <c r="BR53" s="15"/>
      <c r="BS53" s="16">
        <f t="shared" si="60"/>
        <v>0</v>
      </c>
      <c r="BT53" s="14"/>
      <c r="BU53" s="15"/>
      <c r="BV53" s="16">
        <f t="shared" si="47"/>
        <v>0</v>
      </c>
      <c r="BW53" s="14"/>
      <c r="BX53" s="15"/>
      <c r="BY53" s="16">
        <f t="shared" si="71"/>
        <v>0</v>
      </c>
      <c r="BZ53" s="14"/>
      <c r="CA53" s="15"/>
      <c r="CB53" s="16">
        <f t="shared" si="48"/>
        <v>0</v>
      </c>
      <c r="CC53" s="14"/>
      <c r="CD53" s="15"/>
      <c r="CE53" s="16">
        <f t="shared" si="32"/>
        <v>0</v>
      </c>
      <c r="CF53" s="14"/>
      <c r="CG53" s="15"/>
      <c r="CH53" s="16">
        <f t="shared" si="49"/>
        <v>0</v>
      </c>
      <c r="CI53" s="14"/>
      <c r="CJ53" s="15"/>
      <c r="CK53" s="16">
        <f t="shared" si="50"/>
        <v>0</v>
      </c>
      <c r="CL53" s="14"/>
      <c r="CM53" s="15"/>
      <c r="CN53" s="16">
        <f t="shared" si="51"/>
        <v>0</v>
      </c>
      <c r="CO53" s="14"/>
      <c r="CP53" s="15"/>
      <c r="CQ53" s="16">
        <f t="shared" si="52"/>
        <v>0</v>
      </c>
      <c r="CR53" s="14"/>
      <c r="CS53" s="15"/>
      <c r="CT53" s="16">
        <f t="shared" si="53"/>
        <v>0</v>
      </c>
      <c r="CU53" s="17">
        <f t="shared" si="54"/>
        <v>6</v>
      </c>
      <c r="CV53" s="16">
        <f t="shared" si="55"/>
        <v>22990</v>
      </c>
      <c r="CW53" s="16">
        <f t="shared" si="56"/>
        <v>137940</v>
      </c>
    </row>
    <row r="54" spans="1:101" ht="15.75" customHeight="1" x14ac:dyDescent="0.35">
      <c r="A54" s="21" t="s">
        <v>955</v>
      </c>
      <c r="B54" s="21" t="s">
        <v>846</v>
      </c>
      <c r="C54" s="21"/>
      <c r="D54" s="21"/>
      <c r="E54" s="78">
        <f t="shared" si="41"/>
        <v>0</v>
      </c>
      <c r="F54" s="14"/>
      <c r="G54" s="15"/>
      <c r="H54" s="16">
        <f t="shared" si="66"/>
        <v>0</v>
      </c>
      <c r="I54" s="14"/>
      <c r="J54" s="15"/>
      <c r="K54" s="16">
        <f t="shared" si="36"/>
        <v>0</v>
      </c>
      <c r="L54" s="14"/>
      <c r="M54" s="15"/>
      <c r="N54" s="16">
        <f t="shared" si="34"/>
        <v>0</v>
      </c>
      <c r="O54" s="14"/>
      <c r="P54" s="15"/>
      <c r="Q54" s="16">
        <f t="shared" si="61"/>
        <v>0</v>
      </c>
      <c r="R54" s="14"/>
      <c r="S54" s="15"/>
      <c r="T54" s="16">
        <f t="shared" si="42"/>
        <v>0</v>
      </c>
      <c r="U54" s="14"/>
      <c r="V54" s="15"/>
      <c r="W54" s="16">
        <f t="shared" si="43"/>
        <v>0</v>
      </c>
      <c r="X54" s="14"/>
      <c r="Y54" s="15"/>
      <c r="Z54" s="16">
        <f t="shared" si="67"/>
        <v>0</v>
      </c>
      <c r="AA54" s="14"/>
      <c r="AB54" s="15"/>
      <c r="AC54" s="16">
        <f t="shared" si="68"/>
        <v>0</v>
      </c>
      <c r="AD54" s="14"/>
      <c r="AE54" s="15"/>
      <c r="AF54" s="16">
        <f t="shared" si="69"/>
        <v>0</v>
      </c>
      <c r="AG54" s="14"/>
      <c r="AH54" s="15"/>
      <c r="AI54" s="16">
        <f t="shared" si="63"/>
        <v>0</v>
      </c>
      <c r="AJ54" s="14"/>
      <c r="AK54" s="15"/>
      <c r="AL54" s="16">
        <f t="shared" si="40"/>
        <v>0</v>
      </c>
      <c r="AM54" s="14"/>
      <c r="AN54" s="15"/>
      <c r="AO54" s="16">
        <f t="shared" si="44"/>
        <v>0</v>
      </c>
      <c r="AP54" s="14"/>
      <c r="AQ54" s="15"/>
      <c r="AR54" s="16">
        <f t="shared" si="65"/>
        <v>0</v>
      </c>
      <c r="AS54" s="14"/>
      <c r="AT54" s="15"/>
      <c r="AU54" s="16">
        <f t="shared" si="39"/>
        <v>0</v>
      </c>
      <c r="AV54" s="14"/>
      <c r="AW54" s="15"/>
      <c r="AX54" s="16">
        <f t="shared" si="45"/>
        <v>0</v>
      </c>
      <c r="AY54" s="14"/>
      <c r="AZ54" s="15"/>
      <c r="BA54" s="16">
        <f t="shared" si="70"/>
        <v>0</v>
      </c>
      <c r="BB54" s="14"/>
      <c r="BC54" s="15"/>
      <c r="BD54" s="16">
        <f t="shared" si="35"/>
        <v>0</v>
      </c>
      <c r="BE54" s="14"/>
      <c r="BF54" s="15"/>
      <c r="BG54" s="16">
        <f t="shared" si="62"/>
        <v>0</v>
      </c>
      <c r="BH54" s="14"/>
      <c r="BI54" s="15"/>
      <c r="BJ54" s="16">
        <f>IFERROR(BH54*BI54, 0)</f>
        <v>0</v>
      </c>
      <c r="BK54" s="14"/>
      <c r="BL54" s="15"/>
      <c r="BM54" s="16">
        <f t="shared" si="64"/>
        <v>0</v>
      </c>
      <c r="BN54" s="14"/>
      <c r="BO54" s="15"/>
      <c r="BP54" s="16">
        <f t="shared" si="59"/>
        <v>0</v>
      </c>
      <c r="BQ54" s="14"/>
      <c r="BR54" s="15"/>
      <c r="BS54" s="16">
        <f t="shared" si="60"/>
        <v>0</v>
      </c>
      <c r="BT54" s="14"/>
      <c r="BU54" s="15"/>
      <c r="BV54" s="16">
        <f t="shared" si="47"/>
        <v>0</v>
      </c>
      <c r="BW54" s="14"/>
      <c r="BX54" s="15"/>
      <c r="BY54" s="16">
        <f t="shared" si="71"/>
        <v>0</v>
      </c>
      <c r="BZ54" s="14"/>
      <c r="CA54" s="15"/>
      <c r="CB54" s="16">
        <f t="shared" si="48"/>
        <v>0</v>
      </c>
      <c r="CC54" s="14"/>
      <c r="CD54" s="15"/>
      <c r="CE54" s="16">
        <f t="shared" si="32"/>
        <v>0</v>
      </c>
      <c r="CF54" s="14"/>
      <c r="CG54" s="15"/>
      <c r="CH54" s="16">
        <f t="shared" si="49"/>
        <v>0</v>
      </c>
      <c r="CI54" s="14"/>
      <c r="CJ54" s="15"/>
      <c r="CK54" s="16">
        <f t="shared" si="50"/>
        <v>0</v>
      </c>
      <c r="CL54" s="14"/>
      <c r="CM54" s="15"/>
      <c r="CN54" s="16">
        <f t="shared" si="51"/>
        <v>0</v>
      </c>
      <c r="CO54" s="14"/>
      <c r="CP54" s="15"/>
      <c r="CQ54" s="16">
        <f t="shared" si="52"/>
        <v>0</v>
      </c>
      <c r="CR54" s="14"/>
      <c r="CS54" s="15"/>
      <c r="CT54" s="16">
        <f t="shared" si="53"/>
        <v>0</v>
      </c>
      <c r="CU54" s="17">
        <f t="shared" si="54"/>
        <v>0</v>
      </c>
      <c r="CV54" s="16">
        <f t="shared" si="55"/>
        <v>0</v>
      </c>
      <c r="CW54" s="16">
        <f t="shared" si="56"/>
        <v>0</v>
      </c>
    </row>
    <row r="55" spans="1:101" ht="15.75" customHeight="1" x14ac:dyDescent="0.35">
      <c r="A55" s="41" t="s">
        <v>202</v>
      </c>
      <c r="B55" s="41" t="s">
        <v>846</v>
      </c>
      <c r="C55" s="42"/>
      <c r="D55" s="43"/>
      <c r="E55" s="78">
        <f t="shared" si="41"/>
        <v>0</v>
      </c>
      <c r="F55" s="14"/>
      <c r="G55" s="15"/>
      <c r="H55" s="16">
        <f t="shared" si="66"/>
        <v>0</v>
      </c>
      <c r="I55" s="14"/>
      <c r="J55" s="15"/>
      <c r="K55" s="16">
        <f t="shared" si="36"/>
        <v>0</v>
      </c>
      <c r="L55" s="14"/>
      <c r="M55" s="15"/>
      <c r="N55" s="16">
        <f t="shared" si="34"/>
        <v>0</v>
      </c>
      <c r="O55" s="14">
        <v>2200</v>
      </c>
      <c r="P55" s="15">
        <v>150</v>
      </c>
      <c r="Q55" s="16">
        <v>330000</v>
      </c>
      <c r="R55" s="14"/>
      <c r="S55" s="15"/>
      <c r="T55" s="16">
        <f t="shared" si="42"/>
        <v>0</v>
      </c>
      <c r="U55" s="14"/>
      <c r="V55" s="15"/>
      <c r="W55" s="16">
        <f t="shared" si="43"/>
        <v>0</v>
      </c>
      <c r="X55" s="14"/>
      <c r="Y55" s="15"/>
      <c r="Z55" s="16">
        <f t="shared" si="67"/>
        <v>0</v>
      </c>
      <c r="AA55" s="14"/>
      <c r="AB55" s="15"/>
      <c r="AC55" s="16">
        <f t="shared" si="68"/>
        <v>0</v>
      </c>
      <c r="AD55" s="14"/>
      <c r="AE55" s="15"/>
      <c r="AF55" s="16">
        <f t="shared" si="69"/>
        <v>0</v>
      </c>
      <c r="AG55" s="14"/>
      <c r="AH55" s="15"/>
      <c r="AI55" s="16">
        <f t="shared" si="63"/>
        <v>0</v>
      </c>
      <c r="AJ55" s="14">
        <v>1200</v>
      </c>
      <c r="AK55" s="15">
        <v>150</v>
      </c>
      <c r="AL55" s="16">
        <v>180000</v>
      </c>
      <c r="AM55" s="14"/>
      <c r="AN55" s="15"/>
      <c r="AO55" s="16">
        <f t="shared" si="44"/>
        <v>0</v>
      </c>
      <c r="AP55" s="14"/>
      <c r="AQ55" s="15"/>
      <c r="AR55" s="16">
        <f t="shared" si="65"/>
        <v>0</v>
      </c>
      <c r="AS55" s="14"/>
      <c r="AT55" s="15"/>
      <c r="AU55" s="16">
        <f t="shared" si="39"/>
        <v>0</v>
      </c>
      <c r="AV55" s="14">
        <v>150</v>
      </c>
      <c r="AW55" s="15">
        <v>163.33000000000001</v>
      </c>
      <c r="AX55" s="16">
        <v>24500</v>
      </c>
      <c r="AY55" s="14">
        <v>150</v>
      </c>
      <c r="AZ55" s="15">
        <v>150</v>
      </c>
      <c r="BA55" s="16">
        <v>22500</v>
      </c>
      <c r="BB55" s="14">
        <v>150</v>
      </c>
      <c r="BC55" s="15">
        <v>150</v>
      </c>
      <c r="BD55" s="16">
        <v>22500</v>
      </c>
      <c r="BE55" s="14">
        <v>1750</v>
      </c>
      <c r="BF55" s="15">
        <v>150</v>
      </c>
      <c r="BG55" s="16">
        <v>262500</v>
      </c>
      <c r="BH55" s="14">
        <v>100</v>
      </c>
      <c r="BI55" s="15">
        <v>190</v>
      </c>
      <c r="BJ55" s="16">
        <v>19000</v>
      </c>
      <c r="BK55" s="14"/>
      <c r="BL55" s="15" t="e">
        <f>BM55/BK55</f>
        <v>#DIV/0!</v>
      </c>
      <c r="BM55" s="16">
        <v>150000</v>
      </c>
      <c r="BN55" s="14"/>
      <c r="BO55" s="15"/>
      <c r="BP55" s="16">
        <f t="shared" si="59"/>
        <v>0</v>
      </c>
      <c r="BQ55" s="14"/>
      <c r="BR55" s="15"/>
      <c r="BS55" s="16">
        <f t="shared" si="60"/>
        <v>0</v>
      </c>
      <c r="BT55" s="14"/>
      <c r="BU55" s="15"/>
      <c r="BV55" s="16">
        <f t="shared" si="47"/>
        <v>0</v>
      </c>
      <c r="BW55" s="14"/>
      <c r="BX55" s="15"/>
      <c r="BY55" s="16">
        <f t="shared" si="71"/>
        <v>0</v>
      </c>
      <c r="BZ55" s="14"/>
      <c r="CA55" s="15"/>
      <c r="CB55" s="16">
        <f t="shared" si="48"/>
        <v>0</v>
      </c>
      <c r="CC55" s="14"/>
      <c r="CD55" s="15"/>
      <c r="CE55" s="16">
        <f t="shared" si="32"/>
        <v>0</v>
      </c>
      <c r="CF55" s="14"/>
      <c r="CG55" s="15"/>
      <c r="CH55" s="16">
        <f t="shared" si="49"/>
        <v>0</v>
      </c>
      <c r="CI55" s="14"/>
      <c r="CJ55" s="15"/>
      <c r="CK55" s="16">
        <f t="shared" si="50"/>
        <v>0</v>
      </c>
      <c r="CL55" s="14"/>
      <c r="CM55" s="15"/>
      <c r="CN55" s="16">
        <f t="shared" si="51"/>
        <v>0</v>
      </c>
      <c r="CO55" s="14"/>
      <c r="CP55" s="15"/>
      <c r="CQ55" s="16">
        <f t="shared" si="52"/>
        <v>0</v>
      </c>
      <c r="CR55" s="14"/>
      <c r="CS55" s="15"/>
      <c r="CT55" s="16">
        <f t="shared" si="53"/>
        <v>0</v>
      </c>
      <c r="CU55" s="17">
        <f t="shared" si="54"/>
        <v>5700</v>
      </c>
      <c r="CV55" s="16">
        <f t="shared" si="55"/>
        <v>0</v>
      </c>
      <c r="CW55" s="16">
        <f t="shared" si="56"/>
        <v>0</v>
      </c>
    </row>
  </sheetData>
  <autoFilter ref="A2:CW55" xr:uid="{00000000-0009-0000-0000-000002000000}"/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38"/>
  <sheetViews>
    <sheetView topLeftCell="A19" zoomScaleNormal="100" workbookViewId="0">
      <pane xSplit="1" topLeftCell="CK1" activePane="topRight" state="frozen"/>
      <selection pane="topRight" activeCell="A25" sqref="A25:XFD25"/>
    </sheetView>
  </sheetViews>
  <sheetFormatPr baseColWidth="10" defaultColWidth="10.7265625" defaultRowHeight="14.5" x14ac:dyDescent="0.35"/>
  <cols>
    <col min="1" max="1" width="56.26953125" customWidth="1"/>
    <col min="2" max="2" width="9.453125" customWidth="1"/>
    <col min="3" max="3" width="10.26953125" customWidth="1"/>
    <col min="4" max="4" width="7.1796875" customWidth="1"/>
    <col min="5" max="5" width="6.81640625" customWidth="1"/>
    <col min="6" max="6" width="12.7265625" bestFit="1" customWidth="1"/>
    <col min="7" max="7" width="16" bestFit="1" customWidth="1"/>
    <col min="8" max="8" width="16.54296875" bestFit="1" customWidth="1"/>
    <col min="9" max="9" width="12.7265625" bestFit="1" customWidth="1"/>
    <col min="10" max="10" width="16" bestFit="1" customWidth="1"/>
    <col min="11" max="11" width="16.54296875" bestFit="1" customWidth="1"/>
    <col min="12" max="12" width="12.7265625" bestFit="1" customWidth="1"/>
    <col min="13" max="13" width="16" bestFit="1" customWidth="1"/>
    <col min="14" max="14" width="16.54296875" bestFit="1" customWidth="1"/>
    <col min="15" max="15" width="12.7265625" bestFit="1" customWidth="1"/>
    <col min="16" max="16" width="16" bestFit="1" customWidth="1"/>
    <col min="17" max="17" width="16.54296875" bestFit="1" customWidth="1"/>
    <col min="18" max="18" width="12.7265625" bestFit="1" customWidth="1"/>
    <col min="19" max="19" width="13.26953125" bestFit="1" customWidth="1"/>
    <col min="20" max="20" width="16.54296875" bestFit="1" customWidth="1"/>
    <col min="21" max="21" width="12.7265625" bestFit="1" customWidth="1"/>
    <col min="22" max="23" width="16.54296875" bestFit="1" customWidth="1"/>
    <col min="24" max="24" width="12.7265625" bestFit="1" customWidth="1"/>
    <col min="25" max="25" width="16" bestFit="1" customWidth="1"/>
    <col min="26" max="26" width="16.54296875" bestFit="1" customWidth="1"/>
    <col min="27" max="27" width="12.7265625" bestFit="1" customWidth="1"/>
    <col min="28" max="28" width="16" bestFit="1" customWidth="1"/>
    <col min="29" max="29" width="16.54296875" bestFit="1" customWidth="1"/>
    <col min="30" max="30" width="12.7265625" bestFit="1" customWidth="1"/>
    <col min="31" max="31" width="16" bestFit="1" customWidth="1"/>
    <col min="32" max="32" width="16.54296875" bestFit="1" customWidth="1"/>
    <col min="33" max="33" width="12.7265625" bestFit="1" customWidth="1"/>
    <col min="34" max="34" width="16" bestFit="1" customWidth="1"/>
    <col min="35" max="35" width="16.54296875" bestFit="1" customWidth="1"/>
    <col min="36" max="36" width="12.7265625" bestFit="1" customWidth="1"/>
    <col min="37" max="37" width="16" bestFit="1" customWidth="1"/>
    <col min="38" max="38" width="16.54296875" bestFit="1" customWidth="1"/>
    <col min="39" max="39" width="12.7265625" bestFit="1" customWidth="1"/>
    <col min="40" max="41" width="16.54296875" bestFit="1" customWidth="1"/>
    <col min="42" max="42" width="12.7265625" bestFit="1" customWidth="1"/>
    <col min="43" max="43" width="13.26953125" bestFit="1" customWidth="1"/>
    <col min="44" max="44" width="16.54296875" bestFit="1" customWidth="1"/>
    <col min="45" max="45" width="12.7265625" bestFit="1" customWidth="1"/>
    <col min="46" max="46" width="16" bestFit="1" customWidth="1"/>
    <col min="47" max="47" width="16.54296875" bestFit="1" customWidth="1"/>
    <col min="48" max="48" width="12.7265625" bestFit="1" customWidth="1"/>
    <col min="49" max="50" width="16.54296875" bestFit="1" customWidth="1"/>
    <col min="51" max="51" width="12.7265625" bestFit="1" customWidth="1"/>
    <col min="52" max="53" width="16.54296875" bestFit="1" customWidth="1"/>
    <col min="54" max="54" width="12.7265625" bestFit="1" customWidth="1"/>
    <col min="55" max="55" width="16" bestFit="1" customWidth="1"/>
    <col min="56" max="56" width="16.54296875" bestFit="1" customWidth="1"/>
    <col min="57" max="57" width="12.7265625" bestFit="1" customWidth="1"/>
    <col min="58" max="58" width="16" bestFit="1" customWidth="1"/>
    <col min="59" max="59" width="16.54296875" bestFit="1" customWidth="1"/>
    <col min="60" max="60" width="12.7265625" bestFit="1" customWidth="1"/>
    <col min="61" max="61" width="16" bestFit="1" customWidth="1"/>
    <col min="62" max="62" width="16.54296875" bestFit="1" customWidth="1"/>
    <col min="63" max="63" width="12.7265625" bestFit="1" customWidth="1"/>
    <col min="64" max="64" width="16" bestFit="1" customWidth="1"/>
    <col min="65" max="65" width="16.54296875" bestFit="1" customWidth="1"/>
    <col min="66" max="66" width="12.7265625" bestFit="1" customWidth="1"/>
    <col min="67" max="68" width="16.54296875" bestFit="1" customWidth="1"/>
    <col min="69" max="69" width="12.7265625" bestFit="1" customWidth="1"/>
    <col min="70" max="70" width="16" bestFit="1" customWidth="1"/>
    <col min="71" max="71" width="16.54296875" bestFit="1" customWidth="1"/>
    <col min="72" max="72" width="12.7265625" bestFit="1" customWidth="1"/>
    <col min="73" max="73" width="16" bestFit="1" customWidth="1"/>
    <col min="74" max="74" width="16.54296875" bestFit="1" customWidth="1"/>
    <col min="75" max="75" width="12.7265625" bestFit="1" customWidth="1"/>
    <col min="76" max="76" width="16" bestFit="1" customWidth="1"/>
    <col min="77" max="77" width="16.54296875" bestFit="1" customWidth="1"/>
    <col min="78" max="78" width="12.7265625" bestFit="1" customWidth="1"/>
    <col min="79" max="79" width="16" bestFit="1" customWidth="1"/>
    <col min="80" max="80" width="16.54296875" bestFit="1" customWidth="1"/>
    <col min="81" max="81" width="12.7265625" bestFit="1" customWidth="1"/>
    <col min="82" max="82" width="16" bestFit="1" customWidth="1"/>
    <col min="83" max="83" width="16.54296875" bestFit="1" customWidth="1"/>
    <col min="84" max="84" width="12.7265625" bestFit="1" customWidth="1"/>
    <col min="85" max="86" width="16.54296875" bestFit="1" customWidth="1"/>
    <col min="87" max="87" width="12.7265625" bestFit="1" customWidth="1"/>
    <col min="88" max="88" width="16" bestFit="1" customWidth="1"/>
    <col min="89" max="89" width="16.54296875" bestFit="1" customWidth="1"/>
    <col min="90" max="90" width="12.7265625" bestFit="1" customWidth="1"/>
    <col min="91" max="91" width="12" bestFit="1" customWidth="1"/>
    <col min="92" max="92" width="16.54296875" bestFit="1" customWidth="1"/>
    <col min="93" max="93" width="12.7265625" bestFit="1" customWidth="1"/>
    <col min="94" max="94" width="16" bestFit="1" customWidth="1"/>
    <col min="95" max="95" width="16.54296875" bestFit="1" customWidth="1"/>
    <col min="96" max="96" width="12.7265625" bestFit="1" customWidth="1"/>
    <col min="97" max="97" width="16" bestFit="1" customWidth="1"/>
    <col min="98" max="98" width="16.54296875" bestFit="1" customWidth="1"/>
    <col min="99" max="99" width="12.7265625" bestFit="1" customWidth="1"/>
    <col min="100" max="100" width="16" bestFit="1" customWidth="1"/>
    <col min="101" max="101" width="16.54296875" bestFit="1" customWidth="1"/>
  </cols>
  <sheetData>
    <row r="1" spans="1:101" ht="18.75" customHeight="1" x14ac:dyDescent="0.35">
      <c r="A1" s="95" t="s">
        <v>7</v>
      </c>
      <c r="B1" s="45"/>
      <c r="C1" s="45"/>
      <c r="D1" s="45"/>
      <c r="E1" s="45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7" t="s">
        <v>828</v>
      </c>
      <c r="CV1" s="154"/>
      <c r="CW1" s="155"/>
    </row>
    <row r="2" spans="1:101" ht="16.5" customHeight="1" x14ac:dyDescent="0.35">
      <c r="A2" s="41" t="s">
        <v>829</v>
      </c>
      <c r="B2" s="41" t="s">
        <v>870</v>
      </c>
      <c r="C2" s="41" t="s">
        <v>4</v>
      </c>
      <c r="D2" s="46" t="s">
        <v>872</v>
      </c>
      <c r="E2" s="46" t="s">
        <v>832</v>
      </c>
      <c r="F2" s="46" t="s">
        <v>833</v>
      </c>
      <c r="G2" s="46" t="s">
        <v>834</v>
      </c>
      <c r="H2" s="46" t="s">
        <v>835</v>
      </c>
      <c r="I2" s="46" t="s">
        <v>833</v>
      </c>
      <c r="J2" s="46" t="s">
        <v>834</v>
      </c>
      <c r="K2" s="46" t="s">
        <v>835</v>
      </c>
      <c r="L2" s="46" t="s">
        <v>833</v>
      </c>
      <c r="M2" s="46" t="s">
        <v>834</v>
      </c>
      <c r="N2" s="46" t="s">
        <v>835</v>
      </c>
      <c r="O2" s="46" t="s">
        <v>833</v>
      </c>
      <c r="P2" s="46" t="s">
        <v>834</v>
      </c>
      <c r="Q2" s="46" t="s">
        <v>835</v>
      </c>
      <c r="R2" s="46" t="s">
        <v>833</v>
      </c>
      <c r="S2" s="46" t="s">
        <v>836</v>
      </c>
      <c r="T2" s="46" t="s">
        <v>835</v>
      </c>
      <c r="U2" s="46" t="s">
        <v>833</v>
      </c>
      <c r="V2" s="46" t="s">
        <v>834</v>
      </c>
      <c r="W2" s="46" t="s">
        <v>835</v>
      </c>
      <c r="X2" s="47" t="s">
        <v>833</v>
      </c>
      <c r="Y2" s="46" t="s">
        <v>834</v>
      </c>
      <c r="Z2" s="46" t="s">
        <v>835</v>
      </c>
      <c r="AA2" s="46" t="s">
        <v>833</v>
      </c>
      <c r="AB2" s="46" t="s">
        <v>834</v>
      </c>
      <c r="AC2" s="46" t="s">
        <v>835</v>
      </c>
      <c r="AD2" s="46" t="s">
        <v>833</v>
      </c>
      <c r="AE2" s="46" t="s">
        <v>834</v>
      </c>
      <c r="AF2" s="46" t="s">
        <v>835</v>
      </c>
      <c r="AG2" s="46" t="s">
        <v>833</v>
      </c>
      <c r="AH2" s="46" t="s">
        <v>834</v>
      </c>
      <c r="AI2" s="46" t="s">
        <v>835</v>
      </c>
      <c r="AJ2" s="46" t="s">
        <v>833</v>
      </c>
      <c r="AK2" s="46" t="s">
        <v>834</v>
      </c>
      <c r="AL2" s="46" t="s">
        <v>835</v>
      </c>
      <c r="AM2" s="46" t="s">
        <v>833</v>
      </c>
      <c r="AN2" s="46" t="s">
        <v>834</v>
      </c>
      <c r="AO2" s="46" t="s">
        <v>835</v>
      </c>
      <c r="AP2" s="46" t="s">
        <v>833</v>
      </c>
      <c r="AQ2" s="46" t="s">
        <v>836</v>
      </c>
      <c r="AR2" s="46" t="s">
        <v>835</v>
      </c>
      <c r="AS2" s="46" t="s">
        <v>833</v>
      </c>
      <c r="AT2" s="46" t="s">
        <v>834</v>
      </c>
      <c r="AU2" s="46" t="s">
        <v>835</v>
      </c>
      <c r="AV2" s="46" t="s">
        <v>833</v>
      </c>
      <c r="AW2" s="46" t="s">
        <v>834</v>
      </c>
      <c r="AX2" s="46" t="s">
        <v>835</v>
      </c>
      <c r="AY2" s="46" t="s">
        <v>833</v>
      </c>
      <c r="AZ2" s="46" t="s">
        <v>834</v>
      </c>
      <c r="BA2" s="46" t="s">
        <v>835</v>
      </c>
      <c r="BB2" s="46" t="s">
        <v>833</v>
      </c>
      <c r="BC2" s="46" t="s">
        <v>834</v>
      </c>
      <c r="BD2" s="46" t="s">
        <v>835</v>
      </c>
      <c r="BE2" s="46" t="s">
        <v>833</v>
      </c>
      <c r="BF2" s="46" t="s">
        <v>834</v>
      </c>
      <c r="BG2" s="46" t="s">
        <v>835</v>
      </c>
      <c r="BH2" s="46" t="s">
        <v>833</v>
      </c>
      <c r="BI2" s="46" t="s">
        <v>834</v>
      </c>
      <c r="BJ2" s="46" t="s">
        <v>835</v>
      </c>
      <c r="BK2" s="46" t="s">
        <v>833</v>
      </c>
      <c r="BL2" s="46" t="s">
        <v>834</v>
      </c>
      <c r="BM2" s="46" t="s">
        <v>835</v>
      </c>
      <c r="BN2" s="46" t="s">
        <v>833</v>
      </c>
      <c r="BO2" s="46" t="s">
        <v>836</v>
      </c>
      <c r="BP2" s="46" t="s">
        <v>835</v>
      </c>
      <c r="BQ2" s="46" t="s">
        <v>833</v>
      </c>
      <c r="BR2" s="46" t="s">
        <v>834</v>
      </c>
      <c r="BS2" s="46" t="s">
        <v>835</v>
      </c>
      <c r="BT2" s="46" t="s">
        <v>833</v>
      </c>
      <c r="BU2" s="46" t="s">
        <v>834</v>
      </c>
      <c r="BV2" s="46" t="s">
        <v>835</v>
      </c>
      <c r="BW2" s="46" t="s">
        <v>833</v>
      </c>
      <c r="BX2" s="46" t="s">
        <v>834</v>
      </c>
      <c r="BY2" s="46" t="s">
        <v>835</v>
      </c>
      <c r="BZ2" s="46" t="s">
        <v>833</v>
      </c>
      <c r="CA2" s="46" t="s">
        <v>834</v>
      </c>
      <c r="CB2" s="46" t="s">
        <v>835</v>
      </c>
      <c r="CC2" s="46" t="s">
        <v>833</v>
      </c>
      <c r="CD2" s="46" t="s">
        <v>834</v>
      </c>
      <c r="CE2" s="46" t="s">
        <v>835</v>
      </c>
      <c r="CF2" s="46" t="s">
        <v>833</v>
      </c>
      <c r="CG2" s="46" t="s">
        <v>834</v>
      </c>
      <c r="CH2" s="46" t="s">
        <v>835</v>
      </c>
      <c r="CI2" s="46" t="s">
        <v>833</v>
      </c>
      <c r="CJ2" s="46" t="s">
        <v>834</v>
      </c>
      <c r="CK2" s="46" t="s">
        <v>835</v>
      </c>
      <c r="CL2" s="46" t="s">
        <v>833</v>
      </c>
      <c r="CM2" s="46" t="s">
        <v>836</v>
      </c>
      <c r="CN2" s="46" t="s">
        <v>835</v>
      </c>
      <c r="CO2" s="46" t="s">
        <v>833</v>
      </c>
      <c r="CP2" s="46" t="s">
        <v>834</v>
      </c>
      <c r="CQ2" s="46" t="s">
        <v>835</v>
      </c>
      <c r="CR2" s="46" t="s">
        <v>833</v>
      </c>
      <c r="CS2" s="46" t="s">
        <v>834</v>
      </c>
      <c r="CT2" s="46" t="s">
        <v>835</v>
      </c>
      <c r="CU2" s="46" t="s">
        <v>833</v>
      </c>
      <c r="CV2" s="46" t="s">
        <v>834</v>
      </c>
      <c r="CW2" s="46" t="s">
        <v>835</v>
      </c>
    </row>
    <row r="3" spans="1:101" ht="15.75" customHeight="1" x14ac:dyDescent="0.35">
      <c r="A3" s="41" t="s">
        <v>377</v>
      </c>
      <c r="B3" s="41" t="s">
        <v>956</v>
      </c>
      <c r="C3" s="42"/>
      <c r="D3" s="43"/>
      <c r="E3" s="78">
        <f t="shared" ref="E3:E20" si="0">IFERROR(+C3*D3, 0)</f>
        <v>0</v>
      </c>
      <c r="F3" s="14"/>
      <c r="G3" s="15"/>
      <c r="H3" s="16">
        <f t="shared" ref="H3:H11" si="1">IFERROR(F3*G3, 0)</f>
        <v>0</v>
      </c>
      <c r="I3" s="14"/>
      <c r="J3" s="15"/>
      <c r="K3" s="16">
        <f t="shared" ref="K3:K11" si="2">IFERROR(I3*J3, 0)</f>
        <v>0</v>
      </c>
      <c r="L3" s="14"/>
      <c r="M3" s="15"/>
      <c r="N3" s="16">
        <f t="shared" ref="N3:N11" si="3">IFERROR(L3*M3, 0)</f>
        <v>0</v>
      </c>
      <c r="O3" s="14"/>
      <c r="P3" s="15"/>
      <c r="Q3" s="16">
        <f t="shared" ref="Q3:Q11" si="4">IFERROR(O3*P3, 0)</f>
        <v>0</v>
      </c>
      <c r="R3" s="14"/>
      <c r="S3" s="15"/>
      <c r="T3" s="16">
        <f t="shared" ref="T3:T38" si="5">IFERROR(R3*S3, 0)</f>
        <v>0</v>
      </c>
      <c r="U3" s="14"/>
      <c r="V3" s="15"/>
      <c r="W3" s="16">
        <f t="shared" ref="W3:W11" si="6">IFERROR(U3*V3, 0)</f>
        <v>0</v>
      </c>
      <c r="X3" s="14"/>
      <c r="Y3" s="15"/>
      <c r="Z3" s="16">
        <f t="shared" ref="Z3:Z11" si="7">IFERROR(X3*Y3, 0)</f>
        <v>0</v>
      </c>
      <c r="AA3" s="14"/>
      <c r="AB3" s="15"/>
      <c r="AC3" s="16">
        <f t="shared" ref="AC3:AC11" si="8">IFERROR(AA3*AB3, 0)</f>
        <v>0</v>
      </c>
      <c r="AD3" s="14">
        <v>1</v>
      </c>
      <c r="AE3" s="15">
        <v>900000</v>
      </c>
      <c r="AF3" s="16">
        <v>900000</v>
      </c>
      <c r="AG3" s="14">
        <v>1</v>
      </c>
      <c r="AH3" s="15">
        <v>72000</v>
      </c>
      <c r="AI3" s="16">
        <v>72000</v>
      </c>
      <c r="AJ3" s="14"/>
      <c r="AK3" s="15"/>
      <c r="AL3" s="16">
        <f t="shared" ref="AL3:AL21" si="9">IFERROR(AJ3*AK3, 0)</f>
        <v>0</v>
      </c>
      <c r="AM3" s="14"/>
      <c r="AN3" s="15"/>
      <c r="AO3" s="16">
        <f t="shared" ref="AO3:AO15" si="10">IFERROR(AM3*AN3, 0)</f>
        <v>0</v>
      </c>
      <c r="AP3" s="14"/>
      <c r="AQ3" s="15"/>
      <c r="AR3" s="16">
        <f t="shared" ref="AR3:AR11" si="11">IFERROR(AP3*AQ3, 0)</f>
        <v>0</v>
      </c>
      <c r="AS3" s="14"/>
      <c r="AT3" s="15"/>
      <c r="AU3" s="16">
        <f>IFERROR(AS3*AT3, 0)</f>
        <v>0</v>
      </c>
      <c r="AV3" s="14">
        <v>2</v>
      </c>
      <c r="AW3" s="15">
        <v>13804696</v>
      </c>
      <c r="AX3" s="16">
        <v>15629983.449999999</v>
      </c>
      <c r="AY3" s="14"/>
      <c r="AZ3" s="15"/>
      <c r="BA3" s="16">
        <f>IFERROR(AY3*AZ3, 0)</f>
        <v>0</v>
      </c>
      <c r="BB3" s="14"/>
      <c r="BC3" s="15"/>
      <c r="BD3" s="16">
        <f t="shared" ref="BD3:BD11" si="12">IFERROR(BB3*BC3, 0)</f>
        <v>0</v>
      </c>
      <c r="BE3" s="14"/>
      <c r="BF3" s="15"/>
      <c r="BG3" s="16">
        <f t="shared" ref="BG3:BG11" si="13">IFERROR(BE3*BF3, 0)</f>
        <v>0</v>
      </c>
      <c r="BH3" s="14"/>
      <c r="BI3" s="15"/>
      <c r="BJ3" s="16">
        <f>IFERROR(BH3*BI3, 0)</f>
        <v>0</v>
      </c>
      <c r="BK3" s="14"/>
      <c r="BL3" s="15"/>
      <c r="BM3" s="16">
        <f t="shared" ref="BM3:BM11" si="14">IFERROR(BK3*BL3, 0)</f>
        <v>0</v>
      </c>
      <c r="BN3" s="14"/>
      <c r="BO3" s="15"/>
      <c r="BP3" s="16">
        <f t="shared" ref="BP3:BP38" si="15">IFERROR(BN3*BO3, 0)</f>
        <v>0</v>
      </c>
      <c r="BQ3" s="14"/>
      <c r="BR3" s="15"/>
      <c r="BS3" s="16">
        <f t="shared" ref="BS3:BS20" si="16">IFERROR(BQ3*BR3, 0)</f>
        <v>0</v>
      </c>
      <c r="BT3" s="14"/>
      <c r="BU3" s="15"/>
      <c r="BV3" s="16">
        <f t="shared" ref="BV3:BV22" si="17">IFERROR(BT3*BU3, 0)</f>
        <v>0</v>
      </c>
      <c r="BW3" s="14"/>
      <c r="BX3" s="15"/>
      <c r="BY3" s="16">
        <f t="shared" ref="BY3:BY38" si="18">IFERROR(BW3*BX3, 0)</f>
        <v>0</v>
      </c>
      <c r="BZ3" s="14"/>
      <c r="CA3" s="15"/>
      <c r="CB3" s="16">
        <f t="shared" ref="CB3:CB38" si="19">IFERROR(BZ3*CA3, 0)</f>
        <v>0</v>
      </c>
      <c r="CC3" s="14"/>
      <c r="CD3" s="15"/>
      <c r="CE3" s="16">
        <f t="shared" ref="CE3:CE38" si="20">IFERROR(CC3*CD3, 0)</f>
        <v>0</v>
      </c>
      <c r="CF3" s="14"/>
      <c r="CG3" s="15"/>
      <c r="CH3" s="16">
        <f t="shared" ref="CH3:CH38" si="21">IFERROR(CF3*CG3, 0)</f>
        <v>0</v>
      </c>
      <c r="CI3" s="14"/>
      <c r="CJ3" s="15"/>
      <c r="CK3" s="16">
        <f>IFERROR(CI3*CJ3, 0)</f>
        <v>0</v>
      </c>
      <c r="CL3" s="14"/>
      <c r="CM3" s="15"/>
      <c r="CN3" s="16">
        <f t="shared" ref="CN3:CN38" si="22">IFERROR(CL3*CM3, 0)</f>
        <v>0</v>
      </c>
      <c r="CO3" s="14"/>
      <c r="CP3" s="15"/>
      <c r="CQ3" s="16">
        <f t="shared" ref="CQ3:CQ38" si="23">IFERROR(CO3*CP3, 0)</f>
        <v>0</v>
      </c>
      <c r="CR3" s="14"/>
      <c r="CS3" s="15"/>
      <c r="CT3" s="16">
        <f t="shared" ref="CT3:CT38" si="24">IFERROR(CR3*CS3, 0)</f>
        <v>0</v>
      </c>
      <c r="CU3" s="17">
        <f t="shared" ref="CU3:CU38" si="25">IFERROR(SUM(F3,I3,L3,O3,R3,U3,X3,AA3,AD3,AG3,AJ3,AM3,AP3,AS3,AV3,AY3,BB3,BE3,BH3,BK3,BN3,BQ3,BT3,BW3,BZ3,CC3,CF3,CI3,CL3,CO3,CR3), 0)</f>
        <v>4</v>
      </c>
      <c r="CV3" s="77">
        <f t="shared" ref="CV3:CV38" si="26">IFERROR(AVERAGE(G3,J3,M3,P3,S3,V3,Y3,AB3,AE3,AH3,AK3,AN3,AQ3,AT3,AW3,AZ3,BC3,BF3,BI3,BL3,BO3,BR3,BU3,BX3,CA3,CD3,CG3,CJ3,CM3,CP3,CS3), 0)</f>
        <v>4925565.333333333</v>
      </c>
      <c r="CW3" s="16">
        <f t="shared" ref="CW3:CW38" si="27">CV3*CU3</f>
        <v>19702261.333333332</v>
      </c>
    </row>
    <row r="4" spans="1:101" ht="15.75" customHeight="1" x14ac:dyDescent="0.35">
      <c r="A4" s="41" t="s">
        <v>537</v>
      </c>
      <c r="B4" s="37" t="s">
        <v>956</v>
      </c>
      <c r="C4" s="19"/>
      <c r="D4" s="20"/>
      <c r="E4" s="78">
        <f t="shared" si="0"/>
        <v>0</v>
      </c>
      <c r="F4" s="14"/>
      <c r="G4" s="15"/>
      <c r="H4" s="16">
        <f t="shared" si="1"/>
        <v>0</v>
      </c>
      <c r="I4" s="14"/>
      <c r="J4" s="15"/>
      <c r="K4" s="16">
        <f t="shared" si="2"/>
        <v>0</v>
      </c>
      <c r="L4" s="14"/>
      <c r="M4" s="15"/>
      <c r="N4" s="16">
        <f t="shared" si="3"/>
        <v>0</v>
      </c>
      <c r="O4" s="14"/>
      <c r="P4" s="15"/>
      <c r="Q4" s="16">
        <f t="shared" si="4"/>
        <v>0</v>
      </c>
      <c r="R4" s="14"/>
      <c r="S4" s="15"/>
      <c r="T4" s="16">
        <f t="shared" si="5"/>
        <v>0</v>
      </c>
      <c r="U4" s="14"/>
      <c r="V4" s="15"/>
      <c r="W4" s="16">
        <f t="shared" si="6"/>
        <v>0</v>
      </c>
      <c r="X4" s="14"/>
      <c r="Y4" s="15"/>
      <c r="Z4" s="16">
        <f t="shared" si="7"/>
        <v>0</v>
      </c>
      <c r="AA4" s="14"/>
      <c r="AB4" s="15"/>
      <c r="AC4" s="16">
        <f t="shared" si="8"/>
        <v>0</v>
      </c>
      <c r="AD4" s="14"/>
      <c r="AE4" s="15"/>
      <c r="AF4" s="16">
        <f>IFERROR(AD4*AE4, 0)</f>
        <v>0</v>
      </c>
      <c r="AG4" s="14"/>
      <c r="AH4" s="15"/>
      <c r="AI4" s="16">
        <f>IFERROR(AG4*AH4, 0)</f>
        <v>0</v>
      </c>
      <c r="AJ4" s="14"/>
      <c r="AK4" s="15"/>
      <c r="AL4" s="16">
        <f t="shared" si="9"/>
        <v>0</v>
      </c>
      <c r="AM4" s="14"/>
      <c r="AN4" s="15"/>
      <c r="AO4" s="16">
        <f t="shared" si="10"/>
        <v>0</v>
      </c>
      <c r="AP4" s="14"/>
      <c r="AQ4" s="15"/>
      <c r="AR4" s="16">
        <f t="shared" si="11"/>
        <v>0</v>
      </c>
      <c r="AS4" s="14"/>
      <c r="AT4" s="15"/>
      <c r="AU4" s="16">
        <f>IFERROR(AS4*AT4, 0)</f>
        <v>0</v>
      </c>
      <c r="AV4" s="14">
        <v>2</v>
      </c>
      <c r="AW4" s="15">
        <v>213280.13</v>
      </c>
      <c r="AX4" s="16">
        <v>386529.85</v>
      </c>
      <c r="AY4" s="14"/>
      <c r="AZ4" s="15"/>
      <c r="BA4" s="16">
        <f>IFERROR(AY4*AZ4, 0)</f>
        <v>0</v>
      </c>
      <c r="BB4" s="14"/>
      <c r="BC4" s="15"/>
      <c r="BD4" s="16">
        <f t="shared" si="12"/>
        <v>0</v>
      </c>
      <c r="BE4" s="14"/>
      <c r="BF4" s="15"/>
      <c r="BG4" s="16">
        <f t="shared" si="13"/>
        <v>0</v>
      </c>
      <c r="BH4" s="14"/>
      <c r="BI4" s="15"/>
      <c r="BJ4" s="16">
        <f>IFERROR(BH4*BI4, 0)</f>
        <v>0</v>
      </c>
      <c r="BK4" s="14"/>
      <c r="BL4" s="15"/>
      <c r="BM4" s="16">
        <f t="shared" si="14"/>
        <v>0</v>
      </c>
      <c r="BN4" s="14"/>
      <c r="BO4" s="15"/>
      <c r="BP4" s="16">
        <f t="shared" si="15"/>
        <v>0</v>
      </c>
      <c r="BQ4" s="14"/>
      <c r="BR4" s="15"/>
      <c r="BS4" s="16">
        <f t="shared" si="16"/>
        <v>0</v>
      </c>
      <c r="BT4" s="14"/>
      <c r="BU4" s="15"/>
      <c r="BV4" s="16">
        <f t="shared" si="17"/>
        <v>0</v>
      </c>
      <c r="BW4" s="14"/>
      <c r="BX4" s="15"/>
      <c r="BY4" s="16">
        <f t="shared" si="18"/>
        <v>0</v>
      </c>
      <c r="BZ4" s="14"/>
      <c r="CA4" s="15"/>
      <c r="CB4" s="16">
        <f t="shared" si="19"/>
        <v>0</v>
      </c>
      <c r="CC4" s="14"/>
      <c r="CD4" s="15"/>
      <c r="CE4" s="16">
        <f t="shared" si="20"/>
        <v>0</v>
      </c>
      <c r="CF4" s="14"/>
      <c r="CG4" s="15"/>
      <c r="CH4" s="16">
        <f t="shared" si="21"/>
        <v>0</v>
      </c>
      <c r="CI4" s="14"/>
      <c r="CJ4" s="15"/>
      <c r="CK4" s="16">
        <f>IFERROR(CI4*CJ4, 0)</f>
        <v>0</v>
      </c>
      <c r="CL4" s="14"/>
      <c r="CM4" s="15"/>
      <c r="CN4" s="16">
        <f t="shared" si="22"/>
        <v>0</v>
      </c>
      <c r="CO4" s="14"/>
      <c r="CP4" s="15"/>
      <c r="CQ4" s="16">
        <f t="shared" si="23"/>
        <v>0</v>
      </c>
      <c r="CR4" s="14"/>
      <c r="CS4" s="15"/>
      <c r="CT4" s="16">
        <f t="shared" si="24"/>
        <v>0</v>
      </c>
      <c r="CU4" s="17">
        <f t="shared" si="25"/>
        <v>2</v>
      </c>
      <c r="CV4" s="77">
        <f t="shared" si="26"/>
        <v>213280.13</v>
      </c>
      <c r="CW4" s="16">
        <f t="shared" si="27"/>
        <v>426560.26</v>
      </c>
    </row>
    <row r="5" spans="1:101" ht="15" customHeight="1" x14ac:dyDescent="0.35">
      <c r="A5" s="37" t="s">
        <v>406</v>
      </c>
      <c r="B5" s="37" t="s">
        <v>956</v>
      </c>
      <c r="C5" s="19"/>
      <c r="D5" s="20"/>
      <c r="E5" s="78">
        <f t="shared" si="0"/>
        <v>0</v>
      </c>
      <c r="F5" s="14"/>
      <c r="G5" s="15"/>
      <c r="H5" s="16">
        <f t="shared" si="1"/>
        <v>0</v>
      </c>
      <c r="I5" s="14"/>
      <c r="J5" s="15"/>
      <c r="K5" s="16">
        <f t="shared" si="2"/>
        <v>0</v>
      </c>
      <c r="L5" s="14"/>
      <c r="M5" s="15"/>
      <c r="N5" s="16">
        <f t="shared" si="3"/>
        <v>0</v>
      </c>
      <c r="O5" s="14"/>
      <c r="P5" s="15"/>
      <c r="Q5" s="16">
        <f t="shared" si="4"/>
        <v>0</v>
      </c>
      <c r="R5" s="14"/>
      <c r="S5" s="15"/>
      <c r="T5" s="16">
        <f t="shared" si="5"/>
        <v>0</v>
      </c>
      <c r="U5" s="14"/>
      <c r="V5" s="15"/>
      <c r="W5" s="16">
        <f t="shared" si="6"/>
        <v>0</v>
      </c>
      <c r="X5" s="14"/>
      <c r="Y5" s="15"/>
      <c r="Z5" s="16">
        <f t="shared" si="7"/>
        <v>0</v>
      </c>
      <c r="AA5" s="14"/>
      <c r="AB5" s="15"/>
      <c r="AC5" s="16">
        <f t="shared" si="8"/>
        <v>0</v>
      </c>
      <c r="AD5" s="14"/>
      <c r="AE5" s="15"/>
      <c r="AF5" s="16">
        <f>IFERROR(AD5*AE5, 0)</f>
        <v>0</v>
      </c>
      <c r="AG5" s="14">
        <v>2</v>
      </c>
      <c r="AH5" s="15">
        <v>1700</v>
      </c>
      <c r="AI5" s="16">
        <v>3400</v>
      </c>
      <c r="AJ5" s="14"/>
      <c r="AK5" s="15"/>
      <c r="AL5" s="16">
        <f t="shared" si="9"/>
        <v>0</v>
      </c>
      <c r="AM5" s="14"/>
      <c r="AN5" s="15"/>
      <c r="AO5" s="16">
        <f t="shared" si="10"/>
        <v>0</v>
      </c>
      <c r="AP5" s="14"/>
      <c r="AQ5" s="15"/>
      <c r="AR5" s="16">
        <f t="shared" si="11"/>
        <v>0</v>
      </c>
      <c r="AS5" s="14"/>
      <c r="AT5" s="15"/>
      <c r="AU5" s="16">
        <f>IFERROR(AS5*AT5, 0)</f>
        <v>0</v>
      </c>
      <c r="AV5" s="14"/>
      <c r="AW5" s="15"/>
      <c r="AX5" s="16">
        <f t="shared" ref="AX5:AX21" si="28">IFERROR(AV5*AW5, 0)</f>
        <v>0</v>
      </c>
      <c r="AY5" s="14"/>
      <c r="AZ5" s="15"/>
      <c r="BA5" s="16">
        <f>IFERROR(AY5*AZ5, 0)</f>
        <v>0</v>
      </c>
      <c r="BB5" s="14"/>
      <c r="BC5" s="15"/>
      <c r="BD5" s="16">
        <f t="shared" si="12"/>
        <v>0</v>
      </c>
      <c r="BE5" s="14"/>
      <c r="BF5" s="15"/>
      <c r="BG5" s="16">
        <f t="shared" si="13"/>
        <v>0</v>
      </c>
      <c r="BH5" s="14">
        <v>1</v>
      </c>
      <c r="BI5" s="15">
        <v>32950</v>
      </c>
      <c r="BJ5" s="16">
        <v>32950</v>
      </c>
      <c r="BK5" s="14"/>
      <c r="BL5" s="15"/>
      <c r="BM5" s="16">
        <f t="shared" si="14"/>
        <v>0</v>
      </c>
      <c r="BN5" s="14"/>
      <c r="BO5" s="15"/>
      <c r="BP5" s="16">
        <f t="shared" si="15"/>
        <v>0</v>
      </c>
      <c r="BQ5" s="14"/>
      <c r="BR5" s="15"/>
      <c r="BS5" s="16">
        <f t="shared" si="16"/>
        <v>0</v>
      </c>
      <c r="BT5" s="14"/>
      <c r="BU5" s="15"/>
      <c r="BV5" s="16">
        <f t="shared" si="17"/>
        <v>0</v>
      </c>
      <c r="BW5" s="14"/>
      <c r="BX5" s="15"/>
      <c r="BY5" s="16">
        <f t="shared" si="18"/>
        <v>0</v>
      </c>
      <c r="BZ5" s="14"/>
      <c r="CA5" s="15"/>
      <c r="CB5" s="16">
        <f t="shared" si="19"/>
        <v>0</v>
      </c>
      <c r="CC5" s="14"/>
      <c r="CD5" s="15"/>
      <c r="CE5" s="16">
        <f t="shared" si="20"/>
        <v>0</v>
      </c>
      <c r="CF5" s="14"/>
      <c r="CG5" s="15"/>
      <c r="CH5" s="16">
        <f t="shared" si="21"/>
        <v>0</v>
      </c>
      <c r="CI5" s="14"/>
      <c r="CJ5" s="15"/>
      <c r="CK5" s="16">
        <f>IFERROR(CI5*CJ5, 0)</f>
        <v>0</v>
      </c>
      <c r="CL5" s="14"/>
      <c r="CM5" s="15"/>
      <c r="CN5" s="16">
        <f t="shared" si="22"/>
        <v>0</v>
      </c>
      <c r="CO5" s="14"/>
      <c r="CP5" s="15"/>
      <c r="CQ5" s="16">
        <f t="shared" si="23"/>
        <v>0</v>
      </c>
      <c r="CR5" s="14"/>
      <c r="CS5" s="15"/>
      <c r="CT5" s="16">
        <f t="shared" si="24"/>
        <v>0</v>
      </c>
      <c r="CU5" s="17">
        <f t="shared" si="25"/>
        <v>3</v>
      </c>
      <c r="CV5" s="77">
        <f t="shared" si="26"/>
        <v>17325</v>
      </c>
      <c r="CW5" s="16">
        <f t="shared" si="27"/>
        <v>51975</v>
      </c>
    </row>
    <row r="6" spans="1:101" ht="15" customHeight="1" x14ac:dyDescent="0.35">
      <c r="A6" s="37" t="s">
        <v>554</v>
      </c>
      <c r="B6" s="37" t="s">
        <v>956</v>
      </c>
      <c r="C6" s="19"/>
      <c r="D6" s="20"/>
      <c r="E6" s="78">
        <f t="shared" si="0"/>
        <v>0</v>
      </c>
      <c r="F6" s="14"/>
      <c r="G6" s="15"/>
      <c r="H6" s="16">
        <f t="shared" si="1"/>
        <v>0</v>
      </c>
      <c r="I6" s="14"/>
      <c r="J6" s="15"/>
      <c r="K6" s="16">
        <f t="shared" si="2"/>
        <v>0</v>
      </c>
      <c r="L6" s="14"/>
      <c r="M6" s="15"/>
      <c r="N6" s="16">
        <f t="shared" si="3"/>
        <v>0</v>
      </c>
      <c r="O6" s="14"/>
      <c r="P6" s="15"/>
      <c r="Q6" s="16">
        <f t="shared" si="4"/>
        <v>0</v>
      </c>
      <c r="R6" s="14"/>
      <c r="S6" s="15"/>
      <c r="T6" s="16">
        <f t="shared" si="5"/>
        <v>0</v>
      </c>
      <c r="U6" s="14"/>
      <c r="V6" s="15"/>
      <c r="W6" s="16">
        <f t="shared" si="6"/>
        <v>0</v>
      </c>
      <c r="X6" s="14"/>
      <c r="Y6" s="15"/>
      <c r="Z6" s="16">
        <f t="shared" si="7"/>
        <v>0</v>
      </c>
      <c r="AA6" s="14"/>
      <c r="AB6" s="15"/>
      <c r="AC6" s="16">
        <f t="shared" si="8"/>
        <v>0</v>
      </c>
      <c r="AD6" s="14"/>
      <c r="AE6" s="15"/>
      <c r="AF6" s="16">
        <f>IFERROR(AD6*AE6, 0)</f>
        <v>0</v>
      </c>
      <c r="AG6" s="14"/>
      <c r="AH6" s="15"/>
      <c r="AI6" s="16">
        <f>IFERROR(AG6*AH6, 0)</f>
        <v>0</v>
      </c>
      <c r="AJ6" s="14"/>
      <c r="AK6" s="15"/>
      <c r="AL6" s="16">
        <f t="shared" si="9"/>
        <v>0</v>
      </c>
      <c r="AM6" s="14"/>
      <c r="AN6" s="15"/>
      <c r="AO6" s="16">
        <f t="shared" si="10"/>
        <v>0</v>
      </c>
      <c r="AP6" s="14"/>
      <c r="AQ6" s="15"/>
      <c r="AR6" s="16">
        <f t="shared" si="11"/>
        <v>0</v>
      </c>
      <c r="AS6" s="14"/>
      <c r="AT6" s="15"/>
      <c r="AU6" s="16">
        <f>IFERROR(AS6*AT6, 0)</f>
        <v>0</v>
      </c>
      <c r="AV6" s="14"/>
      <c r="AW6" s="15"/>
      <c r="AX6" s="16">
        <f t="shared" si="28"/>
        <v>0</v>
      </c>
      <c r="AY6" s="14">
        <v>1</v>
      </c>
      <c r="AZ6" s="15">
        <v>160500</v>
      </c>
      <c r="BA6" s="16">
        <v>160500</v>
      </c>
      <c r="BB6" s="14"/>
      <c r="BC6" s="15"/>
      <c r="BD6" s="16">
        <f t="shared" si="12"/>
        <v>0</v>
      </c>
      <c r="BE6" s="14"/>
      <c r="BF6" s="15"/>
      <c r="BG6" s="16">
        <f t="shared" si="13"/>
        <v>0</v>
      </c>
      <c r="BH6" s="14"/>
      <c r="BI6" s="15"/>
      <c r="BJ6" s="16">
        <f t="shared" ref="BJ6:BJ38" si="29">IFERROR(BH6*BI6, 0)</f>
        <v>0</v>
      </c>
      <c r="BK6" s="14"/>
      <c r="BL6" s="15"/>
      <c r="BM6" s="16">
        <f t="shared" si="14"/>
        <v>0</v>
      </c>
      <c r="BN6" s="14"/>
      <c r="BO6" s="15"/>
      <c r="BP6" s="16">
        <f t="shared" si="15"/>
        <v>0</v>
      </c>
      <c r="BQ6" s="14"/>
      <c r="BR6" s="15"/>
      <c r="BS6" s="16">
        <f t="shared" si="16"/>
        <v>0</v>
      </c>
      <c r="BT6" s="14"/>
      <c r="BU6" s="15"/>
      <c r="BV6" s="16">
        <f t="shared" si="17"/>
        <v>0</v>
      </c>
      <c r="BW6" s="14"/>
      <c r="BX6" s="15"/>
      <c r="BY6" s="16">
        <f t="shared" si="18"/>
        <v>0</v>
      </c>
      <c r="BZ6" s="14"/>
      <c r="CA6" s="15"/>
      <c r="CB6" s="16">
        <f t="shared" si="19"/>
        <v>0</v>
      </c>
      <c r="CC6" s="14"/>
      <c r="CD6" s="15"/>
      <c r="CE6" s="16">
        <f t="shared" si="20"/>
        <v>0</v>
      </c>
      <c r="CF6" s="14"/>
      <c r="CG6" s="15"/>
      <c r="CH6" s="16">
        <f t="shared" si="21"/>
        <v>0</v>
      </c>
      <c r="CI6" s="14"/>
      <c r="CJ6" s="15"/>
      <c r="CK6" s="16">
        <f>IFERROR(CI6*CJ6, 0)</f>
        <v>0</v>
      </c>
      <c r="CL6" s="14"/>
      <c r="CM6" s="15"/>
      <c r="CN6" s="16">
        <f t="shared" si="22"/>
        <v>0</v>
      </c>
      <c r="CO6" s="14"/>
      <c r="CP6" s="15"/>
      <c r="CQ6" s="16">
        <f t="shared" si="23"/>
        <v>0</v>
      </c>
      <c r="CR6" s="14"/>
      <c r="CS6" s="15"/>
      <c r="CT6" s="16">
        <f t="shared" si="24"/>
        <v>0</v>
      </c>
      <c r="CU6" s="17">
        <f t="shared" si="25"/>
        <v>1</v>
      </c>
      <c r="CV6" s="77">
        <f t="shared" si="26"/>
        <v>160500</v>
      </c>
      <c r="CW6" s="16">
        <f t="shared" si="27"/>
        <v>160500</v>
      </c>
    </row>
    <row r="7" spans="1:101" ht="15" customHeight="1" x14ac:dyDescent="0.35">
      <c r="A7" s="80" t="s">
        <v>387</v>
      </c>
      <c r="B7" s="37" t="s">
        <v>956</v>
      </c>
      <c r="C7" s="80"/>
      <c r="D7" s="80"/>
      <c r="E7" s="78">
        <f t="shared" si="0"/>
        <v>0</v>
      </c>
      <c r="F7" s="14"/>
      <c r="G7" s="15"/>
      <c r="H7" s="16">
        <f t="shared" si="1"/>
        <v>0</v>
      </c>
      <c r="I7" s="14"/>
      <c r="J7" s="15"/>
      <c r="K7" s="16">
        <f t="shared" si="2"/>
        <v>0</v>
      </c>
      <c r="L7" s="14"/>
      <c r="M7" s="15"/>
      <c r="N7" s="16">
        <f t="shared" si="3"/>
        <v>0</v>
      </c>
      <c r="O7" s="14"/>
      <c r="P7" s="15"/>
      <c r="Q7" s="16">
        <f t="shared" si="4"/>
        <v>0</v>
      </c>
      <c r="R7" s="14"/>
      <c r="S7" s="15"/>
      <c r="T7" s="16">
        <f t="shared" si="5"/>
        <v>0</v>
      </c>
      <c r="U7" s="14"/>
      <c r="V7" s="15"/>
      <c r="W7" s="16">
        <f t="shared" si="6"/>
        <v>0</v>
      </c>
      <c r="X7" s="14"/>
      <c r="Y7" s="15"/>
      <c r="Z7" s="16">
        <f t="shared" si="7"/>
        <v>0</v>
      </c>
      <c r="AA7" s="14"/>
      <c r="AB7" s="15"/>
      <c r="AC7" s="16">
        <f t="shared" si="8"/>
        <v>0</v>
      </c>
      <c r="AD7" s="14">
        <v>1</v>
      </c>
      <c r="AE7" s="15">
        <v>106180</v>
      </c>
      <c r="AF7" s="16">
        <v>106180</v>
      </c>
      <c r="AG7" s="14"/>
      <c r="AH7" s="15"/>
      <c r="AI7" s="16">
        <f>IFERROR(AG7*AH7, 0)</f>
        <v>0</v>
      </c>
      <c r="AJ7" s="14"/>
      <c r="AK7" s="15"/>
      <c r="AL7" s="16">
        <f t="shared" si="9"/>
        <v>0</v>
      </c>
      <c r="AM7" s="14"/>
      <c r="AN7" s="15"/>
      <c r="AO7" s="16">
        <f t="shared" si="10"/>
        <v>0</v>
      </c>
      <c r="AP7" s="14"/>
      <c r="AQ7" s="15"/>
      <c r="AR7" s="16">
        <f t="shared" si="11"/>
        <v>0</v>
      </c>
      <c r="AS7" s="14">
        <v>1</v>
      </c>
      <c r="AT7" s="15">
        <v>5241200</v>
      </c>
      <c r="AU7" s="16">
        <v>5241200</v>
      </c>
      <c r="AV7" s="14"/>
      <c r="AW7" s="15"/>
      <c r="AX7" s="16">
        <f t="shared" si="28"/>
        <v>0</v>
      </c>
      <c r="AY7" s="14">
        <v>1</v>
      </c>
      <c r="AZ7" s="15">
        <v>5024323</v>
      </c>
      <c r="BA7" s="16">
        <v>5024323</v>
      </c>
      <c r="BB7" s="14"/>
      <c r="BC7" s="15"/>
      <c r="BD7" s="16">
        <f t="shared" si="12"/>
        <v>0</v>
      </c>
      <c r="BE7" s="14"/>
      <c r="BF7" s="15"/>
      <c r="BG7" s="16">
        <f t="shared" si="13"/>
        <v>0</v>
      </c>
      <c r="BH7" s="14"/>
      <c r="BI7" s="15"/>
      <c r="BJ7" s="16">
        <f t="shared" si="29"/>
        <v>0</v>
      </c>
      <c r="BK7" s="14"/>
      <c r="BL7" s="15"/>
      <c r="BM7" s="16">
        <f t="shared" si="14"/>
        <v>0</v>
      </c>
      <c r="BN7" s="14"/>
      <c r="BO7" s="15"/>
      <c r="BP7" s="16">
        <f t="shared" si="15"/>
        <v>0</v>
      </c>
      <c r="BQ7" s="14"/>
      <c r="BR7" s="15"/>
      <c r="BS7" s="16">
        <f t="shared" si="16"/>
        <v>0</v>
      </c>
      <c r="BT7" s="14"/>
      <c r="BU7" s="15"/>
      <c r="BV7" s="16">
        <f t="shared" si="17"/>
        <v>0</v>
      </c>
      <c r="BW7" s="14"/>
      <c r="BX7" s="15"/>
      <c r="BY7" s="16">
        <f t="shared" si="18"/>
        <v>0</v>
      </c>
      <c r="BZ7" s="14"/>
      <c r="CA7" s="15"/>
      <c r="CB7" s="16">
        <f t="shared" si="19"/>
        <v>0</v>
      </c>
      <c r="CC7" s="14"/>
      <c r="CD7" s="15"/>
      <c r="CE7" s="16">
        <f t="shared" si="20"/>
        <v>0</v>
      </c>
      <c r="CF7" s="14"/>
      <c r="CG7" s="15"/>
      <c r="CH7" s="16">
        <f t="shared" si="21"/>
        <v>0</v>
      </c>
      <c r="CI7" s="14">
        <v>1</v>
      </c>
      <c r="CJ7" s="15">
        <v>648000</v>
      </c>
      <c r="CK7" s="16">
        <v>648000</v>
      </c>
      <c r="CL7" s="14"/>
      <c r="CM7" s="15"/>
      <c r="CN7" s="16">
        <f t="shared" si="22"/>
        <v>0</v>
      </c>
      <c r="CO7" s="14"/>
      <c r="CP7" s="15"/>
      <c r="CQ7" s="16">
        <f t="shared" si="23"/>
        <v>0</v>
      </c>
      <c r="CR7" s="14"/>
      <c r="CS7" s="15"/>
      <c r="CT7" s="16">
        <f t="shared" si="24"/>
        <v>0</v>
      </c>
      <c r="CU7" s="17">
        <f t="shared" si="25"/>
        <v>4</v>
      </c>
      <c r="CV7" s="77">
        <f t="shared" si="26"/>
        <v>2754925.75</v>
      </c>
      <c r="CW7" s="16">
        <f t="shared" si="27"/>
        <v>11019703</v>
      </c>
    </row>
    <row r="8" spans="1:101" ht="15" customHeight="1" x14ac:dyDescent="0.35">
      <c r="A8" s="80" t="s">
        <v>423</v>
      </c>
      <c r="B8" s="37" t="s">
        <v>956</v>
      </c>
      <c r="C8" s="80"/>
      <c r="D8" s="80"/>
      <c r="E8" s="78">
        <f t="shared" si="0"/>
        <v>0</v>
      </c>
      <c r="F8" s="14"/>
      <c r="G8" s="15"/>
      <c r="H8" s="16">
        <f t="shared" si="1"/>
        <v>0</v>
      </c>
      <c r="I8" s="14"/>
      <c r="J8" s="15"/>
      <c r="K8" s="16">
        <f t="shared" si="2"/>
        <v>0</v>
      </c>
      <c r="L8" s="14"/>
      <c r="M8" s="15"/>
      <c r="N8" s="16">
        <f t="shared" si="3"/>
        <v>0</v>
      </c>
      <c r="O8" s="14"/>
      <c r="P8" s="15"/>
      <c r="Q8" s="16">
        <f t="shared" si="4"/>
        <v>0</v>
      </c>
      <c r="R8" s="14"/>
      <c r="S8" s="15"/>
      <c r="T8" s="16">
        <f t="shared" si="5"/>
        <v>0</v>
      </c>
      <c r="U8" s="14"/>
      <c r="V8" s="15"/>
      <c r="W8" s="16">
        <f t="shared" si="6"/>
        <v>0</v>
      </c>
      <c r="X8" s="14"/>
      <c r="Y8" s="15"/>
      <c r="Z8" s="16">
        <f t="shared" si="7"/>
        <v>0</v>
      </c>
      <c r="AA8" s="14"/>
      <c r="AB8" s="15"/>
      <c r="AC8" s="16">
        <f t="shared" si="8"/>
        <v>0</v>
      </c>
      <c r="AD8" s="14"/>
      <c r="AE8" s="15"/>
      <c r="AF8" s="16">
        <f>IFERROR(AD8*AE8, 0)</f>
        <v>0</v>
      </c>
      <c r="AG8" s="14">
        <v>1</v>
      </c>
      <c r="AH8" s="15">
        <v>72000</v>
      </c>
      <c r="AI8" s="16">
        <v>72000</v>
      </c>
      <c r="AJ8" s="14"/>
      <c r="AK8" s="15"/>
      <c r="AL8" s="16">
        <f t="shared" si="9"/>
        <v>0</v>
      </c>
      <c r="AM8" s="14"/>
      <c r="AN8" s="15"/>
      <c r="AO8" s="16">
        <f t="shared" si="10"/>
        <v>0</v>
      </c>
      <c r="AP8" s="14"/>
      <c r="AQ8" s="15"/>
      <c r="AR8" s="16">
        <f t="shared" si="11"/>
        <v>0</v>
      </c>
      <c r="AS8" s="14"/>
      <c r="AT8" s="15"/>
      <c r="AU8" s="16">
        <f t="shared" ref="AU8:AU19" si="30">IFERROR(AS8*AT8, 0)</f>
        <v>0</v>
      </c>
      <c r="AV8" s="14"/>
      <c r="AW8" s="15"/>
      <c r="AX8" s="16">
        <f t="shared" si="28"/>
        <v>0</v>
      </c>
      <c r="AY8" s="14">
        <v>1</v>
      </c>
      <c r="AZ8" s="15">
        <v>72000</v>
      </c>
      <c r="BA8" s="16">
        <v>72000</v>
      </c>
      <c r="BB8" s="14"/>
      <c r="BC8" s="15"/>
      <c r="BD8" s="16">
        <f t="shared" si="12"/>
        <v>0</v>
      </c>
      <c r="BE8" s="14"/>
      <c r="BF8" s="15"/>
      <c r="BG8" s="16">
        <f t="shared" si="13"/>
        <v>0</v>
      </c>
      <c r="BH8" s="14"/>
      <c r="BI8" s="15"/>
      <c r="BJ8" s="16">
        <f t="shared" si="29"/>
        <v>0</v>
      </c>
      <c r="BK8" s="14"/>
      <c r="BL8" s="15"/>
      <c r="BM8" s="16">
        <f t="shared" si="14"/>
        <v>0</v>
      </c>
      <c r="BN8" s="14"/>
      <c r="BO8" s="15"/>
      <c r="BP8" s="16">
        <f t="shared" si="15"/>
        <v>0</v>
      </c>
      <c r="BQ8" s="14"/>
      <c r="BR8" s="15"/>
      <c r="BS8" s="16">
        <f t="shared" si="16"/>
        <v>0</v>
      </c>
      <c r="BT8" s="14"/>
      <c r="BU8" s="15"/>
      <c r="BV8" s="16">
        <f t="shared" si="17"/>
        <v>0</v>
      </c>
      <c r="BW8" s="14"/>
      <c r="BX8" s="15"/>
      <c r="BY8" s="16">
        <f t="shared" si="18"/>
        <v>0</v>
      </c>
      <c r="BZ8" s="14"/>
      <c r="CA8" s="15"/>
      <c r="CB8" s="16">
        <f t="shared" si="19"/>
        <v>0</v>
      </c>
      <c r="CC8" s="14"/>
      <c r="CD8" s="15"/>
      <c r="CE8" s="16">
        <f t="shared" si="20"/>
        <v>0</v>
      </c>
      <c r="CF8" s="14"/>
      <c r="CG8" s="15"/>
      <c r="CH8" s="16">
        <f t="shared" si="21"/>
        <v>0</v>
      </c>
      <c r="CI8" s="14"/>
      <c r="CJ8" s="15"/>
      <c r="CK8" s="16">
        <f t="shared" ref="CK8:CK38" si="31">IFERROR(CI8*CJ8, 0)</f>
        <v>0</v>
      </c>
      <c r="CL8" s="14"/>
      <c r="CM8" s="15"/>
      <c r="CN8" s="16">
        <f t="shared" si="22"/>
        <v>0</v>
      </c>
      <c r="CO8" s="14"/>
      <c r="CP8" s="15"/>
      <c r="CQ8" s="16">
        <f t="shared" si="23"/>
        <v>0</v>
      </c>
      <c r="CR8" s="14"/>
      <c r="CS8" s="15"/>
      <c r="CT8" s="16">
        <f t="shared" si="24"/>
        <v>0</v>
      </c>
      <c r="CU8" s="17">
        <f t="shared" si="25"/>
        <v>2</v>
      </c>
      <c r="CV8" s="77">
        <f t="shared" si="26"/>
        <v>72000</v>
      </c>
      <c r="CW8" s="16">
        <f t="shared" si="27"/>
        <v>144000</v>
      </c>
    </row>
    <row r="9" spans="1:101" ht="15" customHeight="1" x14ac:dyDescent="0.35">
      <c r="A9" s="80" t="s">
        <v>957</v>
      </c>
      <c r="B9" s="37" t="s">
        <v>956</v>
      </c>
      <c r="C9" s="80"/>
      <c r="D9" s="80"/>
      <c r="E9" s="78">
        <f t="shared" si="0"/>
        <v>0</v>
      </c>
      <c r="F9" s="14"/>
      <c r="G9" s="15"/>
      <c r="H9" s="16">
        <f t="shared" si="1"/>
        <v>0</v>
      </c>
      <c r="I9" s="14"/>
      <c r="J9" s="15"/>
      <c r="K9" s="16">
        <f t="shared" si="2"/>
        <v>0</v>
      </c>
      <c r="L9" s="14"/>
      <c r="M9" s="15"/>
      <c r="N9" s="16">
        <f t="shared" si="3"/>
        <v>0</v>
      </c>
      <c r="O9" s="14"/>
      <c r="P9" s="15"/>
      <c r="Q9" s="16">
        <f t="shared" si="4"/>
        <v>0</v>
      </c>
      <c r="R9" s="14"/>
      <c r="S9" s="15"/>
      <c r="T9" s="16">
        <f t="shared" si="5"/>
        <v>0</v>
      </c>
      <c r="U9" s="14"/>
      <c r="V9" s="15"/>
      <c r="W9" s="16">
        <f t="shared" si="6"/>
        <v>0</v>
      </c>
      <c r="X9" s="14"/>
      <c r="Y9" s="15"/>
      <c r="Z9" s="16">
        <f t="shared" si="7"/>
        <v>0</v>
      </c>
      <c r="AA9" s="14"/>
      <c r="AB9" s="15"/>
      <c r="AC9" s="16">
        <f t="shared" si="8"/>
        <v>0</v>
      </c>
      <c r="AD9" s="14"/>
      <c r="AE9" s="15"/>
      <c r="AF9" s="16">
        <f>IFERROR(AD9*AE9, 0)</f>
        <v>0</v>
      </c>
      <c r="AG9" s="14"/>
      <c r="AH9" s="15"/>
      <c r="AI9" s="16">
        <f>IFERROR(AG9*AH9, 0)</f>
        <v>0</v>
      </c>
      <c r="AJ9" s="14"/>
      <c r="AK9" s="15"/>
      <c r="AL9" s="16">
        <f t="shared" si="9"/>
        <v>0</v>
      </c>
      <c r="AM9" s="14"/>
      <c r="AN9" s="15"/>
      <c r="AO9" s="16">
        <f t="shared" si="10"/>
        <v>0</v>
      </c>
      <c r="AP9" s="14"/>
      <c r="AQ9" s="15"/>
      <c r="AR9" s="16">
        <f t="shared" si="11"/>
        <v>0</v>
      </c>
      <c r="AS9" s="14"/>
      <c r="AT9" s="15"/>
      <c r="AU9" s="16">
        <f t="shared" si="30"/>
        <v>0</v>
      </c>
      <c r="AV9" s="14"/>
      <c r="AW9" s="15"/>
      <c r="AX9" s="16">
        <f t="shared" si="28"/>
        <v>0</v>
      </c>
      <c r="AY9" s="14"/>
      <c r="AZ9" s="15"/>
      <c r="BA9" s="16">
        <f>IFERROR(AY9*AZ9, 0)</f>
        <v>0</v>
      </c>
      <c r="BB9" s="14"/>
      <c r="BC9" s="15"/>
      <c r="BD9" s="16">
        <f t="shared" si="12"/>
        <v>0</v>
      </c>
      <c r="BE9" s="14"/>
      <c r="BF9" s="15"/>
      <c r="BG9" s="16">
        <f t="shared" si="13"/>
        <v>0</v>
      </c>
      <c r="BH9" s="14"/>
      <c r="BI9" s="15"/>
      <c r="BJ9" s="16">
        <f t="shared" si="29"/>
        <v>0</v>
      </c>
      <c r="BK9" s="14"/>
      <c r="BL9" s="15"/>
      <c r="BM9" s="16">
        <f t="shared" si="14"/>
        <v>0</v>
      </c>
      <c r="BN9" s="14"/>
      <c r="BO9" s="15"/>
      <c r="BP9" s="16">
        <f t="shared" si="15"/>
        <v>0</v>
      </c>
      <c r="BQ9" s="14"/>
      <c r="BR9" s="15"/>
      <c r="BS9" s="16">
        <f t="shared" si="16"/>
        <v>0</v>
      </c>
      <c r="BT9" s="14"/>
      <c r="BU9" s="15"/>
      <c r="BV9" s="16">
        <f t="shared" si="17"/>
        <v>0</v>
      </c>
      <c r="BW9" s="14"/>
      <c r="BX9" s="15"/>
      <c r="BY9" s="16">
        <f t="shared" si="18"/>
        <v>0</v>
      </c>
      <c r="BZ9" s="14"/>
      <c r="CA9" s="15"/>
      <c r="CB9" s="16">
        <f t="shared" si="19"/>
        <v>0</v>
      </c>
      <c r="CC9" s="14"/>
      <c r="CD9" s="15"/>
      <c r="CE9" s="16">
        <f t="shared" si="20"/>
        <v>0</v>
      </c>
      <c r="CF9" s="14"/>
      <c r="CG9" s="15"/>
      <c r="CH9" s="16">
        <f t="shared" si="21"/>
        <v>0</v>
      </c>
      <c r="CI9" s="14"/>
      <c r="CJ9" s="15"/>
      <c r="CK9" s="16">
        <f t="shared" si="31"/>
        <v>0</v>
      </c>
      <c r="CL9" s="14"/>
      <c r="CM9" s="15"/>
      <c r="CN9" s="16">
        <f t="shared" si="22"/>
        <v>0</v>
      </c>
      <c r="CO9" s="14"/>
      <c r="CP9" s="15"/>
      <c r="CQ9" s="16">
        <f t="shared" si="23"/>
        <v>0</v>
      </c>
      <c r="CR9" s="14"/>
      <c r="CS9" s="15"/>
      <c r="CT9" s="16">
        <f t="shared" si="24"/>
        <v>0</v>
      </c>
      <c r="CU9" s="17">
        <f t="shared" si="25"/>
        <v>0</v>
      </c>
      <c r="CV9" s="77">
        <f t="shared" si="26"/>
        <v>0</v>
      </c>
      <c r="CW9" s="16">
        <f t="shared" si="27"/>
        <v>0</v>
      </c>
    </row>
    <row r="10" spans="1:101" ht="15" customHeight="1" x14ac:dyDescent="0.35">
      <c r="A10" s="21" t="s">
        <v>375</v>
      </c>
      <c r="B10" s="21" t="s">
        <v>846</v>
      </c>
      <c r="C10" s="21"/>
      <c r="D10" s="21"/>
      <c r="E10" s="78">
        <f t="shared" si="0"/>
        <v>0</v>
      </c>
      <c r="F10" s="14"/>
      <c r="G10" s="15"/>
      <c r="H10" s="16">
        <f t="shared" si="1"/>
        <v>0</v>
      </c>
      <c r="I10" s="14"/>
      <c r="J10" s="15"/>
      <c r="K10" s="16">
        <f t="shared" si="2"/>
        <v>0</v>
      </c>
      <c r="L10" s="14"/>
      <c r="M10" s="15"/>
      <c r="N10" s="16">
        <f t="shared" si="3"/>
        <v>0</v>
      </c>
      <c r="O10" s="14"/>
      <c r="P10" s="15"/>
      <c r="Q10" s="16">
        <f t="shared" si="4"/>
        <v>0</v>
      </c>
      <c r="R10" s="14"/>
      <c r="S10" s="15"/>
      <c r="T10" s="16">
        <f t="shared" si="5"/>
        <v>0</v>
      </c>
      <c r="U10" s="14"/>
      <c r="V10" s="15"/>
      <c r="W10" s="16">
        <f t="shared" si="6"/>
        <v>0</v>
      </c>
      <c r="X10" s="14"/>
      <c r="Y10" s="15"/>
      <c r="Z10" s="16">
        <f t="shared" si="7"/>
        <v>0</v>
      </c>
      <c r="AA10" s="14"/>
      <c r="AB10" s="15"/>
      <c r="AC10" s="16">
        <f t="shared" si="8"/>
        <v>0</v>
      </c>
      <c r="AD10" s="14">
        <v>1</v>
      </c>
      <c r="AE10" s="15">
        <v>30000</v>
      </c>
      <c r="AF10" s="16">
        <v>30000</v>
      </c>
      <c r="AG10" s="14"/>
      <c r="AH10" s="15"/>
      <c r="AI10" s="16">
        <f>IFERROR(AG10*AH10, 0)</f>
        <v>0</v>
      </c>
      <c r="AJ10" s="14"/>
      <c r="AK10" s="15"/>
      <c r="AL10" s="16">
        <f t="shared" si="9"/>
        <v>0</v>
      </c>
      <c r="AM10" s="14"/>
      <c r="AN10" s="15"/>
      <c r="AO10" s="16">
        <f t="shared" si="10"/>
        <v>0</v>
      </c>
      <c r="AP10" s="14"/>
      <c r="AQ10" s="15"/>
      <c r="AR10" s="16">
        <f t="shared" si="11"/>
        <v>0</v>
      </c>
      <c r="AS10" s="14"/>
      <c r="AT10" s="15"/>
      <c r="AU10" s="16">
        <f t="shared" si="30"/>
        <v>0</v>
      </c>
      <c r="AV10" s="14"/>
      <c r="AW10" s="15"/>
      <c r="AX10" s="16">
        <f t="shared" si="28"/>
        <v>0</v>
      </c>
      <c r="AY10" s="14"/>
      <c r="AZ10" s="15"/>
      <c r="BA10" s="16">
        <f>IFERROR(AY10*AZ10, 0)</f>
        <v>0</v>
      </c>
      <c r="BB10" s="14"/>
      <c r="BC10" s="15"/>
      <c r="BD10" s="16">
        <f t="shared" si="12"/>
        <v>0</v>
      </c>
      <c r="BE10" s="14"/>
      <c r="BF10" s="15"/>
      <c r="BG10" s="16">
        <f t="shared" si="13"/>
        <v>0</v>
      </c>
      <c r="BH10" s="14"/>
      <c r="BI10" s="15"/>
      <c r="BJ10" s="16">
        <f t="shared" si="29"/>
        <v>0</v>
      </c>
      <c r="BK10" s="14"/>
      <c r="BL10" s="15"/>
      <c r="BM10" s="16">
        <f t="shared" si="14"/>
        <v>0</v>
      </c>
      <c r="BN10" s="14"/>
      <c r="BO10" s="15"/>
      <c r="BP10" s="16">
        <f t="shared" si="15"/>
        <v>0</v>
      </c>
      <c r="BQ10" s="14"/>
      <c r="BR10" s="15"/>
      <c r="BS10" s="16">
        <f t="shared" si="16"/>
        <v>0</v>
      </c>
      <c r="BT10" s="14"/>
      <c r="BU10" s="15"/>
      <c r="BV10" s="16">
        <f t="shared" si="17"/>
        <v>0</v>
      </c>
      <c r="BW10" s="14"/>
      <c r="BX10" s="15"/>
      <c r="BY10" s="16">
        <f t="shared" si="18"/>
        <v>0</v>
      </c>
      <c r="BZ10" s="14"/>
      <c r="CA10" s="15"/>
      <c r="CB10" s="16">
        <f t="shared" si="19"/>
        <v>0</v>
      </c>
      <c r="CC10" s="14"/>
      <c r="CD10" s="15"/>
      <c r="CE10" s="16">
        <f t="shared" si="20"/>
        <v>0</v>
      </c>
      <c r="CF10" s="14"/>
      <c r="CG10" s="15"/>
      <c r="CH10" s="16">
        <f t="shared" si="21"/>
        <v>0</v>
      </c>
      <c r="CI10" s="14"/>
      <c r="CJ10" s="15"/>
      <c r="CK10" s="16">
        <f t="shared" si="31"/>
        <v>0</v>
      </c>
      <c r="CL10" s="14"/>
      <c r="CM10" s="15"/>
      <c r="CN10" s="16">
        <f t="shared" si="22"/>
        <v>0</v>
      </c>
      <c r="CO10" s="14"/>
      <c r="CP10" s="15"/>
      <c r="CQ10" s="16">
        <f t="shared" si="23"/>
        <v>0</v>
      </c>
      <c r="CR10" s="14"/>
      <c r="CS10" s="15"/>
      <c r="CT10" s="16">
        <f t="shared" si="24"/>
        <v>0</v>
      </c>
      <c r="CU10" s="17">
        <f t="shared" si="25"/>
        <v>1</v>
      </c>
      <c r="CV10" s="77">
        <f t="shared" si="26"/>
        <v>30000</v>
      </c>
      <c r="CW10" s="16">
        <f t="shared" si="27"/>
        <v>30000</v>
      </c>
    </row>
    <row r="11" spans="1:101" ht="15" customHeight="1" x14ac:dyDescent="0.35">
      <c r="A11" s="21" t="s">
        <v>958</v>
      </c>
      <c r="B11" s="21" t="s">
        <v>846</v>
      </c>
      <c r="C11" s="21"/>
      <c r="D11" s="21"/>
      <c r="E11" s="78">
        <f t="shared" si="0"/>
        <v>0</v>
      </c>
      <c r="F11" s="14"/>
      <c r="G11" s="15"/>
      <c r="H11" s="16">
        <f t="shared" si="1"/>
        <v>0</v>
      </c>
      <c r="I11" s="14"/>
      <c r="J11" s="15"/>
      <c r="K11" s="16">
        <f t="shared" si="2"/>
        <v>0</v>
      </c>
      <c r="L11" s="14"/>
      <c r="M11" s="15"/>
      <c r="N11" s="16">
        <f t="shared" si="3"/>
        <v>0</v>
      </c>
      <c r="O11" s="14"/>
      <c r="P11" s="15"/>
      <c r="Q11" s="16">
        <f t="shared" si="4"/>
        <v>0</v>
      </c>
      <c r="R11" s="14"/>
      <c r="S11" s="15"/>
      <c r="T11" s="16">
        <f t="shared" si="5"/>
        <v>0</v>
      </c>
      <c r="U11" s="14"/>
      <c r="V11" s="15"/>
      <c r="W11" s="16">
        <f t="shared" si="6"/>
        <v>0</v>
      </c>
      <c r="X11" s="14"/>
      <c r="Y11" s="15"/>
      <c r="Z11" s="16">
        <f t="shared" si="7"/>
        <v>0</v>
      </c>
      <c r="AA11" s="14"/>
      <c r="AB11" s="15"/>
      <c r="AC11" s="16">
        <f t="shared" si="8"/>
        <v>0</v>
      </c>
      <c r="AD11" s="14"/>
      <c r="AE11" s="15"/>
      <c r="AF11" s="16">
        <f t="shared" ref="AF11:AF38" si="32">IFERROR(AD11*AE11, 0)</f>
        <v>0</v>
      </c>
      <c r="AG11" s="14"/>
      <c r="AH11" s="15"/>
      <c r="AI11" s="16">
        <f>IFERROR(AG11*AH11, 0)</f>
        <v>0</v>
      </c>
      <c r="AJ11" s="14"/>
      <c r="AK11" s="15"/>
      <c r="AL11" s="16">
        <f t="shared" si="9"/>
        <v>0</v>
      </c>
      <c r="AM11" s="14"/>
      <c r="AN11" s="15"/>
      <c r="AO11" s="16">
        <f t="shared" si="10"/>
        <v>0</v>
      </c>
      <c r="AP11" s="14"/>
      <c r="AQ11" s="15"/>
      <c r="AR11" s="16">
        <f t="shared" si="11"/>
        <v>0</v>
      </c>
      <c r="AS11" s="14"/>
      <c r="AT11" s="15"/>
      <c r="AU11" s="16">
        <f t="shared" si="30"/>
        <v>0</v>
      </c>
      <c r="AV11" s="14"/>
      <c r="AW11" s="15"/>
      <c r="AX11" s="16">
        <f t="shared" si="28"/>
        <v>0</v>
      </c>
      <c r="AY11" s="14"/>
      <c r="AZ11" s="15"/>
      <c r="BA11" s="16">
        <f>IFERROR(AY11*AZ11, 0)</f>
        <v>0</v>
      </c>
      <c r="BB11" s="14"/>
      <c r="BC11" s="15"/>
      <c r="BD11" s="16">
        <f t="shared" si="12"/>
        <v>0</v>
      </c>
      <c r="BE11" s="14"/>
      <c r="BF11" s="15"/>
      <c r="BG11" s="16">
        <f t="shared" si="13"/>
        <v>0</v>
      </c>
      <c r="BH11" s="14"/>
      <c r="BI11" s="15"/>
      <c r="BJ11" s="16">
        <f t="shared" si="29"/>
        <v>0</v>
      </c>
      <c r="BK11" s="14"/>
      <c r="BL11" s="15"/>
      <c r="BM11" s="16">
        <f t="shared" si="14"/>
        <v>0</v>
      </c>
      <c r="BN11" s="14"/>
      <c r="BO11" s="15"/>
      <c r="BP11" s="16">
        <f t="shared" si="15"/>
        <v>0</v>
      </c>
      <c r="BQ11" s="14"/>
      <c r="BR11" s="15"/>
      <c r="BS11" s="16">
        <f t="shared" si="16"/>
        <v>0</v>
      </c>
      <c r="BT11" s="14"/>
      <c r="BU11" s="15"/>
      <c r="BV11" s="16">
        <f t="shared" si="17"/>
        <v>0</v>
      </c>
      <c r="BW11" s="14"/>
      <c r="BX11" s="15"/>
      <c r="BY11" s="16">
        <f t="shared" si="18"/>
        <v>0</v>
      </c>
      <c r="BZ11" s="14"/>
      <c r="CA11" s="15"/>
      <c r="CB11" s="16">
        <f t="shared" si="19"/>
        <v>0</v>
      </c>
      <c r="CC11" s="14"/>
      <c r="CD11" s="15"/>
      <c r="CE11" s="16">
        <f t="shared" si="20"/>
        <v>0</v>
      </c>
      <c r="CF11" s="14"/>
      <c r="CG11" s="15"/>
      <c r="CH11" s="16">
        <f t="shared" si="21"/>
        <v>0</v>
      </c>
      <c r="CI11" s="14"/>
      <c r="CJ11" s="15"/>
      <c r="CK11" s="16">
        <f t="shared" si="31"/>
        <v>0</v>
      </c>
      <c r="CL11" s="14"/>
      <c r="CM11" s="15"/>
      <c r="CN11" s="16">
        <f t="shared" si="22"/>
        <v>0</v>
      </c>
      <c r="CO11" s="14"/>
      <c r="CP11" s="15"/>
      <c r="CQ11" s="16">
        <f t="shared" si="23"/>
        <v>0</v>
      </c>
      <c r="CR11" s="14"/>
      <c r="CS11" s="15"/>
      <c r="CT11" s="16">
        <f t="shared" si="24"/>
        <v>0</v>
      </c>
      <c r="CU11" s="17">
        <f t="shared" si="25"/>
        <v>0</v>
      </c>
      <c r="CV11" s="77">
        <f t="shared" si="26"/>
        <v>0</v>
      </c>
      <c r="CW11" s="16">
        <f t="shared" si="27"/>
        <v>0</v>
      </c>
    </row>
    <row r="12" spans="1:101" ht="15" customHeight="1" x14ac:dyDescent="0.35">
      <c r="A12" s="21" t="s">
        <v>8</v>
      </c>
      <c r="B12" s="21" t="s">
        <v>846</v>
      </c>
      <c r="C12" s="21"/>
      <c r="D12" s="21"/>
      <c r="E12" s="78">
        <f t="shared" si="0"/>
        <v>0</v>
      </c>
      <c r="F12" s="14">
        <v>2</v>
      </c>
      <c r="G12" s="15">
        <v>138000</v>
      </c>
      <c r="H12" s="16">
        <v>174000</v>
      </c>
      <c r="I12" s="14">
        <v>1</v>
      </c>
      <c r="J12" s="15">
        <v>138000</v>
      </c>
      <c r="K12" s="16">
        <v>138000</v>
      </c>
      <c r="L12" s="14">
        <v>1</v>
      </c>
      <c r="M12" s="15">
        <v>138000</v>
      </c>
      <c r="N12" s="16">
        <v>138000</v>
      </c>
      <c r="O12" s="14">
        <v>1</v>
      </c>
      <c r="P12" s="15">
        <v>132000</v>
      </c>
      <c r="Q12" s="16">
        <v>132000</v>
      </c>
      <c r="R12" s="14"/>
      <c r="S12" s="15"/>
      <c r="T12" s="16">
        <f t="shared" si="5"/>
        <v>0</v>
      </c>
      <c r="U12" s="14">
        <v>1</v>
      </c>
      <c r="V12" s="15">
        <v>132000</v>
      </c>
      <c r="W12" s="16">
        <v>132000</v>
      </c>
      <c r="X12" s="14">
        <v>2</v>
      </c>
      <c r="Y12" s="15">
        <v>138000</v>
      </c>
      <c r="Z12" s="16">
        <v>204000</v>
      </c>
      <c r="AA12" s="14">
        <v>1</v>
      </c>
      <c r="AB12" s="15">
        <v>138000</v>
      </c>
      <c r="AC12" s="16">
        <v>138000</v>
      </c>
      <c r="AD12" s="14"/>
      <c r="AE12" s="15"/>
      <c r="AF12" s="16">
        <f t="shared" si="32"/>
        <v>0</v>
      </c>
      <c r="AG12" s="14">
        <v>3</v>
      </c>
      <c r="AH12" s="15">
        <v>66000</v>
      </c>
      <c r="AI12" s="16">
        <v>270000</v>
      </c>
      <c r="AJ12" s="14"/>
      <c r="AK12" s="15"/>
      <c r="AL12" s="16">
        <f t="shared" si="9"/>
        <v>0</v>
      </c>
      <c r="AM12" s="14"/>
      <c r="AN12" s="15"/>
      <c r="AO12" s="16">
        <f t="shared" si="10"/>
        <v>0</v>
      </c>
      <c r="AP12" s="14">
        <v>3</v>
      </c>
      <c r="AQ12" s="15">
        <v>66000</v>
      </c>
      <c r="AR12" s="16">
        <v>165000</v>
      </c>
      <c r="AS12" s="14"/>
      <c r="AT12" s="15"/>
      <c r="AU12" s="16">
        <f t="shared" si="30"/>
        <v>0</v>
      </c>
      <c r="AV12" s="14"/>
      <c r="AW12" s="15"/>
      <c r="AX12" s="16">
        <f t="shared" si="28"/>
        <v>0</v>
      </c>
      <c r="AY12" s="14">
        <v>1</v>
      </c>
      <c r="AZ12" s="15">
        <v>66000</v>
      </c>
      <c r="BA12" s="16">
        <v>66000</v>
      </c>
      <c r="BB12" s="14">
        <v>1</v>
      </c>
      <c r="BC12" s="15">
        <v>218000</v>
      </c>
      <c r="BD12" s="16">
        <v>218000</v>
      </c>
      <c r="BE12" s="14">
        <v>6</v>
      </c>
      <c r="BF12" s="15">
        <v>66000</v>
      </c>
      <c r="BG12" s="16">
        <v>396000</v>
      </c>
      <c r="BH12" s="14"/>
      <c r="BI12" s="15"/>
      <c r="BJ12" s="16">
        <f t="shared" si="29"/>
        <v>0</v>
      </c>
      <c r="BK12" s="14">
        <v>1</v>
      </c>
      <c r="BL12" s="15">
        <v>134000</v>
      </c>
      <c r="BM12" s="16">
        <v>134000</v>
      </c>
      <c r="BN12" s="14"/>
      <c r="BO12" s="15"/>
      <c r="BP12" s="16">
        <f t="shared" si="15"/>
        <v>0</v>
      </c>
      <c r="BQ12" s="14"/>
      <c r="BR12" s="15"/>
      <c r="BS12" s="16">
        <f t="shared" si="16"/>
        <v>0</v>
      </c>
      <c r="BT12" s="14"/>
      <c r="BU12" s="15"/>
      <c r="BV12" s="16">
        <f t="shared" si="17"/>
        <v>0</v>
      </c>
      <c r="BW12" s="14"/>
      <c r="BX12" s="15"/>
      <c r="BY12" s="16">
        <f t="shared" si="18"/>
        <v>0</v>
      </c>
      <c r="BZ12" s="14"/>
      <c r="CA12" s="15"/>
      <c r="CB12" s="16">
        <f t="shared" si="19"/>
        <v>0</v>
      </c>
      <c r="CC12" s="14"/>
      <c r="CD12" s="15"/>
      <c r="CE12" s="16">
        <f t="shared" si="20"/>
        <v>0</v>
      </c>
      <c r="CF12" s="14"/>
      <c r="CG12" s="15"/>
      <c r="CH12" s="16">
        <f t="shared" si="21"/>
        <v>0</v>
      </c>
      <c r="CI12" s="14"/>
      <c r="CJ12" s="15"/>
      <c r="CK12" s="16">
        <f t="shared" si="31"/>
        <v>0</v>
      </c>
      <c r="CL12" s="14"/>
      <c r="CM12" s="15"/>
      <c r="CN12" s="16">
        <f t="shared" si="22"/>
        <v>0</v>
      </c>
      <c r="CO12" s="14"/>
      <c r="CP12" s="15"/>
      <c r="CQ12" s="16">
        <f t="shared" si="23"/>
        <v>0</v>
      </c>
      <c r="CR12" s="14"/>
      <c r="CS12" s="15"/>
      <c r="CT12" s="16">
        <f t="shared" si="24"/>
        <v>0</v>
      </c>
      <c r="CU12" s="17">
        <f t="shared" si="25"/>
        <v>24</v>
      </c>
      <c r="CV12" s="77">
        <f t="shared" si="26"/>
        <v>120769.23076923077</v>
      </c>
      <c r="CW12" s="16">
        <f t="shared" si="27"/>
        <v>2898461.5384615385</v>
      </c>
    </row>
    <row r="13" spans="1:101" ht="15" customHeight="1" x14ac:dyDescent="0.35">
      <c r="A13" s="21" t="s">
        <v>959</v>
      </c>
      <c r="B13" s="21" t="s">
        <v>846</v>
      </c>
      <c r="C13" s="21"/>
      <c r="D13" s="21"/>
      <c r="E13" s="78">
        <f t="shared" si="0"/>
        <v>0</v>
      </c>
      <c r="F13" s="14"/>
      <c r="G13" s="15"/>
      <c r="H13" s="16">
        <f t="shared" ref="H13:H20" si="33">IFERROR(F13*G13, 0)</f>
        <v>0</v>
      </c>
      <c r="I13" s="14"/>
      <c r="J13" s="15"/>
      <c r="K13" s="16">
        <f t="shared" ref="K13:K20" si="34">IFERROR(I13*J13, 0)</f>
        <v>0</v>
      </c>
      <c r="L13" s="14"/>
      <c r="M13" s="15"/>
      <c r="N13" s="16">
        <f t="shared" ref="N13:N20" si="35">IFERROR(L13*M13, 0)</f>
        <v>0</v>
      </c>
      <c r="O13" s="14"/>
      <c r="P13" s="15"/>
      <c r="Q13" s="16">
        <f t="shared" ref="Q13:Q22" si="36">IFERROR(O13*P13, 0)</f>
        <v>0</v>
      </c>
      <c r="R13" s="14"/>
      <c r="S13" s="15"/>
      <c r="T13" s="16">
        <f t="shared" si="5"/>
        <v>0</v>
      </c>
      <c r="U13" s="14"/>
      <c r="V13" s="15"/>
      <c r="W13" s="16">
        <f>IFERROR(U13*V13, 0)</f>
        <v>0</v>
      </c>
      <c r="X13" s="14"/>
      <c r="Y13" s="15"/>
      <c r="Z13" s="16">
        <f t="shared" ref="Z13:Z38" si="37">IFERROR(X13*Y13, 0)</f>
        <v>0</v>
      </c>
      <c r="AA13" s="14"/>
      <c r="AB13" s="15"/>
      <c r="AC13" s="16">
        <f t="shared" ref="AC13:AC20" si="38">IFERROR(AA13*AB13, 0)</f>
        <v>0</v>
      </c>
      <c r="AD13" s="14"/>
      <c r="AE13" s="15"/>
      <c r="AF13" s="16">
        <f t="shared" si="32"/>
        <v>0</v>
      </c>
      <c r="AG13" s="14"/>
      <c r="AH13" s="15"/>
      <c r="AI13" s="16">
        <f>IFERROR(AG13*AH13, 0)</f>
        <v>0</v>
      </c>
      <c r="AJ13" s="14"/>
      <c r="AK13" s="15"/>
      <c r="AL13" s="16">
        <f t="shared" si="9"/>
        <v>0</v>
      </c>
      <c r="AM13" s="14"/>
      <c r="AN13" s="15"/>
      <c r="AO13" s="16">
        <f t="shared" si="10"/>
        <v>0</v>
      </c>
      <c r="AP13" s="14"/>
      <c r="AQ13" s="15"/>
      <c r="AR13" s="16">
        <f t="shared" ref="AR13:AR38" si="39">IFERROR(AP13*AQ13, 0)</f>
        <v>0</v>
      </c>
      <c r="AS13" s="14"/>
      <c r="AT13" s="15"/>
      <c r="AU13" s="16">
        <f t="shared" si="30"/>
        <v>0</v>
      </c>
      <c r="AV13" s="14"/>
      <c r="AW13" s="15"/>
      <c r="AX13" s="16">
        <f t="shared" si="28"/>
        <v>0</v>
      </c>
      <c r="AY13" s="14"/>
      <c r="AZ13" s="15"/>
      <c r="BA13" s="16">
        <f>IFERROR(AY13*AZ13, 0)</f>
        <v>0</v>
      </c>
      <c r="BB13" s="14"/>
      <c r="BC13" s="15"/>
      <c r="BD13" s="16">
        <f>IFERROR(BB13*BC13, 0)</f>
        <v>0</v>
      </c>
      <c r="BE13" s="14"/>
      <c r="BF13" s="15"/>
      <c r="BG13" s="16">
        <f t="shared" ref="BG13:BG38" si="40">IFERROR(BE13*BF13, 0)</f>
        <v>0</v>
      </c>
      <c r="BH13" s="14"/>
      <c r="BI13" s="15"/>
      <c r="BJ13" s="16">
        <f t="shared" si="29"/>
        <v>0</v>
      </c>
      <c r="BK13" s="14"/>
      <c r="BL13" s="15"/>
      <c r="BM13" s="16">
        <f t="shared" ref="BM13:BM20" si="41">IFERROR(BK13*BL13, 0)</f>
        <v>0</v>
      </c>
      <c r="BN13" s="14"/>
      <c r="BO13" s="15"/>
      <c r="BP13" s="16">
        <f t="shared" si="15"/>
        <v>0</v>
      </c>
      <c r="BQ13" s="14"/>
      <c r="BR13" s="15"/>
      <c r="BS13" s="16">
        <f t="shared" si="16"/>
        <v>0</v>
      </c>
      <c r="BT13" s="14"/>
      <c r="BU13" s="15"/>
      <c r="BV13" s="16">
        <f t="shared" si="17"/>
        <v>0</v>
      </c>
      <c r="BW13" s="14"/>
      <c r="BX13" s="15"/>
      <c r="BY13" s="16">
        <f t="shared" si="18"/>
        <v>0</v>
      </c>
      <c r="BZ13" s="14"/>
      <c r="CA13" s="15"/>
      <c r="CB13" s="16">
        <f t="shared" si="19"/>
        <v>0</v>
      </c>
      <c r="CC13" s="14"/>
      <c r="CD13" s="15"/>
      <c r="CE13" s="16">
        <f t="shared" si="20"/>
        <v>0</v>
      </c>
      <c r="CF13" s="14"/>
      <c r="CG13" s="15"/>
      <c r="CH13" s="16">
        <f t="shared" si="21"/>
        <v>0</v>
      </c>
      <c r="CI13" s="14"/>
      <c r="CJ13" s="15"/>
      <c r="CK13" s="16">
        <f t="shared" si="31"/>
        <v>0</v>
      </c>
      <c r="CL13" s="14"/>
      <c r="CM13" s="15"/>
      <c r="CN13" s="16">
        <f t="shared" si="22"/>
        <v>0</v>
      </c>
      <c r="CO13" s="14"/>
      <c r="CP13" s="15"/>
      <c r="CQ13" s="16">
        <f t="shared" si="23"/>
        <v>0</v>
      </c>
      <c r="CR13" s="14"/>
      <c r="CS13" s="15"/>
      <c r="CT13" s="16">
        <f t="shared" si="24"/>
        <v>0</v>
      </c>
      <c r="CU13" s="17">
        <f t="shared" si="25"/>
        <v>0</v>
      </c>
      <c r="CV13" s="77">
        <f t="shared" si="26"/>
        <v>0</v>
      </c>
      <c r="CW13" s="16">
        <f t="shared" si="27"/>
        <v>0</v>
      </c>
    </row>
    <row r="14" spans="1:101" ht="15" customHeight="1" x14ac:dyDescent="0.35">
      <c r="A14" s="21" t="s">
        <v>960</v>
      </c>
      <c r="B14" s="21" t="s">
        <v>846</v>
      </c>
      <c r="C14" s="21"/>
      <c r="D14" s="21"/>
      <c r="E14" s="78">
        <f t="shared" si="0"/>
        <v>0</v>
      </c>
      <c r="F14" s="14"/>
      <c r="G14" s="15"/>
      <c r="H14" s="16">
        <f t="shared" si="33"/>
        <v>0</v>
      </c>
      <c r="I14" s="14"/>
      <c r="J14" s="15"/>
      <c r="K14" s="16">
        <f t="shared" si="34"/>
        <v>0</v>
      </c>
      <c r="L14" s="14"/>
      <c r="M14" s="15"/>
      <c r="N14" s="16">
        <f t="shared" si="35"/>
        <v>0</v>
      </c>
      <c r="O14" s="14"/>
      <c r="P14" s="15"/>
      <c r="Q14" s="16">
        <f t="shared" si="36"/>
        <v>0</v>
      </c>
      <c r="R14" s="14"/>
      <c r="S14" s="15"/>
      <c r="T14" s="16">
        <f t="shared" si="5"/>
        <v>0</v>
      </c>
      <c r="U14" s="14"/>
      <c r="V14" s="15"/>
      <c r="W14" s="16">
        <f>IFERROR(U14*V14, 0)</f>
        <v>0</v>
      </c>
      <c r="X14" s="14"/>
      <c r="Y14" s="15"/>
      <c r="Z14" s="16">
        <f t="shared" si="37"/>
        <v>0</v>
      </c>
      <c r="AA14" s="14"/>
      <c r="AB14" s="15"/>
      <c r="AC14" s="16">
        <f t="shared" si="38"/>
        <v>0</v>
      </c>
      <c r="AD14" s="14"/>
      <c r="AE14" s="15"/>
      <c r="AF14" s="16">
        <f t="shared" si="32"/>
        <v>0</v>
      </c>
      <c r="AG14" s="14"/>
      <c r="AH14" s="15"/>
      <c r="AI14" s="16">
        <f>IFERROR(AG14*AH14, 0)</f>
        <v>0</v>
      </c>
      <c r="AJ14" s="14"/>
      <c r="AK14" s="15"/>
      <c r="AL14" s="16">
        <f t="shared" si="9"/>
        <v>0</v>
      </c>
      <c r="AM14" s="14"/>
      <c r="AN14" s="15"/>
      <c r="AO14" s="16">
        <f t="shared" si="10"/>
        <v>0</v>
      </c>
      <c r="AP14" s="14"/>
      <c r="AQ14" s="15"/>
      <c r="AR14" s="16">
        <f t="shared" si="39"/>
        <v>0</v>
      </c>
      <c r="AS14" s="14"/>
      <c r="AT14" s="15"/>
      <c r="AU14" s="16">
        <f t="shared" si="30"/>
        <v>0</v>
      </c>
      <c r="AV14" s="14"/>
      <c r="AW14" s="15"/>
      <c r="AX14" s="16">
        <f t="shared" si="28"/>
        <v>0</v>
      </c>
      <c r="AY14" s="14"/>
      <c r="AZ14" s="15"/>
      <c r="BA14" s="16">
        <f>IFERROR(AY14*AZ14, 0)</f>
        <v>0</v>
      </c>
      <c r="BB14" s="14"/>
      <c r="BC14" s="15"/>
      <c r="BD14" s="16">
        <f>IFERROR(BB14*BC14, 0)</f>
        <v>0</v>
      </c>
      <c r="BE14" s="14"/>
      <c r="BF14" s="15"/>
      <c r="BG14" s="16">
        <f t="shared" si="40"/>
        <v>0</v>
      </c>
      <c r="BH14" s="14"/>
      <c r="BI14" s="15"/>
      <c r="BJ14" s="16">
        <f t="shared" si="29"/>
        <v>0</v>
      </c>
      <c r="BK14" s="14"/>
      <c r="BL14" s="15"/>
      <c r="BM14" s="16">
        <f t="shared" si="41"/>
        <v>0</v>
      </c>
      <c r="BN14" s="14"/>
      <c r="BO14" s="15"/>
      <c r="BP14" s="16">
        <f t="shared" si="15"/>
        <v>0</v>
      </c>
      <c r="BQ14" s="14"/>
      <c r="BR14" s="15"/>
      <c r="BS14" s="16">
        <f t="shared" si="16"/>
        <v>0</v>
      </c>
      <c r="BT14" s="14"/>
      <c r="BU14" s="15"/>
      <c r="BV14" s="16">
        <f t="shared" si="17"/>
        <v>0</v>
      </c>
      <c r="BW14" s="14"/>
      <c r="BX14" s="15"/>
      <c r="BY14" s="16">
        <f t="shared" si="18"/>
        <v>0</v>
      </c>
      <c r="BZ14" s="14"/>
      <c r="CA14" s="15"/>
      <c r="CB14" s="16">
        <f t="shared" si="19"/>
        <v>0</v>
      </c>
      <c r="CC14" s="14"/>
      <c r="CD14" s="15"/>
      <c r="CE14" s="16">
        <f t="shared" si="20"/>
        <v>0</v>
      </c>
      <c r="CF14" s="14"/>
      <c r="CG14" s="15"/>
      <c r="CH14" s="16">
        <f t="shared" si="21"/>
        <v>0</v>
      </c>
      <c r="CI14" s="14"/>
      <c r="CJ14" s="15"/>
      <c r="CK14" s="16">
        <f t="shared" si="31"/>
        <v>0</v>
      </c>
      <c r="CL14" s="14"/>
      <c r="CM14" s="15"/>
      <c r="CN14" s="16">
        <f t="shared" si="22"/>
        <v>0</v>
      </c>
      <c r="CO14" s="14"/>
      <c r="CP14" s="15"/>
      <c r="CQ14" s="16">
        <f t="shared" si="23"/>
        <v>0</v>
      </c>
      <c r="CR14" s="14"/>
      <c r="CS14" s="15"/>
      <c r="CT14" s="16">
        <f t="shared" si="24"/>
        <v>0</v>
      </c>
      <c r="CU14" s="17">
        <f t="shared" si="25"/>
        <v>0</v>
      </c>
      <c r="CV14" s="77">
        <f t="shared" si="26"/>
        <v>0</v>
      </c>
      <c r="CW14" s="16">
        <f t="shared" si="27"/>
        <v>0</v>
      </c>
    </row>
    <row r="15" spans="1:101" ht="15" customHeight="1" x14ac:dyDescent="0.35">
      <c r="A15" s="21" t="s">
        <v>564</v>
      </c>
      <c r="B15" s="21" t="s">
        <v>846</v>
      </c>
      <c r="C15" s="21"/>
      <c r="D15" s="21"/>
      <c r="E15" s="78">
        <f t="shared" si="0"/>
        <v>0</v>
      </c>
      <c r="F15" s="14"/>
      <c r="G15" s="15"/>
      <c r="H15" s="16">
        <f t="shared" si="33"/>
        <v>0</v>
      </c>
      <c r="I15" s="14"/>
      <c r="J15" s="15"/>
      <c r="K15" s="16">
        <f t="shared" si="34"/>
        <v>0</v>
      </c>
      <c r="L15" s="14"/>
      <c r="M15" s="15"/>
      <c r="N15" s="16">
        <f t="shared" si="35"/>
        <v>0</v>
      </c>
      <c r="O15" s="14"/>
      <c r="P15" s="15"/>
      <c r="Q15" s="16">
        <f t="shared" si="36"/>
        <v>0</v>
      </c>
      <c r="R15" s="14"/>
      <c r="S15" s="15"/>
      <c r="T15" s="16">
        <f t="shared" si="5"/>
        <v>0</v>
      </c>
      <c r="U15" s="14"/>
      <c r="V15" s="15"/>
      <c r="W15" s="16">
        <f>IFERROR(U15*V15, 0)</f>
        <v>0</v>
      </c>
      <c r="X15" s="14"/>
      <c r="Y15" s="15"/>
      <c r="Z15" s="16">
        <f t="shared" si="37"/>
        <v>0</v>
      </c>
      <c r="AA15" s="14"/>
      <c r="AB15" s="15"/>
      <c r="AC15" s="16">
        <f t="shared" si="38"/>
        <v>0</v>
      </c>
      <c r="AD15" s="14"/>
      <c r="AE15" s="15"/>
      <c r="AF15" s="16">
        <f t="shared" si="32"/>
        <v>0</v>
      </c>
      <c r="AG15" s="14"/>
      <c r="AH15" s="15"/>
      <c r="AI15" s="16">
        <f>IFERROR(AG15*AH15, 0)</f>
        <v>0</v>
      </c>
      <c r="AJ15" s="14"/>
      <c r="AK15" s="15"/>
      <c r="AL15" s="16">
        <f t="shared" si="9"/>
        <v>0</v>
      </c>
      <c r="AM15" s="14"/>
      <c r="AN15" s="15"/>
      <c r="AO15" s="16">
        <f t="shared" si="10"/>
        <v>0</v>
      </c>
      <c r="AP15" s="14"/>
      <c r="AQ15" s="15"/>
      <c r="AR15" s="16">
        <f t="shared" si="39"/>
        <v>0</v>
      </c>
      <c r="AS15" s="14"/>
      <c r="AT15" s="15"/>
      <c r="AU15" s="16">
        <f t="shared" si="30"/>
        <v>0</v>
      </c>
      <c r="AV15" s="14"/>
      <c r="AW15" s="15"/>
      <c r="AX15" s="16">
        <f t="shared" si="28"/>
        <v>0</v>
      </c>
      <c r="AY15" s="14"/>
      <c r="AZ15" s="15"/>
      <c r="BA15" s="16">
        <f>IFERROR(AY15*AZ15, 0)</f>
        <v>0</v>
      </c>
      <c r="BB15" s="14">
        <v>1</v>
      </c>
      <c r="BC15" s="15">
        <v>1000000</v>
      </c>
      <c r="BD15" s="16">
        <v>1000000</v>
      </c>
      <c r="BE15" s="14"/>
      <c r="BF15" s="15"/>
      <c r="BG15" s="16">
        <f t="shared" si="40"/>
        <v>0</v>
      </c>
      <c r="BH15" s="14"/>
      <c r="BI15" s="15"/>
      <c r="BJ15" s="16">
        <f t="shared" si="29"/>
        <v>0</v>
      </c>
      <c r="BK15" s="14"/>
      <c r="BL15" s="15"/>
      <c r="BM15" s="16">
        <f t="shared" si="41"/>
        <v>0</v>
      </c>
      <c r="BN15" s="14"/>
      <c r="BO15" s="15"/>
      <c r="BP15" s="16">
        <f t="shared" si="15"/>
        <v>0</v>
      </c>
      <c r="BQ15" s="14"/>
      <c r="BR15" s="15"/>
      <c r="BS15" s="16">
        <f t="shared" si="16"/>
        <v>0</v>
      </c>
      <c r="BT15" s="14"/>
      <c r="BU15" s="15"/>
      <c r="BV15" s="16">
        <f t="shared" si="17"/>
        <v>0</v>
      </c>
      <c r="BW15" s="14"/>
      <c r="BX15" s="15"/>
      <c r="BY15" s="16">
        <f t="shared" si="18"/>
        <v>0</v>
      </c>
      <c r="BZ15" s="14"/>
      <c r="CA15" s="15"/>
      <c r="CB15" s="16">
        <f t="shared" si="19"/>
        <v>0</v>
      </c>
      <c r="CC15" s="14"/>
      <c r="CD15" s="15"/>
      <c r="CE15" s="16">
        <f t="shared" si="20"/>
        <v>0</v>
      </c>
      <c r="CF15" s="14"/>
      <c r="CG15" s="15"/>
      <c r="CH15" s="16">
        <f t="shared" si="21"/>
        <v>0</v>
      </c>
      <c r="CI15" s="14"/>
      <c r="CJ15" s="15"/>
      <c r="CK15" s="16">
        <f t="shared" si="31"/>
        <v>0</v>
      </c>
      <c r="CL15" s="14"/>
      <c r="CM15" s="15"/>
      <c r="CN15" s="16">
        <f t="shared" si="22"/>
        <v>0</v>
      </c>
      <c r="CO15" s="14"/>
      <c r="CP15" s="15"/>
      <c r="CQ15" s="16">
        <f t="shared" si="23"/>
        <v>0</v>
      </c>
      <c r="CR15" s="14"/>
      <c r="CS15" s="15"/>
      <c r="CT15" s="16">
        <f t="shared" si="24"/>
        <v>0</v>
      </c>
      <c r="CU15" s="17">
        <f t="shared" si="25"/>
        <v>1</v>
      </c>
      <c r="CV15" s="77">
        <f t="shared" si="26"/>
        <v>1000000</v>
      </c>
      <c r="CW15" s="16">
        <f t="shared" si="27"/>
        <v>1000000</v>
      </c>
    </row>
    <row r="16" spans="1:101" ht="15" customHeight="1" x14ac:dyDescent="0.35">
      <c r="A16" s="21" t="s">
        <v>259</v>
      </c>
      <c r="B16" s="21" t="s">
        <v>846</v>
      </c>
      <c r="C16" s="21"/>
      <c r="D16" s="21"/>
      <c r="E16" s="78">
        <f t="shared" si="0"/>
        <v>0</v>
      </c>
      <c r="F16" s="14"/>
      <c r="G16" s="15"/>
      <c r="H16" s="16">
        <f t="shared" si="33"/>
        <v>0</v>
      </c>
      <c r="I16" s="14"/>
      <c r="J16" s="15"/>
      <c r="K16" s="16">
        <f t="shared" si="34"/>
        <v>0</v>
      </c>
      <c r="L16" s="14"/>
      <c r="M16" s="15"/>
      <c r="N16" s="16">
        <f t="shared" si="35"/>
        <v>0</v>
      </c>
      <c r="O16" s="14"/>
      <c r="P16" s="15"/>
      <c r="Q16" s="16">
        <f t="shared" si="36"/>
        <v>0</v>
      </c>
      <c r="R16" s="14"/>
      <c r="S16" s="15"/>
      <c r="T16" s="16">
        <f t="shared" si="5"/>
        <v>0</v>
      </c>
      <c r="U16" s="14">
        <v>15</v>
      </c>
      <c r="V16" s="15">
        <v>12600</v>
      </c>
      <c r="W16" s="16">
        <v>189000</v>
      </c>
      <c r="X16" s="14"/>
      <c r="Y16" s="15"/>
      <c r="Z16" s="16">
        <f t="shared" si="37"/>
        <v>0</v>
      </c>
      <c r="AA16" s="14"/>
      <c r="AB16" s="15"/>
      <c r="AC16" s="16">
        <f t="shared" si="38"/>
        <v>0</v>
      </c>
      <c r="AD16" s="14"/>
      <c r="AE16" s="15"/>
      <c r="AF16" s="16">
        <f t="shared" si="32"/>
        <v>0</v>
      </c>
      <c r="AG16" s="14">
        <v>15</v>
      </c>
      <c r="AH16" s="15">
        <v>12600</v>
      </c>
      <c r="AI16" s="16">
        <v>189000</v>
      </c>
      <c r="AJ16" s="14"/>
      <c r="AK16" s="15"/>
      <c r="AL16" s="16">
        <f t="shared" si="9"/>
        <v>0</v>
      </c>
      <c r="AM16" s="14">
        <v>15</v>
      </c>
      <c r="AN16" s="15">
        <v>12900</v>
      </c>
      <c r="AO16" s="16">
        <v>193500</v>
      </c>
      <c r="AP16" s="14"/>
      <c r="AQ16" s="15"/>
      <c r="AR16" s="16">
        <f t="shared" si="39"/>
        <v>0</v>
      </c>
      <c r="AS16" s="14"/>
      <c r="AT16" s="15"/>
      <c r="AU16" s="16">
        <f t="shared" si="30"/>
        <v>0</v>
      </c>
      <c r="AV16" s="14"/>
      <c r="AW16" s="15"/>
      <c r="AX16" s="16">
        <f t="shared" si="28"/>
        <v>0</v>
      </c>
      <c r="AY16" s="14"/>
      <c r="AZ16" s="15"/>
      <c r="BA16" s="16">
        <f>IFERROR(AY16*AZ16, 0)</f>
        <v>0</v>
      </c>
      <c r="BB16" s="14"/>
      <c r="BC16" s="15"/>
      <c r="BD16" s="16">
        <f t="shared" ref="BD16:BD38" si="42">IFERROR(BB16*BC16, 0)</f>
        <v>0</v>
      </c>
      <c r="BE16" s="14"/>
      <c r="BF16" s="15"/>
      <c r="BG16" s="16">
        <f t="shared" si="40"/>
        <v>0</v>
      </c>
      <c r="BH16" s="14"/>
      <c r="BI16" s="15"/>
      <c r="BJ16" s="16">
        <f t="shared" si="29"/>
        <v>0</v>
      </c>
      <c r="BK16" s="14"/>
      <c r="BL16" s="15"/>
      <c r="BM16" s="16">
        <f t="shared" si="41"/>
        <v>0</v>
      </c>
      <c r="BN16" s="14"/>
      <c r="BO16" s="15"/>
      <c r="BP16" s="16">
        <f t="shared" si="15"/>
        <v>0</v>
      </c>
      <c r="BQ16" s="14"/>
      <c r="BR16" s="15"/>
      <c r="BS16" s="16">
        <f t="shared" si="16"/>
        <v>0</v>
      </c>
      <c r="BT16" s="14"/>
      <c r="BU16" s="15"/>
      <c r="BV16" s="16">
        <f t="shared" si="17"/>
        <v>0</v>
      </c>
      <c r="BW16" s="14"/>
      <c r="BX16" s="15"/>
      <c r="BY16" s="16">
        <f t="shared" si="18"/>
        <v>0</v>
      </c>
      <c r="BZ16" s="14"/>
      <c r="CA16" s="15"/>
      <c r="CB16" s="16">
        <f t="shared" si="19"/>
        <v>0</v>
      </c>
      <c r="CC16" s="14"/>
      <c r="CD16" s="15"/>
      <c r="CE16" s="16">
        <f t="shared" si="20"/>
        <v>0</v>
      </c>
      <c r="CF16" s="14"/>
      <c r="CG16" s="15"/>
      <c r="CH16" s="16">
        <f t="shared" si="21"/>
        <v>0</v>
      </c>
      <c r="CI16" s="14"/>
      <c r="CJ16" s="15"/>
      <c r="CK16" s="16">
        <f t="shared" si="31"/>
        <v>0</v>
      </c>
      <c r="CL16" s="14"/>
      <c r="CM16" s="15"/>
      <c r="CN16" s="16">
        <f t="shared" si="22"/>
        <v>0</v>
      </c>
      <c r="CO16" s="14"/>
      <c r="CP16" s="15"/>
      <c r="CQ16" s="16">
        <f t="shared" si="23"/>
        <v>0</v>
      </c>
      <c r="CR16" s="14"/>
      <c r="CS16" s="15"/>
      <c r="CT16" s="16">
        <f t="shared" si="24"/>
        <v>0</v>
      </c>
      <c r="CU16" s="17">
        <f t="shared" si="25"/>
        <v>45</v>
      </c>
      <c r="CV16" s="77">
        <f t="shared" si="26"/>
        <v>12700</v>
      </c>
      <c r="CW16" s="16">
        <f t="shared" si="27"/>
        <v>571500</v>
      </c>
    </row>
    <row r="17" spans="1:101" ht="15" customHeight="1" x14ac:dyDescent="0.35">
      <c r="A17" s="79" t="s">
        <v>961</v>
      </c>
      <c r="B17" s="21" t="s">
        <v>846</v>
      </c>
      <c r="C17" s="21"/>
      <c r="D17" s="21"/>
      <c r="E17" s="78">
        <f t="shared" si="0"/>
        <v>0</v>
      </c>
      <c r="F17" s="14"/>
      <c r="G17" s="15"/>
      <c r="H17" s="16">
        <f t="shared" si="33"/>
        <v>0</v>
      </c>
      <c r="I17" s="14"/>
      <c r="J17" s="15"/>
      <c r="K17" s="16">
        <f t="shared" si="34"/>
        <v>0</v>
      </c>
      <c r="L17" s="14"/>
      <c r="M17" s="15"/>
      <c r="N17" s="16">
        <f t="shared" si="35"/>
        <v>0</v>
      </c>
      <c r="O17" s="14"/>
      <c r="P17" s="15"/>
      <c r="Q17" s="16">
        <f t="shared" si="36"/>
        <v>0</v>
      </c>
      <c r="R17" s="14"/>
      <c r="S17" s="15"/>
      <c r="T17" s="16">
        <f t="shared" si="5"/>
        <v>0</v>
      </c>
      <c r="U17" s="14"/>
      <c r="V17" s="15"/>
      <c r="W17" s="16">
        <f t="shared" ref="W17:W38" si="43">IFERROR(U17*V17, 0)</f>
        <v>0</v>
      </c>
      <c r="X17" s="14"/>
      <c r="Y17" s="15"/>
      <c r="Z17" s="16">
        <f t="shared" si="37"/>
        <v>0</v>
      </c>
      <c r="AA17" s="14"/>
      <c r="AB17" s="15"/>
      <c r="AC17" s="16">
        <f t="shared" si="38"/>
        <v>0</v>
      </c>
      <c r="AD17" s="14"/>
      <c r="AE17" s="15"/>
      <c r="AF17" s="16">
        <f t="shared" si="32"/>
        <v>0</v>
      </c>
      <c r="AG17" s="14"/>
      <c r="AH17" s="15"/>
      <c r="AI17" s="16">
        <f>IFERROR(AG17*AH17, 0)</f>
        <v>0</v>
      </c>
      <c r="AJ17" s="14"/>
      <c r="AK17" s="15"/>
      <c r="AL17" s="16">
        <f t="shared" si="9"/>
        <v>0</v>
      </c>
      <c r="AM17" s="14"/>
      <c r="AN17" s="15"/>
      <c r="AO17" s="16">
        <f>IFERROR(AM17*AN17, 0)</f>
        <v>0</v>
      </c>
      <c r="AP17" s="14"/>
      <c r="AQ17" s="15"/>
      <c r="AR17" s="16">
        <f t="shared" si="39"/>
        <v>0</v>
      </c>
      <c r="AS17" s="14"/>
      <c r="AT17" s="15"/>
      <c r="AU17" s="16">
        <f t="shared" si="30"/>
        <v>0</v>
      </c>
      <c r="AV17" s="14"/>
      <c r="AW17" s="15"/>
      <c r="AX17" s="16">
        <f t="shared" si="28"/>
        <v>0</v>
      </c>
      <c r="AY17" s="14"/>
      <c r="AZ17" s="15"/>
      <c r="BA17" s="16">
        <f>IFERROR(AY17*AZ17, 0)</f>
        <v>0</v>
      </c>
      <c r="BB17" s="14"/>
      <c r="BC17" s="15"/>
      <c r="BD17" s="16">
        <f t="shared" si="42"/>
        <v>0</v>
      </c>
      <c r="BE17" s="14"/>
      <c r="BF17" s="15"/>
      <c r="BG17" s="16">
        <f t="shared" si="40"/>
        <v>0</v>
      </c>
      <c r="BH17" s="14"/>
      <c r="BI17" s="15"/>
      <c r="BJ17" s="16">
        <f t="shared" si="29"/>
        <v>0</v>
      </c>
      <c r="BK17" s="14"/>
      <c r="BL17" s="15"/>
      <c r="BM17" s="16">
        <f t="shared" si="41"/>
        <v>0</v>
      </c>
      <c r="BN17" s="14"/>
      <c r="BO17" s="15"/>
      <c r="BP17" s="16">
        <f t="shared" si="15"/>
        <v>0</v>
      </c>
      <c r="BQ17" s="14"/>
      <c r="BR17" s="15"/>
      <c r="BS17" s="16">
        <f t="shared" si="16"/>
        <v>0</v>
      </c>
      <c r="BT17" s="14"/>
      <c r="BU17" s="15"/>
      <c r="BV17" s="16">
        <f t="shared" si="17"/>
        <v>0</v>
      </c>
      <c r="BW17" s="14"/>
      <c r="BX17" s="15"/>
      <c r="BY17" s="16">
        <f t="shared" si="18"/>
        <v>0</v>
      </c>
      <c r="BZ17" s="14"/>
      <c r="CA17" s="15"/>
      <c r="CB17" s="16">
        <f t="shared" si="19"/>
        <v>0</v>
      </c>
      <c r="CC17" s="14"/>
      <c r="CD17" s="15"/>
      <c r="CE17" s="16">
        <f t="shared" si="20"/>
        <v>0</v>
      </c>
      <c r="CF17" s="14"/>
      <c r="CG17" s="15"/>
      <c r="CH17" s="16">
        <f t="shared" si="21"/>
        <v>0</v>
      </c>
      <c r="CI17" s="14"/>
      <c r="CJ17" s="15"/>
      <c r="CK17" s="16">
        <f t="shared" si="31"/>
        <v>0</v>
      </c>
      <c r="CL17" s="14"/>
      <c r="CM17" s="15"/>
      <c r="CN17" s="16">
        <f t="shared" si="22"/>
        <v>0</v>
      </c>
      <c r="CO17" s="14"/>
      <c r="CP17" s="15"/>
      <c r="CQ17" s="16">
        <f t="shared" si="23"/>
        <v>0</v>
      </c>
      <c r="CR17" s="14"/>
      <c r="CS17" s="15"/>
      <c r="CT17" s="16">
        <f t="shared" si="24"/>
        <v>0</v>
      </c>
      <c r="CU17" s="17">
        <f t="shared" si="25"/>
        <v>0</v>
      </c>
      <c r="CV17" s="77">
        <f t="shared" si="26"/>
        <v>0</v>
      </c>
      <c r="CW17" s="16">
        <f t="shared" si="27"/>
        <v>0</v>
      </c>
    </row>
    <row r="18" spans="1:101" ht="15" customHeight="1" x14ac:dyDescent="0.35">
      <c r="A18" s="21" t="s">
        <v>411</v>
      </c>
      <c r="B18" s="21" t="s">
        <v>846</v>
      </c>
      <c r="C18" s="21"/>
      <c r="D18" s="21"/>
      <c r="E18" s="78">
        <f t="shared" si="0"/>
        <v>0</v>
      </c>
      <c r="F18" s="14"/>
      <c r="G18" s="15"/>
      <c r="H18" s="16">
        <f t="shared" si="33"/>
        <v>0</v>
      </c>
      <c r="I18" s="14"/>
      <c r="J18" s="15"/>
      <c r="K18" s="16">
        <f t="shared" si="34"/>
        <v>0</v>
      </c>
      <c r="L18" s="14"/>
      <c r="M18" s="15"/>
      <c r="N18" s="16">
        <f t="shared" si="35"/>
        <v>0</v>
      </c>
      <c r="O18" s="14"/>
      <c r="P18" s="15"/>
      <c r="Q18" s="16">
        <f t="shared" si="36"/>
        <v>0</v>
      </c>
      <c r="R18" s="14"/>
      <c r="S18" s="15"/>
      <c r="T18" s="16">
        <f t="shared" si="5"/>
        <v>0</v>
      </c>
      <c r="U18" s="14"/>
      <c r="V18" s="15"/>
      <c r="W18" s="16">
        <f t="shared" si="43"/>
        <v>0</v>
      </c>
      <c r="X18" s="14"/>
      <c r="Y18" s="15"/>
      <c r="Z18" s="16">
        <f t="shared" si="37"/>
        <v>0</v>
      </c>
      <c r="AA18" s="14"/>
      <c r="AB18" s="15"/>
      <c r="AC18" s="16">
        <f t="shared" si="38"/>
        <v>0</v>
      </c>
      <c r="AD18" s="14"/>
      <c r="AE18" s="15"/>
      <c r="AF18" s="16">
        <f t="shared" si="32"/>
        <v>0</v>
      </c>
      <c r="AG18" s="14">
        <v>1</v>
      </c>
      <c r="AH18" s="15">
        <v>15000</v>
      </c>
      <c r="AI18" s="16">
        <v>15000</v>
      </c>
      <c r="AJ18" s="14"/>
      <c r="AK18" s="15"/>
      <c r="AL18" s="16">
        <f t="shared" si="9"/>
        <v>0</v>
      </c>
      <c r="AM18" s="14"/>
      <c r="AN18" s="15"/>
      <c r="AO18" s="16">
        <f>IFERROR(AM18*AN18, 0)</f>
        <v>0</v>
      </c>
      <c r="AP18" s="14"/>
      <c r="AQ18" s="15"/>
      <c r="AR18" s="16">
        <f t="shared" si="39"/>
        <v>0</v>
      </c>
      <c r="AS18" s="14"/>
      <c r="AT18" s="15"/>
      <c r="AU18" s="16">
        <f t="shared" si="30"/>
        <v>0</v>
      </c>
      <c r="AV18" s="14"/>
      <c r="AW18" s="15"/>
      <c r="AX18" s="16">
        <f t="shared" si="28"/>
        <v>0</v>
      </c>
      <c r="AY18" s="14">
        <v>1</v>
      </c>
      <c r="AZ18" s="15">
        <v>10000</v>
      </c>
      <c r="BA18" s="16">
        <v>10000</v>
      </c>
      <c r="BB18" s="14"/>
      <c r="BC18" s="15"/>
      <c r="BD18" s="16">
        <f t="shared" si="42"/>
        <v>0</v>
      </c>
      <c r="BE18" s="14"/>
      <c r="BF18" s="15"/>
      <c r="BG18" s="16">
        <f t="shared" si="40"/>
        <v>0</v>
      </c>
      <c r="BH18" s="14"/>
      <c r="BI18" s="15"/>
      <c r="BJ18" s="16">
        <f t="shared" si="29"/>
        <v>0</v>
      </c>
      <c r="BK18" s="14"/>
      <c r="BL18" s="15"/>
      <c r="BM18" s="16">
        <f t="shared" si="41"/>
        <v>0</v>
      </c>
      <c r="BN18" s="14"/>
      <c r="BO18" s="15"/>
      <c r="BP18" s="16">
        <f t="shared" si="15"/>
        <v>0</v>
      </c>
      <c r="BQ18" s="14"/>
      <c r="BR18" s="15"/>
      <c r="BS18" s="16">
        <f t="shared" si="16"/>
        <v>0</v>
      </c>
      <c r="BT18" s="14"/>
      <c r="BU18" s="15"/>
      <c r="BV18" s="16">
        <f t="shared" si="17"/>
        <v>0</v>
      </c>
      <c r="BW18" s="14"/>
      <c r="BX18" s="15"/>
      <c r="BY18" s="16">
        <f t="shared" si="18"/>
        <v>0</v>
      </c>
      <c r="BZ18" s="14"/>
      <c r="CA18" s="15"/>
      <c r="CB18" s="16">
        <f t="shared" si="19"/>
        <v>0</v>
      </c>
      <c r="CC18" s="14"/>
      <c r="CD18" s="15"/>
      <c r="CE18" s="16">
        <f t="shared" si="20"/>
        <v>0</v>
      </c>
      <c r="CF18" s="14"/>
      <c r="CG18" s="15"/>
      <c r="CH18" s="16">
        <f t="shared" si="21"/>
        <v>0</v>
      </c>
      <c r="CI18" s="14"/>
      <c r="CJ18" s="15"/>
      <c r="CK18" s="16">
        <f t="shared" si="31"/>
        <v>0</v>
      </c>
      <c r="CL18" s="14"/>
      <c r="CM18" s="15"/>
      <c r="CN18" s="16">
        <f t="shared" si="22"/>
        <v>0</v>
      </c>
      <c r="CO18" s="14"/>
      <c r="CP18" s="15"/>
      <c r="CQ18" s="16">
        <f t="shared" si="23"/>
        <v>0</v>
      </c>
      <c r="CR18" s="14"/>
      <c r="CS18" s="15"/>
      <c r="CT18" s="16">
        <f t="shared" si="24"/>
        <v>0</v>
      </c>
      <c r="CU18" s="17">
        <f t="shared" si="25"/>
        <v>2</v>
      </c>
      <c r="CV18" s="77">
        <f t="shared" si="26"/>
        <v>12500</v>
      </c>
      <c r="CW18" s="16">
        <f t="shared" si="27"/>
        <v>25000</v>
      </c>
    </row>
    <row r="19" spans="1:101" ht="15" customHeight="1" x14ac:dyDescent="0.35">
      <c r="A19" s="21" t="s">
        <v>962</v>
      </c>
      <c r="B19" s="21" t="s">
        <v>846</v>
      </c>
      <c r="C19" s="21"/>
      <c r="D19" s="21"/>
      <c r="E19" s="78">
        <f t="shared" si="0"/>
        <v>0</v>
      </c>
      <c r="F19" s="14"/>
      <c r="G19" s="15"/>
      <c r="H19" s="16">
        <f t="shared" si="33"/>
        <v>0</v>
      </c>
      <c r="I19" s="14"/>
      <c r="J19" s="15"/>
      <c r="K19" s="16">
        <f t="shared" si="34"/>
        <v>0</v>
      </c>
      <c r="L19" s="14"/>
      <c r="M19" s="15"/>
      <c r="N19" s="16">
        <f t="shared" si="35"/>
        <v>0</v>
      </c>
      <c r="O19" s="14"/>
      <c r="P19" s="15"/>
      <c r="Q19" s="16">
        <f t="shared" si="36"/>
        <v>0</v>
      </c>
      <c r="R19" s="14"/>
      <c r="S19" s="15"/>
      <c r="T19" s="16">
        <f t="shared" si="5"/>
        <v>0</v>
      </c>
      <c r="U19" s="14"/>
      <c r="V19" s="15"/>
      <c r="W19" s="16">
        <f t="shared" si="43"/>
        <v>0</v>
      </c>
      <c r="X19" s="14"/>
      <c r="Y19" s="15"/>
      <c r="Z19" s="16">
        <f t="shared" si="37"/>
        <v>0</v>
      </c>
      <c r="AA19" s="14"/>
      <c r="AB19" s="15"/>
      <c r="AC19" s="16">
        <f t="shared" si="38"/>
        <v>0</v>
      </c>
      <c r="AD19" s="14"/>
      <c r="AE19" s="15"/>
      <c r="AF19" s="16">
        <f t="shared" si="32"/>
        <v>0</v>
      </c>
      <c r="AG19" s="14"/>
      <c r="AH19" s="15"/>
      <c r="AI19" s="16">
        <f>IFERROR(AG19*AH19, 0)</f>
        <v>0</v>
      </c>
      <c r="AJ19" s="14"/>
      <c r="AK19" s="15"/>
      <c r="AL19" s="16">
        <f t="shared" si="9"/>
        <v>0</v>
      </c>
      <c r="AM19" s="14"/>
      <c r="AN19" s="15"/>
      <c r="AO19" s="16">
        <f>IFERROR(AM19*AN19, 0)</f>
        <v>0</v>
      </c>
      <c r="AP19" s="14"/>
      <c r="AQ19" s="15"/>
      <c r="AR19" s="16">
        <f t="shared" si="39"/>
        <v>0</v>
      </c>
      <c r="AS19" s="14"/>
      <c r="AT19" s="15"/>
      <c r="AU19" s="16">
        <f t="shared" si="30"/>
        <v>0</v>
      </c>
      <c r="AV19" s="14"/>
      <c r="AW19" s="15"/>
      <c r="AX19" s="16">
        <f t="shared" si="28"/>
        <v>0</v>
      </c>
      <c r="AY19" s="14"/>
      <c r="AZ19" s="15"/>
      <c r="BA19" s="16">
        <f>IFERROR(AY19*AZ19, 0)</f>
        <v>0</v>
      </c>
      <c r="BB19" s="14"/>
      <c r="BC19" s="15"/>
      <c r="BD19" s="16">
        <f t="shared" si="42"/>
        <v>0</v>
      </c>
      <c r="BE19" s="14"/>
      <c r="BF19" s="15"/>
      <c r="BG19" s="16">
        <f t="shared" si="40"/>
        <v>0</v>
      </c>
      <c r="BH19" s="14"/>
      <c r="BI19" s="15"/>
      <c r="BJ19" s="16">
        <f t="shared" si="29"/>
        <v>0</v>
      </c>
      <c r="BK19" s="14"/>
      <c r="BL19" s="15"/>
      <c r="BM19" s="16">
        <f t="shared" si="41"/>
        <v>0</v>
      </c>
      <c r="BN19" s="14"/>
      <c r="BO19" s="15"/>
      <c r="BP19" s="16">
        <f t="shared" si="15"/>
        <v>0</v>
      </c>
      <c r="BQ19" s="14"/>
      <c r="BR19" s="15"/>
      <c r="BS19" s="16">
        <f t="shared" si="16"/>
        <v>0</v>
      </c>
      <c r="BT19" s="14"/>
      <c r="BU19" s="15"/>
      <c r="BV19" s="16">
        <f t="shared" si="17"/>
        <v>0</v>
      </c>
      <c r="BW19" s="14"/>
      <c r="BX19" s="15"/>
      <c r="BY19" s="16">
        <f t="shared" si="18"/>
        <v>0</v>
      </c>
      <c r="BZ19" s="14"/>
      <c r="CA19" s="15"/>
      <c r="CB19" s="16">
        <f t="shared" si="19"/>
        <v>0</v>
      </c>
      <c r="CC19" s="14"/>
      <c r="CD19" s="15"/>
      <c r="CE19" s="16">
        <f t="shared" si="20"/>
        <v>0</v>
      </c>
      <c r="CF19" s="14"/>
      <c r="CG19" s="15"/>
      <c r="CH19" s="16">
        <f t="shared" si="21"/>
        <v>0</v>
      </c>
      <c r="CI19" s="14"/>
      <c r="CJ19" s="15"/>
      <c r="CK19" s="16">
        <f t="shared" si="31"/>
        <v>0</v>
      </c>
      <c r="CL19" s="14"/>
      <c r="CM19" s="15"/>
      <c r="CN19" s="16">
        <f t="shared" si="22"/>
        <v>0</v>
      </c>
      <c r="CO19" s="14"/>
      <c r="CP19" s="15"/>
      <c r="CQ19" s="16">
        <f t="shared" si="23"/>
        <v>0</v>
      </c>
      <c r="CR19" s="14"/>
      <c r="CS19" s="15"/>
      <c r="CT19" s="16">
        <f t="shared" si="24"/>
        <v>0</v>
      </c>
      <c r="CU19" s="17">
        <f t="shared" si="25"/>
        <v>0</v>
      </c>
      <c r="CV19" s="77">
        <f t="shared" si="26"/>
        <v>0</v>
      </c>
      <c r="CW19" s="16">
        <f t="shared" si="27"/>
        <v>0</v>
      </c>
    </row>
    <row r="20" spans="1:101" ht="15" customHeight="1" x14ac:dyDescent="0.35">
      <c r="A20" s="79" t="s">
        <v>512</v>
      </c>
      <c r="B20" s="37" t="s">
        <v>956</v>
      </c>
      <c r="C20" s="80"/>
      <c r="D20" s="80"/>
      <c r="E20" s="78">
        <f t="shared" si="0"/>
        <v>0</v>
      </c>
      <c r="F20" s="80"/>
      <c r="G20" s="80"/>
      <c r="H20" s="16">
        <f t="shared" si="33"/>
        <v>0</v>
      </c>
      <c r="I20" s="80"/>
      <c r="J20" s="80"/>
      <c r="K20" s="16">
        <f t="shared" si="34"/>
        <v>0</v>
      </c>
      <c r="L20" s="80"/>
      <c r="M20" s="80"/>
      <c r="N20" s="16">
        <f t="shared" si="35"/>
        <v>0</v>
      </c>
      <c r="O20" s="80"/>
      <c r="P20" s="80"/>
      <c r="Q20" s="16">
        <f t="shared" si="36"/>
        <v>0</v>
      </c>
      <c r="R20" s="80"/>
      <c r="S20" s="80"/>
      <c r="T20" s="16">
        <f t="shared" si="5"/>
        <v>0</v>
      </c>
      <c r="U20" s="80"/>
      <c r="V20" s="80"/>
      <c r="W20" s="16">
        <f t="shared" si="43"/>
        <v>0</v>
      </c>
      <c r="X20" s="80"/>
      <c r="Y20" s="80"/>
      <c r="Z20" s="16">
        <f t="shared" si="37"/>
        <v>0</v>
      </c>
      <c r="AA20" s="80"/>
      <c r="AB20" s="80"/>
      <c r="AC20" s="16">
        <f t="shared" si="38"/>
        <v>0</v>
      </c>
      <c r="AD20" s="80"/>
      <c r="AE20" s="80"/>
      <c r="AF20" s="16">
        <f t="shared" si="32"/>
        <v>0</v>
      </c>
      <c r="AG20" s="14"/>
      <c r="AH20" s="15"/>
      <c r="AI20" s="16">
        <f>IFERROR(AG20*AH20, 0)</f>
        <v>0</v>
      </c>
      <c r="AJ20" s="14"/>
      <c r="AK20" s="15"/>
      <c r="AL20" s="16">
        <f t="shared" si="9"/>
        <v>0</v>
      </c>
      <c r="AM20" s="14"/>
      <c r="AN20" s="15"/>
      <c r="AO20" s="16">
        <f>IFERROR(AM20*AN20, 0)</f>
        <v>0</v>
      </c>
      <c r="AP20" s="14"/>
      <c r="AQ20" s="15"/>
      <c r="AR20" s="16">
        <f t="shared" si="39"/>
        <v>0</v>
      </c>
      <c r="AS20" s="14">
        <v>1</v>
      </c>
      <c r="AT20" s="15">
        <v>69900</v>
      </c>
      <c r="AU20" s="16">
        <v>69900</v>
      </c>
      <c r="AV20" s="14"/>
      <c r="AW20" s="15"/>
      <c r="AX20" s="16">
        <f t="shared" si="28"/>
        <v>0</v>
      </c>
      <c r="AY20" s="14"/>
      <c r="AZ20" s="15"/>
      <c r="BA20" s="16">
        <f>IFERROR(AY20*AZ20, 0)</f>
        <v>0</v>
      </c>
      <c r="BB20" s="14"/>
      <c r="BC20" s="15"/>
      <c r="BD20" s="16">
        <f t="shared" si="42"/>
        <v>0</v>
      </c>
      <c r="BE20" s="14"/>
      <c r="BF20" s="15"/>
      <c r="BG20" s="16">
        <f t="shared" si="40"/>
        <v>0</v>
      </c>
      <c r="BH20" s="14"/>
      <c r="BI20" s="15"/>
      <c r="BJ20" s="16">
        <f t="shared" si="29"/>
        <v>0</v>
      </c>
      <c r="BK20" s="14"/>
      <c r="BL20" s="15"/>
      <c r="BM20" s="16">
        <f t="shared" si="41"/>
        <v>0</v>
      </c>
      <c r="BN20" s="14"/>
      <c r="BO20" s="15"/>
      <c r="BP20" s="16">
        <f t="shared" si="15"/>
        <v>0</v>
      </c>
      <c r="BQ20" s="14"/>
      <c r="BR20" s="15"/>
      <c r="BS20" s="16">
        <f t="shared" si="16"/>
        <v>0</v>
      </c>
      <c r="BT20" s="14"/>
      <c r="BU20" s="15"/>
      <c r="BV20" s="16">
        <f t="shared" si="17"/>
        <v>0</v>
      </c>
      <c r="BW20" s="14"/>
      <c r="BX20" s="15"/>
      <c r="BY20" s="16">
        <f t="shared" si="18"/>
        <v>0</v>
      </c>
      <c r="BZ20" s="14"/>
      <c r="CA20" s="15"/>
      <c r="CB20" s="16">
        <f t="shared" si="19"/>
        <v>0</v>
      </c>
      <c r="CC20" s="14"/>
      <c r="CD20" s="15"/>
      <c r="CE20" s="16">
        <f t="shared" si="20"/>
        <v>0</v>
      </c>
      <c r="CF20" s="14"/>
      <c r="CG20" s="15"/>
      <c r="CH20" s="16">
        <f t="shared" si="21"/>
        <v>0</v>
      </c>
      <c r="CI20" s="14"/>
      <c r="CJ20" s="15"/>
      <c r="CK20" s="16">
        <f t="shared" si="31"/>
        <v>0</v>
      </c>
      <c r="CL20" s="14"/>
      <c r="CM20" s="15"/>
      <c r="CN20" s="16">
        <f t="shared" si="22"/>
        <v>0</v>
      </c>
      <c r="CO20" s="14"/>
      <c r="CP20" s="15"/>
      <c r="CQ20" s="16">
        <f t="shared" si="23"/>
        <v>0</v>
      </c>
      <c r="CR20" s="14"/>
      <c r="CS20" s="15"/>
      <c r="CT20" s="16">
        <f t="shared" si="24"/>
        <v>0</v>
      </c>
      <c r="CU20" s="17">
        <f t="shared" si="25"/>
        <v>1</v>
      </c>
      <c r="CV20" s="77">
        <f t="shared" si="26"/>
        <v>69900</v>
      </c>
      <c r="CW20" s="16">
        <f t="shared" si="27"/>
        <v>69900</v>
      </c>
    </row>
    <row r="21" spans="1:101" s="39" customFormat="1" ht="15.75" customHeight="1" x14ac:dyDescent="0.35">
      <c r="A21" s="21" t="s">
        <v>13</v>
      </c>
      <c r="B21" s="21" t="s">
        <v>846</v>
      </c>
      <c r="C21" s="21"/>
      <c r="D21" s="21"/>
      <c r="E21" s="78">
        <f>IFERROR(C21*D21, 0)</f>
        <v>0</v>
      </c>
      <c r="F21" s="14">
        <v>2</v>
      </c>
      <c r="G21" s="15">
        <v>30000</v>
      </c>
      <c r="H21" s="16">
        <v>60000</v>
      </c>
      <c r="I21" s="14">
        <v>1</v>
      </c>
      <c r="J21" s="15">
        <v>30000</v>
      </c>
      <c r="K21" s="16">
        <v>30000</v>
      </c>
      <c r="L21" s="14">
        <v>1</v>
      </c>
      <c r="M21" s="15">
        <v>30000</v>
      </c>
      <c r="N21" s="16">
        <v>30000</v>
      </c>
      <c r="O21" s="14"/>
      <c r="P21" s="15"/>
      <c r="Q21" s="16">
        <f t="shared" si="36"/>
        <v>0</v>
      </c>
      <c r="R21" s="14"/>
      <c r="S21" s="15"/>
      <c r="T21" s="16">
        <f t="shared" si="5"/>
        <v>0</v>
      </c>
      <c r="U21" s="14"/>
      <c r="V21" s="15"/>
      <c r="W21" s="16">
        <f t="shared" si="43"/>
        <v>0</v>
      </c>
      <c r="X21" s="14"/>
      <c r="Y21" s="15"/>
      <c r="Z21" s="16">
        <f t="shared" si="37"/>
        <v>0</v>
      </c>
      <c r="AA21" s="14">
        <v>1</v>
      </c>
      <c r="AB21" s="15">
        <v>30000</v>
      </c>
      <c r="AC21" s="16">
        <v>30000</v>
      </c>
      <c r="AD21" s="14"/>
      <c r="AE21" s="15"/>
      <c r="AF21" s="16">
        <f t="shared" si="32"/>
        <v>0</v>
      </c>
      <c r="AG21" s="14">
        <v>1</v>
      </c>
      <c r="AH21" s="15">
        <v>30000</v>
      </c>
      <c r="AI21" s="16">
        <v>30000</v>
      </c>
      <c r="AJ21" s="14"/>
      <c r="AK21" s="15"/>
      <c r="AL21" s="16">
        <f t="shared" si="9"/>
        <v>0</v>
      </c>
      <c r="AM21" s="14"/>
      <c r="AN21" s="15"/>
      <c r="AO21" s="16">
        <f>IFERROR(AM21*AN21, 0)</f>
        <v>0</v>
      </c>
      <c r="AP21" s="14"/>
      <c r="AQ21" s="15"/>
      <c r="AR21" s="16">
        <f t="shared" si="39"/>
        <v>0</v>
      </c>
      <c r="AS21" s="14">
        <v>1</v>
      </c>
      <c r="AT21" s="15">
        <v>30000</v>
      </c>
      <c r="AU21" s="16">
        <v>30000</v>
      </c>
      <c r="AV21" s="14"/>
      <c r="AW21" s="15"/>
      <c r="AX21" s="16">
        <f t="shared" si="28"/>
        <v>0</v>
      </c>
      <c r="AY21" s="14"/>
      <c r="AZ21" s="15"/>
      <c r="BA21" s="16">
        <f>IFERROR(AY21*AZ21, 0)</f>
        <v>0</v>
      </c>
      <c r="BB21" s="14"/>
      <c r="BC21" s="15"/>
      <c r="BD21" s="16">
        <f t="shared" si="42"/>
        <v>0</v>
      </c>
      <c r="BE21" s="14"/>
      <c r="BF21" s="15"/>
      <c r="BG21" s="16">
        <f t="shared" si="40"/>
        <v>0</v>
      </c>
      <c r="BH21" s="14"/>
      <c r="BI21" s="15"/>
      <c r="BJ21" s="16">
        <f t="shared" si="29"/>
        <v>0</v>
      </c>
      <c r="BK21" s="14">
        <v>1</v>
      </c>
      <c r="BL21" s="15">
        <v>30000</v>
      </c>
      <c r="BM21" s="16">
        <v>30000</v>
      </c>
      <c r="BN21" s="14"/>
      <c r="BO21" s="15"/>
      <c r="BP21" s="16">
        <f t="shared" si="15"/>
        <v>0</v>
      </c>
      <c r="BQ21" s="14">
        <v>1</v>
      </c>
      <c r="BR21" s="15">
        <v>30000</v>
      </c>
      <c r="BS21" s="16">
        <v>30000</v>
      </c>
      <c r="BT21" s="14"/>
      <c r="BU21" s="15"/>
      <c r="BV21" s="16">
        <f t="shared" si="17"/>
        <v>0</v>
      </c>
      <c r="BW21" s="14"/>
      <c r="BX21" s="15"/>
      <c r="BY21" s="16">
        <f t="shared" si="18"/>
        <v>0</v>
      </c>
      <c r="BZ21" s="14"/>
      <c r="CA21" s="15"/>
      <c r="CB21" s="16">
        <f t="shared" si="19"/>
        <v>0</v>
      </c>
      <c r="CC21" s="14"/>
      <c r="CD21" s="15"/>
      <c r="CE21" s="16">
        <f t="shared" si="20"/>
        <v>0</v>
      </c>
      <c r="CF21" s="14"/>
      <c r="CG21" s="15"/>
      <c r="CH21" s="16">
        <f t="shared" si="21"/>
        <v>0</v>
      </c>
      <c r="CI21" s="14"/>
      <c r="CJ21" s="15"/>
      <c r="CK21" s="16">
        <f t="shared" si="31"/>
        <v>0</v>
      </c>
      <c r="CL21" s="14"/>
      <c r="CM21" s="15"/>
      <c r="CN21" s="16">
        <f t="shared" si="22"/>
        <v>0</v>
      </c>
      <c r="CO21" s="14"/>
      <c r="CP21" s="15"/>
      <c r="CQ21" s="16">
        <f t="shared" si="23"/>
        <v>0</v>
      </c>
      <c r="CR21" s="14"/>
      <c r="CS21" s="15"/>
      <c r="CT21" s="16">
        <f t="shared" si="24"/>
        <v>0</v>
      </c>
      <c r="CU21" s="17">
        <f t="shared" si="25"/>
        <v>9</v>
      </c>
      <c r="CV21" s="77">
        <f t="shared" si="26"/>
        <v>30000</v>
      </c>
      <c r="CW21" s="16">
        <f t="shared" si="27"/>
        <v>270000</v>
      </c>
    </row>
    <row r="22" spans="1:101" ht="15" customHeight="1" x14ac:dyDescent="0.35">
      <c r="A22" s="80" t="s">
        <v>963</v>
      </c>
      <c r="B22" s="37" t="s">
        <v>956</v>
      </c>
      <c r="C22" s="80"/>
      <c r="D22" s="80"/>
      <c r="E22" s="78">
        <f t="shared" ref="E22:E38" si="44">IFERROR(+C22*D22, 0)</f>
        <v>0</v>
      </c>
      <c r="F22" s="14"/>
      <c r="G22" s="15"/>
      <c r="H22" s="16">
        <f t="shared" ref="H22:H38" si="45">IFERROR(F22*G22, 0)</f>
        <v>0</v>
      </c>
      <c r="I22" s="14"/>
      <c r="J22" s="15"/>
      <c r="K22" s="16">
        <f>IFERROR(I22*J22, 0)</f>
        <v>0</v>
      </c>
      <c r="L22" s="14"/>
      <c r="M22" s="15"/>
      <c r="N22" s="16">
        <f t="shared" ref="N22:N38" si="46">IFERROR(L22*M22, 0)</f>
        <v>0</v>
      </c>
      <c r="O22" s="14"/>
      <c r="P22" s="15"/>
      <c r="Q22" s="16">
        <f t="shared" si="36"/>
        <v>0</v>
      </c>
      <c r="R22" s="14"/>
      <c r="S22" s="15"/>
      <c r="T22" s="16">
        <f t="shared" si="5"/>
        <v>0</v>
      </c>
      <c r="U22" s="14"/>
      <c r="V22" s="15"/>
      <c r="W22" s="16">
        <f t="shared" si="43"/>
        <v>0</v>
      </c>
      <c r="X22" s="14"/>
      <c r="Y22" s="15"/>
      <c r="Z22" s="16">
        <f t="shared" si="37"/>
        <v>0</v>
      </c>
      <c r="AA22" s="14"/>
      <c r="AB22" s="15"/>
      <c r="AC22" s="16">
        <f t="shared" ref="AC22:AC38" si="47">IFERROR(AA22*AB22, 0)</f>
        <v>0</v>
      </c>
      <c r="AD22" s="14"/>
      <c r="AE22" s="15"/>
      <c r="AF22" s="16">
        <f t="shared" si="32"/>
        <v>0</v>
      </c>
      <c r="AG22" s="80"/>
      <c r="AH22" s="80"/>
      <c r="AI22" s="80"/>
      <c r="AJ22" s="80"/>
      <c r="AK22" s="80"/>
      <c r="AL22" s="80"/>
      <c r="AM22" s="80"/>
      <c r="AN22" s="80"/>
      <c r="AO22" s="80"/>
      <c r="AP22" s="14"/>
      <c r="AQ22" s="15"/>
      <c r="AR22" s="16">
        <f t="shared" si="39"/>
        <v>0</v>
      </c>
      <c r="AS22" s="14"/>
      <c r="AT22" s="15"/>
      <c r="AU22" s="16">
        <f>IFERROR(AS22*AT22, 0)</f>
        <v>0</v>
      </c>
      <c r="AV22" s="14"/>
      <c r="AW22" s="15"/>
      <c r="AX22" s="16"/>
      <c r="AY22" s="80"/>
      <c r="AZ22" s="80"/>
      <c r="BA22" s="80"/>
      <c r="BB22" s="14"/>
      <c r="BC22" s="15"/>
      <c r="BD22" s="16">
        <f t="shared" si="42"/>
        <v>0</v>
      </c>
      <c r="BE22" s="14"/>
      <c r="BF22" s="15"/>
      <c r="BG22" s="16">
        <f t="shared" si="40"/>
        <v>0</v>
      </c>
      <c r="BH22" s="14"/>
      <c r="BI22" s="15"/>
      <c r="BJ22" s="16">
        <f t="shared" si="29"/>
        <v>0</v>
      </c>
      <c r="BK22" s="14"/>
      <c r="BL22" s="15"/>
      <c r="BM22" s="16">
        <f t="shared" ref="BM22:BM38" si="48">IFERROR(BK22*BL22, 0)</f>
        <v>0</v>
      </c>
      <c r="BN22" s="14"/>
      <c r="BO22" s="15"/>
      <c r="BP22" s="16">
        <f t="shared" si="15"/>
        <v>0</v>
      </c>
      <c r="BQ22" s="80"/>
      <c r="BR22" s="80"/>
      <c r="BS22" s="80"/>
      <c r="BT22" s="14"/>
      <c r="BU22" s="15"/>
      <c r="BV22" s="16">
        <f t="shared" si="17"/>
        <v>0</v>
      </c>
      <c r="BW22" s="14"/>
      <c r="BX22" s="15"/>
      <c r="BY22" s="16">
        <f t="shared" si="18"/>
        <v>0</v>
      </c>
      <c r="BZ22" s="14"/>
      <c r="CA22" s="15"/>
      <c r="CB22" s="16">
        <f t="shared" si="19"/>
        <v>0</v>
      </c>
      <c r="CC22" s="14"/>
      <c r="CD22" s="15"/>
      <c r="CE22" s="16">
        <f t="shared" si="20"/>
        <v>0</v>
      </c>
      <c r="CF22" s="14"/>
      <c r="CG22" s="15"/>
      <c r="CH22" s="16">
        <f t="shared" si="21"/>
        <v>0</v>
      </c>
      <c r="CI22" s="14"/>
      <c r="CJ22" s="15"/>
      <c r="CK22" s="16">
        <f t="shared" si="31"/>
        <v>0</v>
      </c>
      <c r="CL22" s="14"/>
      <c r="CM22" s="15"/>
      <c r="CN22" s="16">
        <f t="shared" si="22"/>
        <v>0</v>
      </c>
      <c r="CO22" s="14"/>
      <c r="CP22" s="15"/>
      <c r="CQ22" s="16">
        <f t="shared" si="23"/>
        <v>0</v>
      </c>
      <c r="CR22" s="14"/>
      <c r="CS22" s="15"/>
      <c r="CT22" s="16">
        <f t="shared" si="24"/>
        <v>0</v>
      </c>
      <c r="CU22" s="17">
        <f t="shared" si="25"/>
        <v>0</v>
      </c>
      <c r="CV22" s="77">
        <f t="shared" si="26"/>
        <v>0</v>
      </c>
      <c r="CW22" s="16">
        <f t="shared" si="27"/>
        <v>0</v>
      </c>
    </row>
    <row r="23" spans="1:101" ht="15" customHeight="1" x14ac:dyDescent="0.35">
      <c r="A23" s="80" t="s">
        <v>88</v>
      </c>
      <c r="B23" s="37" t="s">
        <v>956</v>
      </c>
      <c r="C23" s="80"/>
      <c r="D23" s="80"/>
      <c r="E23" s="78">
        <f t="shared" si="44"/>
        <v>0</v>
      </c>
      <c r="F23" s="14"/>
      <c r="G23" s="15"/>
      <c r="H23" s="16">
        <f t="shared" si="45"/>
        <v>0</v>
      </c>
      <c r="I23" s="14">
        <v>1</v>
      </c>
      <c r="J23" s="15">
        <v>15000</v>
      </c>
      <c r="K23" s="16">
        <v>15000</v>
      </c>
      <c r="L23" s="14"/>
      <c r="M23" s="15"/>
      <c r="N23" s="16">
        <f t="shared" si="46"/>
        <v>0</v>
      </c>
      <c r="O23" s="14">
        <v>4</v>
      </c>
      <c r="P23" s="15">
        <v>2500</v>
      </c>
      <c r="Q23" s="16">
        <v>15000</v>
      </c>
      <c r="R23" s="14"/>
      <c r="S23" s="15"/>
      <c r="T23" s="16">
        <f t="shared" si="5"/>
        <v>0</v>
      </c>
      <c r="U23" s="14"/>
      <c r="V23" s="15"/>
      <c r="W23" s="16">
        <f t="shared" si="43"/>
        <v>0</v>
      </c>
      <c r="X23" s="14"/>
      <c r="Y23" s="15"/>
      <c r="Z23" s="16">
        <f t="shared" si="37"/>
        <v>0</v>
      </c>
      <c r="AA23" s="14"/>
      <c r="AB23" s="15"/>
      <c r="AC23" s="16">
        <f t="shared" si="47"/>
        <v>0</v>
      </c>
      <c r="AD23" s="14"/>
      <c r="AE23" s="15"/>
      <c r="AF23" s="16">
        <f t="shared" si="32"/>
        <v>0</v>
      </c>
      <c r="AG23" s="80"/>
      <c r="AH23" s="80"/>
      <c r="AI23" s="80"/>
      <c r="AJ23" s="80"/>
      <c r="AK23" s="80"/>
      <c r="AL23" s="80"/>
      <c r="AM23" s="80"/>
      <c r="AN23" s="80"/>
      <c r="AO23" s="80">
        <f>AN23*AM23</f>
        <v>0</v>
      </c>
      <c r="AP23" s="14"/>
      <c r="AQ23" s="15"/>
      <c r="AR23" s="16">
        <f t="shared" si="39"/>
        <v>0</v>
      </c>
      <c r="AS23" s="14">
        <v>11</v>
      </c>
      <c r="AT23" s="15">
        <v>18200</v>
      </c>
      <c r="AU23" s="16">
        <v>153200</v>
      </c>
      <c r="AV23" s="14"/>
      <c r="AW23" s="15"/>
      <c r="AX23" s="16"/>
      <c r="AY23" s="80"/>
      <c r="AZ23" s="80"/>
      <c r="BA23" s="80"/>
      <c r="BB23" s="14"/>
      <c r="BC23" s="15"/>
      <c r="BD23" s="16">
        <f t="shared" si="42"/>
        <v>0</v>
      </c>
      <c r="BE23" s="14"/>
      <c r="BF23" s="15"/>
      <c r="BG23" s="16">
        <f t="shared" si="40"/>
        <v>0</v>
      </c>
      <c r="BH23" s="14"/>
      <c r="BI23" s="15"/>
      <c r="BJ23" s="16">
        <f t="shared" si="29"/>
        <v>0</v>
      </c>
      <c r="BK23" s="14"/>
      <c r="BL23" s="15"/>
      <c r="BM23" s="16">
        <f t="shared" si="48"/>
        <v>0</v>
      </c>
      <c r="BN23" s="14"/>
      <c r="BO23" s="15"/>
      <c r="BP23" s="16">
        <f t="shared" si="15"/>
        <v>0</v>
      </c>
      <c r="BQ23" s="80"/>
      <c r="BR23" s="80"/>
      <c r="BS23" s="80">
        <f>BR23*BQ23</f>
        <v>0</v>
      </c>
      <c r="BT23" s="80"/>
      <c r="BU23" s="80"/>
      <c r="BV23" s="80"/>
      <c r="BW23" s="14"/>
      <c r="BX23" s="15"/>
      <c r="BY23" s="16">
        <f t="shared" si="18"/>
        <v>0</v>
      </c>
      <c r="BZ23" s="14"/>
      <c r="CA23" s="15"/>
      <c r="CB23" s="16">
        <f t="shared" si="19"/>
        <v>0</v>
      </c>
      <c r="CC23" s="14"/>
      <c r="CD23" s="15"/>
      <c r="CE23" s="16">
        <f t="shared" si="20"/>
        <v>0</v>
      </c>
      <c r="CF23" s="14"/>
      <c r="CG23" s="15"/>
      <c r="CH23" s="16">
        <f t="shared" si="21"/>
        <v>0</v>
      </c>
      <c r="CI23" s="14"/>
      <c r="CJ23" s="15"/>
      <c r="CK23" s="16">
        <f t="shared" si="31"/>
        <v>0</v>
      </c>
      <c r="CL23" s="14"/>
      <c r="CM23" s="15"/>
      <c r="CN23" s="16">
        <f t="shared" si="22"/>
        <v>0</v>
      </c>
      <c r="CO23" s="14"/>
      <c r="CP23" s="15"/>
      <c r="CQ23" s="16">
        <f t="shared" si="23"/>
        <v>0</v>
      </c>
      <c r="CR23" s="14"/>
      <c r="CS23" s="15"/>
      <c r="CT23" s="16">
        <f t="shared" si="24"/>
        <v>0</v>
      </c>
      <c r="CU23" s="17">
        <f t="shared" si="25"/>
        <v>16</v>
      </c>
      <c r="CV23" s="77">
        <f t="shared" si="26"/>
        <v>11900</v>
      </c>
      <c r="CW23" s="16">
        <f t="shared" si="27"/>
        <v>190400</v>
      </c>
    </row>
    <row r="24" spans="1:101" ht="15" customHeight="1" x14ac:dyDescent="0.35">
      <c r="A24" s="80" t="s">
        <v>964</v>
      </c>
      <c r="B24" s="37" t="s">
        <v>956</v>
      </c>
      <c r="C24" s="80"/>
      <c r="D24" s="80"/>
      <c r="E24" s="78">
        <f t="shared" si="44"/>
        <v>0</v>
      </c>
      <c r="F24" s="14"/>
      <c r="G24" s="15"/>
      <c r="H24" s="16">
        <f t="shared" si="45"/>
        <v>0</v>
      </c>
      <c r="I24" s="14"/>
      <c r="J24" s="15"/>
      <c r="K24" s="16">
        <f t="shared" ref="K24:K37" si="49">IFERROR(I24*J24, 0)</f>
        <v>0</v>
      </c>
      <c r="L24" s="14"/>
      <c r="M24" s="15"/>
      <c r="N24" s="16">
        <f t="shared" si="46"/>
        <v>0</v>
      </c>
      <c r="O24" s="14"/>
      <c r="P24" s="15"/>
      <c r="Q24" s="16">
        <f t="shared" ref="Q24:Q38" si="50">IFERROR(O24*P24, 0)</f>
        <v>0</v>
      </c>
      <c r="R24" s="14"/>
      <c r="S24" s="15"/>
      <c r="T24" s="16">
        <f t="shared" si="5"/>
        <v>0</v>
      </c>
      <c r="U24" s="14"/>
      <c r="V24" s="15"/>
      <c r="W24" s="16">
        <f t="shared" si="43"/>
        <v>0</v>
      </c>
      <c r="X24" s="14"/>
      <c r="Y24" s="15"/>
      <c r="Z24" s="16">
        <f t="shared" si="37"/>
        <v>0</v>
      </c>
      <c r="AA24" s="14"/>
      <c r="AB24" s="15"/>
      <c r="AC24" s="16">
        <f t="shared" si="47"/>
        <v>0</v>
      </c>
      <c r="AD24" s="14"/>
      <c r="AE24" s="15"/>
      <c r="AF24" s="16">
        <f t="shared" si="32"/>
        <v>0</v>
      </c>
      <c r="AG24" s="80"/>
      <c r="AH24" s="80"/>
      <c r="AI24" s="80"/>
      <c r="AJ24" s="80"/>
      <c r="AK24" s="80"/>
      <c r="AL24" s="80"/>
      <c r="AM24" s="80"/>
      <c r="AN24" s="80"/>
      <c r="AO24" s="80"/>
      <c r="AP24" s="14"/>
      <c r="AQ24" s="15"/>
      <c r="AR24" s="16">
        <f t="shared" si="39"/>
        <v>0</v>
      </c>
      <c r="AS24" s="14"/>
      <c r="AT24" s="15"/>
      <c r="AU24" s="16">
        <f t="shared" ref="AU24:AU38" si="51">IFERROR(AS24*AT24, 0)</f>
        <v>0</v>
      </c>
      <c r="AV24" s="14"/>
      <c r="AW24" s="15"/>
      <c r="AX24" s="16"/>
      <c r="AY24" s="14"/>
      <c r="AZ24" s="15"/>
      <c r="BA24" s="16">
        <f>IFERROR(AY24*AZ24, 0)</f>
        <v>0</v>
      </c>
      <c r="BB24" s="14"/>
      <c r="BC24" s="15"/>
      <c r="BD24" s="16">
        <f t="shared" si="42"/>
        <v>0</v>
      </c>
      <c r="BE24" s="14"/>
      <c r="BF24" s="15"/>
      <c r="BG24" s="16">
        <f t="shared" si="40"/>
        <v>0</v>
      </c>
      <c r="BH24" s="14"/>
      <c r="BI24" s="15"/>
      <c r="BJ24" s="16">
        <f t="shared" si="29"/>
        <v>0</v>
      </c>
      <c r="BK24" s="14"/>
      <c r="BL24" s="15"/>
      <c r="BM24" s="16">
        <f t="shared" si="48"/>
        <v>0</v>
      </c>
      <c r="BN24" s="14"/>
      <c r="BO24" s="15"/>
      <c r="BP24" s="16">
        <f t="shared" si="15"/>
        <v>0</v>
      </c>
      <c r="BQ24" s="80"/>
      <c r="BR24" s="80"/>
      <c r="BS24" s="80"/>
      <c r="BT24" s="80"/>
      <c r="BU24" s="80"/>
      <c r="BV24" s="80"/>
      <c r="BW24" s="14"/>
      <c r="BX24" s="15"/>
      <c r="BY24" s="16">
        <f t="shared" si="18"/>
        <v>0</v>
      </c>
      <c r="BZ24" s="14"/>
      <c r="CA24" s="15"/>
      <c r="CB24" s="16">
        <f t="shared" si="19"/>
        <v>0</v>
      </c>
      <c r="CC24" s="14"/>
      <c r="CD24" s="15"/>
      <c r="CE24" s="16">
        <f t="shared" si="20"/>
        <v>0</v>
      </c>
      <c r="CF24" s="14"/>
      <c r="CG24" s="15"/>
      <c r="CH24" s="16">
        <f t="shared" si="21"/>
        <v>0</v>
      </c>
      <c r="CI24" s="14"/>
      <c r="CJ24" s="15"/>
      <c r="CK24" s="16">
        <f t="shared" si="31"/>
        <v>0</v>
      </c>
      <c r="CL24" s="14"/>
      <c r="CM24" s="15"/>
      <c r="CN24" s="16">
        <f t="shared" si="22"/>
        <v>0</v>
      </c>
      <c r="CO24" s="14"/>
      <c r="CP24" s="15"/>
      <c r="CQ24" s="16">
        <f t="shared" si="23"/>
        <v>0</v>
      </c>
      <c r="CR24" s="14"/>
      <c r="CS24" s="15"/>
      <c r="CT24" s="16">
        <f t="shared" si="24"/>
        <v>0</v>
      </c>
      <c r="CU24" s="17">
        <f t="shared" si="25"/>
        <v>0</v>
      </c>
      <c r="CV24" s="77">
        <f t="shared" si="26"/>
        <v>0</v>
      </c>
      <c r="CW24" s="16">
        <f t="shared" si="27"/>
        <v>0</v>
      </c>
    </row>
    <row r="25" spans="1:101" ht="15" customHeight="1" x14ac:dyDescent="0.35">
      <c r="A25" s="80" t="s">
        <v>965</v>
      </c>
      <c r="B25" s="37" t="s">
        <v>956</v>
      </c>
      <c r="C25" s="80"/>
      <c r="D25" s="80"/>
      <c r="E25" s="78">
        <f t="shared" si="44"/>
        <v>0</v>
      </c>
      <c r="F25" s="14"/>
      <c r="G25" s="15"/>
      <c r="H25" s="16">
        <f t="shared" si="45"/>
        <v>0</v>
      </c>
      <c r="I25" s="14"/>
      <c r="J25" s="15"/>
      <c r="K25" s="16">
        <f t="shared" si="49"/>
        <v>0</v>
      </c>
      <c r="L25" s="14"/>
      <c r="M25" s="15"/>
      <c r="N25" s="16">
        <f t="shared" si="46"/>
        <v>0</v>
      </c>
      <c r="O25" s="14"/>
      <c r="P25" s="15"/>
      <c r="Q25" s="16">
        <f t="shared" si="50"/>
        <v>0</v>
      </c>
      <c r="R25" s="14"/>
      <c r="S25" s="15"/>
      <c r="T25" s="16">
        <f t="shared" si="5"/>
        <v>0</v>
      </c>
      <c r="U25" s="14"/>
      <c r="V25" s="15"/>
      <c r="W25" s="16">
        <f t="shared" si="43"/>
        <v>0</v>
      </c>
      <c r="X25" s="14"/>
      <c r="Y25" s="15"/>
      <c r="Z25" s="16">
        <f t="shared" si="37"/>
        <v>0</v>
      </c>
      <c r="AA25" s="14"/>
      <c r="AB25" s="15"/>
      <c r="AC25" s="16">
        <f t="shared" si="47"/>
        <v>0</v>
      </c>
      <c r="AD25" s="14"/>
      <c r="AE25" s="15"/>
      <c r="AF25" s="16">
        <f t="shared" si="32"/>
        <v>0</v>
      </c>
      <c r="AG25" s="80"/>
      <c r="AH25" s="80"/>
      <c r="AI25" s="80"/>
      <c r="AJ25" s="80"/>
      <c r="AK25" s="80"/>
      <c r="AL25" s="80"/>
      <c r="AM25" s="14"/>
      <c r="AN25" s="15"/>
      <c r="AO25" s="16">
        <f>IFERROR(AM25*AN25, 0)</f>
        <v>0</v>
      </c>
      <c r="AP25" s="14"/>
      <c r="AQ25" s="15"/>
      <c r="AR25" s="16">
        <f t="shared" si="39"/>
        <v>0</v>
      </c>
      <c r="AS25" s="14"/>
      <c r="AT25" s="15"/>
      <c r="AU25" s="16">
        <f t="shared" si="51"/>
        <v>0</v>
      </c>
      <c r="AV25" s="14"/>
      <c r="AW25" s="15"/>
      <c r="AX25" s="16"/>
      <c r="AY25" s="14"/>
      <c r="AZ25" s="15"/>
      <c r="BA25" s="16">
        <f>IFERROR(AY25*AZ25, 0)</f>
        <v>0</v>
      </c>
      <c r="BB25" s="14"/>
      <c r="BC25" s="15"/>
      <c r="BD25" s="16">
        <f t="shared" si="42"/>
        <v>0</v>
      </c>
      <c r="BE25" s="14"/>
      <c r="BF25" s="15"/>
      <c r="BG25" s="16">
        <f t="shared" si="40"/>
        <v>0</v>
      </c>
      <c r="BH25" s="14"/>
      <c r="BI25" s="15"/>
      <c r="BJ25" s="16">
        <f t="shared" si="29"/>
        <v>0</v>
      </c>
      <c r="BK25" s="14"/>
      <c r="BL25" s="15"/>
      <c r="BM25" s="16">
        <f t="shared" si="48"/>
        <v>0</v>
      </c>
      <c r="BN25" s="14"/>
      <c r="BO25" s="15"/>
      <c r="BP25" s="16">
        <f t="shared" si="15"/>
        <v>0</v>
      </c>
      <c r="BQ25" s="80"/>
      <c r="BR25" s="80"/>
      <c r="BS25" s="80"/>
      <c r="BT25" s="80"/>
      <c r="BU25" s="80"/>
      <c r="BV25" s="80"/>
      <c r="BW25" s="14"/>
      <c r="BX25" s="15"/>
      <c r="BY25" s="16">
        <f t="shared" si="18"/>
        <v>0</v>
      </c>
      <c r="BZ25" s="14"/>
      <c r="CA25" s="15"/>
      <c r="CB25" s="16">
        <f t="shared" si="19"/>
        <v>0</v>
      </c>
      <c r="CC25" s="14"/>
      <c r="CD25" s="15"/>
      <c r="CE25" s="16">
        <f t="shared" si="20"/>
        <v>0</v>
      </c>
      <c r="CF25" s="14"/>
      <c r="CG25" s="15"/>
      <c r="CH25" s="16">
        <f t="shared" si="21"/>
        <v>0</v>
      </c>
      <c r="CI25" s="14"/>
      <c r="CJ25" s="15"/>
      <c r="CK25" s="16">
        <f t="shared" si="31"/>
        <v>0</v>
      </c>
      <c r="CL25" s="14"/>
      <c r="CM25" s="15"/>
      <c r="CN25" s="16">
        <f t="shared" si="22"/>
        <v>0</v>
      </c>
      <c r="CO25" s="14"/>
      <c r="CP25" s="15"/>
      <c r="CQ25" s="16">
        <f t="shared" si="23"/>
        <v>0</v>
      </c>
      <c r="CR25" s="14"/>
      <c r="CS25" s="15"/>
      <c r="CT25" s="16">
        <f t="shared" si="24"/>
        <v>0</v>
      </c>
      <c r="CU25" s="17">
        <f t="shared" si="25"/>
        <v>0</v>
      </c>
      <c r="CV25" s="77">
        <f t="shared" si="26"/>
        <v>0</v>
      </c>
      <c r="CW25" s="16">
        <f t="shared" si="27"/>
        <v>0</v>
      </c>
    </row>
    <row r="26" spans="1:101" ht="15" customHeight="1" x14ac:dyDescent="0.35">
      <c r="A26" s="79" t="s">
        <v>548</v>
      </c>
      <c r="B26" s="37" t="s">
        <v>956</v>
      </c>
      <c r="C26" s="80"/>
      <c r="D26" s="80"/>
      <c r="E26" s="78">
        <f t="shared" si="44"/>
        <v>0</v>
      </c>
      <c r="F26" s="14"/>
      <c r="G26" s="15"/>
      <c r="H26" s="16">
        <f t="shared" si="45"/>
        <v>0</v>
      </c>
      <c r="I26" s="14"/>
      <c r="J26" s="15"/>
      <c r="K26" s="16">
        <f t="shared" si="49"/>
        <v>0</v>
      </c>
      <c r="L26" s="14"/>
      <c r="M26" s="15"/>
      <c r="N26" s="16">
        <f t="shared" si="46"/>
        <v>0</v>
      </c>
      <c r="O26" s="14"/>
      <c r="P26" s="15"/>
      <c r="Q26" s="16">
        <f t="shared" si="50"/>
        <v>0</v>
      </c>
      <c r="R26" s="14"/>
      <c r="S26" s="15"/>
      <c r="T26" s="16">
        <f t="shared" si="5"/>
        <v>0</v>
      </c>
      <c r="U26" s="14"/>
      <c r="V26" s="15"/>
      <c r="W26" s="16">
        <f t="shared" si="43"/>
        <v>0</v>
      </c>
      <c r="X26" s="14"/>
      <c r="Y26" s="15"/>
      <c r="Z26" s="16">
        <f t="shared" si="37"/>
        <v>0</v>
      </c>
      <c r="AA26" s="14"/>
      <c r="AB26" s="15"/>
      <c r="AC26" s="16">
        <f t="shared" si="47"/>
        <v>0</v>
      </c>
      <c r="AD26" s="14"/>
      <c r="AE26" s="15"/>
      <c r="AF26" s="16">
        <f t="shared" si="32"/>
        <v>0</v>
      </c>
      <c r="AG26" s="80"/>
      <c r="AH26" s="80"/>
      <c r="AI26" s="80"/>
      <c r="AJ26" s="80"/>
      <c r="AK26" s="80"/>
      <c r="AL26" s="80"/>
      <c r="AM26" s="80"/>
      <c r="AN26" s="80"/>
      <c r="AO26" s="80"/>
      <c r="AP26" s="14"/>
      <c r="AQ26" s="15"/>
      <c r="AR26" s="16">
        <f t="shared" si="39"/>
        <v>0</v>
      </c>
      <c r="AS26" s="14"/>
      <c r="AT26" s="15"/>
      <c r="AU26" s="16">
        <f t="shared" si="51"/>
        <v>0</v>
      </c>
      <c r="AV26" s="14"/>
      <c r="AW26" s="15"/>
      <c r="AX26" s="16">
        <v>1250000</v>
      </c>
      <c r="AY26" s="14">
        <v>1</v>
      </c>
      <c r="AZ26" s="15">
        <v>1250000</v>
      </c>
      <c r="BA26" s="16">
        <v>1250000</v>
      </c>
      <c r="BB26" s="14"/>
      <c r="BC26" s="15"/>
      <c r="BD26" s="16">
        <f t="shared" si="42"/>
        <v>0</v>
      </c>
      <c r="BE26" s="14"/>
      <c r="BF26" s="15"/>
      <c r="BG26" s="16">
        <f t="shared" si="40"/>
        <v>0</v>
      </c>
      <c r="BH26" s="14"/>
      <c r="BI26" s="15"/>
      <c r="BJ26" s="16">
        <f t="shared" si="29"/>
        <v>0</v>
      </c>
      <c r="BK26" s="14"/>
      <c r="BL26" s="15"/>
      <c r="BM26" s="16">
        <f t="shared" si="48"/>
        <v>0</v>
      </c>
      <c r="BN26" s="14"/>
      <c r="BO26" s="15"/>
      <c r="BP26" s="16">
        <f t="shared" si="15"/>
        <v>0</v>
      </c>
      <c r="BQ26" s="80"/>
      <c r="BR26" s="80"/>
      <c r="BS26" s="80"/>
      <c r="BT26" s="80"/>
      <c r="BU26" s="80"/>
      <c r="BV26" s="80"/>
      <c r="BW26" s="14"/>
      <c r="BX26" s="15"/>
      <c r="BY26" s="16">
        <f t="shared" si="18"/>
        <v>0</v>
      </c>
      <c r="BZ26" s="14"/>
      <c r="CA26" s="15"/>
      <c r="CB26" s="16">
        <f t="shared" si="19"/>
        <v>0</v>
      </c>
      <c r="CC26" s="14"/>
      <c r="CD26" s="15"/>
      <c r="CE26" s="16">
        <f t="shared" si="20"/>
        <v>0</v>
      </c>
      <c r="CF26" s="14"/>
      <c r="CG26" s="15"/>
      <c r="CH26" s="16">
        <f t="shared" si="21"/>
        <v>0</v>
      </c>
      <c r="CI26" s="14"/>
      <c r="CJ26" s="15"/>
      <c r="CK26" s="16">
        <f t="shared" si="31"/>
        <v>0</v>
      </c>
      <c r="CL26" s="14"/>
      <c r="CM26" s="15"/>
      <c r="CN26" s="16">
        <f t="shared" si="22"/>
        <v>0</v>
      </c>
      <c r="CO26" s="14"/>
      <c r="CP26" s="15"/>
      <c r="CQ26" s="16">
        <f t="shared" si="23"/>
        <v>0</v>
      </c>
      <c r="CR26" s="14"/>
      <c r="CS26" s="15"/>
      <c r="CT26" s="16">
        <f t="shared" si="24"/>
        <v>0</v>
      </c>
      <c r="CU26" s="17">
        <f t="shared" si="25"/>
        <v>1</v>
      </c>
      <c r="CV26" s="77">
        <f t="shared" si="26"/>
        <v>1250000</v>
      </c>
      <c r="CW26" s="16">
        <f t="shared" si="27"/>
        <v>1250000</v>
      </c>
    </row>
    <row r="27" spans="1:101" ht="15" customHeight="1" x14ac:dyDescent="0.35">
      <c r="A27" s="80" t="s">
        <v>966</v>
      </c>
      <c r="B27" s="37" t="s">
        <v>956</v>
      </c>
      <c r="C27" s="80"/>
      <c r="D27" s="80"/>
      <c r="E27" s="78">
        <f t="shared" si="44"/>
        <v>0</v>
      </c>
      <c r="F27" s="14"/>
      <c r="G27" s="15"/>
      <c r="H27" s="16">
        <f t="shared" si="45"/>
        <v>0</v>
      </c>
      <c r="I27" s="14"/>
      <c r="J27" s="15"/>
      <c r="K27" s="16">
        <f t="shared" si="49"/>
        <v>0</v>
      </c>
      <c r="L27" s="14"/>
      <c r="M27" s="15"/>
      <c r="N27" s="16">
        <f t="shared" si="46"/>
        <v>0</v>
      </c>
      <c r="O27" s="14"/>
      <c r="P27" s="15"/>
      <c r="Q27" s="16">
        <f t="shared" si="50"/>
        <v>0</v>
      </c>
      <c r="R27" s="14"/>
      <c r="S27" s="15"/>
      <c r="T27" s="16">
        <f t="shared" si="5"/>
        <v>0</v>
      </c>
      <c r="U27" s="14"/>
      <c r="V27" s="15"/>
      <c r="W27" s="16">
        <f t="shared" si="43"/>
        <v>0</v>
      </c>
      <c r="X27" s="14"/>
      <c r="Y27" s="15"/>
      <c r="Z27" s="16">
        <f t="shared" si="37"/>
        <v>0</v>
      </c>
      <c r="AA27" s="14"/>
      <c r="AB27" s="15"/>
      <c r="AC27" s="16">
        <f t="shared" si="47"/>
        <v>0</v>
      </c>
      <c r="AD27" s="14"/>
      <c r="AE27" s="15"/>
      <c r="AF27" s="16">
        <f t="shared" si="32"/>
        <v>0</v>
      </c>
      <c r="AG27" s="80"/>
      <c r="AH27" s="80"/>
      <c r="AI27" s="80"/>
      <c r="AJ27" s="80"/>
      <c r="AK27" s="80"/>
      <c r="AL27" s="80"/>
      <c r="AM27" s="80"/>
      <c r="AN27" s="80"/>
      <c r="AO27" s="80"/>
      <c r="AP27" s="14"/>
      <c r="AQ27" s="15"/>
      <c r="AR27" s="16">
        <f t="shared" si="39"/>
        <v>0</v>
      </c>
      <c r="AS27" s="14"/>
      <c r="AT27" s="15"/>
      <c r="AU27" s="16">
        <f t="shared" si="51"/>
        <v>0</v>
      </c>
      <c r="AV27" s="14"/>
      <c r="AW27" s="15" t="e">
        <f>AX27/AV27</f>
        <v>#DIV/0!</v>
      </c>
      <c r="AX27" s="16">
        <v>9950</v>
      </c>
      <c r="AY27" s="14"/>
      <c r="AZ27" s="15"/>
      <c r="BA27" s="16">
        <f t="shared" ref="BA27:BA38" si="52">IFERROR(AY27*AZ27, 0)</f>
        <v>0</v>
      </c>
      <c r="BB27" s="14"/>
      <c r="BC27" s="15"/>
      <c r="BD27" s="16">
        <f t="shared" si="42"/>
        <v>0</v>
      </c>
      <c r="BE27" s="14"/>
      <c r="BF27" s="15"/>
      <c r="BG27" s="16">
        <f t="shared" si="40"/>
        <v>0</v>
      </c>
      <c r="BH27" s="14"/>
      <c r="BI27" s="15"/>
      <c r="BJ27" s="16">
        <f t="shared" si="29"/>
        <v>0</v>
      </c>
      <c r="BK27" s="14"/>
      <c r="BL27" s="15"/>
      <c r="BM27" s="16">
        <f t="shared" si="48"/>
        <v>0</v>
      </c>
      <c r="BN27" s="14"/>
      <c r="BO27" s="15"/>
      <c r="BP27" s="16">
        <f t="shared" si="15"/>
        <v>0</v>
      </c>
      <c r="BQ27" s="80"/>
      <c r="BR27" s="80"/>
      <c r="BS27" s="80"/>
      <c r="BT27" s="80"/>
      <c r="BU27" s="80"/>
      <c r="BV27" s="80"/>
      <c r="BW27" s="14"/>
      <c r="BX27" s="15"/>
      <c r="BY27" s="16">
        <f t="shared" si="18"/>
        <v>0</v>
      </c>
      <c r="BZ27" s="14"/>
      <c r="CA27" s="15"/>
      <c r="CB27" s="16">
        <f t="shared" si="19"/>
        <v>0</v>
      </c>
      <c r="CC27" s="14"/>
      <c r="CD27" s="15"/>
      <c r="CE27" s="16">
        <f t="shared" si="20"/>
        <v>0</v>
      </c>
      <c r="CF27" s="14"/>
      <c r="CG27" s="15"/>
      <c r="CH27" s="16">
        <f t="shared" si="21"/>
        <v>0</v>
      </c>
      <c r="CI27" s="14"/>
      <c r="CJ27" s="15"/>
      <c r="CK27" s="16">
        <f t="shared" si="31"/>
        <v>0</v>
      </c>
      <c r="CL27" s="14"/>
      <c r="CM27" s="15"/>
      <c r="CN27" s="16">
        <f t="shared" si="22"/>
        <v>0</v>
      </c>
      <c r="CO27" s="14"/>
      <c r="CP27" s="15"/>
      <c r="CQ27" s="16">
        <f t="shared" si="23"/>
        <v>0</v>
      </c>
      <c r="CR27" s="14"/>
      <c r="CS27" s="15"/>
      <c r="CT27" s="16">
        <f t="shared" si="24"/>
        <v>0</v>
      </c>
      <c r="CU27" s="17">
        <f t="shared" si="25"/>
        <v>0</v>
      </c>
      <c r="CV27" s="77">
        <f t="shared" si="26"/>
        <v>0</v>
      </c>
      <c r="CW27" s="16">
        <f t="shared" si="27"/>
        <v>0</v>
      </c>
    </row>
    <row r="28" spans="1:101" ht="15" customHeight="1" x14ac:dyDescent="0.35">
      <c r="A28" s="80" t="s">
        <v>967</v>
      </c>
      <c r="B28" s="37" t="s">
        <v>956</v>
      </c>
      <c r="C28" s="80"/>
      <c r="D28" s="80"/>
      <c r="E28" s="78">
        <f t="shared" si="44"/>
        <v>0</v>
      </c>
      <c r="F28" s="14"/>
      <c r="G28" s="15"/>
      <c r="H28" s="16">
        <f t="shared" si="45"/>
        <v>0</v>
      </c>
      <c r="I28" s="14"/>
      <c r="J28" s="15"/>
      <c r="K28" s="16">
        <f t="shared" si="49"/>
        <v>0</v>
      </c>
      <c r="L28" s="14"/>
      <c r="M28" s="15"/>
      <c r="N28" s="16">
        <f t="shared" si="46"/>
        <v>0</v>
      </c>
      <c r="O28" s="14"/>
      <c r="P28" s="15"/>
      <c r="Q28" s="16">
        <f t="shared" si="50"/>
        <v>0</v>
      </c>
      <c r="R28" s="14"/>
      <c r="S28" s="15"/>
      <c r="T28" s="16">
        <f t="shared" si="5"/>
        <v>0</v>
      </c>
      <c r="U28" s="14"/>
      <c r="V28" s="15"/>
      <c r="W28" s="16">
        <f t="shared" si="43"/>
        <v>0</v>
      </c>
      <c r="X28" s="14"/>
      <c r="Y28" s="15"/>
      <c r="Z28" s="16">
        <f t="shared" si="37"/>
        <v>0</v>
      </c>
      <c r="AA28" s="14"/>
      <c r="AB28" s="15"/>
      <c r="AC28" s="16">
        <f t="shared" si="47"/>
        <v>0</v>
      </c>
      <c r="AD28" s="14"/>
      <c r="AE28" s="15"/>
      <c r="AF28" s="16">
        <f t="shared" si="32"/>
        <v>0</v>
      </c>
      <c r="AG28" s="80"/>
      <c r="AH28" s="80"/>
      <c r="AI28" s="80"/>
      <c r="AJ28" s="80"/>
      <c r="AK28" s="80"/>
      <c r="AL28" s="80"/>
      <c r="AM28" s="80"/>
      <c r="AN28" s="80"/>
      <c r="AO28" s="80"/>
      <c r="AP28" s="14"/>
      <c r="AQ28" s="15"/>
      <c r="AR28" s="16">
        <f t="shared" si="39"/>
        <v>0</v>
      </c>
      <c r="AS28" s="14"/>
      <c r="AT28" s="15"/>
      <c r="AU28" s="16">
        <f t="shared" si="51"/>
        <v>0</v>
      </c>
      <c r="AV28" s="14"/>
      <c r="AW28" s="15"/>
      <c r="AX28" s="16">
        <f>AW28</f>
        <v>0</v>
      </c>
      <c r="AY28" s="14"/>
      <c r="AZ28" s="15"/>
      <c r="BA28" s="16">
        <f t="shared" si="52"/>
        <v>0</v>
      </c>
      <c r="BB28" s="14"/>
      <c r="BC28" s="15"/>
      <c r="BD28" s="16">
        <f t="shared" si="42"/>
        <v>0</v>
      </c>
      <c r="BE28" s="14"/>
      <c r="BF28" s="15"/>
      <c r="BG28" s="16">
        <f t="shared" si="40"/>
        <v>0</v>
      </c>
      <c r="BH28" s="14"/>
      <c r="BI28" s="15"/>
      <c r="BJ28" s="16">
        <f t="shared" si="29"/>
        <v>0</v>
      </c>
      <c r="BK28" s="14"/>
      <c r="BL28" s="15"/>
      <c r="BM28" s="16">
        <f t="shared" si="48"/>
        <v>0</v>
      </c>
      <c r="BN28" s="14"/>
      <c r="BO28" s="15"/>
      <c r="BP28" s="16">
        <f t="shared" si="15"/>
        <v>0</v>
      </c>
      <c r="BQ28" s="80"/>
      <c r="BR28" s="80"/>
      <c r="BS28" s="80"/>
      <c r="BT28" s="80"/>
      <c r="BU28" s="80"/>
      <c r="BV28" s="80"/>
      <c r="BW28" s="14"/>
      <c r="BX28" s="15"/>
      <c r="BY28" s="16">
        <f t="shared" si="18"/>
        <v>0</v>
      </c>
      <c r="BZ28" s="14"/>
      <c r="CA28" s="15"/>
      <c r="CB28" s="16">
        <f t="shared" si="19"/>
        <v>0</v>
      </c>
      <c r="CC28" s="14"/>
      <c r="CD28" s="15"/>
      <c r="CE28" s="16">
        <f t="shared" si="20"/>
        <v>0</v>
      </c>
      <c r="CF28" s="14"/>
      <c r="CG28" s="15"/>
      <c r="CH28" s="16">
        <f t="shared" si="21"/>
        <v>0</v>
      </c>
      <c r="CI28" s="14"/>
      <c r="CJ28" s="15"/>
      <c r="CK28" s="16">
        <f t="shared" si="31"/>
        <v>0</v>
      </c>
      <c r="CL28" s="14"/>
      <c r="CM28" s="15"/>
      <c r="CN28" s="16">
        <f t="shared" si="22"/>
        <v>0</v>
      </c>
      <c r="CO28" s="14"/>
      <c r="CP28" s="15"/>
      <c r="CQ28" s="16">
        <f t="shared" si="23"/>
        <v>0</v>
      </c>
      <c r="CR28" s="14"/>
      <c r="CS28" s="15"/>
      <c r="CT28" s="16">
        <f t="shared" si="24"/>
        <v>0</v>
      </c>
      <c r="CU28" s="17">
        <f t="shared" si="25"/>
        <v>0</v>
      </c>
      <c r="CV28" s="77">
        <f t="shared" si="26"/>
        <v>0</v>
      </c>
      <c r="CW28" s="16">
        <f t="shared" si="27"/>
        <v>0</v>
      </c>
    </row>
    <row r="29" spans="1:101" ht="15" customHeight="1" x14ac:dyDescent="0.35">
      <c r="A29" s="80" t="s">
        <v>968</v>
      </c>
      <c r="B29" s="37" t="s">
        <v>956</v>
      </c>
      <c r="C29" s="80"/>
      <c r="D29" s="80"/>
      <c r="E29" s="78">
        <f t="shared" si="44"/>
        <v>0</v>
      </c>
      <c r="F29" s="14"/>
      <c r="G29" s="15"/>
      <c r="H29" s="16">
        <f t="shared" si="45"/>
        <v>0</v>
      </c>
      <c r="I29" s="14"/>
      <c r="J29" s="15"/>
      <c r="K29" s="16">
        <f t="shared" si="49"/>
        <v>0</v>
      </c>
      <c r="L29" s="14"/>
      <c r="M29" s="15"/>
      <c r="N29" s="16">
        <f t="shared" si="46"/>
        <v>0</v>
      </c>
      <c r="O29" s="14"/>
      <c r="P29" s="15"/>
      <c r="Q29" s="16">
        <f t="shared" si="50"/>
        <v>0</v>
      </c>
      <c r="R29" s="14"/>
      <c r="S29" s="15"/>
      <c r="T29" s="16">
        <f t="shared" si="5"/>
        <v>0</v>
      </c>
      <c r="U29" s="14"/>
      <c r="V29" s="15"/>
      <c r="W29" s="16">
        <f t="shared" si="43"/>
        <v>0</v>
      </c>
      <c r="X29" s="14"/>
      <c r="Y29" s="15"/>
      <c r="Z29" s="16">
        <f t="shared" si="37"/>
        <v>0</v>
      </c>
      <c r="AA29" s="14"/>
      <c r="AB29" s="15"/>
      <c r="AC29" s="16">
        <f t="shared" si="47"/>
        <v>0</v>
      </c>
      <c r="AD29" s="14"/>
      <c r="AE29" s="15"/>
      <c r="AF29" s="16">
        <f t="shared" si="32"/>
        <v>0</v>
      </c>
      <c r="AG29" s="80"/>
      <c r="AH29" s="80"/>
      <c r="AI29" s="80"/>
      <c r="AJ29" s="80"/>
      <c r="AK29" s="80"/>
      <c r="AL29" s="80"/>
      <c r="AM29" s="80"/>
      <c r="AN29" s="80"/>
      <c r="AO29" s="80"/>
      <c r="AP29" s="14"/>
      <c r="AQ29" s="15"/>
      <c r="AR29" s="16">
        <f t="shared" si="39"/>
        <v>0</v>
      </c>
      <c r="AS29" s="14"/>
      <c r="AT29" s="15"/>
      <c r="AU29" s="16">
        <f t="shared" si="51"/>
        <v>0</v>
      </c>
      <c r="AV29" s="14"/>
      <c r="AW29" s="15"/>
      <c r="AX29" s="16">
        <f t="shared" ref="AX29:AX38" si="53">IFERROR(AV29*AW29, 0)</f>
        <v>0</v>
      </c>
      <c r="AY29" s="14"/>
      <c r="AZ29" s="15"/>
      <c r="BA29" s="16">
        <f t="shared" si="52"/>
        <v>0</v>
      </c>
      <c r="BB29" s="14"/>
      <c r="BC29" s="15"/>
      <c r="BD29" s="16">
        <f t="shared" si="42"/>
        <v>0</v>
      </c>
      <c r="BE29" s="14"/>
      <c r="BF29" s="15"/>
      <c r="BG29" s="16">
        <f t="shared" si="40"/>
        <v>0</v>
      </c>
      <c r="BH29" s="14"/>
      <c r="BI29" s="15"/>
      <c r="BJ29" s="16">
        <f t="shared" si="29"/>
        <v>0</v>
      </c>
      <c r="BK29" s="14"/>
      <c r="BL29" s="15"/>
      <c r="BM29" s="16">
        <f t="shared" si="48"/>
        <v>0</v>
      </c>
      <c r="BN29" s="14"/>
      <c r="BO29" s="15"/>
      <c r="BP29" s="16">
        <f t="shared" si="15"/>
        <v>0</v>
      </c>
      <c r="BQ29" s="80"/>
      <c r="BR29" s="80"/>
      <c r="BS29" s="80"/>
      <c r="BT29" s="14"/>
      <c r="BU29" s="15"/>
      <c r="BV29" s="16">
        <f>IFERROR(BT29*BU29, 0)</f>
        <v>0</v>
      </c>
      <c r="BW29" s="14"/>
      <c r="BX29" s="15"/>
      <c r="BY29" s="16">
        <f t="shared" si="18"/>
        <v>0</v>
      </c>
      <c r="BZ29" s="14"/>
      <c r="CA29" s="15"/>
      <c r="CB29" s="16">
        <f t="shared" si="19"/>
        <v>0</v>
      </c>
      <c r="CC29" s="14"/>
      <c r="CD29" s="15"/>
      <c r="CE29" s="16">
        <f t="shared" si="20"/>
        <v>0</v>
      </c>
      <c r="CF29" s="14"/>
      <c r="CG29" s="15"/>
      <c r="CH29" s="16">
        <f t="shared" si="21"/>
        <v>0</v>
      </c>
      <c r="CI29" s="14"/>
      <c r="CJ29" s="15"/>
      <c r="CK29" s="16">
        <f t="shared" si="31"/>
        <v>0</v>
      </c>
      <c r="CL29" s="14"/>
      <c r="CM29" s="15"/>
      <c r="CN29" s="16">
        <f t="shared" si="22"/>
        <v>0</v>
      </c>
      <c r="CO29" s="14"/>
      <c r="CP29" s="15"/>
      <c r="CQ29" s="16">
        <f t="shared" si="23"/>
        <v>0</v>
      </c>
      <c r="CR29" s="14"/>
      <c r="CS29" s="15"/>
      <c r="CT29" s="16">
        <f t="shared" si="24"/>
        <v>0</v>
      </c>
      <c r="CU29" s="17">
        <f t="shared" si="25"/>
        <v>0</v>
      </c>
      <c r="CV29" s="77">
        <f t="shared" si="26"/>
        <v>0</v>
      </c>
      <c r="CW29" s="16">
        <f t="shared" si="27"/>
        <v>0</v>
      </c>
    </row>
    <row r="30" spans="1:101" ht="15.75" customHeight="1" x14ac:dyDescent="0.35">
      <c r="A30" s="80" t="s">
        <v>750</v>
      </c>
      <c r="B30" s="37" t="s">
        <v>956</v>
      </c>
      <c r="C30" s="80"/>
      <c r="D30" s="80"/>
      <c r="E30" s="78">
        <f t="shared" si="44"/>
        <v>0</v>
      </c>
      <c r="F30" s="14"/>
      <c r="G30" s="15"/>
      <c r="H30" s="16">
        <f t="shared" si="45"/>
        <v>0</v>
      </c>
      <c r="I30" s="14"/>
      <c r="J30" s="15"/>
      <c r="K30" s="16">
        <f t="shared" si="49"/>
        <v>0</v>
      </c>
      <c r="L30" s="14"/>
      <c r="M30" s="15"/>
      <c r="N30" s="16">
        <f t="shared" si="46"/>
        <v>0</v>
      </c>
      <c r="O30" s="14"/>
      <c r="P30" s="15"/>
      <c r="Q30" s="16">
        <f t="shared" si="50"/>
        <v>0</v>
      </c>
      <c r="R30" s="14"/>
      <c r="S30" s="15"/>
      <c r="T30" s="16">
        <f t="shared" si="5"/>
        <v>0</v>
      </c>
      <c r="U30" s="14"/>
      <c r="V30" s="15"/>
      <c r="W30" s="16">
        <f t="shared" si="43"/>
        <v>0</v>
      </c>
      <c r="X30" s="14"/>
      <c r="Y30" s="15"/>
      <c r="Z30" s="16">
        <f t="shared" si="37"/>
        <v>0</v>
      </c>
      <c r="AA30" s="14"/>
      <c r="AB30" s="15"/>
      <c r="AC30" s="16">
        <f t="shared" si="47"/>
        <v>0</v>
      </c>
      <c r="AD30" s="14"/>
      <c r="AE30" s="15"/>
      <c r="AF30" s="16">
        <f t="shared" si="32"/>
        <v>0</v>
      </c>
      <c r="AG30" s="80"/>
      <c r="AH30" s="80"/>
      <c r="AI30" s="80"/>
      <c r="AJ30" s="80"/>
      <c r="AK30" s="80" t="e">
        <f>AL30/AJ30</f>
        <v>#DIV/0!</v>
      </c>
      <c r="AL30" s="80">
        <v>5000</v>
      </c>
      <c r="AM30" s="80"/>
      <c r="AN30" s="80"/>
      <c r="AO30" s="80"/>
      <c r="AP30" s="14"/>
      <c r="AQ30" s="15"/>
      <c r="AR30" s="16">
        <f t="shared" si="39"/>
        <v>0</v>
      </c>
      <c r="AS30" s="14"/>
      <c r="AT30" s="15"/>
      <c r="AU30" s="16">
        <f t="shared" si="51"/>
        <v>0</v>
      </c>
      <c r="AV30" s="14"/>
      <c r="AW30" s="15"/>
      <c r="AX30" s="16">
        <f t="shared" si="53"/>
        <v>0</v>
      </c>
      <c r="AY30" s="14"/>
      <c r="AZ30" s="15"/>
      <c r="BA30" s="16">
        <f t="shared" si="52"/>
        <v>0</v>
      </c>
      <c r="BB30" s="14"/>
      <c r="BC30" s="15"/>
      <c r="BD30" s="16">
        <f t="shared" si="42"/>
        <v>0</v>
      </c>
      <c r="BE30" s="14"/>
      <c r="BF30" s="15"/>
      <c r="BG30" s="16">
        <f t="shared" si="40"/>
        <v>0</v>
      </c>
      <c r="BH30" s="14"/>
      <c r="BI30" s="15"/>
      <c r="BJ30" s="16">
        <f t="shared" si="29"/>
        <v>0</v>
      </c>
      <c r="BK30" s="14"/>
      <c r="BL30" s="15"/>
      <c r="BM30" s="16">
        <f t="shared" si="48"/>
        <v>0</v>
      </c>
      <c r="BN30" s="14"/>
      <c r="BO30" s="15"/>
      <c r="BP30" s="16">
        <f t="shared" si="15"/>
        <v>0</v>
      </c>
      <c r="BQ30" s="80"/>
      <c r="BR30" s="80"/>
      <c r="BS30" s="80"/>
      <c r="BT30" s="80"/>
      <c r="BU30" s="80"/>
      <c r="BV30" s="80"/>
      <c r="BW30" s="14"/>
      <c r="BX30" s="15"/>
      <c r="BY30" s="16">
        <f t="shared" si="18"/>
        <v>0</v>
      </c>
      <c r="BZ30" s="14"/>
      <c r="CA30" s="15"/>
      <c r="CB30" s="16">
        <f t="shared" si="19"/>
        <v>0</v>
      </c>
      <c r="CC30" s="14"/>
      <c r="CD30" s="15"/>
      <c r="CE30" s="16">
        <f t="shared" si="20"/>
        <v>0</v>
      </c>
      <c r="CF30" s="14"/>
      <c r="CG30" s="15"/>
      <c r="CH30" s="16">
        <f t="shared" si="21"/>
        <v>0</v>
      </c>
      <c r="CI30" s="14"/>
      <c r="CJ30" s="15"/>
      <c r="CK30" s="16">
        <f t="shared" si="31"/>
        <v>0</v>
      </c>
      <c r="CL30" s="14"/>
      <c r="CM30" s="15"/>
      <c r="CN30" s="16">
        <f t="shared" si="22"/>
        <v>0</v>
      </c>
      <c r="CO30" s="14"/>
      <c r="CP30" s="15"/>
      <c r="CQ30" s="16">
        <f t="shared" si="23"/>
        <v>0</v>
      </c>
      <c r="CR30" s="14"/>
      <c r="CS30" s="15"/>
      <c r="CT30" s="16">
        <f t="shared" si="24"/>
        <v>0</v>
      </c>
      <c r="CU30" s="17">
        <f t="shared" si="25"/>
        <v>0</v>
      </c>
      <c r="CV30" s="77">
        <f t="shared" si="26"/>
        <v>0</v>
      </c>
      <c r="CW30" s="16">
        <f t="shared" si="27"/>
        <v>0</v>
      </c>
    </row>
    <row r="31" spans="1:101" ht="15.75" customHeight="1" x14ac:dyDescent="0.35">
      <c r="A31" s="80" t="s">
        <v>969</v>
      </c>
      <c r="B31" s="37" t="s">
        <v>956</v>
      </c>
      <c r="C31" s="80"/>
      <c r="D31" s="80"/>
      <c r="E31" s="78">
        <f t="shared" si="44"/>
        <v>0</v>
      </c>
      <c r="F31" s="14"/>
      <c r="G31" s="15"/>
      <c r="H31" s="16">
        <f t="shared" si="45"/>
        <v>0</v>
      </c>
      <c r="I31" s="14"/>
      <c r="J31" s="15"/>
      <c r="K31" s="16">
        <f t="shared" si="49"/>
        <v>0</v>
      </c>
      <c r="L31" s="14"/>
      <c r="M31" s="15"/>
      <c r="N31" s="16">
        <f t="shared" si="46"/>
        <v>0</v>
      </c>
      <c r="O31" s="14"/>
      <c r="P31" s="15"/>
      <c r="Q31" s="16">
        <f t="shared" si="50"/>
        <v>0</v>
      </c>
      <c r="R31" s="14"/>
      <c r="S31" s="15"/>
      <c r="T31" s="16">
        <f t="shared" si="5"/>
        <v>0</v>
      </c>
      <c r="U31" s="14"/>
      <c r="V31" s="15"/>
      <c r="W31" s="16">
        <f t="shared" si="43"/>
        <v>0</v>
      </c>
      <c r="X31" s="14"/>
      <c r="Y31" s="15"/>
      <c r="Z31" s="16">
        <f t="shared" si="37"/>
        <v>0</v>
      </c>
      <c r="AA31" s="14"/>
      <c r="AB31" s="15"/>
      <c r="AC31" s="16">
        <f t="shared" si="47"/>
        <v>0</v>
      </c>
      <c r="AD31" s="14"/>
      <c r="AE31" s="15"/>
      <c r="AF31" s="16">
        <f t="shared" si="32"/>
        <v>0</v>
      </c>
      <c r="AG31" s="80"/>
      <c r="AH31" s="80"/>
      <c r="AI31" s="80"/>
      <c r="AJ31" s="80"/>
      <c r="AK31" s="80"/>
      <c r="AL31" s="80"/>
      <c r="AM31" s="80"/>
      <c r="AN31" s="80"/>
      <c r="AO31" s="80">
        <f>AN31*AM31</f>
        <v>0</v>
      </c>
      <c r="AP31" s="14"/>
      <c r="AQ31" s="15"/>
      <c r="AR31" s="16">
        <f t="shared" si="39"/>
        <v>0</v>
      </c>
      <c r="AS31" s="14"/>
      <c r="AT31" s="15"/>
      <c r="AU31" s="16">
        <f t="shared" si="51"/>
        <v>0</v>
      </c>
      <c r="AV31" s="14"/>
      <c r="AW31" s="15"/>
      <c r="AX31" s="16">
        <f t="shared" si="53"/>
        <v>0</v>
      </c>
      <c r="AY31" s="14"/>
      <c r="AZ31" s="15"/>
      <c r="BA31" s="16">
        <f t="shared" si="52"/>
        <v>0</v>
      </c>
      <c r="BB31" s="14"/>
      <c r="BC31" s="15"/>
      <c r="BD31" s="16">
        <f t="shared" si="42"/>
        <v>0</v>
      </c>
      <c r="BE31" s="14"/>
      <c r="BF31" s="15"/>
      <c r="BG31" s="16">
        <f t="shared" si="40"/>
        <v>0</v>
      </c>
      <c r="BH31" s="14"/>
      <c r="BI31" s="15"/>
      <c r="BJ31" s="16">
        <f t="shared" si="29"/>
        <v>0</v>
      </c>
      <c r="BK31" s="14"/>
      <c r="BL31" s="15"/>
      <c r="BM31" s="16">
        <f t="shared" si="48"/>
        <v>0</v>
      </c>
      <c r="BN31" s="14"/>
      <c r="BO31" s="15"/>
      <c r="BP31" s="16">
        <f t="shared" si="15"/>
        <v>0</v>
      </c>
      <c r="BQ31" s="80"/>
      <c r="BR31" s="80"/>
      <c r="BS31" s="80"/>
      <c r="BT31" s="80"/>
      <c r="BU31" s="80"/>
      <c r="BV31" s="80"/>
      <c r="BW31" s="14"/>
      <c r="BX31" s="15"/>
      <c r="BY31" s="16">
        <f t="shared" si="18"/>
        <v>0</v>
      </c>
      <c r="BZ31" s="14"/>
      <c r="CA31" s="15"/>
      <c r="CB31" s="16">
        <f t="shared" si="19"/>
        <v>0</v>
      </c>
      <c r="CC31" s="14"/>
      <c r="CD31" s="15"/>
      <c r="CE31" s="16">
        <f t="shared" si="20"/>
        <v>0</v>
      </c>
      <c r="CF31" s="14"/>
      <c r="CG31" s="15"/>
      <c r="CH31" s="16">
        <f t="shared" si="21"/>
        <v>0</v>
      </c>
      <c r="CI31" s="14"/>
      <c r="CJ31" s="15"/>
      <c r="CK31" s="16">
        <f t="shared" si="31"/>
        <v>0</v>
      </c>
      <c r="CL31" s="14"/>
      <c r="CM31" s="15"/>
      <c r="CN31" s="16">
        <f t="shared" si="22"/>
        <v>0</v>
      </c>
      <c r="CO31" s="14"/>
      <c r="CP31" s="15"/>
      <c r="CQ31" s="16">
        <f t="shared" si="23"/>
        <v>0</v>
      </c>
      <c r="CR31" s="14"/>
      <c r="CS31" s="15"/>
      <c r="CT31" s="16">
        <f t="shared" si="24"/>
        <v>0</v>
      </c>
      <c r="CU31" s="17">
        <f t="shared" si="25"/>
        <v>0</v>
      </c>
      <c r="CV31" s="77">
        <f t="shared" si="26"/>
        <v>0</v>
      </c>
      <c r="CW31" s="16">
        <f t="shared" si="27"/>
        <v>0</v>
      </c>
    </row>
    <row r="32" spans="1:101" ht="15.75" customHeight="1" x14ac:dyDescent="0.35">
      <c r="A32" s="80" t="s">
        <v>970</v>
      </c>
      <c r="B32" s="37" t="s">
        <v>956</v>
      </c>
      <c r="C32" s="80"/>
      <c r="D32" s="80"/>
      <c r="E32" s="78">
        <f t="shared" si="44"/>
        <v>0</v>
      </c>
      <c r="F32" s="14"/>
      <c r="G32" s="15"/>
      <c r="H32" s="16">
        <f t="shared" si="45"/>
        <v>0</v>
      </c>
      <c r="I32" s="14"/>
      <c r="J32" s="15"/>
      <c r="K32" s="16">
        <f t="shared" si="49"/>
        <v>0</v>
      </c>
      <c r="L32" s="14"/>
      <c r="M32" s="15"/>
      <c r="N32" s="16">
        <f t="shared" si="46"/>
        <v>0</v>
      </c>
      <c r="O32" s="14"/>
      <c r="P32" s="15"/>
      <c r="Q32" s="16">
        <f t="shared" si="50"/>
        <v>0</v>
      </c>
      <c r="R32" s="14"/>
      <c r="S32" s="15"/>
      <c r="T32" s="16">
        <f t="shared" si="5"/>
        <v>0</v>
      </c>
      <c r="U32" s="14"/>
      <c r="V32" s="15"/>
      <c r="W32" s="16">
        <f t="shared" si="43"/>
        <v>0</v>
      </c>
      <c r="X32" s="14"/>
      <c r="Y32" s="15"/>
      <c r="Z32" s="16">
        <f t="shared" si="37"/>
        <v>0</v>
      </c>
      <c r="AA32" s="14"/>
      <c r="AB32" s="15"/>
      <c r="AC32" s="16">
        <f t="shared" si="47"/>
        <v>0</v>
      </c>
      <c r="AD32" s="14"/>
      <c r="AE32" s="15"/>
      <c r="AF32" s="16">
        <f t="shared" si="32"/>
        <v>0</v>
      </c>
      <c r="AG32" s="80"/>
      <c r="AH32" s="80"/>
      <c r="AI32" s="80"/>
      <c r="AJ32" s="80"/>
      <c r="AK32" s="80"/>
      <c r="AL32" s="80"/>
      <c r="AM32" s="80"/>
      <c r="AN32" s="80"/>
      <c r="AO32" s="80">
        <f>AN32*AM32</f>
        <v>0</v>
      </c>
      <c r="AP32" s="14"/>
      <c r="AQ32" s="15"/>
      <c r="AR32" s="16">
        <f t="shared" si="39"/>
        <v>0</v>
      </c>
      <c r="AS32" s="14"/>
      <c r="AT32" s="15"/>
      <c r="AU32" s="16">
        <f t="shared" si="51"/>
        <v>0</v>
      </c>
      <c r="AV32" s="14"/>
      <c r="AW32" s="15"/>
      <c r="AX32" s="16">
        <f t="shared" si="53"/>
        <v>0</v>
      </c>
      <c r="AY32" s="14"/>
      <c r="AZ32" s="15"/>
      <c r="BA32" s="16">
        <f t="shared" si="52"/>
        <v>0</v>
      </c>
      <c r="BB32" s="14"/>
      <c r="BC32" s="15"/>
      <c r="BD32" s="16">
        <f t="shared" si="42"/>
        <v>0</v>
      </c>
      <c r="BE32" s="14"/>
      <c r="BF32" s="15"/>
      <c r="BG32" s="16">
        <f t="shared" si="40"/>
        <v>0</v>
      </c>
      <c r="BH32" s="14"/>
      <c r="BI32" s="15"/>
      <c r="BJ32" s="16">
        <f t="shared" si="29"/>
        <v>0</v>
      </c>
      <c r="BK32" s="14"/>
      <c r="BL32" s="15"/>
      <c r="BM32" s="16">
        <f t="shared" si="48"/>
        <v>0</v>
      </c>
      <c r="BN32" s="14"/>
      <c r="BO32" s="15"/>
      <c r="BP32" s="16">
        <f t="shared" si="15"/>
        <v>0</v>
      </c>
      <c r="BQ32" s="80"/>
      <c r="BR32" s="80"/>
      <c r="BS32" s="80"/>
      <c r="BT32" s="80"/>
      <c r="BU32" s="80"/>
      <c r="BV32" s="80"/>
      <c r="BW32" s="14"/>
      <c r="BX32" s="15"/>
      <c r="BY32" s="16">
        <f t="shared" si="18"/>
        <v>0</v>
      </c>
      <c r="BZ32" s="14"/>
      <c r="CA32" s="15"/>
      <c r="CB32" s="16">
        <f t="shared" si="19"/>
        <v>0</v>
      </c>
      <c r="CC32" s="14"/>
      <c r="CD32" s="15"/>
      <c r="CE32" s="16">
        <f t="shared" si="20"/>
        <v>0</v>
      </c>
      <c r="CF32" s="14"/>
      <c r="CG32" s="15"/>
      <c r="CH32" s="16">
        <f t="shared" si="21"/>
        <v>0</v>
      </c>
      <c r="CI32" s="14"/>
      <c r="CJ32" s="15"/>
      <c r="CK32" s="16">
        <f t="shared" si="31"/>
        <v>0</v>
      </c>
      <c r="CL32" s="14"/>
      <c r="CM32" s="15"/>
      <c r="CN32" s="16">
        <f t="shared" si="22"/>
        <v>0</v>
      </c>
      <c r="CO32" s="14"/>
      <c r="CP32" s="15"/>
      <c r="CQ32" s="16">
        <f t="shared" si="23"/>
        <v>0</v>
      </c>
      <c r="CR32" s="14"/>
      <c r="CS32" s="15"/>
      <c r="CT32" s="16">
        <f t="shared" si="24"/>
        <v>0</v>
      </c>
      <c r="CU32" s="17">
        <f t="shared" si="25"/>
        <v>0</v>
      </c>
      <c r="CV32" s="77">
        <f t="shared" si="26"/>
        <v>0</v>
      </c>
      <c r="CW32" s="16">
        <f t="shared" si="27"/>
        <v>0</v>
      </c>
    </row>
    <row r="33" spans="1:101" ht="15.75" customHeight="1" x14ac:dyDescent="0.35">
      <c r="A33" s="80" t="s">
        <v>971</v>
      </c>
      <c r="B33" s="37" t="s">
        <v>956</v>
      </c>
      <c r="C33" s="80"/>
      <c r="D33" s="80"/>
      <c r="E33" s="78">
        <f t="shared" si="44"/>
        <v>0</v>
      </c>
      <c r="F33" s="14"/>
      <c r="G33" s="15"/>
      <c r="H33" s="16">
        <f t="shared" si="45"/>
        <v>0</v>
      </c>
      <c r="I33" s="14"/>
      <c r="J33" s="15"/>
      <c r="K33" s="16">
        <f t="shared" si="49"/>
        <v>0</v>
      </c>
      <c r="L33" s="14"/>
      <c r="M33" s="15"/>
      <c r="N33" s="16">
        <f t="shared" si="46"/>
        <v>0</v>
      </c>
      <c r="O33" s="14"/>
      <c r="P33" s="15"/>
      <c r="Q33" s="16">
        <f t="shared" si="50"/>
        <v>0</v>
      </c>
      <c r="R33" s="14"/>
      <c r="S33" s="15"/>
      <c r="T33" s="16">
        <f t="shared" si="5"/>
        <v>0</v>
      </c>
      <c r="U33" s="14"/>
      <c r="V33" s="15"/>
      <c r="W33" s="16">
        <f t="shared" si="43"/>
        <v>0</v>
      </c>
      <c r="X33" s="14"/>
      <c r="Y33" s="15"/>
      <c r="Z33" s="16">
        <f t="shared" si="37"/>
        <v>0</v>
      </c>
      <c r="AA33" s="14"/>
      <c r="AB33" s="15"/>
      <c r="AC33" s="16">
        <f t="shared" si="47"/>
        <v>0</v>
      </c>
      <c r="AD33" s="14"/>
      <c r="AE33" s="15"/>
      <c r="AF33" s="16">
        <f t="shared" si="32"/>
        <v>0</v>
      </c>
      <c r="AG33" s="80"/>
      <c r="AH33" s="80"/>
      <c r="AI33" s="80"/>
      <c r="AJ33" s="80"/>
      <c r="AK33" s="80"/>
      <c r="AL33" s="80"/>
      <c r="AM33" s="14"/>
      <c r="AN33" s="15"/>
      <c r="AO33" s="16">
        <f>IFERROR(AM33*AN33, 0)</f>
        <v>0</v>
      </c>
      <c r="AP33" s="14"/>
      <c r="AQ33" s="15"/>
      <c r="AR33" s="16">
        <f t="shared" si="39"/>
        <v>0</v>
      </c>
      <c r="AS33" s="14"/>
      <c r="AT33" s="15"/>
      <c r="AU33" s="16">
        <f t="shared" si="51"/>
        <v>0</v>
      </c>
      <c r="AV33" s="14"/>
      <c r="AW33" s="15"/>
      <c r="AX33" s="16">
        <f t="shared" si="53"/>
        <v>0</v>
      </c>
      <c r="AY33" s="14"/>
      <c r="AZ33" s="15"/>
      <c r="BA33" s="16">
        <f t="shared" si="52"/>
        <v>0</v>
      </c>
      <c r="BB33" s="14"/>
      <c r="BC33" s="15"/>
      <c r="BD33" s="16">
        <f t="shared" si="42"/>
        <v>0</v>
      </c>
      <c r="BE33" s="14"/>
      <c r="BF33" s="15"/>
      <c r="BG33" s="16">
        <f t="shared" si="40"/>
        <v>0</v>
      </c>
      <c r="BH33" s="14"/>
      <c r="BI33" s="15"/>
      <c r="BJ33" s="16">
        <f t="shared" si="29"/>
        <v>0</v>
      </c>
      <c r="BK33" s="14"/>
      <c r="BL33" s="15"/>
      <c r="BM33" s="16">
        <f t="shared" si="48"/>
        <v>0</v>
      </c>
      <c r="BN33" s="14"/>
      <c r="BO33" s="15"/>
      <c r="BP33" s="16">
        <f t="shared" si="15"/>
        <v>0</v>
      </c>
      <c r="BQ33" s="80"/>
      <c r="BR33" s="80"/>
      <c r="BS33" s="80"/>
      <c r="BT33" s="80"/>
      <c r="BU33" s="80"/>
      <c r="BV33" s="80"/>
      <c r="BW33" s="14"/>
      <c r="BX33" s="15"/>
      <c r="BY33" s="16">
        <f t="shared" si="18"/>
        <v>0</v>
      </c>
      <c r="BZ33" s="14"/>
      <c r="CA33" s="15"/>
      <c r="CB33" s="16">
        <f t="shared" si="19"/>
        <v>0</v>
      </c>
      <c r="CC33" s="14"/>
      <c r="CD33" s="15"/>
      <c r="CE33" s="16">
        <f t="shared" si="20"/>
        <v>0</v>
      </c>
      <c r="CF33" s="14"/>
      <c r="CG33" s="15"/>
      <c r="CH33" s="16">
        <f t="shared" si="21"/>
        <v>0</v>
      </c>
      <c r="CI33" s="14"/>
      <c r="CJ33" s="15"/>
      <c r="CK33" s="16">
        <f t="shared" si="31"/>
        <v>0</v>
      </c>
      <c r="CL33" s="14"/>
      <c r="CM33" s="15"/>
      <c r="CN33" s="16">
        <f t="shared" si="22"/>
        <v>0</v>
      </c>
      <c r="CO33" s="14"/>
      <c r="CP33" s="15"/>
      <c r="CQ33" s="16">
        <f t="shared" si="23"/>
        <v>0</v>
      </c>
      <c r="CR33" s="14"/>
      <c r="CS33" s="15"/>
      <c r="CT33" s="16">
        <f t="shared" si="24"/>
        <v>0</v>
      </c>
      <c r="CU33" s="17">
        <f t="shared" si="25"/>
        <v>0</v>
      </c>
      <c r="CV33" s="77">
        <f t="shared" si="26"/>
        <v>0</v>
      </c>
      <c r="CW33" s="16">
        <f t="shared" si="27"/>
        <v>0</v>
      </c>
    </row>
    <row r="34" spans="1:101" ht="15.75" customHeight="1" x14ac:dyDescent="0.35">
      <c r="A34" s="80" t="s">
        <v>972</v>
      </c>
      <c r="B34" s="37" t="s">
        <v>956</v>
      </c>
      <c r="C34" s="80"/>
      <c r="D34" s="80"/>
      <c r="E34" s="78">
        <f t="shared" si="44"/>
        <v>0</v>
      </c>
      <c r="F34" s="14"/>
      <c r="G34" s="15"/>
      <c r="H34" s="16">
        <f t="shared" si="45"/>
        <v>0</v>
      </c>
      <c r="I34" s="14"/>
      <c r="J34" s="15"/>
      <c r="K34" s="16">
        <f t="shared" si="49"/>
        <v>0</v>
      </c>
      <c r="L34" s="14"/>
      <c r="M34" s="15"/>
      <c r="N34" s="16">
        <f t="shared" si="46"/>
        <v>0</v>
      </c>
      <c r="O34" s="14"/>
      <c r="P34" s="15"/>
      <c r="Q34" s="16">
        <f t="shared" si="50"/>
        <v>0</v>
      </c>
      <c r="R34" s="14"/>
      <c r="S34" s="15"/>
      <c r="T34" s="16">
        <f t="shared" si="5"/>
        <v>0</v>
      </c>
      <c r="U34" s="14"/>
      <c r="V34" s="15"/>
      <c r="W34" s="16">
        <f t="shared" si="43"/>
        <v>0</v>
      </c>
      <c r="X34" s="14"/>
      <c r="Y34" s="15"/>
      <c r="Z34" s="16">
        <f t="shared" si="37"/>
        <v>0</v>
      </c>
      <c r="AA34" s="14"/>
      <c r="AB34" s="15"/>
      <c r="AC34" s="16">
        <f t="shared" si="47"/>
        <v>0</v>
      </c>
      <c r="AD34" s="14"/>
      <c r="AE34" s="15"/>
      <c r="AF34" s="16">
        <f t="shared" si="32"/>
        <v>0</v>
      </c>
      <c r="AG34" s="80"/>
      <c r="AH34" s="80"/>
      <c r="AI34" s="80"/>
      <c r="AJ34" s="80"/>
      <c r="AK34" s="80"/>
      <c r="AL34" s="80"/>
      <c r="AM34" s="14"/>
      <c r="AN34" s="80"/>
      <c r="AO34" s="16">
        <f>IFERROR(AM34*AN34, 0)</f>
        <v>0</v>
      </c>
      <c r="AP34" s="14"/>
      <c r="AQ34" s="15"/>
      <c r="AR34" s="16">
        <f t="shared" si="39"/>
        <v>0</v>
      </c>
      <c r="AS34" s="14"/>
      <c r="AT34" s="15"/>
      <c r="AU34" s="16">
        <f t="shared" si="51"/>
        <v>0</v>
      </c>
      <c r="AV34" s="14"/>
      <c r="AW34" s="15"/>
      <c r="AX34" s="16">
        <f t="shared" si="53"/>
        <v>0</v>
      </c>
      <c r="AY34" s="14"/>
      <c r="AZ34" s="15"/>
      <c r="BA34" s="16">
        <f t="shared" si="52"/>
        <v>0</v>
      </c>
      <c r="BB34" s="14"/>
      <c r="BC34" s="15"/>
      <c r="BD34" s="16">
        <f t="shared" si="42"/>
        <v>0</v>
      </c>
      <c r="BE34" s="14"/>
      <c r="BF34" s="15"/>
      <c r="BG34" s="16">
        <f t="shared" si="40"/>
        <v>0</v>
      </c>
      <c r="BH34" s="14"/>
      <c r="BI34" s="15"/>
      <c r="BJ34" s="16">
        <f t="shared" si="29"/>
        <v>0</v>
      </c>
      <c r="BK34" s="14"/>
      <c r="BL34" s="15"/>
      <c r="BM34" s="16">
        <f t="shared" si="48"/>
        <v>0</v>
      </c>
      <c r="BN34" s="14"/>
      <c r="BO34" s="15"/>
      <c r="BP34" s="16">
        <f t="shared" si="15"/>
        <v>0</v>
      </c>
      <c r="BQ34" s="80"/>
      <c r="BR34" s="80"/>
      <c r="BS34" s="80"/>
      <c r="BT34" s="80"/>
      <c r="BU34" s="80"/>
      <c r="BV34" s="80"/>
      <c r="BW34" s="14"/>
      <c r="BX34" s="15"/>
      <c r="BY34" s="16">
        <f t="shared" si="18"/>
        <v>0</v>
      </c>
      <c r="BZ34" s="14"/>
      <c r="CA34" s="15"/>
      <c r="CB34" s="16">
        <f t="shared" si="19"/>
        <v>0</v>
      </c>
      <c r="CC34" s="14"/>
      <c r="CD34" s="15"/>
      <c r="CE34" s="16">
        <f t="shared" si="20"/>
        <v>0</v>
      </c>
      <c r="CF34" s="14"/>
      <c r="CG34" s="15"/>
      <c r="CH34" s="16">
        <f t="shared" si="21"/>
        <v>0</v>
      </c>
      <c r="CI34" s="14"/>
      <c r="CJ34" s="15"/>
      <c r="CK34" s="16">
        <f t="shared" si="31"/>
        <v>0</v>
      </c>
      <c r="CL34" s="14"/>
      <c r="CM34" s="15"/>
      <c r="CN34" s="16">
        <f t="shared" si="22"/>
        <v>0</v>
      </c>
      <c r="CO34" s="14"/>
      <c r="CP34" s="15"/>
      <c r="CQ34" s="16">
        <f t="shared" si="23"/>
        <v>0</v>
      </c>
      <c r="CR34" s="14"/>
      <c r="CS34" s="15"/>
      <c r="CT34" s="16">
        <f t="shared" si="24"/>
        <v>0</v>
      </c>
      <c r="CU34" s="17">
        <f t="shared" si="25"/>
        <v>0</v>
      </c>
      <c r="CV34" s="77">
        <f t="shared" si="26"/>
        <v>0</v>
      </c>
      <c r="CW34" s="16">
        <f t="shared" si="27"/>
        <v>0</v>
      </c>
    </row>
    <row r="35" spans="1:101" ht="15.75" customHeight="1" x14ac:dyDescent="0.35">
      <c r="A35" s="80" t="s">
        <v>973</v>
      </c>
      <c r="B35" s="37" t="s">
        <v>956</v>
      </c>
      <c r="C35" s="80"/>
      <c r="D35" s="80"/>
      <c r="E35" s="78">
        <f t="shared" si="44"/>
        <v>0</v>
      </c>
      <c r="F35" s="14"/>
      <c r="G35" s="15"/>
      <c r="H35" s="16">
        <f t="shared" si="45"/>
        <v>0</v>
      </c>
      <c r="I35" s="14"/>
      <c r="J35" s="15"/>
      <c r="K35" s="16">
        <f t="shared" si="49"/>
        <v>0</v>
      </c>
      <c r="L35" s="14"/>
      <c r="M35" s="15"/>
      <c r="N35" s="16">
        <f t="shared" si="46"/>
        <v>0</v>
      </c>
      <c r="O35" s="14"/>
      <c r="P35" s="15"/>
      <c r="Q35" s="16">
        <f t="shared" si="50"/>
        <v>0</v>
      </c>
      <c r="R35" s="14"/>
      <c r="S35" s="15"/>
      <c r="T35" s="16">
        <f t="shared" si="5"/>
        <v>0</v>
      </c>
      <c r="U35" s="14"/>
      <c r="V35" s="15"/>
      <c r="W35" s="16">
        <f t="shared" si="43"/>
        <v>0</v>
      </c>
      <c r="X35" s="14"/>
      <c r="Y35" s="15"/>
      <c r="Z35" s="16">
        <f t="shared" si="37"/>
        <v>0</v>
      </c>
      <c r="AA35" s="14"/>
      <c r="AB35" s="15"/>
      <c r="AC35" s="16">
        <f t="shared" si="47"/>
        <v>0</v>
      </c>
      <c r="AD35" s="14"/>
      <c r="AE35" s="15"/>
      <c r="AF35" s="16">
        <f t="shared" si="32"/>
        <v>0</v>
      </c>
      <c r="AG35" s="80"/>
      <c r="AH35" s="80"/>
      <c r="AI35" s="80"/>
      <c r="AJ35" s="80"/>
      <c r="AK35" s="80"/>
      <c r="AL35" s="80"/>
      <c r="AM35" s="14"/>
      <c r="AN35" s="80"/>
      <c r="AO35" s="16">
        <f>IFERROR(AM35*AN35, 0)</f>
        <v>0</v>
      </c>
      <c r="AP35" s="14"/>
      <c r="AQ35" s="15"/>
      <c r="AR35" s="16">
        <f t="shared" si="39"/>
        <v>0</v>
      </c>
      <c r="AS35" s="14"/>
      <c r="AT35" s="15"/>
      <c r="AU35" s="16">
        <f t="shared" si="51"/>
        <v>0</v>
      </c>
      <c r="AV35" s="14"/>
      <c r="AW35" s="15"/>
      <c r="AX35" s="16">
        <f t="shared" si="53"/>
        <v>0</v>
      </c>
      <c r="AY35" s="14"/>
      <c r="AZ35" s="15"/>
      <c r="BA35" s="16">
        <f t="shared" si="52"/>
        <v>0</v>
      </c>
      <c r="BB35" s="14"/>
      <c r="BC35" s="15"/>
      <c r="BD35" s="16">
        <f t="shared" si="42"/>
        <v>0</v>
      </c>
      <c r="BE35" s="14"/>
      <c r="BF35" s="15"/>
      <c r="BG35" s="16">
        <f t="shared" si="40"/>
        <v>0</v>
      </c>
      <c r="BH35" s="14"/>
      <c r="BI35" s="15"/>
      <c r="BJ35" s="16">
        <f t="shared" si="29"/>
        <v>0</v>
      </c>
      <c r="BK35" s="14"/>
      <c r="BL35" s="15"/>
      <c r="BM35" s="16">
        <f t="shared" si="48"/>
        <v>0</v>
      </c>
      <c r="BN35" s="14"/>
      <c r="BO35" s="15"/>
      <c r="BP35" s="16">
        <f t="shared" si="15"/>
        <v>0</v>
      </c>
      <c r="BQ35" s="80"/>
      <c r="BR35" s="80"/>
      <c r="BS35" s="80"/>
      <c r="BT35" s="80"/>
      <c r="BU35" s="80"/>
      <c r="BV35" s="80"/>
      <c r="BW35" s="14"/>
      <c r="BX35" s="15"/>
      <c r="BY35" s="16">
        <f t="shared" si="18"/>
        <v>0</v>
      </c>
      <c r="BZ35" s="14"/>
      <c r="CA35" s="15"/>
      <c r="CB35" s="16">
        <f t="shared" si="19"/>
        <v>0</v>
      </c>
      <c r="CC35" s="14"/>
      <c r="CD35" s="15"/>
      <c r="CE35" s="16">
        <f t="shared" si="20"/>
        <v>0</v>
      </c>
      <c r="CF35" s="14"/>
      <c r="CG35" s="15"/>
      <c r="CH35" s="16">
        <f t="shared" si="21"/>
        <v>0</v>
      </c>
      <c r="CI35" s="14"/>
      <c r="CJ35" s="15"/>
      <c r="CK35" s="16">
        <f t="shared" si="31"/>
        <v>0</v>
      </c>
      <c r="CL35" s="14"/>
      <c r="CM35" s="15"/>
      <c r="CN35" s="16">
        <f t="shared" si="22"/>
        <v>0</v>
      </c>
      <c r="CO35" s="14"/>
      <c r="CP35" s="15"/>
      <c r="CQ35" s="16">
        <f t="shared" si="23"/>
        <v>0</v>
      </c>
      <c r="CR35" s="14"/>
      <c r="CS35" s="15"/>
      <c r="CT35" s="16">
        <f t="shared" si="24"/>
        <v>0</v>
      </c>
      <c r="CU35" s="17">
        <f t="shared" si="25"/>
        <v>0</v>
      </c>
      <c r="CV35" s="77">
        <f t="shared" si="26"/>
        <v>0</v>
      </c>
      <c r="CW35" s="16">
        <f t="shared" si="27"/>
        <v>0</v>
      </c>
    </row>
    <row r="36" spans="1:101" ht="15.75" customHeight="1" x14ac:dyDescent="0.35">
      <c r="A36" s="80" t="s">
        <v>398</v>
      </c>
      <c r="B36" s="37" t="s">
        <v>956</v>
      </c>
      <c r="C36" s="80"/>
      <c r="D36" s="80"/>
      <c r="E36" s="78">
        <f t="shared" si="44"/>
        <v>0</v>
      </c>
      <c r="F36" s="14"/>
      <c r="G36" s="15"/>
      <c r="H36" s="16">
        <f t="shared" si="45"/>
        <v>0</v>
      </c>
      <c r="I36" s="14"/>
      <c r="J36" s="15"/>
      <c r="K36" s="16">
        <f t="shared" si="49"/>
        <v>0</v>
      </c>
      <c r="L36" s="14"/>
      <c r="M36" s="15"/>
      <c r="N36" s="16">
        <f t="shared" si="46"/>
        <v>0</v>
      </c>
      <c r="O36" s="14"/>
      <c r="P36" s="15"/>
      <c r="Q36" s="16">
        <f t="shared" si="50"/>
        <v>0</v>
      </c>
      <c r="R36" s="14"/>
      <c r="S36" s="15"/>
      <c r="T36" s="16">
        <f t="shared" si="5"/>
        <v>0</v>
      </c>
      <c r="U36" s="14"/>
      <c r="V36" s="15"/>
      <c r="W36" s="16">
        <f t="shared" si="43"/>
        <v>0</v>
      </c>
      <c r="X36" s="14"/>
      <c r="Y36" s="15"/>
      <c r="Z36" s="16">
        <f t="shared" si="37"/>
        <v>0</v>
      </c>
      <c r="AA36" s="14"/>
      <c r="AB36" s="15"/>
      <c r="AC36" s="16">
        <f t="shared" si="47"/>
        <v>0</v>
      </c>
      <c r="AD36" s="14"/>
      <c r="AE36" s="15"/>
      <c r="AF36" s="16">
        <f t="shared" si="32"/>
        <v>0</v>
      </c>
      <c r="AG36" s="80">
        <v>2</v>
      </c>
      <c r="AH36" s="80">
        <v>3000</v>
      </c>
      <c r="AI36" s="80">
        <v>6000</v>
      </c>
      <c r="AJ36" s="80"/>
      <c r="AK36" s="80"/>
      <c r="AL36" s="80">
        <f>AK36*AJ36</f>
        <v>0</v>
      </c>
      <c r="AM36" s="80"/>
      <c r="AN36" s="80"/>
      <c r="AO36" s="80"/>
      <c r="AP36" s="14"/>
      <c r="AQ36" s="15"/>
      <c r="AR36" s="16">
        <f t="shared" si="39"/>
        <v>0</v>
      </c>
      <c r="AS36" s="14"/>
      <c r="AT36" s="15"/>
      <c r="AU36" s="16">
        <f t="shared" si="51"/>
        <v>0</v>
      </c>
      <c r="AV36" s="14"/>
      <c r="AW36" s="15"/>
      <c r="AX36" s="16">
        <f t="shared" si="53"/>
        <v>0</v>
      </c>
      <c r="AY36" s="14"/>
      <c r="AZ36" s="15"/>
      <c r="BA36" s="16">
        <f t="shared" si="52"/>
        <v>0</v>
      </c>
      <c r="BB36" s="14"/>
      <c r="BC36" s="15"/>
      <c r="BD36" s="16">
        <f t="shared" si="42"/>
        <v>0</v>
      </c>
      <c r="BE36" s="14"/>
      <c r="BF36" s="15"/>
      <c r="BG36" s="16">
        <f t="shared" si="40"/>
        <v>0</v>
      </c>
      <c r="BH36" s="14"/>
      <c r="BI36" s="15"/>
      <c r="BJ36" s="16">
        <f t="shared" si="29"/>
        <v>0</v>
      </c>
      <c r="BK36" s="14"/>
      <c r="BL36" s="15"/>
      <c r="BM36" s="16">
        <f t="shared" si="48"/>
        <v>0</v>
      </c>
      <c r="BN36" s="14"/>
      <c r="BO36" s="15"/>
      <c r="BP36" s="16">
        <f t="shared" si="15"/>
        <v>0</v>
      </c>
      <c r="BQ36" s="80"/>
      <c r="BR36" s="80"/>
      <c r="BS36" s="80"/>
      <c r="BT36" s="80"/>
      <c r="BU36" s="80"/>
      <c r="BV36" s="80"/>
      <c r="BW36" s="14"/>
      <c r="BX36" s="15"/>
      <c r="BY36" s="16">
        <f t="shared" si="18"/>
        <v>0</v>
      </c>
      <c r="BZ36" s="14"/>
      <c r="CA36" s="15"/>
      <c r="CB36" s="16">
        <f t="shared" si="19"/>
        <v>0</v>
      </c>
      <c r="CC36" s="14"/>
      <c r="CD36" s="15"/>
      <c r="CE36" s="16">
        <f t="shared" si="20"/>
        <v>0</v>
      </c>
      <c r="CF36" s="14"/>
      <c r="CG36" s="15"/>
      <c r="CH36" s="16">
        <f t="shared" si="21"/>
        <v>0</v>
      </c>
      <c r="CI36" s="14"/>
      <c r="CJ36" s="15"/>
      <c r="CK36" s="16">
        <f t="shared" si="31"/>
        <v>0</v>
      </c>
      <c r="CL36" s="14"/>
      <c r="CM36" s="15"/>
      <c r="CN36" s="16">
        <f t="shared" si="22"/>
        <v>0</v>
      </c>
      <c r="CO36" s="14"/>
      <c r="CP36" s="15"/>
      <c r="CQ36" s="16">
        <f t="shared" si="23"/>
        <v>0</v>
      </c>
      <c r="CR36" s="14"/>
      <c r="CS36" s="15"/>
      <c r="CT36" s="16">
        <f t="shared" si="24"/>
        <v>0</v>
      </c>
      <c r="CU36" s="17">
        <f t="shared" si="25"/>
        <v>2</v>
      </c>
      <c r="CV36" s="77">
        <f t="shared" si="26"/>
        <v>3000</v>
      </c>
      <c r="CW36" s="16">
        <f t="shared" si="27"/>
        <v>6000</v>
      </c>
    </row>
    <row r="37" spans="1:101" ht="15.75" customHeight="1" x14ac:dyDescent="0.35">
      <c r="A37" s="80" t="s">
        <v>974</v>
      </c>
      <c r="B37" s="37" t="s">
        <v>956</v>
      </c>
      <c r="C37" s="80"/>
      <c r="D37" s="80"/>
      <c r="E37" s="78">
        <f t="shared" si="44"/>
        <v>0</v>
      </c>
      <c r="F37" s="14"/>
      <c r="G37" s="15"/>
      <c r="H37" s="16">
        <f t="shared" si="45"/>
        <v>0</v>
      </c>
      <c r="I37" s="14"/>
      <c r="J37" s="15"/>
      <c r="K37" s="16">
        <f t="shared" si="49"/>
        <v>0</v>
      </c>
      <c r="L37" s="14"/>
      <c r="M37" s="15"/>
      <c r="N37" s="16">
        <f t="shared" si="46"/>
        <v>0</v>
      </c>
      <c r="O37" s="14"/>
      <c r="P37" s="15"/>
      <c r="Q37" s="16">
        <f t="shared" si="50"/>
        <v>0</v>
      </c>
      <c r="R37" s="14"/>
      <c r="S37" s="15"/>
      <c r="T37" s="16">
        <f t="shared" si="5"/>
        <v>0</v>
      </c>
      <c r="U37" s="14"/>
      <c r="V37" s="15"/>
      <c r="W37" s="16">
        <f t="shared" si="43"/>
        <v>0</v>
      </c>
      <c r="X37" s="14"/>
      <c r="Y37" s="15"/>
      <c r="Z37" s="16">
        <f t="shared" si="37"/>
        <v>0</v>
      </c>
      <c r="AA37" s="14"/>
      <c r="AB37" s="15"/>
      <c r="AC37" s="16">
        <f t="shared" si="47"/>
        <v>0</v>
      </c>
      <c r="AD37" s="14"/>
      <c r="AE37" s="15"/>
      <c r="AF37" s="16">
        <f t="shared" si="32"/>
        <v>0</v>
      </c>
      <c r="AG37" s="80"/>
      <c r="AH37" s="80"/>
      <c r="AI37" s="80"/>
      <c r="AJ37" s="80"/>
      <c r="AK37" s="80"/>
      <c r="AL37" s="16">
        <f>IFERROR(AJ37*AK37, 0)</f>
        <v>0</v>
      </c>
      <c r="AM37" s="80"/>
      <c r="AN37" s="80"/>
      <c r="AO37" s="80"/>
      <c r="AP37" s="14"/>
      <c r="AQ37" s="15"/>
      <c r="AR37" s="16">
        <f t="shared" si="39"/>
        <v>0</v>
      </c>
      <c r="AS37" s="14"/>
      <c r="AT37" s="15"/>
      <c r="AU37" s="16">
        <f t="shared" si="51"/>
        <v>0</v>
      </c>
      <c r="AV37" s="14"/>
      <c r="AW37" s="15"/>
      <c r="AX37" s="16">
        <f t="shared" si="53"/>
        <v>0</v>
      </c>
      <c r="AY37" s="14"/>
      <c r="AZ37" s="15"/>
      <c r="BA37" s="16">
        <f t="shared" si="52"/>
        <v>0</v>
      </c>
      <c r="BB37" s="14"/>
      <c r="BC37" s="15"/>
      <c r="BD37" s="16">
        <f t="shared" si="42"/>
        <v>0</v>
      </c>
      <c r="BE37" s="14"/>
      <c r="BF37" s="15"/>
      <c r="BG37" s="16">
        <f t="shared" si="40"/>
        <v>0</v>
      </c>
      <c r="BH37" s="14"/>
      <c r="BI37" s="15"/>
      <c r="BJ37" s="16">
        <f t="shared" si="29"/>
        <v>0</v>
      </c>
      <c r="BK37" s="14"/>
      <c r="BL37" s="15"/>
      <c r="BM37" s="16">
        <f t="shared" si="48"/>
        <v>0</v>
      </c>
      <c r="BN37" s="14"/>
      <c r="BO37" s="15"/>
      <c r="BP37" s="16">
        <f t="shared" si="15"/>
        <v>0</v>
      </c>
      <c r="BQ37" s="80"/>
      <c r="BR37" s="80"/>
      <c r="BS37" s="80"/>
      <c r="BT37" s="80"/>
      <c r="BU37" s="80"/>
      <c r="BV37" s="80"/>
      <c r="BW37" s="14"/>
      <c r="BX37" s="15"/>
      <c r="BY37" s="16">
        <f t="shared" si="18"/>
        <v>0</v>
      </c>
      <c r="BZ37" s="14"/>
      <c r="CA37" s="15"/>
      <c r="CB37" s="16">
        <f t="shared" si="19"/>
        <v>0</v>
      </c>
      <c r="CC37" s="14"/>
      <c r="CD37" s="15"/>
      <c r="CE37" s="16">
        <f t="shared" si="20"/>
        <v>0</v>
      </c>
      <c r="CF37" s="14"/>
      <c r="CG37" s="15"/>
      <c r="CH37" s="16">
        <f t="shared" si="21"/>
        <v>0</v>
      </c>
      <c r="CI37" s="14"/>
      <c r="CJ37" s="15"/>
      <c r="CK37" s="16">
        <f t="shared" si="31"/>
        <v>0</v>
      </c>
      <c r="CL37" s="14"/>
      <c r="CM37" s="15"/>
      <c r="CN37" s="16">
        <f t="shared" si="22"/>
        <v>0</v>
      </c>
      <c r="CO37" s="14"/>
      <c r="CP37" s="15"/>
      <c r="CQ37" s="16">
        <f t="shared" si="23"/>
        <v>0</v>
      </c>
      <c r="CR37" s="14"/>
      <c r="CS37" s="15"/>
      <c r="CT37" s="16">
        <f t="shared" si="24"/>
        <v>0</v>
      </c>
      <c r="CU37" s="17">
        <f t="shared" si="25"/>
        <v>0</v>
      </c>
      <c r="CV37" s="77">
        <f t="shared" si="26"/>
        <v>0</v>
      </c>
      <c r="CW37" s="16">
        <f t="shared" si="27"/>
        <v>0</v>
      </c>
    </row>
    <row r="38" spans="1:101" ht="15.75" customHeight="1" x14ac:dyDescent="0.35">
      <c r="A38" s="80" t="s">
        <v>94</v>
      </c>
      <c r="B38" s="37" t="s">
        <v>956</v>
      </c>
      <c r="C38" s="80"/>
      <c r="D38" s="80"/>
      <c r="E38" s="78">
        <f t="shared" si="44"/>
        <v>0</v>
      </c>
      <c r="F38" s="14"/>
      <c r="G38" s="15"/>
      <c r="H38" s="16">
        <f t="shared" si="45"/>
        <v>0</v>
      </c>
      <c r="I38" s="14">
        <v>1</v>
      </c>
      <c r="J38" s="15">
        <v>234200</v>
      </c>
      <c r="K38" s="16">
        <v>234200</v>
      </c>
      <c r="L38" s="14"/>
      <c r="M38" s="15"/>
      <c r="N38" s="16">
        <f t="shared" si="46"/>
        <v>0</v>
      </c>
      <c r="O38" s="14"/>
      <c r="P38" s="15"/>
      <c r="Q38" s="16">
        <f t="shared" si="50"/>
        <v>0</v>
      </c>
      <c r="R38" s="14"/>
      <c r="S38" s="15"/>
      <c r="T38" s="16">
        <f t="shared" si="5"/>
        <v>0</v>
      </c>
      <c r="U38" s="14"/>
      <c r="V38" s="15"/>
      <c r="W38" s="16">
        <f t="shared" si="43"/>
        <v>0</v>
      </c>
      <c r="X38" s="14"/>
      <c r="Y38" s="15"/>
      <c r="Z38" s="16">
        <f t="shared" si="37"/>
        <v>0</v>
      </c>
      <c r="AA38" s="14"/>
      <c r="AB38" s="15"/>
      <c r="AC38" s="16">
        <f t="shared" si="47"/>
        <v>0</v>
      </c>
      <c r="AD38" s="14"/>
      <c r="AE38" s="15"/>
      <c r="AF38" s="16">
        <f t="shared" si="32"/>
        <v>0</v>
      </c>
      <c r="AG38" s="80"/>
      <c r="AH38" s="80"/>
      <c r="AI38" s="16">
        <f>IFERROR(AG38*AH38, 0)</f>
        <v>0</v>
      </c>
      <c r="AJ38" s="80"/>
      <c r="AK38" s="80"/>
      <c r="AL38" s="80"/>
      <c r="AM38" s="80"/>
      <c r="AN38" s="80"/>
      <c r="AO38" s="80"/>
      <c r="AP38" s="14"/>
      <c r="AQ38" s="15"/>
      <c r="AR38" s="16">
        <f t="shared" si="39"/>
        <v>0</v>
      </c>
      <c r="AS38" s="14"/>
      <c r="AT38" s="15"/>
      <c r="AU38" s="16">
        <f t="shared" si="51"/>
        <v>0</v>
      </c>
      <c r="AV38" s="14"/>
      <c r="AW38" s="15"/>
      <c r="AX38" s="16">
        <f t="shared" si="53"/>
        <v>0</v>
      </c>
      <c r="AY38" s="14"/>
      <c r="AZ38" s="15"/>
      <c r="BA38" s="16">
        <f t="shared" si="52"/>
        <v>0</v>
      </c>
      <c r="BB38" s="14"/>
      <c r="BC38" s="15"/>
      <c r="BD38" s="16">
        <f t="shared" si="42"/>
        <v>0</v>
      </c>
      <c r="BE38" s="14"/>
      <c r="BF38" s="15"/>
      <c r="BG38" s="16">
        <f t="shared" si="40"/>
        <v>0</v>
      </c>
      <c r="BH38" s="14"/>
      <c r="BI38" s="15"/>
      <c r="BJ38" s="16">
        <f t="shared" si="29"/>
        <v>0</v>
      </c>
      <c r="BK38" s="14"/>
      <c r="BL38" s="15"/>
      <c r="BM38" s="16">
        <f t="shared" si="48"/>
        <v>0</v>
      </c>
      <c r="BN38" s="14"/>
      <c r="BO38" s="15"/>
      <c r="BP38" s="16">
        <f t="shared" si="15"/>
        <v>0</v>
      </c>
      <c r="BQ38" s="80"/>
      <c r="BR38" s="80"/>
      <c r="BS38" s="80"/>
      <c r="BT38" s="80"/>
      <c r="BU38" s="80"/>
      <c r="BV38" s="80"/>
      <c r="BW38" s="14"/>
      <c r="BX38" s="15"/>
      <c r="BY38" s="16">
        <f t="shared" si="18"/>
        <v>0</v>
      </c>
      <c r="BZ38" s="14"/>
      <c r="CA38" s="15"/>
      <c r="CB38" s="16">
        <f t="shared" si="19"/>
        <v>0</v>
      </c>
      <c r="CC38" s="14"/>
      <c r="CD38" s="15"/>
      <c r="CE38" s="16">
        <f t="shared" si="20"/>
        <v>0</v>
      </c>
      <c r="CF38" s="14"/>
      <c r="CG38" s="15"/>
      <c r="CH38" s="16">
        <f t="shared" si="21"/>
        <v>0</v>
      </c>
      <c r="CI38" s="14"/>
      <c r="CJ38" s="15"/>
      <c r="CK38" s="16">
        <f t="shared" si="31"/>
        <v>0</v>
      </c>
      <c r="CL38" s="14"/>
      <c r="CM38" s="15"/>
      <c r="CN38" s="16">
        <f t="shared" si="22"/>
        <v>0</v>
      </c>
      <c r="CO38" s="14"/>
      <c r="CP38" s="15"/>
      <c r="CQ38" s="16">
        <f t="shared" si="23"/>
        <v>0</v>
      </c>
      <c r="CR38" s="14"/>
      <c r="CS38" s="15"/>
      <c r="CT38" s="16">
        <f t="shared" si="24"/>
        <v>0</v>
      </c>
      <c r="CU38" s="17">
        <f t="shared" si="25"/>
        <v>1</v>
      </c>
      <c r="CV38" s="77">
        <f t="shared" si="26"/>
        <v>234200</v>
      </c>
      <c r="CW38" s="16">
        <f t="shared" si="27"/>
        <v>234200</v>
      </c>
    </row>
  </sheetData>
  <autoFilter ref="A2:CW38" xr:uid="{00000000-0009-0000-0000-000003000000}"/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CX153"/>
  <sheetViews>
    <sheetView topLeftCell="A2" zoomScaleNormal="100" workbookViewId="0">
      <pane xSplit="1" topLeftCell="CL1" activePane="topRight" state="frozen"/>
      <selection pane="topRight" activeCell="CW2" sqref="CW2"/>
    </sheetView>
  </sheetViews>
  <sheetFormatPr baseColWidth="10" defaultColWidth="11.453125" defaultRowHeight="15.5" x14ac:dyDescent="0.35"/>
  <cols>
    <col min="1" max="1" width="39.81640625" style="39" customWidth="1"/>
    <col min="2" max="2" width="11.453125" style="39" customWidth="1"/>
    <col min="3" max="3" width="12.54296875" style="39" customWidth="1"/>
    <col min="4" max="4" width="11.7265625" style="39" customWidth="1"/>
    <col min="5" max="5" width="11.453125" style="39" customWidth="1"/>
    <col min="6" max="6" width="12.7265625" style="39" customWidth="1"/>
    <col min="7" max="7" width="16" style="39" customWidth="1"/>
    <col min="8" max="8" width="16.54296875" style="39" customWidth="1"/>
    <col min="9" max="9" width="12.7265625" style="39" customWidth="1"/>
    <col min="10" max="10" width="16" style="39" customWidth="1"/>
    <col min="11" max="11" width="16.54296875" style="39" customWidth="1"/>
    <col min="12" max="12" width="12.7265625" style="39" customWidth="1"/>
    <col min="13" max="13" width="16" style="39" customWidth="1"/>
    <col min="14" max="14" width="16.54296875" style="39" customWidth="1"/>
    <col min="15" max="15" width="12.7265625" style="39" customWidth="1"/>
    <col min="16" max="16" width="16" style="39" customWidth="1"/>
    <col min="17" max="17" width="16.54296875" style="39" customWidth="1"/>
    <col min="18" max="18" width="12.7265625" style="39" customWidth="1"/>
    <col min="19" max="19" width="13.26953125" style="39" bestFit="1" customWidth="1"/>
    <col min="20" max="20" width="16.54296875" style="39" customWidth="1"/>
    <col min="21" max="21" width="12.7265625" style="39" customWidth="1"/>
    <col min="22" max="22" width="16" style="39" customWidth="1"/>
    <col min="23" max="23" width="16.54296875" style="39" customWidth="1"/>
    <col min="24" max="24" width="12.7265625" style="39" customWidth="1"/>
    <col min="25" max="25" width="16" style="23" customWidth="1"/>
    <col min="26" max="26" width="16.54296875" style="39" customWidth="1"/>
    <col min="27" max="27" width="12.7265625" style="39" customWidth="1"/>
    <col min="28" max="28" width="16" style="39" customWidth="1"/>
    <col min="29" max="29" width="16.54296875" style="39" customWidth="1"/>
    <col min="30" max="30" width="12.7265625" style="39" customWidth="1"/>
    <col min="31" max="31" width="16" style="39" customWidth="1"/>
    <col min="32" max="32" width="16.54296875" style="39" customWidth="1"/>
    <col min="33" max="33" width="12.7265625" style="39" customWidth="1"/>
    <col min="34" max="34" width="16" style="39" customWidth="1"/>
    <col min="35" max="35" width="16.54296875" style="39" customWidth="1"/>
    <col min="36" max="36" width="12.7265625" style="39" customWidth="1"/>
    <col min="37" max="37" width="16" style="39" customWidth="1"/>
    <col min="38" max="38" width="16.54296875" style="39" customWidth="1"/>
    <col min="39" max="39" width="12.7265625" style="39" customWidth="1"/>
    <col min="40" max="40" width="16" style="39" customWidth="1"/>
    <col min="41" max="41" width="16.54296875" style="39" customWidth="1"/>
    <col min="42" max="42" width="12.7265625" style="39" customWidth="1"/>
    <col min="43" max="43" width="13.26953125" style="39" bestFit="1" customWidth="1"/>
    <col min="44" max="44" width="16.54296875" style="39" customWidth="1"/>
    <col min="45" max="45" width="12.7265625" style="39" customWidth="1"/>
    <col min="46" max="46" width="16" style="39" customWidth="1"/>
    <col min="47" max="47" width="16.54296875" style="39" customWidth="1"/>
    <col min="48" max="48" width="12.7265625" style="39" customWidth="1"/>
    <col min="49" max="49" width="16" style="39" customWidth="1"/>
    <col min="50" max="50" width="16.54296875" style="39" customWidth="1"/>
    <col min="51" max="51" width="12.7265625" style="39" customWidth="1"/>
    <col min="52" max="52" width="16" style="39" customWidth="1"/>
    <col min="53" max="53" width="16.54296875" style="39" customWidth="1"/>
    <col min="54" max="54" width="12.7265625" style="39" customWidth="1"/>
    <col min="55" max="55" width="16" style="39" customWidth="1"/>
    <col min="56" max="56" width="16.54296875" style="39" customWidth="1"/>
    <col min="57" max="57" width="12.7265625" style="39" customWidth="1"/>
    <col min="58" max="58" width="16" style="39" customWidth="1"/>
    <col min="59" max="59" width="16.54296875" style="39" customWidth="1"/>
    <col min="60" max="60" width="12.7265625" style="39" customWidth="1"/>
    <col min="61" max="61" width="16" style="39" customWidth="1"/>
    <col min="62" max="62" width="16.54296875" style="39" customWidth="1"/>
    <col min="63" max="63" width="12.7265625" style="39" customWidth="1"/>
    <col min="64" max="64" width="16" style="39" customWidth="1"/>
    <col min="65" max="65" width="16.54296875" style="39" customWidth="1"/>
    <col min="66" max="66" width="12.7265625" style="39" customWidth="1"/>
    <col min="67" max="67" width="13.26953125" style="39" bestFit="1" customWidth="1"/>
    <col min="68" max="68" width="16.54296875" style="39" customWidth="1"/>
    <col min="69" max="69" width="12.7265625" style="39" customWidth="1"/>
    <col min="70" max="70" width="16" style="39" customWidth="1"/>
    <col min="71" max="71" width="16.54296875" style="39" customWidth="1"/>
    <col min="72" max="72" width="12.7265625" style="39" customWidth="1"/>
    <col min="73" max="73" width="16" style="39" customWidth="1"/>
    <col min="74" max="74" width="16.54296875" style="39" customWidth="1"/>
    <col min="75" max="75" width="12.7265625" style="39" customWidth="1"/>
    <col min="76" max="76" width="16" style="39" customWidth="1"/>
    <col min="77" max="77" width="16.54296875" style="39" customWidth="1"/>
    <col min="78" max="78" width="12.7265625" style="39" customWidth="1"/>
    <col min="79" max="79" width="16" style="39" customWidth="1"/>
    <col min="80" max="80" width="16.54296875" style="39" customWidth="1"/>
    <col min="81" max="81" width="12.7265625" style="39" customWidth="1"/>
    <col min="82" max="82" width="16" style="39" customWidth="1"/>
    <col min="83" max="83" width="16.54296875" style="39" customWidth="1"/>
    <col min="84" max="84" width="12.7265625" style="39" customWidth="1"/>
    <col min="85" max="85" width="16" style="39" customWidth="1"/>
    <col min="86" max="86" width="16.54296875" style="39" customWidth="1"/>
    <col min="87" max="87" width="12.7265625" style="39" customWidth="1"/>
    <col min="88" max="88" width="16" style="39" customWidth="1"/>
    <col min="89" max="89" width="16.54296875" style="39" customWidth="1"/>
    <col min="90" max="90" width="12.7265625" style="39" customWidth="1"/>
    <col min="91" max="91" width="16.54296875" style="39" bestFit="1" customWidth="1"/>
    <col min="92" max="92" width="16.54296875" style="39" customWidth="1"/>
    <col min="93" max="93" width="12.7265625" style="39" customWidth="1"/>
    <col min="94" max="94" width="16" style="39" customWidth="1"/>
    <col min="95" max="95" width="16.54296875" style="39" customWidth="1"/>
    <col min="96" max="96" width="12.7265625" style="39" customWidth="1"/>
    <col min="97" max="97" width="16" style="39" customWidth="1"/>
    <col min="98" max="98" width="16.54296875" style="39" customWidth="1"/>
    <col min="99" max="99" width="12.7265625" style="39" customWidth="1"/>
    <col min="100" max="100" width="16" style="39" customWidth="1"/>
    <col min="101" max="101" width="16.54296875" style="39" customWidth="1"/>
    <col min="102" max="103" width="15.54296875" style="39" customWidth="1"/>
    <col min="104" max="104" width="13.453125" style="39" customWidth="1"/>
    <col min="105" max="105" width="15.81640625" style="39" customWidth="1"/>
    <col min="106" max="106" width="20" style="39" customWidth="1"/>
    <col min="107" max="107" width="15.54296875" style="39" customWidth="1"/>
    <col min="108" max="117" width="11.453125" style="39" customWidth="1"/>
    <col min="118" max="16384" width="11.453125" style="39"/>
  </cols>
  <sheetData>
    <row r="1" spans="1:101" ht="18.75" customHeight="1" x14ac:dyDescent="0.35">
      <c r="A1" s="95" t="s">
        <v>15</v>
      </c>
      <c r="B1" s="80"/>
      <c r="C1" s="80"/>
      <c r="D1" s="80"/>
      <c r="E1" s="80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7" t="s">
        <v>828</v>
      </c>
      <c r="CV1" s="154"/>
      <c r="CW1" s="155"/>
    </row>
    <row r="2" spans="1:101" ht="16.5" customHeight="1" x14ac:dyDescent="0.35">
      <c r="A2" s="41" t="s">
        <v>829</v>
      </c>
      <c r="B2" s="48" t="s">
        <v>870</v>
      </c>
      <c r="C2" s="48" t="s">
        <v>4</v>
      </c>
      <c r="D2" s="49" t="s">
        <v>872</v>
      </c>
      <c r="E2" s="49" t="s">
        <v>832</v>
      </c>
      <c r="F2" s="46" t="s">
        <v>833</v>
      </c>
      <c r="G2" s="46" t="s">
        <v>834</v>
      </c>
      <c r="H2" s="46" t="s">
        <v>835</v>
      </c>
      <c r="I2" s="46" t="s">
        <v>833</v>
      </c>
      <c r="J2" s="46" t="s">
        <v>834</v>
      </c>
      <c r="K2" s="46" t="s">
        <v>835</v>
      </c>
      <c r="L2" s="46" t="s">
        <v>833</v>
      </c>
      <c r="M2" s="46" t="s">
        <v>834</v>
      </c>
      <c r="N2" s="46" t="s">
        <v>835</v>
      </c>
      <c r="O2" s="46" t="s">
        <v>833</v>
      </c>
      <c r="P2" s="46" t="s">
        <v>834</v>
      </c>
      <c r="Q2" s="46" t="s">
        <v>835</v>
      </c>
      <c r="R2" s="46" t="s">
        <v>833</v>
      </c>
      <c r="S2" s="46" t="s">
        <v>836</v>
      </c>
      <c r="T2" s="46" t="s">
        <v>835</v>
      </c>
      <c r="U2" s="46" t="s">
        <v>833</v>
      </c>
      <c r="V2" s="46" t="s">
        <v>834</v>
      </c>
      <c r="W2" s="46" t="s">
        <v>835</v>
      </c>
      <c r="X2" s="47" t="s">
        <v>833</v>
      </c>
      <c r="Y2" s="46" t="s">
        <v>834</v>
      </c>
      <c r="Z2" s="46" t="s">
        <v>835</v>
      </c>
      <c r="AA2" s="46" t="s">
        <v>833</v>
      </c>
      <c r="AB2" s="46" t="s">
        <v>834</v>
      </c>
      <c r="AC2" s="46" t="s">
        <v>835</v>
      </c>
      <c r="AD2" s="46" t="s">
        <v>833</v>
      </c>
      <c r="AE2" s="46" t="s">
        <v>834</v>
      </c>
      <c r="AF2" s="46" t="s">
        <v>835</v>
      </c>
      <c r="AG2" s="46" t="s">
        <v>833</v>
      </c>
      <c r="AH2" s="46" t="s">
        <v>834</v>
      </c>
      <c r="AI2" s="46" t="s">
        <v>835</v>
      </c>
      <c r="AJ2" s="46" t="s">
        <v>833</v>
      </c>
      <c r="AK2" s="46" t="s">
        <v>834</v>
      </c>
      <c r="AL2" s="46" t="s">
        <v>835</v>
      </c>
      <c r="AM2" s="46" t="s">
        <v>833</v>
      </c>
      <c r="AN2" s="46" t="s">
        <v>834</v>
      </c>
      <c r="AO2" s="46" t="s">
        <v>835</v>
      </c>
      <c r="AP2" s="46" t="s">
        <v>833</v>
      </c>
      <c r="AQ2" s="46" t="s">
        <v>836</v>
      </c>
      <c r="AR2" s="46" t="s">
        <v>835</v>
      </c>
      <c r="AS2" s="46" t="s">
        <v>833</v>
      </c>
      <c r="AT2" s="46" t="s">
        <v>834</v>
      </c>
      <c r="AU2" s="46" t="s">
        <v>835</v>
      </c>
      <c r="AV2" s="46" t="s">
        <v>833</v>
      </c>
      <c r="AW2" s="46" t="s">
        <v>834</v>
      </c>
      <c r="AX2" s="46" t="s">
        <v>835</v>
      </c>
      <c r="AY2" s="46" t="s">
        <v>833</v>
      </c>
      <c r="AZ2" s="46" t="s">
        <v>834</v>
      </c>
      <c r="BA2" s="46" t="s">
        <v>835</v>
      </c>
      <c r="BB2" s="46" t="s">
        <v>833</v>
      </c>
      <c r="BC2" s="46" t="s">
        <v>834</v>
      </c>
      <c r="BD2" s="46" t="s">
        <v>835</v>
      </c>
      <c r="BE2" s="46" t="s">
        <v>833</v>
      </c>
      <c r="BF2" s="46" t="s">
        <v>834</v>
      </c>
      <c r="BG2" s="46" t="s">
        <v>835</v>
      </c>
      <c r="BH2" s="46" t="s">
        <v>833</v>
      </c>
      <c r="BI2" s="46" t="s">
        <v>834</v>
      </c>
      <c r="BJ2" s="46" t="s">
        <v>835</v>
      </c>
      <c r="BK2" s="46" t="s">
        <v>833</v>
      </c>
      <c r="BL2" s="46" t="s">
        <v>834</v>
      </c>
      <c r="BM2" s="46" t="s">
        <v>835</v>
      </c>
      <c r="BN2" s="46" t="s">
        <v>833</v>
      </c>
      <c r="BO2" s="46" t="s">
        <v>836</v>
      </c>
      <c r="BP2" s="46" t="s">
        <v>835</v>
      </c>
      <c r="BQ2" s="46" t="s">
        <v>833</v>
      </c>
      <c r="BR2" s="46" t="s">
        <v>834</v>
      </c>
      <c r="BS2" s="46" t="s">
        <v>835</v>
      </c>
      <c r="BT2" s="46" t="s">
        <v>833</v>
      </c>
      <c r="BU2" s="46" t="s">
        <v>834</v>
      </c>
      <c r="BV2" s="46" t="s">
        <v>835</v>
      </c>
      <c r="BW2" s="46" t="s">
        <v>833</v>
      </c>
      <c r="BX2" s="46" t="s">
        <v>834</v>
      </c>
      <c r="BY2" s="46" t="s">
        <v>835</v>
      </c>
      <c r="BZ2" s="46" t="s">
        <v>833</v>
      </c>
      <c r="CA2" s="46" t="s">
        <v>834</v>
      </c>
      <c r="CB2" s="46" t="s">
        <v>835</v>
      </c>
      <c r="CC2" s="46" t="s">
        <v>833</v>
      </c>
      <c r="CD2" s="46" t="s">
        <v>834</v>
      </c>
      <c r="CE2" s="46" t="s">
        <v>835</v>
      </c>
      <c r="CF2" s="46" t="s">
        <v>833</v>
      </c>
      <c r="CG2" s="46" t="s">
        <v>834</v>
      </c>
      <c r="CH2" s="46" t="s">
        <v>835</v>
      </c>
      <c r="CI2" s="46" t="s">
        <v>833</v>
      </c>
      <c r="CJ2" s="46" t="s">
        <v>834</v>
      </c>
      <c r="CK2" s="46" t="s">
        <v>835</v>
      </c>
      <c r="CL2" s="46" t="s">
        <v>833</v>
      </c>
      <c r="CM2" s="46" t="s">
        <v>836</v>
      </c>
      <c r="CN2" s="46" t="s">
        <v>835</v>
      </c>
      <c r="CO2" s="46" t="s">
        <v>833</v>
      </c>
      <c r="CP2" s="46" t="s">
        <v>834</v>
      </c>
      <c r="CQ2" s="46" t="s">
        <v>835</v>
      </c>
      <c r="CR2" s="46" t="s">
        <v>833</v>
      </c>
      <c r="CS2" s="46" t="s">
        <v>834</v>
      </c>
      <c r="CT2" s="46" t="s">
        <v>835</v>
      </c>
      <c r="CU2" s="46" t="s">
        <v>833</v>
      </c>
      <c r="CV2" s="46" t="s">
        <v>834</v>
      </c>
      <c r="CW2" s="46" t="s">
        <v>835</v>
      </c>
    </row>
    <row r="3" spans="1:101" ht="15.75" customHeight="1" x14ac:dyDescent="0.35">
      <c r="A3" s="41" t="s">
        <v>120</v>
      </c>
      <c r="B3" s="41" t="s">
        <v>897</v>
      </c>
      <c r="C3" s="42"/>
      <c r="D3" s="43"/>
      <c r="E3" s="78">
        <f t="shared" ref="E3:E34" si="0">IFERROR(+C3*D3, 0)</f>
        <v>0</v>
      </c>
      <c r="F3" s="14"/>
      <c r="G3" s="15"/>
      <c r="H3" s="16">
        <f t="shared" ref="H3:H8" si="1">IFERROR(F3*G3, 0)</f>
        <v>0</v>
      </c>
      <c r="I3" s="14">
        <v>3</v>
      </c>
      <c r="J3" s="15">
        <v>6200</v>
      </c>
      <c r="K3" s="16">
        <v>18600</v>
      </c>
      <c r="L3" s="14"/>
      <c r="M3" s="15"/>
      <c r="N3" s="16">
        <f t="shared" ref="N3:N34" si="2">IFERROR(L3*M3, 0)</f>
        <v>0</v>
      </c>
      <c r="O3" s="14"/>
      <c r="P3" s="15"/>
      <c r="Q3" s="16">
        <f t="shared" ref="Q3:Q34" si="3">IFERROR(O3*P3, 0)</f>
        <v>0</v>
      </c>
      <c r="R3" s="14"/>
      <c r="S3" s="15"/>
      <c r="T3" s="16">
        <f t="shared" ref="T3:T34" si="4">IFERROR(R3*S3, 0)</f>
        <v>0</v>
      </c>
      <c r="U3" s="14"/>
      <c r="V3" s="15"/>
      <c r="W3" s="16">
        <f t="shared" ref="W3:W34" si="5">IFERROR(U3*V3, 0)</f>
        <v>0</v>
      </c>
      <c r="X3" s="14">
        <v>3</v>
      </c>
      <c r="Y3" s="15">
        <v>6200</v>
      </c>
      <c r="Z3" s="16">
        <v>18600</v>
      </c>
      <c r="AA3" s="14"/>
      <c r="AB3" s="15"/>
      <c r="AC3" s="16">
        <f t="shared" ref="AC3:AC35" si="6">IFERROR(AA3*AB3, 0)</f>
        <v>0</v>
      </c>
      <c r="AD3" s="14"/>
      <c r="AE3" s="15"/>
      <c r="AF3" s="16">
        <f t="shared" ref="AF3:AF34" si="7">IFERROR(AD3*AE3, 0)</f>
        <v>0</v>
      </c>
      <c r="AG3" s="14">
        <v>2</v>
      </c>
      <c r="AH3" s="15">
        <v>6200</v>
      </c>
      <c r="AI3" s="16">
        <v>12400</v>
      </c>
      <c r="AJ3" s="14"/>
      <c r="AK3" s="15"/>
      <c r="AL3" s="16">
        <f t="shared" ref="AL3:AL34" si="8">IFERROR(AJ3*AK3, 0)</f>
        <v>0</v>
      </c>
      <c r="AM3" s="14"/>
      <c r="AN3" s="15"/>
      <c r="AO3" s="16">
        <f t="shared" ref="AO3:AO34" si="9">IFERROR(AM3*AN3, 0)</f>
        <v>0</v>
      </c>
      <c r="AP3" s="14"/>
      <c r="AQ3" s="15"/>
      <c r="AR3" s="16">
        <f t="shared" ref="AR3:AR34" si="10">IFERROR(AP3*AQ3, 0)</f>
        <v>0</v>
      </c>
      <c r="AS3" s="14"/>
      <c r="AT3" s="15"/>
      <c r="AU3" s="16">
        <f t="shared" ref="AU3:AU41" si="11">IFERROR(AS3*AT3, 0)</f>
        <v>0</v>
      </c>
      <c r="AV3" s="14"/>
      <c r="AW3" s="15"/>
      <c r="AX3" s="16">
        <f t="shared" ref="AX3:AX34" si="12">IFERROR(AV3*AW3, 0)</f>
        <v>0</v>
      </c>
      <c r="AY3" s="14"/>
      <c r="AZ3" s="15"/>
      <c r="BA3" s="16">
        <f t="shared" ref="BA3:BA34" si="13">IFERROR(AY3*AZ3, 0)</f>
        <v>0</v>
      </c>
      <c r="BB3" s="14"/>
      <c r="BC3" s="15"/>
      <c r="BD3" s="16">
        <f t="shared" ref="BD3:BD34" si="14">IFERROR(BB3*BC3, 0)</f>
        <v>0</v>
      </c>
      <c r="BE3" s="14">
        <v>2</v>
      </c>
      <c r="BF3" s="15">
        <v>6200</v>
      </c>
      <c r="BG3" s="16">
        <v>12400</v>
      </c>
      <c r="BH3" s="14"/>
      <c r="BI3" s="15"/>
      <c r="BJ3" s="16">
        <f t="shared" ref="BJ3:BJ34" si="15">IFERROR(BH3*BI3, 0)</f>
        <v>0</v>
      </c>
      <c r="BK3" s="14"/>
      <c r="BL3" s="15"/>
      <c r="BM3" s="16">
        <f t="shared" ref="BM3:BM41" si="16">IFERROR(BK3*BL3, 0)</f>
        <v>0</v>
      </c>
      <c r="BN3" s="14"/>
      <c r="BO3" s="15"/>
      <c r="BP3" s="16">
        <f t="shared" ref="BP3:BP35" si="17">IFERROR(BN3*BO3, 0)</f>
        <v>0</v>
      </c>
      <c r="BQ3" s="14">
        <v>4</v>
      </c>
      <c r="BR3" s="15">
        <v>6200</v>
      </c>
      <c r="BS3" s="16">
        <v>24800</v>
      </c>
      <c r="BT3" s="14"/>
      <c r="BU3" s="15"/>
      <c r="BV3" s="16">
        <f t="shared" ref="BV3:BV34" si="18">IFERROR(BT3*BU3, 0)</f>
        <v>0</v>
      </c>
      <c r="BW3" s="14"/>
      <c r="BX3" s="15"/>
      <c r="BY3" s="16">
        <f t="shared" ref="BY3:BY18" si="19">IFERROR(BW3*BX3, 0)</f>
        <v>0</v>
      </c>
      <c r="BZ3" s="14"/>
      <c r="CA3" s="15"/>
      <c r="CB3" s="16">
        <f t="shared" ref="CB3:CB34" si="20">IFERROR(BZ3*CA3, 0)</f>
        <v>0</v>
      </c>
      <c r="CC3" s="14"/>
      <c r="CD3" s="15"/>
      <c r="CE3" s="16">
        <f t="shared" ref="CE3:CE34" si="21">IFERROR(CC3*CD3, 0)</f>
        <v>0</v>
      </c>
      <c r="CF3" s="14"/>
      <c r="CG3" s="15"/>
      <c r="CH3" s="16">
        <f t="shared" ref="CH3:CH34" si="22">IFERROR(CF3*CG3, 0)</f>
        <v>0</v>
      </c>
      <c r="CI3" s="14"/>
      <c r="CJ3" s="15"/>
      <c r="CK3" s="16">
        <f t="shared" ref="CK3:CK34" si="23">IFERROR(CI3*CJ3, 0)</f>
        <v>0</v>
      </c>
      <c r="CL3" s="14"/>
      <c r="CM3" s="15"/>
      <c r="CN3" s="16">
        <f t="shared" ref="CN3:CN34" si="24">IFERROR(CL3*CM3, 0)</f>
        <v>0</v>
      </c>
      <c r="CO3" s="14"/>
      <c r="CP3" s="15"/>
      <c r="CQ3" s="16">
        <f t="shared" ref="CQ3:CQ34" si="25">IFERROR(CO3*CP3, 0)</f>
        <v>0</v>
      </c>
      <c r="CR3" s="14"/>
      <c r="CS3" s="15"/>
      <c r="CT3" s="16">
        <f t="shared" ref="CT3:CT34" si="26">IFERROR(CR3*CS3, 0)</f>
        <v>0</v>
      </c>
      <c r="CU3" s="17">
        <f t="shared" ref="CU3:CU34" si="27">IFERROR(SUM(F3,I3,L3,O3,R3,U3,X3,AA3,AD3,AG3,AJ3,AM3,AP3,AS3,AV3,AY3,BB3,BE3,BH3,BK3,BN3,BQ3,BT3,BW3,BZ3,CC3,CF3,CI3,CL3,CO3,CR3), 0)</f>
        <v>14</v>
      </c>
      <c r="CV3" s="16">
        <f t="shared" ref="CV3:CV34" si="28">IFERROR(AVERAGE(G3,J3,M3,P3,S3,V3,Y3,AB3,AE3,AH3,AK3,AN3,AQ3,AT3,AW3,AZ3,BC3,BF3,BI3,BL3,BO3,BR3,BU3,BX3,CA3,CD3,CG3,CJ3,CM3,CP3,CS3), 0)</f>
        <v>6200</v>
      </c>
      <c r="CW3" s="16">
        <f t="shared" ref="CW3:CW34" si="29">CU3*CV3</f>
        <v>86800</v>
      </c>
    </row>
    <row r="4" spans="1:101" ht="15.75" customHeight="1" x14ac:dyDescent="0.35">
      <c r="A4" s="41" t="s">
        <v>975</v>
      </c>
      <c r="B4" s="41" t="s">
        <v>976</v>
      </c>
      <c r="C4" s="42"/>
      <c r="D4" s="43"/>
      <c r="E4" s="78">
        <f t="shared" si="0"/>
        <v>0</v>
      </c>
      <c r="F4" s="14"/>
      <c r="G4" s="15"/>
      <c r="H4" s="16">
        <f t="shared" si="1"/>
        <v>0</v>
      </c>
      <c r="I4" s="14"/>
      <c r="J4" s="15"/>
      <c r="K4" s="16">
        <f>IFERROR(I4*J4, 0)</f>
        <v>0</v>
      </c>
      <c r="L4" s="14"/>
      <c r="M4" s="15"/>
      <c r="N4" s="16">
        <f t="shared" si="2"/>
        <v>0</v>
      </c>
      <c r="O4" s="14"/>
      <c r="P4" s="15"/>
      <c r="Q4" s="16">
        <f t="shared" si="3"/>
        <v>0</v>
      </c>
      <c r="R4" s="14"/>
      <c r="S4" s="15"/>
      <c r="T4" s="16">
        <f t="shared" si="4"/>
        <v>0</v>
      </c>
      <c r="U4" s="14"/>
      <c r="V4" s="15"/>
      <c r="W4" s="16">
        <f t="shared" si="5"/>
        <v>0</v>
      </c>
      <c r="X4" s="14"/>
      <c r="Y4" s="15"/>
      <c r="Z4" s="16">
        <f>IFERROR(X4*Y4, 0)</f>
        <v>0</v>
      </c>
      <c r="AA4" s="14"/>
      <c r="AB4" s="15"/>
      <c r="AC4" s="16">
        <f t="shared" si="6"/>
        <v>0</v>
      </c>
      <c r="AD4" s="14"/>
      <c r="AE4" s="15"/>
      <c r="AF4" s="16">
        <f t="shared" si="7"/>
        <v>0</v>
      </c>
      <c r="AG4" s="14"/>
      <c r="AH4" s="15"/>
      <c r="AI4" s="16">
        <f>IFERROR(AG4*AH4, 0)</f>
        <v>0</v>
      </c>
      <c r="AJ4" s="14"/>
      <c r="AK4" s="15"/>
      <c r="AL4" s="16">
        <f t="shared" si="8"/>
        <v>0</v>
      </c>
      <c r="AM4" s="14"/>
      <c r="AN4" s="15"/>
      <c r="AO4" s="16">
        <f t="shared" si="9"/>
        <v>0</v>
      </c>
      <c r="AP4" s="14"/>
      <c r="AQ4" s="15"/>
      <c r="AR4" s="16">
        <f t="shared" si="10"/>
        <v>0</v>
      </c>
      <c r="AS4" s="14"/>
      <c r="AT4" s="15"/>
      <c r="AU4" s="16">
        <f t="shared" si="11"/>
        <v>0</v>
      </c>
      <c r="AV4" s="14"/>
      <c r="AW4" s="15"/>
      <c r="AX4" s="16">
        <f t="shared" si="12"/>
        <v>0</v>
      </c>
      <c r="AY4" s="14"/>
      <c r="AZ4" s="15"/>
      <c r="BA4" s="16">
        <f t="shared" si="13"/>
        <v>0</v>
      </c>
      <c r="BB4" s="14"/>
      <c r="BC4" s="15"/>
      <c r="BD4" s="16">
        <f t="shared" si="14"/>
        <v>0</v>
      </c>
      <c r="BE4" s="14"/>
      <c r="BF4" s="15"/>
      <c r="BG4" s="16">
        <f>IFERROR(BE4*BF4, 0)</f>
        <v>0</v>
      </c>
      <c r="BH4" s="14"/>
      <c r="BI4" s="15"/>
      <c r="BJ4" s="16">
        <f t="shared" si="15"/>
        <v>0</v>
      </c>
      <c r="BK4" s="14"/>
      <c r="BL4" s="15"/>
      <c r="BM4" s="16">
        <f t="shared" si="16"/>
        <v>0</v>
      </c>
      <c r="BN4" s="14"/>
      <c r="BO4" s="15"/>
      <c r="BP4" s="16">
        <f t="shared" si="17"/>
        <v>0</v>
      </c>
      <c r="BQ4" s="14"/>
      <c r="BR4" s="15"/>
      <c r="BS4" s="16">
        <f>IFERROR(BQ4*BR4, 0)</f>
        <v>0</v>
      </c>
      <c r="BT4" s="14"/>
      <c r="BU4" s="15"/>
      <c r="BV4" s="16">
        <f t="shared" si="18"/>
        <v>0</v>
      </c>
      <c r="BW4" s="14"/>
      <c r="BX4" s="15"/>
      <c r="BY4" s="16">
        <f t="shared" si="19"/>
        <v>0</v>
      </c>
      <c r="BZ4" s="14"/>
      <c r="CA4" s="15"/>
      <c r="CB4" s="16">
        <f t="shared" si="20"/>
        <v>0</v>
      </c>
      <c r="CC4" s="14"/>
      <c r="CD4" s="15"/>
      <c r="CE4" s="16">
        <f t="shared" si="21"/>
        <v>0</v>
      </c>
      <c r="CF4" s="14"/>
      <c r="CG4" s="15"/>
      <c r="CH4" s="16">
        <f t="shared" si="22"/>
        <v>0</v>
      </c>
      <c r="CI4" s="14"/>
      <c r="CJ4" s="15"/>
      <c r="CK4" s="16">
        <f t="shared" si="23"/>
        <v>0</v>
      </c>
      <c r="CL4" s="14"/>
      <c r="CM4" s="15"/>
      <c r="CN4" s="16">
        <f t="shared" si="24"/>
        <v>0</v>
      </c>
      <c r="CO4" s="14"/>
      <c r="CP4" s="15"/>
      <c r="CQ4" s="16">
        <f t="shared" si="25"/>
        <v>0</v>
      </c>
      <c r="CR4" s="14"/>
      <c r="CS4" s="15"/>
      <c r="CT4" s="16">
        <f t="shared" si="26"/>
        <v>0</v>
      </c>
      <c r="CU4" s="17">
        <f t="shared" si="27"/>
        <v>0</v>
      </c>
      <c r="CV4" s="16">
        <f t="shared" si="28"/>
        <v>0</v>
      </c>
      <c r="CW4" s="16">
        <f t="shared" si="29"/>
        <v>0</v>
      </c>
    </row>
    <row r="5" spans="1:101" ht="15.75" customHeight="1" x14ac:dyDescent="0.35">
      <c r="A5" s="41" t="s">
        <v>669</v>
      </c>
      <c r="B5" s="41" t="s">
        <v>977</v>
      </c>
      <c r="C5" s="42"/>
      <c r="D5" s="43"/>
      <c r="E5" s="78">
        <f t="shared" si="0"/>
        <v>0</v>
      </c>
      <c r="F5" s="14"/>
      <c r="G5" s="15"/>
      <c r="H5" s="16">
        <f t="shared" si="1"/>
        <v>0</v>
      </c>
      <c r="I5" s="14"/>
      <c r="J5" s="15"/>
      <c r="K5" s="16">
        <f>IFERROR(I5*J5, 0)</f>
        <v>0</v>
      </c>
      <c r="L5" s="14"/>
      <c r="M5" s="15"/>
      <c r="N5" s="16">
        <f t="shared" si="2"/>
        <v>0</v>
      </c>
      <c r="O5" s="14"/>
      <c r="P5" s="15"/>
      <c r="Q5" s="16">
        <f t="shared" si="3"/>
        <v>0</v>
      </c>
      <c r="R5" s="14"/>
      <c r="S5" s="15"/>
      <c r="T5" s="16">
        <f t="shared" si="4"/>
        <v>0</v>
      </c>
      <c r="U5" s="14"/>
      <c r="V5" s="15"/>
      <c r="W5" s="16">
        <f t="shared" si="5"/>
        <v>0</v>
      </c>
      <c r="X5" s="14"/>
      <c r="Y5" s="15"/>
      <c r="Z5" s="16">
        <f>IFERROR(X5*Y5, 0)</f>
        <v>0</v>
      </c>
      <c r="AA5" s="14"/>
      <c r="AB5" s="15"/>
      <c r="AC5" s="16">
        <f t="shared" si="6"/>
        <v>0</v>
      </c>
      <c r="AD5" s="14"/>
      <c r="AE5" s="15"/>
      <c r="AF5" s="16">
        <f t="shared" si="7"/>
        <v>0</v>
      </c>
      <c r="AG5" s="14"/>
      <c r="AH5" s="15"/>
      <c r="AI5" s="16">
        <f>IFERROR(AG5*AH5, 0)</f>
        <v>0</v>
      </c>
      <c r="AJ5" s="14"/>
      <c r="AK5" s="15"/>
      <c r="AL5" s="16">
        <f t="shared" si="8"/>
        <v>0</v>
      </c>
      <c r="AM5" s="14"/>
      <c r="AN5" s="15"/>
      <c r="AO5" s="16">
        <f t="shared" si="9"/>
        <v>0</v>
      </c>
      <c r="AP5" s="14"/>
      <c r="AQ5" s="15"/>
      <c r="AR5" s="16">
        <f t="shared" si="10"/>
        <v>0</v>
      </c>
      <c r="AS5" s="14"/>
      <c r="AT5" s="15"/>
      <c r="AU5" s="16">
        <f t="shared" si="11"/>
        <v>0</v>
      </c>
      <c r="AV5" s="14"/>
      <c r="AW5" s="15"/>
      <c r="AX5" s="16">
        <f t="shared" si="12"/>
        <v>0</v>
      </c>
      <c r="AY5" s="14"/>
      <c r="AZ5" s="15"/>
      <c r="BA5" s="16">
        <f t="shared" si="13"/>
        <v>0</v>
      </c>
      <c r="BB5" s="14"/>
      <c r="BC5" s="15"/>
      <c r="BD5" s="16">
        <f t="shared" si="14"/>
        <v>0</v>
      </c>
      <c r="BE5" s="14"/>
      <c r="BF5" s="15"/>
      <c r="BG5" s="16">
        <f>IFERROR(BE5*BF5, 0)</f>
        <v>0</v>
      </c>
      <c r="BH5" s="14"/>
      <c r="BI5" s="15"/>
      <c r="BJ5" s="16">
        <f t="shared" si="15"/>
        <v>0</v>
      </c>
      <c r="BK5" s="14"/>
      <c r="BL5" s="15"/>
      <c r="BM5" s="16">
        <f t="shared" si="16"/>
        <v>0</v>
      </c>
      <c r="BN5" s="14"/>
      <c r="BO5" s="15"/>
      <c r="BP5" s="16">
        <f t="shared" si="17"/>
        <v>0</v>
      </c>
      <c r="BQ5" s="14">
        <v>1</v>
      </c>
      <c r="BR5" s="15">
        <v>27450</v>
      </c>
      <c r="BS5" s="16">
        <v>27450</v>
      </c>
      <c r="BT5" s="14"/>
      <c r="BU5" s="15"/>
      <c r="BV5" s="16">
        <f t="shared" si="18"/>
        <v>0</v>
      </c>
      <c r="BW5" s="14"/>
      <c r="BX5" s="15"/>
      <c r="BY5" s="16">
        <f t="shared" si="19"/>
        <v>0</v>
      </c>
      <c r="BZ5" s="14"/>
      <c r="CA5" s="15"/>
      <c r="CB5" s="16">
        <f t="shared" si="20"/>
        <v>0</v>
      </c>
      <c r="CC5" s="14"/>
      <c r="CD5" s="15"/>
      <c r="CE5" s="16">
        <f t="shared" si="21"/>
        <v>0</v>
      </c>
      <c r="CF5" s="14"/>
      <c r="CG5" s="15"/>
      <c r="CH5" s="16">
        <f t="shared" si="22"/>
        <v>0</v>
      </c>
      <c r="CI5" s="14"/>
      <c r="CJ5" s="15"/>
      <c r="CK5" s="16">
        <f t="shared" si="23"/>
        <v>0</v>
      </c>
      <c r="CL5" s="14"/>
      <c r="CM5" s="15"/>
      <c r="CN5" s="16">
        <f t="shared" si="24"/>
        <v>0</v>
      </c>
      <c r="CO5" s="14"/>
      <c r="CP5" s="15"/>
      <c r="CQ5" s="16">
        <f t="shared" si="25"/>
        <v>0</v>
      </c>
      <c r="CR5" s="14"/>
      <c r="CS5" s="15"/>
      <c r="CT5" s="16">
        <f t="shared" si="26"/>
        <v>0</v>
      </c>
      <c r="CU5" s="17">
        <f t="shared" si="27"/>
        <v>1</v>
      </c>
      <c r="CV5" s="16">
        <f t="shared" si="28"/>
        <v>27450</v>
      </c>
      <c r="CW5" s="16">
        <f t="shared" si="29"/>
        <v>27450</v>
      </c>
    </row>
    <row r="6" spans="1:101" ht="15.75" customHeight="1" x14ac:dyDescent="0.35">
      <c r="A6" s="41" t="s">
        <v>978</v>
      </c>
      <c r="B6" s="41" t="s">
        <v>935</v>
      </c>
      <c r="C6" s="42"/>
      <c r="D6" s="43"/>
      <c r="E6" s="78">
        <f t="shared" si="0"/>
        <v>0</v>
      </c>
      <c r="F6" s="14"/>
      <c r="G6" s="15"/>
      <c r="H6" s="16">
        <f t="shared" si="1"/>
        <v>0</v>
      </c>
      <c r="I6" s="14"/>
      <c r="J6" s="15"/>
      <c r="K6" s="16">
        <f>IFERROR(I6*J6, 0)</f>
        <v>0</v>
      </c>
      <c r="L6" s="14"/>
      <c r="M6" s="15"/>
      <c r="N6" s="16">
        <f t="shared" si="2"/>
        <v>0</v>
      </c>
      <c r="O6" s="14"/>
      <c r="P6" s="15"/>
      <c r="Q6" s="16">
        <f t="shared" si="3"/>
        <v>0</v>
      </c>
      <c r="R6" s="14"/>
      <c r="S6" s="15"/>
      <c r="T6" s="16">
        <f t="shared" si="4"/>
        <v>0</v>
      </c>
      <c r="U6" s="14"/>
      <c r="V6" s="15"/>
      <c r="W6" s="16">
        <f t="shared" si="5"/>
        <v>0</v>
      </c>
      <c r="X6" s="14"/>
      <c r="Y6" s="15"/>
      <c r="Z6" s="16">
        <f>IFERROR(X6*Y6, 0)</f>
        <v>0</v>
      </c>
      <c r="AA6" s="14"/>
      <c r="AB6" s="15"/>
      <c r="AC6" s="16">
        <f t="shared" si="6"/>
        <v>0</v>
      </c>
      <c r="AD6" s="14"/>
      <c r="AE6" s="15"/>
      <c r="AF6" s="16">
        <f t="shared" si="7"/>
        <v>0</v>
      </c>
      <c r="AG6" s="14"/>
      <c r="AH6" s="15"/>
      <c r="AI6" s="16">
        <f>IFERROR(AG6*AH6, 0)</f>
        <v>0</v>
      </c>
      <c r="AJ6" s="14"/>
      <c r="AK6" s="15"/>
      <c r="AL6" s="16">
        <f t="shared" si="8"/>
        <v>0</v>
      </c>
      <c r="AM6" s="14"/>
      <c r="AN6" s="15"/>
      <c r="AO6" s="16">
        <f t="shared" si="9"/>
        <v>0</v>
      </c>
      <c r="AP6" s="14"/>
      <c r="AQ6" s="15"/>
      <c r="AR6" s="16">
        <f t="shared" si="10"/>
        <v>0</v>
      </c>
      <c r="AS6" s="14"/>
      <c r="AT6" s="15"/>
      <c r="AU6" s="16">
        <f t="shared" si="11"/>
        <v>0</v>
      </c>
      <c r="AV6" s="14"/>
      <c r="AW6" s="15"/>
      <c r="AX6" s="16">
        <f t="shared" si="12"/>
        <v>0</v>
      </c>
      <c r="AY6" s="14"/>
      <c r="AZ6" s="15"/>
      <c r="BA6" s="16">
        <f t="shared" si="13"/>
        <v>0</v>
      </c>
      <c r="BB6" s="14"/>
      <c r="BC6" s="15"/>
      <c r="BD6" s="16">
        <f t="shared" si="14"/>
        <v>0</v>
      </c>
      <c r="BE6" s="14"/>
      <c r="BF6" s="15"/>
      <c r="BG6" s="16">
        <f>IFERROR(BE6*BF6, 0)</f>
        <v>0</v>
      </c>
      <c r="BH6" s="14"/>
      <c r="BI6" s="15"/>
      <c r="BJ6" s="16">
        <f t="shared" si="15"/>
        <v>0</v>
      </c>
      <c r="BK6" s="14"/>
      <c r="BL6" s="15"/>
      <c r="BM6" s="16">
        <f t="shared" si="16"/>
        <v>0</v>
      </c>
      <c r="BN6" s="14"/>
      <c r="BO6" s="15"/>
      <c r="BP6" s="16">
        <f t="shared" si="17"/>
        <v>0</v>
      </c>
      <c r="BQ6" s="14"/>
      <c r="BR6" s="15"/>
      <c r="BS6" s="16">
        <f>IFERROR(BQ6*BR6, 0)</f>
        <v>0</v>
      </c>
      <c r="BT6" s="14"/>
      <c r="BU6" s="15"/>
      <c r="BV6" s="16">
        <f t="shared" si="18"/>
        <v>0</v>
      </c>
      <c r="BW6" s="14"/>
      <c r="BX6" s="15"/>
      <c r="BY6" s="16">
        <f t="shared" si="19"/>
        <v>0</v>
      </c>
      <c r="BZ6" s="14"/>
      <c r="CA6" s="15"/>
      <c r="CB6" s="16">
        <f t="shared" si="20"/>
        <v>0</v>
      </c>
      <c r="CC6" s="14"/>
      <c r="CD6" s="15"/>
      <c r="CE6" s="16">
        <f t="shared" si="21"/>
        <v>0</v>
      </c>
      <c r="CF6" s="14"/>
      <c r="CG6" s="15"/>
      <c r="CH6" s="16">
        <f t="shared" si="22"/>
        <v>0</v>
      </c>
      <c r="CI6" s="14"/>
      <c r="CJ6" s="15"/>
      <c r="CK6" s="16">
        <f t="shared" si="23"/>
        <v>0</v>
      </c>
      <c r="CL6" s="14"/>
      <c r="CM6" s="15"/>
      <c r="CN6" s="16">
        <f t="shared" si="24"/>
        <v>0</v>
      </c>
      <c r="CO6" s="14"/>
      <c r="CP6" s="15"/>
      <c r="CQ6" s="16">
        <f t="shared" si="25"/>
        <v>0</v>
      </c>
      <c r="CR6" s="14"/>
      <c r="CS6" s="15"/>
      <c r="CT6" s="16">
        <f t="shared" si="26"/>
        <v>0</v>
      </c>
      <c r="CU6" s="17">
        <f t="shared" si="27"/>
        <v>0</v>
      </c>
      <c r="CV6" s="16">
        <f t="shared" si="28"/>
        <v>0</v>
      </c>
      <c r="CW6" s="16">
        <f t="shared" si="29"/>
        <v>0</v>
      </c>
    </row>
    <row r="7" spans="1:101" ht="15.75" customHeight="1" x14ac:dyDescent="0.35">
      <c r="A7" s="41" t="s">
        <v>106</v>
      </c>
      <c r="B7" s="41" t="s">
        <v>977</v>
      </c>
      <c r="C7" s="42"/>
      <c r="D7" s="43"/>
      <c r="E7" s="78">
        <f t="shared" si="0"/>
        <v>0</v>
      </c>
      <c r="F7" s="14"/>
      <c r="G7" s="15"/>
      <c r="H7" s="16">
        <f t="shared" si="1"/>
        <v>0</v>
      </c>
      <c r="I7" s="14">
        <v>1</v>
      </c>
      <c r="J7" s="15">
        <v>15950</v>
      </c>
      <c r="K7" s="16">
        <v>15950</v>
      </c>
      <c r="L7" s="14"/>
      <c r="M7" s="15"/>
      <c r="N7" s="16">
        <f t="shared" si="2"/>
        <v>0</v>
      </c>
      <c r="O7" s="14"/>
      <c r="P7" s="15"/>
      <c r="Q7" s="16">
        <f t="shared" si="3"/>
        <v>0</v>
      </c>
      <c r="R7" s="14"/>
      <c r="S7" s="15"/>
      <c r="T7" s="16">
        <f t="shared" si="4"/>
        <v>0</v>
      </c>
      <c r="U7" s="14"/>
      <c r="V7" s="15"/>
      <c r="W7" s="16">
        <f t="shared" si="5"/>
        <v>0</v>
      </c>
      <c r="X7" s="14"/>
      <c r="Y7" s="15"/>
      <c r="Z7" s="16">
        <f>IFERROR(X7*Y7, 0)</f>
        <v>0</v>
      </c>
      <c r="AA7" s="14"/>
      <c r="AB7" s="15"/>
      <c r="AC7" s="16">
        <f t="shared" si="6"/>
        <v>0</v>
      </c>
      <c r="AD7" s="14"/>
      <c r="AE7" s="15"/>
      <c r="AF7" s="16">
        <f t="shared" si="7"/>
        <v>0</v>
      </c>
      <c r="AG7" s="14">
        <v>1</v>
      </c>
      <c r="AH7" s="15">
        <v>15950</v>
      </c>
      <c r="AI7" s="16">
        <v>15950</v>
      </c>
      <c r="AJ7" s="14"/>
      <c r="AK7" s="15"/>
      <c r="AL7" s="16">
        <f t="shared" si="8"/>
        <v>0</v>
      </c>
      <c r="AM7" s="14"/>
      <c r="AN7" s="15"/>
      <c r="AO7" s="16">
        <f t="shared" si="9"/>
        <v>0</v>
      </c>
      <c r="AP7" s="14"/>
      <c r="AQ7" s="15"/>
      <c r="AR7" s="16">
        <f t="shared" si="10"/>
        <v>0</v>
      </c>
      <c r="AS7" s="14"/>
      <c r="AT7" s="15"/>
      <c r="AU7" s="16">
        <f t="shared" si="11"/>
        <v>0</v>
      </c>
      <c r="AV7" s="14"/>
      <c r="AW7" s="15"/>
      <c r="AX7" s="16">
        <f t="shared" si="12"/>
        <v>0</v>
      </c>
      <c r="AY7" s="14"/>
      <c r="AZ7" s="15"/>
      <c r="BA7" s="16">
        <f t="shared" si="13"/>
        <v>0</v>
      </c>
      <c r="BB7" s="14"/>
      <c r="BC7" s="15"/>
      <c r="BD7" s="16">
        <f t="shared" si="14"/>
        <v>0</v>
      </c>
      <c r="BE7" s="14">
        <v>1</v>
      </c>
      <c r="BF7" s="15">
        <v>15950</v>
      </c>
      <c r="BG7" s="16">
        <v>15950</v>
      </c>
      <c r="BH7" s="14"/>
      <c r="BI7" s="15"/>
      <c r="BJ7" s="16">
        <f t="shared" si="15"/>
        <v>0</v>
      </c>
      <c r="BK7" s="14"/>
      <c r="BL7" s="15"/>
      <c r="BM7" s="16">
        <f t="shared" si="16"/>
        <v>0</v>
      </c>
      <c r="BN7" s="14"/>
      <c r="BO7" s="15"/>
      <c r="BP7" s="16">
        <f t="shared" si="17"/>
        <v>0</v>
      </c>
      <c r="BQ7" s="14"/>
      <c r="BR7" s="15"/>
      <c r="BS7" s="16">
        <f>IFERROR(BQ7*BR7, 0)</f>
        <v>0</v>
      </c>
      <c r="BT7" s="14"/>
      <c r="BU7" s="15"/>
      <c r="BV7" s="16">
        <f t="shared" si="18"/>
        <v>0</v>
      </c>
      <c r="BW7" s="14"/>
      <c r="BX7" s="15"/>
      <c r="BY7" s="16">
        <f t="shared" si="19"/>
        <v>0</v>
      </c>
      <c r="BZ7" s="14"/>
      <c r="CA7" s="15"/>
      <c r="CB7" s="16">
        <f t="shared" si="20"/>
        <v>0</v>
      </c>
      <c r="CC7" s="14"/>
      <c r="CD7" s="15"/>
      <c r="CE7" s="16">
        <f t="shared" si="21"/>
        <v>0</v>
      </c>
      <c r="CF7" s="14"/>
      <c r="CG7" s="15"/>
      <c r="CH7" s="16">
        <f t="shared" si="22"/>
        <v>0</v>
      </c>
      <c r="CI7" s="14"/>
      <c r="CJ7" s="15"/>
      <c r="CK7" s="16">
        <f t="shared" si="23"/>
        <v>0</v>
      </c>
      <c r="CL7" s="14"/>
      <c r="CM7" s="15"/>
      <c r="CN7" s="16">
        <f t="shared" si="24"/>
        <v>0</v>
      </c>
      <c r="CO7" s="14"/>
      <c r="CP7" s="15"/>
      <c r="CQ7" s="16">
        <f t="shared" si="25"/>
        <v>0</v>
      </c>
      <c r="CR7" s="14"/>
      <c r="CS7" s="15"/>
      <c r="CT7" s="16">
        <f t="shared" si="26"/>
        <v>0</v>
      </c>
      <c r="CU7" s="17">
        <f t="shared" si="27"/>
        <v>3</v>
      </c>
      <c r="CV7" s="16">
        <f t="shared" si="28"/>
        <v>15950</v>
      </c>
      <c r="CW7" s="16">
        <f t="shared" si="29"/>
        <v>47850</v>
      </c>
    </row>
    <row r="8" spans="1:101" ht="15.75" customHeight="1" x14ac:dyDescent="0.35">
      <c r="A8" s="41" t="s">
        <v>321</v>
      </c>
      <c r="B8" s="41" t="s">
        <v>940</v>
      </c>
      <c r="C8" s="42"/>
      <c r="D8" s="43"/>
      <c r="E8" s="78">
        <f t="shared" si="0"/>
        <v>0</v>
      </c>
      <c r="F8" s="14"/>
      <c r="G8" s="15"/>
      <c r="H8" s="16">
        <f t="shared" si="1"/>
        <v>0</v>
      </c>
      <c r="I8" s="14"/>
      <c r="J8" s="15"/>
      <c r="K8" s="16">
        <f>IFERROR(I8*J8, 0)</f>
        <v>0</v>
      </c>
      <c r="L8" s="14"/>
      <c r="M8" s="15"/>
      <c r="N8" s="16">
        <f t="shared" si="2"/>
        <v>0</v>
      </c>
      <c r="O8" s="14"/>
      <c r="P8" s="15"/>
      <c r="Q8" s="16">
        <f t="shared" si="3"/>
        <v>0</v>
      </c>
      <c r="R8" s="14"/>
      <c r="S8" s="15"/>
      <c r="T8" s="16">
        <f t="shared" si="4"/>
        <v>0</v>
      </c>
      <c r="U8" s="14"/>
      <c r="V8" s="15"/>
      <c r="W8" s="16">
        <f t="shared" si="5"/>
        <v>0</v>
      </c>
      <c r="X8" s="14">
        <v>1</v>
      </c>
      <c r="Y8" s="15">
        <v>2500</v>
      </c>
      <c r="Z8" s="16">
        <v>2500</v>
      </c>
      <c r="AA8" s="14"/>
      <c r="AB8" s="15"/>
      <c r="AC8" s="16">
        <f t="shared" si="6"/>
        <v>0</v>
      </c>
      <c r="AD8" s="14"/>
      <c r="AE8" s="15"/>
      <c r="AF8" s="16">
        <f t="shared" si="7"/>
        <v>0</v>
      </c>
      <c r="AG8" s="14"/>
      <c r="AH8" s="15"/>
      <c r="AI8" s="16">
        <f>IFERROR(AG8*AH8, 0)</f>
        <v>0</v>
      </c>
      <c r="AJ8" s="14"/>
      <c r="AK8" s="15"/>
      <c r="AL8" s="16">
        <f t="shared" si="8"/>
        <v>0</v>
      </c>
      <c r="AM8" s="14"/>
      <c r="AN8" s="15"/>
      <c r="AO8" s="16">
        <f t="shared" si="9"/>
        <v>0</v>
      </c>
      <c r="AP8" s="14"/>
      <c r="AQ8" s="15"/>
      <c r="AR8" s="16">
        <f t="shared" si="10"/>
        <v>0</v>
      </c>
      <c r="AS8" s="14"/>
      <c r="AT8" s="15"/>
      <c r="AU8" s="16">
        <f t="shared" si="11"/>
        <v>0</v>
      </c>
      <c r="AV8" s="14"/>
      <c r="AW8" s="15"/>
      <c r="AX8" s="16">
        <f t="shared" si="12"/>
        <v>0</v>
      </c>
      <c r="AY8" s="14"/>
      <c r="AZ8" s="15"/>
      <c r="BA8" s="16">
        <f t="shared" si="13"/>
        <v>0</v>
      </c>
      <c r="BB8" s="14"/>
      <c r="BC8" s="15"/>
      <c r="BD8" s="16">
        <f t="shared" si="14"/>
        <v>0</v>
      </c>
      <c r="BE8" s="14"/>
      <c r="BF8" s="15"/>
      <c r="BG8" s="16">
        <f>IFERROR(BE8*BF8, 0)</f>
        <v>0</v>
      </c>
      <c r="BH8" s="14"/>
      <c r="BI8" s="15"/>
      <c r="BJ8" s="16">
        <f t="shared" si="15"/>
        <v>0</v>
      </c>
      <c r="BK8" s="14"/>
      <c r="BL8" s="15"/>
      <c r="BM8" s="16">
        <f t="shared" si="16"/>
        <v>0</v>
      </c>
      <c r="BN8" s="14"/>
      <c r="BO8" s="15"/>
      <c r="BP8" s="16">
        <f t="shared" si="17"/>
        <v>0</v>
      </c>
      <c r="BQ8" s="14"/>
      <c r="BR8" s="15"/>
      <c r="BS8" s="16">
        <f>IFERROR(BQ8*BR8, 0)</f>
        <v>0</v>
      </c>
      <c r="BT8" s="14"/>
      <c r="BU8" s="15"/>
      <c r="BV8" s="16">
        <f t="shared" si="18"/>
        <v>0</v>
      </c>
      <c r="BW8" s="14"/>
      <c r="BX8" s="15"/>
      <c r="BY8" s="16">
        <f t="shared" si="19"/>
        <v>0</v>
      </c>
      <c r="BZ8" s="14"/>
      <c r="CA8" s="15"/>
      <c r="CB8" s="16">
        <f t="shared" si="20"/>
        <v>0</v>
      </c>
      <c r="CC8" s="14"/>
      <c r="CD8" s="15"/>
      <c r="CE8" s="16">
        <f t="shared" si="21"/>
        <v>0</v>
      </c>
      <c r="CF8" s="14"/>
      <c r="CG8" s="15"/>
      <c r="CH8" s="16">
        <f t="shared" si="22"/>
        <v>0</v>
      </c>
      <c r="CI8" s="14"/>
      <c r="CJ8" s="15"/>
      <c r="CK8" s="16">
        <f t="shared" si="23"/>
        <v>0</v>
      </c>
      <c r="CL8" s="14"/>
      <c r="CM8" s="15"/>
      <c r="CN8" s="16">
        <f t="shared" si="24"/>
        <v>0</v>
      </c>
      <c r="CO8" s="14"/>
      <c r="CP8" s="15"/>
      <c r="CQ8" s="16">
        <f t="shared" si="25"/>
        <v>0</v>
      </c>
      <c r="CR8" s="14"/>
      <c r="CS8" s="15"/>
      <c r="CT8" s="16">
        <f t="shared" si="26"/>
        <v>0</v>
      </c>
      <c r="CU8" s="17">
        <f t="shared" si="27"/>
        <v>1</v>
      </c>
      <c r="CV8" s="16">
        <f t="shared" si="28"/>
        <v>2500</v>
      </c>
      <c r="CW8" s="16">
        <f t="shared" si="29"/>
        <v>2500</v>
      </c>
    </row>
    <row r="9" spans="1:101" ht="15.75" customHeight="1" x14ac:dyDescent="0.35">
      <c r="A9" s="41" t="s">
        <v>45</v>
      </c>
      <c r="B9" s="41" t="s">
        <v>935</v>
      </c>
      <c r="C9" s="42"/>
      <c r="D9" s="43"/>
      <c r="E9" s="78">
        <f t="shared" si="0"/>
        <v>0</v>
      </c>
      <c r="F9" s="14">
        <v>1</v>
      </c>
      <c r="G9" s="15">
        <v>8400</v>
      </c>
      <c r="H9" s="16">
        <v>8400</v>
      </c>
      <c r="I9" s="14">
        <v>2</v>
      </c>
      <c r="J9" s="15">
        <v>8400</v>
      </c>
      <c r="K9" s="16">
        <v>16800</v>
      </c>
      <c r="L9" s="14"/>
      <c r="M9" s="15"/>
      <c r="N9" s="16">
        <f t="shared" si="2"/>
        <v>0</v>
      </c>
      <c r="O9" s="14"/>
      <c r="P9" s="15"/>
      <c r="Q9" s="16">
        <f t="shared" si="3"/>
        <v>0</v>
      </c>
      <c r="R9" s="14"/>
      <c r="S9" s="15"/>
      <c r="T9" s="16">
        <f t="shared" si="4"/>
        <v>0</v>
      </c>
      <c r="U9" s="14"/>
      <c r="V9" s="15"/>
      <c r="W9" s="16">
        <f t="shared" si="5"/>
        <v>0</v>
      </c>
      <c r="X9" s="14">
        <v>2</v>
      </c>
      <c r="Y9" s="15">
        <v>8400</v>
      </c>
      <c r="Z9" s="16">
        <v>16800</v>
      </c>
      <c r="AA9" s="14"/>
      <c r="AB9" s="15"/>
      <c r="AC9" s="16">
        <f t="shared" si="6"/>
        <v>0</v>
      </c>
      <c r="AD9" s="14"/>
      <c r="AE9" s="15"/>
      <c r="AF9" s="16">
        <f t="shared" si="7"/>
        <v>0</v>
      </c>
      <c r="AG9" s="14"/>
      <c r="AH9" s="15"/>
      <c r="AI9" s="16">
        <f>IFERROR(AG9*AH9, 0)</f>
        <v>0</v>
      </c>
      <c r="AJ9" s="14"/>
      <c r="AK9" s="15"/>
      <c r="AL9" s="16">
        <f t="shared" si="8"/>
        <v>0</v>
      </c>
      <c r="AM9" s="14"/>
      <c r="AN9" s="15"/>
      <c r="AO9" s="16">
        <f t="shared" si="9"/>
        <v>0</v>
      </c>
      <c r="AP9" s="14"/>
      <c r="AQ9" s="15"/>
      <c r="AR9" s="16">
        <f t="shared" si="10"/>
        <v>0</v>
      </c>
      <c r="AS9" s="14"/>
      <c r="AT9" s="15"/>
      <c r="AU9" s="16">
        <f t="shared" si="11"/>
        <v>0</v>
      </c>
      <c r="AV9" s="14"/>
      <c r="AW9" s="15"/>
      <c r="AX9" s="16">
        <f t="shared" si="12"/>
        <v>0</v>
      </c>
      <c r="AY9" s="14"/>
      <c r="AZ9" s="15"/>
      <c r="BA9" s="16">
        <f t="shared" si="13"/>
        <v>0</v>
      </c>
      <c r="BB9" s="14"/>
      <c r="BC9" s="15"/>
      <c r="BD9" s="16">
        <f t="shared" si="14"/>
        <v>0</v>
      </c>
      <c r="BE9" s="14">
        <v>2</v>
      </c>
      <c r="BF9" s="15">
        <v>8400</v>
      </c>
      <c r="BG9" s="16">
        <v>16800</v>
      </c>
      <c r="BH9" s="14"/>
      <c r="BI9" s="15"/>
      <c r="BJ9" s="16">
        <f t="shared" si="15"/>
        <v>0</v>
      </c>
      <c r="BK9" s="14"/>
      <c r="BL9" s="15"/>
      <c r="BM9" s="16">
        <f t="shared" si="16"/>
        <v>0</v>
      </c>
      <c r="BN9" s="14"/>
      <c r="BO9" s="15"/>
      <c r="BP9" s="16">
        <f t="shared" si="17"/>
        <v>0</v>
      </c>
      <c r="BQ9" s="14">
        <v>2</v>
      </c>
      <c r="BR9" s="15">
        <v>8400</v>
      </c>
      <c r="BS9" s="16">
        <v>16800</v>
      </c>
      <c r="BT9" s="14"/>
      <c r="BU9" s="15"/>
      <c r="BV9" s="16">
        <f t="shared" si="18"/>
        <v>0</v>
      </c>
      <c r="BW9" s="14"/>
      <c r="BX9" s="15"/>
      <c r="BY9" s="16">
        <f t="shared" si="19"/>
        <v>0</v>
      </c>
      <c r="BZ9" s="14"/>
      <c r="CA9" s="15"/>
      <c r="CB9" s="16">
        <f t="shared" si="20"/>
        <v>0</v>
      </c>
      <c r="CC9" s="14"/>
      <c r="CD9" s="15"/>
      <c r="CE9" s="16">
        <f t="shared" si="21"/>
        <v>0</v>
      </c>
      <c r="CF9" s="14"/>
      <c r="CG9" s="15"/>
      <c r="CH9" s="16">
        <f t="shared" si="22"/>
        <v>0</v>
      </c>
      <c r="CI9" s="14"/>
      <c r="CJ9" s="15"/>
      <c r="CK9" s="16">
        <f t="shared" si="23"/>
        <v>0</v>
      </c>
      <c r="CL9" s="14"/>
      <c r="CM9" s="15"/>
      <c r="CN9" s="16">
        <f t="shared" si="24"/>
        <v>0</v>
      </c>
      <c r="CO9" s="14"/>
      <c r="CP9" s="15"/>
      <c r="CQ9" s="16">
        <f t="shared" si="25"/>
        <v>0</v>
      </c>
      <c r="CR9" s="14"/>
      <c r="CS9" s="15"/>
      <c r="CT9" s="16">
        <f t="shared" si="26"/>
        <v>0</v>
      </c>
      <c r="CU9" s="17">
        <f t="shared" si="27"/>
        <v>9</v>
      </c>
      <c r="CV9" s="16">
        <f t="shared" si="28"/>
        <v>8400</v>
      </c>
      <c r="CW9" s="16">
        <f t="shared" si="29"/>
        <v>75600</v>
      </c>
    </row>
    <row r="10" spans="1:101" ht="15.75" customHeight="1" x14ac:dyDescent="0.35">
      <c r="A10" s="41" t="s">
        <v>104</v>
      </c>
      <c r="B10" s="41" t="s">
        <v>935</v>
      </c>
      <c r="C10" s="42"/>
      <c r="D10" s="43"/>
      <c r="E10" s="78">
        <f t="shared" si="0"/>
        <v>0</v>
      </c>
      <c r="F10" s="14"/>
      <c r="G10" s="15"/>
      <c r="H10" s="16">
        <f>IFERROR(F10*G10, 0)</f>
        <v>0</v>
      </c>
      <c r="I10" s="14">
        <v>5</v>
      </c>
      <c r="J10" s="15">
        <v>6650</v>
      </c>
      <c r="K10" s="16">
        <v>33250</v>
      </c>
      <c r="L10" s="14"/>
      <c r="M10" s="15"/>
      <c r="N10" s="16">
        <f t="shared" si="2"/>
        <v>0</v>
      </c>
      <c r="O10" s="14"/>
      <c r="P10" s="15"/>
      <c r="Q10" s="16">
        <f t="shared" si="3"/>
        <v>0</v>
      </c>
      <c r="R10" s="14"/>
      <c r="S10" s="15"/>
      <c r="T10" s="16">
        <f t="shared" si="4"/>
        <v>0</v>
      </c>
      <c r="U10" s="14"/>
      <c r="V10" s="15"/>
      <c r="W10" s="16">
        <f t="shared" si="5"/>
        <v>0</v>
      </c>
      <c r="X10" s="14">
        <v>5</v>
      </c>
      <c r="Y10" s="15">
        <v>6650</v>
      </c>
      <c r="Z10" s="16">
        <v>33250</v>
      </c>
      <c r="AA10" s="14"/>
      <c r="AB10" s="15"/>
      <c r="AC10" s="16">
        <f t="shared" si="6"/>
        <v>0</v>
      </c>
      <c r="AD10" s="14"/>
      <c r="AE10" s="15"/>
      <c r="AF10" s="16">
        <f t="shared" si="7"/>
        <v>0</v>
      </c>
      <c r="AG10" s="14"/>
      <c r="AH10" s="15"/>
      <c r="AI10" s="16">
        <f>IFERROR(AG10*AH10, 0)</f>
        <v>0</v>
      </c>
      <c r="AJ10" s="14"/>
      <c r="AK10" s="15"/>
      <c r="AL10" s="16">
        <f t="shared" si="8"/>
        <v>0</v>
      </c>
      <c r="AM10" s="14"/>
      <c r="AN10" s="15"/>
      <c r="AO10" s="16">
        <f t="shared" si="9"/>
        <v>0</v>
      </c>
      <c r="AP10" s="14"/>
      <c r="AQ10" s="15"/>
      <c r="AR10" s="16">
        <f t="shared" si="10"/>
        <v>0</v>
      </c>
      <c r="AS10" s="14"/>
      <c r="AT10" s="15"/>
      <c r="AU10" s="16">
        <f t="shared" si="11"/>
        <v>0</v>
      </c>
      <c r="AV10" s="14"/>
      <c r="AW10" s="15"/>
      <c r="AX10" s="16">
        <f t="shared" si="12"/>
        <v>0</v>
      </c>
      <c r="AY10" s="14"/>
      <c r="AZ10" s="15"/>
      <c r="BA10" s="16">
        <f t="shared" si="13"/>
        <v>0</v>
      </c>
      <c r="BB10" s="14"/>
      <c r="BC10" s="15"/>
      <c r="BD10" s="16">
        <f t="shared" si="14"/>
        <v>0</v>
      </c>
      <c r="BE10" s="14"/>
      <c r="BF10" s="15"/>
      <c r="BG10" s="16">
        <f>IFERROR(BE10*BF10, 0)</f>
        <v>0</v>
      </c>
      <c r="BH10" s="14"/>
      <c r="BI10" s="15"/>
      <c r="BJ10" s="16">
        <f t="shared" si="15"/>
        <v>0</v>
      </c>
      <c r="BK10" s="14"/>
      <c r="BL10" s="15"/>
      <c r="BM10" s="16">
        <f t="shared" si="16"/>
        <v>0</v>
      </c>
      <c r="BN10" s="14"/>
      <c r="BO10" s="15"/>
      <c r="BP10" s="16">
        <f t="shared" si="17"/>
        <v>0</v>
      </c>
      <c r="BQ10" s="14">
        <v>5</v>
      </c>
      <c r="BR10" s="15">
        <v>6650</v>
      </c>
      <c r="BS10" s="16">
        <v>33250</v>
      </c>
      <c r="BT10" s="14"/>
      <c r="BU10" s="15"/>
      <c r="BV10" s="16">
        <f t="shared" si="18"/>
        <v>0</v>
      </c>
      <c r="BW10" s="14"/>
      <c r="BX10" s="15"/>
      <c r="BY10" s="16">
        <f t="shared" si="19"/>
        <v>0</v>
      </c>
      <c r="BZ10" s="14"/>
      <c r="CA10" s="15"/>
      <c r="CB10" s="16">
        <f t="shared" si="20"/>
        <v>0</v>
      </c>
      <c r="CC10" s="14"/>
      <c r="CD10" s="15"/>
      <c r="CE10" s="16">
        <f t="shared" si="21"/>
        <v>0</v>
      </c>
      <c r="CF10" s="14"/>
      <c r="CG10" s="15"/>
      <c r="CH10" s="16">
        <f t="shared" si="22"/>
        <v>0</v>
      </c>
      <c r="CI10" s="14"/>
      <c r="CJ10" s="15"/>
      <c r="CK10" s="16">
        <f t="shared" si="23"/>
        <v>0</v>
      </c>
      <c r="CL10" s="14"/>
      <c r="CM10" s="15"/>
      <c r="CN10" s="16">
        <f t="shared" si="24"/>
        <v>0</v>
      </c>
      <c r="CO10" s="14"/>
      <c r="CP10" s="15"/>
      <c r="CQ10" s="16">
        <f t="shared" si="25"/>
        <v>0</v>
      </c>
      <c r="CR10" s="14"/>
      <c r="CS10" s="15"/>
      <c r="CT10" s="16">
        <f t="shared" si="26"/>
        <v>0</v>
      </c>
      <c r="CU10" s="17">
        <f t="shared" si="27"/>
        <v>15</v>
      </c>
      <c r="CV10" s="16">
        <f t="shared" si="28"/>
        <v>6650</v>
      </c>
      <c r="CW10" s="16">
        <f t="shared" si="29"/>
        <v>99750</v>
      </c>
    </row>
    <row r="11" spans="1:101" ht="15.75" customHeight="1" x14ac:dyDescent="0.35">
      <c r="A11" s="41" t="s">
        <v>418</v>
      </c>
      <c r="B11" s="41" t="s">
        <v>935</v>
      </c>
      <c r="C11" s="42"/>
      <c r="D11" s="43"/>
      <c r="E11" s="78">
        <f t="shared" si="0"/>
        <v>0</v>
      </c>
      <c r="F11" s="14"/>
      <c r="G11" s="15"/>
      <c r="H11" s="16">
        <f>IFERROR(F11*G11, 0)</f>
        <v>0</v>
      </c>
      <c r="I11" s="14"/>
      <c r="J11" s="15"/>
      <c r="K11" s="16">
        <f t="shared" ref="K11:K16" si="30">IFERROR(I11*J11, 0)</f>
        <v>0</v>
      </c>
      <c r="L11" s="14"/>
      <c r="M11" s="15"/>
      <c r="N11" s="16">
        <f t="shared" si="2"/>
        <v>0</v>
      </c>
      <c r="O11" s="14"/>
      <c r="P11" s="15"/>
      <c r="Q11" s="16">
        <f t="shared" si="3"/>
        <v>0</v>
      </c>
      <c r="R11" s="14"/>
      <c r="S11" s="15"/>
      <c r="T11" s="16">
        <f t="shared" si="4"/>
        <v>0</v>
      </c>
      <c r="U11" s="14"/>
      <c r="V11" s="15"/>
      <c r="W11" s="16">
        <f t="shared" si="5"/>
        <v>0</v>
      </c>
      <c r="X11" s="14"/>
      <c r="Y11" s="15"/>
      <c r="Z11" s="16">
        <f>IFERROR(X11*Y11, 0)</f>
        <v>0</v>
      </c>
      <c r="AA11" s="14"/>
      <c r="AB11" s="15"/>
      <c r="AC11" s="16">
        <f t="shared" si="6"/>
        <v>0</v>
      </c>
      <c r="AD11" s="14"/>
      <c r="AE11" s="15"/>
      <c r="AF11" s="16">
        <f t="shared" si="7"/>
        <v>0</v>
      </c>
      <c r="AG11" s="14">
        <v>80</v>
      </c>
      <c r="AH11" s="15">
        <v>1400</v>
      </c>
      <c r="AI11" s="16">
        <v>112000</v>
      </c>
      <c r="AJ11" s="14"/>
      <c r="AK11" s="15"/>
      <c r="AL11" s="16">
        <f t="shared" si="8"/>
        <v>0</v>
      </c>
      <c r="AM11" s="14"/>
      <c r="AN11" s="15"/>
      <c r="AO11" s="16">
        <f t="shared" si="9"/>
        <v>0</v>
      </c>
      <c r="AP11" s="14"/>
      <c r="AQ11" s="15"/>
      <c r="AR11" s="16">
        <f t="shared" si="10"/>
        <v>0</v>
      </c>
      <c r="AS11" s="14"/>
      <c r="AT11" s="15"/>
      <c r="AU11" s="16">
        <f t="shared" si="11"/>
        <v>0</v>
      </c>
      <c r="AV11" s="14"/>
      <c r="AW11" s="15"/>
      <c r="AX11" s="16">
        <f t="shared" si="12"/>
        <v>0</v>
      </c>
      <c r="AY11" s="14"/>
      <c r="AZ11" s="15"/>
      <c r="BA11" s="16">
        <f t="shared" si="13"/>
        <v>0</v>
      </c>
      <c r="BB11" s="14"/>
      <c r="BC11" s="15"/>
      <c r="BD11" s="16">
        <f t="shared" si="14"/>
        <v>0</v>
      </c>
      <c r="BE11" s="14"/>
      <c r="BF11" s="15"/>
      <c r="BG11" s="16">
        <f>IFERROR(BE11*BF11, 0)</f>
        <v>0</v>
      </c>
      <c r="BH11" s="14"/>
      <c r="BI11" s="15"/>
      <c r="BJ11" s="16">
        <f t="shared" si="15"/>
        <v>0</v>
      </c>
      <c r="BK11" s="14"/>
      <c r="BL11" s="15"/>
      <c r="BM11" s="16">
        <f t="shared" si="16"/>
        <v>0</v>
      </c>
      <c r="BN11" s="14"/>
      <c r="BO11" s="15"/>
      <c r="BP11" s="16">
        <f t="shared" si="17"/>
        <v>0</v>
      </c>
      <c r="BQ11" s="14"/>
      <c r="BR11" s="15"/>
      <c r="BS11" s="16">
        <f>IFERROR(BQ11*BR11, 0)</f>
        <v>0</v>
      </c>
      <c r="BT11" s="14"/>
      <c r="BU11" s="15"/>
      <c r="BV11" s="16">
        <f t="shared" si="18"/>
        <v>0</v>
      </c>
      <c r="BW11" s="14"/>
      <c r="BX11" s="15"/>
      <c r="BY11" s="16">
        <f t="shared" si="19"/>
        <v>0</v>
      </c>
      <c r="BZ11" s="14"/>
      <c r="CA11" s="15"/>
      <c r="CB11" s="16">
        <f t="shared" si="20"/>
        <v>0</v>
      </c>
      <c r="CC11" s="14"/>
      <c r="CD11" s="15"/>
      <c r="CE11" s="16">
        <f t="shared" si="21"/>
        <v>0</v>
      </c>
      <c r="CF11" s="14"/>
      <c r="CG11" s="15"/>
      <c r="CH11" s="16">
        <f t="shared" si="22"/>
        <v>0</v>
      </c>
      <c r="CI11" s="14"/>
      <c r="CJ11" s="15"/>
      <c r="CK11" s="16">
        <f t="shared" si="23"/>
        <v>0</v>
      </c>
      <c r="CL11" s="14"/>
      <c r="CM11" s="15"/>
      <c r="CN11" s="16">
        <f t="shared" si="24"/>
        <v>0</v>
      </c>
      <c r="CO11" s="14"/>
      <c r="CP11" s="15"/>
      <c r="CQ11" s="16">
        <f t="shared" si="25"/>
        <v>0</v>
      </c>
      <c r="CR11" s="14"/>
      <c r="CS11" s="15"/>
      <c r="CT11" s="16">
        <f t="shared" si="26"/>
        <v>0</v>
      </c>
      <c r="CU11" s="17">
        <f t="shared" si="27"/>
        <v>80</v>
      </c>
      <c r="CV11" s="16">
        <f t="shared" si="28"/>
        <v>1400</v>
      </c>
      <c r="CW11" s="16">
        <f t="shared" si="29"/>
        <v>112000</v>
      </c>
    </row>
    <row r="12" spans="1:101" ht="15.75" customHeight="1" x14ac:dyDescent="0.35">
      <c r="A12" s="41" t="s">
        <v>979</v>
      </c>
      <c r="B12" s="41" t="s">
        <v>935</v>
      </c>
      <c r="C12" s="42"/>
      <c r="D12" s="43"/>
      <c r="E12" s="78">
        <f t="shared" si="0"/>
        <v>0</v>
      </c>
      <c r="F12" s="14"/>
      <c r="G12" s="15"/>
      <c r="H12" s="16">
        <f>IFERROR(F12*G12, 0)</f>
        <v>0</v>
      </c>
      <c r="I12" s="14"/>
      <c r="J12" s="15"/>
      <c r="K12" s="16">
        <f t="shared" si="30"/>
        <v>0</v>
      </c>
      <c r="L12" s="14"/>
      <c r="M12" s="15"/>
      <c r="N12" s="16">
        <f t="shared" si="2"/>
        <v>0</v>
      </c>
      <c r="O12" s="14"/>
      <c r="P12" s="15"/>
      <c r="Q12" s="16">
        <f t="shared" si="3"/>
        <v>0</v>
      </c>
      <c r="R12" s="14"/>
      <c r="S12" s="15"/>
      <c r="T12" s="16">
        <f t="shared" si="4"/>
        <v>0</v>
      </c>
      <c r="U12" s="14"/>
      <c r="V12" s="15"/>
      <c r="W12" s="16">
        <f t="shared" si="5"/>
        <v>0</v>
      </c>
      <c r="X12" s="14"/>
      <c r="Y12" s="15"/>
      <c r="Z12" s="16">
        <f>IFERROR(X12*Y12, 0)</f>
        <v>0</v>
      </c>
      <c r="AA12" s="14"/>
      <c r="AB12" s="15"/>
      <c r="AC12" s="16">
        <f t="shared" si="6"/>
        <v>0</v>
      </c>
      <c r="AD12" s="14"/>
      <c r="AE12" s="15"/>
      <c r="AF12" s="16">
        <f t="shared" si="7"/>
        <v>0</v>
      </c>
      <c r="AG12" s="14"/>
      <c r="AH12" s="15"/>
      <c r="AI12" s="16">
        <f t="shared" ref="AI12:AI25" si="31">IFERROR(AG12*AH12, 0)</f>
        <v>0</v>
      </c>
      <c r="AJ12" s="14"/>
      <c r="AK12" s="15"/>
      <c r="AL12" s="16">
        <f t="shared" si="8"/>
        <v>0</v>
      </c>
      <c r="AM12" s="14"/>
      <c r="AN12" s="15"/>
      <c r="AO12" s="16">
        <f t="shared" si="9"/>
        <v>0</v>
      </c>
      <c r="AP12" s="14"/>
      <c r="AQ12" s="15"/>
      <c r="AR12" s="16">
        <f t="shared" si="10"/>
        <v>0</v>
      </c>
      <c r="AS12" s="14"/>
      <c r="AT12" s="15"/>
      <c r="AU12" s="16">
        <f t="shared" si="11"/>
        <v>0</v>
      </c>
      <c r="AV12" s="14"/>
      <c r="AW12" s="15"/>
      <c r="AX12" s="16">
        <f t="shared" si="12"/>
        <v>0</v>
      </c>
      <c r="AY12" s="14"/>
      <c r="AZ12" s="15"/>
      <c r="BA12" s="16">
        <f t="shared" si="13"/>
        <v>0</v>
      </c>
      <c r="BB12" s="14"/>
      <c r="BC12" s="15"/>
      <c r="BD12" s="16">
        <f t="shared" si="14"/>
        <v>0</v>
      </c>
      <c r="BE12" s="14"/>
      <c r="BF12" s="15"/>
      <c r="BG12" s="16">
        <f>IFERROR(BE12*BF12, 0)</f>
        <v>0</v>
      </c>
      <c r="BH12" s="14"/>
      <c r="BI12" s="15"/>
      <c r="BJ12" s="16">
        <f t="shared" si="15"/>
        <v>0</v>
      </c>
      <c r="BK12" s="14"/>
      <c r="BL12" s="15"/>
      <c r="BM12" s="16">
        <f t="shared" si="16"/>
        <v>0</v>
      </c>
      <c r="BN12" s="14"/>
      <c r="BO12" s="15"/>
      <c r="BP12" s="16">
        <f t="shared" si="17"/>
        <v>0</v>
      </c>
      <c r="BQ12" s="14"/>
      <c r="BR12" s="15"/>
      <c r="BS12" s="16">
        <f>IFERROR(BQ12*BR12, 0)</f>
        <v>0</v>
      </c>
      <c r="BT12" s="14"/>
      <c r="BU12" s="15"/>
      <c r="BV12" s="16">
        <f t="shared" si="18"/>
        <v>0</v>
      </c>
      <c r="BW12" s="14"/>
      <c r="BX12" s="15"/>
      <c r="BY12" s="16">
        <f t="shared" si="19"/>
        <v>0</v>
      </c>
      <c r="BZ12" s="14"/>
      <c r="CA12" s="15"/>
      <c r="CB12" s="16">
        <f t="shared" si="20"/>
        <v>0</v>
      </c>
      <c r="CC12" s="14"/>
      <c r="CD12" s="15"/>
      <c r="CE12" s="16">
        <f t="shared" si="21"/>
        <v>0</v>
      </c>
      <c r="CF12" s="14"/>
      <c r="CG12" s="15"/>
      <c r="CH12" s="16">
        <f t="shared" si="22"/>
        <v>0</v>
      </c>
      <c r="CI12" s="14"/>
      <c r="CJ12" s="15"/>
      <c r="CK12" s="16">
        <f t="shared" si="23"/>
        <v>0</v>
      </c>
      <c r="CL12" s="14"/>
      <c r="CM12" s="15"/>
      <c r="CN12" s="16">
        <f t="shared" si="24"/>
        <v>0</v>
      </c>
      <c r="CO12" s="14"/>
      <c r="CP12" s="15"/>
      <c r="CQ12" s="16">
        <f t="shared" si="25"/>
        <v>0</v>
      </c>
      <c r="CR12" s="14"/>
      <c r="CS12" s="15"/>
      <c r="CT12" s="16">
        <f t="shared" si="26"/>
        <v>0</v>
      </c>
      <c r="CU12" s="17">
        <f t="shared" si="27"/>
        <v>0</v>
      </c>
      <c r="CV12" s="16">
        <f t="shared" si="28"/>
        <v>0</v>
      </c>
      <c r="CW12" s="16">
        <f t="shared" si="29"/>
        <v>0</v>
      </c>
    </row>
    <row r="13" spans="1:101" ht="15.75" customHeight="1" x14ac:dyDescent="0.35">
      <c r="A13" s="41" t="s">
        <v>47</v>
      </c>
      <c r="B13" s="41" t="s">
        <v>846</v>
      </c>
      <c r="C13" s="42"/>
      <c r="D13" s="43"/>
      <c r="E13" s="78">
        <f t="shared" si="0"/>
        <v>0</v>
      </c>
      <c r="F13" s="14">
        <v>10</v>
      </c>
      <c r="G13" s="15">
        <v>750</v>
      </c>
      <c r="H13" s="16">
        <v>7500</v>
      </c>
      <c r="I13" s="14"/>
      <c r="J13" s="15"/>
      <c r="K13" s="16">
        <f t="shared" si="30"/>
        <v>0</v>
      </c>
      <c r="L13" s="14"/>
      <c r="M13" s="15"/>
      <c r="N13" s="16">
        <f t="shared" si="2"/>
        <v>0</v>
      </c>
      <c r="O13" s="14"/>
      <c r="P13" s="15"/>
      <c r="Q13" s="16">
        <f t="shared" si="3"/>
        <v>0</v>
      </c>
      <c r="R13" s="14"/>
      <c r="S13" s="15"/>
      <c r="T13" s="16">
        <f t="shared" si="4"/>
        <v>0</v>
      </c>
      <c r="U13" s="14"/>
      <c r="V13" s="15"/>
      <c r="W13" s="16">
        <f t="shared" si="5"/>
        <v>0</v>
      </c>
      <c r="X13" s="14">
        <v>10</v>
      </c>
      <c r="Y13" s="15">
        <v>450</v>
      </c>
      <c r="Z13" s="16">
        <v>4500</v>
      </c>
      <c r="AA13" s="14"/>
      <c r="AB13" s="15"/>
      <c r="AC13" s="16">
        <f t="shared" si="6"/>
        <v>0</v>
      </c>
      <c r="AD13" s="14"/>
      <c r="AE13" s="15"/>
      <c r="AF13" s="16">
        <f t="shared" si="7"/>
        <v>0</v>
      </c>
      <c r="AG13" s="14"/>
      <c r="AH13" s="15"/>
      <c r="AI13" s="16">
        <f t="shared" si="31"/>
        <v>0</v>
      </c>
      <c r="AJ13" s="14"/>
      <c r="AK13" s="15"/>
      <c r="AL13" s="16">
        <f t="shared" si="8"/>
        <v>0</v>
      </c>
      <c r="AM13" s="14"/>
      <c r="AN13" s="15"/>
      <c r="AO13" s="16">
        <f t="shared" si="9"/>
        <v>0</v>
      </c>
      <c r="AP13" s="14"/>
      <c r="AQ13" s="15"/>
      <c r="AR13" s="16">
        <f t="shared" si="10"/>
        <v>0</v>
      </c>
      <c r="AS13" s="14"/>
      <c r="AT13" s="15"/>
      <c r="AU13" s="16">
        <f t="shared" si="11"/>
        <v>0</v>
      </c>
      <c r="AV13" s="14"/>
      <c r="AW13" s="15"/>
      <c r="AX13" s="16">
        <f t="shared" si="12"/>
        <v>0</v>
      </c>
      <c r="AY13" s="14"/>
      <c r="AZ13" s="15"/>
      <c r="BA13" s="16">
        <f t="shared" si="13"/>
        <v>0</v>
      </c>
      <c r="BB13" s="14"/>
      <c r="BC13" s="15"/>
      <c r="BD13" s="16">
        <f t="shared" si="14"/>
        <v>0</v>
      </c>
      <c r="BE13" s="14">
        <v>10</v>
      </c>
      <c r="BF13" s="15">
        <v>450</v>
      </c>
      <c r="BG13" s="16">
        <v>4500</v>
      </c>
      <c r="BH13" s="14"/>
      <c r="BI13" s="15"/>
      <c r="BJ13" s="16">
        <f t="shared" si="15"/>
        <v>0</v>
      </c>
      <c r="BK13" s="14"/>
      <c r="BL13" s="15"/>
      <c r="BM13" s="16">
        <f t="shared" si="16"/>
        <v>0</v>
      </c>
      <c r="BN13" s="14"/>
      <c r="BO13" s="15"/>
      <c r="BP13" s="16">
        <f t="shared" si="17"/>
        <v>0</v>
      </c>
      <c r="BQ13" s="14"/>
      <c r="BR13" s="15"/>
      <c r="BS13" s="16">
        <f>IFERROR(BQ13*BR13, 0)</f>
        <v>0</v>
      </c>
      <c r="BT13" s="14"/>
      <c r="BU13" s="15"/>
      <c r="BV13" s="16">
        <f t="shared" si="18"/>
        <v>0</v>
      </c>
      <c r="BW13" s="14"/>
      <c r="BX13" s="15"/>
      <c r="BY13" s="16">
        <f t="shared" si="19"/>
        <v>0</v>
      </c>
      <c r="BZ13" s="14"/>
      <c r="CA13" s="15"/>
      <c r="CB13" s="16">
        <f t="shared" si="20"/>
        <v>0</v>
      </c>
      <c r="CC13" s="14"/>
      <c r="CD13" s="15"/>
      <c r="CE13" s="16">
        <f t="shared" si="21"/>
        <v>0</v>
      </c>
      <c r="CF13" s="14"/>
      <c r="CG13" s="15"/>
      <c r="CH13" s="16">
        <f t="shared" si="22"/>
        <v>0</v>
      </c>
      <c r="CI13" s="14"/>
      <c r="CJ13" s="15"/>
      <c r="CK13" s="16">
        <f t="shared" si="23"/>
        <v>0</v>
      </c>
      <c r="CL13" s="14"/>
      <c r="CM13" s="15"/>
      <c r="CN13" s="16">
        <f t="shared" si="24"/>
        <v>0</v>
      </c>
      <c r="CO13" s="14"/>
      <c r="CP13" s="15"/>
      <c r="CQ13" s="16">
        <f t="shared" si="25"/>
        <v>0</v>
      </c>
      <c r="CR13" s="14"/>
      <c r="CS13" s="15"/>
      <c r="CT13" s="16">
        <f t="shared" si="26"/>
        <v>0</v>
      </c>
      <c r="CU13" s="17">
        <f t="shared" si="27"/>
        <v>30</v>
      </c>
      <c r="CV13" s="16">
        <f t="shared" si="28"/>
        <v>550</v>
      </c>
      <c r="CW13" s="16">
        <f t="shared" si="29"/>
        <v>16500</v>
      </c>
    </row>
    <row r="14" spans="1:101" ht="15.75" customHeight="1" x14ac:dyDescent="0.35">
      <c r="A14" s="41" t="s">
        <v>980</v>
      </c>
      <c r="B14" s="41" t="s">
        <v>846</v>
      </c>
      <c r="C14" s="42"/>
      <c r="D14" s="43"/>
      <c r="E14" s="78">
        <f t="shared" si="0"/>
        <v>0</v>
      </c>
      <c r="F14" s="14"/>
      <c r="G14" s="15"/>
      <c r="H14" s="16">
        <f>IFERROR(F14*G14, 0)</f>
        <v>0</v>
      </c>
      <c r="I14" s="14"/>
      <c r="J14" s="15"/>
      <c r="K14" s="16">
        <f t="shared" si="30"/>
        <v>0</v>
      </c>
      <c r="L14" s="14"/>
      <c r="M14" s="15"/>
      <c r="N14" s="16">
        <f t="shared" si="2"/>
        <v>0</v>
      </c>
      <c r="O14" s="14"/>
      <c r="P14" s="15"/>
      <c r="Q14" s="16">
        <f t="shared" si="3"/>
        <v>0</v>
      </c>
      <c r="R14" s="14"/>
      <c r="S14" s="15"/>
      <c r="T14" s="16">
        <f t="shared" si="4"/>
        <v>0</v>
      </c>
      <c r="U14" s="14"/>
      <c r="V14" s="15"/>
      <c r="W14" s="16">
        <f t="shared" si="5"/>
        <v>0</v>
      </c>
      <c r="X14" s="14"/>
      <c r="Y14" s="15"/>
      <c r="Z14" s="16">
        <f>IFERROR(X14*Y14, 0)</f>
        <v>0</v>
      </c>
      <c r="AA14" s="14"/>
      <c r="AB14" s="15"/>
      <c r="AC14" s="16">
        <f t="shared" si="6"/>
        <v>0</v>
      </c>
      <c r="AD14" s="14"/>
      <c r="AE14" s="15"/>
      <c r="AF14" s="16">
        <f t="shared" si="7"/>
        <v>0</v>
      </c>
      <c r="AG14" s="14"/>
      <c r="AH14" s="15"/>
      <c r="AI14" s="16">
        <f t="shared" si="31"/>
        <v>0</v>
      </c>
      <c r="AJ14" s="14"/>
      <c r="AK14" s="15"/>
      <c r="AL14" s="16">
        <f t="shared" si="8"/>
        <v>0</v>
      </c>
      <c r="AM14" s="14"/>
      <c r="AN14" s="15"/>
      <c r="AO14" s="16">
        <f t="shared" si="9"/>
        <v>0</v>
      </c>
      <c r="AP14" s="14"/>
      <c r="AQ14" s="15"/>
      <c r="AR14" s="16">
        <f t="shared" si="10"/>
        <v>0</v>
      </c>
      <c r="AS14" s="14"/>
      <c r="AT14" s="15"/>
      <c r="AU14" s="16">
        <f t="shared" si="11"/>
        <v>0</v>
      </c>
      <c r="AV14" s="14"/>
      <c r="AW14" s="15"/>
      <c r="AX14" s="16">
        <f t="shared" si="12"/>
        <v>0</v>
      </c>
      <c r="AY14" s="14"/>
      <c r="AZ14" s="15"/>
      <c r="BA14" s="16">
        <f t="shared" si="13"/>
        <v>0</v>
      </c>
      <c r="BB14" s="14"/>
      <c r="BC14" s="15"/>
      <c r="BD14" s="16">
        <f t="shared" si="14"/>
        <v>0</v>
      </c>
      <c r="BE14" s="14"/>
      <c r="BF14" s="15"/>
      <c r="BG14" s="16">
        <f>IFERROR(BE14*BF14, 0)</f>
        <v>0</v>
      </c>
      <c r="BH14" s="14"/>
      <c r="BI14" s="15"/>
      <c r="BJ14" s="16">
        <f t="shared" si="15"/>
        <v>0</v>
      </c>
      <c r="BK14" s="14"/>
      <c r="BL14" s="15"/>
      <c r="BM14" s="16">
        <f t="shared" si="16"/>
        <v>0</v>
      </c>
      <c r="BN14" s="14"/>
      <c r="BO14" s="15"/>
      <c r="BP14" s="16">
        <f t="shared" si="17"/>
        <v>0</v>
      </c>
      <c r="BQ14" s="14"/>
      <c r="BR14" s="15"/>
      <c r="BS14" s="16">
        <f>IFERROR(BQ14*BR14, 0)</f>
        <v>0</v>
      </c>
      <c r="BT14" s="14"/>
      <c r="BU14" s="15"/>
      <c r="BV14" s="16">
        <f t="shared" si="18"/>
        <v>0</v>
      </c>
      <c r="BW14" s="14"/>
      <c r="BX14" s="15"/>
      <c r="BY14" s="16">
        <f t="shared" si="19"/>
        <v>0</v>
      </c>
      <c r="BZ14" s="14"/>
      <c r="CA14" s="15"/>
      <c r="CB14" s="16">
        <f t="shared" si="20"/>
        <v>0</v>
      </c>
      <c r="CC14" s="14"/>
      <c r="CD14" s="15"/>
      <c r="CE14" s="16">
        <f t="shared" si="21"/>
        <v>0</v>
      </c>
      <c r="CF14" s="14"/>
      <c r="CG14" s="15"/>
      <c r="CH14" s="16">
        <f t="shared" si="22"/>
        <v>0</v>
      </c>
      <c r="CI14" s="14"/>
      <c r="CJ14" s="15"/>
      <c r="CK14" s="16">
        <f t="shared" si="23"/>
        <v>0</v>
      </c>
      <c r="CL14" s="14"/>
      <c r="CM14" s="15"/>
      <c r="CN14" s="16">
        <f t="shared" si="24"/>
        <v>0</v>
      </c>
      <c r="CO14" s="14"/>
      <c r="CP14" s="15"/>
      <c r="CQ14" s="16">
        <f t="shared" si="25"/>
        <v>0</v>
      </c>
      <c r="CR14" s="14"/>
      <c r="CS14" s="15"/>
      <c r="CT14" s="16">
        <f t="shared" si="26"/>
        <v>0</v>
      </c>
      <c r="CU14" s="17">
        <f t="shared" si="27"/>
        <v>0</v>
      </c>
      <c r="CV14" s="16">
        <f t="shared" si="28"/>
        <v>0</v>
      </c>
      <c r="CW14" s="16">
        <f t="shared" si="29"/>
        <v>0</v>
      </c>
    </row>
    <row r="15" spans="1:101" ht="15.75" customHeight="1" x14ac:dyDescent="0.35">
      <c r="A15" s="41" t="s">
        <v>292</v>
      </c>
      <c r="B15" s="41" t="s">
        <v>846</v>
      </c>
      <c r="C15" s="42"/>
      <c r="D15" s="43"/>
      <c r="E15" s="78">
        <f t="shared" si="0"/>
        <v>0</v>
      </c>
      <c r="F15" s="14"/>
      <c r="G15" s="15"/>
      <c r="H15" s="16">
        <f>IFERROR(F15*G15, 0)</f>
        <v>0</v>
      </c>
      <c r="I15" s="14"/>
      <c r="J15" s="15"/>
      <c r="K15" s="16">
        <f t="shared" si="30"/>
        <v>0</v>
      </c>
      <c r="L15" s="14"/>
      <c r="M15" s="15"/>
      <c r="N15" s="16">
        <f t="shared" si="2"/>
        <v>0</v>
      </c>
      <c r="O15" s="14"/>
      <c r="P15" s="15"/>
      <c r="Q15" s="16">
        <f t="shared" si="3"/>
        <v>0</v>
      </c>
      <c r="R15" s="14"/>
      <c r="S15" s="15"/>
      <c r="T15" s="16">
        <f t="shared" si="4"/>
        <v>0</v>
      </c>
      <c r="U15" s="14"/>
      <c r="V15" s="15"/>
      <c r="W15" s="16">
        <f t="shared" si="5"/>
        <v>0</v>
      </c>
      <c r="X15" s="14">
        <v>10</v>
      </c>
      <c r="Y15" s="15">
        <v>450</v>
      </c>
      <c r="Z15" s="16">
        <v>4500</v>
      </c>
      <c r="AA15" s="14"/>
      <c r="AB15" s="15"/>
      <c r="AC15" s="16">
        <f t="shared" si="6"/>
        <v>0</v>
      </c>
      <c r="AD15" s="14"/>
      <c r="AE15" s="15"/>
      <c r="AF15" s="16">
        <f t="shared" si="7"/>
        <v>0</v>
      </c>
      <c r="AG15" s="14"/>
      <c r="AH15" s="15"/>
      <c r="AI15" s="16">
        <f t="shared" si="31"/>
        <v>0</v>
      </c>
      <c r="AJ15" s="14"/>
      <c r="AK15" s="15"/>
      <c r="AL15" s="16">
        <f t="shared" si="8"/>
        <v>0</v>
      </c>
      <c r="AM15" s="14"/>
      <c r="AN15" s="15"/>
      <c r="AO15" s="16">
        <f t="shared" si="9"/>
        <v>0</v>
      </c>
      <c r="AP15" s="14"/>
      <c r="AQ15" s="15"/>
      <c r="AR15" s="16">
        <f t="shared" si="10"/>
        <v>0</v>
      </c>
      <c r="AS15" s="14"/>
      <c r="AT15" s="15"/>
      <c r="AU15" s="16">
        <f t="shared" si="11"/>
        <v>0</v>
      </c>
      <c r="AV15" s="14"/>
      <c r="AW15" s="15"/>
      <c r="AX15" s="16">
        <f t="shared" si="12"/>
        <v>0</v>
      </c>
      <c r="AY15" s="14"/>
      <c r="AZ15" s="15"/>
      <c r="BA15" s="16">
        <f t="shared" si="13"/>
        <v>0</v>
      </c>
      <c r="BB15" s="14"/>
      <c r="BC15" s="15"/>
      <c r="BD15" s="16">
        <f t="shared" si="14"/>
        <v>0</v>
      </c>
      <c r="BE15" s="14"/>
      <c r="BF15" s="15"/>
      <c r="BG15" s="16">
        <f>IFERROR(BE15*BF15, 0)</f>
        <v>0</v>
      </c>
      <c r="BH15" s="14"/>
      <c r="BI15" s="15"/>
      <c r="BJ15" s="16">
        <f t="shared" si="15"/>
        <v>0</v>
      </c>
      <c r="BK15" s="14"/>
      <c r="BL15" s="15"/>
      <c r="BM15" s="16">
        <f t="shared" si="16"/>
        <v>0</v>
      </c>
      <c r="BN15" s="14"/>
      <c r="BO15" s="15"/>
      <c r="BP15" s="16">
        <f t="shared" si="17"/>
        <v>0</v>
      </c>
      <c r="BQ15" s="14"/>
      <c r="BR15" s="15"/>
      <c r="BS15" s="16">
        <f>IFERROR(BQ15*BR15, 0)</f>
        <v>0</v>
      </c>
      <c r="BT15" s="14"/>
      <c r="BU15" s="15"/>
      <c r="BV15" s="16">
        <f t="shared" si="18"/>
        <v>0</v>
      </c>
      <c r="BW15" s="14"/>
      <c r="BX15" s="15"/>
      <c r="BY15" s="16">
        <f t="shared" si="19"/>
        <v>0</v>
      </c>
      <c r="BZ15" s="14"/>
      <c r="CA15" s="15"/>
      <c r="CB15" s="16">
        <f t="shared" si="20"/>
        <v>0</v>
      </c>
      <c r="CC15" s="14"/>
      <c r="CD15" s="15"/>
      <c r="CE15" s="16">
        <f t="shared" si="21"/>
        <v>0</v>
      </c>
      <c r="CF15" s="14"/>
      <c r="CG15" s="15"/>
      <c r="CH15" s="16">
        <f t="shared" si="22"/>
        <v>0</v>
      </c>
      <c r="CI15" s="14"/>
      <c r="CJ15" s="15"/>
      <c r="CK15" s="16">
        <f t="shared" si="23"/>
        <v>0</v>
      </c>
      <c r="CL15" s="14"/>
      <c r="CM15" s="15"/>
      <c r="CN15" s="16">
        <f t="shared" si="24"/>
        <v>0</v>
      </c>
      <c r="CO15" s="14"/>
      <c r="CP15" s="15"/>
      <c r="CQ15" s="16">
        <f t="shared" si="25"/>
        <v>0</v>
      </c>
      <c r="CR15" s="14"/>
      <c r="CS15" s="15"/>
      <c r="CT15" s="16">
        <f t="shared" si="26"/>
        <v>0</v>
      </c>
      <c r="CU15" s="17">
        <f t="shared" si="27"/>
        <v>10</v>
      </c>
      <c r="CV15" s="16">
        <f t="shared" si="28"/>
        <v>450</v>
      </c>
      <c r="CW15" s="16">
        <f t="shared" si="29"/>
        <v>4500</v>
      </c>
    </row>
    <row r="16" spans="1:101" ht="15.75" customHeight="1" x14ac:dyDescent="0.35">
      <c r="A16" s="41" t="s">
        <v>43</v>
      </c>
      <c r="B16" s="41" t="s">
        <v>935</v>
      </c>
      <c r="C16" s="42"/>
      <c r="D16" s="43"/>
      <c r="E16" s="78">
        <f t="shared" si="0"/>
        <v>0</v>
      </c>
      <c r="F16" s="14">
        <v>10</v>
      </c>
      <c r="G16" s="15">
        <v>450</v>
      </c>
      <c r="H16" s="16">
        <v>4500</v>
      </c>
      <c r="I16" s="14"/>
      <c r="J16" s="15"/>
      <c r="K16" s="16">
        <f t="shared" si="30"/>
        <v>0</v>
      </c>
      <c r="L16" s="14"/>
      <c r="M16" s="15"/>
      <c r="N16" s="16">
        <f t="shared" si="2"/>
        <v>0</v>
      </c>
      <c r="O16" s="14"/>
      <c r="P16" s="15"/>
      <c r="Q16" s="16">
        <f t="shared" si="3"/>
        <v>0</v>
      </c>
      <c r="R16" s="14"/>
      <c r="S16" s="15"/>
      <c r="T16" s="16">
        <f t="shared" si="4"/>
        <v>0</v>
      </c>
      <c r="U16" s="14"/>
      <c r="V16" s="15"/>
      <c r="W16" s="16">
        <f t="shared" si="5"/>
        <v>0</v>
      </c>
      <c r="X16" s="14">
        <v>10</v>
      </c>
      <c r="Y16" s="15">
        <v>400</v>
      </c>
      <c r="Z16" s="16">
        <v>4000</v>
      </c>
      <c r="AA16" s="14"/>
      <c r="AB16" s="15"/>
      <c r="AC16" s="16">
        <f t="shared" si="6"/>
        <v>0</v>
      </c>
      <c r="AD16" s="14"/>
      <c r="AE16" s="15"/>
      <c r="AF16" s="16">
        <f t="shared" si="7"/>
        <v>0</v>
      </c>
      <c r="AG16" s="14"/>
      <c r="AH16" s="15"/>
      <c r="AI16" s="16">
        <f t="shared" si="31"/>
        <v>0</v>
      </c>
      <c r="AJ16" s="14"/>
      <c r="AK16" s="15"/>
      <c r="AL16" s="16">
        <f t="shared" si="8"/>
        <v>0</v>
      </c>
      <c r="AM16" s="14"/>
      <c r="AN16" s="15"/>
      <c r="AO16" s="16">
        <f t="shared" si="9"/>
        <v>0</v>
      </c>
      <c r="AP16" s="14"/>
      <c r="AQ16" s="15"/>
      <c r="AR16" s="16">
        <f t="shared" si="10"/>
        <v>0</v>
      </c>
      <c r="AS16" s="14"/>
      <c r="AT16" s="15"/>
      <c r="AU16" s="16">
        <f t="shared" si="11"/>
        <v>0</v>
      </c>
      <c r="AV16" s="14"/>
      <c r="AW16" s="15"/>
      <c r="AX16" s="16">
        <f t="shared" si="12"/>
        <v>0</v>
      </c>
      <c r="AY16" s="14"/>
      <c r="AZ16" s="15"/>
      <c r="BA16" s="16">
        <f t="shared" si="13"/>
        <v>0</v>
      </c>
      <c r="BB16" s="14"/>
      <c r="BC16" s="15"/>
      <c r="BD16" s="16">
        <f t="shared" si="14"/>
        <v>0</v>
      </c>
      <c r="BE16" s="14">
        <v>10</v>
      </c>
      <c r="BF16" s="15">
        <v>400</v>
      </c>
      <c r="BG16" s="16">
        <v>4000</v>
      </c>
      <c r="BH16" s="14"/>
      <c r="BI16" s="15"/>
      <c r="BJ16" s="16">
        <f t="shared" si="15"/>
        <v>0</v>
      </c>
      <c r="BK16" s="14"/>
      <c r="BL16" s="15"/>
      <c r="BM16" s="16">
        <f t="shared" si="16"/>
        <v>0</v>
      </c>
      <c r="BN16" s="14"/>
      <c r="BO16" s="15"/>
      <c r="BP16" s="16">
        <f t="shared" si="17"/>
        <v>0</v>
      </c>
      <c r="BQ16" s="14">
        <v>10</v>
      </c>
      <c r="BR16" s="15">
        <v>440</v>
      </c>
      <c r="BS16" s="16">
        <v>4400</v>
      </c>
      <c r="BT16" s="14"/>
      <c r="BU16" s="15"/>
      <c r="BV16" s="16">
        <f t="shared" si="18"/>
        <v>0</v>
      </c>
      <c r="BW16" s="14"/>
      <c r="BX16" s="15"/>
      <c r="BY16" s="16">
        <f t="shared" si="19"/>
        <v>0</v>
      </c>
      <c r="BZ16" s="14"/>
      <c r="CA16" s="15"/>
      <c r="CB16" s="16">
        <f t="shared" si="20"/>
        <v>0</v>
      </c>
      <c r="CC16" s="14"/>
      <c r="CD16" s="15"/>
      <c r="CE16" s="16">
        <f t="shared" si="21"/>
        <v>0</v>
      </c>
      <c r="CF16" s="14"/>
      <c r="CG16" s="15"/>
      <c r="CH16" s="16">
        <f t="shared" si="22"/>
        <v>0</v>
      </c>
      <c r="CI16" s="14"/>
      <c r="CJ16" s="15"/>
      <c r="CK16" s="16">
        <f t="shared" si="23"/>
        <v>0</v>
      </c>
      <c r="CL16" s="14"/>
      <c r="CM16" s="15"/>
      <c r="CN16" s="16">
        <f t="shared" si="24"/>
        <v>0</v>
      </c>
      <c r="CO16" s="14"/>
      <c r="CP16" s="15"/>
      <c r="CQ16" s="16">
        <f t="shared" si="25"/>
        <v>0</v>
      </c>
      <c r="CR16" s="14"/>
      <c r="CS16" s="15"/>
      <c r="CT16" s="16">
        <f t="shared" si="26"/>
        <v>0</v>
      </c>
      <c r="CU16" s="17">
        <f t="shared" si="27"/>
        <v>40</v>
      </c>
      <c r="CV16" s="16">
        <f t="shared" si="28"/>
        <v>422.5</v>
      </c>
      <c r="CW16" s="16">
        <f t="shared" si="29"/>
        <v>16900</v>
      </c>
    </row>
    <row r="17" spans="1:101" ht="15.75" customHeight="1" x14ac:dyDescent="0.35">
      <c r="A17" s="41" t="s">
        <v>102</v>
      </c>
      <c r="B17" s="41" t="s">
        <v>935</v>
      </c>
      <c r="C17" s="42"/>
      <c r="D17" s="43"/>
      <c r="E17" s="78">
        <f t="shared" si="0"/>
        <v>0</v>
      </c>
      <c r="F17" s="14"/>
      <c r="G17" s="15"/>
      <c r="H17" s="16">
        <f>IFERROR(F17*G17, 0)</f>
        <v>0</v>
      </c>
      <c r="I17" s="14">
        <v>20</v>
      </c>
      <c r="J17" s="15">
        <v>900</v>
      </c>
      <c r="K17" s="16">
        <v>18000</v>
      </c>
      <c r="L17" s="14"/>
      <c r="M17" s="15"/>
      <c r="N17" s="16">
        <f t="shared" si="2"/>
        <v>0</v>
      </c>
      <c r="O17" s="14"/>
      <c r="P17" s="15"/>
      <c r="Q17" s="16">
        <f t="shared" si="3"/>
        <v>0</v>
      </c>
      <c r="R17" s="14"/>
      <c r="S17" s="15"/>
      <c r="T17" s="16">
        <f t="shared" si="4"/>
        <v>0</v>
      </c>
      <c r="U17" s="14"/>
      <c r="V17" s="15"/>
      <c r="W17" s="16">
        <f t="shared" si="5"/>
        <v>0</v>
      </c>
      <c r="X17" s="14">
        <v>10</v>
      </c>
      <c r="Y17" s="15">
        <v>900</v>
      </c>
      <c r="Z17" s="16">
        <v>9000</v>
      </c>
      <c r="AA17" s="14"/>
      <c r="AB17" s="15"/>
      <c r="AC17" s="16">
        <f t="shared" si="6"/>
        <v>0</v>
      </c>
      <c r="AD17" s="14"/>
      <c r="AE17" s="15"/>
      <c r="AF17" s="16">
        <f t="shared" si="7"/>
        <v>0</v>
      </c>
      <c r="AG17" s="14"/>
      <c r="AH17" s="15"/>
      <c r="AI17" s="16">
        <f t="shared" si="31"/>
        <v>0</v>
      </c>
      <c r="AJ17" s="14"/>
      <c r="AK17" s="15"/>
      <c r="AL17" s="16">
        <f t="shared" si="8"/>
        <v>0</v>
      </c>
      <c r="AM17" s="14"/>
      <c r="AN17" s="15"/>
      <c r="AO17" s="16">
        <f t="shared" si="9"/>
        <v>0</v>
      </c>
      <c r="AP17" s="14"/>
      <c r="AQ17" s="15"/>
      <c r="AR17" s="16">
        <f t="shared" si="10"/>
        <v>0</v>
      </c>
      <c r="AS17" s="14"/>
      <c r="AT17" s="15"/>
      <c r="AU17" s="16">
        <f t="shared" si="11"/>
        <v>0</v>
      </c>
      <c r="AV17" s="14"/>
      <c r="AW17" s="15"/>
      <c r="AX17" s="16">
        <f t="shared" si="12"/>
        <v>0</v>
      </c>
      <c r="AY17" s="14"/>
      <c r="AZ17" s="15"/>
      <c r="BA17" s="16">
        <f t="shared" si="13"/>
        <v>0</v>
      </c>
      <c r="BB17" s="14"/>
      <c r="BC17" s="15"/>
      <c r="BD17" s="16">
        <f t="shared" si="14"/>
        <v>0</v>
      </c>
      <c r="BE17" s="14">
        <v>20</v>
      </c>
      <c r="BF17" s="15">
        <v>900</v>
      </c>
      <c r="BG17" s="16">
        <v>18000</v>
      </c>
      <c r="BH17" s="14"/>
      <c r="BI17" s="15"/>
      <c r="BJ17" s="16">
        <f t="shared" si="15"/>
        <v>0</v>
      </c>
      <c r="BK17" s="14"/>
      <c r="BL17" s="15"/>
      <c r="BM17" s="16">
        <f t="shared" si="16"/>
        <v>0</v>
      </c>
      <c r="BN17" s="14"/>
      <c r="BO17" s="15"/>
      <c r="BP17" s="16">
        <f t="shared" si="17"/>
        <v>0</v>
      </c>
      <c r="BQ17" s="14">
        <v>10</v>
      </c>
      <c r="BR17" s="15">
        <v>900</v>
      </c>
      <c r="BS17" s="16">
        <v>9000</v>
      </c>
      <c r="BT17" s="14"/>
      <c r="BU17" s="15"/>
      <c r="BV17" s="16">
        <f t="shared" si="18"/>
        <v>0</v>
      </c>
      <c r="BW17" s="14"/>
      <c r="BX17" s="15"/>
      <c r="BY17" s="16">
        <f t="shared" si="19"/>
        <v>0</v>
      </c>
      <c r="BZ17" s="14"/>
      <c r="CA17" s="15"/>
      <c r="CB17" s="16">
        <f t="shared" si="20"/>
        <v>0</v>
      </c>
      <c r="CC17" s="14"/>
      <c r="CD17" s="15"/>
      <c r="CE17" s="16">
        <f t="shared" si="21"/>
        <v>0</v>
      </c>
      <c r="CF17" s="14"/>
      <c r="CG17" s="15"/>
      <c r="CH17" s="16">
        <f t="shared" si="22"/>
        <v>0</v>
      </c>
      <c r="CI17" s="14"/>
      <c r="CJ17" s="15"/>
      <c r="CK17" s="16">
        <f t="shared" si="23"/>
        <v>0</v>
      </c>
      <c r="CL17" s="14"/>
      <c r="CM17" s="15"/>
      <c r="CN17" s="16">
        <f t="shared" si="24"/>
        <v>0</v>
      </c>
      <c r="CO17" s="14"/>
      <c r="CP17" s="15"/>
      <c r="CQ17" s="16">
        <f t="shared" si="25"/>
        <v>0</v>
      </c>
      <c r="CR17" s="14"/>
      <c r="CS17" s="15"/>
      <c r="CT17" s="16">
        <f t="shared" si="26"/>
        <v>0</v>
      </c>
      <c r="CU17" s="17">
        <f t="shared" si="27"/>
        <v>60</v>
      </c>
      <c r="CV17" s="16">
        <f t="shared" si="28"/>
        <v>900</v>
      </c>
      <c r="CW17" s="16">
        <f t="shared" si="29"/>
        <v>54000</v>
      </c>
    </row>
    <row r="18" spans="1:101" ht="15.75" customHeight="1" x14ac:dyDescent="0.35">
      <c r="A18" s="41" t="s">
        <v>981</v>
      </c>
      <c r="B18" s="41" t="s">
        <v>935</v>
      </c>
      <c r="C18" s="42"/>
      <c r="D18" s="43"/>
      <c r="E18" s="78">
        <f t="shared" si="0"/>
        <v>0</v>
      </c>
      <c r="F18" s="14"/>
      <c r="G18" s="15"/>
      <c r="H18" s="16">
        <f>IFERROR(F18*G18, 0)</f>
        <v>0</v>
      </c>
      <c r="I18" s="14"/>
      <c r="J18" s="15"/>
      <c r="K18" s="16">
        <f>IFERROR(I18*J18, 0)</f>
        <v>0</v>
      </c>
      <c r="L18" s="14"/>
      <c r="M18" s="15"/>
      <c r="N18" s="16">
        <f t="shared" si="2"/>
        <v>0</v>
      </c>
      <c r="O18" s="14"/>
      <c r="P18" s="15"/>
      <c r="Q18" s="16">
        <f t="shared" si="3"/>
        <v>0</v>
      </c>
      <c r="R18" s="14"/>
      <c r="S18" s="15"/>
      <c r="T18" s="16">
        <f t="shared" si="4"/>
        <v>0</v>
      </c>
      <c r="U18" s="14"/>
      <c r="V18" s="15"/>
      <c r="W18" s="16">
        <f t="shared" si="5"/>
        <v>0</v>
      </c>
      <c r="X18" s="14"/>
      <c r="Y18" s="15"/>
      <c r="Z18" s="16">
        <f>IFERROR(X18*Y18, 0)</f>
        <v>0</v>
      </c>
      <c r="AA18" s="14"/>
      <c r="AB18" s="15"/>
      <c r="AC18" s="16">
        <f t="shared" si="6"/>
        <v>0</v>
      </c>
      <c r="AD18" s="14"/>
      <c r="AE18" s="15"/>
      <c r="AF18" s="16">
        <f t="shared" si="7"/>
        <v>0</v>
      </c>
      <c r="AG18" s="14"/>
      <c r="AH18" s="15"/>
      <c r="AI18" s="16">
        <f t="shared" si="31"/>
        <v>0</v>
      </c>
      <c r="AJ18" s="14"/>
      <c r="AK18" s="15"/>
      <c r="AL18" s="16">
        <f t="shared" si="8"/>
        <v>0</v>
      </c>
      <c r="AM18" s="14"/>
      <c r="AN18" s="15"/>
      <c r="AO18" s="16">
        <f t="shared" si="9"/>
        <v>0</v>
      </c>
      <c r="AP18" s="14"/>
      <c r="AQ18" s="15"/>
      <c r="AR18" s="16">
        <f t="shared" si="10"/>
        <v>0</v>
      </c>
      <c r="AS18" s="14"/>
      <c r="AT18" s="15"/>
      <c r="AU18" s="16">
        <f t="shared" si="11"/>
        <v>0</v>
      </c>
      <c r="AV18" s="14"/>
      <c r="AW18" s="15"/>
      <c r="AX18" s="16">
        <f t="shared" si="12"/>
        <v>0</v>
      </c>
      <c r="AY18" s="14"/>
      <c r="AZ18" s="15"/>
      <c r="BA18" s="16">
        <f t="shared" si="13"/>
        <v>0</v>
      </c>
      <c r="BB18" s="14"/>
      <c r="BC18" s="15"/>
      <c r="BD18" s="16">
        <f t="shared" si="14"/>
        <v>0</v>
      </c>
      <c r="BE18" s="14"/>
      <c r="BF18" s="15"/>
      <c r="BG18" s="16">
        <f>IFERROR(BE18*BF18, 0)</f>
        <v>0</v>
      </c>
      <c r="BH18" s="14"/>
      <c r="BI18" s="15"/>
      <c r="BJ18" s="16">
        <f t="shared" si="15"/>
        <v>0</v>
      </c>
      <c r="BK18" s="14"/>
      <c r="BL18" s="15"/>
      <c r="BM18" s="16">
        <f t="shared" si="16"/>
        <v>0</v>
      </c>
      <c r="BN18" s="14"/>
      <c r="BO18" s="15"/>
      <c r="BP18" s="16">
        <f t="shared" si="17"/>
        <v>0</v>
      </c>
      <c r="BQ18" s="14"/>
      <c r="BR18" s="15"/>
      <c r="BS18" s="16">
        <f>IFERROR(BQ18*BR18, 0)</f>
        <v>0</v>
      </c>
      <c r="BT18" s="14"/>
      <c r="BU18" s="15"/>
      <c r="BV18" s="16">
        <f t="shared" si="18"/>
        <v>0</v>
      </c>
      <c r="BW18" s="14"/>
      <c r="BX18" s="15"/>
      <c r="BY18" s="16">
        <f t="shared" si="19"/>
        <v>0</v>
      </c>
      <c r="BZ18" s="14"/>
      <c r="CA18" s="15"/>
      <c r="CB18" s="16">
        <f t="shared" si="20"/>
        <v>0</v>
      </c>
      <c r="CC18" s="14"/>
      <c r="CD18" s="15"/>
      <c r="CE18" s="16">
        <f t="shared" si="21"/>
        <v>0</v>
      </c>
      <c r="CF18" s="14"/>
      <c r="CG18" s="15"/>
      <c r="CH18" s="16">
        <f t="shared" si="22"/>
        <v>0</v>
      </c>
      <c r="CI18" s="14"/>
      <c r="CJ18" s="15"/>
      <c r="CK18" s="16">
        <f t="shared" si="23"/>
        <v>0</v>
      </c>
      <c r="CL18" s="14"/>
      <c r="CM18" s="15"/>
      <c r="CN18" s="16">
        <f t="shared" si="24"/>
        <v>0</v>
      </c>
      <c r="CO18" s="14"/>
      <c r="CP18" s="15"/>
      <c r="CQ18" s="16">
        <f t="shared" si="25"/>
        <v>0</v>
      </c>
      <c r="CR18" s="14"/>
      <c r="CS18" s="15"/>
      <c r="CT18" s="16">
        <f t="shared" si="26"/>
        <v>0</v>
      </c>
      <c r="CU18" s="17">
        <f t="shared" si="27"/>
        <v>0</v>
      </c>
      <c r="CV18" s="16">
        <f t="shared" si="28"/>
        <v>0</v>
      </c>
      <c r="CW18" s="16">
        <f t="shared" si="29"/>
        <v>0</v>
      </c>
    </row>
    <row r="19" spans="1:101" ht="15.75" customHeight="1" x14ac:dyDescent="0.35">
      <c r="A19" s="41" t="s">
        <v>685</v>
      </c>
      <c r="B19" s="41" t="s">
        <v>935</v>
      </c>
      <c r="C19" s="42"/>
      <c r="D19" s="43"/>
      <c r="E19" s="78">
        <f t="shared" si="0"/>
        <v>0</v>
      </c>
      <c r="F19" s="14"/>
      <c r="G19" s="15"/>
      <c r="H19" s="16">
        <f>IFERROR(F19*G19, 0)</f>
        <v>0</v>
      </c>
      <c r="I19" s="14"/>
      <c r="J19" s="15"/>
      <c r="K19" s="16">
        <f>IFERROR(I19*J19, 0)</f>
        <v>0</v>
      </c>
      <c r="L19" s="14"/>
      <c r="M19" s="15"/>
      <c r="N19" s="16">
        <f t="shared" si="2"/>
        <v>0</v>
      </c>
      <c r="O19" s="14"/>
      <c r="P19" s="15"/>
      <c r="Q19" s="16">
        <f t="shared" si="3"/>
        <v>0</v>
      </c>
      <c r="R19" s="14"/>
      <c r="S19" s="15"/>
      <c r="T19" s="16">
        <f t="shared" si="4"/>
        <v>0</v>
      </c>
      <c r="U19" s="14"/>
      <c r="V19" s="15"/>
      <c r="W19" s="16">
        <f t="shared" si="5"/>
        <v>0</v>
      </c>
      <c r="X19" s="14"/>
      <c r="Y19" s="15"/>
      <c r="Z19" s="16">
        <f>IFERROR(X19*Y19, 0)</f>
        <v>0</v>
      </c>
      <c r="AA19" s="14"/>
      <c r="AB19" s="15"/>
      <c r="AC19" s="16">
        <f t="shared" si="6"/>
        <v>0</v>
      </c>
      <c r="AD19" s="14"/>
      <c r="AE19" s="15"/>
      <c r="AF19" s="16">
        <f t="shared" si="7"/>
        <v>0</v>
      </c>
      <c r="AG19" s="14"/>
      <c r="AH19" s="15"/>
      <c r="AI19" s="16">
        <f t="shared" si="31"/>
        <v>0</v>
      </c>
      <c r="AJ19" s="14"/>
      <c r="AK19" s="15"/>
      <c r="AL19" s="16">
        <f t="shared" si="8"/>
        <v>0</v>
      </c>
      <c r="AM19" s="14"/>
      <c r="AN19" s="15"/>
      <c r="AO19" s="16">
        <f t="shared" si="9"/>
        <v>0</v>
      </c>
      <c r="AP19" s="14"/>
      <c r="AQ19" s="15"/>
      <c r="AR19" s="16">
        <f t="shared" si="10"/>
        <v>0</v>
      </c>
      <c r="AS19" s="14"/>
      <c r="AT19" s="15"/>
      <c r="AU19" s="16">
        <f t="shared" si="11"/>
        <v>0</v>
      </c>
      <c r="AV19" s="14"/>
      <c r="AW19" s="15"/>
      <c r="AX19" s="16">
        <f t="shared" si="12"/>
        <v>0</v>
      </c>
      <c r="AY19" s="14"/>
      <c r="AZ19" s="15"/>
      <c r="BA19" s="16">
        <f t="shared" si="13"/>
        <v>0</v>
      </c>
      <c r="BB19" s="14"/>
      <c r="BC19" s="15"/>
      <c r="BD19" s="16">
        <f t="shared" si="14"/>
        <v>0</v>
      </c>
      <c r="BE19" s="14"/>
      <c r="BF19" s="15"/>
      <c r="BG19" s="16">
        <f>IFERROR(BE19*BF19, 0)</f>
        <v>0</v>
      </c>
      <c r="BH19" s="14"/>
      <c r="BI19" s="15"/>
      <c r="BJ19" s="16">
        <f t="shared" si="15"/>
        <v>0</v>
      </c>
      <c r="BK19" s="14"/>
      <c r="BL19" s="15"/>
      <c r="BM19" s="16">
        <f t="shared" si="16"/>
        <v>0</v>
      </c>
      <c r="BN19" s="14"/>
      <c r="BO19" s="15"/>
      <c r="BP19" s="16">
        <f t="shared" si="17"/>
        <v>0</v>
      </c>
      <c r="BQ19" s="14"/>
      <c r="BR19" s="15"/>
      <c r="BS19" s="16">
        <f>IFERROR(BQ19*BR19, 0)</f>
        <v>0</v>
      </c>
      <c r="BT19" s="14"/>
      <c r="BU19" s="15"/>
      <c r="BV19" s="16">
        <f t="shared" si="18"/>
        <v>0</v>
      </c>
      <c r="BW19" s="14">
        <v>12</v>
      </c>
      <c r="BX19" s="15">
        <v>2000</v>
      </c>
      <c r="BY19" s="16">
        <v>24000</v>
      </c>
      <c r="BZ19" s="14"/>
      <c r="CA19" s="15"/>
      <c r="CB19" s="16">
        <f t="shared" si="20"/>
        <v>0</v>
      </c>
      <c r="CC19" s="14"/>
      <c r="CD19" s="15"/>
      <c r="CE19" s="16">
        <f t="shared" si="21"/>
        <v>0</v>
      </c>
      <c r="CF19" s="14"/>
      <c r="CG19" s="15"/>
      <c r="CH19" s="16">
        <f t="shared" si="22"/>
        <v>0</v>
      </c>
      <c r="CI19" s="14"/>
      <c r="CJ19" s="15"/>
      <c r="CK19" s="16">
        <f t="shared" si="23"/>
        <v>0</v>
      </c>
      <c r="CL19" s="14"/>
      <c r="CM19" s="15"/>
      <c r="CN19" s="16">
        <f t="shared" si="24"/>
        <v>0</v>
      </c>
      <c r="CO19" s="14"/>
      <c r="CP19" s="15"/>
      <c r="CQ19" s="16">
        <f t="shared" si="25"/>
        <v>0</v>
      </c>
      <c r="CR19" s="14"/>
      <c r="CS19" s="15"/>
      <c r="CT19" s="16">
        <f t="shared" si="26"/>
        <v>0</v>
      </c>
      <c r="CU19" s="17">
        <f t="shared" si="27"/>
        <v>12</v>
      </c>
      <c r="CV19" s="16">
        <f t="shared" si="28"/>
        <v>2000</v>
      </c>
      <c r="CW19" s="16">
        <f t="shared" si="29"/>
        <v>24000</v>
      </c>
    </row>
    <row r="20" spans="1:101" ht="15.75" customHeight="1" x14ac:dyDescent="0.35">
      <c r="A20" s="41" t="s">
        <v>112</v>
      </c>
      <c r="B20" s="41" t="s">
        <v>846</v>
      </c>
      <c r="C20" s="42"/>
      <c r="D20" s="43"/>
      <c r="E20" s="78">
        <f t="shared" si="0"/>
        <v>0</v>
      </c>
      <c r="F20" s="14"/>
      <c r="G20" s="15"/>
      <c r="H20" s="16">
        <f>IFERROR(F20*G20, 0)</f>
        <v>0</v>
      </c>
      <c r="I20" s="14">
        <v>10</v>
      </c>
      <c r="J20" s="15">
        <v>4800</v>
      </c>
      <c r="K20" s="16">
        <v>48000</v>
      </c>
      <c r="L20" s="14"/>
      <c r="M20" s="15"/>
      <c r="N20" s="16">
        <f t="shared" si="2"/>
        <v>0</v>
      </c>
      <c r="O20" s="14"/>
      <c r="P20" s="15"/>
      <c r="Q20" s="16">
        <f t="shared" si="3"/>
        <v>0</v>
      </c>
      <c r="R20" s="14"/>
      <c r="S20" s="15"/>
      <c r="T20" s="16">
        <f t="shared" si="4"/>
        <v>0</v>
      </c>
      <c r="U20" s="14"/>
      <c r="V20" s="15"/>
      <c r="W20" s="16">
        <f t="shared" si="5"/>
        <v>0</v>
      </c>
      <c r="X20" s="14">
        <v>10</v>
      </c>
      <c r="Y20" s="15">
        <v>4800</v>
      </c>
      <c r="Z20" s="16">
        <v>48000</v>
      </c>
      <c r="AA20" s="14"/>
      <c r="AB20" s="15"/>
      <c r="AC20" s="16">
        <f t="shared" si="6"/>
        <v>0</v>
      </c>
      <c r="AD20" s="14"/>
      <c r="AE20" s="15"/>
      <c r="AF20" s="16">
        <f t="shared" si="7"/>
        <v>0</v>
      </c>
      <c r="AG20" s="14"/>
      <c r="AH20" s="15"/>
      <c r="AI20" s="16">
        <f t="shared" si="31"/>
        <v>0</v>
      </c>
      <c r="AJ20" s="14"/>
      <c r="AK20" s="15"/>
      <c r="AL20" s="16">
        <f t="shared" si="8"/>
        <v>0</v>
      </c>
      <c r="AM20" s="14"/>
      <c r="AN20" s="15"/>
      <c r="AO20" s="16">
        <f t="shared" si="9"/>
        <v>0</v>
      </c>
      <c r="AP20" s="14"/>
      <c r="AQ20" s="15"/>
      <c r="AR20" s="16">
        <f t="shared" si="10"/>
        <v>0</v>
      </c>
      <c r="AS20" s="14"/>
      <c r="AT20" s="15"/>
      <c r="AU20" s="16">
        <f t="shared" si="11"/>
        <v>0</v>
      </c>
      <c r="AV20" s="14"/>
      <c r="AW20" s="15"/>
      <c r="AX20" s="16">
        <f t="shared" si="12"/>
        <v>0</v>
      </c>
      <c r="AY20" s="14"/>
      <c r="AZ20" s="15"/>
      <c r="BA20" s="16">
        <f t="shared" si="13"/>
        <v>0</v>
      </c>
      <c r="BB20" s="14"/>
      <c r="BC20" s="15"/>
      <c r="BD20" s="16">
        <f t="shared" si="14"/>
        <v>0</v>
      </c>
      <c r="BE20" s="14">
        <v>6</v>
      </c>
      <c r="BF20" s="15">
        <v>4800</v>
      </c>
      <c r="BG20" s="16">
        <v>28800</v>
      </c>
      <c r="BH20" s="14"/>
      <c r="BI20" s="15"/>
      <c r="BJ20" s="16">
        <f t="shared" si="15"/>
        <v>0</v>
      </c>
      <c r="BK20" s="14"/>
      <c r="BL20" s="15"/>
      <c r="BM20" s="16">
        <f t="shared" si="16"/>
        <v>0</v>
      </c>
      <c r="BN20" s="14"/>
      <c r="BO20" s="15"/>
      <c r="BP20" s="16">
        <f t="shared" si="17"/>
        <v>0</v>
      </c>
      <c r="BQ20" s="14">
        <v>6</v>
      </c>
      <c r="BR20" s="15">
        <v>4800</v>
      </c>
      <c r="BS20" s="16">
        <v>28800</v>
      </c>
      <c r="BT20" s="14"/>
      <c r="BU20" s="15"/>
      <c r="BV20" s="16">
        <f t="shared" si="18"/>
        <v>0</v>
      </c>
      <c r="BW20" s="14"/>
      <c r="BX20" s="15"/>
      <c r="BY20" s="16">
        <f t="shared" ref="BY20:BY51" si="32">IFERROR(BW20*BX20, 0)</f>
        <v>0</v>
      </c>
      <c r="BZ20" s="14"/>
      <c r="CA20" s="15"/>
      <c r="CB20" s="16">
        <f t="shared" si="20"/>
        <v>0</v>
      </c>
      <c r="CC20" s="14"/>
      <c r="CD20" s="15"/>
      <c r="CE20" s="16">
        <f t="shared" si="21"/>
        <v>0</v>
      </c>
      <c r="CF20" s="14"/>
      <c r="CG20" s="15"/>
      <c r="CH20" s="16">
        <f t="shared" si="22"/>
        <v>0</v>
      </c>
      <c r="CI20" s="14"/>
      <c r="CJ20" s="15"/>
      <c r="CK20" s="16">
        <f t="shared" si="23"/>
        <v>0</v>
      </c>
      <c r="CL20" s="14"/>
      <c r="CM20" s="15"/>
      <c r="CN20" s="16">
        <f t="shared" si="24"/>
        <v>0</v>
      </c>
      <c r="CO20" s="14"/>
      <c r="CP20" s="15"/>
      <c r="CQ20" s="16">
        <f t="shared" si="25"/>
        <v>0</v>
      </c>
      <c r="CR20" s="14"/>
      <c r="CS20" s="15"/>
      <c r="CT20" s="16">
        <f t="shared" si="26"/>
        <v>0</v>
      </c>
      <c r="CU20" s="17">
        <f t="shared" si="27"/>
        <v>32</v>
      </c>
      <c r="CV20" s="16">
        <f t="shared" si="28"/>
        <v>4800</v>
      </c>
      <c r="CW20" s="16">
        <f t="shared" si="29"/>
        <v>153600</v>
      </c>
    </row>
    <row r="21" spans="1:101" ht="15.75" customHeight="1" x14ac:dyDescent="0.35">
      <c r="A21" s="41" t="s">
        <v>290</v>
      </c>
      <c r="B21" s="41" t="s">
        <v>935</v>
      </c>
      <c r="C21" s="42"/>
      <c r="D21" s="43"/>
      <c r="E21" s="78">
        <f t="shared" si="0"/>
        <v>0</v>
      </c>
      <c r="F21" s="14"/>
      <c r="G21" s="15"/>
      <c r="H21" s="16">
        <f>IFERROR(F21*G21, 0)</f>
        <v>0</v>
      </c>
      <c r="I21" s="14"/>
      <c r="J21" s="15"/>
      <c r="K21" s="16">
        <f>IFERROR(I21*J21, 0)</f>
        <v>0</v>
      </c>
      <c r="L21" s="14"/>
      <c r="M21" s="15"/>
      <c r="N21" s="16">
        <f t="shared" si="2"/>
        <v>0</v>
      </c>
      <c r="O21" s="14"/>
      <c r="P21" s="15"/>
      <c r="Q21" s="16">
        <f t="shared" si="3"/>
        <v>0</v>
      </c>
      <c r="R21" s="14"/>
      <c r="S21" s="15"/>
      <c r="T21" s="16">
        <f t="shared" si="4"/>
        <v>0</v>
      </c>
      <c r="U21" s="14"/>
      <c r="V21" s="15"/>
      <c r="W21" s="16">
        <f t="shared" si="5"/>
        <v>0</v>
      </c>
      <c r="X21" s="14">
        <v>5</v>
      </c>
      <c r="Y21" s="15">
        <v>2600</v>
      </c>
      <c r="Z21" s="16">
        <v>13000</v>
      </c>
      <c r="AA21" s="14"/>
      <c r="AB21" s="15"/>
      <c r="AC21" s="16">
        <f t="shared" si="6"/>
        <v>0</v>
      </c>
      <c r="AD21" s="14"/>
      <c r="AE21" s="15"/>
      <c r="AF21" s="16">
        <f t="shared" si="7"/>
        <v>0</v>
      </c>
      <c r="AG21" s="14"/>
      <c r="AH21" s="15"/>
      <c r="AI21" s="16">
        <f t="shared" si="31"/>
        <v>0</v>
      </c>
      <c r="AJ21" s="14"/>
      <c r="AK21" s="15"/>
      <c r="AL21" s="16">
        <f t="shared" si="8"/>
        <v>0</v>
      </c>
      <c r="AM21" s="14"/>
      <c r="AN21" s="15"/>
      <c r="AO21" s="16">
        <f t="shared" si="9"/>
        <v>0</v>
      </c>
      <c r="AP21" s="14"/>
      <c r="AQ21" s="15"/>
      <c r="AR21" s="16">
        <f t="shared" si="10"/>
        <v>0</v>
      </c>
      <c r="AS21" s="14"/>
      <c r="AT21" s="15"/>
      <c r="AU21" s="16">
        <f t="shared" si="11"/>
        <v>0</v>
      </c>
      <c r="AV21" s="14"/>
      <c r="AW21" s="15"/>
      <c r="AX21" s="16">
        <f t="shared" si="12"/>
        <v>0</v>
      </c>
      <c r="AY21" s="14"/>
      <c r="AZ21" s="15"/>
      <c r="BA21" s="16">
        <f t="shared" si="13"/>
        <v>0</v>
      </c>
      <c r="BB21" s="14"/>
      <c r="BC21" s="15"/>
      <c r="BD21" s="16">
        <f t="shared" si="14"/>
        <v>0</v>
      </c>
      <c r="BE21" s="14"/>
      <c r="BF21" s="15"/>
      <c r="BG21" s="16">
        <f>IFERROR(BE21*BF21, 0)</f>
        <v>0</v>
      </c>
      <c r="BH21" s="14"/>
      <c r="BI21" s="15"/>
      <c r="BJ21" s="16">
        <f t="shared" si="15"/>
        <v>0</v>
      </c>
      <c r="BK21" s="14"/>
      <c r="BL21" s="15"/>
      <c r="BM21" s="16">
        <f t="shared" si="16"/>
        <v>0</v>
      </c>
      <c r="BN21" s="14"/>
      <c r="BO21" s="15"/>
      <c r="BP21" s="16">
        <f t="shared" si="17"/>
        <v>0</v>
      </c>
      <c r="BQ21" s="14">
        <v>3</v>
      </c>
      <c r="BR21" s="15">
        <v>2600</v>
      </c>
      <c r="BS21" s="16">
        <v>7800</v>
      </c>
      <c r="BT21" s="14"/>
      <c r="BU21" s="15"/>
      <c r="BV21" s="16">
        <f t="shared" si="18"/>
        <v>0</v>
      </c>
      <c r="BW21" s="14"/>
      <c r="BX21" s="15"/>
      <c r="BY21" s="16">
        <f t="shared" si="32"/>
        <v>0</v>
      </c>
      <c r="BZ21" s="14"/>
      <c r="CA21" s="15"/>
      <c r="CB21" s="16">
        <f t="shared" si="20"/>
        <v>0</v>
      </c>
      <c r="CC21" s="14"/>
      <c r="CD21" s="15"/>
      <c r="CE21" s="16">
        <f t="shared" si="21"/>
        <v>0</v>
      </c>
      <c r="CF21" s="14"/>
      <c r="CG21" s="15"/>
      <c r="CH21" s="16">
        <f t="shared" si="22"/>
        <v>0</v>
      </c>
      <c r="CI21" s="14"/>
      <c r="CJ21" s="15"/>
      <c r="CK21" s="16">
        <f t="shared" si="23"/>
        <v>0</v>
      </c>
      <c r="CL21" s="14"/>
      <c r="CM21" s="15"/>
      <c r="CN21" s="16">
        <f t="shared" si="24"/>
        <v>0</v>
      </c>
      <c r="CO21" s="14"/>
      <c r="CP21" s="15"/>
      <c r="CQ21" s="16">
        <f t="shared" si="25"/>
        <v>0</v>
      </c>
      <c r="CR21" s="14"/>
      <c r="CS21" s="15"/>
      <c r="CT21" s="16">
        <f t="shared" si="26"/>
        <v>0</v>
      </c>
      <c r="CU21" s="17">
        <f t="shared" si="27"/>
        <v>8</v>
      </c>
      <c r="CV21" s="16">
        <f t="shared" si="28"/>
        <v>2600</v>
      </c>
      <c r="CW21" s="16">
        <f t="shared" si="29"/>
        <v>20800</v>
      </c>
    </row>
    <row r="22" spans="1:101" ht="15.75" customHeight="1" x14ac:dyDescent="0.35">
      <c r="A22" s="41" t="s">
        <v>51</v>
      </c>
      <c r="B22" s="41" t="s">
        <v>935</v>
      </c>
      <c r="C22" s="42"/>
      <c r="D22" s="43"/>
      <c r="E22" s="78">
        <f t="shared" si="0"/>
        <v>0</v>
      </c>
      <c r="F22" s="14">
        <v>2</v>
      </c>
      <c r="G22" s="15">
        <v>9600</v>
      </c>
      <c r="H22" s="16">
        <v>19200</v>
      </c>
      <c r="I22" s="14">
        <v>3</v>
      </c>
      <c r="J22" s="15">
        <v>9600</v>
      </c>
      <c r="K22" s="16">
        <v>28800</v>
      </c>
      <c r="L22" s="14"/>
      <c r="M22" s="15"/>
      <c r="N22" s="16">
        <f t="shared" si="2"/>
        <v>0</v>
      </c>
      <c r="O22" s="14"/>
      <c r="P22" s="15"/>
      <c r="Q22" s="16">
        <f t="shared" si="3"/>
        <v>0</v>
      </c>
      <c r="R22" s="14"/>
      <c r="S22" s="15"/>
      <c r="T22" s="16">
        <f t="shared" si="4"/>
        <v>0</v>
      </c>
      <c r="U22" s="14"/>
      <c r="V22" s="15"/>
      <c r="W22" s="16">
        <f t="shared" si="5"/>
        <v>0</v>
      </c>
      <c r="X22" s="14">
        <v>6</v>
      </c>
      <c r="Y22" s="15">
        <v>9600</v>
      </c>
      <c r="Z22" s="16">
        <v>57600</v>
      </c>
      <c r="AA22" s="14"/>
      <c r="AB22" s="15"/>
      <c r="AC22" s="16">
        <f t="shared" si="6"/>
        <v>0</v>
      </c>
      <c r="AD22" s="14"/>
      <c r="AE22" s="15"/>
      <c r="AF22" s="16">
        <f t="shared" si="7"/>
        <v>0</v>
      </c>
      <c r="AG22" s="14"/>
      <c r="AH22" s="15"/>
      <c r="AI22" s="16">
        <f t="shared" si="31"/>
        <v>0</v>
      </c>
      <c r="AJ22" s="14"/>
      <c r="AK22" s="15"/>
      <c r="AL22" s="16">
        <f t="shared" si="8"/>
        <v>0</v>
      </c>
      <c r="AM22" s="14"/>
      <c r="AN22" s="15"/>
      <c r="AO22" s="16">
        <f t="shared" si="9"/>
        <v>0</v>
      </c>
      <c r="AP22" s="14"/>
      <c r="AQ22" s="15"/>
      <c r="AR22" s="16">
        <f t="shared" si="10"/>
        <v>0</v>
      </c>
      <c r="AS22" s="14"/>
      <c r="AT22" s="15"/>
      <c r="AU22" s="16">
        <f t="shared" si="11"/>
        <v>0</v>
      </c>
      <c r="AV22" s="14"/>
      <c r="AW22" s="15"/>
      <c r="AX22" s="16">
        <f t="shared" si="12"/>
        <v>0</v>
      </c>
      <c r="AY22" s="14"/>
      <c r="AZ22" s="15"/>
      <c r="BA22" s="16">
        <f t="shared" si="13"/>
        <v>0</v>
      </c>
      <c r="BB22" s="14"/>
      <c r="BC22" s="15"/>
      <c r="BD22" s="16">
        <f t="shared" si="14"/>
        <v>0</v>
      </c>
      <c r="BE22" s="14">
        <v>3</v>
      </c>
      <c r="BF22" s="15">
        <v>9600</v>
      </c>
      <c r="BG22" s="16">
        <v>28800</v>
      </c>
      <c r="BH22" s="14"/>
      <c r="BI22" s="15"/>
      <c r="BJ22" s="16">
        <f t="shared" si="15"/>
        <v>0</v>
      </c>
      <c r="BK22" s="14"/>
      <c r="BL22" s="15"/>
      <c r="BM22" s="16">
        <f t="shared" si="16"/>
        <v>0</v>
      </c>
      <c r="BN22" s="14"/>
      <c r="BO22" s="15"/>
      <c r="BP22" s="16">
        <f t="shared" si="17"/>
        <v>0</v>
      </c>
      <c r="BQ22" s="14">
        <v>5</v>
      </c>
      <c r="BR22" s="15">
        <v>9600</v>
      </c>
      <c r="BS22" s="16">
        <v>48000</v>
      </c>
      <c r="BT22" s="14"/>
      <c r="BU22" s="15"/>
      <c r="BV22" s="16">
        <f t="shared" si="18"/>
        <v>0</v>
      </c>
      <c r="BW22" s="14"/>
      <c r="BX22" s="15"/>
      <c r="BY22" s="16">
        <f t="shared" si="32"/>
        <v>0</v>
      </c>
      <c r="BZ22" s="14"/>
      <c r="CA22" s="15"/>
      <c r="CB22" s="16">
        <f t="shared" si="20"/>
        <v>0</v>
      </c>
      <c r="CC22" s="14"/>
      <c r="CD22" s="15"/>
      <c r="CE22" s="16">
        <f t="shared" si="21"/>
        <v>0</v>
      </c>
      <c r="CF22" s="14"/>
      <c r="CG22" s="15"/>
      <c r="CH22" s="16">
        <f t="shared" si="22"/>
        <v>0</v>
      </c>
      <c r="CI22" s="14"/>
      <c r="CJ22" s="15"/>
      <c r="CK22" s="16">
        <f t="shared" si="23"/>
        <v>0</v>
      </c>
      <c r="CL22" s="14"/>
      <c r="CM22" s="15"/>
      <c r="CN22" s="16">
        <f t="shared" si="24"/>
        <v>0</v>
      </c>
      <c r="CO22" s="14"/>
      <c r="CP22" s="15"/>
      <c r="CQ22" s="16">
        <f t="shared" si="25"/>
        <v>0</v>
      </c>
      <c r="CR22" s="14"/>
      <c r="CS22" s="15"/>
      <c r="CT22" s="16">
        <f t="shared" si="26"/>
        <v>0</v>
      </c>
      <c r="CU22" s="17">
        <f t="shared" si="27"/>
        <v>19</v>
      </c>
      <c r="CV22" s="16">
        <f t="shared" si="28"/>
        <v>9600</v>
      </c>
      <c r="CW22" s="16">
        <f t="shared" si="29"/>
        <v>182400</v>
      </c>
    </row>
    <row r="23" spans="1:101" ht="15.75" customHeight="1" x14ac:dyDescent="0.35">
      <c r="A23" s="41" t="s">
        <v>812</v>
      </c>
      <c r="B23" s="41" t="s">
        <v>935</v>
      </c>
      <c r="C23" s="42"/>
      <c r="D23" s="43"/>
      <c r="E23" s="78">
        <f t="shared" si="0"/>
        <v>0</v>
      </c>
      <c r="F23" s="14"/>
      <c r="G23" s="15"/>
      <c r="H23" s="16">
        <f t="shared" ref="H23:H33" si="33">IFERROR(F23*G23, 0)</f>
        <v>0</v>
      </c>
      <c r="I23" s="14"/>
      <c r="J23" s="15"/>
      <c r="K23" s="16">
        <f>IFERROR(I23*J23, 0)</f>
        <v>0</v>
      </c>
      <c r="L23" s="14"/>
      <c r="M23" s="15"/>
      <c r="N23" s="16">
        <f t="shared" si="2"/>
        <v>0</v>
      </c>
      <c r="O23" s="14"/>
      <c r="P23" s="15"/>
      <c r="Q23" s="16">
        <f t="shared" si="3"/>
        <v>0</v>
      </c>
      <c r="R23" s="14"/>
      <c r="S23" s="15"/>
      <c r="T23" s="16">
        <f t="shared" si="4"/>
        <v>0</v>
      </c>
      <c r="U23" s="14"/>
      <c r="V23" s="15"/>
      <c r="W23" s="16">
        <f t="shared" si="5"/>
        <v>0</v>
      </c>
      <c r="X23" s="14"/>
      <c r="Y23" s="15"/>
      <c r="Z23" s="16">
        <f>IFERROR(X23*Y23, 0)</f>
        <v>0</v>
      </c>
      <c r="AA23" s="14"/>
      <c r="AB23" s="15"/>
      <c r="AC23" s="16">
        <f t="shared" si="6"/>
        <v>0</v>
      </c>
      <c r="AD23" s="14"/>
      <c r="AE23" s="15"/>
      <c r="AF23" s="16">
        <f t="shared" si="7"/>
        <v>0</v>
      </c>
      <c r="AG23" s="14"/>
      <c r="AH23" s="15"/>
      <c r="AI23" s="16">
        <f t="shared" si="31"/>
        <v>0</v>
      </c>
      <c r="AJ23" s="14"/>
      <c r="AK23" s="15"/>
      <c r="AL23" s="16">
        <f t="shared" si="8"/>
        <v>0</v>
      </c>
      <c r="AM23" s="14"/>
      <c r="AN23" s="15"/>
      <c r="AO23" s="16">
        <f t="shared" si="9"/>
        <v>0</v>
      </c>
      <c r="AP23" s="14"/>
      <c r="AQ23" s="15"/>
      <c r="AR23" s="16">
        <f t="shared" si="10"/>
        <v>0</v>
      </c>
      <c r="AS23" s="14"/>
      <c r="AT23" s="15"/>
      <c r="AU23" s="16">
        <f t="shared" si="11"/>
        <v>0</v>
      </c>
      <c r="AV23" s="14"/>
      <c r="AW23" s="15"/>
      <c r="AX23" s="16">
        <f t="shared" si="12"/>
        <v>0</v>
      </c>
      <c r="AY23" s="14"/>
      <c r="AZ23" s="15"/>
      <c r="BA23" s="16">
        <f t="shared" si="13"/>
        <v>0</v>
      </c>
      <c r="BB23" s="14"/>
      <c r="BC23" s="15"/>
      <c r="BD23" s="16">
        <f t="shared" si="14"/>
        <v>0</v>
      </c>
      <c r="BE23" s="14"/>
      <c r="BF23" s="15"/>
      <c r="BG23" s="16">
        <f>IFERROR(BE23*BF23, 0)</f>
        <v>0</v>
      </c>
      <c r="BH23" s="14"/>
      <c r="BI23" s="15"/>
      <c r="BJ23" s="16">
        <f t="shared" si="15"/>
        <v>0</v>
      </c>
      <c r="BK23" s="14"/>
      <c r="BL23" s="15"/>
      <c r="BM23" s="16">
        <f t="shared" si="16"/>
        <v>0</v>
      </c>
      <c r="BN23" s="14"/>
      <c r="BO23" s="15"/>
      <c r="BP23" s="16">
        <f t="shared" si="17"/>
        <v>0</v>
      </c>
      <c r="BQ23" s="14"/>
      <c r="BR23" s="15"/>
      <c r="BS23" s="16">
        <f>IFERROR(BQ23*BR23, 0)</f>
        <v>0</v>
      </c>
      <c r="BT23" s="14"/>
      <c r="BU23" s="15"/>
      <c r="BV23" s="16">
        <f t="shared" si="18"/>
        <v>0</v>
      </c>
      <c r="BW23" s="14"/>
      <c r="BX23" s="15"/>
      <c r="BY23" s="16">
        <f t="shared" si="32"/>
        <v>0</v>
      </c>
      <c r="BZ23" s="14"/>
      <c r="CA23" s="15"/>
      <c r="CB23" s="16">
        <f t="shared" si="20"/>
        <v>0</v>
      </c>
      <c r="CC23" s="14"/>
      <c r="CD23" s="15"/>
      <c r="CE23" s="16">
        <f t="shared" si="21"/>
        <v>0</v>
      </c>
      <c r="CF23" s="14"/>
      <c r="CG23" s="15"/>
      <c r="CH23" s="16">
        <f t="shared" si="22"/>
        <v>0</v>
      </c>
      <c r="CI23" s="14"/>
      <c r="CJ23" s="15"/>
      <c r="CK23" s="16">
        <f t="shared" si="23"/>
        <v>0</v>
      </c>
      <c r="CL23" s="14"/>
      <c r="CM23" s="15"/>
      <c r="CN23" s="16">
        <f t="shared" si="24"/>
        <v>0</v>
      </c>
      <c r="CO23" s="14"/>
      <c r="CP23" s="15"/>
      <c r="CQ23" s="16">
        <f t="shared" si="25"/>
        <v>0</v>
      </c>
      <c r="CR23" s="14"/>
      <c r="CS23" s="15"/>
      <c r="CT23" s="16">
        <f t="shared" si="26"/>
        <v>0</v>
      </c>
      <c r="CU23" s="17">
        <f t="shared" si="27"/>
        <v>0</v>
      </c>
      <c r="CV23" s="16">
        <f t="shared" si="28"/>
        <v>0</v>
      </c>
      <c r="CW23" s="16">
        <f t="shared" si="29"/>
        <v>0</v>
      </c>
    </row>
    <row r="24" spans="1:101" ht="15.75" customHeight="1" x14ac:dyDescent="0.35">
      <c r="A24" s="21" t="s">
        <v>982</v>
      </c>
      <c r="B24" s="21" t="s">
        <v>935</v>
      </c>
      <c r="C24" s="44"/>
      <c r="D24" s="22"/>
      <c r="E24" s="78">
        <f t="shared" si="0"/>
        <v>0</v>
      </c>
      <c r="F24" s="14"/>
      <c r="G24" s="15"/>
      <c r="H24" s="16">
        <f t="shared" si="33"/>
        <v>0</v>
      </c>
      <c r="I24" s="14"/>
      <c r="J24" s="15"/>
      <c r="K24" s="16">
        <f>IFERROR(I24*J24, 0)</f>
        <v>0</v>
      </c>
      <c r="L24" s="14"/>
      <c r="M24" s="15"/>
      <c r="N24" s="16">
        <f t="shared" si="2"/>
        <v>0</v>
      </c>
      <c r="O24" s="14"/>
      <c r="P24" s="15"/>
      <c r="Q24" s="16">
        <f t="shared" si="3"/>
        <v>0</v>
      </c>
      <c r="R24" s="14"/>
      <c r="S24" s="15"/>
      <c r="T24" s="16">
        <f t="shared" si="4"/>
        <v>0</v>
      </c>
      <c r="U24" s="14"/>
      <c r="V24" s="15"/>
      <c r="W24" s="16">
        <f t="shared" si="5"/>
        <v>0</v>
      </c>
      <c r="X24" s="14"/>
      <c r="Y24" s="15"/>
      <c r="Z24" s="16">
        <f>IFERROR(X24*Y24, 0)</f>
        <v>0</v>
      </c>
      <c r="AA24" s="14"/>
      <c r="AB24" s="15"/>
      <c r="AC24" s="16">
        <f t="shared" si="6"/>
        <v>0</v>
      </c>
      <c r="AD24" s="14"/>
      <c r="AE24" s="15"/>
      <c r="AF24" s="16">
        <f t="shared" si="7"/>
        <v>0</v>
      </c>
      <c r="AG24" s="14"/>
      <c r="AH24" s="15"/>
      <c r="AI24" s="16">
        <f t="shared" si="31"/>
        <v>0</v>
      </c>
      <c r="AJ24" s="14"/>
      <c r="AK24" s="15"/>
      <c r="AL24" s="16">
        <f t="shared" si="8"/>
        <v>0</v>
      </c>
      <c r="AM24" s="14"/>
      <c r="AN24" s="15"/>
      <c r="AO24" s="16">
        <f t="shared" si="9"/>
        <v>0</v>
      </c>
      <c r="AP24" s="14"/>
      <c r="AQ24" s="15"/>
      <c r="AR24" s="16">
        <f t="shared" si="10"/>
        <v>0</v>
      </c>
      <c r="AS24" s="14"/>
      <c r="AT24" s="15"/>
      <c r="AU24" s="16">
        <f t="shared" si="11"/>
        <v>0</v>
      </c>
      <c r="AV24" s="14"/>
      <c r="AW24" s="15"/>
      <c r="AX24" s="16">
        <f t="shared" si="12"/>
        <v>0</v>
      </c>
      <c r="AY24" s="14"/>
      <c r="AZ24" s="15"/>
      <c r="BA24" s="16">
        <f t="shared" si="13"/>
        <v>0</v>
      </c>
      <c r="BB24" s="14"/>
      <c r="BC24" s="15"/>
      <c r="BD24" s="16">
        <f t="shared" si="14"/>
        <v>0</v>
      </c>
      <c r="BE24" s="14"/>
      <c r="BF24" s="15"/>
      <c r="BG24" s="16">
        <f>IFERROR(BE24*BF24, 0)</f>
        <v>0</v>
      </c>
      <c r="BH24" s="14"/>
      <c r="BI24" s="15"/>
      <c r="BJ24" s="16">
        <f t="shared" si="15"/>
        <v>0</v>
      </c>
      <c r="BK24" s="14"/>
      <c r="BL24" s="15"/>
      <c r="BM24" s="16">
        <f t="shared" si="16"/>
        <v>0</v>
      </c>
      <c r="BN24" s="14"/>
      <c r="BO24" s="15"/>
      <c r="BP24" s="16">
        <f t="shared" si="17"/>
        <v>0</v>
      </c>
      <c r="BQ24" s="14"/>
      <c r="BR24" s="15"/>
      <c r="BS24" s="16">
        <f>IFERROR(BQ24*BR24, 0)</f>
        <v>0</v>
      </c>
      <c r="BT24" s="14"/>
      <c r="BU24" s="15"/>
      <c r="BV24" s="16">
        <f t="shared" si="18"/>
        <v>0</v>
      </c>
      <c r="BW24" s="14"/>
      <c r="BX24" s="15"/>
      <c r="BY24" s="16">
        <f t="shared" si="32"/>
        <v>0</v>
      </c>
      <c r="BZ24" s="14"/>
      <c r="CA24" s="15"/>
      <c r="CB24" s="16">
        <f t="shared" si="20"/>
        <v>0</v>
      </c>
      <c r="CC24" s="14"/>
      <c r="CD24" s="15"/>
      <c r="CE24" s="16">
        <f t="shared" si="21"/>
        <v>0</v>
      </c>
      <c r="CF24" s="14"/>
      <c r="CG24" s="15"/>
      <c r="CH24" s="16">
        <f t="shared" si="22"/>
        <v>0</v>
      </c>
      <c r="CI24" s="14"/>
      <c r="CJ24" s="15"/>
      <c r="CK24" s="16">
        <f t="shared" si="23"/>
        <v>0</v>
      </c>
      <c r="CL24" s="14"/>
      <c r="CM24" s="15"/>
      <c r="CN24" s="16">
        <f t="shared" si="24"/>
        <v>0</v>
      </c>
      <c r="CO24" s="14"/>
      <c r="CP24" s="15"/>
      <c r="CQ24" s="16">
        <f t="shared" si="25"/>
        <v>0</v>
      </c>
      <c r="CR24" s="14"/>
      <c r="CS24" s="15"/>
      <c r="CT24" s="16">
        <f t="shared" si="26"/>
        <v>0</v>
      </c>
      <c r="CU24" s="17">
        <f t="shared" si="27"/>
        <v>0</v>
      </c>
      <c r="CV24" s="16">
        <f t="shared" si="28"/>
        <v>0</v>
      </c>
      <c r="CW24" s="16">
        <f t="shared" si="29"/>
        <v>0</v>
      </c>
    </row>
    <row r="25" spans="1:101" ht="15.75" customHeight="1" x14ac:dyDescent="0.35">
      <c r="A25" s="41" t="s">
        <v>983</v>
      </c>
      <c r="B25" s="41" t="s">
        <v>935</v>
      </c>
      <c r="C25" s="42"/>
      <c r="D25" s="43"/>
      <c r="E25" s="78">
        <f t="shared" si="0"/>
        <v>0</v>
      </c>
      <c r="F25" s="14"/>
      <c r="G25" s="15"/>
      <c r="H25" s="16">
        <f t="shared" si="33"/>
        <v>0</v>
      </c>
      <c r="I25" s="14"/>
      <c r="J25" s="15"/>
      <c r="K25" s="16">
        <f>IFERROR(I25*J25, 0)</f>
        <v>0</v>
      </c>
      <c r="L25" s="14"/>
      <c r="M25" s="15"/>
      <c r="N25" s="16">
        <f t="shared" si="2"/>
        <v>0</v>
      </c>
      <c r="O25" s="14"/>
      <c r="P25" s="15"/>
      <c r="Q25" s="16">
        <f t="shared" si="3"/>
        <v>0</v>
      </c>
      <c r="R25" s="14"/>
      <c r="S25" s="15"/>
      <c r="T25" s="16">
        <f t="shared" si="4"/>
        <v>0</v>
      </c>
      <c r="U25" s="14"/>
      <c r="V25" s="15"/>
      <c r="W25" s="16">
        <f t="shared" si="5"/>
        <v>0</v>
      </c>
      <c r="X25" s="14"/>
      <c r="Y25" s="15"/>
      <c r="Z25" s="16">
        <f>IFERROR(X25*Y25, 0)</f>
        <v>0</v>
      </c>
      <c r="AA25" s="14"/>
      <c r="AB25" s="15"/>
      <c r="AC25" s="16">
        <f t="shared" si="6"/>
        <v>0</v>
      </c>
      <c r="AD25" s="14"/>
      <c r="AE25" s="15"/>
      <c r="AF25" s="16">
        <f t="shared" si="7"/>
        <v>0</v>
      </c>
      <c r="AG25" s="14"/>
      <c r="AH25" s="15"/>
      <c r="AI25" s="16">
        <f t="shared" si="31"/>
        <v>0</v>
      </c>
      <c r="AJ25" s="14"/>
      <c r="AK25" s="15"/>
      <c r="AL25" s="16">
        <f t="shared" si="8"/>
        <v>0</v>
      </c>
      <c r="AM25" s="14"/>
      <c r="AN25" s="15"/>
      <c r="AO25" s="16">
        <f t="shared" si="9"/>
        <v>0</v>
      </c>
      <c r="AP25" s="14"/>
      <c r="AQ25" s="15"/>
      <c r="AR25" s="16">
        <f t="shared" si="10"/>
        <v>0</v>
      </c>
      <c r="AS25" s="14"/>
      <c r="AT25" s="15"/>
      <c r="AU25" s="16">
        <f t="shared" si="11"/>
        <v>0</v>
      </c>
      <c r="AV25" s="14"/>
      <c r="AW25" s="15"/>
      <c r="AX25" s="16">
        <f t="shared" si="12"/>
        <v>0</v>
      </c>
      <c r="AY25" s="14"/>
      <c r="AZ25" s="15"/>
      <c r="BA25" s="16">
        <f t="shared" si="13"/>
        <v>0</v>
      </c>
      <c r="BB25" s="14"/>
      <c r="BC25" s="15"/>
      <c r="BD25" s="16">
        <f t="shared" si="14"/>
        <v>0</v>
      </c>
      <c r="BE25" s="14"/>
      <c r="BF25" s="15"/>
      <c r="BG25" s="16">
        <f>IFERROR(BE25*BF25, 0)</f>
        <v>0</v>
      </c>
      <c r="BH25" s="14"/>
      <c r="BI25" s="15"/>
      <c r="BJ25" s="16">
        <f t="shared" si="15"/>
        <v>0</v>
      </c>
      <c r="BK25" s="14"/>
      <c r="BL25" s="15"/>
      <c r="BM25" s="16">
        <f t="shared" si="16"/>
        <v>0</v>
      </c>
      <c r="BN25" s="14"/>
      <c r="BO25" s="15"/>
      <c r="BP25" s="16">
        <f t="shared" si="17"/>
        <v>0</v>
      </c>
      <c r="BQ25" s="14"/>
      <c r="BR25" s="15"/>
      <c r="BS25" s="16">
        <f>IFERROR(BQ25*BR25, 0)</f>
        <v>0</v>
      </c>
      <c r="BT25" s="14"/>
      <c r="BU25" s="15"/>
      <c r="BV25" s="16">
        <f t="shared" si="18"/>
        <v>0</v>
      </c>
      <c r="BW25" s="14"/>
      <c r="BX25" s="15"/>
      <c r="BY25" s="16">
        <f t="shared" si="32"/>
        <v>0</v>
      </c>
      <c r="BZ25" s="14"/>
      <c r="CA25" s="15"/>
      <c r="CB25" s="16">
        <f t="shared" si="20"/>
        <v>0</v>
      </c>
      <c r="CC25" s="14"/>
      <c r="CD25" s="15"/>
      <c r="CE25" s="16">
        <f t="shared" si="21"/>
        <v>0</v>
      </c>
      <c r="CF25" s="14"/>
      <c r="CG25" s="15"/>
      <c r="CH25" s="16">
        <f t="shared" si="22"/>
        <v>0</v>
      </c>
      <c r="CI25" s="14"/>
      <c r="CJ25" s="15"/>
      <c r="CK25" s="16">
        <f t="shared" si="23"/>
        <v>0</v>
      </c>
      <c r="CL25" s="14"/>
      <c r="CM25" s="15"/>
      <c r="CN25" s="16">
        <f t="shared" si="24"/>
        <v>0</v>
      </c>
      <c r="CO25" s="14"/>
      <c r="CP25" s="15"/>
      <c r="CQ25" s="16">
        <f t="shared" si="25"/>
        <v>0</v>
      </c>
      <c r="CR25" s="14"/>
      <c r="CS25" s="15"/>
      <c r="CT25" s="16">
        <f t="shared" si="26"/>
        <v>0</v>
      </c>
      <c r="CU25" s="17">
        <f t="shared" si="27"/>
        <v>0</v>
      </c>
      <c r="CV25" s="16">
        <f t="shared" si="28"/>
        <v>0</v>
      </c>
      <c r="CW25" s="16">
        <f t="shared" si="29"/>
        <v>0</v>
      </c>
    </row>
    <row r="26" spans="1:101" ht="15.75" customHeight="1" x14ac:dyDescent="0.35">
      <c r="A26" s="41" t="s">
        <v>285</v>
      </c>
      <c r="B26" s="41" t="s">
        <v>897</v>
      </c>
      <c r="C26" s="42"/>
      <c r="D26" s="43"/>
      <c r="E26" s="78">
        <f t="shared" si="0"/>
        <v>0</v>
      </c>
      <c r="F26" s="14"/>
      <c r="G26" s="15"/>
      <c r="H26" s="16">
        <f t="shared" si="33"/>
        <v>0</v>
      </c>
      <c r="I26" s="14"/>
      <c r="J26" s="15"/>
      <c r="K26" s="16">
        <f>IFERROR(I26*J26, 0)</f>
        <v>0</v>
      </c>
      <c r="L26" s="14"/>
      <c r="M26" s="15"/>
      <c r="N26" s="16">
        <f t="shared" si="2"/>
        <v>0</v>
      </c>
      <c r="O26" s="14"/>
      <c r="P26" s="15"/>
      <c r="Q26" s="16">
        <f t="shared" si="3"/>
        <v>0</v>
      </c>
      <c r="R26" s="14"/>
      <c r="S26" s="15"/>
      <c r="T26" s="16">
        <f t="shared" si="4"/>
        <v>0</v>
      </c>
      <c r="U26" s="14"/>
      <c r="V26" s="15"/>
      <c r="W26" s="16">
        <f t="shared" si="5"/>
        <v>0</v>
      </c>
      <c r="X26" s="14">
        <v>2</v>
      </c>
      <c r="Y26" s="15">
        <v>27500</v>
      </c>
      <c r="Z26" s="16">
        <v>55000</v>
      </c>
      <c r="AA26" s="14"/>
      <c r="AB26" s="15"/>
      <c r="AC26" s="16">
        <f t="shared" si="6"/>
        <v>0</v>
      </c>
      <c r="AD26" s="14"/>
      <c r="AE26" s="15"/>
      <c r="AF26" s="16">
        <f t="shared" si="7"/>
        <v>0</v>
      </c>
      <c r="AG26" s="14">
        <v>1</v>
      </c>
      <c r="AH26" s="15">
        <v>27500</v>
      </c>
      <c r="AI26" s="16">
        <v>27500</v>
      </c>
      <c r="AJ26" s="14"/>
      <c r="AK26" s="15"/>
      <c r="AL26" s="16">
        <f t="shared" si="8"/>
        <v>0</v>
      </c>
      <c r="AM26" s="14"/>
      <c r="AN26" s="15"/>
      <c r="AO26" s="16">
        <f t="shared" si="9"/>
        <v>0</v>
      </c>
      <c r="AP26" s="14"/>
      <c r="AQ26" s="15"/>
      <c r="AR26" s="16">
        <f t="shared" si="10"/>
        <v>0</v>
      </c>
      <c r="AS26" s="14"/>
      <c r="AT26" s="15"/>
      <c r="AU26" s="16">
        <f t="shared" si="11"/>
        <v>0</v>
      </c>
      <c r="AV26" s="14"/>
      <c r="AW26" s="15"/>
      <c r="AX26" s="16">
        <f t="shared" si="12"/>
        <v>0</v>
      </c>
      <c r="AY26" s="14"/>
      <c r="AZ26" s="15"/>
      <c r="BA26" s="16">
        <f t="shared" si="13"/>
        <v>0</v>
      </c>
      <c r="BB26" s="14"/>
      <c r="BC26" s="15"/>
      <c r="BD26" s="16">
        <f t="shared" si="14"/>
        <v>0</v>
      </c>
      <c r="BE26" s="14"/>
      <c r="BF26" s="15"/>
      <c r="BG26" s="16">
        <f>IFERROR(BE26*BF26, 0)</f>
        <v>0</v>
      </c>
      <c r="BH26" s="14"/>
      <c r="BI26" s="15"/>
      <c r="BJ26" s="16">
        <f t="shared" si="15"/>
        <v>0</v>
      </c>
      <c r="BK26" s="14"/>
      <c r="BL26" s="15"/>
      <c r="BM26" s="16">
        <f t="shared" si="16"/>
        <v>0</v>
      </c>
      <c r="BN26" s="14"/>
      <c r="BO26" s="15"/>
      <c r="BP26" s="16">
        <f t="shared" si="17"/>
        <v>0</v>
      </c>
      <c r="BQ26" s="14">
        <v>2</v>
      </c>
      <c r="BR26" s="15">
        <v>27500</v>
      </c>
      <c r="BS26" s="16">
        <v>55000</v>
      </c>
      <c r="BT26" s="14"/>
      <c r="BU26" s="15"/>
      <c r="BV26" s="16">
        <f t="shared" si="18"/>
        <v>0</v>
      </c>
      <c r="BW26" s="14"/>
      <c r="BX26" s="15"/>
      <c r="BY26" s="16">
        <f t="shared" si="32"/>
        <v>0</v>
      </c>
      <c r="BZ26" s="14"/>
      <c r="CA26" s="15"/>
      <c r="CB26" s="16">
        <f t="shared" si="20"/>
        <v>0</v>
      </c>
      <c r="CC26" s="14"/>
      <c r="CD26" s="15"/>
      <c r="CE26" s="16">
        <f t="shared" si="21"/>
        <v>0</v>
      </c>
      <c r="CF26" s="14"/>
      <c r="CG26" s="15"/>
      <c r="CH26" s="16">
        <f t="shared" si="22"/>
        <v>0</v>
      </c>
      <c r="CI26" s="14"/>
      <c r="CJ26" s="15"/>
      <c r="CK26" s="16">
        <f t="shared" si="23"/>
        <v>0</v>
      </c>
      <c r="CL26" s="14"/>
      <c r="CM26" s="15"/>
      <c r="CN26" s="16">
        <f t="shared" si="24"/>
        <v>0</v>
      </c>
      <c r="CO26" s="14"/>
      <c r="CP26" s="15"/>
      <c r="CQ26" s="16">
        <f t="shared" si="25"/>
        <v>0</v>
      </c>
      <c r="CR26" s="14"/>
      <c r="CS26" s="15"/>
      <c r="CT26" s="16">
        <f t="shared" si="26"/>
        <v>0</v>
      </c>
      <c r="CU26" s="17">
        <f t="shared" si="27"/>
        <v>5</v>
      </c>
      <c r="CV26" s="16">
        <f t="shared" si="28"/>
        <v>27500</v>
      </c>
      <c r="CW26" s="16">
        <f t="shared" si="29"/>
        <v>137500</v>
      </c>
    </row>
    <row r="27" spans="1:101" ht="15.75" customHeight="1" x14ac:dyDescent="0.35">
      <c r="A27" s="41" t="s">
        <v>984</v>
      </c>
      <c r="B27" s="41" t="s">
        <v>846</v>
      </c>
      <c r="C27" s="42"/>
      <c r="D27" s="43"/>
      <c r="E27" s="78">
        <f t="shared" si="0"/>
        <v>0</v>
      </c>
      <c r="F27" s="14"/>
      <c r="G27" s="15"/>
      <c r="H27" s="16">
        <f t="shared" si="33"/>
        <v>0</v>
      </c>
      <c r="I27" s="14"/>
      <c r="J27" s="15"/>
      <c r="K27" s="16">
        <f>IFERROR(I27*J27, 0)</f>
        <v>0</v>
      </c>
      <c r="L27" s="14"/>
      <c r="M27" s="15"/>
      <c r="N27" s="16">
        <f t="shared" si="2"/>
        <v>0</v>
      </c>
      <c r="O27" s="14"/>
      <c r="P27" s="15"/>
      <c r="Q27" s="16">
        <f t="shared" si="3"/>
        <v>0</v>
      </c>
      <c r="R27" s="14"/>
      <c r="S27" s="15"/>
      <c r="T27" s="16">
        <f t="shared" si="4"/>
        <v>0</v>
      </c>
      <c r="U27" s="14"/>
      <c r="V27" s="15"/>
      <c r="W27" s="16">
        <f t="shared" si="5"/>
        <v>0</v>
      </c>
      <c r="X27" s="14"/>
      <c r="Y27" s="15"/>
      <c r="Z27" s="16">
        <f>IFERROR(X27*Y27, 0)</f>
        <v>0</v>
      </c>
      <c r="AA27" s="14"/>
      <c r="AB27" s="15"/>
      <c r="AC27" s="16">
        <f t="shared" si="6"/>
        <v>0</v>
      </c>
      <c r="AD27" s="14"/>
      <c r="AE27" s="15"/>
      <c r="AF27" s="16">
        <f t="shared" si="7"/>
        <v>0</v>
      </c>
      <c r="AG27" s="14"/>
      <c r="AH27" s="15"/>
      <c r="AI27" s="16">
        <f>IFERROR(AG27*AH27, 0)</f>
        <v>0</v>
      </c>
      <c r="AJ27" s="14"/>
      <c r="AK27" s="15"/>
      <c r="AL27" s="16">
        <f t="shared" si="8"/>
        <v>0</v>
      </c>
      <c r="AM27" s="14"/>
      <c r="AN27" s="15"/>
      <c r="AO27" s="16">
        <f t="shared" si="9"/>
        <v>0</v>
      </c>
      <c r="AP27" s="14"/>
      <c r="AQ27" s="15"/>
      <c r="AR27" s="16">
        <f t="shared" si="10"/>
        <v>0</v>
      </c>
      <c r="AS27" s="14"/>
      <c r="AT27" s="15"/>
      <c r="AU27" s="16">
        <f t="shared" si="11"/>
        <v>0</v>
      </c>
      <c r="AV27" s="14"/>
      <c r="AW27" s="15"/>
      <c r="AX27" s="16">
        <f t="shared" si="12"/>
        <v>0</v>
      </c>
      <c r="AY27" s="14"/>
      <c r="AZ27" s="15"/>
      <c r="BA27" s="16">
        <f t="shared" si="13"/>
        <v>0</v>
      </c>
      <c r="BB27" s="14"/>
      <c r="BC27" s="15"/>
      <c r="BD27" s="16">
        <f t="shared" si="14"/>
        <v>0</v>
      </c>
      <c r="BE27" s="14"/>
      <c r="BF27" s="15"/>
      <c r="BG27" s="16">
        <f>IFERROR(BE27*BF27, 0)</f>
        <v>0</v>
      </c>
      <c r="BH27" s="14"/>
      <c r="BI27" s="15"/>
      <c r="BJ27" s="16">
        <f t="shared" si="15"/>
        <v>0</v>
      </c>
      <c r="BK27" s="14"/>
      <c r="BL27" s="15"/>
      <c r="BM27" s="16">
        <f t="shared" si="16"/>
        <v>0</v>
      </c>
      <c r="BN27" s="14"/>
      <c r="BO27" s="15"/>
      <c r="BP27" s="16">
        <f t="shared" si="17"/>
        <v>0</v>
      </c>
      <c r="BQ27" s="14"/>
      <c r="BR27" s="15"/>
      <c r="BS27" s="16">
        <f>IFERROR(BQ27*BR27, 0)</f>
        <v>0</v>
      </c>
      <c r="BT27" s="14"/>
      <c r="BU27" s="15"/>
      <c r="BV27" s="16">
        <f t="shared" si="18"/>
        <v>0</v>
      </c>
      <c r="BW27" s="14"/>
      <c r="BX27" s="15"/>
      <c r="BY27" s="16">
        <f t="shared" si="32"/>
        <v>0</v>
      </c>
      <c r="BZ27" s="14"/>
      <c r="CA27" s="15"/>
      <c r="CB27" s="16">
        <f t="shared" si="20"/>
        <v>0</v>
      </c>
      <c r="CC27" s="14"/>
      <c r="CD27" s="15"/>
      <c r="CE27" s="16">
        <f t="shared" si="21"/>
        <v>0</v>
      </c>
      <c r="CF27" s="14"/>
      <c r="CG27" s="15"/>
      <c r="CH27" s="16">
        <f t="shared" si="22"/>
        <v>0</v>
      </c>
      <c r="CI27" s="14"/>
      <c r="CJ27" s="15"/>
      <c r="CK27" s="16">
        <f t="shared" si="23"/>
        <v>0</v>
      </c>
      <c r="CL27" s="14"/>
      <c r="CM27" s="15"/>
      <c r="CN27" s="16">
        <f t="shared" si="24"/>
        <v>0</v>
      </c>
      <c r="CO27" s="14"/>
      <c r="CP27" s="15"/>
      <c r="CQ27" s="16">
        <f t="shared" si="25"/>
        <v>0</v>
      </c>
      <c r="CR27" s="14"/>
      <c r="CS27" s="15"/>
      <c r="CT27" s="16">
        <f t="shared" si="26"/>
        <v>0</v>
      </c>
      <c r="CU27" s="17">
        <f t="shared" si="27"/>
        <v>0</v>
      </c>
      <c r="CV27" s="16">
        <f t="shared" si="28"/>
        <v>0</v>
      </c>
      <c r="CW27" s="16">
        <f t="shared" si="29"/>
        <v>0</v>
      </c>
    </row>
    <row r="28" spans="1:101" ht="15.75" customHeight="1" x14ac:dyDescent="0.35">
      <c r="A28" s="41" t="s">
        <v>126</v>
      </c>
      <c r="B28" s="41" t="s">
        <v>935</v>
      </c>
      <c r="C28" s="42"/>
      <c r="D28" s="43"/>
      <c r="E28" s="78">
        <f t="shared" si="0"/>
        <v>0</v>
      </c>
      <c r="F28" s="14"/>
      <c r="G28" s="15"/>
      <c r="H28" s="16">
        <f t="shared" si="33"/>
        <v>0</v>
      </c>
      <c r="I28" s="14">
        <v>2</v>
      </c>
      <c r="J28" s="15">
        <v>18750</v>
      </c>
      <c r="K28" s="16">
        <v>37500</v>
      </c>
      <c r="L28" s="14"/>
      <c r="M28" s="15"/>
      <c r="N28" s="16">
        <f t="shared" si="2"/>
        <v>0</v>
      </c>
      <c r="O28" s="14"/>
      <c r="P28" s="15"/>
      <c r="Q28" s="16">
        <f t="shared" si="3"/>
        <v>0</v>
      </c>
      <c r="R28" s="14"/>
      <c r="S28" s="15"/>
      <c r="T28" s="16">
        <f t="shared" si="4"/>
        <v>0</v>
      </c>
      <c r="U28" s="14"/>
      <c r="V28" s="15"/>
      <c r="W28" s="16">
        <f t="shared" si="5"/>
        <v>0</v>
      </c>
      <c r="X28" s="14">
        <v>1</v>
      </c>
      <c r="Y28" s="15">
        <v>23800</v>
      </c>
      <c r="Z28" s="16">
        <v>23800</v>
      </c>
      <c r="AA28" s="14"/>
      <c r="AB28" s="15"/>
      <c r="AC28" s="16">
        <f t="shared" si="6"/>
        <v>0</v>
      </c>
      <c r="AD28" s="14"/>
      <c r="AE28" s="15"/>
      <c r="AF28" s="16">
        <f t="shared" si="7"/>
        <v>0</v>
      </c>
      <c r="AG28" s="14"/>
      <c r="AH28" s="15"/>
      <c r="AI28" s="16">
        <f>IFERROR(AG28*AH28, 0)</f>
        <v>0</v>
      </c>
      <c r="AJ28" s="14"/>
      <c r="AK28" s="15"/>
      <c r="AL28" s="16">
        <f t="shared" si="8"/>
        <v>0</v>
      </c>
      <c r="AM28" s="14"/>
      <c r="AN28" s="15"/>
      <c r="AO28" s="16">
        <f t="shared" si="9"/>
        <v>0</v>
      </c>
      <c r="AP28" s="14"/>
      <c r="AQ28" s="15"/>
      <c r="AR28" s="16">
        <f t="shared" si="10"/>
        <v>0</v>
      </c>
      <c r="AS28" s="14"/>
      <c r="AT28" s="15"/>
      <c r="AU28" s="16">
        <f t="shared" si="11"/>
        <v>0</v>
      </c>
      <c r="AV28" s="14"/>
      <c r="AW28" s="15"/>
      <c r="AX28" s="16">
        <f t="shared" si="12"/>
        <v>0</v>
      </c>
      <c r="AY28" s="14"/>
      <c r="AZ28" s="15"/>
      <c r="BA28" s="16">
        <f t="shared" si="13"/>
        <v>0</v>
      </c>
      <c r="BB28" s="14"/>
      <c r="BC28" s="15"/>
      <c r="BD28" s="16">
        <f t="shared" si="14"/>
        <v>0</v>
      </c>
      <c r="BE28" s="14">
        <v>1</v>
      </c>
      <c r="BF28" s="15">
        <v>23800</v>
      </c>
      <c r="BG28" s="16">
        <v>23800</v>
      </c>
      <c r="BH28" s="14"/>
      <c r="BI28" s="15"/>
      <c r="BJ28" s="16">
        <f t="shared" si="15"/>
        <v>0</v>
      </c>
      <c r="BK28" s="14"/>
      <c r="BL28" s="15"/>
      <c r="BM28" s="16">
        <f t="shared" si="16"/>
        <v>0</v>
      </c>
      <c r="BN28" s="14"/>
      <c r="BO28" s="15"/>
      <c r="BP28" s="16">
        <f t="shared" si="17"/>
        <v>0</v>
      </c>
      <c r="BQ28" s="14">
        <v>2</v>
      </c>
      <c r="BR28" s="15">
        <v>23800</v>
      </c>
      <c r="BS28" s="16">
        <v>47600</v>
      </c>
      <c r="BT28" s="14"/>
      <c r="BU28" s="15"/>
      <c r="BV28" s="16">
        <f t="shared" si="18"/>
        <v>0</v>
      </c>
      <c r="BW28" s="14"/>
      <c r="BX28" s="15"/>
      <c r="BY28" s="16">
        <f t="shared" si="32"/>
        <v>0</v>
      </c>
      <c r="BZ28" s="14"/>
      <c r="CA28" s="15"/>
      <c r="CB28" s="16">
        <f t="shared" si="20"/>
        <v>0</v>
      </c>
      <c r="CC28" s="14"/>
      <c r="CD28" s="15"/>
      <c r="CE28" s="16">
        <f t="shared" si="21"/>
        <v>0</v>
      </c>
      <c r="CF28" s="14"/>
      <c r="CG28" s="15"/>
      <c r="CH28" s="16">
        <f t="shared" si="22"/>
        <v>0</v>
      </c>
      <c r="CI28" s="14"/>
      <c r="CJ28" s="15"/>
      <c r="CK28" s="16">
        <f t="shared" si="23"/>
        <v>0</v>
      </c>
      <c r="CL28" s="14"/>
      <c r="CM28" s="15"/>
      <c r="CN28" s="16">
        <f t="shared" si="24"/>
        <v>0</v>
      </c>
      <c r="CO28" s="14"/>
      <c r="CP28" s="15"/>
      <c r="CQ28" s="16">
        <f t="shared" si="25"/>
        <v>0</v>
      </c>
      <c r="CR28" s="14"/>
      <c r="CS28" s="15"/>
      <c r="CT28" s="16">
        <f t="shared" si="26"/>
        <v>0</v>
      </c>
      <c r="CU28" s="17">
        <f t="shared" si="27"/>
        <v>6</v>
      </c>
      <c r="CV28" s="16">
        <f t="shared" si="28"/>
        <v>22537.5</v>
      </c>
      <c r="CW28" s="16">
        <f t="shared" si="29"/>
        <v>135225</v>
      </c>
    </row>
    <row r="29" spans="1:101" ht="15.75" customHeight="1" x14ac:dyDescent="0.35">
      <c r="A29" s="41" t="s">
        <v>305</v>
      </c>
      <c r="B29" s="41" t="s">
        <v>935</v>
      </c>
      <c r="C29" s="42"/>
      <c r="D29" s="43"/>
      <c r="E29" s="78">
        <f t="shared" si="0"/>
        <v>0</v>
      </c>
      <c r="F29" s="14"/>
      <c r="G29" s="15"/>
      <c r="H29" s="16">
        <f t="shared" si="33"/>
        <v>0</v>
      </c>
      <c r="I29" s="14"/>
      <c r="J29" s="15"/>
      <c r="K29" s="16">
        <f>IFERROR(I29*J29, 0)</f>
        <v>0</v>
      </c>
      <c r="L29" s="14"/>
      <c r="M29" s="15"/>
      <c r="N29" s="16">
        <f t="shared" si="2"/>
        <v>0</v>
      </c>
      <c r="O29" s="14"/>
      <c r="P29" s="15"/>
      <c r="Q29" s="16">
        <f t="shared" si="3"/>
        <v>0</v>
      </c>
      <c r="R29" s="14"/>
      <c r="S29" s="15"/>
      <c r="T29" s="16">
        <f t="shared" si="4"/>
        <v>0</v>
      </c>
      <c r="U29" s="14"/>
      <c r="V29" s="15"/>
      <c r="W29" s="16">
        <f t="shared" si="5"/>
        <v>0</v>
      </c>
      <c r="X29" s="14">
        <v>4</v>
      </c>
      <c r="Y29" s="15">
        <v>15850</v>
      </c>
      <c r="Z29" s="16">
        <v>63400</v>
      </c>
      <c r="AA29" s="14"/>
      <c r="AB29" s="15"/>
      <c r="AC29" s="16">
        <f t="shared" si="6"/>
        <v>0</v>
      </c>
      <c r="AD29" s="14"/>
      <c r="AE29" s="15"/>
      <c r="AF29" s="16">
        <f t="shared" si="7"/>
        <v>0</v>
      </c>
      <c r="AG29" s="14"/>
      <c r="AH29" s="15"/>
      <c r="AI29" s="16">
        <f>IFERROR(AG29*AH29, 0)</f>
        <v>0</v>
      </c>
      <c r="AJ29" s="14"/>
      <c r="AK29" s="15"/>
      <c r="AL29" s="16">
        <f t="shared" si="8"/>
        <v>0</v>
      </c>
      <c r="AM29" s="14"/>
      <c r="AN29" s="15"/>
      <c r="AO29" s="16">
        <f t="shared" si="9"/>
        <v>0</v>
      </c>
      <c r="AP29" s="14"/>
      <c r="AQ29" s="15"/>
      <c r="AR29" s="16">
        <f t="shared" si="10"/>
        <v>0</v>
      </c>
      <c r="AS29" s="14"/>
      <c r="AT29" s="15"/>
      <c r="AU29" s="16">
        <f t="shared" si="11"/>
        <v>0</v>
      </c>
      <c r="AV29" s="14"/>
      <c r="AW29" s="15"/>
      <c r="AX29" s="16">
        <f t="shared" si="12"/>
        <v>0</v>
      </c>
      <c r="AY29" s="14"/>
      <c r="AZ29" s="15"/>
      <c r="BA29" s="16">
        <f t="shared" si="13"/>
        <v>0</v>
      </c>
      <c r="BB29" s="14"/>
      <c r="BC29" s="15"/>
      <c r="BD29" s="16">
        <f t="shared" si="14"/>
        <v>0</v>
      </c>
      <c r="BE29" s="14"/>
      <c r="BF29" s="15"/>
      <c r="BG29" s="16">
        <f>IFERROR(BE29*BF29, 0)</f>
        <v>0</v>
      </c>
      <c r="BH29" s="14"/>
      <c r="BI29" s="15"/>
      <c r="BJ29" s="16">
        <f t="shared" si="15"/>
        <v>0</v>
      </c>
      <c r="BK29" s="14"/>
      <c r="BL29" s="15"/>
      <c r="BM29" s="16">
        <f t="shared" si="16"/>
        <v>0</v>
      </c>
      <c r="BN29" s="14"/>
      <c r="BO29" s="15"/>
      <c r="BP29" s="16">
        <f t="shared" si="17"/>
        <v>0</v>
      </c>
      <c r="BQ29" s="14">
        <v>5</v>
      </c>
      <c r="BR29" s="15">
        <v>15850</v>
      </c>
      <c r="BS29" s="16">
        <v>79250</v>
      </c>
      <c r="BT29" s="14"/>
      <c r="BU29" s="15"/>
      <c r="BV29" s="16">
        <f t="shared" si="18"/>
        <v>0</v>
      </c>
      <c r="BW29" s="14"/>
      <c r="BX29" s="15"/>
      <c r="BY29" s="16">
        <f t="shared" si="32"/>
        <v>0</v>
      </c>
      <c r="BZ29" s="14"/>
      <c r="CA29" s="15"/>
      <c r="CB29" s="16">
        <f t="shared" si="20"/>
        <v>0</v>
      </c>
      <c r="CC29" s="14"/>
      <c r="CD29" s="15"/>
      <c r="CE29" s="16">
        <f t="shared" si="21"/>
        <v>0</v>
      </c>
      <c r="CF29" s="14"/>
      <c r="CG29" s="15"/>
      <c r="CH29" s="16">
        <f t="shared" si="22"/>
        <v>0</v>
      </c>
      <c r="CI29" s="14"/>
      <c r="CJ29" s="15"/>
      <c r="CK29" s="16">
        <f t="shared" si="23"/>
        <v>0</v>
      </c>
      <c r="CL29" s="14"/>
      <c r="CM29" s="15"/>
      <c r="CN29" s="16">
        <f t="shared" si="24"/>
        <v>0</v>
      </c>
      <c r="CO29" s="14"/>
      <c r="CP29" s="15"/>
      <c r="CQ29" s="16">
        <f t="shared" si="25"/>
        <v>0</v>
      </c>
      <c r="CR29" s="14"/>
      <c r="CS29" s="15"/>
      <c r="CT29" s="16">
        <f t="shared" si="26"/>
        <v>0</v>
      </c>
      <c r="CU29" s="17">
        <f t="shared" si="27"/>
        <v>9</v>
      </c>
      <c r="CV29" s="16">
        <f t="shared" si="28"/>
        <v>15850</v>
      </c>
      <c r="CW29" s="16">
        <f t="shared" si="29"/>
        <v>142650</v>
      </c>
    </row>
    <row r="30" spans="1:101" ht="15.75" customHeight="1" x14ac:dyDescent="0.35">
      <c r="A30" s="41" t="s">
        <v>303</v>
      </c>
      <c r="B30" s="41" t="s">
        <v>897</v>
      </c>
      <c r="C30" s="42"/>
      <c r="D30" s="43"/>
      <c r="E30" s="78">
        <f t="shared" si="0"/>
        <v>0</v>
      </c>
      <c r="F30" s="14"/>
      <c r="G30" s="15"/>
      <c r="H30" s="16">
        <f t="shared" si="33"/>
        <v>0</v>
      </c>
      <c r="I30" s="14"/>
      <c r="J30" s="15"/>
      <c r="K30" s="16">
        <f>IFERROR(I30*J30, 0)</f>
        <v>0</v>
      </c>
      <c r="L30" s="14"/>
      <c r="M30" s="15"/>
      <c r="N30" s="16">
        <f t="shared" si="2"/>
        <v>0</v>
      </c>
      <c r="O30" s="14"/>
      <c r="P30" s="15"/>
      <c r="Q30" s="16">
        <f t="shared" si="3"/>
        <v>0</v>
      </c>
      <c r="R30" s="14"/>
      <c r="S30" s="15"/>
      <c r="T30" s="16">
        <f t="shared" si="4"/>
        <v>0</v>
      </c>
      <c r="U30" s="14"/>
      <c r="V30" s="15"/>
      <c r="W30" s="16">
        <f t="shared" si="5"/>
        <v>0</v>
      </c>
      <c r="X30" s="14">
        <v>1</v>
      </c>
      <c r="Y30" s="15">
        <v>17500</v>
      </c>
      <c r="Z30" s="16">
        <v>17500</v>
      </c>
      <c r="AA30" s="14"/>
      <c r="AB30" s="15"/>
      <c r="AC30" s="16">
        <f t="shared" si="6"/>
        <v>0</v>
      </c>
      <c r="AD30" s="14"/>
      <c r="AE30" s="15"/>
      <c r="AF30" s="16">
        <f t="shared" si="7"/>
        <v>0</v>
      </c>
      <c r="AG30" s="14"/>
      <c r="AH30" s="15"/>
      <c r="AI30" s="16">
        <f>IFERROR(AG30*AH30, 0)</f>
        <v>0</v>
      </c>
      <c r="AJ30" s="14"/>
      <c r="AK30" s="15"/>
      <c r="AL30" s="16">
        <f t="shared" si="8"/>
        <v>0</v>
      </c>
      <c r="AM30" s="14"/>
      <c r="AN30" s="15"/>
      <c r="AO30" s="16">
        <f t="shared" si="9"/>
        <v>0</v>
      </c>
      <c r="AP30" s="14"/>
      <c r="AQ30" s="15"/>
      <c r="AR30" s="16">
        <f t="shared" si="10"/>
        <v>0</v>
      </c>
      <c r="AS30" s="14"/>
      <c r="AT30" s="15"/>
      <c r="AU30" s="16">
        <f t="shared" si="11"/>
        <v>0</v>
      </c>
      <c r="AV30" s="14"/>
      <c r="AW30" s="15"/>
      <c r="AX30" s="16">
        <f t="shared" si="12"/>
        <v>0</v>
      </c>
      <c r="AY30" s="14"/>
      <c r="AZ30" s="15"/>
      <c r="BA30" s="16">
        <f t="shared" si="13"/>
        <v>0</v>
      </c>
      <c r="BB30" s="14"/>
      <c r="BC30" s="15"/>
      <c r="BD30" s="16">
        <f t="shared" si="14"/>
        <v>0</v>
      </c>
      <c r="BE30" s="14"/>
      <c r="BF30" s="15"/>
      <c r="BG30" s="16">
        <f>IFERROR(BE30*BF30, 0)</f>
        <v>0</v>
      </c>
      <c r="BH30" s="14"/>
      <c r="BI30" s="15"/>
      <c r="BJ30" s="16">
        <f t="shared" si="15"/>
        <v>0</v>
      </c>
      <c r="BK30" s="14"/>
      <c r="BL30" s="15"/>
      <c r="BM30" s="16">
        <f t="shared" si="16"/>
        <v>0</v>
      </c>
      <c r="BN30" s="14"/>
      <c r="BO30" s="15"/>
      <c r="BP30" s="16">
        <f t="shared" si="17"/>
        <v>0</v>
      </c>
      <c r="BQ30" s="14"/>
      <c r="BR30" s="15"/>
      <c r="BS30" s="16">
        <f>IFERROR(BQ30*BR30, 0)</f>
        <v>0</v>
      </c>
      <c r="BT30" s="14"/>
      <c r="BU30" s="15"/>
      <c r="BV30" s="16">
        <f t="shared" si="18"/>
        <v>0</v>
      </c>
      <c r="BW30" s="14"/>
      <c r="BX30" s="15"/>
      <c r="BY30" s="16">
        <f t="shared" si="32"/>
        <v>0</v>
      </c>
      <c r="BZ30" s="14"/>
      <c r="CA30" s="15"/>
      <c r="CB30" s="16">
        <f t="shared" si="20"/>
        <v>0</v>
      </c>
      <c r="CC30" s="14"/>
      <c r="CD30" s="15"/>
      <c r="CE30" s="16">
        <f t="shared" si="21"/>
        <v>0</v>
      </c>
      <c r="CF30" s="14"/>
      <c r="CG30" s="15"/>
      <c r="CH30" s="16">
        <f t="shared" si="22"/>
        <v>0</v>
      </c>
      <c r="CI30" s="14"/>
      <c r="CJ30" s="15"/>
      <c r="CK30" s="16">
        <f t="shared" si="23"/>
        <v>0</v>
      </c>
      <c r="CL30" s="14"/>
      <c r="CM30" s="15"/>
      <c r="CN30" s="16">
        <f t="shared" si="24"/>
        <v>0</v>
      </c>
      <c r="CO30" s="14"/>
      <c r="CP30" s="15"/>
      <c r="CQ30" s="16">
        <f t="shared" si="25"/>
        <v>0</v>
      </c>
      <c r="CR30" s="14"/>
      <c r="CS30" s="15"/>
      <c r="CT30" s="16">
        <f t="shared" si="26"/>
        <v>0</v>
      </c>
      <c r="CU30" s="17">
        <f t="shared" si="27"/>
        <v>1</v>
      </c>
      <c r="CV30" s="16">
        <f t="shared" si="28"/>
        <v>17500</v>
      </c>
      <c r="CW30" s="16">
        <f t="shared" si="29"/>
        <v>17500</v>
      </c>
    </row>
    <row r="31" spans="1:101" ht="15.75" customHeight="1" x14ac:dyDescent="0.35">
      <c r="A31" s="21" t="s">
        <v>116</v>
      </c>
      <c r="B31" s="21" t="s">
        <v>935</v>
      </c>
      <c r="C31" s="44"/>
      <c r="D31" s="22"/>
      <c r="E31" s="78">
        <f t="shared" si="0"/>
        <v>0</v>
      </c>
      <c r="F31" s="14"/>
      <c r="G31" s="15"/>
      <c r="H31" s="16">
        <f t="shared" si="33"/>
        <v>0</v>
      </c>
      <c r="I31" s="14">
        <v>5</v>
      </c>
      <c r="J31" s="15">
        <v>2600</v>
      </c>
      <c r="K31" s="16">
        <v>13000</v>
      </c>
      <c r="L31" s="14"/>
      <c r="M31" s="15"/>
      <c r="N31" s="16">
        <f t="shared" si="2"/>
        <v>0</v>
      </c>
      <c r="O31" s="14"/>
      <c r="P31" s="15"/>
      <c r="Q31" s="16">
        <f t="shared" si="3"/>
        <v>0</v>
      </c>
      <c r="R31" s="14"/>
      <c r="S31" s="15"/>
      <c r="T31" s="16">
        <f t="shared" si="4"/>
        <v>0</v>
      </c>
      <c r="U31" s="14"/>
      <c r="V31" s="15"/>
      <c r="W31" s="16">
        <f t="shared" si="5"/>
        <v>0</v>
      </c>
      <c r="X31" s="14">
        <v>5</v>
      </c>
      <c r="Y31" s="15">
        <v>2600</v>
      </c>
      <c r="Z31" s="16">
        <v>13000</v>
      </c>
      <c r="AA31" s="14"/>
      <c r="AB31" s="15"/>
      <c r="AC31" s="16">
        <f t="shared" si="6"/>
        <v>0</v>
      </c>
      <c r="AD31" s="14"/>
      <c r="AE31" s="15"/>
      <c r="AF31" s="16">
        <f t="shared" si="7"/>
        <v>0</v>
      </c>
      <c r="AG31" s="14">
        <v>5</v>
      </c>
      <c r="AH31" s="15">
        <v>2600</v>
      </c>
      <c r="AI31" s="16">
        <v>13000</v>
      </c>
      <c r="AJ31" s="14"/>
      <c r="AK31" s="15"/>
      <c r="AL31" s="16">
        <f t="shared" si="8"/>
        <v>0</v>
      </c>
      <c r="AM31" s="14"/>
      <c r="AN31" s="15"/>
      <c r="AO31" s="16">
        <f t="shared" si="9"/>
        <v>0</v>
      </c>
      <c r="AP31" s="14"/>
      <c r="AQ31" s="15"/>
      <c r="AR31" s="16">
        <f t="shared" si="10"/>
        <v>0</v>
      </c>
      <c r="AS31" s="14"/>
      <c r="AT31" s="15"/>
      <c r="AU31" s="16">
        <f t="shared" si="11"/>
        <v>0</v>
      </c>
      <c r="AV31" s="14"/>
      <c r="AW31" s="15"/>
      <c r="AX31" s="16">
        <f t="shared" si="12"/>
        <v>0</v>
      </c>
      <c r="AY31" s="14"/>
      <c r="AZ31" s="15"/>
      <c r="BA31" s="16">
        <f t="shared" si="13"/>
        <v>0</v>
      </c>
      <c r="BB31" s="14"/>
      <c r="BC31" s="15"/>
      <c r="BD31" s="16">
        <f t="shared" si="14"/>
        <v>0</v>
      </c>
      <c r="BE31" s="14"/>
      <c r="BF31" s="15"/>
      <c r="BG31" s="16">
        <f>IFERROR(BE31*BF31, 0)</f>
        <v>0</v>
      </c>
      <c r="BH31" s="14"/>
      <c r="BI31" s="15"/>
      <c r="BJ31" s="16">
        <f t="shared" si="15"/>
        <v>0</v>
      </c>
      <c r="BK31" s="14"/>
      <c r="BL31" s="15"/>
      <c r="BM31" s="16">
        <f t="shared" si="16"/>
        <v>0</v>
      </c>
      <c r="BN31" s="14"/>
      <c r="BO31" s="15"/>
      <c r="BP31" s="16">
        <f t="shared" si="17"/>
        <v>0</v>
      </c>
      <c r="BQ31" s="14">
        <v>24</v>
      </c>
      <c r="BR31" s="15">
        <v>2600</v>
      </c>
      <c r="BS31" s="16">
        <v>62400</v>
      </c>
      <c r="BT31" s="14"/>
      <c r="BU31" s="15"/>
      <c r="BV31" s="16">
        <f t="shared" si="18"/>
        <v>0</v>
      </c>
      <c r="BW31" s="14"/>
      <c r="BX31" s="15"/>
      <c r="BY31" s="16">
        <f t="shared" si="32"/>
        <v>0</v>
      </c>
      <c r="BZ31" s="14"/>
      <c r="CA31" s="15"/>
      <c r="CB31" s="16">
        <f t="shared" si="20"/>
        <v>0</v>
      </c>
      <c r="CC31" s="14"/>
      <c r="CD31" s="15"/>
      <c r="CE31" s="16">
        <f t="shared" si="21"/>
        <v>0</v>
      </c>
      <c r="CF31" s="14"/>
      <c r="CG31" s="15"/>
      <c r="CH31" s="16">
        <f t="shared" si="22"/>
        <v>0</v>
      </c>
      <c r="CI31" s="14"/>
      <c r="CJ31" s="15"/>
      <c r="CK31" s="16">
        <f t="shared" si="23"/>
        <v>0</v>
      </c>
      <c r="CL31" s="14"/>
      <c r="CM31" s="15"/>
      <c r="CN31" s="16">
        <f t="shared" si="24"/>
        <v>0</v>
      </c>
      <c r="CO31" s="14"/>
      <c r="CP31" s="15"/>
      <c r="CQ31" s="16">
        <f t="shared" si="25"/>
        <v>0</v>
      </c>
      <c r="CR31" s="14"/>
      <c r="CS31" s="15"/>
      <c r="CT31" s="16">
        <f t="shared" si="26"/>
        <v>0</v>
      </c>
      <c r="CU31" s="17">
        <f t="shared" si="27"/>
        <v>39</v>
      </c>
      <c r="CV31" s="16">
        <f t="shared" si="28"/>
        <v>2600</v>
      </c>
      <c r="CW31" s="16">
        <f t="shared" si="29"/>
        <v>101400</v>
      </c>
    </row>
    <row r="32" spans="1:101" ht="15.75" customHeight="1" x14ac:dyDescent="0.35">
      <c r="A32" s="41" t="s">
        <v>985</v>
      </c>
      <c r="B32" s="41" t="s">
        <v>935</v>
      </c>
      <c r="C32" s="42"/>
      <c r="D32" s="43"/>
      <c r="E32" s="78">
        <f t="shared" si="0"/>
        <v>0</v>
      </c>
      <c r="F32" s="14"/>
      <c r="G32" s="15"/>
      <c r="H32" s="16">
        <f t="shared" si="33"/>
        <v>0</v>
      </c>
      <c r="I32" s="14"/>
      <c r="J32" s="15"/>
      <c r="K32" s="16">
        <f>IFERROR(I32*J32, 0)</f>
        <v>0</v>
      </c>
      <c r="L32" s="14"/>
      <c r="M32" s="15"/>
      <c r="N32" s="16">
        <f t="shared" si="2"/>
        <v>0</v>
      </c>
      <c r="O32" s="14"/>
      <c r="P32" s="15"/>
      <c r="Q32" s="16">
        <f t="shared" si="3"/>
        <v>0</v>
      </c>
      <c r="R32" s="14"/>
      <c r="S32" s="15"/>
      <c r="T32" s="16">
        <f t="shared" si="4"/>
        <v>0</v>
      </c>
      <c r="U32" s="14"/>
      <c r="V32" s="15"/>
      <c r="W32" s="16">
        <f t="shared" si="5"/>
        <v>0</v>
      </c>
      <c r="X32" s="14"/>
      <c r="Y32" s="15"/>
      <c r="Z32" s="16">
        <f>IFERROR(X32*Y32, 0)</f>
        <v>0</v>
      </c>
      <c r="AA32" s="14"/>
      <c r="AB32" s="15"/>
      <c r="AC32" s="16">
        <f t="shared" si="6"/>
        <v>0</v>
      </c>
      <c r="AD32" s="14"/>
      <c r="AE32" s="15"/>
      <c r="AF32" s="16">
        <f t="shared" si="7"/>
        <v>0</v>
      </c>
      <c r="AG32" s="14"/>
      <c r="AH32" s="15"/>
      <c r="AI32" s="16">
        <f>IFERROR(AG32*AH32, 0)</f>
        <v>0</v>
      </c>
      <c r="AJ32" s="14"/>
      <c r="AK32" s="15"/>
      <c r="AL32" s="16">
        <f t="shared" si="8"/>
        <v>0</v>
      </c>
      <c r="AM32" s="14"/>
      <c r="AN32" s="15"/>
      <c r="AO32" s="16">
        <f t="shared" si="9"/>
        <v>0</v>
      </c>
      <c r="AP32" s="14"/>
      <c r="AQ32" s="15"/>
      <c r="AR32" s="16">
        <f t="shared" si="10"/>
        <v>0</v>
      </c>
      <c r="AS32" s="14"/>
      <c r="AT32" s="15"/>
      <c r="AU32" s="16">
        <f t="shared" si="11"/>
        <v>0</v>
      </c>
      <c r="AV32" s="14"/>
      <c r="AW32" s="15"/>
      <c r="AX32" s="16">
        <f t="shared" si="12"/>
        <v>0</v>
      </c>
      <c r="AY32" s="14"/>
      <c r="AZ32" s="15"/>
      <c r="BA32" s="16">
        <f t="shared" si="13"/>
        <v>0</v>
      </c>
      <c r="BB32" s="14"/>
      <c r="BC32" s="15"/>
      <c r="BD32" s="16">
        <f t="shared" si="14"/>
        <v>0</v>
      </c>
      <c r="BE32" s="14"/>
      <c r="BF32" s="15"/>
      <c r="BG32" s="16">
        <f>IFERROR(BE32*BF32, 0)</f>
        <v>0</v>
      </c>
      <c r="BH32" s="14"/>
      <c r="BI32" s="15"/>
      <c r="BJ32" s="16">
        <f t="shared" si="15"/>
        <v>0</v>
      </c>
      <c r="BK32" s="14"/>
      <c r="BL32" s="15"/>
      <c r="BM32" s="16">
        <f t="shared" si="16"/>
        <v>0</v>
      </c>
      <c r="BN32" s="14"/>
      <c r="BO32" s="15"/>
      <c r="BP32" s="16">
        <f t="shared" si="17"/>
        <v>0</v>
      </c>
      <c r="BQ32" s="14"/>
      <c r="BR32" s="15"/>
      <c r="BS32" s="16">
        <f>IFERROR(BQ32*BR32, 0)</f>
        <v>0</v>
      </c>
      <c r="BT32" s="14"/>
      <c r="BU32" s="15"/>
      <c r="BV32" s="16">
        <f t="shared" si="18"/>
        <v>0</v>
      </c>
      <c r="BW32" s="14"/>
      <c r="BX32" s="15"/>
      <c r="BY32" s="16">
        <f t="shared" si="32"/>
        <v>0</v>
      </c>
      <c r="BZ32" s="14"/>
      <c r="CA32" s="15"/>
      <c r="CB32" s="16">
        <f t="shared" si="20"/>
        <v>0</v>
      </c>
      <c r="CC32" s="14"/>
      <c r="CD32" s="15"/>
      <c r="CE32" s="16">
        <f t="shared" si="21"/>
        <v>0</v>
      </c>
      <c r="CF32" s="14"/>
      <c r="CG32" s="15"/>
      <c r="CH32" s="16">
        <f t="shared" si="22"/>
        <v>0</v>
      </c>
      <c r="CI32" s="14"/>
      <c r="CJ32" s="15"/>
      <c r="CK32" s="16">
        <f t="shared" si="23"/>
        <v>0</v>
      </c>
      <c r="CL32" s="14"/>
      <c r="CM32" s="15"/>
      <c r="CN32" s="16">
        <f t="shared" si="24"/>
        <v>0</v>
      </c>
      <c r="CO32" s="14"/>
      <c r="CP32" s="15"/>
      <c r="CQ32" s="16">
        <f t="shared" si="25"/>
        <v>0</v>
      </c>
      <c r="CR32" s="14"/>
      <c r="CS32" s="15"/>
      <c r="CT32" s="16">
        <f t="shared" si="26"/>
        <v>0</v>
      </c>
      <c r="CU32" s="17">
        <f t="shared" si="27"/>
        <v>0</v>
      </c>
      <c r="CV32" s="16">
        <f t="shared" si="28"/>
        <v>0</v>
      </c>
      <c r="CW32" s="16">
        <f t="shared" si="29"/>
        <v>0</v>
      </c>
    </row>
    <row r="33" spans="1:101" ht="15.75" customHeight="1" x14ac:dyDescent="0.35">
      <c r="A33" s="41" t="s">
        <v>134</v>
      </c>
      <c r="B33" s="41" t="s">
        <v>935</v>
      </c>
      <c r="C33" s="42"/>
      <c r="D33" s="43"/>
      <c r="E33" s="78">
        <f t="shared" si="0"/>
        <v>0</v>
      </c>
      <c r="F33" s="14"/>
      <c r="G33" s="15"/>
      <c r="H33" s="16">
        <f t="shared" si="33"/>
        <v>0</v>
      </c>
      <c r="I33" s="14">
        <v>13</v>
      </c>
      <c r="J33" s="15">
        <v>15800</v>
      </c>
      <c r="K33" s="16">
        <v>205400</v>
      </c>
      <c r="L33" s="14"/>
      <c r="M33" s="15"/>
      <c r="N33" s="16">
        <f t="shared" si="2"/>
        <v>0</v>
      </c>
      <c r="O33" s="14"/>
      <c r="P33" s="15"/>
      <c r="Q33" s="16">
        <f t="shared" si="3"/>
        <v>0</v>
      </c>
      <c r="R33" s="14"/>
      <c r="S33" s="15"/>
      <c r="T33" s="16">
        <f t="shared" si="4"/>
        <v>0</v>
      </c>
      <c r="U33" s="14"/>
      <c r="V33" s="15"/>
      <c r="W33" s="16">
        <f t="shared" si="5"/>
        <v>0</v>
      </c>
      <c r="X33" s="14">
        <v>13</v>
      </c>
      <c r="Y33" s="15">
        <v>15800</v>
      </c>
      <c r="Z33" s="16">
        <v>205400</v>
      </c>
      <c r="AA33" s="14"/>
      <c r="AB33" s="15"/>
      <c r="AC33" s="16">
        <f t="shared" si="6"/>
        <v>0</v>
      </c>
      <c r="AD33" s="14"/>
      <c r="AE33" s="15"/>
      <c r="AF33" s="16">
        <f t="shared" si="7"/>
        <v>0</v>
      </c>
      <c r="AG33" s="14">
        <v>13</v>
      </c>
      <c r="AH33" s="15">
        <v>15800</v>
      </c>
      <c r="AI33" s="16">
        <v>205400</v>
      </c>
      <c r="AJ33" s="14"/>
      <c r="AK33" s="15"/>
      <c r="AL33" s="16">
        <f t="shared" si="8"/>
        <v>0</v>
      </c>
      <c r="AM33" s="14"/>
      <c r="AN33" s="15"/>
      <c r="AO33" s="16">
        <f t="shared" si="9"/>
        <v>0</v>
      </c>
      <c r="AP33" s="14"/>
      <c r="AQ33" s="15"/>
      <c r="AR33" s="16">
        <f t="shared" si="10"/>
        <v>0</v>
      </c>
      <c r="AS33" s="14"/>
      <c r="AT33" s="15"/>
      <c r="AU33" s="16">
        <f t="shared" si="11"/>
        <v>0</v>
      </c>
      <c r="AV33" s="14"/>
      <c r="AW33" s="15"/>
      <c r="AX33" s="16">
        <f t="shared" si="12"/>
        <v>0</v>
      </c>
      <c r="AY33" s="14"/>
      <c r="AZ33" s="15"/>
      <c r="BA33" s="16">
        <f t="shared" si="13"/>
        <v>0</v>
      </c>
      <c r="BB33" s="14"/>
      <c r="BC33" s="15"/>
      <c r="BD33" s="16">
        <f t="shared" si="14"/>
        <v>0</v>
      </c>
      <c r="BE33" s="14"/>
      <c r="BF33" s="15"/>
      <c r="BG33" s="16">
        <f>IFERROR(BE33*BF33, 0)</f>
        <v>0</v>
      </c>
      <c r="BH33" s="14"/>
      <c r="BI33" s="15"/>
      <c r="BJ33" s="16">
        <f t="shared" si="15"/>
        <v>0</v>
      </c>
      <c r="BK33" s="14"/>
      <c r="BL33" s="15"/>
      <c r="BM33" s="16">
        <f t="shared" si="16"/>
        <v>0</v>
      </c>
      <c r="BN33" s="14"/>
      <c r="BO33" s="15"/>
      <c r="BP33" s="16">
        <f t="shared" si="17"/>
        <v>0</v>
      </c>
      <c r="BQ33" s="14">
        <v>20</v>
      </c>
      <c r="BR33" s="15">
        <v>15800</v>
      </c>
      <c r="BS33" s="16">
        <v>316000</v>
      </c>
      <c r="BT33" s="14"/>
      <c r="BU33" s="15"/>
      <c r="BV33" s="16">
        <f t="shared" si="18"/>
        <v>0</v>
      </c>
      <c r="BW33" s="14"/>
      <c r="BX33" s="15"/>
      <c r="BY33" s="16">
        <f t="shared" si="32"/>
        <v>0</v>
      </c>
      <c r="BZ33" s="14"/>
      <c r="CA33" s="15"/>
      <c r="CB33" s="16">
        <f t="shared" si="20"/>
        <v>0</v>
      </c>
      <c r="CC33" s="14"/>
      <c r="CD33" s="15"/>
      <c r="CE33" s="16">
        <f t="shared" si="21"/>
        <v>0</v>
      </c>
      <c r="CF33" s="14"/>
      <c r="CG33" s="15"/>
      <c r="CH33" s="16">
        <f t="shared" si="22"/>
        <v>0</v>
      </c>
      <c r="CI33" s="14"/>
      <c r="CJ33" s="15"/>
      <c r="CK33" s="16">
        <f t="shared" si="23"/>
        <v>0</v>
      </c>
      <c r="CL33" s="14"/>
      <c r="CM33" s="15"/>
      <c r="CN33" s="16">
        <f t="shared" si="24"/>
        <v>0</v>
      </c>
      <c r="CO33" s="14"/>
      <c r="CP33" s="15"/>
      <c r="CQ33" s="16">
        <f t="shared" si="25"/>
        <v>0</v>
      </c>
      <c r="CR33" s="14"/>
      <c r="CS33" s="15"/>
      <c r="CT33" s="16">
        <f t="shared" si="26"/>
        <v>0</v>
      </c>
      <c r="CU33" s="17">
        <f t="shared" si="27"/>
        <v>59</v>
      </c>
      <c r="CV33" s="16">
        <f t="shared" si="28"/>
        <v>15800</v>
      </c>
      <c r="CW33" s="16">
        <f t="shared" si="29"/>
        <v>932200</v>
      </c>
    </row>
    <row r="34" spans="1:101" ht="15.75" customHeight="1" x14ac:dyDescent="0.35">
      <c r="A34" s="21" t="s">
        <v>53</v>
      </c>
      <c r="B34" s="21" t="s">
        <v>935</v>
      </c>
      <c r="C34" s="44"/>
      <c r="D34" s="22"/>
      <c r="E34" s="78">
        <f t="shared" si="0"/>
        <v>0</v>
      </c>
      <c r="F34" s="14">
        <v>3</v>
      </c>
      <c r="G34" s="15">
        <v>2400</v>
      </c>
      <c r="H34" s="16">
        <v>7200</v>
      </c>
      <c r="I34" s="14">
        <v>5</v>
      </c>
      <c r="J34" s="15">
        <v>2250</v>
      </c>
      <c r="K34" s="16">
        <v>11250</v>
      </c>
      <c r="L34" s="14"/>
      <c r="M34" s="15"/>
      <c r="N34" s="16">
        <f t="shared" si="2"/>
        <v>0</v>
      </c>
      <c r="O34" s="14"/>
      <c r="P34" s="15"/>
      <c r="Q34" s="16">
        <f t="shared" si="3"/>
        <v>0</v>
      </c>
      <c r="R34" s="14"/>
      <c r="S34" s="15"/>
      <c r="T34" s="16">
        <f t="shared" si="4"/>
        <v>0</v>
      </c>
      <c r="U34" s="14"/>
      <c r="V34" s="15"/>
      <c r="W34" s="16">
        <f t="shared" si="5"/>
        <v>0</v>
      </c>
      <c r="X34" s="14">
        <v>6</v>
      </c>
      <c r="Y34" s="15">
        <v>2400</v>
      </c>
      <c r="Z34" s="16">
        <v>14400</v>
      </c>
      <c r="AA34" s="14"/>
      <c r="AB34" s="15"/>
      <c r="AC34" s="16">
        <f t="shared" si="6"/>
        <v>0</v>
      </c>
      <c r="AD34" s="14"/>
      <c r="AE34" s="15"/>
      <c r="AF34" s="16">
        <f t="shared" si="7"/>
        <v>0</v>
      </c>
      <c r="AG34" s="14">
        <v>8</v>
      </c>
      <c r="AH34" s="15">
        <v>2400</v>
      </c>
      <c r="AI34" s="16">
        <v>19200</v>
      </c>
      <c r="AJ34" s="14"/>
      <c r="AK34" s="15"/>
      <c r="AL34" s="16">
        <f t="shared" si="8"/>
        <v>0</v>
      </c>
      <c r="AM34" s="14"/>
      <c r="AN34" s="15"/>
      <c r="AO34" s="16">
        <f t="shared" si="9"/>
        <v>0</v>
      </c>
      <c r="AP34" s="14"/>
      <c r="AQ34" s="15"/>
      <c r="AR34" s="16">
        <f t="shared" si="10"/>
        <v>0</v>
      </c>
      <c r="AS34" s="14"/>
      <c r="AT34" s="15"/>
      <c r="AU34" s="16">
        <f t="shared" si="11"/>
        <v>0</v>
      </c>
      <c r="AV34" s="14"/>
      <c r="AW34" s="15"/>
      <c r="AX34" s="16">
        <f t="shared" si="12"/>
        <v>0</v>
      </c>
      <c r="AY34" s="14"/>
      <c r="AZ34" s="15"/>
      <c r="BA34" s="16">
        <f t="shared" si="13"/>
        <v>0</v>
      </c>
      <c r="BB34" s="14"/>
      <c r="BC34" s="15"/>
      <c r="BD34" s="16">
        <f t="shared" si="14"/>
        <v>0</v>
      </c>
      <c r="BE34" s="14">
        <v>8</v>
      </c>
      <c r="BF34" s="15">
        <v>2400</v>
      </c>
      <c r="BG34" s="16">
        <v>19200</v>
      </c>
      <c r="BH34" s="14"/>
      <c r="BI34" s="15"/>
      <c r="BJ34" s="16">
        <f t="shared" si="15"/>
        <v>0</v>
      </c>
      <c r="BK34" s="14"/>
      <c r="BL34" s="15"/>
      <c r="BM34" s="16">
        <f t="shared" si="16"/>
        <v>0</v>
      </c>
      <c r="BN34" s="14"/>
      <c r="BO34" s="15"/>
      <c r="BP34" s="16">
        <f t="shared" si="17"/>
        <v>0</v>
      </c>
      <c r="BQ34" s="14">
        <v>10</v>
      </c>
      <c r="BR34" s="15">
        <v>2400</v>
      </c>
      <c r="BS34" s="16">
        <v>24000</v>
      </c>
      <c r="BT34" s="14"/>
      <c r="BU34" s="15"/>
      <c r="BV34" s="16">
        <f t="shared" si="18"/>
        <v>0</v>
      </c>
      <c r="BW34" s="14"/>
      <c r="BX34" s="15"/>
      <c r="BY34" s="16">
        <f t="shared" si="32"/>
        <v>0</v>
      </c>
      <c r="BZ34" s="14"/>
      <c r="CA34" s="15"/>
      <c r="CB34" s="16">
        <f t="shared" si="20"/>
        <v>0</v>
      </c>
      <c r="CC34" s="14"/>
      <c r="CD34" s="15"/>
      <c r="CE34" s="16">
        <f t="shared" si="21"/>
        <v>0</v>
      </c>
      <c r="CF34" s="14"/>
      <c r="CG34" s="15"/>
      <c r="CH34" s="16">
        <f t="shared" si="22"/>
        <v>0</v>
      </c>
      <c r="CI34" s="14"/>
      <c r="CJ34" s="15"/>
      <c r="CK34" s="16">
        <f t="shared" si="23"/>
        <v>0</v>
      </c>
      <c r="CL34" s="14"/>
      <c r="CM34" s="15"/>
      <c r="CN34" s="16">
        <f t="shared" si="24"/>
        <v>0</v>
      </c>
      <c r="CO34" s="14"/>
      <c r="CP34" s="15"/>
      <c r="CQ34" s="16">
        <f t="shared" si="25"/>
        <v>0</v>
      </c>
      <c r="CR34" s="14"/>
      <c r="CS34" s="15"/>
      <c r="CT34" s="16">
        <f t="shared" si="26"/>
        <v>0</v>
      </c>
      <c r="CU34" s="17">
        <f t="shared" si="27"/>
        <v>40</v>
      </c>
      <c r="CV34" s="16">
        <f t="shared" si="28"/>
        <v>2375</v>
      </c>
      <c r="CW34" s="16">
        <f t="shared" si="29"/>
        <v>95000</v>
      </c>
    </row>
    <row r="35" spans="1:101" ht="15.75" customHeight="1" x14ac:dyDescent="0.35">
      <c r="A35" s="41" t="s">
        <v>122</v>
      </c>
      <c r="B35" s="41" t="s">
        <v>935</v>
      </c>
      <c r="C35" s="19"/>
      <c r="D35" s="20"/>
      <c r="E35" s="78">
        <f t="shared" ref="E35:E66" si="34">IFERROR(+C35*D35, 0)</f>
        <v>0</v>
      </c>
      <c r="F35" s="14"/>
      <c r="G35" s="15"/>
      <c r="H35" s="16">
        <f>IFERROR(F35*G35, 0)</f>
        <v>0</v>
      </c>
      <c r="I35" s="14">
        <v>1</v>
      </c>
      <c r="J35" s="15">
        <v>8100</v>
      </c>
      <c r="K35" s="16">
        <v>8100</v>
      </c>
      <c r="L35" s="14"/>
      <c r="M35" s="15"/>
      <c r="N35" s="16">
        <f t="shared" ref="N35:N58" si="35">IFERROR(L35*M35, 0)</f>
        <v>0</v>
      </c>
      <c r="O35" s="14"/>
      <c r="P35" s="15"/>
      <c r="Q35" s="16">
        <f t="shared" ref="Q35:Q62" si="36">IFERROR(O35*P35, 0)</f>
        <v>0</v>
      </c>
      <c r="R35" s="14"/>
      <c r="S35" s="15"/>
      <c r="T35" s="16">
        <f t="shared" ref="T35:T66" si="37">IFERROR(R35*S35, 0)</f>
        <v>0</v>
      </c>
      <c r="U35" s="14"/>
      <c r="V35" s="15"/>
      <c r="W35" s="16">
        <f t="shared" ref="W35:W66" si="38">IFERROR(U35*V35, 0)</f>
        <v>0</v>
      </c>
      <c r="X35" s="14"/>
      <c r="Y35" s="15"/>
      <c r="Z35" s="16">
        <f>IFERROR(X35*Y35, 0)</f>
        <v>0</v>
      </c>
      <c r="AA35" s="14"/>
      <c r="AB35" s="15"/>
      <c r="AC35" s="16">
        <f t="shared" si="6"/>
        <v>0</v>
      </c>
      <c r="AD35" s="14"/>
      <c r="AE35" s="15"/>
      <c r="AF35" s="16">
        <f t="shared" ref="AF35:AF66" si="39">IFERROR(AD35*AE35, 0)</f>
        <v>0</v>
      </c>
      <c r="AG35" s="14">
        <v>1</v>
      </c>
      <c r="AH35" s="15">
        <v>8100</v>
      </c>
      <c r="AI35" s="16">
        <v>8100</v>
      </c>
      <c r="AJ35" s="14"/>
      <c r="AK35" s="15"/>
      <c r="AL35" s="16">
        <f t="shared" ref="AL35:AL66" si="40">IFERROR(AJ35*AK35, 0)</f>
        <v>0</v>
      </c>
      <c r="AM35" s="14"/>
      <c r="AN35" s="15"/>
      <c r="AO35" s="16">
        <f t="shared" ref="AO35:AO66" si="41">IFERROR(AM35*AN35, 0)</f>
        <v>0</v>
      </c>
      <c r="AP35" s="14"/>
      <c r="AQ35" s="15"/>
      <c r="AR35" s="16">
        <f t="shared" ref="AR35:AR66" si="42">IFERROR(AP35*AQ35, 0)</f>
        <v>0</v>
      </c>
      <c r="AS35" s="14"/>
      <c r="AT35" s="15"/>
      <c r="AU35" s="16">
        <f t="shared" si="11"/>
        <v>0</v>
      </c>
      <c r="AV35" s="14"/>
      <c r="AW35" s="15"/>
      <c r="AX35" s="16">
        <f t="shared" ref="AX35:AX66" si="43">IFERROR(AV35*AW35, 0)</f>
        <v>0</v>
      </c>
      <c r="AY35" s="14"/>
      <c r="AZ35" s="15"/>
      <c r="BA35" s="16">
        <f t="shared" ref="BA35:BA66" si="44">IFERROR(AY35*AZ35, 0)</f>
        <v>0</v>
      </c>
      <c r="BB35" s="14"/>
      <c r="BC35" s="15"/>
      <c r="BD35" s="16">
        <f t="shared" ref="BD35:BD66" si="45">IFERROR(BB35*BC35, 0)</f>
        <v>0</v>
      </c>
      <c r="BE35" s="14"/>
      <c r="BF35" s="15"/>
      <c r="BG35" s="16">
        <f>IFERROR(BE35*BF35, 0)</f>
        <v>0</v>
      </c>
      <c r="BH35" s="14"/>
      <c r="BI35" s="15"/>
      <c r="BJ35" s="16">
        <f t="shared" ref="BJ35:BJ66" si="46">IFERROR(BH35*BI35, 0)</f>
        <v>0</v>
      </c>
      <c r="BK35" s="14"/>
      <c r="BL35" s="15"/>
      <c r="BM35" s="16">
        <f t="shared" si="16"/>
        <v>0</v>
      </c>
      <c r="BN35" s="14"/>
      <c r="BO35" s="15"/>
      <c r="BP35" s="16">
        <f t="shared" si="17"/>
        <v>0</v>
      </c>
      <c r="BQ35" s="14"/>
      <c r="BR35" s="15"/>
      <c r="BS35" s="16">
        <f>IFERROR(BQ35*BR35, 0)</f>
        <v>0</v>
      </c>
      <c r="BT35" s="14"/>
      <c r="BU35" s="15"/>
      <c r="BV35" s="16">
        <f t="shared" ref="BV35:BV66" si="47">IFERROR(BT35*BU35, 0)</f>
        <v>0</v>
      </c>
      <c r="BW35" s="14"/>
      <c r="BX35" s="15"/>
      <c r="BY35" s="16">
        <f t="shared" si="32"/>
        <v>0</v>
      </c>
      <c r="BZ35" s="14"/>
      <c r="CA35" s="15"/>
      <c r="CB35" s="16">
        <f t="shared" ref="CB35:CB66" si="48">IFERROR(BZ35*CA35, 0)</f>
        <v>0</v>
      </c>
      <c r="CC35" s="14"/>
      <c r="CD35" s="15"/>
      <c r="CE35" s="16">
        <f t="shared" ref="CE35:CE66" si="49">IFERROR(CC35*CD35, 0)</f>
        <v>0</v>
      </c>
      <c r="CF35" s="14"/>
      <c r="CG35" s="15"/>
      <c r="CH35" s="16">
        <f t="shared" ref="CH35:CH66" si="50">IFERROR(CF35*CG35, 0)</f>
        <v>0</v>
      </c>
      <c r="CI35" s="14"/>
      <c r="CJ35" s="15"/>
      <c r="CK35" s="16">
        <f t="shared" ref="CK35:CK66" si="51">IFERROR(CI35*CJ35, 0)</f>
        <v>0</v>
      </c>
      <c r="CL35" s="14"/>
      <c r="CM35" s="15"/>
      <c r="CN35" s="16">
        <f t="shared" ref="CN35:CN66" si="52">IFERROR(CL35*CM35, 0)</f>
        <v>0</v>
      </c>
      <c r="CO35" s="14"/>
      <c r="CP35" s="15"/>
      <c r="CQ35" s="16">
        <f t="shared" ref="CQ35:CQ66" si="53">IFERROR(CO35*CP35, 0)</f>
        <v>0</v>
      </c>
      <c r="CR35" s="14"/>
      <c r="CS35" s="15"/>
      <c r="CT35" s="16">
        <f t="shared" ref="CT35:CT66" si="54">IFERROR(CR35*CS35, 0)</f>
        <v>0</v>
      </c>
      <c r="CU35" s="17">
        <f t="shared" ref="CU35:CU66" si="55">IFERROR(SUM(F35,I35,L35,O35,R35,U35,X35,AA35,AD35,AG35,AJ35,AM35,AP35,AS35,AV35,AY35,BB35,BE35,BH35,BK35,BN35,BQ35,BT35,BW35,BZ35,CC35,CF35,CI35,CL35,CO35,CR35), 0)</f>
        <v>2</v>
      </c>
      <c r="CV35" s="16">
        <f t="shared" ref="CV35:CV66" si="56">IFERROR(AVERAGE(G35,J35,M35,P35,S35,V35,Y35,AB35,AE35,AH35,AK35,AN35,AQ35,AT35,AW35,AZ35,BC35,BF35,BI35,BL35,BO35,BR35,BU35,BX35,CA35,CD35,CG35,CJ35,CM35,CP35,CS35), 0)</f>
        <v>8100</v>
      </c>
      <c r="CW35" s="16">
        <f t="shared" ref="CW35:CW66" si="57">CU35*CV35</f>
        <v>16200</v>
      </c>
    </row>
    <row r="36" spans="1:101" ht="15.75" customHeight="1" x14ac:dyDescent="0.35">
      <c r="A36" s="41" t="s">
        <v>66</v>
      </c>
      <c r="B36" s="41" t="s">
        <v>935</v>
      </c>
      <c r="C36" s="42"/>
      <c r="D36" s="43"/>
      <c r="E36" s="78">
        <f t="shared" si="34"/>
        <v>0</v>
      </c>
      <c r="F36" s="14">
        <v>2</v>
      </c>
      <c r="G36" s="15">
        <v>18200</v>
      </c>
      <c r="H36" s="16">
        <v>36400</v>
      </c>
      <c r="I36" s="14"/>
      <c r="J36" s="15"/>
      <c r="K36" s="16">
        <f>IFERROR(I36*J36, 0)</f>
        <v>0</v>
      </c>
      <c r="L36" s="14"/>
      <c r="M36" s="15"/>
      <c r="N36" s="16">
        <f t="shared" si="35"/>
        <v>0</v>
      </c>
      <c r="O36" s="14"/>
      <c r="P36" s="15"/>
      <c r="Q36" s="16">
        <f t="shared" si="36"/>
        <v>0</v>
      </c>
      <c r="R36" s="14"/>
      <c r="S36" s="15"/>
      <c r="T36" s="16">
        <f t="shared" si="37"/>
        <v>0</v>
      </c>
      <c r="U36" s="14"/>
      <c r="V36" s="15"/>
      <c r="W36" s="16">
        <f t="shared" si="38"/>
        <v>0</v>
      </c>
      <c r="X36" s="14"/>
      <c r="Y36" s="15"/>
      <c r="Z36" s="16">
        <f>IFERROR(X36*Y36, 0)</f>
        <v>0</v>
      </c>
      <c r="AA36" s="14">
        <v>2</v>
      </c>
      <c r="AB36" s="15">
        <v>18200</v>
      </c>
      <c r="AC36" s="16">
        <v>36400</v>
      </c>
      <c r="AD36" s="14"/>
      <c r="AE36" s="15"/>
      <c r="AF36" s="16">
        <f t="shared" si="39"/>
        <v>0</v>
      </c>
      <c r="AG36" s="14"/>
      <c r="AH36" s="15"/>
      <c r="AI36" s="16">
        <f>IFERROR(AG36*AH36, 0)</f>
        <v>0</v>
      </c>
      <c r="AJ36" s="14"/>
      <c r="AK36" s="15"/>
      <c r="AL36" s="16">
        <f t="shared" si="40"/>
        <v>0</v>
      </c>
      <c r="AM36" s="14"/>
      <c r="AN36" s="15"/>
      <c r="AO36" s="16">
        <f t="shared" si="41"/>
        <v>0</v>
      </c>
      <c r="AP36" s="14"/>
      <c r="AQ36" s="15"/>
      <c r="AR36" s="16">
        <f t="shared" si="42"/>
        <v>0</v>
      </c>
      <c r="AS36" s="14"/>
      <c r="AT36" s="15"/>
      <c r="AU36" s="16">
        <f t="shared" si="11"/>
        <v>0</v>
      </c>
      <c r="AV36" s="14"/>
      <c r="AW36" s="15"/>
      <c r="AX36" s="16">
        <f t="shared" si="43"/>
        <v>0</v>
      </c>
      <c r="AY36" s="14"/>
      <c r="AZ36" s="15"/>
      <c r="BA36" s="16">
        <f t="shared" si="44"/>
        <v>0</v>
      </c>
      <c r="BB36" s="14"/>
      <c r="BC36" s="15"/>
      <c r="BD36" s="16">
        <f t="shared" si="45"/>
        <v>0</v>
      </c>
      <c r="BE36" s="14"/>
      <c r="BF36" s="15"/>
      <c r="BG36" s="16">
        <f>IFERROR(BE36*BF36, 0)</f>
        <v>0</v>
      </c>
      <c r="BH36" s="14"/>
      <c r="BI36" s="15"/>
      <c r="BJ36" s="16">
        <f t="shared" si="46"/>
        <v>0</v>
      </c>
      <c r="BK36" s="14"/>
      <c r="BL36" s="15"/>
      <c r="BM36" s="16">
        <f t="shared" si="16"/>
        <v>0</v>
      </c>
      <c r="BN36" s="14">
        <v>2</v>
      </c>
      <c r="BO36" s="15">
        <v>18200</v>
      </c>
      <c r="BP36" s="16">
        <v>36400</v>
      </c>
      <c r="BQ36" s="14">
        <v>4</v>
      </c>
      <c r="BR36" s="15">
        <v>18200</v>
      </c>
      <c r="BS36" s="16">
        <v>72800</v>
      </c>
      <c r="BT36" s="14"/>
      <c r="BU36" s="15"/>
      <c r="BV36" s="16">
        <f t="shared" si="47"/>
        <v>0</v>
      </c>
      <c r="BW36" s="14"/>
      <c r="BX36" s="15"/>
      <c r="BY36" s="16">
        <f t="shared" si="32"/>
        <v>0</v>
      </c>
      <c r="BZ36" s="14"/>
      <c r="CA36" s="15"/>
      <c r="CB36" s="16">
        <f t="shared" si="48"/>
        <v>0</v>
      </c>
      <c r="CC36" s="14"/>
      <c r="CD36" s="15"/>
      <c r="CE36" s="16">
        <f t="shared" si="49"/>
        <v>0</v>
      </c>
      <c r="CF36" s="14"/>
      <c r="CG36" s="15"/>
      <c r="CH36" s="16">
        <f t="shared" si="50"/>
        <v>0</v>
      </c>
      <c r="CI36" s="14"/>
      <c r="CJ36" s="15"/>
      <c r="CK36" s="16">
        <f t="shared" si="51"/>
        <v>0</v>
      </c>
      <c r="CL36" s="14"/>
      <c r="CM36" s="15"/>
      <c r="CN36" s="16">
        <f t="shared" si="52"/>
        <v>0</v>
      </c>
      <c r="CO36" s="14"/>
      <c r="CP36" s="15"/>
      <c r="CQ36" s="16">
        <f t="shared" si="53"/>
        <v>0</v>
      </c>
      <c r="CR36" s="14"/>
      <c r="CS36" s="15"/>
      <c r="CT36" s="16">
        <f t="shared" si="54"/>
        <v>0</v>
      </c>
      <c r="CU36" s="17">
        <f t="shared" si="55"/>
        <v>10</v>
      </c>
      <c r="CV36" s="16">
        <f t="shared" si="56"/>
        <v>18200</v>
      </c>
      <c r="CW36" s="16">
        <f t="shared" si="57"/>
        <v>182000</v>
      </c>
    </row>
    <row r="37" spans="1:101" ht="15.75" customHeight="1" x14ac:dyDescent="0.35">
      <c r="A37" s="41" t="s">
        <v>986</v>
      </c>
      <c r="B37" s="41" t="s">
        <v>935</v>
      </c>
      <c r="C37" s="42"/>
      <c r="D37" s="43"/>
      <c r="E37" s="78">
        <f t="shared" si="34"/>
        <v>0</v>
      </c>
      <c r="F37" s="14"/>
      <c r="G37" s="15"/>
      <c r="H37" s="16">
        <f t="shared" ref="H37:H44" si="58">IFERROR(F37*G37, 0)</f>
        <v>0</v>
      </c>
      <c r="I37" s="14"/>
      <c r="J37" s="15"/>
      <c r="K37" s="16">
        <f>IFERROR(I37*J37, 0)</f>
        <v>0</v>
      </c>
      <c r="L37" s="14"/>
      <c r="M37" s="15"/>
      <c r="N37" s="16">
        <f t="shared" si="35"/>
        <v>0</v>
      </c>
      <c r="O37" s="14"/>
      <c r="P37" s="15"/>
      <c r="Q37" s="16">
        <f t="shared" si="36"/>
        <v>0</v>
      </c>
      <c r="R37" s="14"/>
      <c r="S37" s="15"/>
      <c r="T37" s="16">
        <f t="shared" si="37"/>
        <v>0</v>
      </c>
      <c r="U37" s="14"/>
      <c r="V37" s="15"/>
      <c r="W37" s="16">
        <f t="shared" si="38"/>
        <v>0</v>
      </c>
      <c r="X37" s="14"/>
      <c r="Y37" s="15"/>
      <c r="Z37" s="16">
        <f>IFERROR(X37*Y37, 0)</f>
        <v>0</v>
      </c>
      <c r="AA37" s="14"/>
      <c r="AB37" s="15"/>
      <c r="AC37" s="16">
        <f t="shared" ref="AC37:AC68" si="59">IFERROR(AA37*AB37, 0)</f>
        <v>0</v>
      </c>
      <c r="AD37" s="14"/>
      <c r="AE37" s="15"/>
      <c r="AF37" s="16">
        <f t="shared" si="39"/>
        <v>0</v>
      </c>
      <c r="AG37" s="14"/>
      <c r="AH37" s="15"/>
      <c r="AI37" s="16">
        <f>IFERROR(AG37*AH37, 0)</f>
        <v>0</v>
      </c>
      <c r="AJ37" s="14"/>
      <c r="AK37" s="15"/>
      <c r="AL37" s="16">
        <f t="shared" si="40"/>
        <v>0</v>
      </c>
      <c r="AM37" s="14"/>
      <c r="AN37" s="15"/>
      <c r="AO37" s="16">
        <f t="shared" si="41"/>
        <v>0</v>
      </c>
      <c r="AP37" s="14"/>
      <c r="AQ37" s="15"/>
      <c r="AR37" s="16">
        <f t="shared" si="42"/>
        <v>0</v>
      </c>
      <c r="AS37" s="14"/>
      <c r="AT37" s="15"/>
      <c r="AU37" s="16">
        <f t="shared" si="11"/>
        <v>0</v>
      </c>
      <c r="AV37" s="14"/>
      <c r="AW37" s="15"/>
      <c r="AX37" s="16">
        <f t="shared" si="43"/>
        <v>0</v>
      </c>
      <c r="AY37" s="14"/>
      <c r="AZ37" s="15"/>
      <c r="BA37" s="16">
        <f t="shared" si="44"/>
        <v>0</v>
      </c>
      <c r="BB37" s="14"/>
      <c r="BC37" s="15"/>
      <c r="BD37" s="16">
        <f t="shared" si="45"/>
        <v>0</v>
      </c>
      <c r="BE37" s="14"/>
      <c r="BF37" s="15"/>
      <c r="BG37" s="16">
        <f>IFERROR(BE37*BF37, 0)</f>
        <v>0</v>
      </c>
      <c r="BH37" s="14"/>
      <c r="BI37" s="15"/>
      <c r="BJ37" s="16">
        <f t="shared" si="46"/>
        <v>0</v>
      </c>
      <c r="BK37" s="14"/>
      <c r="BL37" s="15"/>
      <c r="BM37" s="16">
        <f t="shared" si="16"/>
        <v>0</v>
      </c>
      <c r="BN37" s="14"/>
      <c r="BO37" s="15"/>
      <c r="BP37" s="16">
        <f t="shared" ref="BP37:BP68" si="60">IFERROR(BN37*BO37, 0)</f>
        <v>0</v>
      </c>
      <c r="BQ37" s="14"/>
      <c r="BR37" s="15"/>
      <c r="BS37" s="16">
        <f>IFERROR(BQ37*BR37, 0)</f>
        <v>0</v>
      </c>
      <c r="BT37" s="14"/>
      <c r="BU37" s="15"/>
      <c r="BV37" s="16">
        <f t="shared" si="47"/>
        <v>0</v>
      </c>
      <c r="BW37" s="14"/>
      <c r="BX37" s="15"/>
      <c r="BY37" s="16">
        <f t="shared" si="32"/>
        <v>0</v>
      </c>
      <c r="BZ37" s="14"/>
      <c r="CA37" s="15"/>
      <c r="CB37" s="16">
        <f t="shared" si="48"/>
        <v>0</v>
      </c>
      <c r="CC37" s="14"/>
      <c r="CD37" s="15"/>
      <c r="CE37" s="16">
        <f t="shared" si="49"/>
        <v>0</v>
      </c>
      <c r="CF37" s="14"/>
      <c r="CG37" s="15"/>
      <c r="CH37" s="16">
        <f t="shared" si="50"/>
        <v>0</v>
      </c>
      <c r="CI37" s="14"/>
      <c r="CJ37" s="15"/>
      <c r="CK37" s="16">
        <f t="shared" si="51"/>
        <v>0</v>
      </c>
      <c r="CL37" s="14"/>
      <c r="CM37" s="15"/>
      <c r="CN37" s="16">
        <f t="shared" si="52"/>
        <v>0</v>
      </c>
      <c r="CO37" s="14"/>
      <c r="CP37" s="15"/>
      <c r="CQ37" s="16">
        <f t="shared" si="53"/>
        <v>0</v>
      </c>
      <c r="CR37" s="14"/>
      <c r="CS37" s="15"/>
      <c r="CT37" s="16">
        <f t="shared" si="54"/>
        <v>0</v>
      </c>
      <c r="CU37" s="17">
        <f t="shared" si="55"/>
        <v>0</v>
      </c>
      <c r="CV37" s="16">
        <f t="shared" si="56"/>
        <v>0</v>
      </c>
      <c r="CW37" s="16">
        <f t="shared" si="57"/>
        <v>0</v>
      </c>
    </row>
    <row r="38" spans="1:101" ht="15.75" customHeight="1" x14ac:dyDescent="0.35">
      <c r="A38" s="41" t="s">
        <v>319</v>
      </c>
      <c r="B38" s="41" t="s">
        <v>935</v>
      </c>
      <c r="C38" s="42"/>
      <c r="D38" s="43"/>
      <c r="E38" s="78">
        <f t="shared" si="34"/>
        <v>0</v>
      </c>
      <c r="F38" s="14"/>
      <c r="G38" s="15"/>
      <c r="H38" s="16">
        <f t="shared" si="58"/>
        <v>0</v>
      </c>
      <c r="I38" s="14"/>
      <c r="J38" s="15"/>
      <c r="K38" s="16">
        <f>IFERROR(I38*J38, 0)</f>
        <v>0</v>
      </c>
      <c r="L38" s="14"/>
      <c r="M38" s="15"/>
      <c r="N38" s="16">
        <f t="shared" si="35"/>
        <v>0</v>
      </c>
      <c r="O38" s="14"/>
      <c r="P38" s="15"/>
      <c r="Q38" s="16">
        <f t="shared" si="36"/>
        <v>0</v>
      </c>
      <c r="R38" s="14"/>
      <c r="S38" s="15"/>
      <c r="T38" s="16">
        <f t="shared" si="37"/>
        <v>0</v>
      </c>
      <c r="U38" s="14"/>
      <c r="V38" s="15"/>
      <c r="W38" s="16">
        <f t="shared" si="38"/>
        <v>0</v>
      </c>
      <c r="X38" s="14">
        <v>1</v>
      </c>
      <c r="Y38" s="15">
        <v>6800</v>
      </c>
      <c r="Z38" s="16">
        <v>6800</v>
      </c>
      <c r="AA38" s="14"/>
      <c r="AB38" s="15"/>
      <c r="AC38" s="16">
        <f t="shared" si="59"/>
        <v>0</v>
      </c>
      <c r="AD38" s="14"/>
      <c r="AE38" s="15"/>
      <c r="AF38" s="16">
        <f t="shared" si="39"/>
        <v>0</v>
      </c>
      <c r="AG38" s="14"/>
      <c r="AH38" s="15"/>
      <c r="AI38" s="16">
        <f>IFERROR(AG38*AH38, 0)</f>
        <v>0</v>
      </c>
      <c r="AJ38" s="14"/>
      <c r="AK38" s="15"/>
      <c r="AL38" s="16">
        <f t="shared" si="40"/>
        <v>0</v>
      </c>
      <c r="AM38" s="14"/>
      <c r="AN38" s="15"/>
      <c r="AO38" s="16">
        <f t="shared" si="41"/>
        <v>0</v>
      </c>
      <c r="AP38" s="14"/>
      <c r="AQ38" s="15"/>
      <c r="AR38" s="16">
        <f t="shared" si="42"/>
        <v>0</v>
      </c>
      <c r="AS38" s="14"/>
      <c r="AT38" s="15"/>
      <c r="AU38" s="16">
        <f t="shared" si="11"/>
        <v>0</v>
      </c>
      <c r="AV38" s="14"/>
      <c r="AW38" s="15"/>
      <c r="AX38" s="16">
        <f t="shared" si="43"/>
        <v>0</v>
      </c>
      <c r="AY38" s="14"/>
      <c r="AZ38" s="15"/>
      <c r="BA38" s="16">
        <f t="shared" si="44"/>
        <v>0</v>
      </c>
      <c r="BB38" s="14"/>
      <c r="BC38" s="15"/>
      <c r="BD38" s="16">
        <f t="shared" si="45"/>
        <v>0</v>
      </c>
      <c r="BE38" s="14"/>
      <c r="BF38" s="15"/>
      <c r="BG38" s="16">
        <f>IFERROR(BE38*BF38, 0)</f>
        <v>0</v>
      </c>
      <c r="BH38" s="14"/>
      <c r="BI38" s="15"/>
      <c r="BJ38" s="16">
        <f t="shared" si="46"/>
        <v>0</v>
      </c>
      <c r="BK38" s="14"/>
      <c r="BL38" s="15"/>
      <c r="BM38" s="16">
        <f t="shared" si="16"/>
        <v>0</v>
      </c>
      <c r="BN38" s="14"/>
      <c r="BO38" s="15"/>
      <c r="BP38" s="16">
        <f t="shared" si="60"/>
        <v>0</v>
      </c>
      <c r="BQ38" s="14"/>
      <c r="BR38" s="15"/>
      <c r="BS38" s="16">
        <f>IFERROR(BQ38*BR38, 0)</f>
        <v>0</v>
      </c>
      <c r="BT38" s="14"/>
      <c r="BU38" s="15"/>
      <c r="BV38" s="16">
        <f t="shared" si="47"/>
        <v>0</v>
      </c>
      <c r="BW38" s="14"/>
      <c r="BX38" s="15"/>
      <c r="BY38" s="16">
        <f t="shared" si="32"/>
        <v>0</v>
      </c>
      <c r="BZ38" s="14"/>
      <c r="CA38" s="15"/>
      <c r="CB38" s="16">
        <f t="shared" si="48"/>
        <v>0</v>
      </c>
      <c r="CC38" s="14"/>
      <c r="CD38" s="15"/>
      <c r="CE38" s="16">
        <f t="shared" si="49"/>
        <v>0</v>
      </c>
      <c r="CF38" s="14"/>
      <c r="CG38" s="15"/>
      <c r="CH38" s="16">
        <f t="shared" si="50"/>
        <v>0</v>
      </c>
      <c r="CI38" s="14"/>
      <c r="CJ38" s="15"/>
      <c r="CK38" s="16">
        <f t="shared" si="51"/>
        <v>0</v>
      </c>
      <c r="CL38" s="14"/>
      <c r="CM38" s="15"/>
      <c r="CN38" s="16">
        <f t="shared" si="52"/>
        <v>0</v>
      </c>
      <c r="CO38" s="14"/>
      <c r="CP38" s="15"/>
      <c r="CQ38" s="16">
        <f t="shared" si="53"/>
        <v>0</v>
      </c>
      <c r="CR38" s="14"/>
      <c r="CS38" s="15"/>
      <c r="CT38" s="16">
        <f t="shared" si="54"/>
        <v>0</v>
      </c>
      <c r="CU38" s="17">
        <f t="shared" si="55"/>
        <v>1</v>
      </c>
      <c r="CV38" s="16">
        <f t="shared" si="56"/>
        <v>6800</v>
      </c>
      <c r="CW38" s="16">
        <f t="shared" si="57"/>
        <v>6800</v>
      </c>
    </row>
    <row r="39" spans="1:101" ht="15.75" customHeight="1" x14ac:dyDescent="0.35">
      <c r="A39" s="41" t="s">
        <v>100</v>
      </c>
      <c r="B39" s="41" t="s">
        <v>935</v>
      </c>
      <c r="C39" s="42"/>
      <c r="D39" s="43"/>
      <c r="E39" s="78">
        <f t="shared" si="34"/>
        <v>0</v>
      </c>
      <c r="F39" s="14"/>
      <c r="G39" s="15"/>
      <c r="H39" s="16">
        <f t="shared" si="58"/>
        <v>0</v>
      </c>
      <c r="I39" s="14">
        <v>13</v>
      </c>
      <c r="J39" s="15">
        <v>10000</v>
      </c>
      <c r="K39" s="16">
        <v>130000</v>
      </c>
      <c r="L39" s="14"/>
      <c r="M39" s="15"/>
      <c r="N39" s="16">
        <f t="shared" si="35"/>
        <v>0</v>
      </c>
      <c r="O39" s="14"/>
      <c r="P39" s="15"/>
      <c r="Q39" s="16">
        <f t="shared" si="36"/>
        <v>0</v>
      </c>
      <c r="R39" s="14"/>
      <c r="S39" s="15"/>
      <c r="T39" s="16">
        <f t="shared" si="37"/>
        <v>0</v>
      </c>
      <c r="U39" s="14"/>
      <c r="V39" s="15"/>
      <c r="W39" s="16">
        <f t="shared" si="38"/>
        <v>0</v>
      </c>
      <c r="X39" s="14">
        <v>13</v>
      </c>
      <c r="Y39" s="15">
        <v>10000</v>
      </c>
      <c r="Z39" s="16">
        <v>130000</v>
      </c>
      <c r="AA39" s="14"/>
      <c r="AB39" s="15"/>
      <c r="AC39" s="16">
        <f t="shared" si="59"/>
        <v>0</v>
      </c>
      <c r="AD39" s="14"/>
      <c r="AE39" s="15"/>
      <c r="AF39" s="16">
        <f t="shared" si="39"/>
        <v>0</v>
      </c>
      <c r="AG39" s="14">
        <v>13</v>
      </c>
      <c r="AH39" s="15">
        <v>10000</v>
      </c>
      <c r="AI39" s="16">
        <v>130000</v>
      </c>
      <c r="AJ39" s="14"/>
      <c r="AK39" s="15"/>
      <c r="AL39" s="16">
        <f t="shared" si="40"/>
        <v>0</v>
      </c>
      <c r="AM39" s="14"/>
      <c r="AN39" s="15"/>
      <c r="AO39" s="16">
        <f t="shared" si="41"/>
        <v>0</v>
      </c>
      <c r="AP39" s="14"/>
      <c r="AQ39" s="15"/>
      <c r="AR39" s="16">
        <f t="shared" si="42"/>
        <v>0</v>
      </c>
      <c r="AS39" s="14"/>
      <c r="AT39" s="15"/>
      <c r="AU39" s="16">
        <f t="shared" si="11"/>
        <v>0</v>
      </c>
      <c r="AV39" s="14"/>
      <c r="AW39" s="15"/>
      <c r="AX39" s="16">
        <f t="shared" si="43"/>
        <v>0</v>
      </c>
      <c r="AY39" s="14"/>
      <c r="AZ39" s="15"/>
      <c r="BA39" s="16">
        <f t="shared" si="44"/>
        <v>0</v>
      </c>
      <c r="BB39" s="14"/>
      <c r="BC39" s="15"/>
      <c r="BD39" s="16">
        <f t="shared" si="45"/>
        <v>0</v>
      </c>
      <c r="BE39" s="14"/>
      <c r="BF39" s="15"/>
      <c r="BG39" s="16">
        <f>IFERROR(BE39*BF39, 0)</f>
        <v>0</v>
      </c>
      <c r="BH39" s="14"/>
      <c r="BI39" s="15"/>
      <c r="BJ39" s="16">
        <f t="shared" si="46"/>
        <v>0</v>
      </c>
      <c r="BK39" s="14"/>
      <c r="BL39" s="15"/>
      <c r="BM39" s="16">
        <f t="shared" si="16"/>
        <v>0</v>
      </c>
      <c r="BN39" s="14"/>
      <c r="BO39" s="15"/>
      <c r="BP39" s="16">
        <f t="shared" si="60"/>
        <v>0</v>
      </c>
      <c r="BQ39" s="14">
        <v>20</v>
      </c>
      <c r="BR39" s="15">
        <v>10000</v>
      </c>
      <c r="BS39" s="16">
        <v>200000</v>
      </c>
      <c r="BT39" s="14"/>
      <c r="BU39" s="15"/>
      <c r="BV39" s="16">
        <f t="shared" si="47"/>
        <v>0</v>
      </c>
      <c r="BW39" s="14"/>
      <c r="BX39" s="15"/>
      <c r="BY39" s="16">
        <f t="shared" si="32"/>
        <v>0</v>
      </c>
      <c r="BZ39" s="14"/>
      <c r="CA39" s="15"/>
      <c r="CB39" s="16">
        <f t="shared" si="48"/>
        <v>0</v>
      </c>
      <c r="CC39" s="14"/>
      <c r="CD39" s="15"/>
      <c r="CE39" s="16">
        <f t="shared" si="49"/>
        <v>0</v>
      </c>
      <c r="CF39" s="14"/>
      <c r="CG39" s="15"/>
      <c r="CH39" s="16">
        <f t="shared" si="50"/>
        <v>0</v>
      </c>
      <c r="CI39" s="14"/>
      <c r="CJ39" s="15"/>
      <c r="CK39" s="16">
        <f t="shared" si="51"/>
        <v>0</v>
      </c>
      <c r="CL39" s="14"/>
      <c r="CM39" s="15"/>
      <c r="CN39" s="16">
        <f t="shared" si="52"/>
        <v>0</v>
      </c>
      <c r="CO39" s="14"/>
      <c r="CP39" s="15"/>
      <c r="CQ39" s="16">
        <f t="shared" si="53"/>
        <v>0</v>
      </c>
      <c r="CR39" s="14"/>
      <c r="CS39" s="15"/>
      <c r="CT39" s="16">
        <f t="shared" si="54"/>
        <v>0</v>
      </c>
      <c r="CU39" s="17">
        <f t="shared" si="55"/>
        <v>59</v>
      </c>
      <c r="CV39" s="16">
        <f t="shared" si="56"/>
        <v>10000</v>
      </c>
      <c r="CW39" s="16">
        <f t="shared" si="57"/>
        <v>590000</v>
      </c>
    </row>
    <row r="40" spans="1:101" ht="15.75" customHeight="1" x14ac:dyDescent="0.35">
      <c r="A40" s="41" t="s">
        <v>314</v>
      </c>
      <c r="B40" s="41" t="s">
        <v>846</v>
      </c>
      <c r="C40" s="42"/>
      <c r="D40" s="43"/>
      <c r="E40" s="78">
        <f t="shared" si="34"/>
        <v>0</v>
      </c>
      <c r="F40" s="14"/>
      <c r="G40" s="15"/>
      <c r="H40" s="16">
        <f t="shared" si="58"/>
        <v>0</v>
      </c>
      <c r="I40" s="14"/>
      <c r="J40" s="15"/>
      <c r="K40" s="16">
        <f>IFERROR(I40*J40, 0)</f>
        <v>0</v>
      </c>
      <c r="L40" s="14"/>
      <c r="M40" s="15"/>
      <c r="N40" s="16">
        <f t="shared" si="35"/>
        <v>0</v>
      </c>
      <c r="O40" s="14"/>
      <c r="P40" s="15"/>
      <c r="Q40" s="16">
        <f t="shared" si="36"/>
        <v>0</v>
      </c>
      <c r="R40" s="14"/>
      <c r="S40" s="15"/>
      <c r="T40" s="16">
        <f t="shared" si="37"/>
        <v>0</v>
      </c>
      <c r="U40" s="14"/>
      <c r="V40" s="15"/>
      <c r="W40" s="16">
        <f t="shared" si="38"/>
        <v>0</v>
      </c>
      <c r="X40" s="14">
        <v>100</v>
      </c>
      <c r="Y40" s="15">
        <v>270</v>
      </c>
      <c r="Z40" s="16">
        <v>27000</v>
      </c>
      <c r="AA40" s="14"/>
      <c r="AB40" s="15"/>
      <c r="AC40" s="16">
        <f t="shared" si="59"/>
        <v>0</v>
      </c>
      <c r="AD40" s="14"/>
      <c r="AE40" s="15"/>
      <c r="AF40" s="16">
        <f t="shared" si="39"/>
        <v>0</v>
      </c>
      <c r="AG40" s="14"/>
      <c r="AH40" s="15"/>
      <c r="AI40" s="16">
        <f>IFERROR(AG40*AH40, 0)</f>
        <v>0</v>
      </c>
      <c r="AJ40" s="14"/>
      <c r="AK40" s="15"/>
      <c r="AL40" s="16">
        <f t="shared" si="40"/>
        <v>0</v>
      </c>
      <c r="AM40" s="14"/>
      <c r="AN40" s="15"/>
      <c r="AO40" s="16">
        <f t="shared" si="41"/>
        <v>0</v>
      </c>
      <c r="AP40" s="14"/>
      <c r="AQ40" s="15"/>
      <c r="AR40" s="16">
        <f t="shared" si="42"/>
        <v>0</v>
      </c>
      <c r="AS40" s="14"/>
      <c r="AT40" s="15"/>
      <c r="AU40" s="16">
        <f t="shared" si="11"/>
        <v>0</v>
      </c>
      <c r="AV40" s="14"/>
      <c r="AW40" s="15"/>
      <c r="AX40" s="16">
        <f t="shared" si="43"/>
        <v>0</v>
      </c>
      <c r="AY40" s="14"/>
      <c r="AZ40" s="15"/>
      <c r="BA40" s="16">
        <f t="shared" si="44"/>
        <v>0</v>
      </c>
      <c r="BB40" s="14"/>
      <c r="BC40" s="15"/>
      <c r="BD40" s="16">
        <f t="shared" si="45"/>
        <v>0</v>
      </c>
      <c r="BE40" s="14">
        <v>100</v>
      </c>
      <c r="BF40" s="15">
        <v>950</v>
      </c>
      <c r="BG40" s="16">
        <v>95000</v>
      </c>
      <c r="BH40" s="14"/>
      <c r="BI40" s="15"/>
      <c r="BJ40" s="16">
        <f t="shared" si="46"/>
        <v>0</v>
      </c>
      <c r="BK40" s="14"/>
      <c r="BL40" s="15"/>
      <c r="BM40" s="16">
        <f t="shared" si="16"/>
        <v>0</v>
      </c>
      <c r="BN40" s="14"/>
      <c r="BO40" s="15"/>
      <c r="BP40" s="16">
        <f t="shared" si="60"/>
        <v>0</v>
      </c>
      <c r="BQ40" s="14"/>
      <c r="BR40" s="15"/>
      <c r="BS40" s="16">
        <f>IFERROR(BQ40*BR40, 0)</f>
        <v>0</v>
      </c>
      <c r="BT40" s="14"/>
      <c r="BU40" s="15"/>
      <c r="BV40" s="16">
        <f t="shared" si="47"/>
        <v>0</v>
      </c>
      <c r="BW40" s="14"/>
      <c r="BX40" s="15"/>
      <c r="BY40" s="16">
        <f t="shared" si="32"/>
        <v>0</v>
      </c>
      <c r="BZ40" s="14"/>
      <c r="CA40" s="15"/>
      <c r="CB40" s="16">
        <f t="shared" si="48"/>
        <v>0</v>
      </c>
      <c r="CC40" s="14"/>
      <c r="CD40" s="15"/>
      <c r="CE40" s="16">
        <f t="shared" si="49"/>
        <v>0</v>
      </c>
      <c r="CF40" s="14"/>
      <c r="CG40" s="15"/>
      <c r="CH40" s="16">
        <f t="shared" si="50"/>
        <v>0</v>
      </c>
      <c r="CI40" s="14"/>
      <c r="CJ40" s="15"/>
      <c r="CK40" s="16">
        <f t="shared" si="51"/>
        <v>0</v>
      </c>
      <c r="CL40" s="14"/>
      <c r="CM40" s="15"/>
      <c r="CN40" s="16">
        <f t="shared" si="52"/>
        <v>0</v>
      </c>
      <c r="CO40" s="14"/>
      <c r="CP40" s="15"/>
      <c r="CQ40" s="16">
        <f t="shared" si="53"/>
        <v>0</v>
      </c>
      <c r="CR40" s="14"/>
      <c r="CS40" s="15"/>
      <c r="CT40" s="16">
        <f t="shared" si="54"/>
        <v>0</v>
      </c>
      <c r="CU40" s="17">
        <f t="shared" si="55"/>
        <v>200</v>
      </c>
      <c r="CV40" s="16">
        <f t="shared" si="56"/>
        <v>610</v>
      </c>
      <c r="CW40" s="16">
        <f t="shared" si="57"/>
        <v>122000</v>
      </c>
    </row>
    <row r="41" spans="1:101" ht="15.75" customHeight="1" x14ac:dyDescent="0.35">
      <c r="A41" s="41" t="s">
        <v>816</v>
      </c>
      <c r="B41" s="10" t="s">
        <v>846</v>
      </c>
      <c r="C41" s="50"/>
      <c r="D41" s="43"/>
      <c r="E41" s="78">
        <f t="shared" si="34"/>
        <v>0</v>
      </c>
      <c r="F41" s="14"/>
      <c r="G41" s="15"/>
      <c r="H41" s="16">
        <f t="shared" si="58"/>
        <v>0</v>
      </c>
      <c r="I41" s="14"/>
      <c r="J41" s="15"/>
      <c r="K41" s="16">
        <f>IFERROR(I41*J41, 0)</f>
        <v>0</v>
      </c>
      <c r="L41" s="14"/>
      <c r="M41" s="15"/>
      <c r="N41" s="16">
        <f t="shared" si="35"/>
        <v>0</v>
      </c>
      <c r="O41" s="14"/>
      <c r="P41" s="15"/>
      <c r="Q41" s="16">
        <f t="shared" si="36"/>
        <v>0</v>
      </c>
      <c r="R41" s="14"/>
      <c r="S41" s="15"/>
      <c r="T41" s="16">
        <f t="shared" si="37"/>
        <v>0</v>
      </c>
      <c r="U41" s="14"/>
      <c r="V41" s="15"/>
      <c r="W41" s="16">
        <f t="shared" si="38"/>
        <v>0</v>
      </c>
      <c r="X41" s="14"/>
      <c r="Y41" s="15"/>
      <c r="Z41" s="16">
        <f>IFERROR(X41*Y41, 0)</f>
        <v>0</v>
      </c>
      <c r="AA41" s="14"/>
      <c r="AB41" s="15"/>
      <c r="AC41" s="16">
        <f t="shared" si="59"/>
        <v>0</v>
      </c>
      <c r="AD41" s="14"/>
      <c r="AE41" s="15"/>
      <c r="AF41" s="16">
        <f t="shared" si="39"/>
        <v>0</v>
      </c>
      <c r="AG41" s="14"/>
      <c r="AH41" s="15"/>
      <c r="AI41" s="16">
        <f>IFERROR(AG41*AH41, 0)</f>
        <v>0</v>
      </c>
      <c r="AJ41" s="14"/>
      <c r="AK41" s="15"/>
      <c r="AL41" s="16">
        <f t="shared" si="40"/>
        <v>0</v>
      </c>
      <c r="AM41" s="14"/>
      <c r="AN41" s="15"/>
      <c r="AO41" s="16">
        <f t="shared" si="41"/>
        <v>0</v>
      </c>
      <c r="AP41" s="14"/>
      <c r="AQ41" s="15"/>
      <c r="AR41" s="16">
        <f t="shared" si="42"/>
        <v>0</v>
      </c>
      <c r="AS41" s="14"/>
      <c r="AT41" s="15"/>
      <c r="AU41" s="16">
        <f t="shared" si="11"/>
        <v>0</v>
      </c>
      <c r="AV41" s="14"/>
      <c r="AW41" s="15"/>
      <c r="AX41" s="16">
        <f t="shared" si="43"/>
        <v>0</v>
      </c>
      <c r="AY41" s="14"/>
      <c r="AZ41" s="15"/>
      <c r="BA41" s="16">
        <f t="shared" si="44"/>
        <v>0</v>
      </c>
      <c r="BB41" s="14"/>
      <c r="BC41" s="15"/>
      <c r="BD41" s="16">
        <f t="shared" si="45"/>
        <v>0</v>
      </c>
      <c r="BE41" s="14"/>
      <c r="BF41" s="15"/>
      <c r="BG41" s="16">
        <f>IFERROR(BE41*BF41, 0)</f>
        <v>0</v>
      </c>
      <c r="BH41" s="14"/>
      <c r="BI41" s="15"/>
      <c r="BJ41" s="16">
        <f t="shared" si="46"/>
        <v>0</v>
      </c>
      <c r="BK41" s="14"/>
      <c r="BL41" s="15"/>
      <c r="BM41" s="16">
        <f t="shared" si="16"/>
        <v>0</v>
      </c>
      <c r="BN41" s="14"/>
      <c r="BO41" s="15"/>
      <c r="BP41" s="16">
        <f t="shared" si="60"/>
        <v>0</v>
      </c>
      <c r="BQ41" s="14"/>
      <c r="BR41" s="15"/>
      <c r="BS41" s="16">
        <f>IFERROR(BQ41*BR41, 0)</f>
        <v>0</v>
      </c>
      <c r="BT41" s="14"/>
      <c r="BU41" s="15"/>
      <c r="BV41" s="16">
        <f t="shared" si="47"/>
        <v>0</v>
      </c>
      <c r="BW41" s="14"/>
      <c r="BX41" s="15"/>
      <c r="BY41" s="16">
        <f t="shared" si="32"/>
        <v>0</v>
      </c>
      <c r="BZ41" s="14"/>
      <c r="CA41" s="15"/>
      <c r="CB41" s="16">
        <f t="shared" si="48"/>
        <v>0</v>
      </c>
      <c r="CC41" s="14"/>
      <c r="CD41" s="15"/>
      <c r="CE41" s="16">
        <f t="shared" si="49"/>
        <v>0</v>
      </c>
      <c r="CF41" s="14"/>
      <c r="CG41" s="15"/>
      <c r="CH41" s="16">
        <f t="shared" si="50"/>
        <v>0</v>
      </c>
      <c r="CI41" s="14"/>
      <c r="CJ41" s="15"/>
      <c r="CK41" s="16">
        <f t="shared" si="51"/>
        <v>0</v>
      </c>
      <c r="CL41" s="14"/>
      <c r="CM41" s="15"/>
      <c r="CN41" s="16">
        <f t="shared" si="52"/>
        <v>0</v>
      </c>
      <c r="CO41" s="14"/>
      <c r="CP41" s="15"/>
      <c r="CQ41" s="16">
        <f t="shared" si="53"/>
        <v>0</v>
      </c>
      <c r="CR41" s="14"/>
      <c r="CS41" s="15"/>
      <c r="CT41" s="16">
        <f t="shared" si="54"/>
        <v>0</v>
      </c>
      <c r="CU41" s="17">
        <f t="shared" si="55"/>
        <v>0</v>
      </c>
      <c r="CV41" s="16">
        <f t="shared" si="56"/>
        <v>0</v>
      </c>
      <c r="CW41" s="16">
        <f t="shared" si="57"/>
        <v>0</v>
      </c>
    </row>
    <row r="42" spans="1:101" ht="15.75" customHeight="1" x14ac:dyDescent="0.35">
      <c r="A42" s="41" t="s">
        <v>514</v>
      </c>
      <c r="B42" s="41" t="s">
        <v>935</v>
      </c>
      <c r="C42" s="42"/>
      <c r="D42" s="43"/>
      <c r="E42" s="78">
        <f t="shared" si="34"/>
        <v>0</v>
      </c>
      <c r="F42" s="14"/>
      <c r="G42" s="15"/>
      <c r="H42" s="16">
        <f t="shared" si="58"/>
        <v>0</v>
      </c>
      <c r="I42" s="14"/>
      <c r="J42" s="15"/>
      <c r="K42" s="16">
        <f>IFERROR(I42*J42, 0)</f>
        <v>0</v>
      </c>
      <c r="L42" s="14"/>
      <c r="M42" s="15"/>
      <c r="N42" s="16">
        <f t="shared" si="35"/>
        <v>0</v>
      </c>
      <c r="O42" s="14"/>
      <c r="P42" s="15"/>
      <c r="Q42" s="16">
        <f t="shared" si="36"/>
        <v>0</v>
      </c>
      <c r="R42" s="14"/>
      <c r="S42" s="15"/>
      <c r="T42" s="16">
        <f t="shared" si="37"/>
        <v>0</v>
      </c>
      <c r="U42" s="14"/>
      <c r="V42" s="15"/>
      <c r="W42" s="16">
        <f t="shared" si="38"/>
        <v>0</v>
      </c>
      <c r="X42" s="14"/>
      <c r="Y42" s="15"/>
      <c r="Z42" s="16">
        <f>IFERROR(X42*Y42, 0)</f>
        <v>0</v>
      </c>
      <c r="AA42" s="14"/>
      <c r="AB42" s="15"/>
      <c r="AC42" s="16">
        <f t="shared" si="59"/>
        <v>0</v>
      </c>
      <c r="AD42" s="14"/>
      <c r="AE42" s="15"/>
      <c r="AF42" s="16">
        <f t="shared" si="39"/>
        <v>0</v>
      </c>
      <c r="AG42" s="14"/>
      <c r="AH42" s="15"/>
      <c r="AI42" s="16">
        <f>IFERROR(AG42*AH42, 0)</f>
        <v>0</v>
      </c>
      <c r="AJ42" s="14"/>
      <c r="AK42" s="15"/>
      <c r="AL42" s="16">
        <f t="shared" si="40"/>
        <v>0</v>
      </c>
      <c r="AM42" s="14"/>
      <c r="AN42" s="15"/>
      <c r="AO42" s="16">
        <f t="shared" si="41"/>
        <v>0</v>
      </c>
      <c r="AP42" s="14"/>
      <c r="AQ42" s="15"/>
      <c r="AR42" s="16">
        <f t="shared" si="42"/>
        <v>0</v>
      </c>
      <c r="AS42" s="14">
        <v>4</v>
      </c>
      <c r="AT42" s="15">
        <v>2600</v>
      </c>
      <c r="AU42" s="16">
        <v>10400</v>
      </c>
      <c r="AV42" s="14"/>
      <c r="AW42" s="15"/>
      <c r="AX42" s="16">
        <f t="shared" si="43"/>
        <v>0</v>
      </c>
      <c r="AY42" s="14"/>
      <c r="AZ42" s="15"/>
      <c r="BA42" s="16">
        <f t="shared" si="44"/>
        <v>0</v>
      </c>
      <c r="BB42" s="14"/>
      <c r="BC42" s="15"/>
      <c r="BD42" s="16">
        <f t="shared" si="45"/>
        <v>0</v>
      </c>
      <c r="BE42" s="14"/>
      <c r="BF42" s="15"/>
      <c r="BG42" s="16">
        <f>IFERROR(BE42*BF42, 0)</f>
        <v>0</v>
      </c>
      <c r="BH42" s="14"/>
      <c r="BI42" s="15"/>
      <c r="BJ42" s="16">
        <f t="shared" si="46"/>
        <v>0</v>
      </c>
      <c r="BK42" s="14">
        <v>10</v>
      </c>
      <c r="BL42" s="15">
        <v>1000</v>
      </c>
      <c r="BM42" s="16">
        <v>10000</v>
      </c>
      <c r="BN42" s="14"/>
      <c r="BO42" s="15"/>
      <c r="BP42" s="16">
        <f t="shared" si="60"/>
        <v>0</v>
      </c>
      <c r="BQ42" s="14"/>
      <c r="BR42" s="15"/>
      <c r="BS42" s="16">
        <f>IFERROR(BQ42*BR42, 0)</f>
        <v>0</v>
      </c>
      <c r="BT42" s="14"/>
      <c r="BU42" s="15"/>
      <c r="BV42" s="16">
        <f t="shared" si="47"/>
        <v>0</v>
      </c>
      <c r="BW42" s="14"/>
      <c r="BX42" s="15"/>
      <c r="BY42" s="16">
        <f t="shared" si="32"/>
        <v>0</v>
      </c>
      <c r="BZ42" s="14"/>
      <c r="CA42" s="15"/>
      <c r="CB42" s="16">
        <f t="shared" si="48"/>
        <v>0</v>
      </c>
      <c r="CC42" s="14"/>
      <c r="CD42" s="15"/>
      <c r="CE42" s="16">
        <f t="shared" si="49"/>
        <v>0</v>
      </c>
      <c r="CF42" s="14"/>
      <c r="CG42" s="15"/>
      <c r="CH42" s="16">
        <f t="shared" si="50"/>
        <v>0</v>
      </c>
      <c r="CI42" s="14"/>
      <c r="CJ42" s="15"/>
      <c r="CK42" s="16">
        <f t="shared" si="51"/>
        <v>0</v>
      </c>
      <c r="CL42" s="14"/>
      <c r="CM42" s="15"/>
      <c r="CN42" s="16">
        <f t="shared" si="52"/>
        <v>0</v>
      </c>
      <c r="CO42" s="14"/>
      <c r="CP42" s="15"/>
      <c r="CQ42" s="16">
        <f t="shared" si="53"/>
        <v>0</v>
      </c>
      <c r="CR42" s="14"/>
      <c r="CS42" s="15"/>
      <c r="CT42" s="16">
        <f t="shared" si="54"/>
        <v>0</v>
      </c>
      <c r="CU42" s="17">
        <f t="shared" si="55"/>
        <v>14</v>
      </c>
      <c r="CV42" s="16">
        <f t="shared" si="56"/>
        <v>1800</v>
      </c>
      <c r="CW42" s="16">
        <f t="shared" si="57"/>
        <v>25200</v>
      </c>
    </row>
    <row r="43" spans="1:101" ht="15.75" customHeight="1" x14ac:dyDescent="0.35">
      <c r="A43" s="41" t="s">
        <v>987</v>
      </c>
      <c r="B43" s="41" t="s">
        <v>935</v>
      </c>
      <c r="C43" s="42"/>
      <c r="D43" s="43"/>
      <c r="E43" s="78">
        <f t="shared" si="34"/>
        <v>0</v>
      </c>
      <c r="F43" s="14"/>
      <c r="G43" s="15"/>
      <c r="H43" s="16">
        <f t="shared" si="58"/>
        <v>0</v>
      </c>
      <c r="I43" s="14"/>
      <c r="J43" s="15"/>
      <c r="K43" s="16">
        <f>IFERROR(I43*J43, 0)</f>
        <v>0</v>
      </c>
      <c r="L43" s="14"/>
      <c r="M43" s="15"/>
      <c r="N43" s="16">
        <f t="shared" si="35"/>
        <v>0</v>
      </c>
      <c r="O43" s="14"/>
      <c r="P43" s="15"/>
      <c r="Q43" s="16">
        <f t="shared" si="36"/>
        <v>0</v>
      </c>
      <c r="R43" s="14"/>
      <c r="S43" s="15"/>
      <c r="T43" s="16">
        <f t="shared" si="37"/>
        <v>0</v>
      </c>
      <c r="U43" s="14"/>
      <c r="V43" s="15"/>
      <c r="W43" s="16">
        <f t="shared" si="38"/>
        <v>0</v>
      </c>
      <c r="X43" s="14"/>
      <c r="Y43" s="15"/>
      <c r="Z43" s="16">
        <f>IFERROR(X43*Y43, 0)</f>
        <v>0</v>
      </c>
      <c r="AA43" s="14"/>
      <c r="AB43" s="15"/>
      <c r="AC43" s="16">
        <f t="shared" si="59"/>
        <v>0</v>
      </c>
      <c r="AD43" s="14"/>
      <c r="AE43" s="15"/>
      <c r="AF43" s="16">
        <f t="shared" si="39"/>
        <v>0</v>
      </c>
      <c r="AG43" s="14"/>
      <c r="AH43" s="15"/>
      <c r="AI43" s="16">
        <f>IFERROR(AG43*AH43, 0)</f>
        <v>0</v>
      </c>
      <c r="AJ43" s="14"/>
      <c r="AK43" s="15"/>
      <c r="AL43" s="16">
        <f t="shared" si="40"/>
        <v>0</v>
      </c>
      <c r="AM43" s="14"/>
      <c r="AN43" s="15"/>
      <c r="AO43" s="16">
        <f t="shared" si="41"/>
        <v>0</v>
      </c>
      <c r="AP43" s="14"/>
      <c r="AQ43" s="15"/>
      <c r="AR43" s="16">
        <f t="shared" si="42"/>
        <v>0</v>
      </c>
      <c r="AS43" s="14"/>
      <c r="AT43" s="15"/>
      <c r="AU43" s="16">
        <f t="shared" ref="AU43:AU48" si="61">IFERROR(AS43*AT43, 0)</f>
        <v>0</v>
      </c>
      <c r="AV43" s="14"/>
      <c r="AW43" s="15"/>
      <c r="AX43" s="16">
        <f t="shared" si="43"/>
        <v>0</v>
      </c>
      <c r="AY43" s="14"/>
      <c r="AZ43" s="15"/>
      <c r="BA43" s="16">
        <f t="shared" si="44"/>
        <v>0</v>
      </c>
      <c r="BB43" s="14"/>
      <c r="BC43" s="15"/>
      <c r="BD43" s="16">
        <f t="shared" si="45"/>
        <v>0</v>
      </c>
      <c r="BE43" s="14"/>
      <c r="BF43" s="15"/>
      <c r="BG43" s="16">
        <f>IFERROR(BE43*BF43, 0)</f>
        <v>0</v>
      </c>
      <c r="BH43" s="14"/>
      <c r="BI43" s="15"/>
      <c r="BJ43" s="16">
        <f t="shared" si="46"/>
        <v>0</v>
      </c>
      <c r="BK43" s="14"/>
      <c r="BL43" s="15"/>
      <c r="BM43" s="16">
        <f t="shared" ref="BM43:BM48" si="62">IFERROR(BK43*BL43, 0)</f>
        <v>0</v>
      </c>
      <c r="BN43" s="14"/>
      <c r="BO43" s="15"/>
      <c r="BP43" s="16">
        <f t="shared" si="60"/>
        <v>0</v>
      </c>
      <c r="BQ43" s="14"/>
      <c r="BR43" s="15"/>
      <c r="BS43" s="16">
        <f>IFERROR(BQ43*BR43, 0)</f>
        <v>0</v>
      </c>
      <c r="BT43" s="14"/>
      <c r="BU43" s="15"/>
      <c r="BV43" s="16">
        <f t="shared" si="47"/>
        <v>0</v>
      </c>
      <c r="BW43" s="14"/>
      <c r="BX43" s="15"/>
      <c r="BY43" s="16">
        <f t="shared" si="32"/>
        <v>0</v>
      </c>
      <c r="BZ43" s="14"/>
      <c r="CA43" s="15"/>
      <c r="CB43" s="16">
        <f t="shared" si="48"/>
        <v>0</v>
      </c>
      <c r="CC43" s="14"/>
      <c r="CD43" s="15"/>
      <c r="CE43" s="16">
        <f t="shared" si="49"/>
        <v>0</v>
      </c>
      <c r="CF43" s="14"/>
      <c r="CG43" s="15"/>
      <c r="CH43" s="16">
        <f t="shared" si="50"/>
        <v>0</v>
      </c>
      <c r="CI43" s="14"/>
      <c r="CJ43" s="15"/>
      <c r="CK43" s="16">
        <f t="shared" si="51"/>
        <v>0</v>
      </c>
      <c r="CL43" s="14"/>
      <c r="CM43" s="15"/>
      <c r="CN43" s="16">
        <f t="shared" si="52"/>
        <v>0</v>
      </c>
      <c r="CO43" s="14"/>
      <c r="CP43" s="15"/>
      <c r="CQ43" s="16">
        <f t="shared" si="53"/>
        <v>0</v>
      </c>
      <c r="CR43" s="14"/>
      <c r="CS43" s="15"/>
      <c r="CT43" s="16">
        <f t="shared" si="54"/>
        <v>0</v>
      </c>
      <c r="CU43" s="17">
        <f t="shared" si="55"/>
        <v>0</v>
      </c>
      <c r="CV43" s="16">
        <f t="shared" si="56"/>
        <v>0</v>
      </c>
      <c r="CW43" s="16">
        <f t="shared" si="57"/>
        <v>0</v>
      </c>
    </row>
    <row r="44" spans="1:101" ht="15.75" customHeight="1" x14ac:dyDescent="0.35">
      <c r="A44" s="41" t="s">
        <v>988</v>
      </c>
      <c r="B44" s="41" t="s">
        <v>935</v>
      </c>
      <c r="C44" s="42"/>
      <c r="D44" s="43"/>
      <c r="E44" s="78">
        <f t="shared" si="34"/>
        <v>0</v>
      </c>
      <c r="F44" s="14"/>
      <c r="G44" s="15"/>
      <c r="H44" s="16">
        <f t="shared" si="58"/>
        <v>0</v>
      </c>
      <c r="I44" s="14"/>
      <c r="J44" s="15"/>
      <c r="K44" s="16">
        <f>IFERROR(I44*J44, 0)</f>
        <v>0</v>
      </c>
      <c r="L44" s="14"/>
      <c r="M44" s="15"/>
      <c r="N44" s="16">
        <f t="shared" si="35"/>
        <v>0</v>
      </c>
      <c r="O44" s="14"/>
      <c r="P44" s="15"/>
      <c r="Q44" s="16">
        <f t="shared" si="36"/>
        <v>0</v>
      </c>
      <c r="R44" s="14"/>
      <c r="S44" s="15"/>
      <c r="T44" s="16">
        <f t="shared" si="37"/>
        <v>0</v>
      </c>
      <c r="U44" s="14"/>
      <c r="V44" s="15"/>
      <c r="W44" s="16">
        <f t="shared" si="38"/>
        <v>0</v>
      </c>
      <c r="X44" s="14"/>
      <c r="Y44" s="15"/>
      <c r="Z44" s="16">
        <f>IFERROR(X44*Y44, 0)</f>
        <v>0</v>
      </c>
      <c r="AA44" s="14"/>
      <c r="AB44" s="15"/>
      <c r="AC44" s="16">
        <f t="shared" si="59"/>
        <v>0</v>
      </c>
      <c r="AD44" s="14"/>
      <c r="AE44" s="15"/>
      <c r="AF44" s="16">
        <f t="shared" si="39"/>
        <v>0</v>
      </c>
      <c r="AG44" s="14"/>
      <c r="AH44" s="15"/>
      <c r="AI44" s="16">
        <f>IFERROR(AG44*AH44, 0)</f>
        <v>0</v>
      </c>
      <c r="AJ44" s="14"/>
      <c r="AK44" s="15"/>
      <c r="AL44" s="16">
        <f t="shared" si="40"/>
        <v>0</v>
      </c>
      <c r="AM44" s="14"/>
      <c r="AN44" s="15"/>
      <c r="AO44" s="16">
        <f t="shared" si="41"/>
        <v>0</v>
      </c>
      <c r="AP44" s="14"/>
      <c r="AQ44" s="15"/>
      <c r="AR44" s="16">
        <f t="shared" si="42"/>
        <v>0</v>
      </c>
      <c r="AS44" s="14"/>
      <c r="AT44" s="15"/>
      <c r="AU44" s="16">
        <f t="shared" si="61"/>
        <v>0</v>
      </c>
      <c r="AV44" s="14"/>
      <c r="AW44" s="15"/>
      <c r="AX44" s="16">
        <f t="shared" si="43"/>
        <v>0</v>
      </c>
      <c r="AY44" s="14"/>
      <c r="AZ44" s="15"/>
      <c r="BA44" s="16">
        <f t="shared" si="44"/>
        <v>0</v>
      </c>
      <c r="BB44" s="14"/>
      <c r="BC44" s="15"/>
      <c r="BD44" s="16">
        <f t="shared" si="45"/>
        <v>0</v>
      </c>
      <c r="BE44" s="14"/>
      <c r="BF44" s="15"/>
      <c r="BG44" s="16">
        <f>IFERROR(BE44*BF44, 0)</f>
        <v>0</v>
      </c>
      <c r="BH44" s="14"/>
      <c r="BI44" s="15"/>
      <c r="BJ44" s="16">
        <f t="shared" si="46"/>
        <v>0</v>
      </c>
      <c r="BK44" s="14"/>
      <c r="BL44" s="15"/>
      <c r="BM44" s="16">
        <f t="shared" si="62"/>
        <v>0</v>
      </c>
      <c r="BN44" s="14"/>
      <c r="BO44" s="15"/>
      <c r="BP44" s="16">
        <f t="shared" si="60"/>
        <v>0</v>
      </c>
      <c r="BQ44" s="14"/>
      <c r="BR44" s="15"/>
      <c r="BS44" s="16">
        <f>IFERROR(BQ44*BR44, 0)</f>
        <v>0</v>
      </c>
      <c r="BT44" s="14"/>
      <c r="BU44" s="15"/>
      <c r="BV44" s="16">
        <f t="shared" si="47"/>
        <v>0</v>
      </c>
      <c r="BW44" s="14"/>
      <c r="BX44" s="15"/>
      <c r="BY44" s="16">
        <f t="shared" si="32"/>
        <v>0</v>
      </c>
      <c r="BZ44" s="14"/>
      <c r="CA44" s="15"/>
      <c r="CB44" s="16">
        <f t="shared" si="48"/>
        <v>0</v>
      </c>
      <c r="CC44" s="14"/>
      <c r="CD44" s="15"/>
      <c r="CE44" s="16">
        <f t="shared" si="49"/>
        <v>0</v>
      </c>
      <c r="CF44" s="14"/>
      <c r="CG44" s="15"/>
      <c r="CH44" s="16">
        <f t="shared" si="50"/>
        <v>0</v>
      </c>
      <c r="CI44" s="14"/>
      <c r="CJ44" s="15"/>
      <c r="CK44" s="16">
        <f t="shared" si="51"/>
        <v>0</v>
      </c>
      <c r="CL44" s="14"/>
      <c r="CM44" s="15"/>
      <c r="CN44" s="16">
        <f t="shared" si="52"/>
        <v>0</v>
      </c>
      <c r="CO44" s="14"/>
      <c r="CP44" s="15"/>
      <c r="CQ44" s="16">
        <f t="shared" si="53"/>
        <v>0</v>
      </c>
      <c r="CR44" s="14"/>
      <c r="CS44" s="15"/>
      <c r="CT44" s="16">
        <f t="shared" si="54"/>
        <v>0</v>
      </c>
      <c r="CU44" s="17">
        <f t="shared" si="55"/>
        <v>0</v>
      </c>
      <c r="CV44" s="16">
        <f t="shared" si="56"/>
        <v>0</v>
      </c>
      <c r="CW44" s="16">
        <f t="shared" si="57"/>
        <v>0</v>
      </c>
    </row>
    <row r="45" spans="1:101" ht="15.75" customHeight="1" x14ac:dyDescent="0.35">
      <c r="A45" s="41" t="s">
        <v>41</v>
      </c>
      <c r="B45" s="41" t="s">
        <v>935</v>
      </c>
      <c r="C45" s="42"/>
      <c r="D45" s="43"/>
      <c r="E45" s="78">
        <f t="shared" si="34"/>
        <v>0</v>
      </c>
      <c r="F45" s="14">
        <v>3</v>
      </c>
      <c r="G45" s="15">
        <v>2500</v>
      </c>
      <c r="H45" s="16">
        <v>7500</v>
      </c>
      <c r="I45" s="14">
        <v>5</v>
      </c>
      <c r="J45" s="15">
        <v>2500</v>
      </c>
      <c r="K45" s="16">
        <v>12500</v>
      </c>
      <c r="L45" s="14"/>
      <c r="M45" s="15"/>
      <c r="N45" s="16">
        <f t="shared" si="35"/>
        <v>0</v>
      </c>
      <c r="O45" s="14"/>
      <c r="P45" s="15"/>
      <c r="Q45" s="16">
        <f t="shared" si="36"/>
        <v>0</v>
      </c>
      <c r="R45" s="14"/>
      <c r="S45" s="15"/>
      <c r="T45" s="16">
        <f t="shared" si="37"/>
        <v>0</v>
      </c>
      <c r="U45" s="14"/>
      <c r="V45" s="15"/>
      <c r="W45" s="16">
        <f t="shared" si="38"/>
        <v>0</v>
      </c>
      <c r="X45" s="14">
        <v>6</v>
      </c>
      <c r="Y45" s="15">
        <v>2500</v>
      </c>
      <c r="Z45" s="16">
        <v>15000</v>
      </c>
      <c r="AA45" s="14"/>
      <c r="AB45" s="15"/>
      <c r="AC45" s="16">
        <f t="shared" si="59"/>
        <v>0</v>
      </c>
      <c r="AD45" s="14"/>
      <c r="AE45" s="15"/>
      <c r="AF45" s="16">
        <f t="shared" si="39"/>
        <v>0</v>
      </c>
      <c r="AG45" s="14">
        <v>8</v>
      </c>
      <c r="AH45" s="15">
        <v>2500</v>
      </c>
      <c r="AI45" s="16">
        <v>20000</v>
      </c>
      <c r="AJ45" s="14"/>
      <c r="AK45" s="15"/>
      <c r="AL45" s="16">
        <f t="shared" si="40"/>
        <v>0</v>
      </c>
      <c r="AM45" s="14"/>
      <c r="AN45" s="15"/>
      <c r="AO45" s="16">
        <f t="shared" si="41"/>
        <v>0</v>
      </c>
      <c r="AP45" s="14"/>
      <c r="AQ45" s="15"/>
      <c r="AR45" s="16">
        <f t="shared" si="42"/>
        <v>0</v>
      </c>
      <c r="AS45" s="14"/>
      <c r="AT45" s="15"/>
      <c r="AU45" s="16">
        <f t="shared" si="61"/>
        <v>0</v>
      </c>
      <c r="AV45" s="14"/>
      <c r="AW45" s="15"/>
      <c r="AX45" s="16">
        <f t="shared" si="43"/>
        <v>0</v>
      </c>
      <c r="AY45" s="14"/>
      <c r="AZ45" s="15"/>
      <c r="BA45" s="16">
        <f t="shared" si="44"/>
        <v>0</v>
      </c>
      <c r="BB45" s="14"/>
      <c r="BC45" s="15"/>
      <c r="BD45" s="16">
        <f t="shared" si="45"/>
        <v>0</v>
      </c>
      <c r="BE45" s="14">
        <v>8</v>
      </c>
      <c r="BF45" s="15">
        <v>2500</v>
      </c>
      <c r="BG45" s="16">
        <v>20000</v>
      </c>
      <c r="BH45" s="14"/>
      <c r="BI45" s="15"/>
      <c r="BJ45" s="16">
        <f t="shared" si="46"/>
        <v>0</v>
      </c>
      <c r="BK45" s="14"/>
      <c r="BL45" s="15"/>
      <c r="BM45" s="16">
        <f t="shared" si="62"/>
        <v>0</v>
      </c>
      <c r="BN45" s="14"/>
      <c r="BO45" s="15"/>
      <c r="BP45" s="16">
        <f t="shared" si="60"/>
        <v>0</v>
      </c>
      <c r="BQ45" s="14">
        <v>10</v>
      </c>
      <c r="BR45" s="15">
        <v>2500</v>
      </c>
      <c r="BS45" s="16">
        <v>25000</v>
      </c>
      <c r="BT45" s="14"/>
      <c r="BU45" s="15"/>
      <c r="BV45" s="16">
        <f t="shared" si="47"/>
        <v>0</v>
      </c>
      <c r="BW45" s="14"/>
      <c r="BX45" s="15"/>
      <c r="BY45" s="16">
        <f t="shared" si="32"/>
        <v>0</v>
      </c>
      <c r="BZ45" s="14"/>
      <c r="CA45" s="15"/>
      <c r="CB45" s="16">
        <f t="shared" si="48"/>
        <v>0</v>
      </c>
      <c r="CC45" s="14"/>
      <c r="CD45" s="15"/>
      <c r="CE45" s="16">
        <f t="shared" si="49"/>
        <v>0</v>
      </c>
      <c r="CF45" s="14"/>
      <c r="CG45" s="15"/>
      <c r="CH45" s="16">
        <f t="shared" si="50"/>
        <v>0</v>
      </c>
      <c r="CI45" s="14"/>
      <c r="CJ45" s="15"/>
      <c r="CK45" s="16">
        <f t="shared" si="51"/>
        <v>0</v>
      </c>
      <c r="CL45" s="14"/>
      <c r="CM45" s="15"/>
      <c r="CN45" s="16">
        <f t="shared" si="52"/>
        <v>0</v>
      </c>
      <c r="CO45" s="14"/>
      <c r="CP45" s="15"/>
      <c r="CQ45" s="16">
        <f t="shared" si="53"/>
        <v>0</v>
      </c>
      <c r="CR45" s="14"/>
      <c r="CS45" s="15"/>
      <c r="CT45" s="16">
        <f t="shared" si="54"/>
        <v>0</v>
      </c>
      <c r="CU45" s="17">
        <f t="shared" si="55"/>
        <v>40</v>
      </c>
      <c r="CV45" s="16">
        <f t="shared" si="56"/>
        <v>2500</v>
      </c>
      <c r="CW45" s="16">
        <f t="shared" si="57"/>
        <v>100000</v>
      </c>
    </row>
    <row r="46" spans="1:101" ht="15.75" customHeight="1" x14ac:dyDescent="0.35">
      <c r="A46" s="21" t="s">
        <v>39</v>
      </c>
      <c r="B46" s="21" t="s">
        <v>935</v>
      </c>
      <c r="C46" s="44"/>
      <c r="D46" s="22"/>
      <c r="E46" s="78">
        <f t="shared" si="34"/>
        <v>0</v>
      </c>
      <c r="F46" s="14">
        <v>150</v>
      </c>
      <c r="G46" s="15">
        <v>390</v>
      </c>
      <c r="H46" s="16">
        <v>58500</v>
      </c>
      <c r="I46" s="14">
        <v>100</v>
      </c>
      <c r="J46" s="15">
        <v>390</v>
      </c>
      <c r="K46" s="16">
        <v>39000</v>
      </c>
      <c r="L46" s="14"/>
      <c r="M46" s="15"/>
      <c r="N46" s="16">
        <f t="shared" si="35"/>
        <v>0</v>
      </c>
      <c r="O46" s="14"/>
      <c r="P46" s="15"/>
      <c r="Q46" s="16">
        <f t="shared" si="36"/>
        <v>0</v>
      </c>
      <c r="R46" s="14"/>
      <c r="S46" s="15"/>
      <c r="T46" s="16">
        <f t="shared" si="37"/>
        <v>0</v>
      </c>
      <c r="U46" s="14"/>
      <c r="V46" s="15"/>
      <c r="W46" s="16">
        <f t="shared" si="38"/>
        <v>0</v>
      </c>
      <c r="X46" s="14">
        <v>150</v>
      </c>
      <c r="Y46" s="15">
        <v>390</v>
      </c>
      <c r="Z46" s="16">
        <v>58500</v>
      </c>
      <c r="AA46" s="14"/>
      <c r="AB46" s="15"/>
      <c r="AC46" s="16">
        <f t="shared" si="59"/>
        <v>0</v>
      </c>
      <c r="AD46" s="14"/>
      <c r="AE46" s="15"/>
      <c r="AF46" s="16">
        <f t="shared" si="39"/>
        <v>0</v>
      </c>
      <c r="AG46" s="14"/>
      <c r="AH46" s="15"/>
      <c r="AI46" s="16">
        <f>IFERROR(AG46*AH46, 0)</f>
        <v>0</v>
      </c>
      <c r="AJ46" s="14"/>
      <c r="AK46" s="15"/>
      <c r="AL46" s="16">
        <f t="shared" si="40"/>
        <v>0</v>
      </c>
      <c r="AM46" s="14"/>
      <c r="AN46" s="15"/>
      <c r="AO46" s="16">
        <f t="shared" si="41"/>
        <v>0</v>
      </c>
      <c r="AP46" s="14"/>
      <c r="AQ46" s="15"/>
      <c r="AR46" s="16">
        <f t="shared" si="42"/>
        <v>0</v>
      </c>
      <c r="AS46" s="14"/>
      <c r="AT46" s="15"/>
      <c r="AU46" s="16">
        <f t="shared" si="61"/>
        <v>0</v>
      </c>
      <c r="AV46" s="14"/>
      <c r="AW46" s="15"/>
      <c r="AX46" s="16">
        <f t="shared" si="43"/>
        <v>0</v>
      </c>
      <c r="AY46" s="14"/>
      <c r="AZ46" s="15"/>
      <c r="BA46" s="16">
        <f t="shared" si="44"/>
        <v>0</v>
      </c>
      <c r="BB46" s="14"/>
      <c r="BC46" s="15"/>
      <c r="BD46" s="16">
        <f t="shared" si="45"/>
        <v>0</v>
      </c>
      <c r="BE46" s="14">
        <v>200</v>
      </c>
      <c r="BF46" s="15">
        <v>390</v>
      </c>
      <c r="BG46" s="16">
        <v>78000</v>
      </c>
      <c r="BH46" s="14"/>
      <c r="BI46" s="15"/>
      <c r="BJ46" s="16">
        <f t="shared" si="46"/>
        <v>0</v>
      </c>
      <c r="BK46" s="14"/>
      <c r="BL46" s="15"/>
      <c r="BM46" s="16">
        <f t="shared" si="62"/>
        <v>0</v>
      </c>
      <c r="BN46" s="14"/>
      <c r="BO46" s="15"/>
      <c r="BP46" s="16">
        <f t="shared" si="60"/>
        <v>0</v>
      </c>
      <c r="BQ46" s="14"/>
      <c r="BR46" s="15"/>
      <c r="BS46" s="16">
        <f>IFERROR(BQ46*BR46, 0)</f>
        <v>0</v>
      </c>
      <c r="BT46" s="14"/>
      <c r="BU46" s="15"/>
      <c r="BV46" s="16">
        <f t="shared" si="47"/>
        <v>0</v>
      </c>
      <c r="BW46" s="14"/>
      <c r="BX46" s="15"/>
      <c r="BY46" s="16">
        <f t="shared" si="32"/>
        <v>0</v>
      </c>
      <c r="BZ46" s="14"/>
      <c r="CA46" s="15"/>
      <c r="CB46" s="16">
        <f t="shared" si="48"/>
        <v>0</v>
      </c>
      <c r="CC46" s="14"/>
      <c r="CD46" s="15"/>
      <c r="CE46" s="16">
        <f t="shared" si="49"/>
        <v>0</v>
      </c>
      <c r="CF46" s="14"/>
      <c r="CG46" s="15"/>
      <c r="CH46" s="16">
        <f t="shared" si="50"/>
        <v>0</v>
      </c>
      <c r="CI46" s="14"/>
      <c r="CJ46" s="15"/>
      <c r="CK46" s="16">
        <f t="shared" si="51"/>
        <v>0</v>
      </c>
      <c r="CL46" s="14"/>
      <c r="CM46" s="15"/>
      <c r="CN46" s="16">
        <f t="shared" si="52"/>
        <v>0</v>
      </c>
      <c r="CO46" s="14"/>
      <c r="CP46" s="15"/>
      <c r="CQ46" s="16">
        <f t="shared" si="53"/>
        <v>0</v>
      </c>
      <c r="CR46" s="14"/>
      <c r="CS46" s="15"/>
      <c r="CT46" s="16">
        <f t="shared" si="54"/>
        <v>0</v>
      </c>
      <c r="CU46" s="17">
        <f t="shared" si="55"/>
        <v>600</v>
      </c>
      <c r="CV46" s="16">
        <f t="shared" si="56"/>
        <v>390</v>
      </c>
      <c r="CW46" s="16">
        <f t="shared" si="57"/>
        <v>234000</v>
      </c>
    </row>
    <row r="47" spans="1:101" ht="15.75" customHeight="1" x14ac:dyDescent="0.35">
      <c r="A47" s="41" t="s">
        <v>110</v>
      </c>
      <c r="B47" s="41" t="s">
        <v>977</v>
      </c>
      <c r="C47" s="42"/>
      <c r="D47" s="43"/>
      <c r="E47" s="78">
        <f t="shared" si="34"/>
        <v>0</v>
      </c>
      <c r="F47" s="14"/>
      <c r="G47" s="15"/>
      <c r="H47" s="16">
        <f>IFERROR(F47*G47, 0)</f>
        <v>0</v>
      </c>
      <c r="I47" s="14">
        <v>1</v>
      </c>
      <c r="J47" s="15">
        <v>17500</v>
      </c>
      <c r="K47" s="16">
        <v>17500</v>
      </c>
      <c r="L47" s="14"/>
      <c r="M47" s="15"/>
      <c r="N47" s="16">
        <f t="shared" si="35"/>
        <v>0</v>
      </c>
      <c r="O47" s="14"/>
      <c r="P47" s="15"/>
      <c r="Q47" s="16">
        <f t="shared" si="36"/>
        <v>0</v>
      </c>
      <c r="R47" s="14"/>
      <c r="S47" s="15"/>
      <c r="T47" s="16">
        <f t="shared" si="37"/>
        <v>0</v>
      </c>
      <c r="U47" s="14"/>
      <c r="V47" s="15"/>
      <c r="W47" s="16">
        <f t="shared" si="38"/>
        <v>0</v>
      </c>
      <c r="X47" s="14"/>
      <c r="Y47" s="15"/>
      <c r="Z47" s="16">
        <f>IFERROR(X47*Y47, 0)</f>
        <v>0</v>
      </c>
      <c r="AA47" s="14"/>
      <c r="AB47" s="15"/>
      <c r="AC47" s="16">
        <f t="shared" si="59"/>
        <v>0</v>
      </c>
      <c r="AD47" s="14"/>
      <c r="AE47" s="15"/>
      <c r="AF47" s="16">
        <f t="shared" si="39"/>
        <v>0</v>
      </c>
      <c r="AG47" s="14">
        <v>1</v>
      </c>
      <c r="AH47" s="15">
        <v>17500</v>
      </c>
      <c r="AI47" s="16">
        <v>17500</v>
      </c>
      <c r="AJ47" s="14"/>
      <c r="AK47" s="15"/>
      <c r="AL47" s="16">
        <f t="shared" si="40"/>
        <v>0</v>
      </c>
      <c r="AM47" s="14"/>
      <c r="AN47" s="15"/>
      <c r="AO47" s="16">
        <f t="shared" si="41"/>
        <v>0</v>
      </c>
      <c r="AP47" s="14"/>
      <c r="AQ47" s="15"/>
      <c r="AR47" s="16">
        <f t="shared" si="42"/>
        <v>0</v>
      </c>
      <c r="AS47" s="14"/>
      <c r="AT47" s="15"/>
      <c r="AU47" s="16">
        <f t="shared" si="61"/>
        <v>0</v>
      </c>
      <c r="AV47" s="14"/>
      <c r="AW47" s="15"/>
      <c r="AX47" s="16">
        <f t="shared" si="43"/>
        <v>0</v>
      </c>
      <c r="AY47" s="14"/>
      <c r="AZ47" s="15"/>
      <c r="BA47" s="16">
        <f t="shared" si="44"/>
        <v>0</v>
      </c>
      <c r="BB47" s="14"/>
      <c r="BC47" s="15"/>
      <c r="BD47" s="16">
        <f t="shared" si="45"/>
        <v>0</v>
      </c>
      <c r="BE47" s="14"/>
      <c r="BF47" s="15"/>
      <c r="BG47" s="16">
        <f>IFERROR(BE47*BF47, 0)</f>
        <v>0</v>
      </c>
      <c r="BH47" s="14"/>
      <c r="BI47" s="15"/>
      <c r="BJ47" s="16">
        <f t="shared" si="46"/>
        <v>0</v>
      </c>
      <c r="BK47" s="14"/>
      <c r="BL47" s="15"/>
      <c r="BM47" s="16">
        <f t="shared" si="62"/>
        <v>0</v>
      </c>
      <c r="BN47" s="14"/>
      <c r="BO47" s="15"/>
      <c r="BP47" s="16">
        <f t="shared" si="60"/>
        <v>0</v>
      </c>
      <c r="BQ47" s="14">
        <v>1</v>
      </c>
      <c r="BR47" s="15">
        <v>17500</v>
      </c>
      <c r="BS47" s="16">
        <v>17500</v>
      </c>
      <c r="BT47" s="14"/>
      <c r="BU47" s="15"/>
      <c r="BV47" s="16">
        <f t="shared" si="47"/>
        <v>0</v>
      </c>
      <c r="BW47" s="14"/>
      <c r="BX47" s="15"/>
      <c r="BY47" s="16">
        <f t="shared" si="32"/>
        <v>0</v>
      </c>
      <c r="BZ47" s="14"/>
      <c r="CA47" s="15"/>
      <c r="CB47" s="16">
        <f t="shared" si="48"/>
        <v>0</v>
      </c>
      <c r="CC47" s="14"/>
      <c r="CD47" s="15"/>
      <c r="CE47" s="16">
        <f t="shared" si="49"/>
        <v>0</v>
      </c>
      <c r="CF47" s="14"/>
      <c r="CG47" s="15"/>
      <c r="CH47" s="16">
        <f t="shared" si="50"/>
        <v>0</v>
      </c>
      <c r="CI47" s="14"/>
      <c r="CJ47" s="15"/>
      <c r="CK47" s="16">
        <f t="shared" si="51"/>
        <v>0</v>
      </c>
      <c r="CL47" s="14"/>
      <c r="CM47" s="15"/>
      <c r="CN47" s="16">
        <f t="shared" si="52"/>
        <v>0</v>
      </c>
      <c r="CO47" s="14"/>
      <c r="CP47" s="15"/>
      <c r="CQ47" s="16">
        <f t="shared" si="53"/>
        <v>0</v>
      </c>
      <c r="CR47" s="14"/>
      <c r="CS47" s="15"/>
      <c r="CT47" s="16">
        <f t="shared" si="54"/>
        <v>0</v>
      </c>
      <c r="CU47" s="17">
        <f t="shared" si="55"/>
        <v>3</v>
      </c>
      <c r="CV47" s="16">
        <f t="shared" si="56"/>
        <v>17500</v>
      </c>
      <c r="CW47" s="16">
        <f t="shared" si="57"/>
        <v>52500</v>
      </c>
    </row>
    <row r="48" spans="1:101" ht="15.75" customHeight="1" x14ac:dyDescent="0.35">
      <c r="A48" s="41" t="s">
        <v>989</v>
      </c>
      <c r="B48" s="41" t="s">
        <v>935</v>
      </c>
      <c r="C48" s="42"/>
      <c r="D48" s="43"/>
      <c r="E48" s="78">
        <f t="shared" si="34"/>
        <v>0</v>
      </c>
      <c r="F48" s="14"/>
      <c r="G48" s="15"/>
      <c r="H48" s="16">
        <f>IFERROR(F48*G48, 0)</f>
        <v>0</v>
      </c>
      <c r="I48" s="14"/>
      <c r="J48" s="15"/>
      <c r="K48" s="16">
        <f>IFERROR(I48*J48, 0)</f>
        <v>0</v>
      </c>
      <c r="L48" s="14"/>
      <c r="M48" s="15"/>
      <c r="N48" s="16">
        <f t="shared" si="35"/>
        <v>0</v>
      </c>
      <c r="O48" s="14"/>
      <c r="P48" s="15"/>
      <c r="Q48" s="16">
        <f t="shared" si="36"/>
        <v>0</v>
      </c>
      <c r="R48" s="14"/>
      <c r="S48" s="15"/>
      <c r="T48" s="16">
        <f t="shared" si="37"/>
        <v>0</v>
      </c>
      <c r="U48" s="14"/>
      <c r="V48" s="15"/>
      <c r="W48" s="16">
        <f t="shared" si="38"/>
        <v>0</v>
      </c>
      <c r="X48" s="14"/>
      <c r="Y48" s="15"/>
      <c r="Z48" s="16">
        <f>IFERROR(X48*Y48, 0)</f>
        <v>0</v>
      </c>
      <c r="AA48" s="14"/>
      <c r="AB48" s="15"/>
      <c r="AC48" s="16">
        <f t="shared" si="59"/>
        <v>0</v>
      </c>
      <c r="AD48" s="14"/>
      <c r="AE48" s="15"/>
      <c r="AF48" s="16">
        <f t="shared" si="39"/>
        <v>0</v>
      </c>
      <c r="AG48" s="14"/>
      <c r="AH48" s="15"/>
      <c r="AI48" s="16">
        <f>IFERROR(AG48*AH48, 0)</f>
        <v>0</v>
      </c>
      <c r="AJ48" s="14"/>
      <c r="AK48" s="15"/>
      <c r="AL48" s="16">
        <f t="shared" si="40"/>
        <v>0</v>
      </c>
      <c r="AM48" s="14"/>
      <c r="AN48" s="15"/>
      <c r="AO48" s="16">
        <f t="shared" si="41"/>
        <v>0</v>
      </c>
      <c r="AP48" s="14"/>
      <c r="AQ48" s="15"/>
      <c r="AR48" s="16">
        <f t="shared" si="42"/>
        <v>0</v>
      </c>
      <c r="AS48" s="14"/>
      <c r="AT48" s="15"/>
      <c r="AU48" s="16">
        <f t="shared" si="61"/>
        <v>0</v>
      </c>
      <c r="AV48" s="14"/>
      <c r="AW48" s="15"/>
      <c r="AX48" s="16">
        <f t="shared" si="43"/>
        <v>0</v>
      </c>
      <c r="AY48" s="14"/>
      <c r="AZ48" s="15"/>
      <c r="BA48" s="16">
        <f t="shared" si="44"/>
        <v>0</v>
      </c>
      <c r="BB48" s="14"/>
      <c r="BC48" s="15"/>
      <c r="BD48" s="16">
        <f t="shared" si="45"/>
        <v>0</v>
      </c>
      <c r="BE48" s="14"/>
      <c r="BF48" s="15"/>
      <c r="BG48" s="16">
        <f>IFERROR(BE48*BF48, 0)</f>
        <v>0</v>
      </c>
      <c r="BH48" s="14"/>
      <c r="BI48" s="15"/>
      <c r="BJ48" s="16">
        <f t="shared" si="46"/>
        <v>0</v>
      </c>
      <c r="BK48" s="14"/>
      <c r="BL48" s="15"/>
      <c r="BM48" s="16">
        <f t="shared" si="62"/>
        <v>0</v>
      </c>
      <c r="BN48" s="14"/>
      <c r="BO48" s="15"/>
      <c r="BP48" s="16">
        <f t="shared" si="60"/>
        <v>0</v>
      </c>
      <c r="BQ48" s="14"/>
      <c r="BR48" s="15"/>
      <c r="BS48" s="16">
        <f>IFERROR(BQ48*BR48, 0)</f>
        <v>0</v>
      </c>
      <c r="BT48" s="14"/>
      <c r="BU48" s="15"/>
      <c r="BV48" s="16">
        <f t="shared" si="47"/>
        <v>0</v>
      </c>
      <c r="BW48" s="14"/>
      <c r="BX48" s="15"/>
      <c r="BY48" s="16">
        <f t="shared" si="32"/>
        <v>0</v>
      </c>
      <c r="BZ48" s="14"/>
      <c r="CA48" s="15"/>
      <c r="CB48" s="16">
        <f t="shared" si="48"/>
        <v>0</v>
      </c>
      <c r="CC48" s="14"/>
      <c r="CD48" s="15"/>
      <c r="CE48" s="16">
        <f t="shared" si="49"/>
        <v>0</v>
      </c>
      <c r="CF48" s="14"/>
      <c r="CG48" s="15"/>
      <c r="CH48" s="16">
        <f t="shared" si="50"/>
        <v>0</v>
      </c>
      <c r="CI48" s="14"/>
      <c r="CJ48" s="15"/>
      <c r="CK48" s="16">
        <f t="shared" si="51"/>
        <v>0</v>
      </c>
      <c r="CL48" s="14"/>
      <c r="CM48" s="15"/>
      <c r="CN48" s="16">
        <f t="shared" si="52"/>
        <v>0</v>
      </c>
      <c r="CO48" s="14"/>
      <c r="CP48" s="15"/>
      <c r="CQ48" s="16">
        <f t="shared" si="53"/>
        <v>0</v>
      </c>
      <c r="CR48" s="14"/>
      <c r="CS48" s="15"/>
      <c r="CT48" s="16">
        <f t="shared" si="54"/>
        <v>0</v>
      </c>
      <c r="CU48" s="17">
        <f t="shared" si="55"/>
        <v>0</v>
      </c>
      <c r="CV48" s="16">
        <f t="shared" si="56"/>
        <v>0</v>
      </c>
      <c r="CW48" s="16">
        <f t="shared" si="57"/>
        <v>0</v>
      </c>
    </row>
    <row r="49" spans="1:101" ht="15.75" customHeight="1" x14ac:dyDescent="0.35">
      <c r="A49" s="41" t="s">
        <v>37</v>
      </c>
      <c r="B49" s="41" t="s">
        <v>897</v>
      </c>
      <c r="C49" s="42"/>
      <c r="D49" s="43"/>
      <c r="E49" s="78">
        <f t="shared" si="34"/>
        <v>0</v>
      </c>
      <c r="F49" s="14">
        <v>4</v>
      </c>
      <c r="G49" s="15">
        <v>10600</v>
      </c>
      <c r="H49" s="16">
        <v>42400</v>
      </c>
      <c r="I49" s="14">
        <v>4</v>
      </c>
      <c r="J49" s="15">
        <v>10600</v>
      </c>
      <c r="K49" s="16">
        <v>42400</v>
      </c>
      <c r="L49" s="14"/>
      <c r="M49" s="15"/>
      <c r="N49" s="16">
        <f t="shared" si="35"/>
        <v>0</v>
      </c>
      <c r="O49" s="14"/>
      <c r="P49" s="15"/>
      <c r="Q49" s="16">
        <f t="shared" si="36"/>
        <v>0</v>
      </c>
      <c r="R49" s="14"/>
      <c r="S49" s="15"/>
      <c r="T49" s="16">
        <f t="shared" si="37"/>
        <v>0</v>
      </c>
      <c r="U49" s="14"/>
      <c r="V49" s="15"/>
      <c r="W49" s="16">
        <f t="shared" si="38"/>
        <v>0</v>
      </c>
      <c r="X49" s="14">
        <v>5</v>
      </c>
      <c r="Y49" s="15">
        <v>10600</v>
      </c>
      <c r="Z49" s="16">
        <v>53000</v>
      </c>
      <c r="AA49" s="14"/>
      <c r="AB49" s="15"/>
      <c r="AC49" s="16">
        <f t="shared" si="59"/>
        <v>0</v>
      </c>
      <c r="AD49" s="14"/>
      <c r="AE49" s="15"/>
      <c r="AF49" s="16">
        <f t="shared" si="39"/>
        <v>0</v>
      </c>
      <c r="AG49" s="14">
        <v>5</v>
      </c>
      <c r="AH49" s="15">
        <v>10600</v>
      </c>
      <c r="AI49" s="16">
        <v>53000</v>
      </c>
      <c r="AJ49" s="14"/>
      <c r="AK49" s="15"/>
      <c r="AL49" s="16">
        <f t="shared" si="40"/>
        <v>0</v>
      </c>
      <c r="AM49" s="14"/>
      <c r="AN49" s="15"/>
      <c r="AO49" s="16">
        <f t="shared" si="41"/>
        <v>0</v>
      </c>
      <c r="AP49" s="14"/>
      <c r="AQ49" s="15"/>
      <c r="AR49" s="16">
        <f t="shared" si="42"/>
        <v>0</v>
      </c>
      <c r="AS49" s="14">
        <v>1</v>
      </c>
      <c r="AT49" s="15">
        <v>11100</v>
      </c>
      <c r="AU49" s="16">
        <v>11100</v>
      </c>
      <c r="AV49" s="14"/>
      <c r="AW49" s="15"/>
      <c r="AX49" s="16">
        <f t="shared" si="43"/>
        <v>0</v>
      </c>
      <c r="AY49" s="14"/>
      <c r="AZ49" s="15"/>
      <c r="BA49" s="16">
        <f t="shared" si="44"/>
        <v>0</v>
      </c>
      <c r="BB49" s="14"/>
      <c r="BC49" s="15"/>
      <c r="BD49" s="16">
        <f t="shared" si="45"/>
        <v>0</v>
      </c>
      <c r="BE49" s="14">
        <v>2</v>
      </c>
      <c r="BF49" s="15">
        <v>10600</v>
      </c>
      <c r="BG49" s="16">
        <v>21200</v>
      </c>
      <c r="BH49" s="14"/>
      <c r="BI49" s="15"/>
      <c r="BJ49" s="16">
        <f t="shared" si="46"/>
        <v>0</v>
      </c>
      <c r="BK49" s="14">
        <v>2</v>
      </c>
      <c r="BL49" s="15">
        <v>10400</v>
      </c>
      <c r="BM49" s="16">
        <v>20800</v>
      </c>
      <c r="BN49" s="14"/>
      <c r="BO49" s="15"/>
      <c r="BP49" s="16">
        <f t="shared" si="60"/>
        <v>0</v>
      </c>
      <c r="BQ49" s="14">
        <v>6</v>
      </c>
      <c r="BR49" s="15">
        <v>10600</v>
      </c>
      <c r="BS49" s="16">
        <v>64100</v>
      </c>
      <c r="BT49" s="14"/>
      <c r="BU49" s="15"/>
      <c r="BV49" s="16">
        <f t="shared" si="47"/>
        <v>0</v>
      </c>
      <c r="BW49" s="14"/>
      <c r="BX49" s="15"/>
      <c r="BY49" s="16">
        <f t="shared" si="32"/>
        <v>0</v>
      </c>
      <c r="BZ49" s="14"/>
      <c r="CA49" s="15"/>
      <c r="CB49" s="16">
        <f t="shared" si="48"/>
        <v>0</v>
      </c>
      <c r="CC49" s="14"/>
      <c r="CD49" s="15"/>
      <c r="CE49" s="16">
        <f t="shared" si="49"/>
        <v>0</v>
      </c>
      <c r="CF49" s="14"/>
      <c r="CG49" s="15"/>
      <c r="CH49" s="16">
        <f t="shared" si="50"/>
        <v>0</v>
      </c>
      <c r="CI49" s="14"/>
      <c r="CJ49" s="15"/>
      <c r="CK49" s="16">
        <f t="shared" si="51"/>
        <v>0</v>
      </c>
      <c r="CL49" s="14"/>
      <c r="CM49" s="15"/>
      <c r="CN49" s="16">
        <f t="shared" si="52"/>
        <v>0</v>
      </c>
      <c r="CO49" s="14"/>
      <c r="CP49" s="15"/>
      <c r="CQ49" s="16">
        <f t="shared" si="53"/>
        <v>0</v>
      </c>
      <c r="CR49" s="14"/>
      <c r="CS49" s="15"/>
      <c r="CT49" s="16">
        <f t="shared" si="54"/>
        <v>0</v>
      </c>
      <c r="CU49" s="17">
        <f t="shared" si="55"/>
        <v>29</v>
      </c>
      <c r="CV49" s="16">
        <f t="shared" si="56"/>
        <v>10637.5</v>
      </c>
      <c r="CW49" s="16">
        <f t="shared" si="57"/>
        <v>308487.5</v>
      </c>
    </row>
    <row r="50" spans="1:101" ht="15.75" customHeight="1" x14ac:dyDescent="0.35">
      <c r="A50" s="41" t="s">
        <v>755</v>
      </c>
      <c r="B50" s="41" t="s">
        <v>935</v>
      </c>
      <c r="C50" s="42"/>
      <c r="D50" s="43"/>
      <c r="E50" s="78">
        <f t="shared" si="34"/>
        <v>0</v>
      </c>
      <c r="F50" s="14"/>
      <c r="G50" s="15"/>
      <c r="H50" s="16">
        <f t="shared" ref="H50:H66" si="63">IFERROR(F50*G50, 0)</f>
        <v>0</v>
      </c>
      <c r="I50" s="14"/>
      <c r="J50" s="15"/>
      <c r="K50" s="16">
        <f t="shared" ref="K50:K61" si="64">IFERROR(I50*J50, 0)</f>
        <v>0</v>
      </c>
      <c r="L50" s="14"/>
      <c r="M50" s="15"/>
      <c r="N50" s="16">
        <f t="shared" si="35"/>
        <v>0</v>
      </c>
      <c r="O50" s="14"/>
      <c r="P50" s="15"/>
      <c r="Q50" s="16">
        <f t="shared" si="36"/>
        <v>0</v>
      </c>
      <c r="R50" s="14"/>
      <c r="S50" s="15"/>
      <c r="T50" s="16">
        <f t="shared" si="37"/>
        <v>0</v>
      </c>
      <c r="U50" s="14"/>
      <c r="V50" s="15"/>
      <c r="W50" s="16">
        <f t="shared" si="38"/>
        <v>0</v>
      </c>
      <c r="X50" s="14"/>
      <c r="Y50" s="15"/>
      <c r="Z50" s="16">
        <f t="shared" ref="Z50:Z59" si="65">IFERROR(X50*Y50, 0)</f>
        <v>0</v>
      </c>
      <c r="AA50" s="14"/>
      <c r="AB50" s="15"/>
      <c r="AC50" s="16">
        <f t="shared" si="59"/>
        <v>0</v>
      </c>
      <c r="AD50" s="14"/>
      <c r="AE50" s="15"/>
      <c r="AF50" s="16">
        <f t="shared" si="39"/>
        <v>0</v>
      </c>
      <c r="AG50" s="14"/>
      <c r="AH50" s="15"/>
      <c r="AI50" s="16">
        <f>IFERROR(AG50*AH50, 0)</f>
        <v>0</v>
      </c>
      <c r="AJ50" s="14"/>
      <c r="AK50" s="15"/>
      <c r="AL50" s="16">
        <f t="shared" si="40"/>
        <v>0</v>
      </c>
      <c r="AM50" s="14"/>
      <c r="AN50" s="15"/>
      <c r="AO50" s="16">
        <f t="shared" si="41"/>
        <v>0</v>
      </c>
      <c r="AP50" s="14"/>
      <c r="AQ50" s="15"/>
      <c r="AR50" s="16">
        <f t="shared" si="42"/>
        <v>0</v>
      </c>
      <c r="AS50" s="14"/>
      <c r="AT50" s="15"/>
      <c r="AU50" s="16">
        <f t="shared" ref="AU50:AU81" si="66">IFERROR(AS50*AT50, 0)</f>
        <v>0</v>
      </c>
      <c r="AV50" s="14"/>
      <c r="AW50" s="15"/>
      <c r="AX50" s="16">
        <f t="shared" si="43"/>
        <v>0</v>
      </c>
      <c r="AY50" s="14"/>
      <c r="AZ50" s="15"/>
      <c r="BA50" s="16">
        <f t="shared" si="44"/>
        <v>0</v>
      </c>
      <c r="BB50" s="14"/>
      <c r="BC50" s="15"/>
      <c r="BD50" s="16">
        <f t="shared" si="45"/>
        <v>0</v>
      </c>
      <c r="BE50" s="14"/>
      <c r="BF50" s="15"/>
      <c r="BG50" s="16">
        <f t="shared" ref="BG50:BG56" si="67">IFERROR(BE50*BF50, 0)</f>
        <v>0</v>
      </c>
      <c r="BH50" s="14"/>
      <c r="BI50" s="15"/>
      <c r="BJ50" s="16">
        <f t="shared" si="46"/>
        <v>0</v>
      </c>
      <c r="BK50" s="14"/>
      <c r="BL50" s="15"/>
      <c r="BM50" s="16">
        <f t="shared" ref="BM50:BM81" si="68">IFERROR(BK50*BL50, 0)</f>
        <v>0</v>
      </c>
      <c r="BN50" s="14"/>
      <c r="BO50" s="15"/>
      <c r="BP50" s="16">
        <f t="shared" si="60"/>
        <v>0</v>
      </c>
      <c r="BQ50" s="14"/>
      <c r="BR50" s="15"/>
      <c r="BS50" s="16">
        <f>IFERROR(BQ50*BR50, 0)</f>
        <v>0</v>
      </c>
      <c r="BT50" s="14"/>
      <c r="BU50" s="15"/>
      <c r="BV50" s="16">
        <f t="shared" si="47"/>
        <v>0</v>
      </c>
      <c r="BW50" s="14"/>
      <c r="BX50" s="15"/>
      <c r="BY50" s="16">
        <f t="shared" si="32"/>
        <v>0</v>
      </c>
      <c r="BZ50" s="14"/>
      <c r="CA50" s="15"/>
      <c r="CB50" s="16">
        <f t="shared" si="48"/>
        <v>0</v>
      </c>
      <c r="CC50" s="14"/>
      <c r="CD50" s="15"/>
      <c r="CE50" s="16">
        <f t="shared" si="49"/>
        <v>0</v>
      </c>
      <c r="CF50" s="14"/>
      <c r="CG50" s="15"/>
      <c r="CH50" s="16">
        <f t="shared" si="50"/>
        <v>0</v>
      </c>
      <c r="CI50" s="14"/>
      <c r="CJ50" s="15"/>
      <c r="CK50" s="16">
        <f t="shared" si="51"/>
        <v>0</v>
      </c>
      <c r="CL50" s="14"/>
      <c r="CM50" s="15"/>
      <c r="CN50" s="16">
        <f t="shared" si="52"/>
        <v>0</v>
      </c>
      <c r="CO50" s="14"/>
      <c r="CP50" s="15"/>
      <c r="CQ50" s="16">
        <f t="shared" si="53"/>
        <v>0</v>
      </c>
      <c r="CR50" s="14"/>
      <c r="CS50" s="15"/>
      <c r="CT50" s="16">
        <f t="shared" si="54"/>
        <v>0</v>
      </c>
      <c r="CU50" s="17">
        <f t="shared" si="55"/>
        <v>0</v>
      </c>
      <c r="CV50" s="16">
        <f t="shared" si="56"/>
        <v>0</v>
      </c>
      <c r="CW50" s="16">
        <f t="shared" si="57"/>
        <v>0</v>
      </c>
    </row>
    <row r="51" spans="1:101" ht="15.75" customHeight="1" x14ac:dyDescent="0.35">
      <c r="A51" s="41" t="s">
        <v>990</v>
      </c>
      <c r="B51" s="41" t="s">
        <v>977</v>
      </c>
      <c r="C51" s="42"/>
      <c r="D51" s="43"/>
      <c r="E51" s="78">
        <f t="shared" si="34"/>
        <v>0</v>
      </c>
      <c r="F51" s="14"/>
      <c r="G51" s="15"/>
      <c r="H51" s="16">
        <f t="shared" si="63"/>
        <v>0</v>
      </c>
      <c r="I51" s="14"/>
      <c r="J51" s="15"/>
      <c r="K51" s="16">
        <f t="shared" si="64"/>
        <v>0</v>
      </c>
      <c r="L51" s="14"/>
      <c r="M51" s="15"/>
      <c r="N51" s="16">
        <f t="shared" si="35"/>
        <v>0</v>
      </c>
      <c r="O51" s="14"/>
      <c r="P51" s="15"/>
      <c r="Q51" s="16">
        <f t="shared" si="36"/>
        <v>0</v>
      </c>
      <c r="R51" s="14"/>
      <c r="S51" s="15"/>
      <c r="T51" s="16">
        <f t="shared" si="37"/>
        <v>0</v>
      </c>
      <c r="U51" s="14"/>
      <c r="V51" s="15"/>
      <c r="W51" s="16">
        <f t="shared" si="38"/>
        <v>0</v>
      </c>
      <c r="X51" s="14"/>
      <c r="Y51" s="15"/>
      <c r="Z51" s="16">
        <f t="shared" si="65"/>
        <v>0</v>
      </c>
      <c r="AA51" s="14"/>
      <c r="AB51" s="15"/>
      <c r="AC51" s="16">
        <f t="shared" si="59"/>
        <v>0</v>
      </c>
      <c r="AD51" s="14"/>
      <c r="AE51" s="15"/>
      <c r="AF51" s="16">
        <f t="shared" si="39"/>
        <v>0</v>
      </c>
      <c r="AG51" s="14"/>
      <c r="AH51" s="15"/>
      <c r="AI51" s="16">
        <f>IFERROR(AG51*AH51, 0)</f>
        <v>0</v>
      </c>
      <c r="AJ51" s="14"/>
      <c r="AK51" s="15"/>
      <c r="AL51" s="16">
        <f t="shared" si="40"/>
        <v>0</v>
      </c>
      <c r="AM51" s="14"/>
      <c r="AN51" s="15"/>
      <c r="AO51" s="16">
        <f t="shared" si="41"/>
        <v>0</v>
      </c>
      <c r="AP51" s="14"/>
      <c r="AQ51" s="15"/>
      <c r="AR51" s="16">
        <f t="shared" si="42"/>
        <v>0</v>
      </c>
      <c r="AS51" s="14"/>
      <c r="AT51" s="15"/>
      <c r="AU51" s="16">
        <f t="shared" si="66"/>
        <v>0</v>
      </c>
      <c r="AV51" s="14"/>
      <c r="AW51" s="15"/>
      <c r="AX51" s="16">
        <f t="shared" si="43"/>
        <v>0</v>
      </c>
      <c r="AY51" s="14"/>
      <c r="AZ51" s="15"/>
      <c r="BA51" s="16">
        <f t="shared" si="44"/>
        <v>0</v>
      </c>
      <c r="BB51" s="14"/>
      <c r="BC51" s="15"/>
      <c r="BD51" s="16">
        <f t="shared" si="45"/>
        <v>0</v>
      </c>
      <c r="BE51" s="14"/>
      <c r="BF51" s="15"/>
      <c r="BG51" s="16">
        <f t="shared" si="67"/>
        <v>0</v>
      </c>
      <c r="BH51" s="14"/>
      <c r="BI51" s="15"/>
      <c r="BJ51" s="16">
        <f t="shared" si="46"/>
        <v>0</v>
      </c>
      <c r="BK51" s="14"/>
      <c r="BL51" s="15"/>
      <c r="BM51" s="16">
        <f t="shared" si="68"/>
        <v>0</v>
      </c>
      <c r="BN51" s="14"/>
      <c r="BO51" s="15"/>
      <c r="BP51" s="16">
        <f t="shared" si="60"/>
        <v>0</v>
      </c>
      <c r="BQ51" s="14"/>
      <c r="BR51" s="15"/>
      <c r="BS51" s="16">
        <f>IFERROR(BQ51*BR51, 0)</f>
        <v>0</v>
      </c>
      <c r="BT51" s="14"/>
      <c r="BU51" s="15"/>
      <c r="BV51" s="16">
        <f t="shared" si="47"/>
        <v>0</v>
      </c>
      <c r="BW51" s="14"/>
      <c r="BX51" s="15"/>
      <c r="BY51" s="16">
        <f t="shared" si="32"/>
        <v>0</v>
      </c>
      <c r="BZ51" s="14"/>
      <c r="CA51" s="15"/>
      <c r="CB51" s="16">
        <f t="shared" si="48"/>
        <v>0</v>
      </c>
      <c r="CC51" s="14"/>
      <c r="CD51" s="15"/>
      <c r="CE51" s="16">
        <f t="shared" si="49"/>
        <v>0</v>
      </c>
      <c r="CF51" s="14"/>
      <c r="CG51" s="15"/>
      <c r="CH51" s="16">
        <f t="shared" si="50"/>
        <v>0</v>
      </c>
      <c r="CI51" s="14"/>
      <c r="CJ51" s="15"/>
      <c r="CK51" s="16">
        <f t="shared" si="51"/>
        <v>0</v>
      </c>
      <c r="CL51" s="14"/>
      <c r="CM51" s="15"/>
      <c r="CN51" s="16">
        <f t="shared" si="52"/>
        <v>0</v>
      </c>
      <c r="CO51" s="14"/>
      <c r="CP51" s="15"/>
      <c r="CQ51" s="16">
        <f t="shared" si="53"/>
        <v>0</v>
      </c>
      <c r="CR51" s="14"/>
      <c r="CS51" s="15"/>
      <c r="CT51" s="16">
        <f t="shared" si="54"/>
        <v>0</v>
      </c>
      <c r="CU51" s="17">
        <f t="shared" si="55"/>
        <v>0</v>
      </c>
      <c r="CV51" s="16">
        <f t="shared" si="56"/>
        <v>0</v>
      </c>
      <c r="CW51" s="16">
        <f t="shared" si="57"/>
        <v>0</v>
      </c>
    </row>
    <row r="52" spans="1:101" ht="15.75" customHeight="1" x14ac:dyDescent="0.35">
      <c r="A52" s="41" t="s">
        <v>991</v>
      </c>
      <c r="B52" s="41" t="s">
        <v>977</v>
      </c>
      <c r="C52" s="42"/>
      <c r="D52" s="43"/>
      <c r="E52" s="78">
        <f t="shared" si="34"/>
        <v>0</v>
      </c>
      <c r="F52" s="14"/>
      <c r="G52" s="15"/>
      <c r="H52" s="16">
        <f t="shared" si="63"/>
        <v>0</v>
      </c>
      <c r="I52" s="14"/>
      <c r="J52" s="15"/>
      <c r="K52" s="16">
        <f t="shared" si="64"/>
        <v>0</v>
      </c>
      <c r="L52" s="14"/>
      <c r="M52" s="15"/>
      <c r="N52" s="16">
        <f t="shared" si="35"/>
        <v>0</v>
      </c>
      <c r="O52" s="14"/>
      <c r="P52" s="15"/>
      <c r="Q52" s="16">
        <f t="shared" si="36"/>
        <v>0</v>
      </c>
      <c r="R52" s="14"/>
      <c r="S52" s="15"/>
      <c r="T52" s="16">
        <f t="shared" si="37"/>
        <v>0</v>
      </c>
      <c r="U52" s="14"/>
      <c r="V52" s="15"/>
      <c r="W52" s="16">
        <f t="shared" si="38"/>
        <v>0</v>
      </c>
      <c r="X52" s="14"/>
      <c r="Y52" s="15"/>
      <c r="Z52" s="16">
        <f t="shared" si="65"/>
        <v>0</v>
      </c>
      <c r="AA52" s="14"/>
      <c r="AB52" s="15"/>
      <c r="AC52" s="16">
        <f t="shared" si="59"/>
        <v>0</v>
      </c>
      <c r="AD52" s="14"/>
      <c r="AE52" s="15"/>
      <c r="AF52" s="16">
        <f t="shared" si="39"/>
        <v>0</v>
      </c>
      <c r="AG52" s="14"/>
      <c r="AH52" s="15"/>
      <c r="AI52" s="16">
        <f>IFERROR(AG52*AH52, 0)</f>
        <v>0</v>
      </c>
      <c r="AJ52" s="14"/>
      <c r="AK52" s="15"/>
      <c r="AL52" s="16">
        <f t="shared" si="40"/>
        <v>0</v>
      </c>
      <c r="AM52" s="14"/>
      <c r="AN52" s="15"/>
      <c r="AO52" s="16">
        <f t="shared" si="41"/>
        <v>0</v>
      </c>
      <c r="AP52" s="14"/>
      <c r="AQ52" s="15"/>
      <c r="AR52" s="16">
        <f t="shared" si="42"/>
        <v>0</v>
      </c>
      <c r="AS52" s="14"/>
      <c r="AT52" s="15"/>
      <c r="AU52" s="16">
        <f t="shared" si="66"/>
        <v>0</v>
      </c>
      <c r="AV52" s="14"/>
      <c r="AW52" s="15"/>
      <c r="AX52" s="16">
        <f t="shared" si="43"/>
        <v>0</v>
      </c>
      <c r="AY52" s="14"/>
      <c r="AZ52" s="15"/>
      <c r="BA52" s="16">
        <f t="shared" si="44"/>
        <v>0</v>
      </c>
      <c r="BB52" s="14"/>
      <c r="BC52" s="15"/>
      <c r="BD52" s="16">
        <f t="shared" si="45"/>
        <v>0</v>
      </c>
      <c r="BE52" s="14"/>
      <c r="BF52" s="15"/>
      <c r="BG52" s="16">
        <f t="shared" si="67"/>
        <v>0</v>
      </c>
      <c r="BH52" s="14"/>
      <c r="BI52" s="15"/>
      <c r="BJ52" s="16">
        <f t="shared" si="46"/>
        <v>0</v>
      </c>
      <c r="BK52" s="14"/>
      <c r="BL52" s="15"/>
      <c r="BM52" s="16">
        <f t="shared" si="68"/>
        <v>0</v>
      </c>
      <c r="BN52" s="14"/>
      <c r="BO52" s="15"/>
      <c r="BP52" s="16">
        <f t="shared" si="60"/>
        <v>0</v>
      </c>
      <c r="BQ52" s="14"/>
      <c r="BR52" s="15"/>
      <c r="BS52" s="16">
        <f>IFERROR(BQ52*BR52, 0)</f>
        <v>0</v>
      </c>
      <c r="BT52" s="14"/>
      <c r="BU52" s="15"/>
      <c r="BV52" s="16">
        <f t="shared" si="47"/>
        <v>0</v>
      </c>
      <c r="BW52" s="14"/>
      <c r="BX52" s="15"/>
      <c r="BY52" s="16">
        <f t="shared" ref="BY52:BY83" si="69">IFERROR(BW52*BX52, 0)</f>
        <v>0</v>
      </c>
      <c r="BZ52" s="14"/>
      <c r="CA52" s="15"/>
      <c r="CB52" s="16">
        <f t="shared" si="48"/>
        <v>0</v>
      </c>
      <c r="CC52" s="14"/>
      <c r="CD52" s="15"/>
      <c r="CE52" s="16">
        <f t="shared" si="49"/>
        <v>0</v>
      </c>
      <c r="CF52" s="14"/>
      <c r="CG52" s="15"/>
      <c r="CH52" s="16">
        <f t="shared" si="50"/>
        <v>0</v>
      </c>
      <c r="CI52" s="14"/>
      <c r="CJ52" s="15"/>
      <c r="CK52" s="16">
        <f t="shared" si="51"/>
        <v>0</v>
      </c>
      <c r="CL52" s="14"/>
      <c r="CM52" s="15"/>
      <c r="CN52" s="16">
        <f t="shared" si="52"/>
        <v>0</v>
      </c>
      <c r="CO52" s="14"/>
      <c r="CP52" s="15"/>
      <c r="CQ52" s="16">
        <f t="shared" si="53"/>
        <v>0</v>
      </c>
      <c r="CR52" s="14"/>
      <c r="CS52" s="15"/>
      <c r="CT52" s="16">
        <f t="shared" si="54"/>
        <v>0</v>
      </c>
      <c r="CU52" s="17">
        <f t="shared" si="55"/>
        <v>0</v>
      </c>
      <c r="CV52" s="16">
        <f t="shared" si="56"/>
        <v>0</v>
      </c>
      <c r="CW52" s="16">
        <f t="shared" si="57"/>
        <v>0</v>
      </c>
    </row>
    <row r="53" spans="1:101" ht="15.75" customHeight="1" x14ac:dyDescent="0.35">
      <c r="A53" s="41" t="s">
        <v>416</v>
      </c>
      <c r="B53" s="41" t="s">
        <v>992</v>
      </c>
      <c r="C53" s="42"/>
      <c r="D53" s="43"/>
      <c r="E53" s="78">
        <f t="shared" si="34"/>
        <v>0</v>
      </c>
      <c r="F53" s="14"/>
      <c r="G53" s="15"/>
      <c r="H53" s="16">
        <f t="shared" si="63"/>
        <v>0</v>
      </c>
      <c r="I53" s="14"/>
      <c r="J53" s="15"/>
      <c r="K53" s="16">
        <f t="shared" si="64"/>
        <v>0</v>
      </c>
      <c r="L53" s="14"/>
      <c r="M53" s="15"/>
      <c r="N53" s="16">
        <f t="shared" si="35"/>
        <v>0</v>
      </c>
      <c r="O53" s="14"/>
      <c r="P53" s="15"/>
      <c r="Q53" s="16">
        <f t="shared" si="36"/>
        <v>0</v>
      </c>
      <c r="R53" s="14"/>
      <c r="S53" s="15"/>
      <c r="T53" s="16">
        <f t="shared" si="37"/>
        <v>0</v>
      </c>
      <c r="U53" s="14"/>
      <c r="V53" s="15"/>
      <c r="W53" s="16">
        <f t="shared" si="38"/>
        <v>0</v>
      </c>
      <c r="X53" s="14"/>
      <c r="Y53" s="15"/>
      <c r="Z53" s="16">
        <f t="shared" si="65"/>
        <v>0</v>
      </c>
      <c r="AA53" s="14"/>
      <c r="AB53" s="15"/>
      <c r="AC53" s="16">
        <f t="shared" si="59"/>
        <v>0</v>
      </c>
      <c r="AD53" s="14"/>
      <c r="AE53" s="15"/>
      <c r="AF53" s="16">
        <f t="shared" si="39"/>
        <v>0</v>
      </c>
      <c r="AG53" s="14">
        <v>1</v>
      </c>
      <c r="AH53" s="15">
        <v>34300</v>
      </c>
      <c r="AI53" s="16">
        <v>34300</v>
      </c>
      <c r="AJ53" s="14"/>
      <c r="AK53" s="15"/>
      <c r="AL53" s="16">
        <f t="shared" si="40"/>
        <v>0</v>
      </c>
      <c r="AM53" s="14"/>
      <c r="AN53" s="15"/>
      <c r="AO53" s="16">
        <f t="shared" si="41"/>
        <v>0</v>
      </c>
      <c r="AP53" s="14"/>
      <c r="AQ53" s="15"/>
      <c r="AR53" s="16">
        <f t="shared" si="42"/>
        <v>0</v>
      </c>
      <c r="AS53" s="14"/>
      <c r="AT53" s="15"/>
      <c r="AU53" s="16">
        <f t="shared" si="66"/>
        <v>0</v>
      </c>
      <c r="AV53" s="14"/>
      <c r="AW53" s="15"/>
      <c r="AX53" s="16">
        <f t="shared" si="43"/>
        <v>0</v>
      </c>
      <c r="AY53" s="14"/>
      <c r="AZ53" s="15"/>
      <c r="BA53" s="16">
        <f t="shared" si="44"/>
        <v>0</v>
      </c>
      <c r="BB53" s="14"/>
      <c r="BC53" s="15"/>
      <c r="BD53" s="16">
        <f t="shared" si="45"/>
        <v>0</v>
      </c>
      <c r="BE53" s="14"/>
      <c r="BF53" s="15"/>
      <c r="BG53" s="16">
        <f t="shared" si="67"/>
        <v>0</v>
      </c>
      <c r="BH53" s="14"/>
      <c r="BI53" s="15"/>
      <c r="BJ53" s="16">
        <f t="shared" si="46"/>
        <v>0</v>
      </c>
      <c r="BK53" s="14"/>
      <c r="BL53" s="15"/>
      <c r="BM53" s="16">
        <f t="shared" si="68"/>
        <v>0</v>
      </c>
      <c r="BN53" s="14"/>
      <c r="BO53" s="15"/>
      <c r="BP53" s="16">
        <f t="shared" si="60"/>
        <v>0</v>
      </c>
      <c r="BQ53" s="14">
        <v>1</v>
      </c>
      <c r="BR53" s="15">
        <v>34300</v>
      </c>
      <c r="BS53" s="16">
        <v>34300</v>
      </c>
      <c r="BT53" s="14"/>
      <c r="BU53" s="15"/>
      <c r="BV53" s="16">
        <f t="shared" si="47"/>
        <v>0</v>
      </c>
      <c r="BW53" s="14"/>
      <c r="BX53" s="15"/>
      <c r="BY53" s="16">
        <f t="shared" si="69"/>
        <v>0</v>
      </c>
      <c r="BZ53" s="14"/>
      <c r="CA53" s="15"/>
      <c r="CB53" s="16">
        <f t="shared" si="48"/>
        <v>0</v>
      </c>
      <c r="CC53" s="14"/>
      <c r="CD53" s="15"/>
      <c r="CE53" s="16">
        <f t="shared" si="49"/>
        <v>0</v>
      </c>
      <c r="CF53" s="14"/>
      <c r="CG53" s="15"/>
      <c r="CH53" s="16">
        <f t="shared" si="50"/>
        <v>0</v>
      </c>
      <c r="CI53" s="14"/>
      <c r="CJ53" s="15"/>
      <c r="CK53" s="16">
        <f t="shared" si="51"/>
        <v>0</v>
      </c>
      <c r="CL53" s="14"/>
      <c r="CM53" s="15"/>
      <c r="CN53" s="16">
        <f t="shared" si="52"/>
        <v>0</v>
      </c>
      <c r="CO53" s="14"/>
      <c r="CP53" s="15"/>
      <c r="CQ53" s="16">
        <f t="shared" si="53"/>
        <v>0</v>
      </c>
      <c r="CR53" s="14"/>
      <c r="CS53" s="15"/>
      <c r="CT53" s="16">
        <f t="shared" si="54"/>
        <v>0</v>
      </c>
      <c r="CU53" s="17">
        <f t="shared" si="55"/>
        <v>2</v>
      </c>
      <c r="CV53" s="16">
        <f t="shared" si="56"/>
        <v>34300</v>
      </c>
      <c r="CW53" s="16">
        <f t="shared" si="57"/>
        <v>68600</v>
      </c>
    </row>
    <row r="54" spans="1:101" ht="15.75" customHeight="1" x14ac:dyDescent="0.35">
      <c r="A54" s="41" t="s">
        <v>421</v>
      </c>
      <c r="B54" s="41" t="s">
        <v>935</v>
      </c>
      <c r="C54" s="42"/>
      <c r="D54" s="43"/>
      <c r="E54" s="78">
        <f t="shared" si="34"/>
        <v>0</v>
      </c>
      <c r="F54" s="14"/>
      <c r="G54" s="15"/>
      <c r="H54" s="16">
        <f t="shared" si="63"/>
        <v>0</v>
      </c>
      <c r="I54" s="14"/>
      <c r="J54" s="15"/>
      <c r="K54" s="16">
        <f t="shared" si="64"/>
        <v>0</v>
      </c>
      <c r="L54" s="14"/>
      <c r="M54" s="15"/>
      <c r="N54" s="16">
        <f t="shared" si="35"/>
        <v>0</v>
      </c>
      <c r="O54" s="14"/>
      <c r="P54" s="15"/>
      <c r="Q54" s="16">
        <f t="shared" si="36"/>
        <v>0</v>
      </c>
      <c r="R54" s="14"/>
      <c r="S54" s="15"/>
      <c r="T54" s="16">
        <f t="shared" si="37"/>
        <v>0</v>
      </c>
      <c r="U54" s="14"/>
      <c r="V54" s="15"/>
      <c r="W54" s="16">
        <f t="shared" si="38"/>
        <v>0</v>
      </c>
      <c r="X54" s="14"/>
      <c r="Y54" s="15"/>
      <c r="Z54" s="16">
        <f t="shared" si="65"/>
        <v>0</v>
      </c>
      <c r="AA54" s="14"/>
      <c r="AB54" s="15"/>
      <c r="AC54" s="16">
        <f t="shared" si="59"/>
        <v>0</v>
      </c>
      <c r="AD54" s="14"/>
      <c r="AE54" s="15"/>
      <c r="AF54" s="16">
        <f t="shared" si="39"/>
        <v>0</v>
      </c>
      <c r="AG54" s="14">
        <v>1</v>
      </c>
      <c r="AH54" s="15">
        <v>4900</v>
      </c>
      <c r="AI54" s="16">
        <v>4900</v>
      </c>
      <c r="AJ54" s="14"/>
      <c r="AK54" s="15"/>
      <c r="AL54" s="16">
        <f t="shared" si="40"/>
        <v>0</v>
      </c>
      <c r="AM54" s="14"/>
      <c r="AN54" s="15"/>
      <c r="AO54" s="16">
        <f t="shared" si="41"/>
        <v>0</v>
      </c>
      <c r="AP54" s="14"/>
      <c r="AQ54" s="15"/>
      <c r="AR54" s="16">
        <f t="shared" si="42"/>
        <v>0</v>
      </c>
      <c r="AS54" s="14"/>
      <c r="AT54" s="15"/>
      <c r="AU54" s="16">
        <f t="shared" si="66"/>
        <v>0</v>
      </c>
      <c r="AV54" s="14"/>
      <c r="AW54" s="15"/>
      <c r="AX54" s="16">
        <f t="shared" si="43"/>
        <v>0</v>
      </c>
      <c r="AY54" s="14"/>
      <c r="AZ54" s="15"/>
      <c r="BA54" s="16">
        <f t="shared" si="44"/>
        <v>0</v>
      </c>
      <c r="BB54" s="14"/>
      <c r="BC54" s="15"/>
      <c r="BD54" s="16">
        <f t="shared" si="45"/>
        <v>0</v>
      </c>
      <c r="BE54" s="14"/>
      <c r="BF54" s="15"/>
      <c r="BG54" s="16">
        <f t="shared" si="67"/>
        <v>0</v>
      </c>
      <c r="BH54" s="14"/>
      <c r="BI54" s="15"/>
      <c r="BJ54" s="16">
        <f t="shared" si="46"/>
        <v>0</v>
      </c>
      <c r="BK54" s="14"/>
      <c r="BL54" s="15"/>
      <c r="BM54" s="16">
        <f t="shared" si="68"/>
        <v>0</v>
      </c>
      <c r="BN54" s="14"/>
      <c r="BO54" s="15"/>
      <c r="BP54" s="16">
        <f t="shared" si="60"/>
        <v>0</v>
      </c>
      <c r="BQ54" s="14"/>
      <c r="BR54" s="15"/>
      <c r="BS54" s="16">
        <f>IFERROR(BQ54*BR54, 0)</f>
        <v>0</v>
      </c>
      <c r="BT54" s="14"/>
      <c r="BU54" s="15"/>
      <c r="BV54" s="16">
        <f t="shared" si="47"/>
        <v>0</v>
      </c>
      <c r="BW54" s="14"/>
      <c r="BX54" s="15"/>
      <c r="BY54" s="16">
        <f t="shared" si="69"/>
        <v>0</v>
      </c>
      <c r="BZ54" s="14"/>
      <c r="CA54" s="15"/>
      <c r="CB54" s="16">
        <f t="shared" si="48"/>
        <v>0</v>
      </c>
      <c r="CC54" s="14"/>
      <c r="CD54" s="15"/>
      <c r="CE54" s="16">
        <f t="shared" si="49"/>
        <v>0</v>
      </c>
      <c r="CF54" s="14"/>
      <c r="CG54" s="15"/>
      <c r="CH54" s="16">
        <f t="shared" si="50"/>
        <v>0</v>
      </c>
      <c r="CI54" s="14"/>
      <c r="CJ54" s="15"/>
      <c r="CK54" s="16">
        <f t="shared" si="51"/>
        <v>0</v>
      </c>
      <c r="CL54" s="14"/>
      <c r="CM54" s="15"/>
      <c r="CN54" s="16">
        <f t="shared" si="52"/>
        <v>0</v>
      </c>
      <c r="CO54" s="14"/>
      <c r="CP54" s="15"/>
      <c r="CQ54" s="16">
        <f t="shared" si="53"/>
        <v>0</v>
      </c>
      <c r="CR54" s="14"/>
      <c r="CS54" s="15"/>
      <c r="CT54" s="16">
        <f t="shared" si="54"/>
        <v>0</v>
      </c>
      <c r="CU54" s="17">
        <f t="shared" si="55"/>
        <v>1</v>
      </c>
      <c r="CV54" s="16">
        <f t="shared" si="56"/>
        <v>4900</v>
      </c>
      <c r="CW54" s="16">
        <f t="shared" si="57"/>
        <v>4900</v>
      </c>
    </row>
    <row r="55" spans="1:101" ht="15.75" customHeight="1" x14ac:dyDescent="0.35">
      <c r="A55" s="41" t="s">
        <v>993</v>
      </c>
      <c r="B55" s="41" t="s">
        <v>935</v>
      </c>
      <c r="C55" s="42"/>
      <c r="D55" s="43"/>
      <c r="E55" s="78">
        <f t="shared" si="34"/>
        <v>0</v>
      </c>
      <c r="F55" s="14"/>
      <c r="G55" s="15"/>
      <c r="H55" s="16">
        <f t="shared" si="63"/>
        <v>0</v>
      </c>
      <c r="I55" s="14"/>
      <c r="J55" s="15"/>
      <c r="K55" s="16">
        <f t="shared" si="64"/>
        <v>0</v>
      </c>
      <c r="L55" s="14"/>
      <c r="M55" s="15"/>
      <c r="N55" s="16">
        <f t="shared" si="35"/>
        <v>0</v>
      </c>
      <c r="O55" s="14"/>
      <c r="P55" s="15"/>
      <c r="Q55" s="16">
        <f t="shared" si="36"/>
        <v>0</v>
      </c>
      <c r="R55" s="14"/>
      <c r="S55" s="15"/>
      <c r="T55" s="16">
        <f t="shared" si="37"/>
        <v>0</v>
      </c>
      <c r="U55" s="14"/>
      <c r="V55" s="15"/>
      <c r="W55" s="16">
        <f t="shared" si="38"/>
        <v>0</v>
      </c>
      <c r="X55" s="14"/>
      <c r="Y55" s="15"/>
      <c r="Z55" s="16">
        <f t="shared" si="65"/>
        <v>0</v>
      </c>
      <c r="AA55" s="14"/>
      <c r="AB55" s="15"/>
      <c r="AC55" s="16">
        <f t="shared" si="59"/>
        <v>0</v>
      </c>
      <c r="AD55" s="14"/>
      <c r="AE55" s="15"/>
      <c r="AF55" s="16">
        <f t="shared" si="39"/>
        <v>0</v>
      </c>
      <c r="AG55" s="14"/>
      <c r="AH55" s="15"/>
      <c r="AI55" s="16">
        <f>IFERROR(AG55*AH55, 0)</f>
        <v>0</v>
      </c>
      <c r="AJ55" s="14"/>
      <c r="AK55" s="15"/>
      <c r="AL55" s="16">
        <f t="shared" si="40"/>
        <v>0</v>
      </c>
      <c r="AM55" s="14"/>
      <c r="AN55" s="15"/>
      <c r="AO55" s="16">
        <f t="shared" si="41"/>
        <v>0</v>
      </c>
      <c r="AP55" s="14"/>
      <c r="AQ55" s="15"/>
      <c r="AR55" s="16">
        <f t="shared" si="42"/>
        <v>0</v>
      </c>
      <c r="AS55" s="14"/>
      <c r="AT55" s="15"/>
      <c r="AU55" s="16">
        <f t="shared" si="66"/>
        <v>0</v>
      </c>
      <c r="AV55" s="14"/>
      <c r="AW55" s="15"/>
      <c r="AX55" s="16">
        <f t="shared" si="43"/>
        <v>0</v>
      </c>
      <c r="AY55" s="14"/>
      <c r="AZ55" s="15"/>
      <c r="BA55" s="16">
        <f t="shared" si="44"/>
        <v>0</v>
      </c>
      <c r="BB55" s="14"/>
      <c r="BC55" s="15"/>
      <c r="BD55" s="16">
        <f t="shared" si="45"/>
        <v>0</v>
      </c>
      <c r="BE55" s="14"/>
      <c r="BF55" s="15"/>
      <c r="BG55" s="16">
        <f t="shared" si="67"/>
        <v>0</v>
      </c>
      <c r="BH55" s="14"/>
      <c r="BI55" s="15"/>
      <c r="BJ55" s="16">
        <f t="shared" si="46"/>
        <v>0</v>
      </c>
      <c r="BK55" s="14"/>
      <c r="BL55" s="15"/>
      <c r="BM55" s="16">
        <f t="shared" si="68"/>
        <v>0</v>
      </c>
      <c r="BN55" s="14"/>
      <c r="BO55" s="15"/>
      <c r="BP55" s="16">
        <f t="shared" si="60"/>
        <v>0</v>
      </c>
      <c r="BQ55" s="14"/>
      <c r="BR55" s="15"/>
      <c r="BS55" s="16">
        <f>IFERROR(BQ55*BR55, 0)</f>
        <v>0</v>
      </c>
      <c r="BT55" s="14"/>
      <c r="BU55" s="15"/>
      <c r="BV55" s="16">
        <f t="shared" si="47"/>
        <v>0</v>
      </c>
      <c r="BW55" s="14"/>
      <c r="BX55" s="15"/>
      <c r="BY55" s="16">
        <f t="shared" si="69"/>
        <v>0</v>
      </c>
      <c r="BZ55" s="14"/>
      <c r="CA55" s="15"/>
      <c r="CB55" s="16">
        <f t="shared" si="48"/>
        <v>0</v>
      </c>
      <c r="CC55" s="14"/>
      <c r="CD55" s="15"/>
      <c r="CE55" s="16">
        <f t="shared" si="49"/>
        <v>0</v>
      </c>
      <c r="CF55" s="14"/>
      <c r="CG55" s="15"/>
      <c r="CH55" s="16">
        <f t="shared" si="50"/>
        <v>0</v>
      </c>
      <c r="CI55" s="14"/>
      <c r="CJ55" s="15"/>
      <c r="CK55" s="16">
        <f t="shared" si="51"/>
        <v>0</v>
      </c>
      <c r="CL55" s="14"/>
      <c r="CM55" s="15"/>
      <c r="CN55" s="16">
        <f t="shared" si="52"/>
        <v>0</v>
      </c>
      <c r="CO55" s="14"/>
      <c r="CP55" s="15"/>
      <c r="CQ55" s="16">
        <f t="shared" si="53"/>
        <v>0</v>
      </c>
      <c r="CR55" s="14"/>
      <c r="CS55" s="15"/>
      <c r="CT55" s="16">
        <f t="shared" si="54"/>
        <v>0</v>
      </c>
      <c r="CU55" s="17">
        <f t="shared" si="55"/>
        <v>0</v>
      </c>
      <c r="CV55" s="16">
        <f t="shared" si="56"/>
        <v>0</v>
      </c>
      <c r="CW55" s="16">
        <f t="shared" si="57"/>
        <v>0</v>
      </c>
    </row>
    <row r="56" spans="1:101" ht="15.75" customHeight="1" x14ac:dyDescent="0.35">
      <c r="A56" s="41" t="s">
        <v>994</v>
      </c>
      <c r="B56" s="41" t="s">
        <v>935</v>
      </c>
      <c r="C56" s="42"/>
      <c r="D56" s="43"/>
      <c r="E56" s="78">
        <f t="shared" si="34"/>
        <v>0</v>
      </c>
      <c r="F56" s="14"/>
      <c r="G56" s="15"/>
      <c r="H56" s="16">
        <f t="shared" si="63"/>
        <v>0</v>
      </c>
      <c r="I56" s="14"/>
      <c r="J56" s="15"/>
      <c r="K56" s="16">
        <f t="shared" si="64"/>
        <v>0</v>
      </c>
      <c r="L56" s="14"/>
      <c r="M56" s="15"/>
      <c r="N56" s="16">
        <f t="shared" si="35"/>
        <v>0</v>
      </c>
      <c r="O56" s="14"/>
      <c r="P56" s="15"/>
      <c r="Q56" s="16">
        <f t="shared" si="36"/>
        <v>0</v>
      </c>
      <c r="R56" s="14"/>
      <c r="S56" s="15"/>
      <c r="T56" s="16">
        <f t="shared" si="37"/>
        <v>0</v>
      </c>
      <c r="U56" s="14"/>
      <c r="V56" s="15"/>
      <c r="W56" s="16">
        <f t="shared" si="38"/>
        <v>0</v>
      </c>
      <c r="X56" s="14"/>
      <c r="Y56" s="15"/>
      <c r="Z56" s="16">
        <f t="shared" si="65"/>
        <v>0</v>
      </c>
      <c r="AA56" s="14"/>
      <c r="AB56" s="15"/>
      <c r="AC56" s="16">
        <f t="shared" si="59"/>
        <v>0</v>
      </c>
      <c r="AD56" s="14"/>
      <c r="AE56" s="15"/>
      <c r="AF56" s="16">
        <f t="shared" si="39"/>
        <v>0</v>
      </c>
      <c r="AG56" s="14"/>
      <c r="AH56" s="15"/>
      <c r="AI56" s="16">
        <f>IFERROR(AG56*AH56, 0)</f>
        <v>0</v>
      </c>
      <c r="AJ56" s="14"/>
      <c r="AK56" s="15"/>
      <c r="AL56" s="16">
        <f t="shared" si="40"/>
        <v>0</v>
      </c>
      <c r="AM56" s="14"/>
      <c r="AN56" s="15"/>
      <c r="AO56" s="16">
        <f t="shared" si="41"/>
        <v>0</v>
      </c>
      <c r="AP56" s="14"/>
      <c r="AQ56" s="15"/>
      <c r="AR56" s="16">
        <f t="shared" si="42"/>
        <v>0</v>
      </c>
      <c r="AS56" s="14"/>
      <c r="AT56" s="15"/>
      <c r="AU56" s="16">
        <f t="shared" si="66"/>
        <v>0</v>
      </c>
      <c r="AV56" s="14"/>
      <c r="AW56" s="15"/>
      <c r="AX56" s="16">
        <f t="shared" si="43"/>
        <v>0</v>
      </c>
      <c r="AY56" s="14"/>
      <c r="AZ56" s="15"/>
      <c r="BA56" s="16">
        <f t="shared" si="44"/>
        <v>0</v>
      </c>
      <c r="BB56" s="14"/>
      <c r="BC56" s="15"/>
      <c r="BD56" s="16">
        <f t="shared" si="45"/>
        <v>0</v>
      </c>
      <c r="BE56" s="14"/>
      <c r="BF56" s="15"/>
      <c r="BG56" s="16">
        <f t="shared" si="67"/>
        <v>0</v>
      </c>
      <c r="BH56" s="14"/>
      <c r="BI56" s="15"/>
      <c r="BJ56" s="16">
        <f t="shared" si="46"/>
        <v>0</v>
      </c>
      <c r="BK56" s="14"/>
      <c r="BL56" s="15"/>
      <c r="BM56" s="16">
        <f t="shared" si="68"/>
        <v>0</v>
      </c>
      <c r="BN56" s="14"/>
      <c r="BO56" s="15"/>
      <c r="BP56" s="16">
        <f t="shared" si="60"/>
        <v>0</v>
      </c>
      <c r="BQ56" s="14"/>
      <c r="BR56" s="15"/>
      <c r="BS56" s="16">
        <f>IFERROR(BQ56*BR56, 0)</f>
        <v>0</v>
      </c>
      <c r="BT56" s="14"/>
      <c r="BU56" s="15"/>
      <c r="BV56" s="16">
        <f t="shared" si="47"/>
        <v>0</v>
      </c>
      <c r="BW56" s="14"/>
      <c r="BX56" s="15"/>
      <c r="BY56" s="16">
        <f t="shared" si="69"/>
        <v>0</v>
      </c>
      <c r="BZ56" s="14"/>
      <c r="CA56" s="15"/>
      <c r="CB56" s="16">
        <f t="shared" si="48"/>
        <v>0</v>
      </c>
      <c r="CC56" s="14"/>
      <c r="CD56" s="15"/>
      <c r="CE56" s="16">
        <f t="shared" si="49"/>
        <v>0</v>
      </c>
      <c r="CF56" s="14"/>
      <c r="CG56" s="15"/>
      <c r="CH56" s="16">
        <f t="shared" si="50"/>
        <v>0</v>
      </c>
      <c r="CI56" s="14"/>
      <c r="CJ56" s="15"/>
      <c r="CK56" s="16">
        <f t="shared" si="51"/>
        <v>0</v>
      </c>
      <c r="CL56" s="14"/>
      <c r="CM56" s="15"/>
      <c r="CN56" s="16">
        <f t="shared" si="52"/>
        <v>0</v>
      </c>
      <c r="CO56" s="14"/>
      <c r="CP56" s="15"/>
      <c r="CQ56" s="16">
        <f t="shared" si="53"/>
        <v>0</v>
      </c>
      <c r="CR56" s="14"/>
      <c r="CS56" s="15"/>
      <c r="CT56" s="16">
        <f t="shared" si="54"/>
        <v>0</v>
      </c>
      <c r="CU56" s="17">
        <f t="shared" si="55"/>
        <v>0</v>
      </c>
      <c r="CV56" s="16">
        <f t="shared" si="56"/>
        <v>0</v>
      </c>
      <c r="CW56" s="16">
        <f t="shared" si="57"/>
        <v>0</v>
      </c>
    </row>
    <row r="57" spans="1:101" ht="15.75" customHeight="1" x14ac:dyDescent="0.35">
      <c r="A57" s="41" t="s">
        <v>597</v>
      </c>
      <c r="B57" s="41" t="s">
        <v>935</v>
      </c>
      <c r="C57" s="42"/>
      <c r="D57" s="43"/>
      <c r="E57" s="78">
        <f t="shared" si="34"/>
        <v>0</v>
      </c>
      <c r="F57" s="14"/>
      <c r="G57" s="15"/>
      <c r="H57" s="16">
        <f t="shared" si="63"/>
        <v>0</v>
      </c>
      <c r="I57" s="14"/>
      <c r="J57" s="15"/>
      <c r="K57" s="16">
        <f t="shared" si="64"/>
        <v>0</v>
      </c>
      <c r="L57" s="14"/>
      <c r="M57" s="15"/>
      <c r="N57" s="16">
        <f t="shared" si="35"/>
        <v>0</v>
      </c>
      <c r="O57" s="14"/>
      <c r="P57" s="15"/>
      <c r="Q57" s="16">
        <f t="shared" si="36"/>
        <v>0</v>
      </c>
      <c r="R57" s="14"/>
      <c r="S57" s="15"/>
      <c r="T57" s="16">
        <f t="shared" si="37"/>
        <v>0</v>
      </c>
      <c r="U57" s="14"/>
      <c r="V57" s="15"/>
      <c r="W57" s="16">
        <f t="shared" si="38"/>
        <v>0</v>
      </c>
      <c r="X57" s="14"/>
      <c r="Y57" s="15"/>
      <c r="Z57" s="16">
        <f t="shared" si="65"/>
        <v>0</v>
      </c>
      <c r="AA57" s="14"/>
      <c r="AB57" s="15"/>
      <c r="AC57" s="16">
        <f t="shared" si="59"/>
        <v>0</v>
      </c>
      <c r="AD57" s="14"/>
      <c r="AE57" s="15"/>
      <c r="AF57" s="16">
        <f t="shared" si="39"/>
        <v>0</v>
      </c>
      <c r="AG57" s="14"/>
      <c r="AH57" s="15"/>
      <c r="AI57" s="16">
        <f>IFERROR(AG57*AH57, 0)</f>
        <v>0</v>
      </c>
      <c r="AJ57" s="14"/>
      <c r="AK57" s="15"/>
      <c r="AL57" s="16">
        <f t="shared" si="40"/>
        <v>0</v>
      </c>
      <c r="AM57" s="14"/>
      <c r="AN57" s="15"/>
      <c r="AO57" s="16">
        <f t="shared" si="41"/>
        <v>0</v>
      </c>
      <c r="AP57" s="14"/>
      <c r="AQ57" s="15"/>
      <c r="AR57" s="16">
        <f t="shared" si="42"/>
        <v>0</v>
      </c>
      <c r="AS57" s="14"/>
      <c r="AT57" s="15"/>
      <c r="AU57" s="16">
        <f t="shared" si="66"/>
        <v>0</v>
      </c>
      <c r="AV57" s="14"/>
      <c r="AW57" s="15"/>
      <c r="AX57" s="16">
        <f t="shared" si="43"/>
        <v>0</v>
      </c>
      <c r="AY57" s="14"/>
      <c r="AZ57" s="15"/>
      <c r="BA57" s="16">
        <f t="shared" si="44"/>
        <v>0</v>
      </c>
      <c r="BB57" s="14"/>
      <c r="BC57" s="15"/>
      <c r="BD57" s="16">
        <f t="shared" si="45"/>
        <v>0</v>
      </c>
      <c r="BE57" s="14">
        <v>1</v>
      </c>
      <c r="BF57" s="15">
        <v>65800</v>
      </c>
      <c r="BG57" s="16">
        <v>65800</v>
      </c>
      <c r="BH57" s="14"/>
      <c r="BI57" s="15"/>
      <c r="BJ57" s="16">
        <f t="shared" si="46"/>
        <v>0</v>
      </c>
      <c r="BK57" s="14"/>
      <c r="BL57" s="15"/>
      <c r="BM57" s="16">
        <f t="shared" si="68"/>
        <v>0</v>
      </c>
      <c r="BN57" s="14"/>
      <c r="BO57" s="15"/>
      <c r="BP57" s="16">
        <f t="shared" si="60"/>
        <v>0</v>
      </c>
      <c r="BQ57" s="14"/>
      <c r="BR57" s="15"/>
      <c r="BS57" s="16">
        <f>IFERROR(BQ57*BR57, 0)</f>
        <v>0</v>
      </c>
      <c r="BT57" s="14"/>
      <c r="BU57" s="15"/>
      <c r="BV57" s="16">
        <f t="shared" si="47"/>
        <v>0</v>
      </c>
      <c r="BW57" s="14"/>
      <c r="BX57" s="15"/>
      <c r="BY57" s="16">
        <f t="shared" si="69"/>
        <v>0</v>
      </c>
      <c r="BZ57" s="14"/>
      <c r="CA57" s="15"/>
      <c r="CB57" s="16">
        <f t="shared" si="48"/>
        <v>0</v>
      </c>
      <c r="CC57" s="14"/>
      <c r="CD57" s="15"/>
      <c r="CE57" s="16">
        <f t="shared" si="49"/>
        <v>0</v>
      </c>
      <c r="CF57" s="14"/>
      <c r="CG57" s="15"/>
      <c r="CH57" s="16">
        <f t="shared" si="50"/>
        <v>0</v>
      </c>
      <c r="CI57" s="14"/>
      <c r="CJ57" s="15"/>
      <c r="CK57" s="16">
        <f t="shared" si="51"/>
        <v>0</v>
      </c>
      <c r="CL57" s="14"/>
      <c r="CM57" s="15"/>
      <c r="CN57" s="16">
        <f t="shared" si="52"/>
        <v>0</v>
      </c>
      <c r="CO57" s="14"/>
      <c r="CP57" s="15"/>
      <c r="CQ57" s="16">
        <f t="shared" si="53"/>
        <v>0</v>
      </c>
      <c r="CR57" s="14"/>
      <c r="CS57" s="15"/>
      <c r="CT57" s="16">
        <f t="shared" si="54"/>
        <v>0</v>
      </c>
      <c r="CU57" s="17">
        <f t="shared" si="55"/>
        <v>1</v>
      </c>
      <c r="CV57" s="16">
        <f t="shared" si="56"/>
        <v>65800</v>
      </c>
      <c r="CW57" s="16">
        <f t="shared" si="57"/>
        <v>65800</v>
      </c>
    </row>
    <row r="58" spans="1:101" ht="15.75" customHeight="1" x14ac:dyDescent="0.35">
      <c r="A58" s="41" t="s">
        <v>995</v>
      </c>
      <c r="B58" s="41" t="s">
        <v>935</v>
      </c>
      <c r="C58" s="42"/>
      <c r="D58" s="43"/>
      <c r="E58" s="78">
        <f t="shared" si="34"/>
        <v>0</v>
      </c>
      <c r="F58" s="14"/>
      <c r="G58" s="15"/>
      <c r="H58" s="16">
        <f t="shared" si="63"/>
        <v>0</v>
      </c>
      <c r="I58" s="14"/>
      <c r="J58" s="15"/>
      <c r="K58" s="16">
        <f t="shared" si="64"/>
        <v>0</v>
      </c>
      <c r="L58" s="14"/>
      <c r="M58" s="15"/>
      <c r="N58" s="16">
        <f t="shared" si="35"/>
        <v>0</v>
      </c>
      <c r="O58" s="14"/>
      <c r="P58" s="15"/>
      <c r="Q58" s="16">
        <f t="shared" si="36"/>
        <v>0</v>
      </c>
      <c r="R58" s="14"/>
      <c r="S58" s="15"/>
      <c r="T58" s="16">
        <f t="shared" si="37"/>
        <v>0</v>
      </c>
      <c r="U58" s="14"/>
      <c r="V58" s="15"/>
      <c r="W58" s="16">
        <f t="shared" si="38"/>
        <v>0</v>
      </c>
      <c r="X58" s="14"/>
      <c r="Y58" s="15"/>
      <c r="Z58" s="16">
        <f t="shared" si="65"/>
        <v>0</v>
      </c>
      <c r="AA58" s="14"/>
      <c r="AB58" s="15"/>
      <c r="AC58" s="16">
        <f t="shared" si="59"/>
        <v>0</v>
      </c>
      <c r="AD58" s="14"/>
      <c r="AE58" s="15"/>
      <c r="AF58" s="16">
        <f t="shared" si="39"/>
        <v>0</v>
      </c>
      <c r="AG58" s="14"/>
      <c r="AH58" s="15"/>
      <c r="AI58" s="16">
        <f>IFERROR(AG58*AH58, 0)</f>
        <v>0</v>
      </c>
      <c r="AJ58" s="14"/>
      <c r="AK58" s="15"/>
      <c r="AL58" s="16">
        <f t="shared" si="40"/>
        <v>0</v>
      </c>
      <c r="AM58" s="14"/>
      <c r="AN58" s="15"/>
      <c r="AO58" s="16">
        <f t="shared" si="41"/>
        <v>0</v>
      </c>
      <c r="AP58" s="14"/>
      <c r="AQ58" s="15"/>
      <c r="AR58" s="16">
        <f t="shared" si="42"/>
        <v>0</v>
      </c>
      <c r="AS58" s="14"/>
      <c r="AT58" s="15"/>
      <c r="AU58" s="16">
        <f t="shared" si="66"/>
        <v>0</v>
      </c>
      <c r="AV58" s="14"/>
      <c r="AW58" s="15"/>
      <c r="AX58" s="16">
        <f t="shared" si="43"/>
        <v>0</v>
      </c>
      <c r="AY58" s="14"/>
      <c r="AZ58" s="15"/>
      <c r="BA58" s="16">
        <f t="shared" si="44"/>
        <v>0</v>
      </c>
      <c r="BB58" s="14"/>
      <c r="BC58" s="15"/>
      <c r="BD58" s="16">
        <f t="shared" si="45"/>
        <v>0</v>
      </c>
      <c r="BE58" s="14"/>
      <c r="BF58" s="15"/>
      <c r="BG58" s="16">
        <f>IFERROR(BE58*BF58, 0)</f>
        <v>0</v>
      </c>
      <c r="BH58" s="14"/>
      <c r="BI58" s="15"/>
      <c r="BJ58" s="16">
        <f t="shared" si="46"/>
        <v>0</v>
      </c>
      <c r="BK58" s="14"/>
      <c r="BL58" s="15"/>
      <c r="BM58" s="16">
        <f t="shared" si="68"/>
        <v>0</v>
      </c>
      <c r="BN58" s="14"/>
      <c r="BO58" s="15"/>
      <c r="BP58" s="16">
        <f t="shared" si="60"/>
        <v>0</v>
      </c>
      <c r="BQ58" s="14"/>
      <c r="BR58" s="15"/>
      <c r="BS58" s="16">
        <f>IFERROR(BQ58*BR58, 0)</f>
        <v>0</v>
      </c>
      <c r="BT58" s="14"/>
      <c r="BU58" s="15"/>
      <c r="BV58" s="16">
        <f t="shared" si="47"/>
        <v>0</v>
      </c>
      <c r="BW58" s="14"/>
      <c r="BX58" s="15"/>
      <c r="BY58" s="16">
        <f t="shared" si="69"/>
        <v>0</v>
      </c>
      <c r="BZ58" s="14"/>
      <c r="CA58" s="15"/>
      <c r="CB58" s="16">
        <f t="shared" si="48"/>
        <v>0</v>
      </c>
      <c r="CC58" s="14"/>
      <c r="CD58" s="15"/>
      <c r="CE58" s="16">
        <f t="shared" si="49"/>
        <v>0</v>
      </c>
      <c r="CF58" s="14"/>
      <c r="CG58" s="15"/>
      <c r="CH58" s="16">
        <f t="shared" si="50"/>
        <v>0</v>
      </c>
      <c r="CI58" s="14"/>
      <c r="CJ58" s="15"/>
      <c r="CK58" s="16">
        <f t="shared" si="51"/>
        <v>0</v>
      </c>
      <c r="CL58" s="14"/>
      <c r="CM58" s="15"/>
      <c r="CN58" s="16">
        <f t="shared" si="52"/>
        <v>0</v>
      </c>
      <c r="CO58" s="14"/>
      <c r="CP58" s="15"/>
      <c r="CQ58" s="16">
        <f t="shared" si="53"/>
        <v>0</v>
      </c>
      <c r="CR58" s="14"/>
      <c r="CS58" s="15"/>
      <c r="CT58" s="16">
        <f t="shared" si="54"/>
        <v>0</v>
      </c>
      <c r="CU58" s="17">
        <f t="shared" si="55"/>
        <v>0</v>
      </c>
      <c r="CV58" s="16">
        <f t="shared" si="56"/>
        <v>0</v>
      </c>
      <c r="CW58" s="16">
        <f t="shared" si="57"/>
        <v>0</v>
      </c>
    </row>
    <row r="59" spans="1:101" ht="15.75" customHeight="1" x14ac:dyDescent="0.35">
      <c r="A59" s="41" t="s">
        <v>186</v>
      </c>
      <c r="B59" s="41" t="s">
        <v>940</v>
      </c>
      <c r="C59" s="42"/>
      <c r="D59" s="43"/>
      <c r="E59" s="78">
        <f t="shared" si="34"/>
        <v>0</v>
      </c>
      <c r="F59" s="14"/>
      <c r="G59" s="15"/>
      <c r="H59" s="16">
        <f t="shared" si="63"/>
        <v>0</v>
      </c>
      <c r="I59" s="14"/>
      <c r="J59" s="15"/>
      <c r="K59" s="16">
        <f t="shared" si="64"/>
        <v>0</v>
      </c>
      <c r="L59" s="14">
        <v>1</v>
      </c>
      <c r="M59" s="15">
        <v>23700</v>
      </c>
      <c r="N59" s="16">
        <v>23700</v>
      </c>
      <c r="O59" s="14"/>
      <c r="P59" s="15"/>
      <c r="Q59" s="16">
        <f t="shared" si="36"/>
        <v>0</v>
      </c>
      <c r="R59" s="14"/>
      <c r="S59" s="15"/>
      <c r="T59" s="16">
        <f t="shared" si="37"/>
        <v>0</v>
      </c>
      <c r="U59" s="14"/>
      <c r="V59" s="15"/>
      <c r="W59" s="16">
        <f t="shared" si="38"/>
        <v>0</v>
      </c>
      <c r="X59" s="14"/>
      <c r="Y59" s="15"/>
      <c r="Z59" s="16">
        <f t="shared" si="65"/>
        <v>0</v>
      </c>
      <c r="AA59" s="14"/>
      <c r="AB59" s="15"/>
      <c r="AC59" s="16">
        <f t="shared" si="59"/>
        <v>0</v>
      </c>
      <c r="AD59" s="14"/>
      <c r="AE59" s="15"/>
      <c r="AF59" s="16">
        <f t="shared" si="39"/>
        <v>0</v>
      </c>
      <c r="AG59" s="14">
        <v>1</v>
      </c>
      <c r="AH59" s="15">
        <v>19400</v>
      </c>
      <c r="AI59" s="16">
        <v>19400</v>
      </c>
      <c r="AJ59" s="14"/>
      <c r="AK59" s="15"/>
      <c r="AL59" s="16">
        <f t="shared" si="40"/>
        <v>0</v>
      </c>
      <c r="AM59" s="14"/>
      <c r="AN59" s="15"/>
      <c r="AO59" s="16">
        <f t="shared" si="41"/>
        <v>0</v>
      </c>
      <c r="AP59" s="14"/>
      <c r="AQ59" s="15"/>
      <c r="AR59" s="16">
        <f t="shared" si="42"/>
        <v>0</v>
      </c>
      <c r="AS59" s="14"/>
      <c r="AT59" s="15"/>
      <c r="AU59" s="16">
        <f t="shared" si="66"/>
        <v>0</v>
      </c>
      <c r="AV59" s="14"/>
      <c r="AW59" s="15"/>
      <c r="AX59" s="16">
        <f t="shared" si="43"/>
        <v>0</v>
      </c>
      <c r="AY59" s="14"/>
      <c r="AZ59" s="15"/>
      <c r="BA59" s="16">
        <f t="shared" si="44"/>
        <v>0</v>
      </c>
      <c r="BB59" s="14"/>
      <c r="BC59" s="15"/>
      <c r="BD59" s="16">
        <f t="shared" si="45"/>
        <v>0</v>
      </c>
      <c r="BE59" s="14">
        <v>1</v>
      </c>
      <c r="BF59" s="15">
        <v>22500</v>
      </c>
      <c r="BG59" s="16">
        <v>22500</v>
      </c>
      <c r="BH59" s="14"/>
      <c r="BI59" s="15"/>
      <c r="BJ59" s="16">
        <f t="shared" si="46"/>
        <v>0</v>
      </c>
      <c r="BK59" s="14"/>
      <c r="BL59" s="15"/>
      <c r="BM59" s="16">
        <f t="shared" si="68"/>
        <v>0</v>
      </c>
      <c r="BN59" s="14"/>
      <c r="BO59" s="15"/>
      <c r="BP59" s="16">
        <f t="shared" si="60"/>
        <v>0</v>
      </c>
      <c r="BQ59" s="14">
        <v>1</v>
      </c>
      <c r="BR59" s="15">
        <v>22500</v>
      </c>
      <c r="BS59" s="16">
        <v>22500</v>
      </c>
      <c r="BT59" s="14"/>
      <c r="BU59" s="15"/>
      <c r="BV59" s="16">
        <f t="shared" si="47"/>
        <v>0</v>
      </c>
      <c r="BW59" s="14"/>
      <c r="BX59" s="15"/>
      <c r="BY59" s="16">
        <f t="shared" si="69"/>
        <v>0</v>
      </c>
      <c r="BZ59" s="14"/>
      <c r="CA59" s="15"/>
      <c r="CB59" s="16">
        <f t="shared" si="48"/>
        <v>0</v>
      </c>
      <c r="CC59" s="14"/>
      <c r="CD59" s="15"/>
      <c r="CE59" s="16">
        <f t="shared" si="49"/>
        <v>0</v>
      </c>
      <c r="CF59" s="14"/>
      <c r="CG59" s="15"/>
      <c r="CH59" s="16">
        <f t="shared" si="50"/>
        <v>0</v>
      </c>
      <c r="CI59" s="14"/>
      <c r="CJ59" s="15"/>
      <c r="CK59" s="16">
        <f t="shared" si="51"/>
        <v>0</v>
      </c>
      <c r="CL59" s="14"/>
      <c r="CM59" s="15"/>
      <c r="CN59" s="16">
        <f t="shared" si="52"/>
        <v>0</v>
      </c>
      <c r="CO59" s="14"/>
      <c r="CP59" s="15"/>
      <c r="CQ59" s="16">
        <f t="shared" si="53"/>
        <v>0</v>
      </c>
      <c r="CR59" s="14"/>
      <c r="CS59" s="15"/>
      <c r="CT59" s="16">
        <f t="shared" si="54"/>
        <v>0</v>
      </c>
      <c r="CU59" s="17">
        <f t="shared" si="55"/>
        <v>4</v>
      </c>
      <c r="CV59" s="16">
        <f t="shared" si="56"/>
        <v>22025</v>
      </c>
      <c r="CW59" s="16">
        <f t="shared" si="57"/>
        <v>88100</v>
      </c>
    </row>
    <row r="60" spans="1:101" ht="15.75" customHeight="1" x14ac:dyDescent="0.35">
      <c r="A60" s="41" t="s">
        <v>288</v>
      </c>
      <c r="B60" s="41" t="s">
        <v>846</v>
      </c>
      <c r="C60" s="42"/>
      <c r="D60" s="43"/>
      <c r="E60" s="78">
        <f t="shared" si="34"/>
        <v>0</v>
      </c>
      <c r="F60" s="14"/>
      <c r="G60" s="15"/>
      <c r="H60" s="16">
        <f t="shared" si="63"/>
        <v>0</v>
      </c>
      <c r="I60" s="14"/>
      <c r="J60" s="15"/>
      <c r="K60" s="16">
        <f t="shared" si="64"/>
        <v>0</v>
      </c>
      <c r="L60" s="14"/>
      <c r="M60" s="15"/>
      <c r="N60" s="16">
        <f t="shared" ref="N60:N104" si="70">IFERROR(L60*M60, 0)</f>
        <v>0</v>
      </c>
      <c r="O60" s="14"/>
      <c r="P60" s="15"/>
      <c r="Q60" s="16">
        <f t="shared" si="36"/>
        <v>0</v>
      </c>
      <c r="R60" s="14"/>
      <c r="S60" s="15"/>
      <c r="T60" s="16">
        <f t="shared" si="37"/>
        <v>0</v>
      </c>
      <c r="U60" s="14"/>
      <c r="V60" s="15"/>
      <c r="W60" s="16">
        <f t="shared" si="38"/>
        <v>0</v>
      </c>
      <c r="X60" s="14">
        <v>4</v>
      </c>
      <c r="Y60" s="15">
        <v>7600</v>
      </c>
      <c r="Z60" s="16">
        <v>30400</v>
      </c>
      <c r="AA60" s="14"/>
      <c r="AB60" s="15"/>
      <c r="AC60" s="16">
        <f t="shared" si="59"/>
        <v>0</v>
      </c>
      <c r="AD60" s="14"/>
      <c r="AE60" s="15"/>
      <c r="AF60" s="16">
        <f t="shared" si="39"/>
        <v>0</v>
      </c>
      <c r="AG60" s="14"/>
      <c r="AH60" s="15"/>
      <c r="AI60" s="16">
        <f>IFERROR(AG60*AH60, 0)</f>
        <v>0</v>
      </c>
      <c r="AJ60" s="14"/>
      <c r="AK60" s="15"/>
      <c r="AL60" s="16">
        <f t="shared" si="40"/>
        <v>0</v>
      </c>
      <c r="AM60" s="14"/>
      <c r="AN60" s="15"/>
      <c r="AO60" s="16">
        <f t="shared" si="41"/>
        <v>0</v>
      </c>
      <c r="AP60" s="14"/>
      <c r="AQ60" s="15"/>
      <c r="AR60" s="16">
        <f t="shared" si="42"/>
        <v>0</v>
      </c>
      <c r="AS60" s="14"/>
      <c r="AT60" s="15"/>
      <c r="AU60" s="16">
        <f t="shared" si="66"/>
        <v>0</v>
      </c>
      <c r="AV60" s="14"/>
      <c r="AW60" s="15"/>
      <c r="AX60" s="16">
        <f t="shared" si="43"/>
        <v>0</v>
      </c>
      <c r="AY60" s="14"/>
      <c r="AZ60" s="15"/>
      <c r="BA60" s="16">
        <f t="shared" si="44"/>
        <v>0</v>
      </c>
      <c r="BB60" s="14"/>
      <c r="BC60" s="15"/>
      <c r="BD60" s="16">
        <f t="shared" si="45"/>
        <v>0</v>
      </c>
      <c r="BE60" s="14">
        <v>5</v>
      </c>
      <c r="BF60" s="15">
        <v>7600</v>
      </c>
      <c r="BG60" s="16">
        <v>38000</v>
      </c>
      <c r="BH60" s="14"/>
      <c r="BI60" s="15"/>
      <c r="BJ60" s="16">
        <f t="shared" si="46"/>
        <v>0</v>
      </c>
      <c r="BK60" s="14"/>
      <c r="BL60" s="15"/>
      <c r="BM60" s="16">
        <f t="shared" si="68"/>
        <v>0</v>
      </c>
      <c r="BN60" s="14"/>
      <c r="BO60" s="15"/>
      <c r="BP60" s="16">
        <f t="shared" si="60"/>
        <v>0</v>
      </c>
      <c r="BQ60" s="14"/>
      <c r="BR60" s="15"/>
      <c r="BS60" s="16">
        <f>IFERROR(BQ60*BR60, 0)</f>
        <v>0</v>
      </c>
      <c r="BT60" s="14"/>
      <c r="BU60" s="15"/>
      <c r="BV60" s="16">
        <f t="shared" si="47"/>
        <v>0</v>
      </c>
      <c r="BW60" s="14"/>
      <c r="BX60" s="15"/>
      <c r="BY60" s="16">
        <f t="shared" si="69"/>
        <v>0</v>
      </c>
      <c r="BZ60" s="14"/>
      <c r="CA60" s="15"/>
      <c r="CB60" s="16">
        <f t="shared" si="48"/>
        <v>0</v>
      </c>
      <c r="CC60" s="14"/>
      <c r="CD60" s="15"/>
      <c r="CE60" s="16">
        <f t="shared" si="49"/>
        <v>0</v>
      </c>
      <c r="CF60" s="14"/>
      <c r="CG60" s="15"/>
      <c r="CH60" s="16">
        <f t="shared" si="50"/>
        <v>0</v>
      </c>
      <c r="CI60" s="14"/>
      <c r="CJ60" s="15"/>
      <c r="CK60" s="16">
        <f t="shared" si="51"/>
        <v>0</v>
      </c>
      <c r="CL60" s="14"/>
      <c r="CM60" s="15"/>
      <c r="CN60" s="16">
        <f t="shared" si="52"/>
        <v>0</v>
      </c>
      <c r="CO60" s="14"/>
      <c r="CP60" s="15"/>
      <c r="CQ60" s="16">
        <f t="shared" si="53"/>
        <v>0</v>
      </c>
      <c r="CR60" s="14"/>
      <c r="CS60" s="15"/>
      <c r="CT60" s="16">
        <f t="shared" si="54"/>
        <v>0</v>
      </c>
      <c r="CU60" s="17">
        <f t="shared" si="55"/>
        <v>9</v>
      </c>
      <c r="CV60" s="16">
        <f t="shared" si="56"/>
        <v>7600</v>
      </c>
      <c r="CW60" s="16">
        <f t="shared" si="57"/>
        <v>68400</v>
      </c>
    </row>
    <row r="61" spans="1:101" ht="15.75" customHeight="1" x14ac:dyDescent="0.35">
      <c r="A61" s="41" t="s">
        <v>310</v>
      </c>
      <c r="B61" s="41" t="s">
        <v>935</v>
      </c>
      <c r="C61" s="42"/>
      <c r="D61" s="43"/>
      <c r="E61" s="78">
        <f t="shared" si="34"/>
        <v>0</v>
      </c>
      <c r="F61" s="14"/>
      <c r="G61" s="15"/>
      <c r="H61" s="16">
        <f t="shared" si="63"/>
        <v>0</v>
      </c>
      <c r="I61" s="14"/>
      <c r="J61" s="15"/>
      <c r="K61" s="16">
        <f t="shared" si="64"/>
        <v>0</v>
      </c>
      <c r="L61" s="14"/>
      <c r="M61" s="15"/>
      <c r="N61" s="16">
        <f t="shared" si="70"/>
        <v>0</v>
      </c>
      <c r="O61" s="14"/>
      <c r="P61" s="15"/>
      <c r="Q61" s="16">
        <f t="shared" si="36"/>
        <v>0</v>
      </c>
      <c r="R61" s="14"/>
      <c r="S61" s="15"/>
      <c r="T61" s="16">
        <f t="shared" si="37"/>
        <v>0</v>
      </c>
      <c r="U61" s="14"/>
      <c r="V61" s="15"/>
      <c r="W61" s="16">
        <f t="shared" si="38"/>
        <v>0</v>
      </c>
      <c r="X61" s="14">
        <v>12</v>
      </c>
      <c r="Y61" s="15">
        <v>600</v>
      </c>
      <c r="Z61" s="16">
        <v>7200</v>
      </c>
      <c r="AA61" s="14"/>
      <c r="AB61" s="15"/>
      <c r="AC61" s="16">
        <f t="shared" si="59"/>
        <v>0</v>
      </c>
      <c r="AD61" s="14"/>
      <c r="AE61" s="15"/>
      <c r="AF61" s="16">
        <f t="shared" si="39"/>
        <v>0</v>
      </c>
      <c r="AG61" s="14"/>
      <c r="AH61" s="15"/>
      <c r="AI61" s="16">
        <f>IFERROR(AG61*AH61, 0)</f>
        <v>0</v>
      </c>
      <c r="AJ61" s="14"/>
      <c r="AK61" s="15"/>
      <c r="AL61" s="16">
        <f t="shared" si="40"/>
        <v>0</v>
      </c>
      <c r="AM61" s="14"/>
      <c r="AN61" s="15"/>
      <c r="AO61" s="16">
        <f t="shared" si="41"/>
        <v>0</v>
      </c>
      <c r="AP61" s="14"/>
      <c r="AQ61" s="15"/>
      <c r="AR61" s="16">
        <f t="shared" si="42"/>
        <v>0</v>
      </c>
      <c r="AS61" s="14"/>
      <c r="AT61" s="15"/>
      <c r="AU61" s="16">
        <f t="shared" si="66"/>
        <v>0</v>
      </c>
      <c r="AV61" s="14"/>
      <c r="AW61" s="15"/>
      <c r="AX61" s="16">
        <f t="shared" si="43"/>
        <v>0</v>
      </c>
      <c r="AY61" s="14"/>
      <c r="AZ61" s="15"/>
      <c r="BA61" s="16">
        <f t="shared" si="44"/>
        <v>0</v>
      </c>
      <c r="BB61" s="14"/>
      <c r="BC61" s="15"/>
      <c r="BD61" s="16">
        <f t="shared" si="45"/>
        <v>0</v>
      </c>
      <c r="BE61" s="14"/>
      <c r="BF61" s="15"/>
      <c r="BG61" s="16">
        <f>IFERROR(BE61*BF61, 0)</f>
        <v>0</v>
      </c>
      <c r="BH61" s="14"/>
      <c r="BI61" s="15"/>
      <c r="BJ61" s="16">
        <f t="shared" si="46"/>
        <v>0</v>
      </c>
      <c r="BK61" s="14"/>
      <c r="BL61" s="15"/>
      <c r="BM61" s="16">
        <f t="shared" si="68"/>
        <v>0</v>
      </c>
      <c r="BN61" s="14"/>
      <c r="BO61" s="15"/>
      <c r="BP61" s="16">
        <f t="shared" si="60"/>
        <v>0</v>
      </c>
      <c r="BQ61" s="14"/>
      <c r="BR61" s="15"/>
      <c r="BS61" s="16">
        <f>IFERROR(BQ61*BR61, 0)</f>
        <v>0</v>
      </c>
      <c r="BT61" s="14"/>
      <c r="BU61" s="15"/>
      <c r="BV61" s="16">
        <f t="shared" si="47"/>
        <v>0</v>
      </c>
      <c r="BW61" s="14"/>
      <c r="BX61" s="15"/>
      <c r="BY61" s="16">
        <f t="shared" si="69"/>
        <v>0</v>
      </c>
      <c r="BZ61" s="14"/>
      <c r="CA61" s="15"/>
      <c r="CB61" s="16">
        <f t="shared" si="48"/>
        <v>0</v>
      </c>
      <c r="CC61" s="14"/>
      <c r="CD61" s="15"/>
      <c r="CE61" s="16">
        <f t="shared" si="49"/>
        <v>0</v>
      </c>
      <c r="CF61" s="14"/>
      <c r="CG61" s="15"/>
      <c r="CH61" s="16">
        <f t="shared" si="50"/>
        <v>0</v>
      </c>
      <c r="CI61" s="14"/>
      <c r="CJ61" s="15"/>
      <c r="CK61" s="16">
        <f t="shared" si="51"/>
        <v>0</v>
      </c>
      <c r="CL61" s="14"/>
      <c r="CM61" s="15"/>
      <c r="CN61" s="16">
        <f t="shared" si="52"/>
        <v>0</v>
      </c>
      <c r="CO61" s="14"/>
      <c r="CP61" s="15"/>
      <c r="CQ61" s="16">
        <f t="shared" si="53"/>
        <v>0</v>
      </c>
      <c r="CR61" s="14"/>
      <c r="CS61" s="15"/>
      <c r="CT61" s="16">
        <f t="shared" si="54"/>
        <v>0</v>
      </c>
      <c r="CU61" s="17">
        <f t="shared" si="55"/>
        <v>12</v>
      </c>
      <c r="CV61" s="16">
        <f t="shared" si="56"/>
        <v>600</v>
      </c>
      <c r="CW61" s="16">
        <f t="shared" si="57"/>
        <v>7200</v>
      </c>
    </row>
    <row r="62" spans="1:101" ht="15.75" customHeight="1" x14ac:dyDescent="0.35">
      <c r="A62" s="41" t="s">
        <v>136</v>
      </c>
      <c r="B62" s="41" t="s">
        <v>897</v>
      </c>
      <c r="C62" s="42"/>
      <c r="D62" s="43"/>
      <c r="E62" s="78">
        <f t="shared" si="34"/>
        <v>0</v>
      </c>
      <c r="F62" s="14"/>
      <c r="G62" s="15"/>
      <c r="H62" s="16">
        <f t="shared" si="63"/>
        <v>0</v>
      </c>
      <c r="I62" s="14">
        <v>5</v>
      </c>
      <c r="J62" s="15">
        <v>2100</v>
      </c>
      <c r="K62" s="16">
        <v>10500</v>
      </c>
      <c r="L62" s="14"/>
      <c r="M62" s="15"/>
      <c r="N62" s="16">
        <f t="shared" si="70"/>
        <v>0</v>
      </c>
      <c r="O62" s="14"/>
      <c r="P62" s="15"/>
      <c r="Q62" s="16">
        <f t="shared" si="36"/>
        <v>0</v>
      </c>
      <c r="R62" s="14"/>
      <c r="S62" s="15"/>
      <c r="T62" s="16">
        <f t="shared" si="37"/>
        <v>0</v>
      </c>
      <c r="U62" s="14"/>
      <c r="V62" s="15"/>
      <c r="W62" s="16">
        <f t="shared" si="38"/>
        <v>0</v>
      </c>
      <c r="X62" s="14"/>
      <c r="Y62" s="15"/>
      <c r="Z62" s="16">
        <f>IFERROR(X62*Y62, 0)</f>
        <v>0</v>
      </c>
      <c r="AA62" s="14"/>
      <c r="AB62" s="15"/>
      <c r="AC62" s="16">
        <f t="shared" si="59"/>
        <v>0</v>
      </c>
      <c r="AD62" s="14"/>
      <c r="AE62" s="15"/>
      <c r="AF62" s="16">
        <f t="shared" si="39"/>
        <v>0</v>
      </c>
      <c r="AG62" s="14">
        <v>5</v>
      </c>
      <c r="AH62" s="15">
        <v>2100</v>
      </c>
      <c r="AI62" s="16">
        <v>10500</v>
      </c>
      <c r="AJ62" s="14"/>
      <c r="AK62" s="15"/>
      <c r="AL62" s="16">
        <f t="shared" si="40"/>
        <v>0</v>
      </c>
      <c r="AM62" s="14"/>
      <c r="AN62" s="15"/>
      <c r="AO62" s="16">
        <f t="shared" si="41"/>
        <v>0</v>
      </c>
      <c r="AP62" s="14"/>
      <c r="AQ62" s="15"/>
      <c r="AR62" s="16">
        <f t="shared" si="42"/>
        <v>0</v>
      </c>
      <c r="AS62" s="14"/>
      <c r="AT62" s="15"/>
      <c r="AU62" s="16">
        <f t="shared" si="66"/>
        <v>0</v>
      </c>
      <c r="AV62" s="14"/>
      <c r="AW62" s="15"/>
      <c r="AX62" s="16">
        <f t="shared" si="43"/>
        <v>0</v>
      </c>
      <c r="AY62" s="14"/>
      <c r="AZ62" s="15"/>
      <c r="BA62" s="16">
        <f t="shared" si="44"/>
        <v>0</v>
      </c>
      <c r="BB62" s="14"/>
      <c r="BC62" s="15"/>
      <c r="BD62" s="16">
        <f t="shared" si="45"/>
        <v>0</v>
      </c>
      <c r="BE62" s="14"/>
      <c r="BF62" s="15"/>
      <c r="BG62" s="16">
        <f>IFERROR(BE62*BF62, 0)</f>
        <v>0</v>
      </c>
      <c r="BH62" s="14"/>
      <c r="BI62" s="15"/>
      <c r="BJ62" s="16">
        <f t="shared" si="46"/>
        <v>0</v>
      </c>
      <c r="BK62" s="14"/>
      <c r="BL62" s="15"/>
      <c r="BM62" s="16">
        <f t="shared" si="68"/>
        <v>0</v>
      </c>
      <c r="BN62" s="14"/>
      <c r="BO62" s="15"/>
      <c r="BP62" s="16">
        <f t="shared" si="60"/>
        <v>0</v>
      </c>
      <c r="BQ62" s="14">
        <v>7</v>
      </c>
      <c r="BR62" s="15">
        <v>2100</v>
      </c>
      <c r="BS62" s="16">
        <v>14700</v>
      </c>
      <c r="BT62" s="14"/>
      <c r="BU62" s="15"/>
      <c r="BV62" s="16">
        <f t="shared" si="47"/>
        <v>0</v>
      </c>
      <c r="BW62" s="14"/>
      <c r="BX62" s="15"/>
      <c r="BY62" s="16">
        <f t="shared" si="69"/>
        <v>0</v>
      </c>
      <c r="BZ62" s="14"/>
      <c r="CA62" s="15"/>
      <c r="CB62" s="16">
        <f t="shared" si="48"/>
        <v>0</v>
      </c>
      <c r="CC62" s="14"/>
      <c r="CD62" s="15"/>
      <c r="CE62" s="16">
        <f t="shared" si="49"/>
        <v>0</v>
      </c>
      <c r="CF62" s="14"/>
      <c r="CG62" s="15"/>
      <c r="CH62" s="16">
        <f t="shared" si="50"/>
        <v>0</v>
      </c>
      <c r="CI62" s="14"/>
      <c r="CJ62" s="15"/>
      <c r="CK62" s="16">
        <f t="shared" si="51"/>
        <v>0</v>
      </c>
      <c r="CL62" s="14"/>
      <c r="CM62" s="15"/>
      <c r="CN62" s="16">
        <f t="shared" si="52"/>
        <v>0</v>
      </c>
      <c r="CO62" s="14"/>
      <c r="CP62" s="15"/>
      <c r="CQ62" s="16">
        <f t="shared" si="53"/>
        <v>0</v>
      </c>
      <c r="CR62" s="14"/>
      <c r="CS62" s="15"/>
      <c r="CT62" s="16">
        <f t="shared" si="54"/>
        <v>0</v>
      </c>
      <c r="CU62" s="17">
        <f t="shared" si="55"/>
        <v>17</v>
      </c>
      <c r="CV62" s="16">
        <f t="shared" si="56"/>
        <v>2100</v>
      </c>
      <c r="CW62" s="16">
        <f t="shared" si="57"/>
        <v>35700</v>
      </c>
    </row>
    <row r="63" spans="1:101" ht="15.75" customHeight="1" x14ac:dyDescent="0.35">
      <c r="A63" s="41" t="s">
        <v>214</v>
      </c>
      <c r="B63" s="41" t="s">
        <v>897</v>
      </c>
      <c r="C63" s="42"/>
      <c r="D63" s="43"/>
      <c r="E63" s="78">
        <f t="shared" si="34"/>
        <v>0</v>
      </c>
      <c r="F63" s="14"/>
      <c r="G63" s="15"/>
      <c r="H63" s="16">
        <f t="shared" si="63"/>
        <v>0</v>
      </c>
      <c r="I63" s="14"/>
      <c r="J63" s="15"/>
      <c r="K63" s="16">
        <f>IFERROR(I63*J63, 0)</f>
        <v>0</v>
      </c>
      <c r="L63" s="14"/>
      <c r="M63" s="15"/>
      <c r="N63" s="16">
        <f t="shared" si="70"/>
        <v>0</v>
      </c>
      <c r="O63" s="14">
        <v>25</v>
      </c>
      <c r="P63" s="15">
        <v>2100</v>
      </c>
      <c r="Q63" s="16">
        <v>52500</v>
      </c>
      <c r="R63" s="14"/>
      <c r="S63" s="15"/>
      <c r="T63" s="16">
        <f t="shared" si="37"/>
        <v>0</v>
      </c>
      <c r="U63" s="14"/>
      <c r="V63" s="15"/>
      <c r="W63" s="16">
        <f t="shared" si="38"/>
        <v>0</v>
      </c>
      <c r="X63" s="14"/>
      <c r="Y63" s="15"/>
      <c r="Z63" s="16">
        <f>IFERROR(X63*Y63, 0)</f>
        <v>0</v>
      </c>
      <c r="AA63" s="14"/>
      <c r="AB63" s="15"/>
      <c r="AC63" s="16">
        <f t="shared" si="59"/>
        <v>0</v>
      </c>
      <c r="AD63" s="14"/>
      <c r="AE63" s="15"/>
      <c r="AF63" s="16">
        <f t="shared" si="39"/>
        <v>0</v>
      </c>
      <c r="AG63" s="14">
        <v>25</v>
      </c>
      <c r="AH63" s="15">
        <v>2100</v>
      </c>
      <c r="AI63" s="16">
        <v>52500</v>
      </c>
      <c r="AJ63" s="14"/>
      <c r="AK63" s="15"/>
      <c r="AL63" s="16">
        <f t="shared" si="40"/>
        <v>0</v>
      </c>
      <c r="AM63" s="14"/>
      <c r="AN63" s="15"/>
      <c r="AO63" s="16">
        <f t="shared" si="41"/>
        <v>0</v>
      </c>
      <c r="AP63" s="14"/>
      <c r="AQ63" s="15"/>
      <c r="AR63" s="16">
        <f t="shared" si="42"/>
        <v>0</v>
      </c>
      <c r="AS63" s="14"/>
      <c r="AT63" s="15"/>
      <c r="AU63" s="16">
        <f t="shared" si="66"/>
        <v>0</v>
      </c>
      <c r="AV63" s="14"/>
      <c r="AW63" s="15"/>
      <c r="AX63" s="16">
        <f t="shared" si="43"/>
        <v>0</v>
      </c>
      <c r="AY63" s="14"/>
      <c r="AZ63" s="15"/>
      <c r="BA63" s="16">
        <f t="shared" si="44"/>
        <v>0</v>
      </c>
      <c r="BB63" s="14"/>
      <c r="BC63" s="15"/>
      <c r="BD63" s="16">
        <f t="shared" si="45"/>
        <v>0</v>
      </c>
      <c r="BE63" s="14">
        <v>25</v>
      </c>
      <c r="BF63" s="15">
        <v>2100</v>
      </c>
      <c r="BG63" s="16">
        <v>52500</v>
      </c>
      <c r="BH63" s="14"/>
      <c r="BI63" s="15"/>
      <c r="BJ63" s="16">
        <f t="shared" si="46"/>
        <v>0</v>
      </c>
      <c r="BK63" s="14"/>
      <c r="BL63" s="15"/>
      <c r="BM63" s="16">
        <f t="shared" si="68"/>
        <v>0</v>
      </c>
      <c r="BN63" s="14"/>
      <c r="BO63" s="15"/>
      <c r="BP63" s="16">
        <f t="shared" si="60"/>
        <v>0</v>
      </c>
      <c r="BQ63" s="14">
        <v>25</v>
      </c>
      <c r="BR63" s="15">
        <v>2100</v>
      </c>
      <c r="BS63" s="16">
        <v>52500</v>
      </c>
      <c r="BT63" s="14"/>
      <c r="BU63" s="15"/>
      <c r="BV63" s="16">
        <f t="shared" si="47"/>
        <v>0</v>
      </c>
      <c r="BW63" s="14"/>
      <c r="BX63" s="15"/>
      <c r="BY63" s="16">
        <f t="shared" si="69"/>
        <v>0</v>
      </c>
      <c r="BZ63" s="14"/>
      <c r="CA63" s="15"/>
      <c r="CB63" s="16">
        <f t="shared" si="48"/>
        <v>0</v>
      </c>
      <c r="CC63" s="14"/>
      <c r="CD63" s="15"/>
      <c r="CE63" s="16">
        <f t="shared" si="49"/>
        <v>0</v>
      </c>
      <c r="CF63" s="14"/>
      <c r="CG63" s="15"/>
      <c r="CH63" s="16">
        <f t="shared" si="50"/>
        <v>0</v>
      </c>
      <c r="CI63" s="14"/>
      <c r="CJ63" s="15"/>
      <c r="CK63" s="16">
        <f t="shared" si="51"/>
        <v>0</v>
      </c>
      <c r="CL63" s="14"/>
      <c r="CM63" s="15"/>
      <c r="CN63" s="16">
        <f t="shared" si="52"/>
        <v>0</v>
      </c>
      <c r="CO63" s="14"/>
      <c r="CP63" s="15"/>
      <c r="CQ63" s="16">
        <f t="shared" si="53"/>
        <v>0</v>
      </c>
      <c r="CR63" s="14"/>
      <c r="CS63" s="15"/>
      <c r="CT63" s="16">
        <f t="shared" si="54"/>
        <v>0</v>
      </c>
      <c r="CU63" s="17">
        <f t="shared" si="55"/>
        <v>100</v>
      </c>
      <c r="CV63" s="16">
        <f t="shared" si="56"/>
        <v>2100</v>
      </c>
      <c r="CW63" s="16">
        <f t="shared" si="57"/>
        <v>210000</v>
      </c>
    </row>
    <row r="64" spans="1:101" ht="15.75" customHeight="1" x14ac:dyDescent="0.35">
      <c r="A64" s="41" t="s">
        <v>124</v>
      </c>
      <c r="B64" s="41" t="s">
        <v>996</v>
      </c>
      <c r="C64" s="42"/>
      <c r="D64" s="43"/>
      <c r="E64" s="78">
        <f t="shared" si="34"/>
        <v>0</v>
      </c>
      <c r="F64" s="14"/>
      <c r="G64" s="15"/>
      <c r="H64" s="16">
        <f t="shared" si="63"/>
        <v>0</v>
      </c>
      <c r="I64" s="14">
        <v>2</v>
      </c>
      <c r="J64" s="15">
        <v>19850</v>
      </c>
      <c r="K64" s="16">
        <v>39700</v>
      </c>
      <c r="L64" s="14"/>
      <c r="M64" s="15"/>
      <c r="N64" s="16">
        <f t="shared" si="70"/>
        <v>0</v>
      </c>
      <c r="O64" s="14"/>
      <c r="P64" s="15"/>
      <c r="Q64" s="16">
        <f t="shared" ref="Q64:Q95" si="71">IFERROR(O64*P64, 0)</f>
        <v>0</v>
      </c>
      <c r="R64" s="14"/>
      <c r="S64" s="15"/>
      <c r="T64" s="16">
        <f t="shared" si="37"/>
        <v>0</v>
      </c>
      <c r="U64" s="14"/>
      <c r="V64" s="15"/>
      <c r="W64" s="16">
        <f t="shared" si="38"/>
        <v>0</v>
      </c>
      <c r="X64" s="14">
        <v>1</v>
      </c>
      <c r="Y64" s="15">
        <v>19850</v>
      </c>
      <c r="Z64" s="16">
        <v>19850</v>
      </c>
      <c r="AA64" s="14"/>
      <c r="AB64" s="15"/>
      <c r="AC64" s="16">
        <f t="shared" si="59"/>
        <v>0</v>
      </c>
      <c r="AD64" s="14"/>
      <c r="AE64" s="15"/>
      <c r="AF64" s="16">
        <f t="shared" si="39"/>
        <v>0</v>
      </c>
      <c r="AG64" s="14">
        <v>2</v>
      </c>
      <c r="AH64" s="15">
        <v>19850</v>
      </c>
      <c r="AI64" s="16">
        <v>39700</v>
      </c>
      <c r="AJ64" s="14"/>
      <c r="AK64" s="15"/>
      <c r="AL64" s="16">
        <f t="shared" si="40"/>
        <v>0</v>
      </c>
      <c r="AM64" s="14"/>
      <c r="AN64" s="15"/>
      <c r="AO64" s="16">
        <f t="shared" si="41"/>
        <v>0</v>
      </c>
      <c r="AP64" s="14"/>
      <c r="AQ64" s="15"/>
      <c r="AR64" s="16">
        <f t="shared" si="42"/>
        <v>0</v>
      </c>
      <c r="AS64" s="14"/>
      <c r="AT64" s="15"/>
      <c r="AU64" s="16">
        <f t="shared" si="66"/>
        <v>0</v>
      </c>
      <c r="AV64" s="14"/>
      <c r="AW64" s="15"/>
      <c r="AX64" s="16">
        <f t="shared" si="43"/>
        <v>0</v>
      </c>
      <c r="AY64" s="14"/>
      <c r="AZ64" s="15"/>
      <c r="BA64" s="16">
        <f t="shared" si="44"/>
        <v>0</v>
      </c>
      <c r="BB64" s="14"/>
      <c r="BC64" s="15"/>
      <c r="BD64" s="16">
        <f t="shared" si="45"/>
        <v>0</v>
      </c>
      <c r="BE64" s="14">
        <v>1</v>
      </c>
      <c r="BF64" s="15">
        <v>19850</v>
      </c>
      <c r="BG64" s="16">
        <v>19850</v>
      </c>
      <c r="BH64" s="14"/>
      <c r="BI64" s="15"/>
      <c r="BJ64" s="16">
        <f t="shared" si="46"/>
        <v>0</v>
      </c>
      <c r="BK64" s="14"/>
      <c r="BL64" s="15"/>
      <c r="BM64" s="16">
        <f t="shared" si="68"/>
        <v>0</v>
      </c>
      <c r="BN64" s="14"/>
      <c r="BO64" s="15"/>
      <c r="BP64" s="16">
        <f t="shared" si="60"/>
        <v>0</v>
      </c>
      <c r="BQ64" s="14">
        <v>1</v>
      </c>
      <c r="BR64" s="15">
        <v>19850</v>
      </c>
      <c r="BS64" s="16">
        <v>19850</v>
      </c>
      <c r="BT64" s="14"/>
      <c r="BU64" s="15"/>
      <c r="BV64" s="16">
        <f t="shared" si="47"/>
        <v>0</v>
      </c>
      <c r="BW64" s="14"/>
      <c r="BX64" s="15"/>
      <c r="BY64" s="16">
        <f t="shared" si="69"/>
        <v>0</v>
      </c>
      <c r="BZ64" s="14"/>
      <c r="CA64" s="15"/>
      <c r="CB64" s="16">
        <f t="shared" si="48"/>
        <v>0</v>
      </c>
      <c r="CC64" s="14"/>
      <c r="CD64" s="15"/>
      <c r="CE64" s="16">
        <f t="shared" si="49"/>
        <v>0</v>
      </c>
      <c r="CF64" s="14"/>
      <c r="CG64" s="15"/>
      <c r="CH64" s="16">
        <f t="shared" si="50"/>
        <v>0</v>
      </c>
      <c r="CI64" s="14"/>
      <c r="CJ64" s="15"/>
      <c r="CK64" s="16">
        <f t="shared" si="51"/>
        <v>0</v>
      </c>
      <c r="CL64" s="14"/>
      <c r="CM64" s="15"/>
      <c r="CN64" s="16">
        <f t="shared" si="52"/>
        <v>0</v>
      </c>
      <c r="CO64" s="14"/>
      <c r="CP64" s="15"/>
      <c r="CQ64" s="16">
        <f t="shared" si="53"/>
        <v>0</v>
      </c>
      <c r="CR64" s="14"/>
      <c r="CS64" s="15"/>
      <c r="CT64" s="16">
        <f t="shared" si="54"/>
        <v>0</v>
      </c>
      <c r="CU64" s="17">
        <f t="shared" si="55"/>
        <v>7</v>
      </c>
      <c r="CV64" s="16">
        <f t="shared" si="56"/>
        <v>19850</v>
      </c>
      <c r="CW64" s="16">
        <f t="shared" si="57"/>
        <v>138950</v>
      </c>
    </row>
    <row r="65" spans="1:102" ht="15.75" customHeight="1" x14ac:dyDescent="0.35">
      <c r="A65" s="41" t="s">
        <v>312</v>
      </c>
      <c r="B65" s="41" t="s">
        <v>846</v>
      </c>
      <c r="C65" s="42"/>
      <c r="D65" s="43"/>
      <c r="E65" s="78">
        <f t="shared" si="34"/>
        <v>0</v>
      </c>
      <c r="F65" s="14"/>
      <c r="G65" s="15"/>
      <c r="H65" s="16">
        <f t="shared" si="63"/>
        <v>0</v>
      </c>
      <c r="I65" s="14"/>
      <c r="J65" s="15"/>
      <c r="K65" s="16">
        <f>IFERROR(I65*J65, 0)</f>
        <v>0</v>
      </c>
      <c r="L65" s="14"/>
      <c r="M65" s="15"/>
      <c r="N65" s="16">
        <f t="shared" si="70"/>
        <v>0</v>
      </c>
      <c r="O65" s="14"/>
      <c r="P65" s="15"/>
      <c r="Q65" s="16">
        <f t="shared" si="71"/>
        <v>0</v>
      </c>
      <c r="R65" s="14"/>
      <c r="S65" s="15"/>
      <c r="T65" s="16">
        <f t="shared" si="37"/>
        <v>0</v>
      </c>
      <c r="U65" s="14"/>
      <c r="V65" s="15"/>
      <c r="W65" s="16">
        <f t="shared" si="38"/>
        <v>0</v>
      </c>
      <c r="X65" s="14">
        <v>2</v>
      </c>
      <c r="Y65" s="15">
        <v>11400</v>
      </c>
      <c r="Z65" s="16">
        <v>22800</v>
      </c>
      <c r="AA65" s="14"/>
      <c r="AB65" s="15"/>
      <c r="AC65" s="16">
        <f t="shared" si="59"/>
        <v>0</v>
      </c>
      <c r="AD65" s="14"/>
      <c r="AE65" s="15"/>
      <c r="AF65" s="16">
        <f t="shared" si="39"/>
        <v>0</v>
      </c>
      <c r="AG65" s="14">
        <v>2</v>
      </c>
      <c r="AH65" s="15">
        <v>11400</v>
      </c>
      <c r="AI65" s="16">
        <v>22800</v>
      </c>
      <c r="AJ65" s="14"/>
      <c r="AK65" s="15"/>
      <c r="AL65" s="16">
        <f t="shared" si="40"/>
        <v>0</v>
      </c>
      <c r="AM65" s="14"/>
      <c r="AN65" s="15"/>
      <c r="AO65" s="16">
        <f t="shared" si="41"/>
        <v>0</v>
      </c>
      <c r="AP65" s="14"/>
      <c r="AQ65" s="15"/>
      <c r="AR65" s="16">
        <f t="shared" si="42"/>
        <v>0</v>
      </c>
      <c r="AS65" s="14"/>
      <c r="AT65" s="15"/>
      <c r="AU65" s="16">
        <f t="shared" si="66"/>
        <v>0</v>
      </c>
      <c r="AV65" s="14"/>
      <c r="AW65" s="15"/>
      <c r="AX65" s="16">
        <f t="shared" si="43"/>
        <v>0</v>
      </c>
      <c r="AY65" s="14"/>
      <c r="AZ65" s="15"/>
      <c r="BA65" s="16">
        <f t="shared" si="44"/>
        <v>0</v>
      </c>
      <c r="BB65" s="14"/>
      <c r="BC65" s="15"/>
      <c r="BD65" s="16">
        <f t="shared" si="45"/>
        <v>0</v>
      </c>
      <c r="BE65" s="14">
        <v>4</v>
      </c>
      <c r="BF65" s="15">
        <v>11400</v>
      </c>
      <c r="BG65" s="16">
        <v>45600</v>
      </c>
      <c r="BH65" s="14"/>
      <c r="BI65" s="15"/>
      <c r="BJ65" s="16">
        <f t="shared" si="46"/>
        <v>0</v>
      </c>
      <c r="BK65" s="14"/>
      <c r="BL65" s="15"/>
      <c r="BM65" s="16">
        <f t="shared" si="68"/>
        <v>0</v>
      </c>
      <c r="BN65" s="14"/>
      <c r="BO65" s="15"/>
      <c r="BP65" s="16">
        <f t="shared" si="60"/>
        <v>0</v>
      </c>
      <c r="BQ65" s="14"/>
      <c r="BR65" s="15"/>
      <c r="BS65" s="16">
        <f t="shared" ref="BS65:BS70" si="72">IFERROR(BQ65*BR65, 0)</f>
        <v>0</v>
      </c>
      <c r="BT65" s="14"/>
      <c r="BU65" s="15"/>
      <c r="BV65" s="16">
        <f t="shared" si="47"/>
        <v>0</v>
      </c>
      <c r="BW65" s="14"/>
      <c r="BX65" s="15"/>
      <c r="BY65" s="16">
        <f t="shared" si="69"/>
        <v>0</v>
      </c>
      <c r="BZ65" s="14"/>
      <c r="CA65" s="15"/>
      <c r="CB65" s="16">
        <f t="shared" si="48"/>
        <v>0</v>
      </c>
      <c r="CC65" s="14"/>
      <c r="CD65" s="15"/>
      <c r="CE65" s="16">
        <f t="shared" si="49"/>
        <v>0</v>
      </c>
      <c r="CF65" s="14"/>
      <c r="CG65" s="15"/>
      <c r="CH65" s="16">
        <f t="shared" si="50"/>
        <v>0</v>
      </c>
      <c r="CI65" s="14"/>
      <c r="CJ65" s="15"/>
      <c r="CK65" s="16">
        <f t="shared" si="51"/>
        <v>0</v>
      </c>
      <c r="CL65" s="14"/>
      <c r="CM65" s="15"/>
      <c r="CN65" s="16">
        <f t="shared" si="52"/>
        <v>0</v>
      </c>
      <c r="CO65" s="14"/>
      <c r="CP65" s="15"/>
      <c r="CQ65" s="16">
        <f t="shared" si="53"/>
        <v>0</v>
      </c>
      <c r="CR65" s="14"/>
      <c r="CS65" s="15"/>
      <c r="CT65" s="16">
        <f t="shared" si="54"/>
        <v>0</v>
      </c>
      <c r="CU65" s="17">
        <f t="shared" si="55"/>
        <v>8</v>
      </c>
      <c r="CV65" s="16">
        <f t="shared" si="56"/>
        <v>11400</v>
      </c>
      <c r="CW65" s="16">
        <f t="shared" si="57"/>
        <v>91200</v>
      </c>
    </row>
    <row r="66" spans="1:102" ht="15.75" customHeight="1" x14ac:dyDescent="0.35">
      <c r="A66" s="41" t="s">
        <v>818</v>
      </c>
      <c r="B66" s="41" t="s">
        <v>935</v>
      </c>
      <c r="C66" s="42"/>
      <c r="D66" s="43"/>
      <c r="E66" s="78">
        <f t="shared" si="34"/>
        <v>0</v>
      </c>
      <c r="F66" s="14"/>
      <c r="G66" s="15"/>
      <c r="H66" s="16">
        <f t="shared" si="63"/>
        <v>0</v>
      </c>
      <c r="I66" s="14"/>
      <c r="J66" s="15"/>
      <c r="K66" s="16">
        <f>IFERROR(I66*J66, 0)</f>
        <v>0</v>
      </c>
      <c r="L66" s="14"/>
      <c r="M66" s="15"/>
      <c r="N66" s="16">
        <f t="shared" si="70"/>
        <v>0</v>
      </c>
      <c r="O66" s="14"/>
      <c r="P66" s="15"/>
      <c r="Q66" s="16">
        <f t="shared" si="71"/>
        <v>0</v>
      </c>
      <c r="R66" s="14"/>
      <c r="S66" s="15"/>
      <c r="T66" s="16">
        <f t="shared" si="37"/>
        <v>0</v>
      </c>
      <c r="U66" s="14"/>
      <c r="V66" s="15"/>
      <c r="W66" s="16">
        <f t="shared" si="38"/>
        <v>0</v>
      </c>
      <c r="X66" s="14"/>
      <c r="Y66" s="15"/>
      <c r="Z66" s="16">
        <f>IFERROR(X66*Y66, 0)</f>
        <v>0</v>
      </c>
      <c r="AA66" s="14"/>
      <c r="AB66" s="15"/>
      <c r="AC66" s="16">
        <f t="shared" si="59"/>
        <v>0</v>
      </c>
      <c r="AD66" s="14"/>
      <c r="AE66" s="15"/>
      <c r="AF66" s="16">
        <f t="shared" si="39"/>
        <v>0</v>
      </c>
      <c r="AG66" s="14"/>
      <c r="AH66" s="15"/>
      <c r="AI66" s="16">
        <f>IFERROR(AG66*AH66, 0)</f>
        <v>0</v>
      </c>
      <c r="AJ66" s="14"/>
      <c r="AK66" s="15"/>
      <c r="AL66" s="16">
        <f t="shared" si="40"/>
        <v>0</v>
      </c>
      <c r="AM66" s="14"/>
      <c r="AN66" s="15"/>
      <c r="AO66" s="16">
        <f t="shared" si="41"/>
        <v>0</v>
      </c>
      <c r="AP66" s="14"/>
      <c r="AQ66" s="15"/>
      <c r="AR66" s="16">
        <f t="shared" si="42"/>
        <v>0</v>
      </c>
      <c r="AS66" s="14"/>
      <c r="AT66" s="15"/>
      <c r="AU66" s="16">
        <f t="shared" si="66"/>
        <v>0</v>
      </c>
      <c r="AV66" s="14"/>
      <c r="AW66" s="15"/>
      <c r="AX66" s="16">
        <f t="shared" si="43"/>
        <v>0</v>
      </c>
      <c r="AY66" s="14"/>
      <c r="AZ66" s="15"/>
      <c r="BA66" s="16">
        <f t="shared" si="44"/>
        <v>0</v>
      </c>
      <c r="BB66" s="14"/>
      <c r="BC66" s="15"/>
      <c r="BD66" s="16">
        <f t="shared" si="45"/>
        <v>0</v>
      </c>
      <c r="BE66" s="14"/>
      <c r="BF66" s="15"/>
      <c r="BG66" s="16">
        <f>IFERROR(BE66*BF66, 0)</f>
        <v>0</v>
      </c>
      <c r="BH66" s="14"/>
      <c r="BI66" s="15"/>
      <c r="BJ66" s="16">
        <f t="shared" si="46"/>
        <v>0</v>
      </c>
      <c r="BK66" s="14"/>
      <c r="BL66" s="15"/>
      <c r="BM66" s="16">
        <f t="shared" si="68"/>
        <v>0</v>
      </c>
      <c r="BN66" s="14"/>
      <c r="BO66" s="15"/>
      <c r="BP66" s="16">
        <f t="shared" si="60"/>
        <v>0</v>
      </c>
      <c r="BQ66" s="14"/>
      <c r="BR66" s="15"/>
      <c r="BS66" s="16">
        <f t="shared" si="72"/>
        <v>0</v>
      </c>
      <c r="BT66" s="14"/>
      <c r="BU66" s="15"/>
      <c r="BV66" s="16">
        <f t="shared" si="47"/>
        <v>0</v>
      </c>
      <c r="BW66" s="14"/>
      <c r="BX66" s="15"/>
      <c r="BY66" s="16">
        <f t="shared" si="69"/>
        <v>0</v>
      </c>
      <c r="BZ66" s="14"/>
      <c r="CA66" s="15"/>
      <c r="CB66" s="16">
        <f t="shared" si="48"/>
        <v>0</v>
      </c>
      <c r="CC66" s="14"/>
      <c r="CD66" s="15"/>
      <c r="CE66" s="16">
        <f t="shared" si="49"/>
        <v>0</v>
      </c>
      <c r="CF66" s="14"/>
      <c r="CG66" s="15"/>
      <c r="CH66" s="16">
        <f t="shared" si="50"/>
        <v>0</v>
      </c>
      <c r="CI66" s="14"/>
      <c r="CJ66" s="15"/>
      <c r="CK66" s="16">
        <f t="shared" si="51"/>
        <v>0</v>
      </c>
      <c r="CL66" s="14"/>
      <c r="CM66" s="15"/>
      <c r="CN66" s="16">
        <f t="shared" si="52"/>
        <v>0</v>
      </c>
      <c r="CO66" s="14"/>
      <c r="CP66" s="15"/>
      <c r="CQ66" s="16">
        <f t="shared" si="53"/>
        <v>0</v>
      </c>
      <c r="CR66" s="14"/>
      <c r="CS66" s="15"/>
      <c r="CT66" s="16">
        <f t="shared" si="54"/>
        <v>0</v>
      </c>
      <c r="CU66" s="17">
        <f t="shared" si="55"/>
        <v>0</v>
      </c>
      <c r="CV66" s="16">
        <f t="shared" si="56"/>
        <v>0</v>
      </c>
      <c r="CW66" s="16">
        <f t="shared" si="57"/>
        <v>0</v>
      </c>
    </row>
    <row r="67" spans="1:102" ht="15.75" customHeight="1" x14ac:dyDescent="0.35">
      <c r="A67" s="41" t="s">
        <v>49</v>
      </c>
      <c r="B67" s="41" t="s">
        <v>935</v>
      </c>
      <c r="C67" s="42"/>
      <c r="D67" s="43"/>
      <c r="E67" s="78">
        <f t="shared" ref="E67:E98" si="73">IFERROR(+C67*D67, 0)</f>
        <v>0</v>
      </c>
      <c r="F67" s="14">
        <v>1</v>
      </c>
      <c r="G67" s="15">
        <v>17500</v>
      </c>
      <c r="H67" s="16">
        <v>17500</v>
      </c>
      <c r="I67" s="14"/>
      <c r="J67" s="15"/>
      <c r="K67" s="16">
        <f>IFERROR(I67*J67, 0)</f>
        <v>0</v>
      </c>
      <c r="L67" s="14"/>
      <c r="M67" s="15"/>
      <c r="N67" s="16">
        <f t="shared" si="70"/>
        <v>0</v>
      </c>
      <c r="O67" s="14"/>
      <c r="P67" s="15"/>
      <c r="Q67" s="16">
        <f t="shared" si="71"/>
        <v>0</v>
      </c>
      <c r="R67" s="14"/>
      <c r="S67" s="15"/>
      <c r="T67" s="16">
        <f t="shared" ref="T67:T98" si="74">IFERROR(R67*S67, 0)</f>
        <v>0</v>
      </c>
      <c r="U67" s="14"/>
      <c r="V67" s="15"/>
      <c r="W67" s="16">
        <f t="shared" ref="W67:W98" si="75">IFERROR(U67*V67, 0)</f>
        <v>0</v>
      </c>
      <c r="X67" s="14">
        <v>2</v>
      </c>
      <c r="Y67" s="15">
        <v>16500</v>
      </c>
      <c r="Z67" s="16">
        <v>33000</v>
      </c>
      <c r="AA67" s="14"/>
      <c r="AB67" s="15"/>
      <c r="AC67" s="16">
        <f t="shared" si="59"/>
        <v>0</v>
      </c>
      <c r="AD67" s="14"/>
      <c r="AE67" s="15"/>
      <c r="AF67" s="16">
        <f t="shared" ref="AF67:AF98" si="76">IFERROR(AD67*AE67, 0)</f>
        <v>0</v>
      </c>
      <c r="AG67" s="14"/>
      <c r="AH67" s="15"/>
      <c r="AI67" s="16">
        <f>IFERROR(AG67*AH67, 0)</f>
        <v>0</v>
      </c>
      <c r="AJ67" s="14"/>
      <c r="AK67" s="15"/>
      <c r="AL67" s="16">
        <f t="shared" ref="AL67:AL98" si="77">IFERROR(AJ67*AK67, 0)</f>
        <v>0</v>
      </c>
      <c r="AM67" s="14"/>
      <c r="AN67" s="15"/>
      <c r="AO67" s="16">
        <f t="shared" ref="AO67:AO98" si="78">IFERROR(AM67*AN67, 0)</f>
        <v>0</v>
      </c>
      <c r="AP67" s="14"/>
      <c r="AQ67" s="15"/>
      <c r="AR67" s="16">
        <f t="shared" ref="AR67:AR98" si="79">IFERROR(AP67*AQ67, 0)</f>
        <v>0</v>
      </c>
      <c r="AS67" s="14"/>
      <c r="AT67" s="15"/>
      <c r="AU67" s="16">
        <f t="shared" si="66"/>
        <v>0</v>
      </c>
      <c r="AV67" s="14"/>
      <c r="AW67" s="15"/>
      <c r="AX67" s="16">
        <f t="shared" ref="AX67:AX98" si="80">IFERROR(AV67*AW67, 0)</f>
        <v>0</v>
      </c>
      <c r="AY67" s="14"/>
      <c r="AZ67" s="15"/>
      <c r="BA67" s="16">
        <f t="shared" ref="BA67:BA98" si="81">IFERROR(AY67*AZ67, 0)</f>
        <v>0</v>
      </c>
      <c r="BB67" s="14"/>
      <c r="BC67" s="15"/>
      <c r="BD67" s="16">
        <f t="shared" ref="BD67:BD98" si="82">IFERROR(BB67*BC67, 0)</f>
        <v>0</v>
      </c>
      <c r="BE67" s="14"/>
      <c r="BF67" s="15"/>
      <c r="BG67" s="16">
        <f>IFERROR(BE67*BF67, 0)</f>
        <v>0</v>
      </c>
      <c r="BH67" s="14"/>
      <c r="BI67" s="15"/>
      <c r="BJ67" s="16">
        <f t="shared" ref="BJ67:BJ98" si="83">IFERROR(BH67*BI67, 0)</f>
        <v>0</v>
      </c>
      <c r="BK67" s="14"/>
      <c r="BL67" s="15"/>
      <c r="BM67" s="16">
        <f t="shared" si="68"/>
        <v>0</v>
      </c>
      <c r="BN67" s="14"/>
      <c r="BO67" s="15"/>
      <c r="BP67" s="16">
        <f t="shared" si="60"/>
        <v>0</v>
      </c>
      <c r="BQ67" s="14"/>
      <c r="BR67" s="15"/>
      <c r="BS67" s="16">
        <f t="shared" si="72"/>
        <v>0</v>
      </c>
      <c r="BT67" s="14"/>
      <c r="BU67" s="15"/>
      <c r="BV67" s="16">
        <f t="shared" ref="BV67:BV98" si="84">IFERROR(BT67*BU67, 0)</f>
        <v>0</v>
      </c>
      <c r="BW67" s="14"/>
      <c r="BX67" s="15"/>
      <c r="BY67" s="16">
        <f t="shared" si="69"/>
        <v>0</v>
      </c>
      <c r="BZ67" s="14"/>
      <c r="CA67" s="15"/>
      <c r="CB67" s="16">
        <f t="shared" ref="CB67:CB98" si="85">IFERROR(BZ67*CA67, 0)</f>
        <v>0</v>
      </c>
      <c r="CC67" s="14"/>
      <c r="CD67" s="15"/>
      <c r="CE67" s="16">
        <f t="shared" ref="CE67:CE98" si="86">IFERROR(CC67*CD67, 0)</f>
        <v>0</v>
      </c>
      <c r="CF67" s="14"/>
      <c r="CG67" s="15"/>
      <c r="CH67" s="16">
        <f t="shared" ref="CH67:CH98" si="87">IFERROR(CF67*CG67, 0)</f>
        <v>0</v>
      </c>
      <c r="CI67" s="14"/>
      <c r="CJ67" s="15"/>
      <c r="CK67" s="16">
        <f t="shared" ref="CK67:CK98" si="88">IFERROR(CI67*CJ67, 0)</f>
        <v>0</v>
      </c>
      <c r="CL67" s="14"/>
      <c r="CM67" s="15"/>
      <c r="CN67" s="16">
        <f t="shared" ref="CN67:CN98" si="89">IFERROR(CL67*CM67, 0)</f>
        <v>0</v>
      </c>
      <c r="CO67" s="14"/>
      <c r="CP67" s="15"/>
      <c r="CQ67" s="16">
        <f t="shared" ref="CQ67:CQ98" si="90">IFERROR(CO67*CP67, 0)</f>
        <v>0</v>
      </c>
      <c r="CR67" s="14"/>
      <c r="CS67" s="15"/>
      <c r="CT67" s="16">
        <f t="shared" ref="CT67:CT98" si="91">IFERROR(CR67*CS67, 0)</f>
        <v>0</v>
      </c>
      <c r="CU67" s="17">
        <f t="shared" ref="CU67:CU98" si="92">IFERROR(SUM(F67,I67,L67,O67,R67,U67,X67,AA67,AD67,AG67,AJ67,AM67,AP67,AS67,AV67,AY67,BB67,BE67,BH67,BK67,BN67,BQ67,BT67,BW67,BZ67,CC67,CF67,CI67,CL67,CO67,CR67), 0)</f>
        <v>3</v>
      </c>
      <c r="CV67" s="16">
        <f t="shared" ref="CV67:CV98" si="93">IFERROR(AVERAGE(G67,J67,M67,P67,S67,V67,Y67,AB67,AE67,AH67,AK67,AN67,AQ67,AT67,AW67,AZ67,BC67,BF67,BI67,BL67,BO67,BR67,BU67,BX67,CA67,CD67,CG67,CJ67,CM67,CP67,CS67), 0)</f>
        <v>17000</v>
      </c>
      <c r="CW67" s="16">
        <f t="shared" ref="CW67:CW98" si="94">CU67*CV67</f>
        <v>51000</v>
      </c>
    </row>
    <row r="68" spans="1:102" ht="15.75" customHeight="1" x14ac:dyDescent="0.35">
      <c r="A68" s="41" t="s">
        <v>295</v>
      </c>
      <c r="B68" s="41" t="s">
        <v>846</v>
      </c>
      <c r="C68" s="42"/>
      <c r="D68" s="43"/>
      <c r="E68" s="78">
        <f t="shared" si="73"/>
        <v>0</v>
      </c>
      <c r="F68" s="14"/>
      <c r="G68" s="15"/>
      <c r="H68" s="16">
        <f t="shared" ref="H68:H99" si="95">IFERROR(F68*G68, 0)</f>
        <v>0</v>
      </c>
      <c r="I68" s="14"/>
      <c r="J68" s="15"/>
      <c r="K68" s="16">
        <f>IFERROR(I68*J68, 0)</f>
        <v>0</v>
      </c>
      <c r="L68" s="14"/>
      <c r="M68" s="15"/>
      <c r="N68" s="16">
        <f t="shared" si="70"/>
        <v>0</v>
      </c>
      <c r="O68" s="14"/>
      <c r="P68" s="15"/>
      <c r="Q68" s="16">
        <f t="shared" si="71"/>
        <v>0</v>
      </c>
      <c r="R68" s="14"/>
      <c r="S68" s="15"/>
      <c r="T68" s="16">
        <f t="shared" si="74"/>
        <v>0</v>
      </c>
      <c r="U68" s="14"/>
      <c r="V68" s="15"/>
      <c r="W68" s="16">
        <f t="shared" si="75"/>
        <v>0</v>
      </c>
      <c r="X68" s="14">
        <v>72</v>
      </c>
      <c r="Y68" s="15">
        <v>3600</v>
      </c>
      <c r="Z68" s="16">
        <v>259200</v>
      </c>
      <c r="AA68" s="14"/>
      <c r="AB68" s="15"/>
      <c r="AC68" s="16">
        <f t="shared" si="59"/>
        <v>0</v>
      </c>
      <c r="AD68" s="14"/>
      <c r="AE68" s="15"/>
      <c r="AF68" s="16">
        <f t="shared" si="76"/>
        <v>0</v>
      </c>
      <c r="AG68" s="14"/>
      <c r="AH68" s="15"/>
      <c r="AI68" s="16">
        <f>IFERROR(AG68*AH68, 0)</f>
        <v>0</v>
      </c>
      <c r="AJ68" s="14"/>
      <c r="AK68" s="15"/>
      <c r="AL68" s="16">
        <f t="shared" si="77"/>
        <v>0</v>
      </c>
      <c r="AM68" s="14"/>
      <c r="AN68" s="15"/>
      <c r="AO68" s="16">
        <f t="shared" si="78"/>
        <v>0</v>
      </c>
      <c r="AP68" s="14"/>
      <c r="AQ68" s="15"/>
      <c r="AR68" s="16">
        <f t="shared" si="79"/>
        <v>0</v>
      </c>
      <c r="AS68" s="14"/>
      <c r="AT68" s="15"/>
      <c r="AU68" s="16">
        <f t="shared" si="66"/>
        <v>0</v>
      </c>
      <c r="AV68" s="14"/>
      <c r="AW68" s="15"/>
      <c r="AX68" s="16">
        <f t="shared" si="80"/>
        <v>0</v>
      </c>
      <c r="AY68" s="14"/>
      <c r="AZ68" s="15"/>
      <c r="BA68" s="16">
        <f t="shared" si="81"/>
        <v>0</v>
      </c>
      <c r="BB68" s="14"/>
      <c r="BC68" s="15"/>
      <c r="BD68" s="16">
        <f t="shared" si="82"/>
        <v>0</v>
      </c>
      <c r="BE68" s="14"/>
      <c r="BF68" s="15"/>
      <c r="BG68" s="16">
        <f>IFERROR(BE68*BF68, 0)</f>
        <v>0</v>
      </c>
      <c r="BH68" s="14"/>
      <c r="BI68" s="15"/>
      <c r="BJ68" s="16">
        <f t="shared" si="83"/>
        <v>0</v>
      </c>
      <c r="BK68" s="14"/>
      <c r="BL68" s="15"/>
      <c r="BM68" s="16">
        <f t="shared" si="68"/>
        <v>0</v>
      </c>
      <c r="BN68" s="14"/>
      <c r="BO68" s="15"/>
      <c r="BP68" s="16">
        <f t="shared" si="60"/>
        <v>0</v>
      </c>
      <c r="BQ68" s="14"/>
      <c r="BR68" s="15"/>
      <c r="BS68" s="16">
        <f t="shared" si="72"/>
        <v>0</v>
      </c>
      <c r="BT68" s="14"/>
      <c r="BU68" s="15"/>
      <c r="BV68" s="16">
        <f t="shared" si="84"/>
        <v>0</v>
      </c>
      <c r="BW68" s="14"/>
      <c r="BX68" s="15"/>
      <c r="BY68" s="16">
        <f t="shared" si="69"/>
        <v>0</v>
      </c>
      <c r="BZ68" s="14"/>
      <c r="CA68" s="15"/>
      <c r="CB68" s="16">
        <f t="shared" si="85"/>
        <v>0</v>
      </c>
      <c r="CC68" s="14"/>
      <c r="CD68" s="15"/>
      <c r="CE68" s="16">
        <f t="shared" si="86"/>
        <v>0</v>
      </c>
      <c r="CF68" s="14"/>
      <c r="CG68" s="15"/>
      <c r="CH68" s="16">
        <f t="shared" si="87"/>
        <v>0</v>
      </c>
      <c r="CI68" s="14"/>
      <c r="CJ68" s="15"/>
      <c r="CK68" s="16">
        <f t="shared" si="88"/>
        <v>0</v>
      </c>
      <c r="CL68" s="14"/>
      <c r="CM68" s="15"/>
      <c r="CN68" s="16">
        <f t="shared" si="89"/>
        <v>0</v>
      </c>
      <c r="CO68" s="14"/>
      <c r="CP68" s="15"/>
      <c r="CQ68" s="16">
        <f t="shared" si="90"/>
        <v>0</v>
      </c>
      <c r="CR68" s="14"/>
      <c r="CS68" s="15"/>
      <c r="CT68" s="16">
        <f t="shared" si="91"/>
        <v>0</v>
      </c>
      <c r="CU68" s="17">
        <f t="shared" si="92"/>
        <v>72</v>
      </c>
      <c r="CV68" s="16">
        <f t="shared" si="93"/>
        <v>3600</v>
      </c>
      <c r="CW68" s="16">
        <f t="shared" si="94"/>
        <v>259200</v>
      </c>
    </row>
    <row r="69" spans="1:102" ht="15.75" customHeight="1" x14ac:dyDescent="0.35">
      <c r="A69" s="41" t="s">
        <v>144</v>
      </c>
      <c r="B69" s="41" t="s">
        <v>935</v>
      </c>
      <c r="C69" s="42"/>
      <c r="D69" s="43"/>
      <c r="E69" s="78">
        <f t="shared" si="73"/>
        <v>0</v>
      </c>
      <c r="F69" s="14"/>
      <c r="G69" s="15"/>
      <c r="H69" s="16">
        <f t="shared" si="95"/>
        <v>0</v>
      </c>
      <c r="I69" s="14">
        <v>1</v>
      </c>
      <c r="J69" s="15">
        <v>15550</v>
      </c>
      <c r="K69" s="16">
        <v>15550</v>
      </c>
      <c r="L69" s="14"/>
      <c r="M69" s="15"/>
      <c r="N69" s="16">
        <f t="shared" si="70"/>
        <v>0</v>
      </c>
      <c r="O69" s="14"/>
      <c r="P69" s="15"/>
      <c r="Q69" s="16">
        <f t="shared" si="71"/>
        <v>0</v>
      </c>
      <c r="R69" s="14"/>
      <c r="S69" s="15"/>
      <c r="T69" s="16">
        <f t="shared" si="74"/>
        <v>0</v>
      </c>
      <c r="U69" s="14"/>
      <c r="V69" s="15"/>
      <c r="W69" s="16">
        <f t="shared" si="75"/>
        <v>0</v>
      </c>
      <c r="X69" s="14"/>
      <c r="Y69" s="15"/>
      <c r="Z69" s="16">
        <f>IFERROR(X69*Y69, 0)</f>
        <v>0</v>
      </c>
      <c r="AA69" s="14"/>
      <c r="AB69" s="15"/>
      <c r="AC69" s="16">
        <f t="shared" ref="AC69:AC100" si="96">IFERROR(AA69*AB69, 0)</f>
        <v>0</v>
      </c>
      <c r="AD69" s="14"/>
      <c r="AE69" s="15"/>
      <c r="AF69" s="16">
        <f t="shared" si="76"/>
        <v>0</v>
      </c>
      <c r="AG69" s="14"/>
      <c r="AH69" s="15"/>
      <c r="AI69" s="16">
        <f>IFERROR(AG69*AH69, 0)</f>
        <v>0</v>
      </c>
      <c r="AJ69" s="14"/>
      <c r="AK69" s="15"/>
      <c r="AL69" s="16">
        <f t="shared" si="77"/>
        <v>0</v>
      </c>
      <c r="AM69" s="14"/>
      <c r="AN69" s="15"/>
      <c r="AO69" s="16">
        <f t="shared" si="78"/>
        <v>0</v>
      </c>
      <c r="AP69" s="14"/>
      <c r="AQ69" s="15"/>
      <c r="AR69" s="16">
        <f t="shared" si="79"/>
        <v>0</v>
      </c>
      <c r="AS69" s="14"/>
      <c r="AT69" s="15"/>
      <c r="AU69" s="16">
        <f t="shared" si="66"/>
        <v>0</v>
      </c>
      <c r="AV69" s="14"/>
      <c r="AW69" s="15"/>
      <c r="AX69" s="16">
        <f t="shared" si="80"/>
        <v>0</v>
      </c>
      <c r="AY69" s="14"/>
      <c r="AZ69" s="15"/>
      <c r="BA69" s="16">
        <f t="shared" si="81"/>
        <v>0</v>
      </c>
      <c r="BB69" s="14"/>
      <c r="BC69" s="15"/>
      <c r="BD69" s="16">
        <f t="shared" si="82"/>
        <v>0</v>
      </c>
      <c r="BE69" s="14"/>
      <c r="BF69" s="15"/>
      <c r="BG69" s="16">
        <f>IFERROR(BE69*BF69, 0)</f>
        <v>0</v>
      </c>
      <c r="BH69" s="14"/>
      <c r="BI69" s="15"/>
      <c r="BJ69" s="16">
        <f t="shared" si="83"/>
        <v>0</v>
      </c>
      <c r="BK69" s="14"/>
      <c r="BL69" s="15"/>
      <c r="BM69" s="16">
        <f t="shared" si="68"/>
        <v>0</v>
      </c>
      <c r="BN69" s="14"/>
      <c r="BO69" s="15"/>
      <c r="BP69" s="16">
        <f t="shared" ref="BP69:BP100" si="97">IFERROR(BN69*BO69, 0)</f>
        <v>0</v>
      </c>
      <c r="BQ69" s="14"/>
      <c r="BR69" s="15"/>
      <c r="BS69" s="16">
        <f t="shared" si="72"/>
        <v>0</v>
      </c>
      <c r="BT69" s="14"/>
      <c r="BU69" s="15"/>
      <c r="BV69" s="16">
        <f t="shared" si="84"/>
        <v>0</v>
      </c>
      <c r="BW69" s="14"/>
      <c r="BX69" s="15"/>
      <c r="BY69" s="16">
        <f t="shared" si="69"/>
        <v>0</v>
      </c>
      <c r="BZ69" s="14"/>
      <c r="CA69" s="15"/>
      <c r="CB69" s="16">
        <f t="shared" si="85"/>
        <v>0</v>
      </c>
      <c r="CC69" s="14"/>
      <c r="CD69" s="15"/>
      <c r="CE69" s="16">
        <f t="shared" si="86"/>
        <v>0</v>
      </c>
      <c r="CF69" s="14"/>
      <c r="CG69" s="15"/>
      <c r="CH69" s="16">
        <f t="shared" si="87"/>
        <v>0</v>
      </c>
      <c r="CI69" s="14"/>
      <c r="CJ69" s="15"/>
      <c r="CK69" s="16">
        <f t="shared" si="88"/>
        <v>0</v>
      </c>
      <c r="CL69" s="14"/>
      <c r="CM69" s="15"/>
      <c r="CN69" s="16">
        <f t="shared" si="89"/>
        <v>0</v>
      </c>
      <c r="CO69" s="14"/>
      <c r="CP69" s="15"/>
      <c r="CQ69" s="16">
        <f t="shared" si="90"/>
        <v>0</v>
      </c>
      <c r="CR69" s="14"/>
      <c r="CS69" s="15"/>
      <c r="CT69" s="16">
        <f t="shared" si="91"/>
        <v>0</v>
      </c>
      <c r="CU69" s="17">
        <f t="shared" si="92"/>
        <v>1</v>
      </c>
      <c r="CV69" s="16">
        <f t="shared" si="93"/>
        <v>15550</v>
      </c>
      <c r="CW69" s="16">
        <f t="shared" si="94"/>
        <v>15550</v>
      </c>
    </row>
    <row r="70" spans="1:102" ht="15.75" customHeight="1" x14ac:dyDescent="0.35">
      <c r="A70" s="41" t="s">
        <v>118</v>
      </c>
      <c r="B70" s="41" t="s">
        <v>935</v>
      </c>
      <c r="C70" s="42"/>
      <c r="D70" s="43"/>
      <c r="E70" s="78">
        <f t="shared" si="73"/>
        <v>0</v>
      </c>
      <c r="F70" s="14"/>
      <c r="G70" s="15"/>
      <c r="H70" s="16">
        <f t="shared" si="95"/>
        <v>0</v>
      </c>
      <c r="I70" s="14">
        <v>1</v>
      </c>
      <c r="J70" s="15">
        <v>15100</v>
      </c>
      <c r="K70" s="16">
        <v>15100</v>
      </c>
      <c r="L70" s="14"/>
      <c r="M70" s="15"/>
      <c r="N70" s="16">
        <f t="shared" si="70"/>
        <v>0</v>
      </c>
      <c r="O70" s="14"/>
      <c r="P70" s="15"/>
      <c r="Q70" s="16">
        <f t="shared" si="71"/>
        <v>0</v>
      </c>
      <c r="R70" s="14"/>
      <c r="S70" s="15"/>
      <c r="T70" s="16">
        <f t="shared" si="74"/>
        <v>0</v>
      </c>
      <c r="U70" s="14"/>
      <c r="V70" s="15"/>
      <c r="W70" s="16">
        <f t="shared" si="75"/>
        <v>0</v>
      </c>
      <c r="X70" s="14"/>
      <c r="Y70" s="15"/>
      <c r="Z70" s="16">
        <f>IFERROR(X70*Y70, 0)</f>
        <v>0</v>
      </c>
      <c r="AA70" s="14"/>
      <c r="AB70" s="15"/>
      <c r="AC70" s="16">
        <f t="shared" si="96"/>
        <v>0</v>
      </c>
      <c r="AD70" s="14"/>
      <c r="AE70" s="15"/>
      <c r="AF70" s="16">
        <f t="shared" si="76"/>
        <v>0</v>
      </c>
      <c r="AG70" s="14"/>
      <c r="AH70" s="15"/>
      <c r="AI70" s="16">
        <f>IFERROR(AG70*AH70, 0)</f>
        <v>0</v>
      </c>
      <c r="AJ70" s="14"/>
      <c r="AK70" s="15"/>
      <c r="AL70" s="16">
        <f t="shared" si="77"/>
        <v>0</v>
      </c>
      <c r="AM70" s="14"/>
      <c r="AN70" s="15"/>
      <c r="AO70" s="16">
        <f t="shared" si="78"/>
        <v>0</v>
      </c>
      <c r="AP70" s="14"/>
      <c r="AQ70" s="15"/>
      <c r="AR70" s="16">
        <f t="shared" si="79"/>
        <v>0</v>
      </c>
      <c r="AS70" s="14"/>
      <c r="AT70" s="15"/>
      <c r="AU70" s="16">
        <f t="shared" si="66"/>
        <v>0</v>
      </c>
      <c r="AV70" s="14"/>
      <c r="AW70" s="15"/>
      <c r="AX70" s="16">
        <f t="shared" si="80"/>
        <v>0</v>
      </c>
      <c r="AY70" s="14"/>
      <c r="AZ70" s="15"/>
      <c r="BA70" s="16">
        <f t="shared" si="81"/>
        <v>0</v>
      </c>
      <c r="BB70" s="14"/>
      <c r="BC70" s="15"/>
      <c r="BD70" s="16">
        <f t="shared" si="82"/>
        <v>0</v>
      </c>
      <c r="BE70" s="14"/>
      <c r="BF70" s="15"/>
      <c r="BG70" s="16">
        <f>IFERROR(BE70*BF70, 0)</f>
        <v>0</v>
      </c>
      <c r="BH70" s="14"/>
      <c r="BI70" s="15"/>
      <c r="BJ70" s="16">
        <f t="shared" si="83"/>
        <v>0</v>
      </c>
      <c r="BK70" s="14"/>
      <c r="BL70" s="15"/>
      <c r="BM70" s="16">
        <f t="shared" si="68"/>
        <v>0</v>
      </c>
      <c r="BN70" s="14"/>
      <c r="BO70" s="15"/>
      <c r="BP70" s="16">
        <f t="shared" si="97"/>
        <v>0</v>
      </c>
      <c r="BQ70" s="14"/>
      <c r="BR70" s="15"/>
      <c r="BS70" s="16">
        <f t="shared" si="72"/>
        <v>0</v>
      </c>
      <c r="BT70" s="14"/>
      <c r="BU70" s="15"/>
      <c r="BV70" s="16">
        <f t="shared" si="84"/>
        <v>0</v>
      </c>
      <c r="BW70" s="14"/>
      <c r="BX70" s="15"/>
      <c r="BY70" s="16">
        <f t="shared" si="69"/>
        <v>0</v>
      </c>
      <c r="BZ70" s="14"/>
      <c r="CA70" s="15"/>
      <c r="CB70" s="16">
        <f t="shared" si="85"/>
        <v>0</v>
      </c>
      <c r="CC70" s="14"/>
      <c r="CD70" s="15"/>
      <c r="CE70" s="16">
        <f t="shared" si="86"/>
        <v>0</v>
      </c>
      <c r="CF70" s="14"/>
      <c r="CG70" s="15"/>
      <c r="CH70" s="16">
        <f t="shared" si="87"/>
        <v>0</v>
      </c>
      <c r="CI70" s="14"/>
      <c r="CJ70" s="15"/>
      <c r="CK70" s="16">
        <f t="shared" si="88"/>
        <v>0</v>
      </c>
      <c r="CL70" s="14"/>
      <c r="CM70" s="15"/>
      <c r="CN70" s="16">
        <f t="shared" si="89"/>
        <v>0</v>
      </c>
      <c r="CO70" s="14"/>
      <c r="CP70" s="15"/>
      <c r="CQ70" s="16">
        <f t="shared" si="90"/>
        <v>0</v>
      </c>
      <c r="CR70" s="14"/>
      <c r="CS70" s="15"/>
      <c r="CT70" s="16">
        <f t="shared" si="91"/>
        <v>0</v>
      </c>
      <c r="CU70" s="17">
        <f t="shared" si="92"/>
        <v>1</v>
      </c>
      <c r="CV70" s="16">
        <f t="shared" si="93"/>
        <v>15100</v>
      </c>
      <c r="CW70" s="16">
        <f t="shared" si="94"/>
        <v>15100</v>
      </c>
      <c r="CX70" s="81">
        <f>IFERROR(+DB70, 0)</f>
        <v>0</v>
      </c>
    </row>
    <row r="71" spans="1:102" ht="15.75" customHeight="1" x14ac:dyDescent="0.35">
      <c r="A71" s="41" t="s">
        <v>154</v>
      </c>
      <c r="B71" s="41" t="s">
        <v>935</v>
      </c>
      <c r="C71" s="42"/>
      <c r="D71" s="43"/>
      <c r="E71" s="78">
        <f t="shared" si="73"/>
        <v>0</v>
      </c>
      <c r="F71" s="14"/>
      <c r="G71" s="15"/>
      <c r="H71" s="16">
        <f t="shared" si="95"/>
        <v>0</v>
      </c>
      <c r="I71" s="14">
        <v>200</v>
      </c>
      <c r="J71" s="15">
        <v>270</v>
      </c>
      <c r="K71" s="16">
        <v>54000</v>
      </c>
      <c r="L71" s="14"/>
      <c r="M71" s="15"/>
      <c r="N71" s="16">
        <f t="shared" si="70"/>
        <v>0</v>
      </c>
      <c r="O71" s="14"/>
      <c r="P71" s="15"/>
      <c r="Q71" s="16">
        <f t="shared" si="71"/>
        <v>0</v>
      </c>
      <c r="R71" s="14"/>
      <c r="S71" s="15"/>
      <c r="T71" s="16">
        <f t="shared" si="74"/>
        <v>0</v>
      </c>
      <c r="U71" s="14"/>
      <c r="V71" s="15"/>
      <c r="W71" s="16">
        <f t="shared" si="75"/>
        <v>0</v>
      </c>
      <c r="X71" s="14">
        <v>200</v>
      </c>
      <c r="Y71" s="15">
        <v>270</v>
      </c>
      <c r="Z71" s="16">
        <v>54000</v>
      </c>
      <c r="AA71" s="14"/>
      <c r="AB71" s="15"/>
      <c r="AC71" s="16">
        <f t="shared" si="96"/>
        <v>0</v>
      </c>
      <c r="AD71" s="14"/>
      <c r="AE71" s="15"/>
      <c r="AF71" s="16">
        <f t="shared" si="76"/>
        <v>0</v>
      </c>
      <c r="AG71" s="14">
        <v>200</v>
      </c>
      <c r="AH71" s="15">
        <v>270</v>
      </c>
      <c r="AI71" s="16">
        <v>54000</v>
      </c>
      <c r="AJ71" s="14"/>
      <c r="AK71" s="15"/>
      <c r="AL71" s="16">
        <f t="shared" si="77"/>
        <v>0</v>
      </c>
      <c r="AM71" s="14"/>
      <c r="AN71" s="15"/>
      <c r="AO71" s="16">
        <f t="shared" si="78"/>
        <v>0</v>
      </c>
      <c r="AP71" s="14"/>
      <c r="AQ71" s="15"/>
      <c r="AR71" s="16">
        <f t="shared" si="79"/>
        <v>0</v>
      </c>
      <c r="AS71" s="14"/>
      <c r="AT71" s="15"/>
      <c r="AU71" s="16">
        <f t="shared" si="66"/>
        <v>0</v>
      </c>
      <c r="AV71" s="14"/>
      <c r="AW71" s="15"/>
      <c r="AX71" s="16">
        <f t="shared" si="80"/>
        <v>0</v>
      </c>
      <c r="AY71" s="14"/>
      <c r="AZ71" s="15"/>
      <c r="BA71" s="16">
        <f t="shared" si="81"/>
        <v>0</v>
      </c>
      <c r="BB71" s="14"/>
      <c r="BC71" s="15"/>
      <c r="BD71" s="16">
        <f t="shared" si="82"/>
        <v>0</v>
      </c>
      <c r="BE71" s="14">
        <v>200</v>
      </c>
      <c r="BF71" s="15">
        <v>270</v>
      </c>
      <c r="BG71" s="16">
        <v>54000</v>
      </c>
      <c r="BH71" s="14"/>
      <c r="BI71" s="15"/>
      <c r="BJ71" s="16">
        <f t="shared" si="83"/>
        <v>0</v>
      </c>
      <c r="BK71" s="14"/>
      <c r="BL71" s="15"/>
      <c r="BM71" s="16">
        <f t="shared" si="68"/>
        <v>0</v>
      </c>
      <c r="BN71" s="14"/>
      <c r="BO71" s="15"/>
      <c r="BP71" s="16">
        <f t="shared" si="97"/>
        <v>0</v>
      </c>
      <c r="BQ71" s="14">
        <v>200</v>
      </c>
      <c r="BR71" s="15">
        <v>270</v>
      </c>
      <c r="BS71" s="16">
        <v>54000</v>
      </c>
      <c r="BT71" s="14"/>
      <c r="BU71" s="15"/>
      <c r="BV71" s="16">
        <f t="shared" si="84"/>
        <v>0</v>
      </c>
      <c r="BW71" s="14"/>
      <c r="BX71" s="15"/>
      <c r="BY71" s="16">
        <f t="shared" si="69"/>
        <v>0</v>
      </c>
      <c r="BZ71" s="14"/>
      <c r="CA71" s="15"/>
      <c r="CB71" s="16">
        <f t="shared" si="85"/>
        <v>0</v>
      </c>
      <c r="CC71" s="14"/>
      <c r="CD71" s="15"/>
      <c r="CE71" s="16">
        <f t="shared" si="86"/>
        <v>0</v>
      </c>
      <c r="CF71" s="14"/>
      <c r="CG71" s="15"/>
      <c r="CH71" s="16">
        <f t="shared" si="87"/>
        <v>0</v>
      </c>
      <c r="CI71" s="14"/>
      <c r="CJ71" s="15"/>
      <c r="CK71" s="16">
        <f t="shared" si="88"/>
        <v>0</v>
      </c>
      <c r="CL71" s="14"/>
      <c r="CM71" s="15"/>
      <c r="CN71" s="16">
        <f t="shared" si="89"/>
        <v>0</v>
      </c>
      <c r="CO71" s="14"/>
      <c r="CP71" s="15"/>
      <c r="CQ71" s="16">
        <f t="shared" si="90"/>
        <v>0</v>
      </c>
      <c r="CR71" s="14"/>
      <c r="CS71" s="15"/>
      <c r="CT71" s="16">
        <f t="shared" si="91"/>
        <v>0</v>
      </c>
      <c r="CU71" s="17">
        <f t="shared" si="92"/>
        <v>1000</v>
      </c>
      <c r="CV71" s="16">
        <f t="shared" si="93"/>
        <v>270</v>
      </c>
      <c r="CW71" s="16">
        <f t="shared" si="94"/>
        <v>270000</v>
      </c>
    </row>
    <row r="72" spans="1:102" ht="15.75" customHeight="1" x14ac:dyDescent="0.35">
      <c r="A72" s="41" t="s">
        <v>150</v>
      </c>
      <c r="B72" s="41" t="s">
        <v>935</v>
      </c>
      <c r="C72" s="42"/>
      <c r="D72" s="43"/>
      <c r="E72" s="78">
        <f t="shared" si="73"/>
        <v>0</v>
      </c>
      <c r="F72" s="14"/>
      <c r="G72" s="15"/>
      <c r="H72" s="16">
        <f t="shared" si="95"/>
        <v>0</v>
      </c>
      <c r="I72" s="14">
        <v>200</v>
      </c>
      <c r="J72" s="15">
        <v>440</v>
      </c>
      <c r="K72" s="16">
        <v>88000</v>
      </c>
      <c r="L72" s="14"/>
      <c r="M72" s="15"/>
      <c r="N72" s="16">
        <f t="shared" si="70"/>
        <v>0</v>
      </c>
      <c r="O72" s="14"/>
      <c r="P72" s="15"/>
      <c r="Q72" s="16">
        <f t="shared" si="71"/>
        <v>0</v>
      </c>
      <c r="R72" s="14"/>
      <c r="S72" s="15"/>
      <c r="T72" s="16">
        <f t="shared" si="74"/>
        <v>0</v>
      </c>
      <c r="U72" s="14"/>
      <c r="V72" s="15"/>
      <c r="W72" s="16">
        <f t="shared" si="75"/>
        <v>0</v>
      </c>
      <c r="X72" s="14"/>
      <c r="Y72" s="15"/>
      <c r="Z72" s="16">
        <f>IFERROR(X72*Y72, 0)</f>
        <v>0</v>
      </c>
      <c r="AA72" s="14"/>
      <c r="AB72" s="15"/>
      <c r="AC72" s="16">
        <f t="shared" si="96"/>
        <v>0</v>
      </c>
      <c r="AD72" s="14"/>
      <c r="AE72" s="15"/>
      <c r="AF72" s="16">
        <f t="shared" si="76"/>
        <v>0</v>
      </c>
      <c r="AG72" s="14">
        <v>200</v>
      </c>
      <c r="AH72" s="15">
        <v>440</v>
      </c>
      <c r="AI72" s="16">
        <v>88000</v>
      </c>
      <c r="AJ72" s="14"/>
      <c r="AK72" s="15"/>
      <c r="AL72" s="16">
        <f t="shared" si="77"/>
        <v>0</v>
      </c>
      <c r="AM72" s="14"/>
      <c r="AN72" s="15"/>
      <c r="AO72" s="16">
        <f t="shared" si="78"/>
        <v>0</v>
      </c>
      <c r="AP72" s="14"/>
      <c r="AQ72" s="15"/>
      <c r="AR72" s="16">
        <f t="shared" si="79"/>
        <v>0</v>
      </c>
      <c r="AS72" s="14"/>
      <c r="AT72" s="15"/>
      <c r="AU72" s="16">
        <f t="shared" si="66"/>
        <v>0</v>
      </c>
      <c r="AV72" s="14"/>
      <c r="AW72" s="15"/>
      <c r="AX72" s="16">
        <f t="shared" si="80"/>
        <v>0</v>
      </c>
      <c r="AY72" s="14"/>
      <c r="AZ72" s="15"/>
      <c r="BA72" s="16">
        <f t="shared" si="81"/>
        <v>0</v>
      </c>
      <c r="BB72" s="14"/>
      <c r="BC72" s="15"/>
      <c r="BD72" s="16">
        <f t="shared" si="82"/>
        <v>0</v>
      </c>
      <c r="BE72" s="14"/>
      <c r="BF72" s="15"/>
      <c r="BG72" s="16">
        <f>IFERROR(BE72*BF72, 0)</f>
        <v>0</v>
      </c>
      <c r="BH72" s="14"/>
      <c r="BI72" s="15"/>
      <c r="BJ72" s="16">
        <f t="shared" si="83"/>
        <v>0</v>
      </c>
      <c r="BK72" s="14"/>
      <c r="BL72" s="15"/>
      <c r="BM72" s="16">
        <f t="shared" si="68"/>
        <v>0</v>
      </c>
      <c r="BN72" s="14"/>
      <c r="BO72" s="15"/>
      <c r="BP72" s="16">
        <f t="shared" si="97"/>
        <v>0</v>
      </c>
      <c r="BQ72" s="14">
        <v>200</v>
      </c>
      <c r="BR72" s="15">
        <v>440</v>
      </c>
      <c r="BS72" s="16">
        <v>88000</v>
      </c>
      <c r="BT72" s="14"/>
      <c r="BU72" s="15"/>
      <c r="BV72" s="16">
        <f t="shared" si="84"/>
        <v>0</v>
      </c>
      <c r="BW72" s="14"/>
      <c r="BX72" s="15"/>
      <c r="BY72" s="16">
        <f t="shared" si="69"/>
        <v>0</v>
      </c>
      <c r="BZ72" s="14"/>
      <c r="CA72" s="15"/>
      <c r="CB72" s="16">
        <f t="shared" si="85"/>
        <v>0</v>
      </c>
      <c r="CC72" s="14"/>
      <c r="CD72" s="15"/>
      <c r="CE72" s="16">
        <f t="shared" si="86"/>
        <v>0</v>
      </c>
      <c r="CF72" s="14"/>
      <c r="CG72" s="15"/>
      <c r="CH72" s="16">
        <f t="shared" si="87"/>
        <v>0</v>
      </c>
      <c r="CI72" s="14"/>
      <c r="CJ72" s="15"/>
      <c r="CK72" s="16">
        <f t="shared" si="88"/>
        <v>0</v>
      </c>
      <c r="CL72" s="14"/>
      <c r="CM72" s="15"/>
      <c r="CN72" s="16">
        <f t="shared" si="89"/>
        <v>0</v>
      </c>
      <c r="CO72" s="14"/>
      <c r="CP72" s="15"/>
      <c r="CQ72" s="16">
        <f t="shared" si="90"/>
        <v>0</v>
      </c>
      <c r="CR72" s="14"/>
      <c r="CS72" s="15"/>
      <c r="CT72" s="16">
        <f t="shared" si="91"/>
        <v>0</v>
      </c>
      <c r="CU72" s="17">
        <f t="shared" si="92"/>
        <v>600</v>
      </c>
      <c r="CV72" s="16">
        <f t="shared" si="93"/>
        <v>440</v>
      </c>
      <c r="CW72" s="16">
        <f t="shared" si="94"/>
        <v>264000</v>
      </c>
    </row>
    <row r="73" spans="1:102" ht="15.75" customHeight="1" x14ac:dyDescent="0.35">
      <c r="A73" s="41" t="s">
        <v>140</v>
      </c>
      <c r="B73" s="41" t="s">
        <v>935</v>
      </c>
      <c r="C73" s="42"/>
      <c r="D73" s="43"/>
      <c r="E73" s="78">
        <f t="shared" si="73"/>
        <v>0</v>
      </c>
      <c r="F73" s="14"/>
      <c r="G73" s="15"/>
      <c r="H73" s="16">
        <f t="shared" si="95"/>
        <v>0</v>
      </c>
      <c r="I73" s="14">
        <v>2</v>
      </c>
      <c r="J73" s="15">
        <v>30350</v>
      </c>
      <c r="K73" s="16">
        <v>60700</v>
      </c>
      <c r="L73" s="14"/>
      <c r="M73" s="15"/>
      <c r="N73" s="16">
        <f t="shared" si="70"/>
        <v>0</v>
      </c>
      <c r="O73" s="14"/>
      <c r="P73" s="15"/>
      <c r="Q73" s="16">
        <f t="shared" si="71"/>
        <v>0</v>
      </c>
      <c r="R73" s="14"/>
      <c r="S73" s="15"/>
      <c r="T73" s="16">
        <f t="shared" si="74"/>
        <v>0</v>
      </c>
      <c r="U73" s="14"/>
      <c r="V73" s="15"/>
      <c r="W73" s="16">
        <f t="shared" si="75"/>
        <v>0</v>
      </c>
      <c r="X73" s="14">
        <v>101</v>
      </c>
      <c r="Y73" s="15">
        <v>30350</v>
      </c>
      <c r="Z73" s="16">
        <v>125350</v>
      </c>
      <c r="AA73" s="14"/>
      <c r="AB73" s="15"/>
      <c r="AC73" s="16">
        <f t="shared" si="96"/>
        <v>0</v>
      </c>
      <c r="AD73" s="14"/>
      <c r="AE73" s="15"/>
      <c r="AF73" s="16">
        <f t="shared" si="76"/>
        <v>0</v>
      </c>
      <c r="AG73" s="14">
        <v>1</v>
      </c>
      <c r="AH73" s="15">
        <v>30350</v>
      </c>
      <c r="AI73" s="16">
        <v>30350</v>
      </c>
      <c r="AJ73" s="14"/>
      <c r="AK73" s="15"/>
      <c r="AL73" s="16">
        <f t="shared" si="77"/>
        <v>0</v>
      </c>
      <c r="AM73" s="14"/>
      <c r="AN73" s="15"/>
      <c r="AO73" s="16">
        <f t="shared" si="78"/>
        <v>0</v>
      </c>
      <c r="AP73" s="14"/>
      <c r="AQ73" s="15"/>
      <c r="AR73" s="16">
        <f t="shared" si="79"/>
        <v>0</v>
      </c>
      <c r="AS73" s="14"/>
      <c r="AT73" s="15"/>
      <c r="AU73" s="16">
        <f t="shared" si="66"/>
        <v>0</v>
      </c>
      <c r="AV73" s="14"/>
      <c r="AW73" s="15"/>
      <c r="AX73" s="16">
        <f t="shared" si="80"/>
        <v>0</v>
      </c>
      <c r="AY73" s="14"/>
      <c r="AZ73" s="15"/>
      <c r="BA73" s="16">
        <f t="shared" si="81"/>
        <v>0</v>
      </c>
      <c r="BB73" s="14"/>
      <c r="BC73" s="15"/>
      <c r="BD73" s="16">
        <f t="shared" si="82"/>
        <v>0</v>
      </c>
      <c r="BE73" s="14"/>
      <c r="BF73" s="15"/>
      <c r="BG73" s="16">
        <f>IFERROR(BE73*BF73, 0)</f>
        <v>0</v>
      </c>
      <c r="BH73" s="14"/>
      <c r="BI73" s="15"/>
      <c r="BJ73" s="16">
        <f t="shared" si="83"/>
        <v>0</v>
      </c>
      <c r="BK73" s="14"/>
      <c r="BL73" s="15"/>
      <c r="BM73" s="16">
        <f t="shared" si="68"/>
        <v>0</v>
      </c>
      <c r="BN73" s="14"/>
      <c r="BO73" s="15"/>
      <c r="BP73" s="16">
        <f t="shared" si="97"/>
        <v>0</v>
      </c>
      <c r="BQ73" s="14">
        <v>1</v>
      </c>
      <c r="BR73" s="15">
        <v>30350</v>
      </c>
      <c r="BS73" s="16">
        <v>30350</v>
      </c>
      <c r="BT73" s="14"/>
      <c r="BU73" s="15"/>
      <c r="BV73" s="16">
        <f t="shared" si="84"/>
        <v>0</v>
      </c>
      <c r="BW73" s="14"/>
      <c r="BX73" s="15"/>
      <c r="BY73" s="16">
        <f t="shared" si="69"/>
        <v>0</v>
      </c>
      <c r="BZ73" s="14"/>
      <c r="CA73" s="15"/>
      <c r="CB73" s="16">
        <f t="shared" si="85"/>
        <v>0</v>
      </c>
      <c r="CC73" s="14"/>
      <c r="CD73" s="15"/>
      <c r="CE73" s="16">
        <f t="shared" si="86"/>
        <v>0</v>
      </c>
      <c r="CF73" s="14"/>
      <c r="CG73" s="15"/>
      <c r="CH73" s="16">
        <f t="shared" si="87"/>
        <v>0</v>
      </c>
      <c r="CI73" s="14"/>
      <c r="CJ73" s="15"/>
      <c r="CK73" s="16">
        <f t="shared" si="88"/>
        <v>0</v>
      </c>
      <c r="CL73" s="14"/>
      <c r="CM73" s="15"/>
      <c r="CN73" s="16">
        <f t="shared" si="89"/>
        <v>0</v>
      </c>
      <c r="CO73" s="14"/>
      <c r="CP73" s="15"/>
      <c r="CQ73" s="16">
        <f t="shared" si="90"/>
        <v>0</v>
      </c>
      <c r="CR73" s="14"/>
      <c r="CS73" s="15"/>
      <c r="CT73" s="16">
        <f t="shared" si="91"/>
        <v>0</v>
      </c>
      <c r="CU73" s="17">
        <f t="shared" si="92"/>
        <v>105</v>
      </c>
      <c r="CV73" s="16">
        <f t="shared" si="93"/>
        <v>30350</v>
      </c>
      <c r="CW73" s="16">
        <f t="shared" si="94"/>
        <v>3186750</v>
      </c>
    </row>
    <row r="74" spans="1:102" ht="15.75" customHeight="1" x14ac:dyDescent="0.35">
      <c r="A74" s="41" t="s">
        <v>148</v>
      </c>
      <c r="B74" s="41" t="s">
        <v>935</v>
      </c>
      <c r="C74" s="42"/>
      <c r="D74" s="43"/>
      <c r="E74" s="78">
        <f t="shared" si="73"/>
        <v>0</v>
      </c>
      <c r="F74" s="14"/>
      <c r="G74" s="15"/>
      <c r="H74" s="16">
        <f t="shared" si="95"/>
        <v>0</v>
      </c>
      <c r="I74" s="14">
        <v>200</v>
      </c>
      <c r="J74" s="15">
        <v>440</v>
      </c>
      <c r="K74" s="16">
        <v>88000</v>
      </c>
      <c r="L74" s="14"/>
      <c r="M74" s="15"/>
      <c r="N74" s="16">
        <f t="shared" si="70"/>
        <v>0</v>
      </c>
      <c r="O74" s="14"/>
      <c r="P74" s="15"/>
      <c r="Q74" s="16">
        <f t="shared" si="71"/>
        <v>0</v>
      </c>
      <c r="R74" s="14"/>
      <c r="S74" s="15"/>
      <c r="T74" s="16">
        <f t="shared" si="74"/>
        <v>0</v>
      </c>
      <c r="U74" s="14"/>
      <c r="V74" s="15"/>
      <c r="W74" s="16">
        <f t="shared" si="75"/>
        <v>0</v>
      </c>
      <c r="X74" s="14">
        <v>600</v>
      </c>
      <c r="Y74" s="15">
        <v>440</v>
      </c>
      <c r="Z74" s="16">
        <v>264000</v>
      </c>
      <c r="AA74" s="14"/>
      <c r="AB74" s="15"/>
      <c r="AC74" s="16">
        <f t="shared" si="96"/>
        <v>0</v>
      </c>
      <c r="AD74" s="14"/>
      <c r="AE74" s="15"/>
      <c r="AF74" s="16">
        <f t="shared" si="76"/>
        <v>0</v>
      </c>
      <c r="AG74" s="14">
        <v>400</v>
      </c>
      <c r="AH74" s="15">
        <v>440</v>
      </c>
      <c r="AI74" s="16">
        <v>176000</v>
      </c>
      <c r="AJ74" s="14"/>
      <c r="AK74" s="15"/>
      <c r="AL74" s="16">
        <f t="shared" si="77"/>
        <v>0</v>
      </c>
      <c r="AM74" s="14"/>
      <c r="AN74" s="15"/>
      <c r="AO74" s="16">
        <f t="shared" si="78"/>
        <v>0</v>
      </c>
      <c r="AP74" s="14"/>
      <c r="AQ74" s="15"/>
      <c r="AR74" s="16">
        <f t="shared" si="79"/>
        <v>0</v>
      </c>
      <c r="AS74" s="14"/>
      <c r="AT74" s="15"/>
      <c r="AU74" s="16">
        <f t="shared" si="66"/>
        <v>0</v>
      </c>
      <c r="AV74" s="14"/>
      <c r="AW74" s="15"/>
      <c r="AX74" s="16">
        <f t="shared" si="80"/>
        <v>0</v>
      </c>
      <c r="AY74" s="14"/>
      <c r="AZ74" s="15"/>
      <c r="BA74" s="16">
        <f t="shared" si="81"/>
        <v>0</v>
      </c>
      <c r="BB74" s="14"/>
      <c r="BC74" s="15"/>
      <c r="BD74" s="16">
        <f t="shared" si="82"/>
        <v>0</v>
      </c>
      <c r="BE74" s="14">
        <v>400</v>
      </c>
      <c r="BF74" s="15">
        <v>440</v>
      </c>
      <c r="BG74" s="16">
        <v>176000</v>
      </c>
      <c r="BH74" s="14"/>
      <c r="BI74" s="15"/>
      <c r="BJ74" s="16">
        <f t="shared" si="83"/>
        <v>0</v>
      </c>
      <c r="BK74" s="14"/>
      <c r="BL74" s="15"/>
      <c r="BM74" s="16">
        <f t="shared" si="68"/>
        <v>0</v>
      </c>
      <c r="BN74" s="14"/>
      <c r="BO74" s="15"/>
      <c r="BP74" s="16">
        <f t="shared" si="97"/>
        <v>0</v>
      </c>
      <c r="BQ74" s="14">
        <v>200</v>
      </c>
      <c r="BR74" s="15">
        <v>440</v>
      </c>
      <c r="BS74" s="16">
        <v>88000</v>
      </c>
      <c r="BT74" s="14"/>
      <c r="BU74" s="15"/>
      <c r="BV74" s="16">
        <f t="shared" si="84"/>
        <v>0</v>
      </c>
      <c r="BW74" s="14"/>
      <c r="BX74" s="15"/>
      <c r="BY74" s="16">
        <f t="shared" si="69"/>
        <v>0</v>
      </c>
      <c r="BZ74" s="14"/>
      <c r="CA74" s="15"/>
      <c r="CB74" s="16">
        <f t="shared" si="85"/>
        <v>0</v>
      </c>
      <c r="CC74" s="14"/>
      <c r="CD74" s="15"/>
      <c r="CE74" s="16">
        <f t="shared" si="86"/>
        <v>0</v>
      </c>
      <c r="CF74" s="14"/>
      <c r="CG74" s="15"/>
      <c r="CH74" s="16">
        <f t="shared" si="87"/>
        <v>0</v>
      </c>
      <c r="CI74" s="14"/>
      <c r="CJ74" s="15"/>
      <c r="CK74" s="16">
        <f t="shared" si="88"/>
        <v>0</v>
      </c>
      <c r="CL74" s="14"/>
      <c r="CM74" s="15"/>
      <c r="CN74" s="16">
        <f t="shared" si="89"/>
        <v>0</v>
      </c>
      <c r="CO74" s="14"/>
      <c r="CP74" s="15"/>
      <c r="CQ74" s="16">
        <f t="shared" si="90"/>
        <v>0</v>
      </c>
      <c r="CR74" s="14"/>
      <c r="CS74" s="15"/>
      <c r="CT74" s="16">
        <f t="shared" si="91"/>
        <v>0</v>
      </c>
      <c r="CU74" s="17">
        <f t="shared" si="92"/>
        <v>1800</v>
      </c>
      <c r="CV74" s="16">
        <f t="shared" si="93"/>
        <v>440</v>
      </c>
      <c r="CW74" s="16">
        <f t="shared" si="94"/>
        <v>792000</v>
      </c>
    </row>
    <row r="75" spans="1:102" ht="15.75" customHeight="1" x14ac:dyDescent="0.35">
      <c r="A75" s="41" t="s">
        <v>414</v>
      </c>
      <c r="B75" s="41" t="s">
        <v>846</v>
      </c>
      <c r="C75" s="42"/>
      <c r="D75" s="43"/>
      <c r="E75" s="78">
        <f t="shared" si="73"/>
        <v>0</v>
      </c>
      <c r="F75" s="14"/>
      <c r="G75" s="15"/>
      <c r="H75" s="16">
        <f t="shared" si="95"/>
        <v>0</v>
      </c>
      <c r="I75" s="14"/>
      <c r="J75" s="15"/>
      <c r="K75" s="16">
        <f>IFERROR(I75*J75, 0)</f>
        <v>0</v>
      </c>
      <c r="L75" s="14"/>
      <c r="M75" s="15"/>
      <c r="N75" s="16">
        <f t="shared" si="70"/>
        <v>0</v>
      </c>
      <c r="O75" s="14"/>
      <c r="P75" s="15"/>
      <c r="Q75" s="16">
        <f t="shared" si="71"/>
        <v>0</v>
      </c>
      <c r="R75" s="14"/>
      <c r="S75" s="15"/>
      <c r="T75" s="16">
        <f t="shared" si="74"/>
        <v>0</v>
      </c>
      <c r="U75" s="14"/>
      <c r="V75" s="15"/>
      <c r="W75" s="16">
        <f t="shared" si="75"/>
        <v>0</v>
      </c>
      <c r="X75" s="14"/>
      <c r="Y75" s="15"/>
      <c r="Z75" s="16">
        <f t="shared" ref="Z75:Z86" si="98">IFERROR(X75*Y75, 0)</f>
        <v>0</v>
      </c>
      <c r="AA75" s="14"/>
      <c r="AB75" s="15"/>
      <c r="AC75" s="16">
        <f t="shared" si="96"/>
        <v>0</v>
      </c>
      <c r="AD75" s="14"/>
      <c r="AE75" s="15"/>
      <c r="AF75" s="16">
        <f t="shared" si="76"/>
        <v>0</v>
      </c>
      <c r="AG75" s="14">
        <v>24</v>
      </c>
      <c r="AH75" s="15">
        <v>1400</v>
      </c>
      <c r="AI75" s="16">
        <v>33600</v>
      </c>
      <c r="AJ75" s="14"/>
      <c r="AK75" s="15"/>
      <c r="AL75" s="16">
        <f t="shared" si="77"/>
        <v>0</v>
      </c>
      <c r="AM75" s="14"/>
      <c r="AN75" s="15"/>
      <c r="AO75" s="16">
        <f t="shared" si="78"/>
        <v>0</v>
      </c>
      <c r="AP75" s="14"/>
      <c r="AQ75" s="15"/>
      <c r="AR75" s="16">
        <f t="shared" si="79"/>
        <v>0</v>
      </c>
      <c r="AS75" s="14"/>
      <c r="AT75" s="15"/>
      <c r="AU75" s="16">
        <f t="shared" si="66"/>
        <v>0</v>
      </c>
      <c r="AV75" s="14"/>
      <c r="AW75" s="15"/>
      <c r="AX75" s="16">
        <f t="shared" si="80"/>
        <v>0</v>
      </c>
      <c r="AY75" s="14"/>
      <c r="AZ75" s="15"/>
      <c r="BA75" s="16">
        <f t="shared" si="81"/>
        <v>0</v>
      </c>
      <c r="BB75" s="14"/>
      <c r="BC75" s="15"/>
      <c r="BD75" s="16">
        <f t="shared" si="82"/>
        <v>0</v>
      </c>
      <c r="BE75" s="14"/>
      <c r="BF75" s="15"/>
      <c r="BG75" s="16">
        <f t="shared" ref="BG75:BG84" si="99">IFERROR(BE75*BF75, 0)</f>
        <v>0</v>
      </c>
      <c r="BH75" s="14"/>
      <c r="BI75" s="15"/>
      <c r="BJ75" s="16">
        <f t="shared" si="83"/>
        <v>0</v>
      </c>
      <c r="BK75" s="14"/>
      <c r="BL75" s="15"/>
      <c r="BM75" s="16">
        <f t="shared" si="68"/>
        <v>0</v>
      </c>
      <c r="BN75" s="14"/>
      <c r="BO75" s="15"/>
      <c r="BP75" s="16">
        <f t="shared" si="97"/>
        <v>0</v>
      </c>
      <c r="BQ75" s="14"/>
      <c r="BR75" s="15"/>
      <c r="BS75" s="16">
        <f>IFERROR(BQ75*BR75, 0)</f>
        <v>0</v>
      </c>
      <c r="BT75" s="14"/>
      <c r="BU75" s="15"/>
      <c r="BV75" s="16">
        <f t="shared" si="84"/>
        <v>0</v>
      </c>
      <c r="BW75" s="14"/>
      <c r="BX75" s="15"/>
      <c r="BY75" s="16">
        <f t="shared" si="69"/>
        <v>0</v>
      </c>
      <c r="BZ75" s="14"/>
      <c r="CA75" s="15"/>
      <c r="CB75" s="16">
        <f t="shared" si="85"/>
        <v>0</v>
      </c>
      <c r="CC75" s="14"/>
      <c r="CD75" s="15"/>
      <c r="CE75" s="16">
        <f t="shared" si="86"/>
        <v>0</v>
      </c>
      <c r="CF75" s="14"/>
      <c r="CG75" s="15"/>
      <c r="CH75" s="16">
        <f t="shared" si="87"/>
        <v>0</v>
      </c>
      <c r="CI75" s="14"/>
      <c r="CJ75" s="15"/>
      <c r="CK75" s="16">
        <f t="shared" si="88"/>
        <v>0</v>
      </c>
      <c r="CL75" s="14"/>
      <c r="CM75" s="15"/>
      <c r="CN75" s="16">
        <f t="shared" si="89"/>
        <v>0</v>
      </c>
      <c r="CO75" s="14"/>
      <c r="CP75" s="15"/>
      <c r="CQ75" s="16">
        <f t="shared" si="90"/>
        <v>0</v>
      </c>
      <c r="CR75" s="14"/>
      <c r="CS75" s="15"/>
      <c r="CT75" s="16">
        <f t="shared" si="91"/>
        <v>0</v>
      </c>
      <c r="CU75" s="17">
        <f t="shared" si="92"/>
        <v>24</v>
      </c>
      <c r="CV75" s="16">
        <f t="shared" si="93"/>
        <v>1400</v>
      </c>
      <c r="CW75" s="16">
        <f t="shared" si="94"/>
        <v>33600</v>
      </c>
    </row>
    <row r="76" spans="1:102" ht="15.75" customHeight="1" x14ac:dyDescent="0.35">
      <c r="A76" s="41" t="s">
        <v>997</v>
      </c>
      <c r="B76" s="41" t="s">
        <v>977</v>
      </c>
      <c r="C76" s="42"/>
      <c r="D76" s="43"/>
      <c r="E76" s="78">
        <f t="shared" si="73"/>
        <v>0</v>
      </c>
      <c r="F76" s="14"/>
      <c r="G76" s="15"/>
      <c r="H76" s="16">
        <f t="shared" si="95"/>
        <v>0</v>
      </c>
      <c r="I76" s="14"/>
      <c r="J76" s="15"/>
      <c r="K76" s="16">
        <f>IFERROR(I76*J76, 0)</f>
        <v>0</v>
      </c>
      <c r="L76" s="14"/>
      <c r="M76" s="15"/>
      <c r="N76" s="16">
        <f t="shared" si="70"/>
        <v>0</v>
      </c>
      <c r="O76" s="14"/>
      <c r="P76" s="15"/>
      <c r="Q76" s="16">
        <f t="shared" si="71"/>
        <v>0</v>
      </c>
      <c r="R76" s="14"/>
      <c r="S76" s="15"/>
      <c r="T76" s="16">
        <f t="shared" si="74"/>
        <v>0</v>
      </c>
      <c r="U76" s="14"/>
      <c r="V76" s="15"/>
      <c r="W76" s="16">
        <f t="shared" si="75"/>
        <v>0</v>
      </c>
      <c r="X76" s="14"/>
      <c r="Y76" s="15"/>
      <c r="Z76" s="16">
        <f t="shared" si="98"/>
        <v>0</v>
      </c>
      <c r="AA76" s="14"/>
      <c r="AB76" s="15"/>
      <c r="AC76" s="16">
        <f t="shared" si="96"/>
        <v>0</v>
      </c>
      <c r="AD76" s="14"/>
      <c r="AE76" s="15"/>
      <c r="AF76" s="16">
        <f t="shared" si="76"/>
        <v>0</v>
      </c>
      <c r="AG76" s="14"/>
      <c r="AH76" s="15"/>
      <c r="AI76" s="16">
        <f t="shared" ref="AI76:AI88" si="100">IFERROR(AG76*AH76, 0)</f>
        <v>0</v>
      </c>
      <c r="AJ76" s="14"/>
      <c r="AK76" s="15"/>
      <c r="AL76" s="16">
        <f t="shared" si="77"/>
        <v>0</v>
      </c>
      <c r="AM76" s="14"/>
      <c r="AN76" s="15"/>
      <c r="AO76" s="16">
        <f t="shared" si="78"/>
        <v>0</v>
      </c>
      <c r="AP76" s="14"/>
      <c r="AQ76" s="15"/>
      <c r="AR76" s="16">
        <f t="shared" si="79"/>
        <v>0</v>
      </c>
      <c r="AS76" s="14"/>
      <c r="AT76" s="15"/>
      <c r="AU76" s="16">
        <f t="shared" si="66"/>
        <v>0</v>
      </c>
      <c r="AV76" s="14"/>
      <c r="AW76" s="15"/>
      <c r="AX76" s="16">
        <f t="shared" si="80"/>
        <v>0</v>
      </c>
      <c r="AY76" s="14"/>
      <c r="AZ76" s="15"/>
      <c r="BA76" s="16">
        <f t="shared" si="81"/>
        <v>0</v>
      </c>
      <c r="BB76" s="14"/>
      <c r="BC76" s="15"/>
      <c r="BD76" s="16">
        <f t="shared" si="82"/>
        <v>0</v>
      </c>
      <c r="BE76" s="14"/>
      <c r="BF76" s="15"/>
      <c r="BG76" s="16">
        <f t="shared" si="99"/>
        <v>0</v>
      </c>
      <c r="BH76" s="14"/>
      <c r="BI76" s="15"/>
      <c r="BJ76" s="16">
        <f t="shared" si="83"/>
        <v>0</v>
      </c>
      <c r="BK76" s="14"/>
      <c r="BL76" s="15"/>
      <c r="BM76" s="16">
        <f t="shared" si="68"/>
        <v>0</v>
      </c>
      <c r="BN76" s="14"/>
      <c r="BO76" s="15"/>
      <c r="BP76" s="16">
        <f t="shared" si="97"/>
        <v>0</v>
      </c>
      <c r="BQ76" s="14"/>
      <c r="BR76" s="15"/>
      <c r="BS76" s="16">
        <f>IFERROR(BQ76*BR76, 0)</f>
        <v>0</v>
      </c>
      <c r="BT76" s="14"/>
      <c r="BU76" s="15"/>
      <c r="BV76" s="16">
        <f t="shared" si="84"/>
        <v>0</v>
      </c>
      <c r="BW76" s="14"/>
      <c r="BX76" s="15"/>
      <c r="BY76" s="16">
        <f t="shared" si="69"/>
        <v>0</v>
      </c>
      <c r="BZ76" s="14"/>
      <c r="CA76" s="15"/>
      <c r="CB76" s="16">
        <f t="shared" si="85"/>
        <v>0</v>
      </c>
      <c r="CC76" s="14"/>
      <c r="CD76" s="15"/>
      <c r="CE76" s="16">
        <f t="shared" si="86"/>
        <v>0</v>
      </c>
      <c r="CF76" s="14"/>
      <c r="CG76" s="15"/>
      <c r="CH76" s="16">
        <f t="shared" si="87"/>
        <v>0</v>
      </c>
      <c r="CI76" s="14"/>
      <c r="CJ76" s="15"/>
      <c r="CK76" s="16">
        <f t="shared" si="88"/>
        <v>0</v>
      </c>
      <c r="CL76" s="14"/>
      <c r="CM76" s="15"/>
      <c r="CN76" s="16">
        <f t="shared" si="89"/>
        <v>0</v>
      </c>
      <c r="CO76" s="14"/>
      <c r="CP76" s="15"/>
      <c r="CQ76" s="16">
        <f t="shared" si="90"/>
        <v>0</v>
      </c>
      <c r="CR76" s="14"/>
      <c r="CS76" s="15"/>
      <c r="CT76" s="16">
        <f t="shared" si="91"/>
        <v>0</v>
      </c>
      <c r="CU76" s="17">
        <f t="shared" si="92"/>
        <v>0</v>
      </c>
      <c r="CV76" s="16">
        <f t="shared" si="93"/>
        <v>0</v>
      </c>
      <c r="CW76" s="16">
        <f t="shared" si="94"/>
        <v>0</v>
      </c>
    </row>
    <row r="77" spans="1:102" ht="15.75" customHeight="1" x14ac:dyDescent="0.35">
      <c r="A77" s="41" t="s">
        <v>998</v>
      </c>
      <c r="B77" s="41" t="s">
        <v>935</v>
      </c>
      <c r="C77" s="42"/>
      <c r="D77" s="43"/>
      <c r="E77" s="78">
        <f t="shared" si="73"/>
        <v>0</v>
      </c>
      <c r="F77" s="14"/>
      <c r="G77" s="15"/>
      <c r="H77" s="16">
        <f t="shared" si="95"/>
        <v>0</v>
      </c>
      <c r="I77" s="14"/>
      <c r="J77" s="15"/>
      <c r="K77" s="16">
        <f>IFERROR(I77*J77, 0)</f>
        <v>0</v>
      </c>
      <c r="L77" s="14"/>
      <c r="M77" s="15"/>
      <c r="N77" s="16">
        <f t="shared" si="70"/>
        <v>0</v>
      </c>
      <c r="O77" s="14"/>
      <c r="P77" s="15"/>
      <c r="Q77" s="16">
        <f t="shared" si="71"/>
        <v>0</v>
      </c>
      <c r="R77" s="14"/>
      <c r="S77" s="15"/>
      <c r="T77" s="16">
        <f t="shared" si="74"/>
        <v>0</v>
      </c>
      <c r="U77" s="14"/>
      <c r="V77" s="15"/>
      <c r="W77" s="16">
        <f t="shared" si="75"/>
        <v>0</v>
      </c>
      <c r="X77" s="14"/>
      <c r="Y77" s="15"/>
      <c r="Z77" s="16">
        <f t="shared" si="98"/>
        <v>0</v>
      </c>
      <c r="AA77" s="14"/>
      <c r="AB77" s="15"/>
      <c r="AC77" s="16">
        <f t="shared" si="96"/>
        <v>0</v>
      </c>
      <c r="AD77" s="14"/>
      <c r="AE77" s="15"/>
      <c r="AF77" s="16">
        <f t="shared" si="76"/>
        <v>0</v>
      </c>
      <c r="AG77" s="14"/>
      <c r="AH77" s="15"/>
      <c r="AI77" s="16">
        <f t="shared" si="100"/>
        <v>0</v>
      </c>
      <c r="AJ77" s="14"/>
      <c r="AK77" s="15"/>
      <c r="AL77" s="16">
        <f t="shared" si="77"/>
        <v>0</v>
      </c>
      <c r="AM77" s="14"/>
      <c r="AN77" s="15"/>
      <c r="AO77" s="16">
        <f t="shared" si="78"/>
        <v>0</v>
      </c>
      <c r="AP77" s="14"/>
      <c r="AQ77" s="15"/>
      <c r="AR77" s="16">
        <f t="shared" si="79"/>
        <v>0</v>
      </c>
      <c r="AS77" s="14"/>
      <c r="AT77" s="15"/>
      <c r="AU77" s="16">
        <f t="shared" si="66"/>
        <v>0</v>
      </c>
      <c r="AV77" s="14"/>
      <c r="AW77" s="15"/>
      <c r="AX77" s="16">
        <f t="shared" si="80"/>
        <v>0</v>
      </c>
      <c r="AY77" s="14"/>
      <c r="AZ77" s="15"/>
      <c r="BA77" s="16">
        <f t="shared" si="81"/>
        <v>0</v>
      </c>
      <c r="BB77" s="14"/>
      <c r="BC77" s="15"/>
      <c r="BD77" s="16">
        <f t="shared" si="82"/>
        <v>0</v>
      </c>
      <c r="BE77" s="14"/>
      <c r="BF77" s="15"/>
      <c r="BG77" s="16">
        <f t="shared" si="99"/>
        <v>0</v>
      </c>
      <c r="BH77" s="14"/>
      <c r="BI77" s="15"/>
      <c r="BJ77" s="16">
        <f t="shared" si="83"/>
        <v>0</v>
      </c>
      <c r="BK77" s="14"/>
      <c r="BL77" s="15"/>
      <c r="BM77" s="16">
        <f t="shared" si="68"/>
        <v>0</v>
      </c>
      <c r="BN77" s="14"/>
      <c r="BO77" s="15"/>
      <c r="BP77" s="16">
        <f t="shared" si="97"/>
        <v>0</v>
      </c>
      <c r="BQ77" s="14"/>
      <c r="BR77" s="15"/>
      <c r="BS77" s="16">
        <f>IFERROR(BQ77*BR77, 0)</f>
        <v>0</v>
      </c>
      <c r="BT77" s="14"/>
      <c r="BU77" s="15"/>
      <c r="BV77" s="16">
        <f t="shared" si="84"/>
        <v>0</v>
      </c>
      <c r="BW77" s="14"/>
      <c r="BX77" s="15"/>
      <c r="BY77" s="16">
        <f t="shared" si="69"/>
        <v>0</v>
      </c>
      <c r="BZ77" s="14"/>
      <c r="CA77" s="15"/>
      <c r="CB77" s="16">
        <f t="shared" si="85"/>
        <v>0</v>
      </c>
      <c r="CC77" s="14"/>
      <c r="CD77" s="15"/>
      <c r="CE77" s="16">
        <f t="shared" si="86"/>
        <v>0</v>
      </c>
      <c r="CF77" s="14"/>
      <c r="CG77" s="15"/>
      <c r="CH77" s="16">
        <f t="shared" si="87"/>
        <v>0</v>
      </c>
      <c r="CI77" s="14"/>
      <c r="CJ77" s="15"/>
      <c r="CK77" s="16">
        <f t="shared" si="88"/>
        <v>0</v>
      </c>
      <c r="CL77" s="14"/>
      <c r="CM77" s="15"/>
      <c r="CN77" s="16">
        <f t="shared" si="89"/>
        <v>0</v>
      </c>
      <c r="CO77" s="14"/>
      <c r="CP77" s="15"/>
      <c r="CQ77" s="16">
        <f t="shared" si="90"/>
        <v>0</v>
      </c>
      <c r="CR77" s="14"/>
      <c r="CS77" s="15"/>
      <c r="CT77" s="16">
        <f t="shared" si="91"/>
        <v>0</v>
      </c>
      <c r="CU77" s="17">
        <f t="shared" si="92"/>
        <v>0</v>
      </c>
      <c r="CV77" s="16">
        <f t="shared" si="93"/>
        <v>0</v>
      </c>
      <c r="CW77" s="16">
        <f t="shared" si="94"/>
        <v>0</v>
      </c>
    </row>
    <row r="78" spans="1:102" ht="15.75" customHeight="1" x14ac:dyDescent="0.35">
      <c r="A78" s="41" t="s">
        <v>142</v>
      </c>
      <c r="B78" s="41" t="s">
        <v>935</v>
      </c>
      <c r="C78" s="42"/>
      <c r="D78" s="51"/>
      <c r="E78" s="78">
        <f t="shared" si="73"/>
        <v>0</v>
      </c>
      <c r="F78" s="14"/>
      <c r="G78" s="15"/>
      <c r="H78" s="16">
        <f t="shared" si="95"/>
        <v>0</v>
      </c>
      <c r="I78" s="14">
        <v>1</v>
      </c>
      <c r="J78" s="15">
        <v>30700</v>
      </c>
      <c r="K78" s="16">
        <v>30700</v>
      </c>
      <c r="L78" s="14"/>
      <c r="M78" s="15"/>
      <c r="N78" s="16">
        <f t="shared" si="70"/>
        <v>0</v>
      </c>
      <c r="O78" s="14"/>
      <c r="P78" s="15"/>
      <c r="Q78" s="16">
        <f t="shared" si="71"/>
        <v>0</v>
      </c>
      <c r="R78" s="14"/>
      <c r="S78" s="15"/>
      <c r="T78" s="16">
        <f t="shared" si="74"/>
        <v>0</v>
      </c>
      <c r="U78" s="14"/>
      <c r="V78" s="15"/>
      <c r="W78" s="16">
        <f t="shared" si="75"/>
        <v>0</v>
      </c>
      <c r="X78" s="14"/>
      <c r="Y78" s="15"/>
      <c r="Z78" s="16">
        <f t="shared" si="98"/>
        <v>0</v>
      </c>
      <c r="AA78" s="14"/>
      <c r="AB78" s="15"/>
      <c r="AC78" s="16">
        <f t="shared" si="96"/>
        <v>0</v>
      </c>
      <c r="AD78" s="14"/>
      <c r="AE78" s="15"/>
      <c r="AF78" s="16">
        <f t="shared" si="76"/>
        <v>0</v>
      </c>
      <c r="AG78" s="14"/>
      <c r="AH78" s="15"/>
      <c r="AI78" s="16">
        <f t="shared" si="100"/>
        <v>0</v>
      </c>
      <c r="AJ78" s="14"/>
      <c r="AK78" s="15"/>
      <c r="AL78" s="16">
        <f t="shared" si="77"/>
        <v>0</v>
      </c>
      <c r="AM78" s="14"/>
      <c r="AN78" s="15"/>
      <c r="AO78" s="16">
        <f t="shared" si="78"/>
        <v>0</v>
      </c>
      <c r="AP78" s="14"/>
      <c r="AQ78" s="15"/>
      <c r="AR78" s="16">
        <f t="shared" si="79"/>
        <v>0</v>
      </c>
      <c r="AS78" s="14"/>
      <c r="AT78" s="15"/>
      <c r="AU78" s="16">
        <f t="shared" si="66"/>
        <v>0</v>
      </c>
      <c r="AV78" s="14"/>
      <c r="AW78" s="15"/>
      <c r="AX78" s="16">
        <f t="shared" si="80"/>
        <v>0</v>
      </c>
      <c r="AY78" s="14"/>
      <c r="AZ78" s="15"/>
      <c r="BA78" s="16">
        <f t="shared" si="81"/>
        <v>0</v>
      </c>
      <c r="BB78" s="14"/>
      <c r="BC78" s="15"/>
      <c r="BD78" s="16">
        <f t="shared" si="82"/>
        <v>0</v>
      </c>
      <c r="BE78" s="14"/>
      <c r="BF78" s="15"/>
      <c r="BG78" s="16">
        <f t="shared" si="99"/>
        <v>0</v>
      </c>
      <c r="BH78" s="14"/>
      <c r="BI78" s="15"/>
      <c r="BJ78" s="16">
        <f t="shared" si="83"/>
        <v>0</v>
      </c>
      <c r="BK78" s="14"/>
      <c r="BL78" s="15"/>
      <c r="BM78" s="16">
        <f t="shared" si="68"/>
        <v>0</v>
      </c>
      <c r="BN78" s="14"/>
      <c r="BO78" s="15"/>
      <c r="BP78" s="16">
        <f t="shared" si="97"/>
        <v>0</v>
      </c>
      <c r="BQ78" s="14">
        <v>1</v>
      </c>
      <c r="BR78" s="15">
        <v>30700</v>
      </c>
      <c r="BS78" s="16">
        <v>30700</v>
      </c>
      <c r="BT78" s="14"/>
      <c r="BU78" s="15"/>
      <c r="BV78" s="16">
        <f t="shared" si="84"/>
        <v>0</v>
      </c>
      <c r="BW78" s="14"/>
      <c r="BX78" s="15"/>
      <c r="BY78" s="16">
        <f t="shared" si="69"/>
        <v>0</v>
      </c>
      <c r="BZ78" s="14"/>
      <c r="CA78" s="15"/>
      <c r="CB78" s="16">
        <f t="shared" si="85"/>
        <v>0</v>
      </c>
      <c r="CC78" s="14"/>
      <c r="CD78" s="15"/>
      <c r="CE78" s="16">
        <f t="shared" si="86"/>
        <v>0</v>
      </c>
      <c r="CF78" s="14"/>
      <c r="CG78" s="15"/>
      <c r="CH78" s="16">
        <f t="shared" si="87"/>
        <v>0</v>
      </c>
      <c r="CI78" s="14"/>
      <c r="CJ78" s="15"/>
      <c r="CK78" s="16">
        <f t="shared" si="88"/>
        <v>0</v>
      </c>
      <c r="CL78" s="14"/>
      <c r="CM78" s="15"/>
      <c r="CN78" s="16">
        <f t="shared" si="89"/>
        <v>0</v>
      </c>
      <c r="CO78" s="14"/>
      <c r="CP78" s="15"/>
      <c r="CQ78" s="16">
        <f t="shared" si="90"/>
        <v>0</v>
      </c>
      <c r="CR78" s="14"/>
      <c r="CS78" s="15"/>
      <c r="CT78" s="16">
        <f t="shared" si="91"/>
        <v>0</v>
      </c>
      <c r="CU78" s="17">
        <f t="shared" si="92"/>
        <v>2</v>
      </c>
      <c r="CV78" s="16">
        <f t="shared" si="93"/>
        <v>30700</v>
      </c>
      <c r="CW78" s="16">
        <f t="shared" si="94"/>
        <v>61400</v>
      </c>
    </row>
    <row r="79" spans="1:102" ht="15.75" customHeight="1" x14ac:dyDescent="0.35">
      <c r="A79" s="41" t="s">
        <v>999</v>
      </c>
      <c r="B79" s="41" t="s">
        <v>935</v>
      </c>
      <c r="C79" s="42"/>
      <c r="D79" s="43"/>
      <c r="E79" s="78">
        <f t="shared" si="73"/>
        <v>0</v>
      </c>
      <c r="F79" s="14"/>
      <c r="G79" s="15"/>
      <c r="H79" s="16">
        <f t="shared" si="95"/>
        <v>0</v>
      </c>
      <c r="I79" s="14"/>
      <c r="J79" s="15"/>
      <c r="K79" s="16">
        <f t="shared" ref="K79:K88" si="101">IFERROR(I79*J79, 0)</f>
        <v>0</v>
      </c>
      <c r="L79" s="14"/>
      <c r="M79" s="15"/>
      <c r="N79" s="16">
        <f t="shared" si="70"/>
        <v>0</v>
      </c>
      <c r="O79" s="14"/>
      <c r="P79" s="15"/>
      <c r="Q79" s="16">
        <f t="shared" si="71"/>
        <v>0</v>
      </c>
      <c r="R79" s="14"/>
      <c r="S79" s="15"/>
      <c r="T79" s="16">
        <f t="shared" si="74"/>
        <v>0</v>
      </c>
      <c r="U79" s="14"/>
      <c r="V79" s="15"/>
      <c r="W79" s="16">
        <f t="shared" si="75"/>
        <v>0</v>
      </c>
      <c r="X79" s="14"/>
      <c r="Y79" s="15"/>
      <c r="Z79" s="16">
        <f t="shared" si="98"/>
        <v>0</v>
      </c>
      <c r="AA79" s="14"/>
      <c r="AB79" s="15"/>
      <c r="AC79" s="16">
        <f t="shared" si="96"/>
        <v>0</v>
      </c>
      <c r="AD79" s="14"/>
      <c r="AE79" s="15"/>
      <c r="AF79" s="16">
        <f t="shared" si="76"/>
        <v>0</v>
      </c>
      <c r="AG79" s="14"/>
      <c r="AH79" s="15"/>
      <c r="AI79" s="16">
        <f t="shared" si="100"/>
        <v>0</v>
      </c>
      <c r="AJ79" s="14"/>
      <c r="AK79" s="15"/>
      <c r="AL79" s="16">
        <f t="shared" si="77"/>
        <v>0</v>
      </c>
      <c r="AM79" s="14"/>
      <c r="AN79" s="15"/>
      <c r="AO79" s="16">
        <f t="shared" si="78"/>
        <v>0</v>
      </c>
      <c r="AP79" s="14"/>
      <c r="AQ79" s="15"/>
      <c r="AR79" s="16">
        <f t="shared" si="79"/>
        <v>0</v>
      </c>
      <c r="AS79" s="14"/>
      <c r="AT79" s="15"/>
      <c r="AU79" s="16">
        <f t="shared" si="66"/>
        <v>0</v>
      </c>
      <c r="AV79" s="14"/>
      <c r="AW79" s="15"/>
      <c r="AX79" s="16">
        <f t="shared" si="80"/>
        <v>0</v>
      </c>
      <c r="AY79" s="14"/>
      <c r="AZ79" s="15"/>
      <c r="BA79" s="16">
        <f t="shared" si="81"/>
        <v>0</v>
      </c>
      <c r="BB79" s="14"/>
      <c r="BC79" s="15"/>
      <c r="BD79" s="16">
        <f t="shared" si="82"/>
        <v>0</v>
      </c>
      <c r="BE79" s="14"/>
      <c r="BF79" s="15"/>
      <c r="BG79" s="16">
        <f t="shared" si="99"/>
        <v>0</v>
      </c>
      <c r="BH79" s="14"/>
      <c r="BI79" s="15"/>
      <c r="BJ79" s="16">
        <f t="shared" si="83"/>
        <v>0</v>
      </c>
      <c r="BK79" s="14"/>
      <c r="BL79" s="15"/>
      <c r="BM79" s="16">
        <f t="shared" si="68"/>
        <v>0</v>
      </c>
      <c r="BN79" s="14"/>
      <c r="BO79" s="15"/>
      <c r="BP79" s="16">
        <f t="shared" si="97"/>
        <v>0</v>
      </c>
      <c r="BQ79" s="14"/>
      <c r="BR79" s="15"/>
      <c r="BS79" s="16">
        <f>IFERROR(BQ79*BR79, 0)</f>
        <v>0</v>
      </c>
      <c r="BT79" s="14"/>
      <c r="BU79" s="15"/>
      <c r="BV79" s="16">
        <f t="shared" si="84"/>
        <v>0</v>
      </c>
      <c r="BW79" s="14"/>
      <c r="BX79" s="15"/>
      <c r="BY79" s="16">
        <f t="shared" si="69"/>
        <v>0</v>
      </c>
      <c r="BZ79" s="14"/>
      <c r="CA79" s="15"/>
      <c r="CB79" s="16">
        <f t="shared" si="85"/>
        <v>0</v>
      </c>
      <c r="CC79" s="14"/>
      <c r="CD79" s="15"/>
      <c r="CE79" s="16">
        <f t="shared" si="86"/>
        <v>0</v>
      </c>
      <c r="CF79" s="14"/>
      <c r="CG79" s="15"/>
      <c r="CH79" s="16">
        <f t="shared" si="87"/>
        <v>0</v>
      </c>
      <c r="CI79" s="14"/>
      <c r="CJ79" s="15"/>
      <c r="CK79" s="16">
        <f t="shared" si="88"/>
        <v>0</v>
      </c>
      <c r="CL79" s="14"/>
      <c r="CM79" s="15"/>
      <c r="CN79" s="16">
        <f t="shared" si="89"/>
        <v>0</v>
      </c>
      <c r="CO79" s="14"/>
      <c r="CP79" s="15"/>
      <c r="CQ79" s="16">
        <f t="shared" si="90"/>
        <v>0</v>
      </c>
      <c r="CR79" s="14"/>
      <c r="CS79" s="15"/>
      <c r="CT79" s="16">
        <f t="shared" si="91"/>
        <v>0</v>
      </c>
      <c r="CU79" s="17">
        <f t="shared" si="92"/>
        <v>0</v>
      </c>
      <c r="CV79" s="16">
        <f t="shared" si="93"/>
        <v>0</v>
      </c>
      <c r="CW79" s="16">
        <f t="shared" si="94"/>
        <v>0</v>
      </c>
    </row>
    <row r="80" spans="1:102" ht="15.75" customHeight="1" x14ac:dyDescent="0.35">
      <c r="A80" s="41" t="s">
        <v>713</v>
      </c>
      <c r="B80" s="41" t="s">
        <v>935</v>
      </c>
      <c r="C80" s="42"/>
      <c r="D80" s="43"/>
      <c r="E80" s="78">
        <f t="shared" si="73"/>
        <v>0</v>
      </c>
      <c r="F80" s="14"/>
      <c r="G80" s="15"/>
      <c r="H80" s="16">
        <f t="shared" si="95"/>
        <v>0</v>
      </c>
      <c r="I80" s="14"/>
      <c r="J80" s="15"/>
      <c r="K80" s="16">
        <f t="shared" si="101"/>
        <v>0</v>
      </c>
      <c r="L80" s="14"/>
      <c r="M80" s="15"/>
      <c r="N80" s="16">
        <f t="shared" si="70"/>
        <v>0</v>
      </c>
      <c r="O80" s="14"/>
      <c r="P80" s="15"/>
      <c r="Q80" s="16">
        <f t="shared" si="71"/>
        <v>0</v>
      </c>
      <c r="R80" s="14"/>
      <c r="S80" s="15"/>
      <c r="T80" s="16">
        <f t="shared" si="74"/>
        <v>0</v>
      </c>
      <c r="U80" s="14"/>
      <c r="V80" s="15"/>
      <c r="W80" s="16">
        <f t="shared" si="75"/>
        <v>0</v>
      </c>
      <c r="X80" s="14"/>
      <c r="Y80" s="15"/>
      <c r="Z80" s="16">
        <f t="shared" si="98"/>
        <v>0</v>
      </c>
      <c r="AA80" s="14"/>
      <c r="AB80" s="15"/>
      <c r="AC80" s="16">
        <f t="shared" si="96"/>
        <v>0</v>
      </c>
      <c r="AD80" s="14"/>
      <c r="AE80" s="15"/>
      <c r="AF80" s="16">
        <f t="shared" si="76"/>
        <v>0</v>
      </c>
      <c r="AG80" s="14"/>
      <c r="AH80" s="15"/>
      <c r="AI80" s="16">
        <f t="shared" si="100"/>
        <v>0</v>
      </c>
      <c r="AJ80" s="14"/>
      <c r="AK80" s="15"/>
      <c r="AL80" s="16">
        <f t="shared" si="77"/>
        <v>0</v>
      </c>
      <c r="AM80" s="14"/>
      <c r="AN80" s="15"/>
      <c r="AO80" s="16">
        <f t="shared" si="78"/>
        <v>0</v>
      </c>
      <c r="AP80" s="14"/>
      <c r="AQ80" s="15"/>
      <c r="AR80" s="16">
        <f t="shared" si="79"/>
        <v>0</v>
      </c>
      <c r="AS80" s="14"/>
      <c r="AT80" s="15"/>
      <c r="AU80" s="16">
        <f t="shared" si="66"/>
        <v>0</v>
      </c>
      <c r="AV80" s="14"/>
      <c r="AW80" s="15"/>
      <c r="AX80" s="16">
        <f t="shared" si="80"/>
        <v>0</v>
      </c>
      <c r="AY80" s="14"/>
      <c r="AZ80" s="15"/>
      <c r="BA80" s="16">
        <f t="shared" si="81"/>
        <v>0</v>
      </c>
      <c r="BB80" s="14"/>
      <c r="BC80" s="15"/>
      <c r="BD80" s="16">
        <f t="shared" si="82"/>
        <v>0</v>
      </c>
      <c r="BE80" s="14"/>
      <c r="BF80" s="15"/>
      <c r="BG80" s="16">
        <f t="shared" si="99"/>
        <v>0</v>
      </c>
      <c r="BH80" s="14"/>
      <c r="BI80" s="15"/>
      <c r="BJ80" s="16">
        <f t="shared" si="83"/>
        <v>0</v>
      </c>
      <c r="BK80" s="14"/>
      <c r="BL80" s="15"/>
      <c r="BM80" s="16">
        <f t="shared" si="68"/>
        <v>0</v>
      </c>
      <c r="BN80" s="14"/>
      <c r="BO80" s="15"/>
      <c r="BP80" s="16">
        <f t="shared" si="97"/>
        <v>0</v>
      </c>
      <c r="BQ80" s="14"/>
      <c r="BR80" s="15"/>
      <c r="BS80" s="16">
        <f>IFERROR(BQ80*BR80, 0)</f>
        <v>0</v>
      </c>
      <c r="BT80" s="14"/>
      <c r="BU80" s="15"/>
      <c r="BV80" s="16">
        <f t="shared" si="84"/>
        <v>0</v>
      </c>
      <c r="BW80" s="14"/>
      <c r="BX80" s="15"/>
      <c r="BY80" s="16">
        <f t="shared" si="69"/>
        <v>0</v>
      </c>
      <c r="BZ80" s="14"/>
      <c r="CA80" s="15"/>
      <c r="CB80" s="16">
        <f t="shared" si="85"/>
        <v>0</v>
      </c>
      <c r="CC80" s="14"/>
      <c r="CD80" s="15"/>
      <c r="CE80" s="16">
        <f t="shared" si="86"/>
        <v>0</v>
      </c>
      <c r="CF80" s="14"/>
      <c r="CG80" s="15"/>
      <c r="CH80" s="16">
        <f t="shared" si="87"/>
        <v>0</v>
      </c>
      <c r="CI80" s="14"/>
      <c r="CJ80" s="15"/>
      <c r="CK80" s="16">
        <f t="shared" si="88"/>
        <v>0</v>
      </c>
      <c r="CL80" s="14"/>
      <c r="CM80" s="15"/>
      <c r="CN80" s="16">
        <f t="shared" si="89"/>
        <v>0</v>
      </c>
      <c r="CO80" s="14"/>
      <c r="CP80" s="15"/>
      <c r="CQ80" s="16">
        <f t="shared" si="90"/>
        <v>0</v>
      </c>
      <c r="CR80" s="14"/>
      <c r="CS80" s="15"/>
      <c r="CT80" s="16">
        <f t="shared" si="91"/>
        <v>0</v>
      </c>
      <c r="CU80" s="17">
        <f t="shared" si="92"/>
        <v>0</v>
      </c>
      <c r="CV80" s="16">
        <f t="shared" si="93"/>
        <v>0</v>
      </c>
      <c r="CW80" s="16">
        <f t="shared" si="94"/>
        <v>0</v>
      </c>
    </row>
    <row r="81" spans="1:101" ht="15.75" customHeight="1" x14ac:dyDescent="0.35">
      <c r="A81" s="41" t="s">
        <v>1000</v>
      </c>
      <c r="B81" s="41" t="s">
        <v>935</v>
      </c>
      <c r="C81" s="42"/>
      <c r="D81" s="43"/>
      <c r="E81" s="78">
        <f t="shared" si="73"/>
        <v>0</v>
      </c>
      <c r="F81" s="14"/>
      <c r="G81" s="15"/>
      <c r="H81" s="16">
        <f t="shared" si="95"/>
        <v>0</v>
      </c>
      <c r="I81" s="14"/>
      <c r="J81" s="15"/>
      <c r="K81" s="16">
        <f t="shared" si="101"/>
        <v>0</v>
      </c>
      <c r="L81" s="14"/>
      <c r="M81" s="15"/>
      <c r="N81" s="16">
        <f t="shared" si="70"/>
        <v>0</v>
      </c>
      <c r="O81" s="14"/>
      <c r="P81" s="15"/>
      <c r="Q81" s="16">
        <f t="shared" si="71"/>
        <v>0</v>
      </c>
      <c r="R81" s="14"/>
      <c r="S81" s="15"/>
      <c r="T81" s="16">
        <f t="shared" si="74"/>
        <v>0</v>
      </c>
      <c r="U81" s="14"/>
      <c r="V81" s="15"/>
      <c r="W81" s="16">
        <f t="shared" si="75"/>
        <v>0</v>
      </c>
      <c r="X81" s="14"/>
      <c r="Y81" s="15"/>
      <c r="Z81" s="16">
        <f t="shared" si="98"/>
        <v>0</v>
      </c>
      <c r="AA81" s="14"/>
      <c r="AB81" s="15"/>
      <c r="AC81" s="16">
        <f t="shared" si="96"/>
        <v>0</v>
      </c>
      <c r="AD81" s="14"/>
      <c r="AE81" s="15"/>
      <c r="AF81" s="16">
        <f t="shared" si="76"/>
        <v>0</v>
      </c>
      <c r="AG81" s="14"/>
      <c r="AH81" s="15"/>
      <c r="AI81" s="16">
        <f t="shared" si="100"/>
        <v>0</v>
      </c>
      <c r="AJ81" s="14"/>
      <c r="AK81" s="15"/>
      <c r="AL81" s="16">
        <f t="shared" si="77"/>
        <v>0</v>
      </c>
      <c r="AM81" s="14"/>
      <c r="AN81" s="15"/>
      <c r="AO81" s="16">
        <f t="shared" si="78"/>
        <v>0</v>
      </c>
      <c r="AP81" s="14"/>
      <c r="AQ81" s="15"/>
      <c r="AR81" s="16">
        <f t="shared" si="79"/>
        <v>0</v>
      </c>
      <c r="AS81" s="14"/>
      <c r="AT81" s="15"/>
      <c r="AU81" s="16">
        <f t="shared" si="66"/>
        <v>0</v>
      </c>
      <c r="AV81" s="14"/>
      <c r="AW81" s="15"/>
      <c r="AX81" s="16">
        <f t="shared" si="80"/>
        <v>0</v>
      </c>
      <c r="AY81" s="14"/>
      <c r="AZ81" s="15"/>
      <c r="BA81" s="16">
        <f t="shared" si="81"/>
        <v>0</v>
      </c>
      <c r="BB81" s="14"/>
      <c r="BC81" s="15"/>
      <c r="BD81" s="16">
        <f t="shared" si="82"/>
        <v>0</v>
      </c>
      <c r="BE81" s="14"/>
      <c r="BF81" s="15"/>
      <c r="BG81" s="16">
        <f t="shared" si="99"/>
        <v>0</v>
      </c>
      <c r="BH81" s="14"/>
      <c r="BI81" s="15"/>
      <c r="BJ81" s="16">
        <f t="shared" si="83"/>
        <v>0</v>
      </c>
      <c r="BK81" s="14"/>
      <c r="BL81" s="15"/>
      <c r="BM81" s="16">
        <f t="shared" si="68"/>
        <v>0</v>
      </c>
      <c r="BN81" s="14"/>
      <c r="BO81" s="15"/>
      <c r="BP81" s="16">
        <f t="shared" si="97"/>
        <v>0</v>
      </c>
      <c r="BQ81" s="14"/>
      <c r="BR81" s="15"/>
      <c r="BS81" s="16">
        <f>IFERROR(BQ81*BR81, 0)</f>
        <v>0</v>
      </c>
      <c r="BT81" s="14"/>
      <c r="BU81" s="15"/>
      <c r="BV81" s="16">
        <f t="shared" si="84"/>
        <v>0</v>
      </c>
      <c r="BW81" s="14"/>
      <c r="BX81" s="15"/>
      <c r="BY81" s="16">
        <f t="shared" si="69"/>
        <v>0</v>
      </c>
      <c r="BZ81" s="14"/>
      <c r="CA81" s="15"/>
      <c r="CB81" s="16">
        <f t="shared" si="85"/>
        <v>0</v>
      </c>
      <c r="CC81" s="14"/>
      <c r="CD81" s="15"/>
      <c r="CE81" s="16">
        <f t="shared" si="86"/>
        <v>0</v>
      </c>
      <c r="CF81" s="14"/>
      <c r="CG81" s="15"/>
      <c r="CH81" s="16">
        <f t="shared" si="87"/>
        <v>0</v>
      </c>
      <c r="CI81" s="14"/>
      <c r="CJ81" s="15"/>
      <c r="CK81" s="16">
        <f t="shared" si="88"/>
        <v>0</v>
      </c>
      <c r="CL81" s="14"/>
      <c r="CM81" s="15"/>
      <c r="CN81" s="16">
        <f t="shared" si="89"/>
        <v>0</v>
      </c>
      <c r="CO81" s="14"/>
      <c r="CP81" s="15"/>
      <c r="CQ81" s="16">
        <f t="shared" si="90"/>
        <v>0</v>
      </c>
      <c r="CR81" s="14"/>
      <c r="CS81" s="15"/>
      <c r="CT81" s="16">
        <f t="shared" si="91"/>
        <v>0</v>
      </c>
      <c r="CU81" s="17">
        <f t="shared" si="92"/>
        <v>0</v>
      </c>
      <c r="CV81" s="16">
        <f t="shared" si="93"/>
        <v>0</v>
      </c>
      <c r="CW81" s="16">
        <f t="shared" si="94"/>
        <v>0</v>
      </c>
    </row>
    <row r="82" spans="1:101" ht="15.75" customHeight="1" x14ac:dyDescent="0.35">
      <c r="A82" s="41" t="s">
        <v>1001</v>
      </c>
      <c r="B82" s="41" t="s">
        <v>935</v>
      </c>
      <c r="C82" s="42"/>
      <c r="D82" s="43"/>
      <c r="E82" s="78">
        <f t="shared" si="73"/>
        <v>0</v>
      </c>
      <c r="F82" s="14"/>
      <c r="G82" s="15"/>
      <c r="H82" s="16">
        <f t="shared" si="95"/>
        <v>0</v>
      </c>
      <c r="I82" s="14"/>
      <c r="J82" s="15"/>
      <c r="K82" s="16">
        <f t="shared" si="101"/>
        <v>0</v>
      </c>
      <c r="L82" s="14"/>
      <c r="M82" s="15"/>
      <c r="N82" s="16">
        <f t="shared" si="70"/>
        <v>0</v>
      </c>
      <c r="O82" s="14"/>
      <c r="P82" s="15"/>
      <c r="Q82" s="16">
        <f t="shared" si="71"/>
        <v>0</v>
      </c>
      <c r="R82" s="14"/>
      <c r="S82" s="15"/>
      <c r="T82" s="16">
        <f t="shared" si="74"/>
        <v>0</v>
      </c>
      <c r="U82" s="14"/>
      <c r="V82" s="15"/>
      <c r="W82" s="16">
        <f t="shared" si="75"/>
        <v>0</v>
      </c>
      <c r="X82" s="14"/>
      <c r="Y82" s="15"/>
      <c r="Z82" s="16">
        <f t="shared" si="98"/>
        <v>0</v>
      </c>
      <c r="AA82" s="14"/>
      <c r="AB82" s="15"/>
      <c r="AC82" s="16">
        <f t="shared" si="96"/>
        <v>0</v>
      </c>
      <c r="AD82" s="14"/>
      <c r="AE82" s="15"/>
      <c r="AF82" s="16">
        <f t="shared" si="76"/>
        <v>0</v>
      </c>
      <c r="AG82" s="14"/>
      <c r="AH82" s="15"/>
      <c r="AI82" s="16">
        <f t="shared" si="100"/>
        <v>0</v>
      </c>
      <c r="AJ82" s="14"/>
      <c r="AK82" s="15"/>
      <c r="AL82" s="16">
        <f t="shared" si="77"/>
        <v>0</v>
      </c>
      <c r="AM82" s="14"/>
      <c r="AN82" s="15"/>
      <c r="AO82" s="16">
        <f t="shared" si="78"/>
        <v>0</v>
      </c>
      <c r="AP82" s="14"/>
      <c r="AQ82" s="15"/>
      <c r="AR82" s="16">
        <f t="shared" si="79"/>
        <v>0</v>
      </c>
      <c r="AS82" s="14"/>
      <c r="AT82" s="15"/>
      <c r="AU82" s="16">
        <f t="shared" ref="AU82:AU113" si="102">IFERROR(AS82*AT82, 0)</f>
        <v>0</v>
      </c>
      <c r="AV82" s="14"/>
      <c r="AW82" s="15"/>
      <c r="AX82" s="16">
        <f t="shared" si="80"/>
        <v>0</v>
      </c>
      <c r="AY82" s="14"/>
      <c r="AZ82" s="15"/>
      <c r="BA82" s="16">
        <f t="shared" si="81"/>
        <v>0</v>
      </c>
      <c r="BB82" s="14"/>
      <c r="BC82" s="15"/>
      <c r="BD82" s="16">
        <f t="shared" si="82"/>
        <v>0</v>
      </c>
      <c r="BE82" s="14"/>
      <c r="BF82" s="15"/>
      <c r="BG82" s="16">
        <f t="shared" si="99"/>
        <v>0</v>
      </c>
      <c r="BH82" s="14"/>
      <c r="BI82" s="15"/>
      <c r="BJ82" s="16">
        <f t="shared" si="83"/>
        <v>0</v>
      </c>
      <c r="BK82" s="14"/>
      <c r="BL82" s="15"/>
      <c r="BM82" s="16">
        <f t="shared" ref="BM82:BM104" si="103">IFERROR(BK82*BL82, 0)</f>
        <v>0</v>
      </c>
      <c r="BN82" s="14"/>
      <c r="BO82" s="15"/>
      <c r="BP82" s="16">
        <f t="shared" si="97"/>
        <v>0</v>
      </c>
      <c r="BQ82" s="14"/>
      <c r="BR82" s="15"/>
      <c r="BS82" s="16">
        <f>IFERROR(BQ82*BR82, 0)</f>
        <v>0</v>
      </c>
      <c r="BT82" s="14"/>
      <c r="BU82" s="15"/>
      <c r="BV82" s="16">
        <f t="shared" si="84"/>
        <v>0</v>
      </c>
      <c r="BW82" s="14"/>
      <c r="BX82" s="15"/>
      <c r="BY82" s="16">
        <f t="shared" si="69"/>
        <v>0</v>
      </c>
      <c r="BZ82" s="14"/>
      <c r="CA82" s="15"/>
      <c r="CB82" s="16">
        <f t="shared" si="85"/>
        <v>0</v>
      </c>
      <c r="CC82" s="14"/>
      <c r="CD82" s="15"/>
      <c r="CE82" s="16">
        <f t="shared" si="86"/>
        <v>0</v>
      </c>
      <c r="CF82" s="14"/>
      <c r="CG82" s="15"/>
      <c r="CH82" s="16">
        <f t="shared" si="87"/>
        <v>0</v>
      </c>
      <c r="CI82" s="14"/>
      <c r="CJ82" s="15"/>
      <c r="CK82" s="16">
        <f t="shared" si="88"/>
        <v>0</v>
      </c>
      <c r="CL82" s="14"/>
      <c r="CM82" s="15"/>
      <c r="CN82" s="16">
        <f t="shared" si="89"/>
        <v>0</v>
      </c>
      <c r="CO82" s="14"/>
      <c r="CP82" s="15"/>
      <c r="CQ82" s="16">
        <f t="shared" si="90"/>
        <v>0</v>
      </c>
      <c r="CR82" s="14"/>
      <c r="CS82" s="15"/>
      <c r="CT82" s="16">
        <f t="shared" si="91"/>
        <v>0</v>
      </c>
      <c r="CU82" s="17">
        <f t="shared" si="92"/>
        <v>0</v>
      </c>
      <c r="CV82" s="16">
        <f t="shared" si="93"/>
        <v>0</v>
      </c>
      <c r="CW82" s="16">
        <f t="shared" si="94"/>
        <v>0</v>
      </c>
    </row>
    <row r="83" spans="1:101" ht="15.75" customHeight="1" x14ac:dyDescent="0.35">
      <c r="A83" s="41" t="s">
        <v>1002</v>
      </c>
      <c r="B83" s="41" t="s">
        <v>935</v>
      </c>
      <c r="C83" s="42"/>
      <c r="D83" s="43"/>
      <c r="E83" s="78">
        <f t="shared" si="73"/>
        <v>0</v>
      </c>
      <c r="F83" s="14"/>
      <c r="G83" s="15"/>
      <c r="H83" s="16">
        <f t="shared" si="95"/>
        <v>0</v>
      </c>
      <c r="I83" s="14"/>
      <c r="J83" s="15"/>
      <c r="K83" s="16">
        <f t="shared" si="101"/>
        <v>0</v>
      </c>
      <c r="L83" s="14"/>
      <c r="M83" s="15"/>
      <c r="N83" s="16">
        <f t="shared" si="70"/>
        <v>0</v>
      </c>
      <c r="O83" s="14"/>
      <c r="P83" s="15"/>
      <c r="Q83" s="16">
        <f t="shared" si="71"/>
        <v>0</v>
      </c>
      <c r="R83" s="14"/>
      <c r="S83" s="15"/>
      <c r="T83" s="16">
        <f t="shared" si="74"/>
        <v>0</v>
      </c>
      <c r="U83" s="14"/>
      <c r="V83" s="15"/>
      <c r="W83" s="16">
        <f t="shared" si="75"/>
        <v>0</v>
      </c>
      <c r="X83" s="14"/>
      <c r="Y83" s="15"/>
      <c r="Z83" s="16">
        <f t="shared" si="98"/>
        <v>0</v>
      </c>
      <c r="AA83" s="14"/>
      <c r="AB83" s="15"/>
      <c r="AC83" s="16">
        <f t="shared" si="96"/>
        <v>0</v>
      </c>
      <c r="AD83" s="14"/>
      <c r="AE83" s="15"/>
      <c r="AF83" s="16">
        <f t="shared" si="76"/>
        <v>0</v>
      </c>
      <c r="AG83" s="14"/>
      <c r="AH83" s="15"/>
      <c r="AI83" s="16">
        <f t="shared" si="100"/>
        <v>0</v>
      </c>
      <c r="AJ83" s="14"/>
      <c r="AK83" s="15"/>
      <c r="AL83" s="16">
        <f t="shared" si="77"/>
        <v>0</v>
      </c>
      <c r="AM83" s="14"/>
      <c r="AN83" s="15"/>
      <c r="AO83" s="16">
        <f t="shared" si="78"/>
        <v>0</v>
      </c>
      <c r="AP83" s="14"/>
      <c r="AQ83" s="15"/>
      <c r="AR83" s="16">
        <f t="shared" si="79"/>
        <v>0</v>
      </c>
      <c r="AS83" s="14"/>
      <c r="AT83" s="15"/>
      <c r="AU83" s="16">
        <f t="shared" si="102"/>
        <v>0</v>
      </c>
      <c r="AV83" s="14"/>
      <c r="AW83" s="15"/>
      <c r="AX83" s="16">
        <f t="shared" si="80"/>
        <v>0</v>
      </c>
      <c r="AY83" s="14"/>
      <c r="AZ83" s="15"/>
      <c r="BA83" s="16">
        <f t="shared" si="81"/>
        <v>0</v>
      </c>
      <c r="BB83" s="14"/>
      <c r="BC83" s="15"/>
      <c r="BD83" s="16">
        <f t="shared" si="82"/>
        <v>0</v>
      </c>
      <c r="BE83" s="14"/>
      <c r="BF83" s="15"/>
      <c r="BG83" s="16">
        <f t="shared" si="99"/>
        <v>0</v>
      </c>
      <c r="BH83" s="14"/>
      <c r="BI83" s="15"/>
      <c r="BJ83" s="16">
        <f t="shared" si="83"/>
        <v>0</v>
      </c>
      <c r="BK83" s="14"/>
      <c r="BL83" s="15"/>
      <c r="BM83" s="16">
        <f t="shared" si="103"/>
        <v>0</v>
      </c>
      <c r="BN83" s="14"/>
      <c r="BO83" s="15"/>
      <c r="BP83" s="16">
        <f t="shared" si="97"/>
        <v>0</v>
      </c>
      <c r="BQ83" s="14"/>
      <c r="BR83" s="15"/>
      <c r="BS83" s="16">
        <f>IFERROR(BQ83*BR83, 0)</f>
        <v>0</v>
      </c>
      <c r="BT83" s="14"/>
      <c r="BU83" s="15"/>
      <c r="BV83" s="16">
        <f t="shared" si="84"/>
        <v>0</v>
      </c>
      <c r="BW83" s="14"/>
      <c r="BX83" s="15"/>
      <c r="BY83" s="16">
        <f t="shared" si="69"/>
        <v>0</v>
      </c>
      <c r="BZ83" s="14"/>
      <c r="CA83" s="15"/>
      <c r="CB83" s="16">
        <f t="shared" si="85"/>
        <v>0</v>
      </c>
      <c r="CC83" s="14"/>
      <c r="CD83" s="15"/>
      <c r="CE83" s="16">
        <f t="shared" si="86"/>
        <v>0</v>
      </c>
      <c r="CF83" s="14"/>
      <c r="CG83" s="15"/>
      <c r="CH83" s="16">
        <f t="shared" si="87"/>
        <v>0</v>
      </c>
      <c r="CI83" s="14"/>
      <c r="CJ83" s="15"/>
      <c r="CK83" s="16">
        <f t="shared" si="88"/>
        <v>0</v>
      </c>
      <c r="CL83" s="14"/>
      <c r="CM83" s="15"/>
      <c r="CN83" s="16">
        <f t="shared" si="89"/>
        <v>0</v>
      </c>
      <c r="CO83" s="14"/>
      <c r="CP83" s="15"/>
      <c r="CQ83" s="16">
        <f t="shared" si="90"/>
        <v>0</v>
      </c>
      <c r="CR83" s="14"/>
      <c r="CS83" s="15"/>
      <c r="CT83" s="16">
        <f t="shared" si="91"/>
        <v>0</v>
      </c>
      <c r="CU83" s="17">
        <f t="shared" si="92"/>
        <v>0</v>
      </c>
      <c r="CV83" s="16">
        <f t="shared" si="93"/>
        <v>0</v>
      </c>
      <c r="CW83" s="16">
        <f t="shared" si="94"/>
        <v>0</v>
      </c>
    </row>
    <row r="84" spans="1:101" ht="15.75" customHeight="1" x14ac:dyDescent="0.35">
      <c r="A84" s="41" t="s">
        <v>673</v>
      </c>
      <c r="B84" s="41" t="s">
        <v>940</v>
      </c>
      <c r="C84" s="42"/>
      <c r="D84" s="43"/>
      <c r="E84" s="78">
        <f t="shared" si="73"/>
        <v>0</v>
      </c>
      <c r="F84" s="14"/>
      <c r="G84" s="15"/>
      <c r="H84" s="16">
        <f t="shared" si="95"/>
        <v>0</v>
      </c>
      <c r="I84" s="14"/>
      <c r="J84" s="15"/>
      <c r="K84" s="16">
        <f t="shared" si="101"/>
        <v>0</v>
      </c>
      <c r="L84" s="14"/>
      <c r="M84" s="15"/>
      <c r="N84" s="16">
        <f t="shared" si="70"/>
        <v>0</v>
      </c>
      <c r="O84" s="14"/>
      <c r="P84" s="15"/>
      <c r="Q84" s="16">
        <f t="shared" si="71"/>
        <v>0</v>
      </c>
      <c r="R84" s="14"/>
      <c r="S84" s="15"/>
      <c r="T84" s="16">
        <f t="shared" si="74"/>
        <v>0</v>
      </c>
      <c r="U84" s="14"/>
      <c r="V84" s="15"/>
      <c r="W84" s="16">
        <f t="shared" si="75"/>
        <v>0</v>
      </c>
      <c r="X84" s="14"/>
      <c r="Y84" s="15"/>
      <c r="Z84" s="16">
        <f t="shared" si="98"/>
        <v>0</v>
      </c>
      <c r="AA84" s="14"/>
      <c r="AB84" s="15"/>
      <c r="AC84" s="16">
        <f t="shared" si="96"/>
        <v>0</v>
      </c>
      <c r="AD84" s="14"/>
      <c r="AE84" s="15"/>
      <c r="AF84" s="16">
        <f t="shared" si="76"/>
        <v>0</v>
      </c>
      <c r="AG84" s="14"/>
      <c r="AH84" s="15"/>
      <c r="AI84" s="16">
        <f t="shared" si="100"/>
        <v>0</v>
      </c>
      <c r="AJ84" s="14"/>
      <c r="AK84" s="15"/>
      <c r="AL84" s="16">
        <f t="shared" si="77"/>
        <v>0</v>
      </c>
      <c r="AM84" s="14"/>
      <c r="AN84" s="15"/>
      <c r="AO84" s="16">
        <f t="shared" si="78"/>
        <v>0</v>
      </c>
      <c r="AP84" s="14"/>
      <c r="AQ84" s="15"/>
      <c r="AR84" s="16">
        <f t="shared" si="79"/>
        <v>0</v>
      </c>
      <c r="AS84" s="14"/>
      <c r="AT84" s="15"/>
      <c r="AU84" s="16">
        <f t="shared" si="102"/>
        <v>0</v>
      </c>
      <c r="AV84" s="14"/>
      <c r="AW84" s="15"/>
      <c r="AX84" s="16">
        <f t="shared" si="80"/>
        <v>0</v>
      </c>
      <c r="AY84" s="14"/>
      <c r="AZ84" s="15"/>
      <c r="BA84" s="16">
        <f t="shared" si="81"/>
        <v>0</v>
      </c>
      <c r="BB84" s="14"/>
      <c r="BC84" s="15"/>
      <c r="BD84" s="16">
        <f t="shared" si="82"/>
        <v>0</v>
      </c>
      <c r="BE84" s="14"/>
      <c r="BF84" s="15"/>
      <c r="BG84" s="16">
        <f t="shared" si="99"/>
        <v>0</v>
      </c>
      <c r="BH84" s="14"/>
      <c r="BI84" s="15"/>
      <c r="BJ84" s="16">
        <f t="shared" si="83"/>
        <v>0</v>
      </c>
      <c r="BK84" s="14"/>
      <c r="BL84" s="15"/>
      <c r="BM84" s="16">
        <f t="shared" si="103"/>
        <v>0</v>
      </c>
      <c r="BN84" s="14"/>
      <c r="BO84" s="15"/>
      <c r="BP84" s="16">
        <f t="shared" si="97"/>
        <v>0</v>
      </c>
      <c r="BQ84" s="14">
        <v>1</v>
      </c>
      <c r="BR84" s="15">
        <v>8200</v>
      </c>
      <c r="BS84" s="16">
        <v>8200</v>
      </c>
      <c r="BT84" s="14"/>
      <c r="BU84" s="15"/>
      <c r="BV84" s="16">
        <f t="shared" si="84"/>
        <v>0</v>
      </c>
      <c r="BW84" s="14"/>
      <c r="BX84" s="15"/>
      <c r="BY84" s="16">
        <f t="shared" ref="BY84:BY115" si="104">IFERROR(BW84*BX84, 0)</f>
        <v>0</v>
      </c>
      <c r="BZ84" s="14"/>
      <c r="CA84" s="15"/>
      <c r="CB84" s="16">
        <f t="shared" si="85"/>
        <v>0</v>
      </c>
      <c r="CC84" s="14"/>
      <c r="CD84" s="15"/>
      <c r="CE84" s="16">
        <f t="shared" si="86"/>
        <v>0</v>
      </c>
      <c r="CF84" s="14"/>
      <c r="CG84" s="15"/>
      <c r="CH84" s="16">
        <f t="shared" si="87"/>
        <v>0</v>
      </c>
      <c r="CI84" s="14"/>
      <c r="CJ84" s="15"/>
      <c r="CK84" s="16">
        <f t="shared" si="88"/>
        <v>0</v>
      </c>
      <c r="CL84" s="14"/>
      <c r="CM84" s="15"/>
      <c r="CN84" s="16">
        <f t="shared" si="89"/>
        <v>0</v>
      </c>
      <c r="CO84" s="14"/>
      <c r="CP84" s="15"/>
      <c r="CQ84" s="16">
        <f t="shared" si="90"/>
        <v>0</v>
      </c>
      <c r="CR84" s="14"/>
      <c r="CS84" s="15"/>
      <c r="CT84" s="16">
        <f t="shared" si="91"/>
        <v>0</v>
      </c>
      <c r="CU84" s="17">
        <f t="shared" si="92"/>
        <v>1</v>
      </c>
      <c r="CV84" s="16">
        <f t="shared" si="93"/>
        <v>8200</v>
      </c>
      <c r="CW84" s="16">
        <f t="shared" si="94"/>
        <v>8200</v>
      </c>
    </row>
    <row r="85" spans="1:101" ht="15.75" customHeight="1" x14ac:dyDescent="0.35">
      <c r="A85" s="41" t="s">
        <v>593</v>
      </c>
      <c r="B85" s="41" t="s">
        <v>846</v>
      </c>
      <c r="C85" s="42"/>
      <c r="D85" s="43"/>
      <c r="E85" s="78">
        <f t="shared" si="73"/>
        <v>0</v>
      </c>
      <c r="F85" s="14"/>
      <c r="G85" s="15"/>
      <c r="H85" s="16">
        <f t="shared" si="95"/>
        <v>0</v>
      </c>
      <c r="I85" s="14"/>
      <c r="J85" s="15"/>
      <c r="K85" s="16">
        <f t="shared" si="101"/>
        <v>0</v>
      </c>
      <c r="L85" s="14"/>
      <c r="M85" s="15"/>
      <c r="N85" s="16">
        <f t="shared" si="70"/>
        <v>0</v>
      </c>
      <c r="O85" s="14"/>
      <c r="P85" s="15"/>
      <c r="Q85" s="16">
        <f t="shared" si="71"/>
        <v>0</v>
      </c>
      <c r="R85" s="14"/>
      <c r="S85" s="15"/>
      <c r="T85" s="16">
        <f t="shared" si="74"/>
        <v>0</v>
      </c>
      <c r="U85" s="14"/>
      <c r="V85" s="15"/>
      <c r="W85" s="16">
        <f t="shared" si="75"/>
        <v>0</v>
      </c>
      <c r="X85" s="14"/>
      <c r="Y85" s="15"/>
      <c r="Z85" s="16">
        <f t="shared" si="98"/>
        <v>0</v>
      </c>
      <c r="AA85" s="14"/>
      <c r="AB85" s="15"/>
      <c r="AC85" s="16">
        <f t="shared" si="96"/>
        <v>0</v>
      </c>
      <c r="AD85" s="14"/>
      <c r="AE85" s="15"/>
      <c r="AF85" s="16">
        <f t="shared" si="76"/>
        <v>0</v>
      </c>
      <c r="AG85" s="14"/>
      <c r="AH85" s="15"/>
      <c r="AI85" s="16">
        <f t="shared" si="100"/>
        <v>0</v>
      </c>
      <c r="AJ85" s="14"/>
      <c r="AK85" s="15"/>
      <c r="AL85" s="16">
        <f t="shared" si="77"/>
        <v>0</v>
      </c>
      <c r="AM85" s="14"/>
      <c r="AN85" s="15"/>
      <c r="AO85" s="16">
        <f t="shared" si="78"/>
        <v>0</v>
      </c>
      <c r="AP85" s="14"/>
      <c r="AQ85" s="15"/>
      <c r="AR85" s="16">
        <f t="shared" si="79"/>
        <v>0</v>
      </c>
      <c r="AS85" s="14"/>
      <c r="AT85" s="15"/>
      <c r="AU85" s="16">
        <f t="shared" si="102"/>
        <v>0</v>
      </c>
      <c r="AV85" s="14"/>
      <c r="AW85" s="15"/>
      <c r="AX85" s="16">
        <f t="shared" si="80"/>
        <v>0</v>
      </c>
      <c r="AY85" s="14"/>
      <c r="AZ85" s="15"/>
      <c r="BA85" s="16">
        <f t="shared" si="81"/>
        <v>0</v>
      </c>
      <c r="BB85" s="14"/>
      <c r="BC85" s="15"/>
      <c r="BD85" s="16">
        <f t="shared" si="82"/>
        <v>0</v>
      </c>
      <c r="BE85" s="14">
        <v>4</v>
      </c>
      <c r="BF85" s="15">
        <v>9950</v>
      </c>
      <c r="BG85" s="16">
        <v>39800</v>
      </c>
      <c r="BH85" s="14"/>
      <c r="BI85" s="15"/>
      <c r="BJ85" s="16">
        <f t="shared" si="83"/>
        <v>0</v>
      </c>
      <c r="BK85" s="14"/>
      <c r="BL85" s="15"/>
      <c r="BM85" s="16">
        <f t="shared" si="103"/>
        <v>0</v>
      </c>
      <c r="BN85" s="14"/>
      <c r="BO85" s="15"/>
      <c r="BP85" s="16">
        <f t="shared" si="97"/>
        <v>0</v>
      </c>
      <c r="BQ85" s="14"/>
      <c r="BR85" s="15"/>
      <c r="BS85" s="16">
        <f>IFERROR(BQ85*BR85, 0)</f>
        <v>0</v>
      </c>
      <c r="BT85" s="14"/>
      <c r="BU85" s="15"/>
      <c r="BV85" s="16">
        <f t="shared" si="84"/>
        <v>0</v>
      </c>
      <c r="BW85" s="14"/>
      <c r="BX85" s="15"/>
      <c r="BY85" s="16">
        <f t="shared" si="104"/>
        <v>0</v>
      </c>
      <c r="BZ85" s="14"/>
      <c r="CA85" s="15"/>
      <c r="CB85" s="16">
        <f t="shared" si="85"/>
        <v>0</v>
      </c>
      <c r="CC85" s="14"/>
      <c r="CD85" s="15"/>
      <c r="CE85" s="16">
        <f t="shared" si="86"/>
        <v>0</v>
      </c>
      <c r="CF85" s="14"/>
      <c r="CG85" s="15"/>
      <c r="CH85" s="16">
        <f t="shared" si="87"/>
        <v>0</v>
      </c>
      <c r="CI85" s="14"/>
      <c r="CJ85" s="15"/>
      <c r="CK85" s="16">
        <f t="shared" si="88"/>
        <v>0</v>
      </c>
      <c r="CL85" s="14"/>
      <c r="CM85" s="15"/>
      <c r="CN85" s="16">
        <f t="shared" si="89"/>
        <v>0</v>
      </c>
      <c r="CO85" s="14"/>
      <c r="CP85" s="15"/>
      <c r="CQ85" s="16">
        <f t="shared" si="90"/>
        <v>0</v>
      </c>
      <c r="CR85" s="14"/>
      <c r="CS85" s="15"/>
      <c r="CT85" s="16">
        <f t="shared" si="91"/>
        <v>0</v>
      </c>
      <c r="CU85" s="17">
        <f t="shared" si="92"/>
        <v>4</v>
      </c>
      <c r="CV85" s="16">
        <f t="shared" si="93"/>
        <v>9950</v>
      </c>
      <c r="CW85" s="16">
        <f t="shared" si="94"/>
        <v>39800</v>
      </c>
    </row>
    <row r="86" spans="1:101" ht="15.75" customHeight="1" x14ac:dyDescent="0.35">
      <c r="A86" s="41" t="s">
        <v>591</v>
      </c>
      <c r="B86" s="41" t="s">
        <v>846</v>
      </c>
      <c r="C86" s="42"/>
      <c r="D86" s="43"/>
      <c r="E86" s="78">
        <f t="shared" si="73"/>
        <v>0</v>
      </c>
      <c r="F86" s="14"/>
      <c r="G86" s="15"/>
      <c r="H86" s="16">
        <f t="shared" si="95"/>
        <v>0</v>
      </c>
      <c r="I86" s="14"/>
      <c r="J86" s="15"/>
      <c r="K86" s="16">
        <f t="shared" si="101"/>
        <v>0</v>
      </c>
      <c r="L86" s="14"/>
      <c r="M86" s="15"/>
      <c r="N86" s="16">
        <f t="shared" si="70"/>
        <v>0</v>
      </c>
      <c r="O86" s="14"/>
      <c r="P86" s="15"/>
      <c r="Q86" s="16">
        <f t="shared" si="71"/>
        <v>0</v>
      </c>
      <c r="R86" s="14"/>
      <c r="S86" s="15"/>
      <c r="T86" s="16">
        <f t="shared" si="74"/>
        <v>0</v>
      </c>
      <c r="U86" s="14"/>
      <c r="V86" s="15"/>
      <c r="W86" s="16">
        <f t="shared" si="75"/>
        <v>0</v>
      </c>
      <c r="X86" s="14"/>
      <c r="Y86" s="15"/>
      <c r="Z86" s="16">
        <f t="shared" si="98"/>
        <v>0</v>
      </c>
      <c r="AA86" s="14"/>
      <c r="AB86" s="15"/>
      <c r="AC86" s="16">
        <f t="shared" si="96"/>
        <v>0</v>
      </c>
      <c r="AD86" s="14"/>
      <c r="AE86" s="15"/>
      <c r="AF86" s="16">
        <f t="shared" si="76"/>
        <v>0</v>
      </c>
      <c r="AG86" s="14"/>
      <c r="AH86" s="15"/>
      <c r="AI86" s="16">
        <f t="shared" si="100"/>
        <v>0</v>
      </c>
      <c r="AJ86" s="14"/>
      <c r="AK86" s="15"/>
      <c r="AL86" s="16">
        <f t="shared" si="77"/>
        <v>0</v>
      </c>
      <c r="AM86" s="14"/>
      <c r="AN86" s="15"/>
      <c r="AO86" s="16">
        <f t="shared" si="78"/>
        <v>0</v>
      </c>
      <c r="AP86" s="14"/>
      <c r="AQ86" s="15"/>
      <c r="AR86" s="16">
        <f t="shared" si="79"/>
        <v>0</v>
      </c>
      <c r="AS86" s="14"/>
      <c r="AT86" s="15"/>
      <c r="AU86" s="16">
        <f t="shared" si="102"/>
        <v>0</v>
      </c>
      <c r="AV86" s="14"/>
      <c r="AW86" s="15"/>
      <c r="AX86" s="16">
        <f t="shared" si="80"/>
        <v>0</v>
      </c>
      <c r="AY86" s="14"/>
      <c r="AZ86" s="15"/>
      <c r="BA86" s="16">
        <f t="shared" si="81"/>
        <v>0</v>
      </c>
      <c r="BB86" s="14"/>
      <c r="BC86" s="15"/>
      <c r="BD86" s="16">
        <f t="shared" si="82"/>
        <v>0</v>
      </c>
      <c r="BE86" s="14">
        <v>4</v>
      </c>
      <c r="BF86" s="15">
        <v>5000</v>
      </c>
      <c r="BG86" s="16">
        <v>20000</v>
      </c>
      <c r="BH86" s="14"/>
      <c r="BI86" s="15"/>
      <c r="BJ86" s="16">
        <f t="shared" si="83"/>
        <v>0</v>
      </c>
      <c r="BK86" s="14"/>
      <c r="BL86" s="15"/>
      <c r="BM86" s="16">
        <f t="shared" si="103"/>
        <v>0</v>
      </c>
      <c r="BN86" s="14"/>
      <c r="BO86" s="15"/>
      <c r="BP86" s="16">
        <f t="shared" si="97"/>
        <v>0</v>
      </c>
      <c r="BQ86" s="14"/>
      <c r="BR86" s="15"/>
      <c r="BS86" s="16">
        <f>IFERROR(BQ86*BR86, 0)</f>
        <v>0</v>
      </c>
      <c r="BT86" s="14"/>
      <c r="BU86" s="15"/>
      <c r="BV86" s="16">
        <f t="shared" si="84"/>
        <v>0</v>
      </c>
      <c r="BW86" s="14"/>
      <c r="BX86" s="15"/>
      <c r="BY86" s="16">
        <f t="shared" si="104"/>
        <v>0</v>
      </c>
      <c r="BZ86" s="14"/>
      <c r="CA86" s="15"/>
      <c r="CB86" s="16">
        <f t="shared" si="85"/>
        <v>0</v>
      </c>
      <c r="CC86" s="14"/>
      <c r="CD86" s="15"/>
      <c r="CE86" s="16">
        <f t="shared" si="86"/>
        <v>0</v>
      </c>
      <c r="CF86" s="14"/>
      <c r="CG86" s="15"/>
      <c r="CH86" s="16">
        <f t="shared" si="87"/>
        <v>0</v>
      </c>
      <c r="CI86" s="14"/>
      <c r="CJ86" s="15"/>
      <c r="CK86" s="16">
        <f t="shared" si="88"/>
        <v>0</v>
      </c>
      <c r="CL86" s="14"/>
      <c r="CM86" s="15"/>
      <c r="CN86" s="16">
        <f t="shared" si="89"/>
        <v>0</v>
      </c>
      <c r="CO86" s="14"/>
      <c r="CP86" s="15"/>
      <c r="CQ86" s="16">
        <f t="shared" si="90"/>
        <v>0</v>
      </c>
      <c r="CR86" s="14"/>
      <c r="CS86" s="15"/>
      <c r="CT86" s="16">
        <f t="shared" si="91"/>
        <v>0</v>
      </c>
      <c r="CU86" s="17">
        <f t="shared" si="92"/>
        <v>4</v>
      </c>
      <c r="CV86" s="16">
        <f t="shared" si="93"/>
        <v>5000</v>
      </c>
      <c r="CW86" s="16">
        <f t="shared" si="94"/>
        <v>20000</v>
      </c>
    </row>
    <row r="87" spans="1:101" ht="15.75" customHeight="1" x14ac:dyDescent="0.35">
      <c r="A87" s="41" t="s">
        <v>297</v>
      </c>
      <c r="B87" s="41" t="s">
        <v>846</v>
      </c>
      <c r="C87" s="42"/>
      <c r="D87" s="43"/>
      <c r="E87" s="78">
        <f t="shared" si="73"/>
        <v>0</v>
      </c>
      <c r="F87" s="14"/>
      <c r="G87" s="15"/>
      <c r="H87" s="16">
        <f t="shared" si="95"/>
        <v>0</v>
      </c>
      <c r="I87" s="14"/>
      <c r="J87" s="15"/>
      <c r="K87" s="16">
        <f t="shared" si="101"/>
        <v>0</v>
      </c>
      <c r="L87" s="14"/>
      <c r="M87" s="15"/>
      <c r="N87" s="16">
        <f t="shared" si="70"/>
        <v>0</v>
      </c>
      <c r="O87" s="14"/>
      <c r="P87" s="15"/>
      <c r="Q87" s="16">
        <f t="shared" si="71"/>
        <v>0</v>
      </c>
      <c r="R87" s="14"/>
      <c r="S87" s="15"/>
      <c r="T87" s="16">
        <f t="shared" si="74"/>
        <v>0</v>
      </c>
      <c r="U87" s="14"/>
      <c r="V87" s="15"/>
      <c r="W87" s="16">
        <f t="shared" si="75"/>
        <v>0</v>
      </c>
      <c r="X87" s="14">
        <v>3</v>
      </c>
      <c r="Y87" s="15">
        <v>20950</v>
      </c>
      <c r="Z87" s="16">
        <v>62850</v>
      </c>
      <c r="AA87" s="14"/>
      <c r="AB87" s="15"/>
      <c r="AC87" s="16">
        <f t="shared" si="96"/>
        <v>0</v>
      </c>
      <c r="AD87" s="14"/>
      <c r="AE87" s="15"/>
      <c r="AF87" s="16">
        <f t="shared" si="76"/>
        <v>0</v>
      </c>
      <c r="AG87" s="14"/>
      <c r="AH87" s="15"/>
      <c r="AI87" s="16">
        <f t="shared" si="100"/>
        <v>0</v>
      </c>
      <c r="AJ87" s="14"/>
      <c r="AK87" s="15"/>
      <c r="AL87" s="16">
        <f t="shared" si="77"/>
        <v>0</v>
      </c>
      <c r="AM87" s="14"/>
      <c r="AN87" s="15"/>
      <c r="AO87" s="16">
        <f t="shared" si="78"/>
        <v>0</v>
      </c>
      <c r="AP87" s="14"/>
      <c r="AQ87" s="15"/>
      <c r="AR87" s="16">
        <f t="shared" si="79"/>
        <v>0</v>
      </c>
      <c r="AS87" s="14"/>
      <c r="AT87" s="15"/>
      <c r="AU87" s="16">
        <f t="shared" si="102"/>
        <v>0</v>
      </c>
      <c r="AV87" s="14"/>
      <c r="AW87" s="15"/>
      <c r="AX87" s="16">
        <f t="shared" si="80"/>
        <v>0</v>
      </c>
      <c r="AY87" s="14"/>
      <c r="AZ87" s="15"/>
      <c r="BA87" s="16">
        <f t="shared" si="81"/>
        <v>0</v>
      </c>
      <c r="BB87" s="14"/>
      <c r="BC87" s="15"/>
      <c r="BD87" s="16">
        <f t="shared" si="82"/>
        <v>0</v>
      </c>
      <c r="BE87" s="14">
        <v>3</v>
      </c>
      <c r="BF87" s="15">
        <v>20950</v>
      </c>
      <c r="BG87" s="16">
        <v>62850</v>
      </c>
      <c r="BH87" s="14"/>
      <c r="BI87" s="15"/>
      <c r="BJ87" s="16">
        <f t="shared" si="83"/>
        <v>0</v>
      </c>
      <c r="BK87" s="14"/>
      <c r="BL87" s="15"/>
      <c r="BM87" s="16">
        <f t="shared" si="103"/>
        <v>0</v>
      </c>
      <c r="BN87" s="14"/>
      <c r="BO87" s="15"/>
      <c r="BP87" s="16">
        <f t="shared" si="97"/>
        <v>0</v>
      </c>
      <c r="BQ87" s="14">
        <v>5</v>
      </c>
      <c r="BR87" s="15">
        <v>20950</v>
      </c>
      <c r="BS87" s="16">
        <v>104750</v>
      </c>
      <c r="BT87" s="14"/>
      <c r="BU87" s="15"/>
      <c r="BV87" s="16">
        <f t="shared" si="84"/>
        <v>0</v>
      </c>
      <c r="BW87" s="14"/>
      <c r="BX87" s="15"/>
      <c r="BY87" s="16">
        <f t="shared" si="104"/>
        <v>0</v>
      </c>
      <c r="BZ87" s="14"/>
      <c r="CA87" s="15"/>
      <c r="CB87" s="16">
        <f t="shared" si="85"/>
        <v>0</v>
      </c>
      <c r="CC87" s="14"/>
      <c r="CD87" s="15"/>
      <c r="CE87" s="16">
        <f t="shared" si="86"/>
        <v>0</v>
      </c>
      <c r="CF87" s="14"/>
      <c r="CG87" s="15"/>
      <c r="CH87" s="16">
        <f t="shared" si="87"/>
        <v>0</v>
      </c>
      <c r="CI87" s="14"/>
      <c r="CJ87" s="15"/>
      <c r="CK87" s="16">
        <f t="shared" si="88"/>
        <v>0</v>
      </c>
      <c r="CL87" s="14"/>
      <c r="CM87" s="15"/>
      <c r="CN87" s="16">
        <f t="shared" si="89"/>
        <v>0</v>
      </c>
      <c r="CO87" s="14"/>
      <c r="CP87" s="15"/>
      <c r="CQ87" s="16">
        <f t="shared" si="90"/>
        <v>0</v>
      </c>
      <c r="CR87" s="14"/>
      <c r="CS87" s="15"/>
      <c r="CT87" s="16">
        <f t="shared" si="91"/>
        <v>0</v>
      </c>
      <c r="CU87" s="17">
        <f t="shared" si="92"/>
        <v>11</v>
      </c>
      <c r="CV87" s="16">
        <f t="shared" si="93"/>
        <v>20950</v>
      </c>
      <c r="CW87" s="16">
        <f t="shared" si="94"/>
        <v>230450</v>
      </c>
    </row>
    <row r="88" spans="1:101" ht="15.75" customHeight="1" x14ac:dyDescent="0.35">
      <c r="A88" s="41" t="s">
        <v>1003</v>
      </c>
      <c r="B88" s="41" t="s">
        <v>935</v>
      </c>
      <c r="C88" s="42"/>
      <c r="D88" s="43"/>
      <c r="E88" s="78">
        <f t="shared" si="73"/>
        <v>0</v>
      </c>
      <c r="F88" s="14"/>
      <c r="G88" s="15"/>
      <c r="H88" s="16">
        <f t="shared" si="95"/>
        <v>0</v>
      </c>
      <c r="I88" s="14"/>
      <c r="J88" s="15"/>
      <c r="K88" s="16">
        <f t="shared" si="101"/>
        <v>0</v>
      </c>
      <c r="L88" s="14"/>
      <c r="M88" s="15"/>
      <c r="N88" s="16">
        <f t="shared" si="70"/>
        <v>0</v>
      </c>
      <c r="O88" s="14"/>
      <c r="P88" s="15"/>
      <c r="Q88" s="16">
        <f t="shared" si="71"/>
        <v>0</v>
      </c>
      <c r="R88" s="14"/>
      <c r="S88" s="15"/>
      <c r="T88" s="16">
        <f t="shared" si="74"/>
        <v>0</v>
      </c>
      <c r="U88" s="14"/>
      <c r="V88" s="15"/>
      <c r="W88" s="16">
        <f t="shared" si="75"/>
        <v>0</v>
      </c>
      <c r="X88" s="14"/>
      <c r="Y88" s="15"/>
      <c r="Z88" s="16">
        <f t="shared" ref="Z88:Z95" si="105">IFERROR(X88*Y88, 0)</f>
        <v>0</v>
      </c>
      <c r="AA88" s="14"/>
      <c r="AB88" s="15"/>
      <c r="AC88" s="16">
        <f t="shared" si="96"/>
        <v>0</v>
      </c>
      <c r="AD88" s="14"/>
      <c r="AE88" s="15"/>
      <c r="AF88" s="16">
        <f t="shared" si="76"/>
        <v>0</v>
      </c>
      <c r="AG88" s="14"/>
      <c r="AH88" s="15"/>
      <c r="AI88" s="16">
        <f t="shared" si="100"/>
        <v>0</v>
      </c>
      <c r="AJ88" s="14"/>
      <c r="AK88" s="15"/>
      <c r="AL88" s="16">
        <f t="shared" si="77"/>
        <v>0</v>
      </c>
      <c r="AM88" s="14"/>
      <c r="AN88" s="15"/>
      <c r="AO88" s="16">
        <f t="shared" si="78"/>
        <v>0</v>
      </c>
      <c r="AP88" s="14"/>
      <c r="AQ88" s="15"/>
      <c r="AR88" s="16">
        <f t="shared" si="79"/>
        <v>0</v>
      </c>
      <c r="AS88" s="14"/>
      <c r="AT88" s="15"/>
      <c r="AU88" s="16">
        <f t="shared" si="102"/>
        <v>0</v>
      </c>
      <c r="AV88" s="14"/>
      <c r="AW88" s="15"/>
      <c r="AX88" s="16">
        <f t="shared" si="80"/>
        <v>0</v>
      </c>
      <c r="AY88" s="14"/>
      <c r="AZ88" s="15"/>
      <c r="BA88" s="16">
        <f t="shared" si="81"/>
        <v>0</v>
      </c>
      <c r="BB88" s="14"/>
      <c r="BC88" s="15"/>
      <c r="BD88" s="16">
        <f t="shared" si="82"/>
        <v>0</v>
      </c>
      <c r="BE88" s="14"/>
      <c r="BF88" s="15"/>
      <c r="BG88" s="16">
        <f>IFERROR(BE88*BF88, 0)</f>
        <v>0</v>
      </c>
      <c r="BH88" s="14"/>
      <c r="BI88" s="15"/>
      <c r="BJ88" s="16">
        <f t="shared" si="83"/>
        <v>0</v>
      </c>
      <c r="BK88" s="14"/>
      <c r="BL88" s="15"/>
      <c r="BM88" s="16">
        <f t="shared" si="103"/>
        <v>0</v>
      </c>
      <c r="BN88" s="14"/>
      <c r="BO88" s="15"/>
      <c r="BP88" s="16">
        <f t="shared" si="97"/>
        <v>0</v>
      </c>
      <c r="BQ88" s="14"/>
      <c r="BR88" s="15"/>
      <c r="BS88" s="16">
        <f t="shared" ref="BS88:BS97" si="106">IFERROR(BQ88*BR88, 0)</f>
        <v>0</v>
      </c>
      <c r="BT88" s="14"/>
      <c r="BU88" s="15"/>
      <c r="BV88" s="16">
        <f t="shared" si="84"/>
        <v>0</v>
      </c>
      <c r="BW88" s="14"/>
      <c r="BX88" s="15"/>
      <c r="BY88" s="16">
        <f t="shared" si="104"/>
        <v>0</v>
      </c>
      <c r="BZ88" s="14"/>
      <c r="CA88" s="15"/>
      <c r="CB88" s="16">
        <f t="shared" si="85"/>
        <v>0</v>
      </c>
      <c r="CC88" s="14"/>
      <c r="CD88" s="15"/>
      <c r="CE88" s="16">
        <f t="shared" si="86"/>
        <v>0</v>
      </c>
      <c r="CF88" s="14"/>
      <c r="CG88" s="15"/>
      <c r="CH88" s="16">
        <f t="shared" si="87"/>
        <v>0</v>
      </c>
      <c r="CI88" s="14"/>
      <c r="CJ88" s="15"/>
      <c r="CK88" s="16">
        <f t="shared" si="88"/>
        <v>0</v>
      </c>
      <c r="CL88" s="14"/>
      <c r="CM88" s="15"/>
      <c r="CN88" s="16">
        <f t="shared" si="89"/>
        <v>0</v>
      </c>
      <c r="CO88" s="14"/>
      <c r="CP88" s="15"/>
      <c r="CQ88" s="16">
        <f t="shared" si="90"/>
        <v>0</v>
      </c>
      <c r="CR88" s="14"/>
      <c r="CS88" s="15"/>
      <c r="CT88" s="16">
        <f t="shared" si="91"/>
        <v>0</v>
      </c>
      <c r="CU88" s="17">
        <f t="shared" si="92"/>
        <v>0</v>
      </c>
      <c r="CV88" s="16">
        <f t="shared" si="93"/>
        <v>0</v>
      </c>
      <c r="CW88" s="16">
        <f t="shared" si="94"/>
        <v>0</v>
      </c>
    </row>
    <row r="89" spans="1:101" ht="15.75" customHeight="1" x14ac:dyDescent="0.35">
      <c r="A89" s="41" t="s">
        <v>146</v>
      </c>
      <c r="B89" s="41" t="s">
        <v>935</v>
      </c>
      <c r="C89" s="42"/>
      <c r="D89" s="43"/>
      <c r="E89" s="78">
        <f t="shared" si="73"/>
        <v>0</v>
      </c>
      <c r="F89" s="14"/>
      <c r="G89" s="15"/>
      <c r="H89" s="16">
        <f t="shared" si="95"/>
        <v>0</v>
      </c>
      <c r="I89" s="14">
        <v>60</v>
      </c>
      <c r="J89" s="15">
        <v>2000</v>
      </c>
      <c r="K89" s="16">
        <v>120000</v>
      </c>
      <c r="L89" s="14"/>
      <c r="M89" s="15"/>
      <c r="N89" s="16">
        <f t="shared" si="70"/>
        <v>0</v>
      </c>
      <c r="O89" s="14"/>
      <c r="P89" s="15"/>
      <c r="Q89" s="16">
        <f t="shared" si="71"/>
        <v>0</v>
      </c>
      <c r="R89" s="14"/>
      <c r="S89" s="15"/>
      <c r="T89" s="16">
        <f t="shared" si="74"/>
        <v>0</v>
      </c>
      <c r="U89" s="14"/>
      <c r="V89" s="15"/>
      <c r="W89" s="16">
        <f t="shared" si="75"/>
        <v>0</v>
      </c>
      <c r="X89" s="14"/>
      <c r="Y89" s="15"/>
      <c r="Z89" s="16">
        <f t="shared" si="105"/>
        <v>0</v>
      </c>
      <c r="AA89" s="14"/>
      <c r="AB89" s="15"/>
      <c r="AC89" s="16">
        <f t="shared" si="96"/>
        <v>0</v>
      </c>
      <c r="AD89" s="14"/>
      <c r="AE89" s="15"/>
      <c r="AF89" s="16">
        <f t="shared" si="76"/>
        <v>0</v>
      </c>
      <c r="AG89" s="14">
        <v>60</v>
      </c>
      <c r="AH89" s="15">
        <v>2000</v>
      </c>
      <c r="AI89" s="16">
        <v>120000</v>
      </c>
      <c r="AJ89" s="14"/>
      <c r="AK89" s="15"/>
      <c r="AL89" s="16">
        <f t="shared" si="77"/>
        <v>0</v>
      </c>
      <c r="AM89" s="14"/>
      <c r="AN89" s="15"/>
      <c r="AO89" s="16">
        <f t="shared" si="78"/>
        <v>0</v>
      </c>
      <c r="AP89" s="14"/>
      <c r="AQ89" s="15"/>
      <c r="AR89" s="16">
        <f t="shared" si="79"/>
        <v>0</v>
      </c>
      <c r="AS89" s="14"/>
      <c r="AT89" s="15"/>
      <c r="AU89" s="16">
        <f t="shared" si="102"/>
        <v>0</v>
      </c>
      <c r="AV89" s="14"/>
      <c r="AW89" s="15"/>
      <c r="AX89" s="16">
        <f t="shared" si="80"/>
        <v>0</v>
      </c>
      <c r="AY89" s="14"/>
      <c r="AZ89" s="15"/>
      <c r="BA89" s="16">
        <f t="shared" si="81"/>
        <v>0</v>
      </c>
      <c r="BB89" s="14"/>
      <c r="BC89" s="15"/>
      <c r="BD89" s="16">
        <f t="shared" si="82"/>
        <v>0</v>
      </c>
      <c r="BE89" s="14">
        <v>60</v>
      </c>
      <c r="BF89" s="15">
        <v>2000</v>
      </c>
      <c r="BG89" s="16">
        <v>120000</v>
      </c>
      <c r="BH89" s="14"/>
      <c r="BI89" s="15"/>
      <c r="BJ89" s="16">
        <f t="shared" si="83"/>
        <v>0</v>
      </c>
      <c r="BK89" s="14"/>
      <c r="BL89" s="15"/>
      <c r="BM89" s="16">
        <f t="shared" si="103"/>
        <v>0</v>
      </c>
      <c r="BN89" s="14"/>
      <c r="BO89" s="15"/>
      <c r="BP89" s="16">
        <f t="shared" si="97"/>
        <v>0</v>
      </c>
      <c r="BQ89" s="14"/>
      <c r="BR89" s="15"/>
      <c r="BS89" s="16">
        <f t="shared" si="106"/>
        <v>0</v>
      </c>
      <c r="BT89" s="14"/>
      <c r="BU89" s="15"/>
      <c r="BV89" s="16">
        <f t="shared" si="84"/>
        <v>0</v>
      </c>
      <c r="BW89" s="14"/>
      <c r="BX89" s="15"/>
      <c r="BY89" s="16">
        <f t="shared" si="104"/>
        <v>0</v>
      </c>
      <c r="BZ89" s="14"/>
      <c r="CA89" s="15"/>
      <c r="CB89" s="16">
        <f t="shared" si="85"/>
        <v>0</v>
      </c>
      <c r="CC89" s="14"/>
      <c r="CD89" s="15"/>
      <c r="CE89" s="16">
        <f t="shared" si="86"/>
        <v>0</v>
      </c>
      <c r="CF89" s="14"/>
      <c r="CG89" s="15"/>
      <c r="CH89" s="16">
        <f t="shared" si="87"/>
        <v>0</v>
      </c>
      <c r="CI89" s="14"/>
      <c r="CJ89" s="15"/>
      <c r="CK89" s="16">
        <f t="shared" si="88"/>
        <v>0</v>
      </c>
      <c r="CL89" s="14"/>
      <c r="CM89" s="15"/>
      <c r="CN89" s="16">
        <f t="shared" si="89"/>
        <v>0</v>
      </c>
      <c r="CO89" s="14"/>
      <c r="CP89" s="15"/>
      <c r="CQ89" s="16">
        <f t="shared" si="90"/>
        <v>0</v>
      </c>
      <c r="CR89" s="14"/>
      <c r="CS89" s="15"/>
      <c r="CT89" s="16">
        <f t="shared" si="91"/>
        <v>0</v>
      </c>
      <c r="CU89" s="17">
        <f t="shared" si="92"/>
        <v>180</v>
      </c>
      <c r="CV89" s="16">
        <f t="shared" si="93"/>
        <v>2000</v>
      </c>
      <c r="CW89" s="16">
        <f t="shared" si="94"/>
        <v>360000</v>
      </c>
    </row>
    <row r="90" spans="1:101" ht="15.75" customHeight="1" x14ac:dyDescent="0.35">
      <c r="A90" s="41" t="s">
        <v>810</v>
      </c>
      <c r="B90" s="41" t="s">
        <v>935</v>
      </c>
      <c r="C90" s="42"/>
      <c r="D90" s="43"/>
      <c r="E90" s="78">
        <f t="shared" si="73"/>
        <v>0</v>
      </c>
      <c r="F90" s="14"/>
      <c r="G90" s="15"/>
      <c r="H90" s="16">
        <f t="shared" si="95"/>
        <v>0</v>
      </c>
      <c r="I90" s="14"/>
      <c r="J90" s="15"/>
      <c r="K90" s="16">
        <f t="shared" ref="K90:K95" si="107">IFERROR(I90*J90, 0)</f>
        <v>0</v>
      </c>
      <c r="L90" s="14"/>
      <c r="M90" s="15"/>
      <c r="N90" s="16">
        <f t="shared" si="70"/>
        <v>0</v>
      </c>
      <c r="O90" s="14"/>
      <c r="P90" s="15"/>
      <c r="Q90" s="16">
        <f t="shared" si="71"/>
        <v>0</v>
      </c>
      <c r="R90" s="14"/>
      <c r="S90" s="15"/>
      <c r="T90" s="16">
        <f t="shared" si="74"/>
        <v>0</v>
      </c>
      <c r="U90" s="14"/>
      <c r="V90" s="15"/>
      <c r="W90" s="16">
        <f t="shared" si="75"/>
        <v>0</v>
      </c>
      <c r="X90" s="14"/>
      <c r="Y90" s="15"/>
      <c r="Z90" s="16">
        <f t="shared" si="105"/>
        <v>0</v>
      </c>
      <c r="AA90" s="14"/>
      <c r="AB90" s="15"/>
      <c r="AC90" s="16">
        <f t="shared" si="96"/>
        <v>0</v>
      </c>
      <c r="AD90" s="14"/>
      <c r="AE90" s="15"/>
      <c r="AF90" s="16">
        <f t="shared" si="76"/>
        <v>0</v>
      </c>
      <c r="AG90" s="14"/>
      <c r="AH90" s="15"/>
      <c r="AI90" s="16">
        <f t="shared" ref="AI90:AI96" si="108">IFERROR(AG90*AH90, 0)</f>
        <v>0</v>
      </c>
      <c r="AJ90" s="14"/>
      <c r="AK90" s="15"/>
      <c r="AL90" s="16">
        <f t="shared" si="77"/>
        <v>0</v>
      </c>
      <c r="AM90" s="14"/>
      <c r="AN90" s="15"/>
      <c r="AO90" s="16">
        <f t="shared" si="78"/>
        <v>0</v>
      </c>
      <c r="AP90" s="14"/>
      <c r="AQ90" s="15"/>
      <c r="AR90" s="16">
        <f t="shared" si="79"/>
        <v>0</v>
      </c>
      <c r="AS90" s="14"/>
      <c r="AT90" s="15"/>
      <c r="AU90" s="16">
        <f t="shared" si="102"/>
        <v>0</v>
      </c>
      <c r="AV90" s="14"/>
      <c r="AW90" s="15"/>
      <c r="AX90" s="16">
        <f t="shared" si="80"/>
        <v>0</v>
      </c>
      <c r="AY90" s="14"/>
      <c r="AZ90" s="15"/>
      <c r="BA90" s="16">
        <f t="shared" si="81"/>
        <v>0</v>
      </c>
      <c r="BB90" s="14"/>
      <c r="BC90" s="15"/>
      <c r="BD90" s="16">
        <f t="shared" si="82"/>
        <v>0</v>
      </c>
      <c r="BE90" s="14"/>
      <c r="BF90" s="15"/>
      <c r="BG90" s="16">
        <f t="shared" ref="BG90:BG96" si="109">IFERROR(BE90*BF90, 0)</f>
        <v>0</v>
      </c>
      <c r="BH90" s="14"/>
      <c r="BI90" s="15"/>
      <c r="BJ90" s="16">
        <f t="shared" si="83"/>
        <v>0</v>
      </c>
      <c r="BK90" s="14"/>
      <c r="BL90" s="15"/>
      <c r="BM90" s="16">
        <f t="shared" si="103"/>
        <v>0</v>
      </c>
      <c r="BN90" s="14"/>
      <c r="BO90" s="15"/>
      <c r="BP90" s="16">
        <f t="shared" si="97"/>
        <v>0</v>
      </c>
      <c r="BQ90" s="14"/>
      <c r="BR90" s="15"/>
      <c r="BS90" s="16">
        <f t="shared" si="106"/>
        <v>0</v>
      </c>
      <c r="BT90" s="14"/>
      <c r="BU90" s="15"/>
      <c r="BV90" s="16">
        <f t="shared" si="84"/>
        <v>0</v>
      </c>
      <c r="BW90" s="14"/>
      <c r="BX90" s="15"/>
      <c r="BY90" s="16">
        <f t="shared" si="104"/>
        <v>0</v>
      </c>
      <c r="BZ90" s="14"/>
      <c r="CA90" s="15"/>
      <c r="CB90" s="16">
        <f t="shared" si="85"/>
        <v>0</v>
      </c>
      <c r="CC90" s="14"/>
      <c r="CD90" s="15"/>
      <c r="CE90" s="16">
        <f t="shared" si="86"/>
        <v>0</v>
      </c>
      <c r="CF90" s="14"/>
      <c r="CG90" s="15"/>
      <c r="CH90" s="16">
        <f t="shared" si="87"/>
        <v>0</v>
      </c>
      <c r="CI90" s="14"/>
      <c r="CJ90" s="15"/>
      <c r="CK90" s="16">
        <f t="shared" si="88"/>
        <v>0</v>
      </c>
      <c r="CL90" s="14"/>
      <c r="CM90" s="15"/>
      <c r="CN90" s="16">
        <f t="shared" si="89"/>
        <v>0</v>
      </c>
      <c r="CO90" s="14"/>
      <c r="CP90" s="15"/>
      <c r="CQ90" s="16">
        <f t="shared" si="90"/>
        <v>0</v>
      </c>
      <c r="CR90" s="14"/>
      <c r="CS90" s="15"/>
      <c r="CT90" s="16">
        <f t="shared" si="91"/>
        <v>0</v>
      </c>
      <c r="CU90" s="17">
        <f t="shared" si="92"/>
        <v>0</v>
      </c>
      <c r="CV90" s="16">
        <f t="shared" si="93"/>
        <v>0</v>
      </c>
      <c r="CW90" s="16">
        <f t="shared" si="94"/>
        <v>0</v>
      </c>
    </row>
    <row r="91" spans="1:101" ht="15.75" customHeight="1" x14ac:dyDescent="0.35">
      <c r="A91" s="41" t="s">
        <v>1004</v>
      </c>
      <c r="B91" s="41" t="s">
        <v>935</v>
      </c>
      <c r="C91" s="42"/>
      <c r="D91" s="43"/>
      <c r="E91" s="78">
        <f t="shared" si="73"/>
        <v>0</v>
      </c>
      <c r="F91" s="14"/>
      <c r="G91" s="15"/>
      <c r="H91" s="16">
        <f t="shared" si="95"/>
        <v>0</v>
      </c>
      <c r="I91" s="14"/>
      <c r="J91" s="15"/>
      <c r="K91" s="16">
        <f t="shared" si="107"/>
        <v>0</v>
      </c>
      <c r="L91" s="14"/>
      <c r="M91" s="15"/>
      <c r="N91" s="16">
        <f t="shared" si="70"/>
        <v>0</v>
      </c>
      <c r="O91" s="14"/>
      <c r="P91" s="15"/>
      <c r="Q91" s="16">
        <f t="shared" si="71"/>
        <v>0</v>
      </c>
      <c r="R91" s="14"/>
      <c r="S91" s="15"/>
      <c r="T91" s="16">
        <f t="shared" si="74"/>
        <v>0</v>
      </c>
      <c r="U91" s="14"/>
      <c r="V91" s="15"/>
      <c r="W91" s="16">
        <f t="shared" si="75"/>
        <v>0</v>
      </c>
      <c r="X91" s="14"/>
      <c r="Y91" s="15"/>
      <c r="Z91" s="16">
        <f t="shared" si="105"/>
        <v>0</v>
      </c>
      <c r="AA91" s="14"/>
      <c r="AB91" s="15"/>
      <c r="AC91" s="16">
        <f t="shared" si="96"/>
        <v>0</v>
      </c>
      <c r="AD91" s="14"/>
      <c r="AE91" s="15"/>
      <c r="AF91" s="16">
        <f t="shared" si="76"/>
        <v>0</v>
      </c>
      <c r="AG91" s="14"/>
      <c r="AH91" s="15"/>
      <c r="AI91" s="16">
        <f t="shared" si="108"/>
        <v>0</v>
      </c>
      <c r="AJ91" s="14"/>
      <c r="AK91" s="15"/>
      <c r="AL91" s="16">
        <f t="shared" si="77"/>
        <v>0</v>
      </c>
      <c r="AM91" s="14"/>
      <c r="AN91" s="15"/>
      <c r="AO91" s="16">
        <f t="shared" si="78"/>
        <v>0</v>
      </c>
      <c r="AP91" s="14"/>
      <c r="AQ91" s="15"/>
      <c r="AR91" s="16">
        <f t="shared" si="79"/>
        <v>0</v>
      </c>
      <c r="AS91" s="14"/>
      <c r="AT91" s="15"/>
      <c r="AU91" s="16">
        <f t="shared" si="102"/>
        <v>0</v>
      </c>
      <c r="AV91" s="14"/>
      <c r="AW91" s="15"/>
      <c r="AX91" s="16">
        <f t="shared" si="80"/>
        <v>0</v>
      </c>
      <c r="AY91" s="14"/>
      <c r="AZ91" s="15"/>
      <c r="BA91" s="16">
        <f t="shared" si="81"/>
        <v>0</v>
      </c>
      <c r="BB91" s="14"/>
      <c r="BC91" s="15"/>
      <c r="BD91" s="16">
        <f t="shared" si="82"/>
        <v>0</v>
      </c>
      <c r="BE91" s="14"/>
      <c r="BF91" s="15"/>
      <c r="BG91" s="16">
        <f t="shared" si="109"/>
        <v>0</v>
      </c>
      <c r="BH91" s="14"/>
      <c r="BI91" s="15"/>
      <c r="BJ91" s="16">
        <f t="shared" si="83"/>
        <v>0</v>
      </c>
      <c r="BK91" s="14"/>
      <c r="BL91" s="15"/>
      <c r="BM91" s="16">
        <f t="shared" si="103"/>
        <v>0</v>
      </c>
      <c r="BN91" s="14"/>
      <c r="BO91" s="15"/>
      <c r="BP91" s="16">
        <f t="shared" si="97"/>
        <v>0</v>
      </c>
      <c r="BQ91" s="14"/>
      <c r="BR91" s="15"/>
      <c r="BS91" s="16">
        <f t="shared" si="106"/>
        <v>0</v>
      </c>
      <c r="BT91" s="14"/>
      <c r="BU91" s="15"/>
      <c r="BV91" s="16">
        <f t="shared" si="84"/>
        <v>0</v>
      </c>
      <c r="BW91" s="14"/>
      <c r="BX91" s="15"/>
      <c r="BY91" s="16">
        <f t="shared" si="104"/>
        <v>0</v>
      </c>
      <c r="BZ91" s="14"/>
      <c r="CA91" s="15"/>
      <c r="CB91" s="16">
        <f t="shared" si="85"/>
        <v>0</v>
      </c>
      <c r="CC91" s="14"/>
      <c r="CD91" s="15"/>
      <c r="CE91" s="16">
        <f t="shared" si="86"/>
        <v>0</v>
      </c>
      <c r="CF91" s="14"/>
      <c r="CG91" s="15"/>
      <c r="CH91" s="16">
        <f t="shared" si="87"/>
        <v>0</v>
      </c>
      <c r="CI91" s="14"/>
      <c r="CJ91" s="15"/>
      <c r="CK91" s="16">
        <f t="shared" si="88"/>
        <v>0</v>
      </c>
      <c r="CL91" s="14"/>
      <c r="CM91" s="15"/>
      <c r="CN91" s="16">
        <f t="shared" si="89"/>
        <v>0</v>
      </c>
      <c r="CO91" s="14"/>
      <c r="CP91" s="15"/>
      <c r="CQ91" s="16">
        <f t="shared" si="90"/>
        <v>0</v>
      </c>
      <c r="CR91" s="14"/>
      <c r="CS91" s="15"/>
      <c r="CT91" s="16">
        <f t="shared" si="91"/>
        <v>0</v>
      </c>
      <c r="CU91" s="17">
        <f t="shared" si="92"/>
        <v>0</v>
      </c>
      <c r="CV91" s="16">
        <f t="shared" si="93"/>
        <v>0</v>
      </c>
      <c r="CW91" s="16">
        <f t="shared" si="94"/>
        <v>0</v>
      </c>
    </row>
    <row r="92" spans="1:101" ht="15.75" customHeight="1" x14ac:dyDescent="0.35">
      <c r="A92" s="41" t="s">
        <v>820</v>
      </c>
      <c r="B92" s="41" t="s">
        <v>846</v>
      </c>
      <c r="C92" s="42"/>
      <c r="D92" s="43"/>
      <c r="E92" s="78">
        <f t="shared" si="73"/>
        <v>0</v>
      </c>
      <c r="F92" s="14"/>
      <c r="G92" s="15"/>
      <c r="H92" s="16">
        <f t="shared" si="95"/>
        <v>0</v>
      </c>
      <c r="I92" s="14"/>
      <c r="J92" s="15"/>
      <c r="K92" s="16">
        <f t="shared" si="107"/>
        <v>0</v>
      </c>
      <c r="L92" s="14"/>
      <c r="M92" s="15"/>
      <c r="N92" s="16">
        <f t="shared" si="70"/>
        <v>0</v>
      </c>
      <c r="O92" s="14"/>
      <c r="P92" s="15"/>
      <c r="Q92" s="16">
        <f t="shared" si="71"/>
        <v>0</v>
      </c>
      <c r="R92" s="14"/>
      <c r="S92" s="15"/>
      <c r="T92" s="16">
        <f t="shared" si="74"/>
        <v>0</v>
      </c>
      <c r="U92" s="14"/>
      <c r="V92" s="15"/>
      <c r="W92" s="16">
        <f t="shared" si="75"/>
        <v>0</v>
      </c>
      <c r="X92" s="14"/>
      <c r="Y92" s="15"/>
      <c r="Z92" s="16">
        <f t="shared" si="105"/>
        <v>0</v>
      </c>
      <c r="AA92" s="14"/>
      <c r="AB92" s="15"/>
      <c r="AC92" s="16">
        <f t="shared" si="96"/>
        <v>0</v>
      </c>
      <c r="AD92" s="14"/>
      <c r="AE92" s="15"/>
      <c r="AF92" s="16">
        <f t="shared" si="76"/>
        <v>0</v>
      </c>
      <c r="AG92" s="14"/>
      <c r="AH92" s="15"/>
      <c r="AI92" s="16">
        <f t="shared" si="108"/>
        <v>0</v>
      </c>
      <c r="AJ92" s="14"/>
      <c r="AK92" s="15"/>
      <c r="AL92" s="16">
        <f t="shared" si="77"/>
        <v>0</v>
      </c>
      <c r="AM92" s="14"/>
      <c r="AN92" s="15"/>
      <c r="AO92" s="16">
        <f t="shared" si="78"/>
        <v>0</v>
      </c>
      <c r="AP92" s="14"/>
      <c r="AQ92" s="15"/>
      <c r="AR92" s="16">
        <f t="shared" si="79"/>
        <v>0</v>
      </c>
      <c r="AS92" s="14"/>
      <c r="AT92" s="15"/>
      <c r="AU92" s="16">
        <f t="shared" si="102"/>
        <v>0</v>
      </c>
      <c r="AV92" s="14"/>
      <c r="AW92" s="15"/>
      <c r="AX92" s="16">
        <f t="shared" si="80"/>
        <v>0</v>
      </c>
      <c r="AY92" s="14"/>
      <c r="AZ92" s="15"/>
      <c r="BA92" s="16">
        <f t="shared" si="81"/>
        <v>0</v>
      </c>
      <c r="BB92" s="14"/>
      <c r="BC92" s="15"/>
      <c r="BD92" s="16">
        <f t="shared" si="82"/>
        <v>0</v>
      </c>
      <c r="BE92" s="14"/>
      <c r="BF92" s="15"/>
      <c r="BG92" s="16">
        <f t="shared" si="109"/>
        <v>0</v>
      </c>
      <c r="BH92" s="14"/>
      <c r="BI92" s="15"/>
      <c r="BJ92" s="16">
        <f t="shared" si="83"/>
        <v>0</v>
      </c>
      <c r="BK92" s="14"/>
      <c r="BL92" s="15"/>
      <c r="BM92" s="16">
        <f t="shared" si="103"/>
        <v>0</v>
      </c>
      <c r="BN92" s="14"/>
      <c r="BO92" s="15"/>
      <c r="BP92" s="16">
        <f t="shared" si="97"/>
        <v>0</v>
      </c>
      <c r="BQ92" s="14"/>
      <c r="BR92" s="15"/>
      <c r="BS92" s="16">
        <f t="shared" si="106"/>
        <v>0</v>
      </c>
      <c r="BT92" s="14"/>
      <c r="BU92" s="15"/>
      <c r="BV92" s="16">
        <f t="shared" si="84"/>
        <v>0</v>
      </c>
      <c r="BW92" s="14"/>
      <c r="BX92" s="15"/>
      <c r="BY92" s="16">
        <f t="shared" si="104"/>
        <v>0</v>
      </c>
      <c r="BZ92" s="14"/>
      <c r="CA92" s="15"/>
      <c r="CB92" s="16">
        <f t="shared" si="85"/>
        <v>0</v>
      </c>
      <c r="CC92" s="14"/>
      <c r="CD92" s="15"/>
      <c r="CE92" s="16">
        <f t="shared" si="86"/>
        <v>0</v>
      </c>
      <c r="CF92" s="14"/>
      <c r="CG92" s="15"/>
      <c r="CH92" s="16">
        <f t="shared" si="87"/>
        <v>0</v>
      </c>
      <c r="CI92" s="14"/>
      <c r="CJ92" s="15"/>
      <c r="CK92" s="16">
        <f t="shared" si="88"/>
        <v>0</v>
      </c>
      <c r="CL92" s="14"/>
      <c r="CM92" s="15"/>
      <c r="CN92" s="16">
        <f t="shared" si="89"/>
        <v>0</v>
      </c>
      <c r="CO92" s="14"/>
      <c r="CP92" s="15"/>
      <c r="CQ92" s="16">
        <f t="shared" si="90"/>
        <v>0</v>
      </c>
      <c r="CR92" s="14"/>
      <c r="CS92" s="15"/>
      <c r="CT92" s="16">
        <f t="shared" si="91"/>
        <v>0</v>
      </c>
      <c r="CU92" s="17">
        <f t="shared" si="92"/>
        <v>0</v>
      </c>
      <c r="CV92" s="16">
        <f t="shared" si="93"/>
        <v>0</v>
      </c>
      <c r="CW92" s="16">
        <f t="shared" si="94"/>
        <v>0</v>
      </c>
    </row>
    <row r="93" spans="1:101" ht="15.75" customHeight="1" x14ac:dyDescent="0.35">
      <c r="A93" s="41" t="s">
        <v>1005</v>
      </c>
      <c r="B93" s="41" t="s">
        <v>846</v>
      </c>
      <c r="C93" s="42"/>
      <c r="D93" s="43"/>
      <c r="E93" s="78">
        <f t="shared" si="73"/>
        <v>0</v>
      </c>
      <c r="F93" s="14"/>
      <c r="G93" s="15"/>
      <c r="H93" s="16">
        <f t="shared" si="95"/>
        <v>0</v>
      </c>
      <c r="I93" s="14"/>
      <c r="J93" s="15"/>
      <c r="K93" s="16">
        <f t="shared" si="107"/>
        <v>0</v>
      </c>
      <c r="L93" s="14"/>
      <c r="M93" s="15"/>
      <c r="N93" s="16">
        <f t="shared" si="70"/>
        <v>0</v>
      </c>
      <c r="O93" s="14"/>
      <c r="P93" s="15"/>
      <c r="Q93" s="16">
        <f t="shared" si="71"/>
        <v>0</v>
      </c>
      <c r="R93" s="14"/>
      <c r="S93" s="15"/>
      <c r="T93" s="16">
        <f t="shared" si="74"/>
        <v>0</v>
      </c>
      <c r="U93" s="14"/>
      <c r="V93" s="15"/>
      <c r="W93" s="16">
        <f t="shared" si="75"/>
        <v>0</v>
      </c>
      <c r="X93" s="14"/>
      <c r="Y93" s="15"/>
      <c r="Z93" s="16">
        <f t="shared" si="105"/>
        <v>0</v>
      </c>
      <c r="AA93" s="14"/>
      <c r="AB93" s="15"/>
      <c r="AC93" s="16">
        <f t="shared" si="96"/>
        <v>0</v>
      </c>
      <c r="AD93" s="14"/>
      <c r="AE93" s="15"/>
      <c r="AF93" s="16">
        <f t="shared" si="76"/>
        <v>0</v>
      </c>
      <c r="AG93" s="14"/>
      <c r="AH93" s="15"/>
      <c r="AI93" s="16">
        <f t="shared" si="108"/>
        <v>0</v>
      </c>
      <c r="AJ93" s="14"/>
      <c r="AK93" s="15"/>
      <c r="AL93" s="16">
        <f t="shared" si="77"/>
        <v>0</v>
      </c>
      <c r="AM93" s="14"/>
      <c r="AN93" s="15"/>
      <c r="AO93" s="16">
        <f t="shared" si="78"/>
        <v>0</v>
      </c>
      <c r="AP93" s="14"/>
      <c r="AQ93" s="15"/>
      <c r="AR93" s="16">
        <f t="shared" si="79"/>
        <v>0</v>
      </c>
      <c r="AS93" s="14"/>
      <c r="AT93" s="15"/>
      <c r="AU93" s="16">
        <f t="shared" si="102"/>
        <v>0</v>
      </c>
      <c r="AV93" s="14"/>
      <c r="AW93" s="15"/>
      <c r="AX93" s="16">
        <f t="shared" si="80"/>
        <v>0</v>
      </c>
      <c r="AY93" s="14"/>
      <c r="AZ93" s="15"/>
      <c r="BA93" s="16">
        <f t="shared" si="81"/>
        <v>0</v>
      </c>
      <c r="BB93" s="14"/>
      <c r="BC93" s="15"/>
      <c r="BD93" s="16">
        <f t="shared" si="82"/>
        <v>0</v>
      </c>
      <c r="BE93" s="14"/>
      <c r="BF93" s="15"/>
      <c r="BG93" s="16">
        <f t="shared" si="109"/>
        <v>0</v>
      </c>
      <c r="BH93" s="14"/>
      <c r="BI93" s="15"/>
      <c r="BJ93" s="16">
        <f t="shared" si="83"/>
        <v>0</v>
      </c>
      <c r="BK93" s="14"/>
      <c r="BL93" s="15"/>
      <c r="BM93" s="16">
        <f t="shared" si="103"/>
        <v>0</v>
      </c>
      <c r="BN93" s="14"/>
      <c r="BO93" s="15"/>
      <c r="BP93" s="16">
        <f t="shared" si="97"/>
        <v>0</v>
      </c>
      <c r="BQ93" s="14"/>
      <c r="BR93" s="15"/>
      <c r="BS93" s="16">
        <f t="shared" si="106"/>
        <v>0</v>
      </c>
      <c r="BT93" s="14"/>
      <c r="BU93" s="15"/>
      <c r="BV93" s="16">
        <f t="shared" si="84"/>
        <v>0</v>
      </c>
      <c r="BW93" s="14"/>
      <c r="BX93" s="15"/>
      <c r="BY93" s="16">
        <f t="shared" si="104"/>
        <v>0</v>
      </c>
      <c r="BZ93" s="14"/>
      <c r="CA93" s="15"/>
      <c r="CB93" s="16">
        <f t="shared" si="85"/>
        <v>0</v>
      </c>
      <c r="CC93" s="14"/>
      <c r="CD93" s="15"/>
      <c r="CE93" s="16">
        <f t="shared" si="86"/>
        <v>0</v>
      </c>
      <c r="CF93" s="14"/>
      <c r="CG93" s="15"/>
      <c r="CH93" s="16">
        <f t="shared" si="87"/>
        <v>0</v>
      </c>
      <c r="CI93" s="14"/>
      <c r="CJ93" s="15"/>
      <c r="CK93" s="16">
        <f t="shared" si="88"/>
        <v>0</v>
      </c>
      <c r="CL93" s="14"/>
      <c r="CM93" s="15"/>
      <c r="CN93" s="16">
        <f t="shared" si="89"/>
        <v>0</v>
      </c>
      <c r="CO93" s="14"/>
      <c r="CP93" s="15"/>
      <c r="CQ93" s="16">
        <f t="shared" si="90"/>
        <v>0</v>
      </c>
      <c r="CR93" s="14"/>
      <c r="CS93" s="15"/>
      <c r="CT93" s="16">
        <f t="shared" si="91"/>
        <v>0</v>
      </c>
      <c r="CU93" s="17">
        <f t="shared" si="92"/>
        <v>0</v>
      </c>
      <c r="CV93" s="16">
        <f t="shared" si="93"/>
        <v>0</v>
      </c>
      <c r="CW93" s="16">
        <f t="shared" si="94"/>
        <v>0</v>
      </c>
    </row>
    <row r="94" spans="1:101" ht="15.75" customHeight="1" x14ac:dyDescent="0.35">
      <c r="A94" s="41" t="s">
        <v>1006</v>
      </c>
      <c r="B94" s="41" t="s">
        <v>935</v>
      </c>
      <c r="C94" s="42"/>
      <c r="D94" s="43"/>
      <c r="E94" s="78">
        <f t="shared" si="73"/>
        <v>0</v>
      </c>
      <c r="F94" s="14"/>
      <c r="G94" s="15"/>
      <c r="H94" s="16">
        <f t="shared" si="95"/>
        <v>0</v>
      </c>
      <c r="I94" s="14"/>
      <c r="J94" s="15"/>
      <c r="K94" s="16">
        <f t="shared" si="107"/>
        <v>0</v>
      </c>
      <c r="L94" s="14"/>
      <c r="M94" s="15"/>
      <c r="N94" s="16">
        <f t="shared" si="70"/>
        <v>0</v>
      </c>
      <c r="O94" s="14"/>
      <c r="P94" s="15"/>
      <c r="Q94" s="16">
        <f t="shared" si="71"/>
        <v>0</v>
      </c>
      <c r="R94" s="14"/>
      <c r="S94" s="15"/>
      <c r="T94" s="16">
        <f t="shared" si="74"/>
        <v>0</v>
      </c>
      <c r="U94" s="14"/>
      <c r="V94" s="15"/>
      <c r="W94" s="16">
        <f t="shared" si="75"/>
        <v>0</v>
      </c>
      <c r="X94" s="14"/>
      <c r="Y94" s="15"/>
      <c r="Z94" s="16">
        <f t="shared" si="105"/>
        <v>0</v>
      </c>
      <c r="AA94" s="14"/>
      <c r="AB94" s="15"/>
      <c r="AC94" s="16">
        <f t="shared" si="96"/>
        <v>0</v>
      </c>
      <c r="AD94" s="14"/>
      <c r="AE94" s="15"/>
      <c r="AF94" s="16">
        <f t="shared" si="76"/>
        <v>0</v>
      </c>
      <c r="AG94" s="14"/>
      <c r="AH94" s="15"/>
      <c r="AI94" s="16">
        <f t="shared" si="108"/>
        <v>0</v>
      </c>
      <c r="AJ94" s="14"/>
      <c r="AK94" s="15"/>
      <c r="AL94" s="16">
        <f t="shared" si="77"/>
        <v>0</v>
      </c>
      <c r="AM94" s="14"/>
      <c r="AN94" s="15"/>
      <c r="AO94" s="16">
        <f t="shared" si="78"/>
        <v>0</v>
      </c>
      <c r="AP94" s="14"/>
      <c r="AQ94" s="15"/>
      <c r="AR94" s="16">
        <f t="shared" si="79"/>
        <v>0</v>
      </c>
      <c r="AS94" s="14"/>
      <c r="AT94" s="15"/>
      <c r="AU94" s="16">
        <f t="shared" si="102"/>
        <v>0</v>
      </c>
      <c r="AV94" s="14"/>
      <c r="AW94" s="15"/>
      <c r="AX94" s="16">
        <f t="shared" si="80"/>
        <v>0</v>
      </c>
      <c r="AY94" s="14"/>
      <c r="AZ94" s="15"/>
      <c r="BA94" s="16">
        <f t="shared" si="81"/>
        <v>0</v>
      </c>
      <c r="BB94" s="14"/>
      <c r="BC94" s="15"/>
      <c r="BD94" s="16">
        <f t="shared" si="82"/>
        <v>0</v>
      </c>
      <c r="BE94" s="14"/>
      <c r="BF94" s="15"/>
      <c r="BG94" s="16">
        <f t="shared" si="109"/>
        <v>0</v>
      </c>
      <c r="BH94" s="14"/>
      <c r="BI94" s="15"/>
      <c r="BJ94" s="16">
        <f t="shared" si="83"/>
        <v>0</v>
      </c>
      <c r="BK94" s="14"/>
      <c r="BL94" s="15"/>
      <c r="BM94" s="16">
        <f t="shared" si="103"/>
        <v>0</v>
      </c>
      <c r="BN94" s="14"/>
      <c r="BO94" s="15"/>
      <c r="BP94" s="16">
        <f t="shared" si="97"/>
        <v>0</v>
      </c>
      <c r="BQ94" s="14"/>
      <c r="BR94" s="15"/>
      <c r="BS94" s="16">
        <f t="shared" si="106"/>
        <v>0</v>
      </c>
      <c r="BT94" s="14"/>
      <c r="BU94" s="15"/>
      <c r="BV94" s="16">
        <f t="shared" si="84"/>
        <v>0</v>
      </c>
      <c r="BW94" s="14"/>
      <c r="BX94" s="15"/>
      <c r="BY94" s="16">
        <f t="shared" si="104"/>
        <v>0</v>
      </c>
      <c r="BZ94" s="14"/>
      <c r="CA94" s="15"/>
      <c r="CB94" s="16">
        <f t="shared" si="85"/>
        <v>0</v>
      </c>
      <c r="CC94" s="14"/>
      <c r="CD94" s="15"/>
      <c r="CE94" s="16">
        <f t="shared" si="86"/>
        <v>0</v>
      </c>
      <c r="CF94" s="14"/>
      <c r="CG94" s="15"/>
      <c r="CH94" s="16">
        <f t="shared" si="87"/>
        <v>0</v>
      </c>
      <c r="CI94" s="14"/>
      <c r="CJ94" s="15"/>
      <c r="CK94" s="16">
        <f t="shared" si="88"/>
        <v>0</v>
      </c>
      <c r="CL94" s="14"/>
      <c r="CM94" s="15"/>
      <c r="CN94" s="16">
        <f t="shared" si="89"/>
        <v>0</v>
      </c>
      <c r="CO94" s="14"/>
      <c r="CP94" s="15"/>
      <c r="CQ94" s="16">
        <f t="shared" si="90"/>
        <v>0</v>
      </c>
      <c r="CR94" s="14"/>
      <c r="CS94" s="15"/>
      <c r="CT94" s="16">
        <f t="shared" si="91"/>
        <v>0</v>
      </c>
      <c r="CU94" s="17">
        <f t="shared" si="92"/>
        <v>0</v>
      </c>
      <c r="CV94" s="16">
        <f t="shared" si="93"/>
        <v>0</v>
      </c>
      <c r="CW94" s="16">
        <f t="shared" si="94"/>
        <v>0</v>
      </c>
    </row>
    <row r="95" spans="1:101" ht="15.75" customHeight="1" x14ac:dyDescent="0.35">
      <c r="A95" s="41" t="s">
        <v>1007</v>
      </c>
      <c r="B95" s="41" t="s">
        <v>935</v>
      </c>
      <c r="C95" s="42"/>
      <c r="D95" s="43"/>
      <c r="E95" s="78">
        <f t="shared" si="73"/>
        <v>0</v>
      </c>
      <c r="F95" s="14"/>
      <c r="G95" s="15"/>
      <c r="H95" s="16">
        <f t="shared" si="95"/>
        <v>0</v>
      </c>
      <c r="I95" s="14"/>
      <c r="J95" s="15"/>
      <c r="K95" s="16">
        <f t="shared" si="107"/>
        <v>0</v>
      </c>
      <c r="L95" s="14"/>
      <c r="M95" s="15"/>
      <c r="N95" s="16">
        <f t="shared" si="70"/>
        <v>0</v>
      </c>
      <c r="O95" s="14"/>
      <c r="P95" s="15"/>
      <c r="Q95" s="16">
        <f t="shared" si="71"/>
        <v>0</v>
      </c>
      <c r="R95" s="14"/>
      <c r="S95" s="15"/>
      <c r="T95" s="16">
        <f t="shared" si="74"/>
        <v>0</v>
      </c>
      <c r="U95" s="14"/>
      <c r="V95" s="15"/>
      <c r="W95" s="16">
        <f t="shared" si="75"/>
        <v>0</v>
      </c>
      <c r="X95" s="14"/>
      <c r="Y95" s="15"/>
      <c r="Z95" s="16">
        <f t="shared" si="105"/>
        <v>0</v>
      </c>
      <c r="AA95" s="14"/>
      <c r="AB95" s="15"/>
      <c r="AC95" s="16">
        <f t="shared" si="96"/>
        <v>0</v>
      </c>
      <c r="AD95" s="14"/>
      <c r="AE95" s="15"/>
      <c r="AF95" s="16">
        <f t="shared" si="76"/>
        <v>0</v>
      </c>
      <c r="AG95" s="14"/>
      <c r="AH95" s="15"/>
      <c r="AI95" s="16">
        <f t="shared" si="108"/>
        <v>0</v>
      </c>
      <c r="AJ95" s="14"/>
      <c r="AK95" s="15"/>
      <c r="AL95" s="16">
        <f t="shared" si="77"/>
        <v>0</v>
      </c>
      <c r="AM95" s="14"/>
      <c r="AN95" s="15"/>
      <c r="AO95" s="16">
        <f t="shared" si="78"/>
        <v>0</v>
      </c>
      <c r="AP95" s="14"/>
      <c r="AQ95" s="15"/>
      <c r="AR95" s="16">
        <f t="shared" si="79"/>
        <v>0</v>
      </c>
      <c r="AS95" s="14"/>
      <c r="AT95" s="15"/>
      <c r="AU95" s="16">
        <f t="shared" si="102"/>
        <v>0</v>
      </c>
      <c r="AV95" s="14"/>
      <c r="AW95" s="15"/>
      <c r="AX95" s="16">
        <f t="shared" si="80"/>
        <v>0</v>
      </c>
      <c r="AY95" s="14"/>
      <c r="AZ95" s="15"/>
      <c r="BA95" s="16">
        <f t="shared" si="81"/>
        <v>0</v>
      </c>
      <c r="BB95" s="14"/>
      <c r="BC95" s="15"/>
      <c r="BD95" s="16">
        <f t="shared" si="82"/>
        <v>0</v>
      </c>
      <c r="BE95" s="14"/>
      <c r="BF95" s="15"/>
      <c r="BG95" s="16">
        <f t="shared" si="109"/>
        <v>0</v>
      </c>
      <c r="BH95" s="14"/>
      <c r="BI95" s="15"/>
      <c r="BJ95" s="16">
        <f t="shared" si="83"/>
        <v>0</v>
      </c>
      <c r="BK95" s="14"/>
      <c r="BL95" s="15"/>
      <c r="BM95" s="16">
        <f t="shared" si="103"/>
        <v>0</v>
      </c>
      <c r="BN95" s="14"/>
      <c r="BO95" s="15"/>
      <c r="BP95" s="16">
        <f t="shared" si="97"/>
        <v>0</v>
      </c>
      <c r="BQ95" s="14"/>
      <c r="BR95" s="15"/>
      <c r="BS95" s="16">
        <f t="shared" si="106"/>
        <v>0</v>
      </c>
      <c r="BT95" s="14"/>
      <c r="BU95" s="15"/>
      <c r="BV95" s="16">
        <f t="shared" si="84"/>
        <v>0</v>
      </c>
      <c r="BW95" s="14"/>
      <c r="BX95" s="15"/>
      <c r="BY95" s="16">
        <f t="shared" si="104"/>
        <v>0</v>
      </c>
      <c r="BZ95" s="14"/>
      <c r="CA95" s="15"/>
      <c r="CB95" s="16">
        <f t="shared" si="85"/>
        <v>0</v>
      </c>
      <c r="CC95" s="14"/>
      <c r="CD95" s="15"/>
      <c r="CE95" s="16">
        <f t="shared" si="86"/>
        <v>0</v>
      </c>
      <c r="CF95" s="14"/>
      <c r="CG95" s="15"/>
      <c r="CH95" s="16">
        <f t="shared" si="87"/>
        <v>0</v>
      </c>
      <c r="CI95" s="14"/>
      <c r="CJ95" s="15"/>
      <c r="CK95" s="16">
        <f t="shared" si="88"/>
        <v>0</v>
      </c>
      <c r="CL95" s="14"/>
      <c r="CM95" s="15"/>
      <c r="CN95" s="16">
        <f t="shared" si="89"/>
        <v>0</v>
      </c>
      <c r="CO95" s="14"/>
      <c r="CP95" s="15"/>
      <c r="CQ95" s="16">
        <f t="shared" si="90"/>
        <v>0</v>
      </c>
      <c r="CR95" s="14"/>
      <c r="CS95" s="15"/>
      <c r="CT95" s="16">
        <f t="shared" si="91"/>
        <v>0</v>
      </c>
      <c r="CU95" s="17">
        <f t="shared" si="92"/>
        <v>0</v>
      </c>
      <c r="CV95" s="16">
        <f t="shared" si="93"/>
        <v>0</v>
      </c>
      <c r="CW95" s="16">
        <f t="shared" si="94"/>
        <v>0</v>
      </c>
    </row>
    <row r="96" spans="1:101" ht="15.75" customHeight="1" x14ac:dyDescent="0.35">
      <c r="A96" s="41" t="s">
        <v>114</v>
      </c>
      <c r="B96" s="41" t="s">
        <v>935</v>
      </c>
      <c r="C96" s="42"/>
      <c r="D96" s="43"/>
      <c r="E96" s="78">
        <f t="shared" si="73"/>
        <v>0</v>
      </c>
      <c r="F96" s="14"/>
      <c r="G96" s="15"/>
      <c r="H96" s="16">
        <f t="shared" si="95"/>
        <v>0</v>
      </c>
      <c r="I96" s="14">
        <v>50</v>
      </c>
      <c r="J96" s="15">
        <v>4600</v>
      </c>
      <c r="K96" s="16">
        <v>230000</v>
      </c>
      <c r="L96" s="14"/>
      <c r="M96" s="15"/>
      <c r="N96" s="16">
        <f t="shared" si="70"/>
        <v>0</v>
      </c>
      <c r="O96" s="14"/>
      <c r="P96" s="15"/>
      <c r="Q96" s="16">
        <f t="shared" ref="Q96:Q124" si="110">IFERROR(O96*P96, 0)</f>
        <v>0</v>
      </c>
      <c r="R96" s="14"/>
      <c r="S96" s="15"/>
      <c r="T96" s="16">
        <f t="shared" si="74"/>
        <v>0</v>
      </c>
      <c r="U96" s="14"/>
      <c r="V96" s="15"/>
      <c r="W96" s="16">
        <f t="shared" si="75"/>
        <v>0</v>
      </c>
      <c r="X96" s="14">
        <v>33</v>
      </c>
      <c r="Y96" s="15">
        <v>4250</v>
      </c>
      <c r="Z96" s="16">
        <v>145500</v>
      </c>
      <c r="AA96" s="14"/>
      <c r="AB96" s="15"/>
      <c r="AC96" s="16">
        <f t="shared" si="96"/>
        <v>0</v>
      </c>
      <c r="AD96" s="14"/>
      <c r="AE96" s="15"/>
      <c r="AF96" s="16">
        <f t="shared" si="76"/>
        <v>0</v>
      </c>
      <c r="AG96" s="14"/>
      <c r="AH96" s="15"/>
      <c r="AI96" s="16">
        <f t="shared" si="108"/>
        <v>0</v>
      </c>
      <c r="AJ96" s="14"/>
      <c r="AK96" s="15"/>
      <c r="AL96" s="16">
        <f t="shared" si="77"/>
        <v>0</v>
      </c>
      <c r="AM96" s="14"/>
      <c r="AN96" s="15"/>
      <c r="AO96" s="16">
        <f t="shared" si="78"/>
        <v>0</v>
      </c>
      <c r="AP96" s="14"/>
      <c r="AQ96" s="15"/>
      <c r="AR96" s="16">
        <f t="shared" si="79"/>
        <v>0</v>
      </c>
      <c r="AS96" s="14"/>
      <c r="AT96" s="15"/>
      <c r="AU96" s="16">
        <f t="shared" si="102"/>
        <v>0</v>
      </c>
      <c r="AV96" s="14"/>
      <c r="AW96" s="15"/>
      <c r="AX96" s="16">
        <f t="shared" si="80"/>
        <v>0</v>
      </c>
      <c r="AY96" s="14"/>
      <c r="AZ96" s="15"/>
      <c r="BA96" s="16">
        <f t="shared" si="81"/>
        <v>0</v>
      </c>
      <c r="BB96" s="14"/>
      <c r="BC96" s="15"/>
      <c r="BD96" s="16">
        <f t="shared" si="82"/>
        <v>0</v>
      </c>
      <c r="BE96" s="14"/>
      <c r="BF96" s="15"/>
      <c r="BG96" s="16">
        <f t="shared" si="109"/>
        <v>0</v>
      </c>
      <c r="BH96" s="14"/>
      <c r="BI96" s="15"/>
      <c r="BJ96" s="16">
        <f t="shared" si="83"/>
        <v>0</v>
      </c>
      <c r="BK96" s="14"/>
      <c r="BL96" s="15"/>
      <c r="BM96" s="16">
        <f t="shared" si="103"/>
        <v>0</v>
      </c>
      <c r="BN96" s="14"/>
      <c r="BO96" s="15"/>
      <c r="BP96" s="16">
        <f t="shared" si="97"/>
        <v>0</v>
      </c>
      <c r="BQ96" s="14"/>
      <c r="BR96" s="15"/>
      <c r="BS96" s="16">
        <f t="shared" si="106"/>
        <v>0</v>
      </c>
      <c r="BT96" s="14"/>
      <c r="BU96" s="15"/>
      <c r="BV96" s="16">
        <f t="shared" si="84"/>
        <v>0</v>
      </c>
      <c r="BW96" s="14"/>
      <c r="BX96" s="15"/>
      <c r="BY96" s="16">
        <f t="shared" si="104"/>
        <v>0</v>
      </c>
      <c r="BZ96" s="14"/>
      <c r="CA96" s="15"/>
      <c r="CB96" s="16">
        <f t="shared" si="85"/>
        <v>0</v>
      </c>
      <c r="CC96" s="14"/>
      <c r="CD96" s="15"/>
      <c r="CE96" s="16">
        <f t="shared" si="86"/>
        <v>0</v>
      </c>
      <c r="CF96" s="14"/>
      <c r="CG96" s="15"/>
      <c r="CH96" s="16">
        <f t="shared" si="87"/>
        <v>0</v>
      </c>
      <c r="CI96" s="14"/>
      <c r="CJ96" s="15"/>
      <c r="CK96" s="16">
        <f t="shared" si="88"/>
        <v>0</v>
      </c>
      <c r="CL96" s="14"/>
      <c r="CM96" s="15"/>
      <c r="CN96" s="16">
        <f t="shared" si="89"/>
        <v>0</v>
      </c>
      <c r="CO96" s="14"/>
      <c r="CP96" s="15"/>
      <c r="CQ96" s="16">
        <f t="shared" si="90"/>
        <v>0</v>
      </c>
      <c r="CR96" s="14"/>
      <c r="CS96" s="15"/>
      <c r="CT96" s="16">
        <f t="shared" si="91"/>
        <v>0</v>
      </c>
      <c r="CU96" s="17">
        <f t="shared" si="92"/>
        <v>83</v>
      </c>
      <c r="CV96" s="16">
        <f t="shared" si="93"/>
        <v>4425</v>
      </c>
      <c r="CW96" s="16">
        <f t="shared" si="94"/>
        <v>367275</v>
      </c>
    </row>
    <row r="97" spans="1:102" ht="15.75" customHeight="1" x14ac:dyDescent="0.35">
      <c r="A97" s="41" t="s">
        <v>301</v>
      </c>
      <c r="B97" s="41" t="s">
        <v>935</v>
      </c>
      <c r="C97" s="42"/>
      <c r="D97" s="43"/>
      <c r="E97" s="78">
        <f t="shared" si="73"/>
        <v>0</v>
      </c>
      <c r="F97" s="14"/>
      <c r="G97" s="15"/>
      <c r="H97" s="16">
        <f t="shared" si="95"/>
        <v>0</v>
      </c>
      <c r="I97" s="14"/>
      <c r="J97" s="15"/>
      <c r="K97" s="16">
        <f>IFERROR(I97*J97, 0)</f>
        <v>0</v>
      </c>
      <c r="L97" s="14"/>
      <c r="M97" s="15"/>
      <c r="N97" s="16">
        <f t="shared" si="70"/>
        <v>0</v>
      </c>
      <c r="O97" s="14"/>
      <c r="P97" s="15"/>
      <c r="Q97" s="16">
        <f t="shared" si="110"/>
        <v>0</v>
      </c>
      <c r="R97" s="14"/>
      <c r="S97" s="15"/>
      <c r="T97" s="16">
        <f t="shared" si="74"/>
        <v>0</v>
      </c>
      <c r="U97" s="14"/>
      <c r="V97" s="15"/>
      <c r="W97" s="16">
        <f t="shared" si="75"/>
        <v>0</v>
      </c>
      <c r="X97" s="14">
        <v>3</v>
      </c>
      <c r="Y97" s="15">
        <v>5450</v>
      </c>
      <c r="Z97" s="16">
        <v>16350</v>
      </c>
      <c r="AA97" s="14"/>
      <c r="AB97" s="15"/>
      <c r="AC97" s="16">
        <f t="shared" si="96"/>
        <v>0</v>
      </c>
      <c r="AD97" s="14"/>
      <c r="AE97" s="15"/>
      <c r="AF97" s="16">
        <f t="shared" si="76"/>
        <v>0</v>
      </c>
      <c r="AG97" s="14">
        <v>3</v>
      </c>
      <c r="AH97" s="15">
        <v>5450</v>
      </c>
      <c r="AI97" s="16">
        <v>16350</v>
      </c>
      <c r="AJ97" s="14"/>
      <c r="AK97" s="15"/>
      <c r="AL97" s="16">
        <f t="shared" si="77"/>
        <v>0</v>
      </c>
      <c r="AM97" s="14"/>
      <c r="AN97" s="15"/>
      <c r="AO97" s="16">
        <f t="shared" si="78"/>
        <v>0</v>
      </c>
      <c r="AP97" s="14"/>
      <c r="AQ97" s="15"/>
      <c r="AR97" s="16">
        <f t="shared" si="79"/>
        <v>0</v>
      </c>
      <c r="AS97" s="14"/>
      <c r="AT97" s="15"/>
      <c r="AU97" s="16">
        <f t="shared" si="102"/>
        <v>0</v>
      </c>
      <c r="AV97" s="14"/>
      <c r="AW97" s="15"/>
      <c r="AX97" s="16">
        <f t="shared" si="80"/>
        <v>0</v>
      </c>
      <c r="AY97" s="14"/>
      <c r="AZ97" s="15"/>
      <c r="BA97" s="16">
        <f t="shared" si="81"/>
        <v>0</v>
      </c>
      <c r="BB97" s="14"/>
      <c r="BC97" s="15"/>
      <c r="BD97" s="16">
        <f t="shared" si="82"/>
        <v>0</v>
      </c>
      <c r="BE97" s="14">
        <v>5</v>
      </c>
      <c r="BF97" s="15">
        <v>5450</v>
      </c>
      <c r="BG97" s="16">
        <v>27250</v>
      </c>
      <c r="BH97" s="14"/>
      <c r="BI97" s="15"/>
      <c r="BJ97" s="16">
        <f t="shared" si="83"/>
        <v>0</v>
      </c>
      <c r="BK97" s="14"/>
      <c r="BL97" s="15"/>
      <c r="BM97" s="16">
        <f t="shared" si="103"/>
        <v>0</v>
      </c>
      <c r="BN97" s="14"/>
      <c r="BO97" s="15"/>
      <c r="BP97" s="16">
        <f t="shared" si="97"/>
        <v>0</v>
      </c>
      <c r="BQ97" s="14"/>
      <c r="BR97" s="15"/>
      <c r="BS97" s="16">
        <f t="shared" si="106"/>
        <v>0</v>
      </c>
      <c r="BT97" s="14"/>
      <c r="BU97" s="15"/>
      <c r="BV97" s="16">
        <f t="shared" si="84"/>
        <v>0</v>
      </c>
      <c r="BW97" s="14"/>
      <c r="BX97" s="15"/>
      <c r="BY97" s="16">
        <f t="shared" si="104"/>
        <v>0</v>
      </c>
      <c r="BZ97" s="14"/>
      <c r="CA97" s="15"/>
      <c r="CB97" s="16">
        <f t="shared" si="85"/>
        <v>0</v>
      </c>
      <c r="CC97" s="14"/>
      <c r="CD97" s="15"/>
      <c r="CE97" s="16">
        <f t="shared" si="86"/>
        <v>0</v>
      </c>
      <c r="CF97" s="14"/>
      <c r="CG97" s="15"/>
      <c r="CH97" s="16">
        <f t="shared" si="87"/>
        <v>0</v>
      </c>
      <c r="CI97" s="14"/>
      <c r="CJ97" s="15"/>
      <c r="CK97" s="16">
        <f t="shared" si="88"/>
        <v>0</v>
      </c>
      <c r="CL97" s="14"/>
      <c r="CM97" s="15"/>
      <c r="CN97" s="16">
        <f t="shared" si="89"/>
        <v>0</v>
      </c>
      <c r="CO97" s="14"/>
      <c r="CP97" s="15"/>
      <c r="CQ97" s="16">
        <f t="shared" si="90"/>
        <v>0</v>
      </c>
      <c r="CR97" s="14"/>
      <c r="CS97" s="15"/>
      <c r="CT97" s="16">
        <f t="shared" si="91"/>
        <v>0</v>
      </c>
      <c r="CU97" s="17">
        <f t="shared" si="92"/>
        <v>11</v>
      </c>
      <c r="CV97" s="16">
        <f t="shared" si="93"/>
        <v>5450</v>
      </c>
      <c r="CW97" s="16">
        <f t="shared" si="94"/>
        <v>59950</v>
      </c>
    </row>
    <row r="98" spans="1:102" ht="15.75" customHeight="1" x14ac:dyDescent="0.35">
      <c r="A98" s="41" t="s">
        <v>130</v>
      </c>
      <c r="B98" s="41" t="s">
        <v>935</v>
      </c>
      <c r="C98" s="42"/>
      <c r="D98" s="43"/>
      <c r="E98" s="78">
        <f t="shared" si="73"/>
        <v>0</v>
      </c>
      <c r="F98" s="14"/>
      <c r="G98" s="15"/>
      <c r="H98" s="16">
        <f t="shared" si="95"/>
        <v>0</v>
      </c>
      <c r="I98" s="14">
        <v>3</v>
      </c>
      <c r="J98" s="15">
        <v>2750</v>
      </c>
      <c r="K98" s="16">
        <v>8250</v>
      </c>
      <c r="L98" s="14"/>
      <c r="M98" s="15"/>
      <c r="N98" s="16">
        <f t="shared" si="70"/>
        <v>0</v>
      </c>
      <c r="O98" s="14"/>
      <c r="P98" s="15"/>
      <c r="Q98" s="16">
        <f t="shared" si="110"/>
        <v>0</v>
      </c>
      <c r="R98" s="14"/>
      <c r="S98" s="15"/>
      <c r="T98" s="16">
        <f t="shared" si="74"/>
        <v>0</v>
      </c>
      <c r="U98" s="14"/>
      <c r="V98" s="15"/>
      <c r="W98" s="16">
        <f t="shared" si="75"/>
        <v>0</v>
      </c>
      <c r="X98" s="14">
        <v>4</v>
      </c>
      <c r="Y98" s="15">
        <v>2750</v>
      </c>
      <c r="Z98" s="16">
        <v>11000</v>
      </c>
      <c r="AA98" s="14"/>
      <c r="AB98" s="15"/>
      <c r="AC98" s="16">
        <f t="shared" si="96"/>
        <v>0</v>
      </c>
      <c r="AD98" s="14"/>
      <c r="AE98" s="15"/>
      <c r="AF98" s="16">
        <f t="shared" si="76"/>
        <v>0</v>
      </c>
      <c r="AG98" s="14">
        <v>3</v>
      </c>
      <c r="AH98" s="15">
        <v>2750</v>
      </c>
      <c r="AI98" s="16">
        <v>8250</v>
      </c>
      <c r="AJ98" s="14"/>
      <c r="AK98" s="15"/>
      <c r="AL98" s="16">
        <f t="shared" si="77"/>
        <v>0</v>
      </c>
      <c r="AM98" s="14"/>
      <c r="AN98" s="15"/>
      <c r="AO98" s="16">
        <f t="shared" si="78"/>
        <v>0</v>
      </c>
      <c r="AP98" s="14"/>
      <c r="AQ98" s="15"/>
      <c r="AR98" s="16">
        <f t="shared" si="79"/>
        <v>0</v>
      </c>
      <c r="AS98" s="14"/>
      <c r="AT98" s="15"/>
      <c r="AU98" s="16">
        <f t="shared" si="102"/>
        <v>0</v>
      </c>
      <c r="AV98" s="14"/>
      <c r="AW98" s="15"/>
      <c r="AX98" s="16">
        <f t="shared" si="80"/>
        <v>0</v>
      </c>
      <c r="AY98" s="14"/>
      <c r="AZ98" s="15"/>
      <c r="BA98" s="16">
        <f t="shared" si="81"/>
        <v>0</v>
      </c>
      <c r="BB98" s="14"/>
      <c r="BC98" s="15"/>
      <c r="BD98" s="16">
        <f t="shared" si="82"/>
        <v>0</v>
      </c>
      <c r="BE98" s="14">
        <v>3</v>
      </c>
      <c r="BF98" s="15">
        <v>2750</v>
      </c>
      <c r="BG98" s="16">
        <v>8250</v>
      </c>
      <c r="BH98" s="14"/>
      <c r="BI98" s="15"/>
      <c r="BJ98" s="16">
        <f t="shared" si="83"/>
        <v>0</v>
      </c>
      <c r="BK98" s="14"/>
      <c r="BL98" s="15"/>
      <c r="BM98" s="16">
        <f t="shared" si="103"/>
        <v>0</v>
      </c>
      <c r="BN98" s="14"/>
      <c r="BO98" s="15"/>
      <c r="BP98" s="16">
        <f t="shared" si="97"/>
        <v>0</v>
      </c>
      <c r="BQ98" s="14">
        <v>4</v>
      </c>
      <c r="BR98" s="15">
        <v>2750</v>
      </c>
      <c r="BS98" s="16">
        <v>11000</v>
      </c>
      <c r="BT98" s="14"/>
      <c r="BU98" s="15"/>
      <c r="BV98" s="16">
        <f t="shared" si="84"/>
        <v>0</v>
      </c>
      <c r="BW98" s="14"/>
      <c r="BX98" s="15"/>
      <c r="BY98" s="16">
        <f t="shared" si="104"/>
        <v>0</v>
      </c>
      <c r="BZ98" s="14"/>
      <c r="CA98" s="15"/>
      <c r="CB98" s="16">
        <f t="shared" si="85"/>
        <v>0</v>
      </c>
      <c r="CC98" s="14"/>
      <c r="CD98" s="15"/>
      <c r="CE98" s="16">
        <f t="shared" si="86"/>
        <v>0</v>
      </c>
      <c r="CF98" s="14"/>
      <c r="CG98" s="15"/>
      <c r="CH98" s="16">
        <f t="shared" si="87"/>
        <v>0</v>
      </c>
      <c r="CI98" s="14"/>
      <c r="CJ98" s="15"/>
      <c r="CK98" s="16">
        <f t="shared" si="88"/>
        <v>0</v>
      </c>
      <c r="CL98" s="14"/>
      <c r="CM98" s="15"/>
      <c r="CN98" s="16">
        <f t="shared" si="89"/>
        <v>0</v>
      </c>
      <c r="CO98" s="14"/>
      <c r="CP98" s="15"/>
      <c r="CQ98" s="16">
        <f t="shared" si="90"/>
        <v>0</v>
      </c>
      <c r="CR98" s="14"/>
      <c r="CS98" s="15"/>
      <c r="CT98" s="16">
        <f t="shared" si="91"/>
        <v>0</v>
      </c>
      <c r="CU98" s="17">
        <f t="shared" si="92"/>
        <v>17</v>
      </c>
      <c r="CV98" s="16">
        <f t="shared" si="93"/>
        <v>2750</v>
      </c>
      <c r="CW98" s="16">
        <f t="shared" si="94"/>
        <v>46750</v>
      </c>
    </row>
    <row r="99" spans="1:102" ht="15.75" customHeight="1" x14ac:dyDescent="0.35">
      <c r="A99" s="41" t="s">
        <v>1008</v>
      </c>
      <c r="B99" s="41" t="s">
        <v>935</v>
      </c>
      <c r="C99" s="42"/>
      <c r="D99" s="43"/>
      <c r="E99" s="78">
        <f t="shared" ref="E99:E130" si="111">IFERROR(+C99*D99, 0)</f>
        <v>0</v>
      </c>
      <c r="F99" s="14"/>
      <c r="G99" s="15"/>
      <c r="H99" s="16">
        <f t="shared" si="95"/>
        <v>0</v>
      </c>
      <c r="I99" s="14"/>
      <c r="J99" s="15"/>
      <c r="K99" s="16">
        <f>IFERROR(I99*J99, 0)</f>
        <v>0</v>
      </c>
      <c r="L99" s="14"/>
      <c r="M99" s="15"/>
      <c r="N99" s="16">
        <f t="shared" si="70"/>
        <v>0</v>
      </c>
      <c r="O99" s="14"/>
      <c r="P99" s="15"/>
      <c r="Q99" s="16">
        <f t="shared" si="110"/>
        <v>0</v>
      </c>
      <c r="R99" s="14"/>
      <c r="S99" s="15"/>
      <c r="T99" s="16">
        <f t="shared" ref="T99:T104" si="112">IFERROR(R99*S99, 0)</f>
        <v>0</v>
      </c>
      <c r="U99" s="14"/>
      <c r="V99" s="15"/>
      <c r="W99" s="16">
        <f t="shared" ref="W99:W130" si="113">IFERROR(U99*V99, 0)</f>
        <v>0</v>
      </c>
      <c r="X99" s="14"/>
      <c r="Y99" s="15"/>
      <c r="Z99" s="16">
        <f>IFERROR(X99*Y99, 0)</f>
        <v>0</v>
      </c>
      <c r="AA99" s="14"/>
      <c r="AB99" s="15"/>
      <c r="AC99" s="16">
        <f t="shared" si="96"/>
        <v>0</v>
      </c>
      <c r="AD99" s="14"/>
      <c r="AE99" s="15"/>
      <c r="AF99" s="16">
        <f t="shared" ref="AF99:AF130" si="114">IFERROR(AD99*AE99, 0)</f>
        <v>0</v>
      </c>
      <c r="AG99" s="14"/>
      <c r="AH99" s="15"/>
      <c r="AI99" s="16">
        <f>IFERROR(AG99*AH99, 0)</f>
        <v>0</v>
      </c>
      <c r="AJ99" s="14"/>
      <c r="AK99" s="15"/>
      <c r="AL99" s="16">
        <f t="shared" ref="AL99:AL129" si="115">IFERROR(AJ99*AK99, 0)</f>
        <v>0</v>
      </c>
      <c r="AM99" s="14"/>
      <c r="AN99" s="15"/>
      <c r="AO99" s="16">
        <f t="shared" ref="AO99:AO130" si="116">IFERROR(AM99*AN99, 0)</f>
        <v>0</v>
      </c>
      <c r="AP99" s="14"/>
      <c r="AQ99" s="15"/>
      <c r="AR99" s="16">
        <f t="shared" ref="AR99:AR129" si="117">IFERROR(AP99*AQ99, 0)</f>
        <v>0</v>
      </c>
      <c r="AS99" s="14"/>
      <c r="AT99" s="15"/>
      <c r="AU99" s="16">
        <f t="shared" si="102"/>
        <v>0</v>
      </c>
      <c r="AV99" s="14"/>
      <c r="AW99" s="15"/>
      <c r="AX99" s="16">
        <f t="shared" ref="AX99:AX130" si="118">IFERROR(AV99*AW99, 0)</f>
        <v>0</v>
      </c>
      <c r="AY99" s="14"/>
      <c r="AZ99" s="15"/>
      <c r="BA99" s="16">
        <f t="shared" ref="BA99:BA130" si="119">IFERROR(AY99*AZ99, 0)</f>
        <v>0</v>
      </c>
      <c r="BB99" s="14"/>
      <c r="BC99" s="15"/>
      <c r="BD99" s="16">
        <f t="shared" ref="BD99:BD129" si="120">IFERROR(BB99*BC99, 0)</f>
        <v>0</v>
      </c>
      <c r="BE99" s="14"/>
      <c r="BF99" s="15"/>
      <c r="BG99" s="16">
        <f>IFERROR(BE99*BF99, 0)</f>
        <v>0</v>
      </c>
      <c r="BH99" s="14"/>
      <c r="BI99" s="15"/>
      <c r="BJ99" s="16">
        <f t="shared" ref="BJ99:BJ124" si="121">IFERROR(BH99*BI99, 0)</f>
        <v>0</v>
      </c>
      <c r="BK99" s="14"/>
      <c r="BL99" s="15"/>
      <c r="BM99" s="16">
        <f t="shared" si="103"/>
        <v>0</v>
      </c>
      <c r="BN99" s="14"/>
      <c r="BO99" s="15"/>
      <c r="BP99" s="16">
        <f t="shared" si="97"/>
        <v>0</v>
      </c>
      <c r="BQ99" s="14"/>
      <c r="BR99" s="15"/>
      <c r="BS99" s="16">
        <f>IFERROR(BQ99*BR99, 0)</f>
        <v>0</v>
      </c>
      <c r="BT99" s="14"/>
      <c r="BU99" s="15"/>
      <c r="BV99" s="16">
        <f t="shared" ref="BV99:BV130" si="122">IFERROR(BT99*BU99, 0)</f>
        <v>0</v>
      </c>
      <c r="BW99" s="14"/>
      <c r="BX99" s="15"/>
      <c r="BY99" s="16">
        <f t="shared" si="104"/>
        <v>0</v>
      </c>
      <c r="BZ99" s="14"/>
      <c r="CA99" s="15"/>
      <c r="CB99" s="16">
        <f t="shared" ref="CB99:CB130" si="123">IFERROR(BZ99*CA99, 0)</f>
        <v>0</v>
      </c>
      <c r="CC99" s="14"/>
      <c r="CD99" s="15"/>
      <c r="CE99" s="16">
        <f t="shared" ref="CE99:CE130" si="124">IFERROR(CC99*CD99, 0)</f>
        <v>0</v>
      </c>
      <c r="CF99" s="14"/>
      <c r="CG99" s="15"/>
      <c r="CH99" s="16">
        <f t="shared" ref="CH99:CH130" si="125">IFERROR(CF99*CG99, 0)</f>
        <v>0</v>
      </c>
      <c r="CI99" s="14"/>
      <c r="CJ99" s="15"/>
      <c r="CK99" s="16">
        <f t="shared" ref="CK99:CK130" si="126">IFERROR(CI99*CJ99, 0)</f>
        <v>0</v>
      </c>
      <c r="CL99" s="14"/>
      <c r="CM99" s="15"/>
      <c r="CN99" s="16">
        <f t="shared" ref="CN99:CN130" si="127">IFERROR(CL99*CM99, 0)</f>
        <v>0</v>
      </c>
      <c r="CO99" s="14"/>
      <c r="CP99" s="15"/>
      <c r="CQ99" s="16">
        <f t="shared" ref="CQ99:CQ130" si="128">IFERROR(CO99*CP99, 0)</f>
        <v>0</v>
      </c>
      <c r="CR99" s="14"/>
      <c r="CS99" s="15"/>
      <c r="CT99" s="16">
        <f t="shared" ref="CT99:CT130" si="129">IFERROR(CR99*CS99, 0)</f>
        <v>0</v>
      </c>
      <c r="CU99" s="17">
        <f t="shared" ref="CU99:CU130" si="130">IFERROR(SUM(F99,I99,L99,O99,R99,U99,X99,AA99,AD99,AG99,AJ99,AM99,AP99,AS99,AV99,AY99,BB99,BE99,BH99,BK99,BN99,BQ99,BT99,BW99,BZ99,CC99,CF99,CI99,CL99,CO99,CR99), 0)</f>
        <v>0</v>
      </c>
      <c r="CV99" s="16">
        <f t="shared" ref="CV99:CV130" si="131">IFERROR(AVERAGE(G99,J99,M99,P99,S99,V99,Y99,AB99,AE99,AH99,AK99,AN99,AQ99,AT99,AW99,AZ99,BC99,BF99,BI99,BL99,BO99,BR99,BU99,BX99,CA99,CD99,CG99,CJ99,CM99,CP99,CS99), 0)</f>
        <v>0</v>
      </c>
      <c r="CW99" s="16">
        <f t="shared" ref="CW99:CW130" si="132">CU99*CV99</f>
        <v>0</v>
      </c>
    </row>
    <row r="100" spans="1:102" ht="16.5" customHeight="1" x14ac:dyDescent="0.35">
      <c r="A100" s="41" t="s">
        <v>1009</v>
      </c>
      <c r="B100" s="41" t="s">
        <v>977</v>
      </c>
      <c r="C100" s="42"/>
      <c r="D100" s="43"/>
      <c r="E100" s="78">
        <f t="shared" si="111"/>
        <v>0</v>
      </c>
      <c r="F100" s="14"/>
      <c r="G100" s="15"/>
      <c r="H100" s="16">
        <f t="shared" ref="H100:H124" si="133">IFERROR(F100*G100, 0)</f>
        <v>0</v>
      </c>
      <c r="I100" s="14"/>
      <c r="J100" s="15"/>
      <c r="K100" s="16">
        <f>IFERROR(I100*J100, 0)</f>
        <v>0</v>
      </c>
      <c r="L100" s="14"/>
      <c r="M100" s="15"/>
      <c r="N100" s="16">
        <f t="shared" si="70"/>
        <v>0</v>
      </c>
      <c r="O100" s="14"/>
      <c r="P100" s="15"/>
      <c r="Q100" s="16">
        <f t="shared" si="110"/>
        <v>0</v>
      </c>
      <c r="R100" s="14"/>
      <c r="S100" s="15"/>
      <c r="T100" s="16">
        <f t="shared" si="112"/>
        <v>0</v>
      </c>
      <c r="U100" s="14"/>
      <c r="V100" s="15"/>
      <c r="W100" s="16">
        <f t="shared" si="113"/>
        <v>0</v>
      </c>
      <c r="X100" s="14"/>
      <c r="Y100" s="15"/>
      <c r="Z100" s="16">
        <f>IFERROR(X100*Y100, 0)</f>
        <v>0</v>
      </c>
      <c r="AA100" s="14"/>
      <c r="AB100" s="15"/>
      <c r="AC100" s="16">
        <f t="shared" si="96"/>
        <v>0</v>
      </c>
      <c r="AD100" s="14"/>
      <c r="AE100" s="15"/>
      <c r="AF100" s="16">
        <f t="shared" si="114"/>
        <v>0</v>
      </c>
      <c r="AG100" s="14"/>
      <c r="AH100" s="15"/>
      <c r="AI100" s="16">
        <f>IFERROR(AG100*AH100, 0)</f>
        <v>0</v>
      </c>
      <c r="AJ100" s="14"/>
      <c r="AK100" s="15"/>
      <c r="AL100" s="16">
        <f t="shared" si="115"/>
        <v>0</v>
      </c>
      <c r="AM100" s="14"/>
      <c r="AN100" s="15"/>
      <c r="AO100" s="16">
        <f t="shared" si="116"/>
        <v>0</v>
      </c>
      <c r="AP100" s="14"/>
      <c r="AQ100" s="15"/>
      <c r="AR100" s="16">
        <f t="shared" si="117"/>
        <v>0</v>
      </c>
      <c r="AS100" s="14"/>
      <c r="AT100" s="15"/>
      <c r="AU100" s="16">
        <f t="shared" si="102"/>
        <v>0</v>
      </c>
      <c r="AV100" s="14"/>
      <c r="AW100" s="15"/>
      <c r="AX100" s="16">
        <f t="shared" si="118"/>
        <v>0</v>
      </c>
      <c r="AY100" s="14"/>
      <c r="AZ100" s="15"/>
      <c r="BA100" s="16">
        <f t="shared" si="119"/>
        <v>0</v>
      </c>
      <c r="BB100" s="14"/>
      <c r="BC100" s="15"/>
      <c r="BD100" s="16">
        <f t="shared" si="120"/>
        <v>0</v>
      </c>
      <c r="BE100" s="14"/>
      <c r="BF100" s="15"/>
      <c r="BG100" s="16">
        <f>IFERROR(BE100*BF100, 0)</f>
        <v>0</v>
      </c>
      <c r="BH100" s="14"/>
      <c r="BI100" s="15"/>
      <c r="BJ100" s="16">
        <f t="shared" si="121"/>
        <v>0</v>
      </c>
      <c r="BK100" s="14"/>
      <c r="BL100" s="15"/>
      <c r="BM100" s="16">
        <f t="shared" si="103"/>
        <v>0</v>
      </c>
      <c r="BN100" s="14"/>
      <c r="BO100" s="15"/>
      <c r="BP100" s="16">
        <f t="shared" si="97"/>
        <v>0</v>
      </c>
      <c r="BQ100" s="14"/>
      <c r="BR100" s="15"/>
      <c r="BS100" s="16">
        <f>IFERROR(BQ100*BR100, 0)</f>
        <v>0</v>
      </c>
      <c r="BT100" s="14"/>
      <c r="BU100" s="15"/>
      <c r="BV100" s="16">
        <f t="shared" si="122"/>
        <v>0</v>
      </c>
      <c r="BW100" s="14"/>
      <c r="BX100" s="15"/>
      <c r="BY100" s="16">
        <f t="shared" si="104"/>
        <v>0</v>
      </c>
      <c r="BZ100" s="14"/>
      <c r="CA100" s="15"/>
      <c r="CB100" s="16">
        <f t="shared" si="123"/>
        <v>0</v>
      </c>
      <c r="CC100" s="14"/>
      <c r="CD100" s="15"/>
      <c r="CE100" s="16">
        <f t="shared" si="124"/>
        <v>0</v>
      </c>
      <c r="CF100" s="14"/>
      <c r="CG100" s="15"/>
      <c r="CH100" s="16">
        <f t="shared" si="125"/>
        <v>0</v>
      </c>
      <c r="CI100" s="14"/>
      <c r="CJ100" s="15"/>
      <c r="CK100" s="16">
        <f t="shared" si="126"/>
        <v>0</v>
      </c>
      <c r="CL100" s="14"/>
      <c r="CM100" s="15"/>
      <c r="CN100" s="16">
        <f t="shared" si="127"/>
        <v>0</v>
      </c>
      <c r="CO100" s="14"/>
      <c r="CP100" s="15"/>
      <c r="CQ100" s="16">
        <f t="shared" si="128"/>
        <v>0</v>
      </c>
      <c r="CR100" s="14"/>
      <c r="CS100" s="15"/>
      <c r="CT100" s="16">
        <f t="shared" si="129"/>
        <v>0</v>
      </c>
      <c r="CU100" s="17">
        <f t="shared" si="130"/>
        <v>0</v>
      </c>
      <c r="CV100" s="16">
        <f t="shared" si="131"/>
        <v>0</v>
      </c>
      <c r="CW100" s="16">
        <f t="shared" si="132"/>
        <v>0</v>
      </c>
    </row>
    <row r="101" spans="1:102" ht="16.5" customHeight="1" x14ac:dyDescent="0.35">
      <c r="A101" s="41" t="s">
        <v>132</v>
      </c>
      <c r="B101" s="41" t="s">
        <v>935</v>
      </c>
      <c r="C101" s="42"/>
      <c r="D101" s="43"/>
      <c r="E101" s="78">
        <f t="shared" si="111"/>
        <v>0</v>
      </c>
      <c r="F101" s="14"/>
      <c r="G101" s="15"/>
      <c r="H101" s="16">
        <f t="shared" si="133"/>
        <v>0</v>
      </c>
      <c r="I101" s="14">
        <v>3</v>
      </c>
      <c r="J101" s="15">
        <v>4850</v>
      </c>
      <c r="K101" s="16">
        <v>14550</v>
      </c>
      <c r="L101" s="14"/>
      <c r="M101" s="15"/>
      <c r="N101" s="16">
        <f t="shared" si="70"/>
        <v>0</v>
      </c>
      <c r="O101" s="14"/>
      <c r="P101" s="15"/>
      <c r="Q101" s="16">
        <f t="shared" si="110"/>
        <v>0</v>
      </c>
      <c r="R101" s="14"/>
      <c r="S101" s="15"/>
      <c r="T101" s="16">
        <f t="shared" si="112"/>
        <v>0</v>
      </c>
      <c r="U101" s="14"/>
      <c r="V101" s="15"/>
      <c r="W101" s="16">
        <f t="shared" si="113"/>
        <v>0</v>
      </c>
      <c r="X101" s="14">
        <v>4</v>
      </c>
      <c r="Y101" s="15">
        <v>4850</v>
      </c>
      <c r="Z101" s="16">
        <v>19400</v>
      </c>
      <c r="AA101" s="14"/>
      <c r="AB101" s="15"/>
      <c r="AC101" s="16">
        <f t="shared" ref="AC101:AC104" si="134">IFERROR(AA101*AB101, 0)</f>
        <v>0</v>
      </c>
      <c r="AD101" s="14"/>
      <c r="AE101" s="15"/>
      <c r="AF101" s="16">
        <f t="shared" si="114"/>
        <v>0</v>
      </c>
      <c r="AG101" s="14">
        <v>3</v>
      </c>
      <c r="AH101" s="15">
        <v>4850</v>
      </c>
      <c r="AI101" s="16">
        <v>14550</v>
      </c>
      <c r="AJ101" s="14"/>
      <c r="AK101" s="15"/>
      <c r="AL101" s="16">
        <f t="shared" si="115"/>
        <v>0</v>
      </c>
      <c r="AM101" s="14"/>
      <c r="AN101" s="15"/>
      <c r="AO101" s="16">
        <f t="shared" si="116"/>
        <v>0</v>
      </c>
      <c r="AP101" s="14"/>
      <c r="AQ101" s="15"/>
      <c r="AR101" s="16">
        <f t="shared" si="117"/>
        <v>0</v>
      </c>
      <c r="AS101" s="14"/>
      <c r="AT101" s="15"/>
      <c r="AU101" s="16">
        <f t="shared" si="102"/>
        <v>0</v>
      </c>
      <c r="AV101" s="14"/>
      <c r="AW101" s="15"/>
      <c r="AX101" s="16">
        <f t="shared" si="118"/>
        <v>0</v>
      </c>
      <c r="AY101" s="14"/>
      <c r="AZ101" s="15"/>
      <c r="BA101" s="16">
        <f t="shared" si="119"/>
        <v>0</v>
      </c>
      <c r="BB101" s="14"/>
      <c r="BC101" s="15"/>
      <c r="BD101" s="16">
        <f t="shared" si="120"/>
        <v>0</v>
      </c>
      <c r="BE101" s="14">
        <v>3</v>
      </c>
      <c r="BF101" s="15">
        <v>4850</v>
      </c>
      <c r="BG101" s="16">
        <v>14550</v>
      </c>
      <c r="BH101" s="14"/>
      <c r="BI101" s="15"/>
      <c r="BJ101" s="16">
        <f t="shared" si="121"/>
        <v>0</v>
      </c>
      <c r="BK101" s="14"/>
      <c r="BL101" s="15"/>
      <c r="BM101" s="16">
        <f t="shared" si="103"/>
        <v>0</v>
      </c>
      <c r="BN101" s="14"/>
      <c r="BO101" s="15"/>
      <c r="BP101" s="16">
        <f t="shared" ref="BP101:BP127" si="135">IFERROR(BN101*BO101, 0)</f>
        <v>0</v>
      </c>
      <c r="BQ101" s="14">
        <v>4</v>
      </c>
      <c r="BR101" s="15">
        <v>4850</v>
      </c>
      <c r="BS101" s="16">
        <v>19400</v>
      </c>
      <c r="BT101" s="14"/>
      <c r="BU101" s="15"/>
      <c r="BV101" s="16">
        <f t="shared" si="122"/>
        <v>0</v>
      </c>
      <c r="BW101" s="14"/>
      <c r="BX101" s="15"/>
      <c r="BY101" s="16">
        <f t="shared" si="104"/>
        <v>0</v>
      </c>
      <c r="BZ101" s="14"/>
      <c r="CA101" s="15"/>
      <c r="CB101" s="16">
        <f t="shared" si="123"/>
        <v>0</v>
      </c>
      <c r="CC101" s="14"/>
      <c r="CD101" s="15"/>
      <c r="CE101" s="16">
        <f t="shared" si="124"/>
        <v>0</v>
      </c>
      <c r="CF101" s="14"/>
      <c r="CG101" s="15"/>
      <c r="CH101" s="16">
        <f t="shared" si="125"/>
        <v>0</v>
      </c>
      <c r="CI101" s="14"/>
      <c r="CJ101" s="15"/>
      <c r="CK101" s="16">
        <f t="shared" si="126"/>
        <v>0</v>
      </c>
      <c r="CL101" s="14"/>
      <c r="CM101" s="15"/>
      <c r="CN101" s="16">
        <f t="shared" si="127"/>
        <v>0</v>
      </c>
      <c r="CO101" s="14"/>
      <c r="CP101" s="15"/>
      <c r="CQ101" s="16">
        <f t="shared" si="128"/>
        <v>0</v>
      </c>
      <c r="CR101" s="14"/>
      <c r="CS101" s="15"/>
      <c r="CT101" s="16">
        <f t="shared" si="129"/>
        <v>0</v>
      </c>
      <c r="CU101" s="17">
        <f t="shared" si="130"/>
        <v>17</v>
      </c>
      <c r="CV101" s="16">
        <f t="shared" si="131"/>
        <v>4850</v>
      </c>
      <c r="CW101" s="16">
        <f t="shared" si="132"/>
        <v>82450</v>
      </c>
    </row>
    <row r="102" spans="1:102" ht="15.75" customHeight="1" x14ac:dyDescent="0.35">
      <c r="A102" s="41" t="s">
        <v>108</v>
      </c>
      <c r="B102" s="41" t="s">
        <v>935</v>
      </c>
      <c r="C102" s="42"/>
      <c r="D102" s="43"/>
      <c r="E102" s="78">
        <f t="shared" si="111"/>
        <v>0</v>
      </c>
      <c r="F102" s="14"/>
      <c r="G102" s="15"/>
      <c r="H102" s="16">
        <f t="shared" si="133"/>
        <v>0</v>
      </c>
      <c r="I102" s="14">
        <v>4</v>
      </c>
      <c r="J102" s="15">
        <v>17250</v>
      </c>
      <c r="K102" s="16">
        <v>69000</v>
      </c>
      <c r="L102" s="14"/>
      <c r="M102" s="15"/>
      <c r="N102" s="16">
        <f t="shared" si="70"/>
        <v>0</v>
      </c>
      <c r="O102" s="14"/>
      <c r="P102" s="15"/>
      <c r="Q102" s="16">
        <f t="shared" si="110"/>
        <v>0</v>
      </c>
      <c r="R102" s="14"/>
      <c r="S102" s="15"/>
      <c r="T102" s="16">
        <f t="shared" si="112"/>
        <v>0</v>
      </c>
      <c r="U102" s="14"/>
      <c r="V102" s="15"/>
      <c r="W102" s="16">
        <f t="shared" si="113"/>
        <v>0</v>
      </c>
      <c r="X102" s="14"/>
      <c r="Y102" s="15"/>
      <c r="Z102" s="16">
        <f t="shared" ref="Z102:Z116" si="136">IFERROR(X102*Y102, 0)</f>
        <v>0</v>
      </c>
      <c r="AA102" s="14"/>
      <c r="AB102" s="15"/>
      <c r="AC102" s="16">
        <f t="shared" si="134"/>
        <v>0</v>
      </c>
      <c r="AD102" s="14"/>
      <c r="AE102" s="15"/>
      <c r="AF102" s="16">
        <f t="shared" si="114"/>
        <v>0</v>
      </c>
      <c r="AG102" s="14">
        <v>2</v>
      </c>
      <c r="AH102" s="15">
        <v>17250</v>
      </c>
      <c r="AI102" s="16">
        <v>34500</v>
      </c>
      <c r="AJ102" s="14"/>
      <c r="AK102" s="15"/>
      <c r="AL102" s="16">
        <f t="shared" si="115"/>
        <v>0</v>
      </c>
      <c r="AM102" s="14"/>
      <c r="AN102" s="15"/>
      <c r="AO102" s="16">
        <f t="shared" si="116"/>
        <v>0</v>
      </c>
      <c r="AP102" s="14"/>
      <c r="AQ102" s="15"/>
      <c r="AR102" s="16">
        <f t="shared" si="117"/>
        <v>0</v>
      </c>
      <c r="AS102" s="14"/>
      <c r="AT102" s="15"/>
      <c r="AU102" s="16">
        <f t="shared" si="102"/>
        <v>0</v>
      </c>
      <c r="AV102" s="14"/>
      <c r="AW102" s="15"/>
      <c r="AX102" s="16">
        <f t="shared" si="118"/>
        <v>0</v>
      </c>
      <c r="AY102" s="14"/>
      <c r="AZ102" s="15"/>
      <c r="BA102" s="16">
        <f t="shared" si="119"/>
        <v>0</v>
      </c>
      <c r="BB102" s="14"/>
      <c r="BC102" s="15"/>
      <c r="BD102" s="16">
        <f t="shared" si="120"/>
        <v>0</v>
      </c>
      <c r="BE102" s="14">
        <v>3</v>
      </c>
      <c r="BF102" s="15">
        <v>17250</v>
      </c>
      <c r="BG102" s="16">
        <v>51750</v>
      </c>
      <c r="BH102" s="14"/>
      <c r="BI102" s="15"/>
      <c r="BJ102" s="16">
        <f t="shared" si="121"/>
        <v>0</v>
      </c>
      <c r="BK102" s="14"/>
      <c r="BL102" s="15"/>
      <c r="BM102" s="16">
        <f t="shared" si="103"/>
        <v>0</v>
      </c>
      <c r="BN102" s="14"/>
      <c r="BO102" s="15"/>
      <c r="BP102" s="16">
        <f t="shared" si="135"/>
        <v>0</v>
      </c>
      <c r="BQ102" s="14">
        <v>2</v>
      </c>
      <c r="BR102" s="15">
        <v>17250</v>
      </c>
      <c r="BS102" s="16">
        <v>34500</v>
      </c>
      <c r="BT102" s="14"/>
      <c r="BU102" s="15"/>
      <c r="BV102" s="16">
        <f t="shared" si="122"/>
        <v>0</v>
      </c>
      <c r="BW102" s="14"/>
      <c r="BX102" s="15"/>
      <c r="BY102" s="16">
        <f t="shared" si="104"/>
        <v>0</v>
      </c>
      <c r="BZ102" s="14"/>
      <c r="CA102" s="15"/>
      <c r="CB102" s="16">
        <f t="shared" si="123"/>
        <v>0</v>
      </c>
      <c r="CC102" s="14"/>
      <c r="CD102" s="15"/>
      <c r="CE102" s="16">
        <f t="shared" si="124"/>
        <v>0</v>
      </c>
      <c r="CF102" s="14"/>
      <c r="CG102" s="15"/>
      <c r="CH102" s="16">
        <f t="shared" si="125"/>
        <v>0</v>
      </c>
      <c r="CI102" s="14"/>
      <c r="CJ102" s="15"/>
      <c r="CK102" s="16">
        <f t="shared" si="126"/>
        <v>0</v>
      </c>
      <c r="CL102" s="14"/>
      <c r="CM102" s="15"/>
      <c r="CN102" s="16">
        <f t="shared" si="127"/>
        <v>0</v>
      </c>
      <c r="CO102" s="14"/>
      <c r="CP102" s="15"/>
      <c r="CQ102" s="16">
        <f t="shared" si="128"/>
        <v>0</v>
      </c>
      <c r="CR102" s="14"/>
      <c r="CS102" s="15"/>
      <c r="CT102" s="16">
        <f t="shared" si="129"/>
        <v>0</v>
      </c>
      <c r="CU102" s="17">
        <f t="shared" si="130"/>
        <v>11</v>
      </c>
      <c r="CV102" s="16">
        <f t="shared" si="131"/>
        <v>17250</v>
      </c>
      <c r="CW102" s="16">
        <f t="shared" si="132"/>
        <v>189750</v>
      </c>
    </row>
    <row r="103" spans="1:102" ht="15.75" customHeight="1" x14ac:dyDescent="0.35">
      <c r="A103" s="41" t="s">
        <v>1010</v>
      </c>
      <c r="B103" s="41" t="s">
        <v>935</v>
      </c>
      <c r="C103" s="19"/>
      <c r="D103" s="20"/>
      <c r="E103" s="78">
        <f t="shared" si="111"/>
        <v>0</v>
      </c>
      <c r="F103" s="14"/>
      <c r="G103" s="15"/>
      <c r="H103" s="16">
        <f t="shared" si="133"/>
        <v>0</v>
      </c>
      <c r="I103" s="14"/>
      <c r="J103" s="15"/>
      <c r="K103" s="16">
        <f t="shared" ref="K103:K112" si="137">IFERROR(I103*J103, 0)</f>
        <v>0</v>
      </c>
      <c r="L103" s="14"/>
      <c r="M103" s="15"/>
      <c r="N103" s="16">
        <f t="shared" si="70"/>
        <v>0</v>
      </c>
      <c r="O103" s="14"/>
      <c r="P103" s="15"/>
      <c r="Q103" s="16">
        <f t="shared" si="110"/>
        <v>0</v>
      </c>
      <c r="R103" s="14"/>
      <c r="S103" s="15"/>
      <c r="T103" s="16">
        <f t="shared" si="112"/>
        <v>0</v>
      </c>
      <c r="U103" s="14"/>
      <c r="V103" s="15"/>
      <c r="W103" s="16">
        <f t="shared" si="113"/>
        <v>0</v>
      </c>
      <c r="X103" s="14"/>
      <c r="Y103" s="15"/>
      <c r="Z103" s="16">
        <f t="shared" si="136"/>
        <v>0</v>
      </c>
      <c r="AA103" s="14"/>
      <c r="AB103" s="15"/>
      <c r="AC103" s="16">
        <f t="shared" si="134"/>
        <v>0</v>
      </c>
      <c r="AD103" s="14"/>
      <c r="AE103" s="15"/>
      <c r="AF103" s="16">
        <f t="shared" si="114"/>
        <v>0</v>
      </c>
      <c r="AG103" s="14"/>
      <c r="AH103" s="15"/>
      <c r="AI103" s="16">
        <f t="shared" ref="AI103:AI112" si="138">IFERROR(AG103*AH103, 0)</f>
        <v>0</v>
      </c>
      <c r="AJ103" s="14"/>
      <c r="AK103" s="15"/>
      <c r="AL103" s="16">
        <f t="shared" si="115"/>
        <v>0</v>
      </c>
      <c r="AM103" s="14"/>
      <c r="AN103" s="15"/>
      <c r="AO103" s="16">
        <f t="shared" si="116"/>
        <v>0</v>
      </c>
      <c r="AP103" s="14"/>
      <c r="AQ103" s="15"/>
      <c r="AR103" s="16">
        <f t="shared" si="117"/>
        <v>0</v>
      </c>
      <c r="AS103" s="14"/>
      <c r="AT103" s="15"/>
      <c r="AU103" s="16">
        <f t="shared" si="102"/>
        <v>0</v>
      </c>
      <c r="AV103" s="14"/>
      <c r="AW103" s="15"/>
      <c r="AX103" s="16">
        <f t="shared" si="118"/>
        <v>0</v>
      </c>
      <c r="AY103" s="14"/>
      <c r="AZ103" s="15"/>
      <c r="BA103" s="16">
        <f t="shared" si="119"/>
        <v>0</v>
      </c>
      <c r="BB103" s="14"/>
      <c r="BC103" s="15"/>
      <c r="BD103" s="16">
        <f t="shared" si="120"/>
        <v>0</v>
      </c>
      <c r="BE103" s="14"/>
      <c r="BF103" s="15"/>
      <c r="BG103" s="16">
        <f>IFERROR(BE103*BF103, 0)</f>
        <v>0</v>
      </c>
      <c r="BH103" s="14"/>
      <c r="BI103" s="15"/>
      <c r="BJ103" s="16">
        <f t="shared" si="121"/>
        <v>0</v>
      </c>
      <c r="BK103" s="14"/>
      <c r="BL103" s="15"/>
      <c r="BM103" s="16">
        <f t="shared" si="103"/>
        <v>0</v>
      </c>
      <c r="BN103" s="14"/>
      <c r="BO103" s="15"/>
      <c r="BP103" s="16">
        <f t="shared" si="135"/>
        <v>0</v>
      </c>
      <c r="BQ103" s="14"/>
      <c r="BR103" s="15"/>
      <c r="BS103" s="16">
        <f>IFERROR(BQ103*BR103, 0)</f>
        <v>0</v>
      </c>
      <c r="BT103" s="14"/>
      <c r="BU103" s="15"/>
      <c r="BV103" s="16">
        <f t="shared" si="122"/>
        <v>0</v>
      </c>
      <c r="BW103" s="14"/>
      <c r="BX103" s="15"/>
      <c r="BY103" s="16">
        <f t="shared" si="104"/>
        <v>0</v>
      </c>
      <c r="BZ103" s="14"/>
      <c r="CA103" s="15"/>
      <c r="CB103" s="16">
        <f t="shared" si="123"/>
        <v>0</v>
      </c>
      <c r="CC103" s="14"/>
      <c r="CD103" s="15"/>
      <c r="CE103" s="16">
        <f t="shared" si="124"/>
        <v>0</v>
      </c>
      <c r="CF103" s="14"/>
      <c r="CG103" s="15"/>
      <c r="CH103" s="16">
        <f t="shared" si="125"/>
        <v>0</v>
      </c>
      <c r="CI103" s="14"/>
      <c r="CJ103" s="15"/>
      <c r="CK103" s="16">
        <f t="shared" si="126"/>
        <v>0</v>
      </c>
      <c r="CL103" s="14"/>
      <c r="CM103" s="15"/>
      <c r="CN103" s="16">
        <f t="shared" si="127"/>
        <v>0</v>
      </c>
      <c r="CO103" s="14"/>
      <c r="CP103" s="15"/>
      <c r="CQ103" s="16">
        <f t="shared" si="128"/>
        <v>0</v>
      </c>
      <c r="CR103" s="14"/>
      <c r="CS103" s="15"/>
      <c r="CT103" s="16">
        <f t="shared" si="129"/>
        <v>0</v>
      </c>
      <c r="CU103" s="17">
        <f t="shared" si="130"/>
        <v>0</v>
      </c>
      <c r="CV103" s="16">
        <f t="shared" si="131"/>
        <v>0</v>
      </c>
      <c r="CW103" s="16">
        <f t="shared" si="132"/>
        <v>0</v>
      </c>
    </row>
    <row r="104" spans="1:102" ht="15.75" customHeight="1" x14ac:dyDescent="0.35">
      <c r="A104" s="41" t="s">
        <v>1011</v>
      </c>
      <c r="B104" s="37" t="s">
        <v>935</v>
      </c>
      <c r="C104" s="19"/>
      <c r="D104" s="20"/>
      <c r="E104" s="78">
        <f t="shared" si="111"/>
        <v>0</v>
      </c>
      <c r="F104" s="14"/>
      <c r="G104" s="15"/>
      <c r="H104" s="16">
        <f t="shared" si="133"/>
        <v>0</v>
      </c>
      <c r="I104" s="14"/>
      <c r="J104" s="15"/>
      <c r="K104" s="16">
        <f t="shared" si="137"/>
        <v>0</v>
      </c>
      <c r="L104" s="14"/>
      <c r="M104" s="15"/>
      <c r="N104" s="16">
        <f t="shared" si="70"/>
        <v>0</v>
      </c>
      <c r="O104" s="14"/>
      <c r="P104" s="15"/>
      <c r="Q104" s="16">
        <f t="shared" si="110"/>
        <v>0</v>
      </c>
      <c r="R104" s="14"/>
      <c r="S104" s="15"/>
      <c r="T104" s="16">
        <f t="shared" si="112"/>
        <v>0</v>
      </c>
      <c r="U104" s="14"/>
      <c r="V104" s="15"/>
      <c r="W104" s="16">
        <f t="shared" si="113"/>
        <v>0</v>
      </c>
      <c r="X104" s="14"/>
      <c r="Y104" s="15"/>
      <c r="Z104" s="16">
        <f t="shared" si="136"/>
        <v>0</v>
      </c>
      <c r="AA104" s="14"/>
      <c r="AB104" s="15"/>
      <c r="AC104" s="16">
        <f t="shared" si="134"/>
        <v>0</v>
      </c>
      <c r="AD104" s="14"/>
      <c r="AE104" s="15"/>
      <c r="AF104" s="16">
        <f t="shared" si="114"/>
        <v>0</v>
      </c>
      <c r="AG104" s="14"/>
      <c r="AH104" s="15"/>
      <c r="AI104" s="16">
        <f t="shared" si="138"/>
        <v>0</v>
      </c>
      <c r="AJ104" s="14"/>
      <c r="AK104" s="15"/>
      <c r="AL104" s="16">
        <f t="shared" si="115"/>
        <v>0</v>
      </c>
      <c r="AM104" s="14"/>
      <c r="AN104" s="15"/>
      <c r="AO104" s="16">
        <f t="shared" si="116"/>
        <v>0</v>
      </c>
      <c r="AP104" s="14"/>
      <c r="AQ104" s="15"/>
      <c r="AR104" s="16">
        <f t="shared" si="117"/>
        <v>0</v>
      </c>
      <c r="AS104" s="14"/>
      <c r="AT104" s="15"/>
      <c r="AU104" s="16">
        <f t="shared" si="102"/>
        <v>0</v>
      </c>
      <c r="AV104" s="14"/>
      <c r="AW104" s="15"/>
      <c r="AX104" s="16">
        <f t="shared" si="118"/>
        <v>0</v>
      </c>
      <c r="AY104" s="14"/>
      <c r="AZ104" s="15"/>
      <c r="BA104" s="16">
        <f t="shared" si="119"/>
        <v>0</v>
      </c>
      <c r="BB104" s="14"/>
      <c r="BC104" s="15"/>
      <c r="BD104" s="16">
        <f t="shared" si="120"/>
        <v>0</v>
      </c>
      <c r="BE104" s="14"/>
      <c r="BF104" s="15"/>
      <c r="BG104" s="16">
        <f>IFERROR(BE104*BF104, 0)</f>
        <v>0</v>
      </c>
      <c r="BH104" s="14"/>
      <c r="BI104" s="15"/>
      <c r="BJ104" s="16">
        <f t="shared" si="121"/>
        <v>0</v>
      </c>
      <c r="BK104" s="14"/>
      <c r="BL104" s="15"/>
      <c r="BM104" s="16">
        <f t="shared" si="103"/>
        <v>0</v>
      </c>
      <c r="BN104" s="14"/>
      <c r="BO104" s="15"/>
      <c r="BP104" s="16">
        <f t="shared" si="135"/>
        <v>0</v>
      </c>
      <c r="BQ104" s="14"/>
      <c r="BR104" s="15"/>
      <c r="BS104" s="16">
        <f>IFERROR(BQ104*BR104, 0)</f>
        <v>0</v>
      </c>
      <c r="BT104" s="14"/>
      <c r="BU104" s="15"/>
      <c r="BV104" s="16">
        <f t="shared" si="122"/>
        <v>0</v>
      </c>
      <c r="BW104" s="14"/>
      <c r="BX104" s="15"/>
      <c r="BY104" s="16">
        <f t="shared" si="104"/>
        <v>0</v>
      </c>
      <c r="BZ104" s="14"/>
      <c r="CA104" s="15"/>
      <c r="CB104" s="16">
        <f t="shared" si="123"/>
        <v>0</v>
      </c>
      <c r="CC104" s="14"/>
      <c r="CD104" s="15"/>
      <c r="CE104" s="16">
        <f t="shared" si="124"/>
        <v>0</v>
      </c>
      <c r="CF104" s="14"/>
      <c r="CG104" s="15"/>
      <c r="CH104" s="16">
        <f t="shared" si="125"/>
        <v>0</v>
      </c>
      <c r="CI104" s="14"/>
      <c r="CJ104" s="15"/>
      <c r="CK104" s="16">
        <f t="shared" si="126"/>
        <v>0</v>
      </c>
      <c r="CL104" s="14"/>
      <c r="CM104" s="15"/>
      <c r="CN104" s="16">
        <f t="shared" si="127"/>
        <v>0</v>
      </c>
      <c r="CO104" s="14"/>
      <c r="CP104" s="15"/>
      <c r="CQ104" s="16">
        <f t="shared" si="128"/>
        <v>0</v>
      </c>
      <c r="CR104" s="14"/>
      <c r="CS104" s="15"/>
      <c r="CT104" s="16">
        <f t="shared" si="129"/>
        <v>0</v>
      </c>
      <c r="CU104" s="17">
        <f t="shared" si="130"/>
        <v>0</v>
      </c>
      <c r="CV104" s="16">
        <f t="shared" si="131"/>
        <v>0</v>
      </c>
      <c r="CW104" s="16">
        <f t="shared" si="132"/>
        <v>0</v>
      </c>
    </row>
    <row r="105" spans="1:102" ht="15.75" customHeight="1" x14ac:dyDescent="0.35">
      <c r="A105" s="41" t="s">
        <v>184</v>
      </c>
      <c r="B105" s="37" t="s">
        <v>935</v>
      </c>
      <c r="C105" s="19"/>
      <c r="D105" s="20"/>
      <c r="E105" s="78">
        <f t="shared" si="111"/>
        <v>0</v>
      </c>
      <c r="F105" s="14"/>
      <c r="G105" s="15"/>
      <c r="H105" s="16">
        <f t="shared" si="133"/>
        <v>0</v>
      </c>
      <c r="I105" s="14"/>
      <c r="J105" s="15"/>
      <c r="K105" s="16">
        <f t="shared" si="137"/>
        <v>0</v>
      </c>
      <c r="L105" s="14">
        <v>1</v>
      </c>
      <c r="M105" s="15">
        <v>300</v>
      </c>
      <c r="N105" s="16">
        <v>300</v>
      </c>
      <c r="O105" s="14"/>
      <c r="P105" s="15"/>
      <c r="Q105" s="16">
        <f t="shared" si="110"/>
        <v>0</v>
      </c>
      <c r="R105" s="14">
        <v>1</v>
      </c>
      <c r="S105" s="15">
        <v>300</v>
      </c>
      <c r="T105" s="16">
        <v>300</v>
      </c>
      <c r="U105" s="14"/>
      <c r="V105" s="15"/>
      <c r="W105" s="16">
        <f t="shared" si="113"/>
        <v>0</v>
      </c>
      <c r="X105" s="14"/>
      <c r="Y105" s="15"/>
      <c r="Z105" s="16">
        <f t="shared" si="136"/>
        <v>0</v>
      </c>
      <c r="AA105" s="14">
        <v>1</v>
      </c>
      <c r="AB105" s="15">
        <v>300</v>
      </c>
      <c r="AC105" s="16">
        <v>300</v>
      </c>
      <c r="AD105" s="14"/>
      <c r="AE105" s="15"/>
      <c r="AF105" s="16">
        <f t="shared" si="114"/>
        <v>0</v>
      </c>
      <c r="AG105" s="14"/>
      <c r="AH105" s="15"/>
      <c r="AI105" s="16">
        <f t="shared" si="138"/>
        <v>0</v>
      </c>
      <c r="AJ105" s="14"/>
      <c r="AK105" s="15"/>
      <c r="AL105" s="16">
        <f t="shared" si="115"/>
        <v>0</v>
      </c>
      <c r="AM105" s="14"/>
      <c r="AN105" s="15"/>
      <c r="AO105" s="16">
        <f t="shared" si="116"/>
        <v>0</v>
      </c>
      <c r="AP105" s="14"/>
      <c r="AQ105" s="15"/>
      <c r="AR105" s="16">
        <f t="shared" si="117"/>
        <v>0</v>
      </c>
      <c r="AS105" s="14"/>
      <c r="AT105" s="15"/>
      <c r="AU105" s="16">
        <f t="shared" si="102"/>
        <v>0</v>
      </c>
      <c r="AV105" s="14"/>
      <c r="AW105" s="15"/>
      <c r="AX105" s="16">
        <f t="shared" si="118"/>
        <v>0</v>
      </c>
      <c r="AY105" s="14"/>
      <c r="AZ105" s="15"/>
      <c r="BA105" s="16">
        <f t="shared" si="119"/>
        <v>0</v>
      </c>
      <c r="BB105" s="14"/>
      <c r="BC105" s="15"/>
      <c r="BD105" s="16">
        <f t="shared" si="120"/>
        <v>0</v>
      </c>
      <c r="BE105" s="14">
        <v>1</v>
      </c>
      <c r="BF105" s="15">
        <v>300</v>
      </c>
      <c r="BG105" s="16">
        <v>300</v>
      </c>
      <c r="BH105" s="14"/>
      <c r="BI105" s="15"/>
      <c r="BJ105" s="16">
        <f t="shared" si="121"/>
        <v>0</v>
      </c>
      <c r="BK105" s="14">
        <v>2</v>
      </c>
      <c r="BL105" s="15">
        <v>300</v>
      </c>
      <c r="BM105" s="16">
        <v>600</v>
      </c>
      <c r="BN105" s="14"/>
      <c r="BO105" s="15"/>
      <c r="BP105" s="16">
        <f t="shared" si="135"/>
        <v>0</v>
      </c>
      <c r="BQ105" s="14">
        <v>1</v>
      </c>
      <c r="BR105" s="15">
        <v>300</v>
      </c>
      <c r="BS105" s="16">
        <v>300</v>
      </c>
      <c r="BT105" s="14"/>
      <c r="BU105" s="15"/>
      <c r="BV105" s="16">
        <f t="shared" si="122"/>
        <v>0</v>
      </c>
      <c r="BW105" s="14"/>
      <c r="BX105" s="15"/>
      <c r="BY105" s="16">
        <f t="shared" si="104"/>
        <v>0</v>
      </c>
      <c r="BZ105" s="14"/>
      <c r="CA105" s="15"/>
      <c r="CB105" s="16">
        <f t="shared" si="123"/>
        <v>0</v>
      </c>
      <c r="CC105" s="14"/>
      <c r="CD105" s="15"/>
      <c r="CE105" s="16">
        <f t="shared" si="124"/>
        <v>0</v>
      </c>
      <c r="CF105" s="14"/>
      <c r="CG105" s="15"/>
      <c r="CH105" s="16">
        <f t="shared" si="125"/>
        <v>0</v>
      </c>
      <c r="CI105" s="14"/>
      <c r="CJ105" s="15"/>
      <c r="CK105" s="16">
        <f t="shared" si="126"/>
        <v>0</v>
      </c>
      <c r="CL105" s="14"/>
      <c r="CM105" s="15"/>
      <c r="CN105" s="16">
        <f t="shared" si="127"/>
        <v>0</v>
      </c>
      <c r="CO105" s="14"/>
      <c r="CP105" s="15"/>
      <c r="CQ105" s="16">
        <f t="shared" si="128"/>
        <v>0</v>
      </c>
      <c r="CR105" s="14"/>
      <c r="CS105" s="15"/>
      <c r="CT105" s="16">
        <f t="shared" si="129"/>
        <v>0</v>
      </c>
      <c r="CU105" s="17">
        <f t="shared" si="130"/>
        <v>7</v>
      </c>
      <c r="CV105" s="16">
        <f t="shared" si="131"/>
        <v>300</v>
      </c>
      <c r="CW105" s="16">
        <f t="shared" si="132"/>
        <v>2100</v>
      </c>
    </row>
    <row r="106" spans="1:102" ht="15.75" customHeight="1" x14ac:dyDescent="0.35">
      <c r="A106" s="41" t="s">
        <v>1012</v>
      </c>
      <c r="B106" s="37" t="s">
        <v>935</v>
      </c>
      <c r="C106" s="19"/>
      <c r="D106" s="20"/>
      <c r="E106" s="78">
        <f t="shared" si="111"/>
        <v>0</v>
      </c>
      <c r="F106" s="14"/>
      <c r="G106" s="15"/>
      <c r="H106" s="16">
        <f t="shared" si="133"/>
        <v>0</v>
      </c>
      <c r="I106" s="14"/>
      <c r="J106" s="15"/>
      <c r="K106" s="16">
        <f t="shared" si="137"/>
        <v>0</v>
      </c>
      <c r="L106" s="14"/>
      <c r="M106" s="15"/>
      <c r="N106" s="16">
        <f t="shared" ref="N106:N129" si="139">IFERROR(L106*M106, 0)</f>
        <v>0</v>
      </c>
      <c r="O106" s="14"/>
      <c r="P106" s="15"/>
      <c r="Q106" s="16">
        <f t="shared" si="110"/>
        <v>0</v>
      </c>
      <c r="R106" s="14"/>
      <c r="S106" s="15"/>
      <c r="T106" s="16">
        <f t="shared" ref="T106:T129" si="140">IFERROR(R106*S106, 0)</f>
        <v>0</v>
      </c>
      <c r="U106" s="14"/>
      <c r="V106" s="15"/>
      <c r="W106" s="16">
        <f t="shared" si="113"/>
        <v>0</v>
      </c>
      <c r="X106" s="14"/>
      <c r="Y106" s="15"/>
      <c r="Z106" s="16">
        <f t="shared" si="136"/>
        <v>0</v>
      </c>
      <c r="AA106" s="14"/>
      <c r="AB106" s="15"/>
      <c r="AC106" s="16">
        <f t="shared" ref="AC106:AC126" si="141">IFERROR(AA106*AB106, 0)</f>
        <v>0</v>
      </c>
      <c r="AD106" s="14"/>
      <c r="AE106" s="15"/>
      <c r="AF106" s="16">
        <f t="shared" si="114"/>
        <v>0</v>
      </c>
      <c r="AG106" s="14"/>
      <c r="AH106" s="15"/>
      <c r="AI106" s="16">
        <f t="shared" si="138"/>
        <v>0</v>
      </c>
      <c r="AJ106" s="14"/>
      <c r="AK106" s="15"/>
      <c r="AL106" s="16">
        <f t="shared" si="115"/>
        <v>0</v>
      </c>
      <c r="AM106" s="14"/>
      <c r="AN106" s="15"/>
      <c r="AO106" s="16">
        <f t="shared" si="116"/>
        <v>0</v>
      </c>
      <c r="AP106" s="14"/>
      <c r="AQ106" s="15"/>
      <c r="AR106" s="16">
        <f t="shared" si="117"/>
        <v>0</v>
      </c>
      <c r="AS106" s="14"/>
      <c r="AT106" s="15"/>
      <c r="AU106" s="16">
        <f t="shared" si="102"/>
        <v>0</v>
      </c>
      <c r="AV106" s="14"/>
      <c r="AW106" s="15"/>
      <c r="AX106" s="16">
        <f t="shared" si="118"/>
        <v>0</v>
      </c>
      <c r="AY106" s="14"/>
      <c r="AZ106" s="15"/>
      <c r="BA106" s="16">
        <f t="shared" si="119"/>
        <v>0</v>
      </c>
      <c r="BB106" s="14"/>
      <c r="BC106" s="15"/>
      <c r="BD106" s="16">
        <f t="shared" si="120"/>
        <v>0</v>
      </c>
      <c r="BE106" s="14"/>
      <c r="BF106" s="15"/>
      <c r="BG106" s="16">
        <f t="shared" ref="BG106:BG112" si="142">IFERROR(BE106*BF106, 0)</f>
        <v>0</v>
      </c>
      <c r="BH106" s="14"/>
      <c r="BI106" s="15"/>
      <c r="BJ106" s="16">
        <f t="shared" si="121"/>
        <v>0</v>
      </c>
      <c r="BK106" s="14"/>
      <c r="BL106" s="15"/>
      <c r="BM106" s="16">
        <f t="shared" ref="BM106:BM132" si="143">IFERROR(BK106*BL106, 0)</f>
        <v>0</v>
      </c>
      <c r="BN106" s="14"/>
      <c r="BO106" s="15"/>
      <c r="BP106" s="16">
        <f t="shared" si="135"/>
        <v>0</v>
      </c>
      <c r="BQ106" s="14"/>
      <c r="BR106" s="15"/>
      <c r="BS106" s="16">
        <f t="shared" ref="BS106:BS112" si="144">IFERROR(BQ106*BR106, 0)</f>
        <v>0</v>
      </c>
      <c r="BT106" s="14"/>
      <c r="BU106" s="15"/>
      <c r="BV106" s="16">
        <f t="shared" si="122"/>
        <v>0</v>
      </c>
      <c r="BW106" s="14"/>
      <c r="BX106" s="15"/>
      <c r="BY106" s="16">
        <f t="shared" si="104"/>
        <v>0</v>
      </c>
      <c r="BZ106" s="14"/>
      <c r="CA106" s="15"/>
      <c r="CB106" s="16">
        <f t="shared" si="123"/>
        <v>0</v>
      </c>
      <c r="CC106" s="14"/>
      <c r="CD106" s="15"/>
      <c r="CE106" s="16">
        <f t="shared" si="124"/>
        <v>0</v>
      </c>
      <c r="CF106" s="14"/>
      <c r="CG106" s="15"/>
      <c r="CH106" s="16">
        <f t="shared" si="125"/>
        <v>0</v>
      </c>
      <c r="CI106" s="14"/>
      <c r="CJ106" s="15"/>
      <c r="CK106" s="16">
        <f t="shared" si="126"/>
        <v>0</v>
      </c>
      <c r="CL106" s="14"/>
      <c r="CM106" s="15"/>
      <c r="CN106" s="16">
        <f t="shared" si="127"/>
        <v>0</v>
      </c>
      <c r="CO106" s="14"/>
      <c r="CP106" s="15"/>
      <c r="CQ106" s="16">
        <f t="shared" si="128"/>
        <v>0</v>
      </c>
      <c r="CR106" s="14"/>
      <c r="CS106" s="15"/>
      <c r="CT106" s="16">
        <f t="shared" si="129"/>
        <v>0</v>
      </c>
      <c r="CU106" s="17">
        <f t="shared" si="130"/>
        <v>0</v>
      </c>
      <c r="CV106" s="16">
        <f t="shared" si="131"/>
        <v>0</v>
      </c>
      <c r="CW106" s="16">
        <f t="shared" si="132"/>
        <v>0</v>
      </c>
    </row>
    <row r="107" spans="1:102" ht="15.75" customHeight="1" x14ac:dyDescent="0.35">
      <c r="A107" s="41" t="s">
        <v>1013</v>
      </c>
      <c r="B107" s="37" t="s">
        <v>935</v>
      </c>
      <c r="C107" s="19"/>
      <c r="D107" s="20"/>
      <c r="E107" s="78">
        <f t="shared" si="111"/>
        <v>0</v>
      </c>
      <c r="F107" s="14"/>
      <c r="G107" s="15"/>
      <c r="H107" s="16">
        <f t="shared" si="133"/>
        <v>0</v>
      </c>
      <c r="I107" s="14"/>
      <c r="J107" s="15"/>
      <c r="K107" s="16">
        <f t="shared" si="137"/>
        <v>0</v>
      </c>
      <c r="L107" s="14"/>
      <c r="M107" s="15"/>
      <c r="N107" s="16">
        <f t="shared" si="139"/>
        <v>0</v>
      </c>
      <c r="O107" s="14"/>
      <c r="P107" s="15"/>
      <c r="Q107" s="16">
        <f t="shared" si="110"/>
        <v>0</v>
      </c>
      <c r="R107" s="14"/>
      <c r="S107" s="15"/>
      <c r="T107" s="16">
        <f t="shared" si="140"/>
        <v>0</v>
      </c>
      <c r="U107" s="14"/>
      <c r="V107" s="15"/>
      <c r="W107" s="16">
        <f t="shared" si="113"/>
        <v>0</v>
      </c>
      <c r="X107" s="14"/>
      <c r="Y107" s="15"/>
      <c r="Z107" s="16">
        <f t="shared" si="136"/>
        <v>0</v>
      </c>
      <c r="AA107" s="14"/>
      <c r="AB107" s="15"/>
      <c r="AC107" s="16">
        <f t="shared" si="141"/>
        <v>0</v>
      </c>
      <c r="AD107" s="14"/>
      <c r="AE107" s="15"/>
      <c r="AF107" s="16">
        <f t="shared" si="114"/>
        <v>0</v>
      </c>
      <c r="AG107" s="14"/>
      <c r="AH107" s="15"/>
      <c r="AI107" s="16">
        <f t="shared" si="138"/>
        <v>0</v>
      </c>
      <c r="AJ107" s="14"/>
      <c r="AK107" s="15"/>
      <c r="AL107" s="16">
        <f t="shared" si="115"/>
        <v>0</v>
      </c>
      <c r="AM107" s="14"/>
      <c r="AN107" s="15"/>
      <c r="AO107" s="16">
        <f t="shared" si="116"/>
        <v>0</v>
      </c>
      <c r="AP107" s="14"/>
      <c r="AQ107" s="15"/>
      <c r="AR107" s="16">
        <f t="shared" si="117"/>
        <v>0</v>
      </c>
      <c r="AS107" s="14"/>
      <c r="AT107" s="15"/>
      <c r="AU107" s="16">
        <f t="shared" si="102"/>
        <v>0</v>
      </c>
      <c r="AV107" s="14"/>
      <c r="AW107" s="15"/>
      <c r="AX107" s="16">
        <f t="shared" si="118"/>
        <v>0</v>
      </c>
      <c r="AY107" s="14"/>
      <c r="AZ107" s="15"/>
      <c r="BA107" s="16">
        <f t="shared" si="119"/>
        <v>0</v>
      </c>
      <c r="BB107" s="14"/>
      <c r="BC107" s="15"/>
      <c r="BD107" s="16">
        <f t="shared" si="120"/>
        <v>0</v>
      </c>
      <c r="BE107" s="14"/>
      <c r="BF107" s="15"/>
      <c r="BG107" s="16">
        <f t="shared" si="142"/>
        <v>0</v>
      </c>
      <c r="BH107" s="14"/>
      <c r="BI107" s="15"/>
      <c r="BJ107" s="16">
        <f t="shared" si="121"/>
        <v>0</v>
      </c>
      <c r="BK107" s="14"/>
      <c r="BL107" s="15"/>
      <c r="BM107" s="16">
        <f t="shared" si="143"/>
        <v>0</v>
      </c>
      <c r="BN107" s="14"/>
      <c r="BO107" s="15"/>
      <c r="BP107" s="16">
        <f t="shared" si="135"/>
        <v>0</v>
      </c>
      <c r="BQ107" s="14"/>
      <c r="BR107" s="15"/>
      <c r="BS107" s="16">
        <f t="shared" si="144"/>
        <v>0</v>
      </c>
      <c r="BT107" s="14"/>
      <c r="BU107" s="15"/>
      <c r="BV107" s="16">
        <f t="shared" si="122"/>
        <v>0</v>
      </c>
      <c r="BW107" s="14"/>
      <c r="BX107" s="15"/>
      <c r="BY107" s="16">
        <f t="shared" si="104"/>
        <v>0</v>
      </c>
      <c r="BZ107" s="14"/>
      <c r="CA107" s="15"/>
      <c r="CB107" s="16">
        <f t="shared" si="123"/>
        <v>0</v>
      </c>
      <c r="CC107" s="14"/>
      <c r="CD107" s="15"/>
      <c r="CE107" s="16">
        <f t="shared" si="124"/>
        <v>0</v>
      </c>
      <c r="CF107" s="14"/>
      <c r="CG107" s="15"/>
      <c r="CH107" s="16">
        <f t="shared" si="125"/>
        <v>0</v>
      </c>
      <c r="CI107" s="14"/>
      <c r="CJ107" s="15"/>
      <c r="CK107" s="16">
        <f t="shared" si="126"/>
        <v>0</v>
      </c>
      <c r="CL107" s="14"/>
      <c r="CM107" s="15"/>
      <c r="CN107" s="16">
        <f t="shared" si="127"/>
        <v>0</v>
      </c>
      <c r="CO107" s="14"/>
      <c r="CP107" s="15"/>
      <c r="CQ107" s="16">
        <f t="shared" si="128"/>
        <v>0</v>
      </c>
      <c r="CR107" s="14"/>
      <c r="CS107" s="15"/>
      <c r="CT107" s="16">
        <f t="shared" si="129"/>
        <v>0</v>
      </c>
      <c r="CU107" s="17">
        <f t="shared" si="130"/>
        <v>0</v>
      </c>
      <c r="CV107" s="16">
        <f t="shared" si="131"/>
        <v>0</v>
      </c>
      <c r="CW107" s="16">
        <f t="shared" si="132"/>
        <v>0</v>
      </c>
    </row>
    <row r="108" spans="1:102" ht="15.75" customHeight="1" x14ac:dyDescent="0.35">
      <c r="A108" s="41" t="s">
        <v>1014</v>
      </c>
      <c r="B108" s="37" t="s">
        <v>935</v>
      </c>
      <c r="C108" s="19"/>
      <c r="D108" s="20"/>
      <c r="E108" s="78">
        <f t="shared" si="111"/>
        <v>0</v>
      </c>
      <c r="F108" s="14"/>
      <c r="G108" s="15"/>
      <c r="H108" s="16">
        <f t="shared" si="133"/>
        <v>0</v>
      </c>
      <c r="I108" s="14"/>
      <c r="J108" s="15"/>
      <c r="K108" s="16">
        <f t="shared" si="137"/>
        <v>0</v>
      </c>
      <c r="L108" s="14"/>
      <c r="M108" s="15"/>
      <c r="N108" s="16">
        <f t="shared" si="139"/>
        <v>0</v>
      </c>
      <c r="O108" s="14"/>
      <c r="P108" s="15"/>
      <c r="Q108" s="16">
        <f t="shared" si="110"/>
        <v>0</v>
      </c>
      <c r="R108" s="14"/>
      <c r="S108" s="15"/>
      <c r="T108" s="16">
        <f t="shared" si="140"/>
        <v>0</v>
      </c>
      <c r="U108" s="14"/>
      <c r="V108" s="15"/>
      <c r="W108" s="16">
        <f t="shared" si="113"/>
        <v>0</v>
      </c>
      <c r="X108" s="14"/>
      <c r="Y108" s="15"/>
      <c r="Z108" s="16">
        <f t="shared" si="136"/>
        <v>0</v>
      </c>
      <c r="AA108" s="14"/>
      <c r="AB108" s="15"/>
      <c r="AC108" s="16">
        <f t="shared" si="141"/>
        <v>0</v>
      </c>
      <c r="AD108" s="14"/>
      <c r="AE108" s="15"/>
      <c r="AF108" s="16">
        <f t="shared" si="114"/>
        <v>0</v>
      </c>
      <c r="AG108" s="14"/>
      <c r="AH108" s="15"/>
      <c r="AI108" s="16">
        <f t="shared" si="138"/>
        <v>0</v>
      </c>
      <c r="AJ108" s="14"/>
      <c r="AK108" s="15"/>
      <c r="AL108" s="16">
        <f t="shared" si="115"/>
        <v>0</v>
      </c>
      <c r="AM108" s="14"/>
      <c r="AN108" s="15"/>
      <c r="AO108" s="16">
        <f t="shared" si="116"/>
        <v>0</v>
      </c>
      <c r="AP108" s="14"/>
      <c r="AQ108" s="15"/>
      <c r="AR108" s="16">
        <f t="shared" si="117"/>
        <v>0</v>
      </c>
      <c r="AS108" s="14"/>
      <c r="AT108" s="15"/>
      <c r="AU108" s="16">
        <f t="shared" si="102"/>
        <v>0</v>
      </c>
      <c r="AV108" s="14"/>
      <c r="AW108" s="15"/>
      <c r="AX108" s="16">
        <f t="shared" si="118"/>
        <v>0</v>
      </c>
      <c r="AY108" s="14"/>
      <c r="AZ108" s="15"/>
      <c r="BA108" s="16">
        <f t="shared" si="119"/>
        <v>0</v>
      </c>
      <c r="BB108" s="14"/>
      <c r="BC108" s="15"/>
      <c r="BD108" s="16">
        <f t="shared" si="120"/>
        <v>0</v>
      </c>
      <c r="BE108" s="14"/>
      <c r="BF108" s="15"/>
      <c r="BG108" s="16">
        <f t="shared" si="142"/>
        <v>0</v>
      </c>
      <c r="BH108" s="14"/>
      <c r="BI108" s="15"/>
      <c r="BJ108" s="16">
        <f t="shared" si="121"/>
        <v>0</v>
      </c>
      <c r="BK108" s="14"/>
      <c r="BL108" s="15"/>
      <c r="BM108" s="16">
        <f t="shared" si="143"/>
        <v>0</v>
      </c>
      <c r="BN108" s="14"/>
      <c r="BO108" s="15"/>
      <c r="BP108" s="16">
        <f t="shared" si="135"/>
        <v>0</v>
      </c>
      <c r="BQ108" s="14"/>
      <c r="BR108" s="15"/>
      <c r="BS108" s="16">
        <f t="shared" si="144"/>
        <v>0</v>
      </c>
      <c r="BT108" s="14"/>
      <c r="BU108" s="15"/>
      <c r="BV108" s="16">
        <f t="shared" si="122"/>
        <v>0</v>
      </c>
      <c r="BW108" s="14"/>
      <c r="BX108" s="15"/>
      <c r="BY108" s="16">
        <f t="shared" si="104"/>
        <v>0</v>
      </c>
      <c r="BZ108" s="14"/>
      <c r="CA108" s="15"/>
      <c r="CB108" s="16">
        <f t="shared" si="123"/>
        <v>0</v>
      </c>
      <c r="CC108" s="14"/>
      <c r="CD108" s="15"/>
      <c r="CE108" s="16">
        <f t="shared" si="124"/>
        <v>0</v>
      </c>
      <c r="CF108" s="14"/>
      <c r="CG108" s="15"/>
      <c r="CH108" s="16">
        <f t="shared" si="125"/>
        <v>0</v>
      </c>
      <c r="CI108" s="14"/>
      <c r="CJ108" s="15"/>
      <c r="CK108" s="16">
        <f t="shared" si="126"/>
        <v>0</v>
      </c>
      <c r="CL108" s="14"/>
      <c r="CM108" s="15"/>
      <c r="CN108" s="16">
        <f t="shared" si="127"/>
        <v>0</v>
      </c>
      <c r="CO108" s="14"/>
      <c r="CP108" s="15"/>
      <c r="CQ108" s="16">
        <f t="shared" si="128"/>
        <v>0</v>
      </c>
      <c r="CR108" s="14"/>
      <c r="CS108" s="15"/>
      <c r="CT108" s="16">
        <f t="shared" si="129"/>
        <v>0</v>
      </c>
      <c r="CU108" s="17">
        <f t="shared" si="130"/>
        <v>0</v>
      </c>
      <c r="CV108" s="16">
        <f t="shared" si="131"/>
        <v>0</v>
      </c>
      <c r="CW108" s="16">
        <f t="shared" si="132"/>
        <v>0</v>
      </c>
    </row>
    <row r="109" spans="1:102" ht="15.75" customHeight="1" x14ac:dyDescent="0.35">
      <c r="A109" s="21" t="s">
        <v>1015</v>
      </c>
      <c r="B109" s="21" t="s">
        <v>846</v>
      </c>
      <c r="C109" s="44"/>
      <c r="D109" s="22"/>
      <c r="E109" s="78">
        <f t="shared" si="111"/>
        <v>0</v>
      </c>
      <c r="F109" s="14"/>
      <c r="G109" s="15"/>
      <c r="H109" s="16">
        <f t="shared" si="133"/>
        <v>0</v>
      </c>
      <c r="I109" s="14"/>
      <c r="J109" s="15"/>
      <c r="K109" s="16">
        <f t="shared" si="137"/>
        <v>0</v>
      </c>
      <c r="L109" s="14"/>
      <c r="M109" s="15"/>
      <c r="N109" s="16">
        <f t="shared" si="139"/>
        <v>0</v>
      </c>
      <c r="O109" s="14"/>
      <c r="P109" s="15"/>
      <c r="Q109" s="16">
        <f t="shared" si="110"/>
        <v>0</v>
      </c>
      <c r="R109" s="14"/>
      <c r="S109" s="15"/>
      <c r="T109" s="16">
        <f t="shared" si="140"/>
        <v>0</v>
      </c>
      <c r="U109" s="14"/>
      <c r="V109" s="15"/>
      <c r="W109" s="16">
        <f t="shared" si="113"/>
        <v>0</v>
      </c>
      <c r="X109" s="14"/>
      <c r="Y109" s="15"/>
      <c r="Z109" s="16">
        <f t="shared" si="136"/>
        <v>0</v>
      </c>
      <c r="AA109" s="14"/>
      <c r="AB109" s="15"/>
      <c r="AC109" s="16">
        <f t="shared" si="141"/>
        <v>0</v>
      </c>
      <c r="AD109" s="14"/>
      <c r="AE109" s="15"/>
      <c r="AF109" s="16">
        <f t="shared" si="114"/>
        <v>0</v>
      </c>
      <c r="AG109" s="14"/>
      <c r="AH109" s="15"/>
      <c r="AI109" s="16">
        <f t="shared" si="138"/>
        <v>0</v>
      </c>
      <c r="AJ109" s="14"/>
      <c r="AK109" s="15"/>
      <c r="AL109" s="16">
        <f t="shared" si="115"/>
        <v>0</v>
      </c>
      <c r="AM109" s="14"/>
      <c r="AN109" s="15"/>
      <c r="AO109" s="16">
        <f t="shared" si="116"/>
        <v>0</v>
      </c>
      <c r="AP109" s="14"/>
      <c r="AQ109" s="15"/>
      <c r="AR109" s="16">
        <f t="shared" si="117"/>
        <v>0</v>
      </c>
      <c r="AS109" s="14"/>
      <c r="AT109" s="15"/>
      <c r="AU109" s="16">
        <f t="shared" si="102"/>
        <v>0</v>
      </c>
      <c r="AV109" s="14"/>
      <c r="AW109" s="15"/>
      <c r="AX109" s="16">
        <f t="shared" si="118"/>
        <v>0</v>
      </c>
      <c r="AY109" s="14"/>
      <c r="AZ109" s="15"/>
      <c r="BA109" s="16">
        <f t="shared" si="119"/>
        <v>0</v>
      </c>
      <c r="BB109" s="14"/>
      <c r="BC109" s="15"/>
      <c r="BD109" s="16">
        <f t="shared" si="120"/>
        <v>0</v>
      </c>
      <c r="BE109" s="14"/>
      <c r="BF109" s="15"/>
      <c r="BG109" s="16">
        <f t="shared" si="142"/>
        <v>0</v>
      </c>
      <c r="BH109" s="14"/>
      <c r="BI109" s="15"/>
      <c r="BJ109" s="16">
        <f t="shared" si="121"/>
        <v>0</v>
      </c>
      <c r="BK109" s="14"/>
      <c r="BL109" s="15"/>
      <c r="BM109" s="16">
        <f t="shared" si="143"/>
        <v>0</v>
      </c>
      <c r="BN109" s="14"/>
      <c r="BO109" s="15"/>
      <c r="BP109" s="16">
        <f t="shared" si="135"/>
        <v>0</v>
      </c>
      <c r="BQ109" s="14"/>
      <c r="BR109" s="15"/>
      <c r="BS109" s="16">
        <f t="shared" si="144"/>
        <v>0</v>
      </c>
      <c r="BT109" s="14"/>
      <c r="BU109" s="15"/>
      <c r="BV109" s="16">
        <f t="shared" si="122"/>
        <v>0</v>
      </c>
      <c r="BW109" s="14"/>
      <c r="BX109" s="15"/>
      <c r="BY109" s="16">
        <f t="shared" si="104"/>
        <v>0</v>
      </c>
      <c r="BZ109" s="14"/>
      <c r="CA109" s="15"/>
      <c r="CB109" s="16">
        <f t="shared" si="123"/>
        <v>0</v>
      </c>
      <c r="CC109" s="14"/>
      <c r="CD109" s="15"/>
      <c r="CE109" s="16">
        <f t="shared" si="124"/>
        <v>0</v>
      </c>
      <c r="CF109" s="14"/>
      <c r="CG109" s="15"/>
      <c r="CH109" s="16">
        <f t="shared" si="125"/>
        <v>0</v>
      </c>
      <c r="CI109" s="14"/>
      <c r="CJ109" s="15"/>
      <c r="CK109" s="16">
        <f t="shared" si="126"/>
        <v>0</v>
      </c>
      <c r="CL109" s="14"/>
      <c r="CM109" s="15"/>
      <c r="CN109" s="16">
        <f t="shared" si="127"/>
        <v>0</v>
      </c>
      <c r="CO109" s="14"/>
      <c r="CP109" s="15"/>
      <c r="CQ109" s="16">
        <f t="shared" si="128"/>
        <v>0</v>
      </c>
      <c r="CR109" s="14"/>
      <c r="CS109" s="15"/>
      <c r="CT109" s="16">
        <f t="shared" si="129"/>
        <v>0</v>
      </c>
      <c r="CU109" s="17">
        <f t="shared" si="130"/>
        <v>0</v>
      </c>
      <c r="CV109" s="16">
        <f t="shared" si="131"/>
        <v>0</v>
      </c>
      <c r="CW109" s="16">
        <f t="shared" si="132"/>
        <v>0</v>
      </c>
      <c r="CX109" s="82"/>
    </row>
    <row r="110" spans="1:102" ht="15.75" customHeight="1" x14ac:dyDescent="0.35">
      <c r="A110" s="21" t="s">
        <v>1016</v>
      </c>
      <c r="B110" s="21" t="s">
        <v>935</v>
      </c>
      <c r="C110" s="44"/>
      <c r="D110" s="22"/>
      <c r="E110" s="78">
        <f t="shared" si="111"/>
        <v>0</v>
      </c>
      <c r="F110" s="14"/>
      <c r="G110" s="15"/>
      <c r="H110" s="16">
        <f t="shared" si="133"/>
        <v>0</v>
      </c>
      <c r="I110" s="14"/>
      <c r="J110" s="15"/>
      <c r="K110" s="16">
        <f t="shared" si="137"/>
        <v>0</v>
      </c>
      <c r="L110" s="14"/>
      <c r="M110" s="15"/>
      <c r="N110" s="16">
        <f t="shared" si="139"/>
        <v>0</v>
      </c>
      <c r="O110" s="14"/>
      <c r="P110" s="15"/>
      <c r="Q110" s="16">
        <f t="shared" si="110"/>
        <v>0</v>
      </c>
      <c r="R110" s="14"/>
      <c r="S110" s="15"/>
      <c r="T110" s="16">
        <f t="shared" si="140"/>
        <v>0</v>
      </c>
      <c r="U110" s="14"/>
      <c r="V110" s="15"/>
      <c r="W110" s="16">
        <f t="shared" si="113"/>
        <v>0</v>
      </c>
      <c r="X110" s="14"/>
      <c r="Y110" s="15"/>
      <c r="Z110" s="16">
        <f t="shared" si="136"/>
        <v>0</v>
      </c>
      <c r="AA110" s="14"/>
      <c r="AB110" s="15"/>
      <c r="AC110" s="16">
        <f t="shared" si="141"/>
        <v>0</v>
      </c>
      <c r="AD110" s="14"/>
      <c r="AE110" s="15"/>
      <c r="AF110" s="16">
        <f t="shared" si="114"/>
        <v>0</v>
      </c>
      <c r="AG110" s="14"/>
      <c r="AH110" s="15"/>
      <c r="AI110" s="16">
        <f t="shared" si="138"/>
        <v>0</v>
      </c>
      <c r="AJ110" s="14"/>
      <c r="AK110" s="15"/>
      <c r="AL110" s="16">
        <f t="shared" si="115"/>
        <v>0</v>
      </c>
      <c r="AM110" s="14"/>
      <c r="AN110" s="15"/>
      <c r="AO110" s="16">
        <f t="shared" si="116"/>
        <v>0</v>
      </c>
      <c r="AP110" s="14"/>
      <c r="AQ110" s="15"/>
      <c r="AR110" s="16">
        <f t="shared" si="117"/>
        <v>0</v>
      </c>
      <c r="AS110" s="14"/>
      <c r="AT110" s="15"/>
      <c r="AU110" s="16">
        <f t="shared" si="102"/>
        <v>0</v>
      </c>
      <c r="AV110" s="14"/>
      <c r="AW110" s="15"/>
      <c r="AX110" s="16">
        <f t="shared" si="118"/>
        <v>0</v>
      </c>
      <c r="AY110" s="14"/>
      <c r="AZ110" s="15"/>
      <c r="BA110" s="16">
        <f t="shared" si="119"/>
        <v>0</v>
      </c>
      <c r="BB110" s="14"/>
      <c r="BC110" s="15"/>
      <c r="BD110" s="16">
        <f t="shared" si="120"/>
        <v>0</v>
      </c>
      <c r="BE110" s="14"/>
      <c r="BF110" s="15"/>
      <c r="BG110" s="16">
        <f t="shared" si="142"/>
        <v>0</v>
      </c>
      <c r="BH110" s="14"/>
      <c r="BI110" s="15"/>
      <c r="BJ110" s="16">
        <f t="shared" si="121"/>
        <v>0</v>
      </c>
      <c r="BK110" s="14"/>
      <c r="BL110" s="15"/>
      <c r="BM110" s="16">
        <f t="shared" si="143"/>
        <v>0</v>
      </c>
      <c r="BN110" s="14"/>
      <c r="BO110" s="15"/>
      <c r="BP110" s="16">
        <f t="shared" si="135"/>
        <v>0</v>
      </c>
      <c r="BQ110" s="14"/>
      <c r="BR110" s="15"/>
      <c r="BS110" s="16">
        <f t="shared" si="144"/>
        <v>0</v>
      </c>
      <c r="BT110" s="14"/>
      <c r="BU110" s="15"/>
      <c r="BV110" s="16">
        <f t="shared" si="122"/>
        <v>0</v>
      </c>
      <c r="BW110" s="14"/>
      <c r="BX110" s="15"/>
      <c r="BY110" s="16">
        <f t="shared" si="104"/>
        <v>0</v>
      </c>
      <c r="BZ110" s="14"/>
      <c r="CA110" s="15"/>
      <c r="CB110" s="16">
        <f t="shared" si="123"/>
        <v>0</v>
      </c>
      <c r="CC110" s="14"/>
      <c r="CD110" s="15"/>
      <c r="CE110" s="16">
        <f t="shared" si="124"/>
        <v>0</v>
      </c>
      <c r="CF110" s="14"/>
      <c r="CG110" s="15"/>
      <c r="CH110" s="16">
        <f t="shared" si="125"/>
        <v>0</v>
      </c>
      <c r="CI110" s="14"/>
      <c r="CJ110" s="15"/>
      <c r="CK110" s="16">
        <f t="shared" si="126"/>
        <v>0</v>
      </c>
      <c r="CL110" s="14"/>
      <c r="CM110" s="15"/>
      <c r="CN110" s="16">
        <f t="shared" si="127"/>
        <v>0</v>
      </c>
      <c r="CO110" s="14"/>
      <c r="CP110" s="15"/>
      <c r="CQ110" s="16">
        <f t="shared" si="128"/>
        <v>0</v>
      </c>
      <c r="CR110" s="14"/>
      <c r="CS110" s="15"/>
      <c r="CT110" s="16">
        <f t="shared" si="129"/>
        <v>0</v>
      </c>
      <c r="CU110" s="17">
        <f t="shared" si="130"/>
        <v>0</v>
      </c>
      <c r="CV110" s="16">
        <f t="shared" si="131"/>
        <v>0</v>
      </c>
      <c r="CW110" s="16">
        <f t="shared" si="132"/>
        <v>0</v>
      </c>
      <c r="CX110" s="82"/>
    </row>
    <row r="111" spans="1:102" ht="15.75" customHeight="1" x14ac:dyDescent="0.35">
      <c r="A111" s="21" t="s">
        <v>1017</v>
      </c>
      <c r="B111" s="21" t="s">
        <v>846</v>
      </c>
      <c r="C111" s="44"/>
      <c r="D111" s="22"/>
      <c r="E111" s="78">
        <f t="shared" si="111"/>
        <v>0</v>
      </c>
      <c r="F111" s="14"/>
      <c r="G111" s="15"/>
      <c r="H111" s="16">
        <f t="shared" si="133"/>
        <v>0</v>
      </c>
      <c r="I111" s="14"/>
      <c r="J111" s="15"/>
      <c r="K111" s="16">
        <f t="shared" si="137"/>
        <v>0</v>
      </c>
      <c r="L111" s="14"/>
      <c r="M111" s="15"/>
      <c r="N111" s="16">
        <f t="shared" si="139"/>
        <v>0</v>
      </c>
      <c r="O111" s="14"/>
      <c r="P111" s="15"/>
      <c r="Q111" s="16">
        <f t="shared" si="110"/>
        <v>0</v>
      </c>
      <c r="R111" s="14"/>
      <c r="S111" s="15"/>
      <c r="T111" s="16">
        <f t="shared" si="140"/>
        <v>0</v>
      </c>
      <c r="U111" s="14"/>
      <c r="V111" s="15"/>
      <c r="W111" s="16">
        <f t="shared" si="113"/>
        <v>0</v>
      </c>
      <c r="X111" s="14"/>
      <c r="Y111" s="15"/>
      <c r="Z111" s="16">
        <f t="shared" si="136"/>
        <v>0</v>
      </c>
      <c r="AA111" s="14"/>
      <c r="AB111" s="15"/>
      <c r="AC111" s="16">
        <f t="shared" si="141"/>
        <v>0</v>
      </c>
      <c r="AD111" s="14"/>
      <c r="AE111" s="15"/>
      <c r="AF111" s="16">
        <f t="shared" si="114"/>
        <v>0</v>
      </c>
      <c r="AG111" s="14"/>
      <c r="AH111" s="15"/>
      <c r="AI111" s="16">
        <f t="shared" si="138"/>
        <v>0</v>
      </c>
      <c r="AJ111" s="14"/>
      <c r="AK111" s="15"/>
      <c r="AL111" s="16">
        <f t="shared" si="115"/>
        <v>0</v>
      </c>
      <c r="AM111" s="14"/>
      <c r="AN111" s="15"/>
      <c r="AO111" s="16">
        <f t="shared" si="116"/>
        <v>0</v>
      </c>
      <c r="AP111" s="14"/>
      <c r="AQ111" s="15"/>
      <c r="AR111" s="16">
        <f t="shared" si="117"/>
        <v>0</v>
      </c>
      <c r="AS111" s="14"/>
      <c r="AT111" s="15"/>
      <c r="AU111" s="16">
        <f t="shared" si="102"/>
        <v>0</v>
      </c>
      <c r="AV111" s="14"/>
      <c r="AW111" s="15"/>
      <c r="AX111" s="16">
        <f t="shared" si="118"/>
        <v>0</v>
      </c>
      <c r="AY111" s="14"/>
      <c r="AZ111" s="15"/>
      <c r="BA111" s="16">
        <f t="shared" si="119"/>
        <v>0</v>
      </c>
      <c r="BB111" s="14"/>
      <c r="BC111" s="15"/>
      <c r="BD111" s="16">
        <f t="shared" si="120"/>
        <v>0</v>
      </c>
      <c r="BE111" s="14"/>
      <c r="BF111" s="15"/>
      <c r="BG111" s="16">
        <f t="shared" si="142"/>
        <v>0</v>
      </c>
      <c r="BH111" s="14"/>
      <c r="BI111" s="15"/>
      <c r="BJ111" s="16">
        <f t="shared" si="121"/>
        <v>0</v>
      </c>
      <c r="BK111" s="14"/>
      <c r="BL111" s="15"/>
      <c r="BM111" s="16">
        <f t="shared" si="143"/>
        <v>0</v>
      </c>
      <c r="BN111" s="14"/>
      <c r="BO111" s="15"/>
      <c r="BP111" s="16">
        <f t="shared" si="135"/>
        <v>0</v>
      </c>
      <c r="BQ111" s="14"/>
      <c r="BR111" s="15"/>
      <c r="BS111" s="16">
        <f t="shared" si="144"/>
        <v>0</v>
      </c>
      <c r="BT111" s="14"/>
      <c r="BU111" s="15"/>
      <c r="BV111" s="16">
        <f t="shared" si="122"/>
        <v>0</v>
      </c>
      <c r="BW111" s="14"/>
      <c r="BX111" s="15"/>
      <c r="BY111" s="16">
        <f t="shared" si="104"/>
        <v>0</v>
      </c>
      <c r="BZ111" s="14"/>
      <c r="CA111" s="15"/>
      <c r="CB111" s="16">
        <f t="shared" si="123"/>
        <v>0</v>
      </c>
      <c r="CC111" s="14"/>
      <c r="CD111" s="15"/>
      <c r="CE111" s="16">
        <f t="shared" si="124"/>
        <v>0</v>
      </c>
      <c r="CF111" s="14"/>
      <c r="CG111" s="15"/>
      <c r="CH111" s="16">
        <f t="shared" si="125"/>
        <v>0</v>
      </c>
      <c r="CI111" s="14"/>
      <c r="CJ111" s="15"/>
      <c r="CK111" s="16">
        <f t="shared" si="126"/>
        <v>0</v>
      </c>
      <c r="CL111" s="14"/>
      <c r="CM111" s="15"/>
      <c r="CN111" s="16">
        <f t="shared" si="127"/>
        <v>0</v>
      </c>
      <c r="CO111" s="14"/>
      <c r="CP111" s="15"/>
      <c r="CQ111" s="16">
        <f t="shared" si="128"/>
        <v>0</v>
      </c>
      <c r="CR111" s="14"/>
      <c r="CS111" s="15"/>
      <c r="CT111" s="16">
        <f t="shared" si="129"/>
        <v>0</v>
      </c>
      <c r="CU111" s="17">
        <f t="shared" si="130"/>
        <v>0</v>
      </c>
      <c r="CV111" s="16">
        <f t="shared" si="131"/>
        <v>0</v>
      </c>
      <c r="CW111" s="16">
        <f t="shared" si="132"/>
        <v>0</v>
      </c>
      <c r="CX111" s="82"/>
    </row>
    <row r="112" spans="1:102" ht="15.75" customHeight="1" x14ac:dyDescent="0.35">
      <c r="A112" s="21" t="s">
        <v>1018</v>
      </c>
      <c r="B112" s="21" t="s">
        <v>846</v>
      </c>
      <c r="C112" s="44"/>
      <c r="D112" s="22"/>
      <c r="E112" s="78">
        <f t="shared" si="111"/>
        <v>0</v>
      </c>
      <c r="F112" s="14"/>
      <c r="G112" s="15"/>
      <c r="H112" s="16">
        <f t="shared" si="133"/>
        <v>0</v>
      </c>
      <c r="I112" s="14"/>
      <c r="J112" s="15"/>
      <c r="K112" s="16">
        <f t="shared" si="137"/>
        <v>0</v>
      </c>
      <c r="L112" s="14"/>
      <c r="M112" s="15"/>
      <c r="N112" s="16">
        <f t="shared" si="139"/>
        <v>0</v>
      </c>
      <c r="O112" s="14"/>
      <c r="P112" s="15"/>
      <c r="Q112" s="16">
        <f t="shared" si="110"/>
        <v>0</v>
      </c>
      <c r="R112" s="14"/>
      <c r="S112" s="15"/>
      <c r="T112" s="16">
        <f t="shared" si="140"/>
        <v>0</v>
      </c>
      <c r="U112" s="14"/>
      <c r="V112" s="15"/>
      <c r="W112" s="16">
        <f t="shared" si="113"/>
        <v>0</v>
      </c>
      <c r="X112" s="14"/>
      <c r="Y112" s="15"/>
      <c r="Z112" s="16">
        <f t="shared" si="136"/>
        <v>0</v>
      </c>
      <c r="AA112" s="14"/>
      <c r="AB112" s="15"/>
      <c r="AC112" s="16">
        <f t="shared" si="141"/>
        <v>0</v>
      </c>
      <c r="AD112" s="14"/>
      <c r="AE112" s="15"/>
      <c r="AF112" s="16">
        <f t="shared" si="114"/>
        <v>0</v>
      </c>
      <c r="AG112" s="14"/>
      <c r="AH112" s="15"/>
      <c r="AI112" s="16">
        <f t="shared" si="138"/>
        <v>0</v>
      </c>
      <c r="AJ112" s="14"/>
      <c r="AK112" s="15"/>
      <c r="AL112" s="16">
        <f t="shared" si="115"/>
        <v>0</v>
      </c>
      <c r="AM112" s="14"/>
      <c r="AN112" s="15"/>
      <c r="AO112" s="16">
        <f t="shared" si="116"/>
        <v>0</v>
      </c>
      <c r="AP112" s="14"/>
      <c r="AQ112" s="15"/>
      <c r="AR112" s="16">
        <f t="shared" si="117"/>
        <v>0</v>
      </c>
      <c r="AS112" s="14"/>
      <c r="AT112" s="15"/>
      <c r="AU112" s="16">
        <f t="shared" si="102"/>
        <v>0</v>
      </c>
      <c r="AV112" s="14"/>
      <c r="AW112" s="15"/>
      <c r="AX112" s="16">
        <f t="shared" si="118"/>
        <v>0</v>
      </c>
      <c r="AY112" s="14"/>
      <c r="AZ112" s="15"/>
      <c r="BA112" s="16">
        <f t="shared" si="119"/>
        <v>0</v>
      </c>
      <c r="BB112" s="14"/>
      <c r="BC112" s="15"/>
      <c r="BD112" s="16">
        <f t="shared" si="120"/>
        <v>0</v>
      </c>
      <c r="BE112" s="14"/>
      <c r="BF112" s="15"/>
      <c r="BG112" s="16">
        <f t="shared" si="142"/>
        <v>0</v>
      </c>
      <c r="BH112" s="14"/>
      <c r="BI112" s="15"/>
      <c r="BJ112" s="16">
        <f t="shared" si="121"/>
        <v>0</v>
      </c>
      <c r="BK112" s="14"/>
      <c r="BL112" s="15"/>
      <c r="BM112" s="16">
        <f t="shared" si="143"/>
        <v>0</v>
      </c>
      <c r="BN112" s="14"/>
      <c r="BO112" s="15"/>
      <c r="BP112" s="16">
        <f t="shared" si="135"/>
        <v>0</v>
      </c>
      <c r="BQ112" s="14"/>
      <c r="BR112" s="15"/>
      <c r="BS112" s="16">
        <f t="shared" si="144"/>
        <v>0</v>
      </c>
      <c r="BT112" s="14"/>
      <c r="BU112" s="15"/>
      <c r="BV112" s="16">
        <f t="shared" si="122"/>
        <v>0</v>
      </c>
      <c r="BW112" s="14"/>
      <c r="BX112" s="15"/>
      <c r="BY112" s="16">
        <f t="shared" si="104"/>
        <v>0</v>
      </c>
      <c r="BZ112" s="14"/>
      <c r="CA112" s="15"/>
      <c r="CB112" s="16">
        <f t="shared" si="123"/>
        <v>0</v>
      </c>
      <c r="CC112" s="14"/>
      <c r="CD112" s="15"/>
      <c r="CE112" s="16">
        <f t="shared" si="124"/>
        <v>0</v>
      </c>
      <c r="CF112" s="14"/>
      <c r="CG112" s="15"/>
      <c r="CH112" s="16">
        <f t="shared" si="125"/>
        <v>0</v>
      </c>
      <c r="CI112" s="14"/>
      <c r="CJ112" s="15"/>
      <c r="CK112" s="16">
        <f t="shared" si="126"/>
        <v>0</v>
      </c>
      <c r="CL112" s="14"/>
      <c r="CM112" s="15"/>
      <c r="CN112" s="16">
        <f t="shared" si="127"/>
        <v>0</v>
      </c>
      <c r="CO112" s="14"/>
      <c r="CP112" s="15"/>
      <c r="CQ112" s="16">
        <f t="shared" si="128"/>
        <v>0</v>
      </c>
      <c r="CR112" s="14"/>
      <c r="CS112" s="15"/>
      <c r="CT112" s="16">
        <f t="shared" si="129"/>
        <v>0</v>
      </c>
      <c r="CU112" s="17">
        <f t="shared" si="130"/>
        <v>0</v>
      </c>
      <c r="CV112" s="16">
        <f t="shared" si="131"/>
        <v>0</v>
      </c>
      <c r="CW112" s="16">
        <f t="shared" si="132"/>
        <v>0</v>
      </c>
      <c r="CX112" s="82"/>
    </row>
    <row r="113" spans="1:102" ht="15.75" customHeight="1" x14ac:dyDescent="0.35">
      <c r="A113" s="21" t="s">
        <v>138</v>
      </c>
      <c r="B113" s="21" t="s">
        <v>846</v>
      </c>
      <c r="C113" s="19"/>
      <c r="D113" s="20"/>
      <c r="E113" s="78">
        <f t="shared" si="111"/>
        <v>0</v>
      </c>
      <c r="F113" s="14"/>
      <c r="G113" s="15"/>
      <c r="H113" s="16">
        <f t="shared" si="133"/>
        <v>0</v>
      </c>
      <c r="I113" s="14">
        <v>2</v>
      </c>
      <c r="J113" s="15">
        <v>14600</v>
      </c>
      <c r="K113" s="16">
        <v>29200</v>
      </c>
      <c r="L113" s="14"/>
      <c r="M113" s="15"/>
      <c r="N113" s="16">
        <f t="shared" si="139"/>
        <v>0</v>
      </c>
      <c r="O113" s="14"/>
      <c r="P113" s="15"/>
      <c r="Q113" s="16">
        <f t="shared" si="110"/>
        <v>0</v>
      </c>
      <c r="R113" s="14"/>
      <c r="S113" s="15"/>
      <c r="T113" s="16">
        <f t="shared" si="140"/>
        <v>0</v>
      </c>
      <c r="U113" s="14"/>
      <c r="V113" s="15"/>
      <c r="W113" s="16">
        <f t="shared" si="113"/>
        <v>0</v>
      </c>
      <c r="X113" s="14"/>
      <c r="Y113" s="15"/>
      <c r="Z113" s="16">
        <f t="shared" si="136"/>
        <v>0</v>
      </c>
      <c r="AA113" s="14"/>
      <c r="AB113" s="15"/>
      <c r="AC113" s="16">
        <f t="shared" si="141"/>
        <v>0</v>
      </c>
      <c r="AD113" s="14"/>
      <c r="AE113" s="15"/>
      <c r="AF113" s="16">
        <f t="shared" si="114"/>
        <v>0</v>
      </c>
      <c r="AG113" s="14">
        <v>1</v>
      </c>
      <c r="AH113" s="15">
        <v>14600</v>
      </c>
      <c r="AI113" s="16">
        <v>14600</v>
      </c>
      <c r="AJ113" s="14"/>
      <c r="AK113" s="15"/>
      <c r="AL113" s="16">
        <f t="shared" si="115"/>
        <v>0</v>
      </c>
      <c r="AM113" s="14"/>
      <c r="AN113" s="15"/>
      <c r="AO113" s="16">
        <f t="shared" si="116"/>
        <v>0</v>
      </c>
      <c r="AP113" s="14"/>
      <c r="AQ113" s="15"/>
      <c r="AR113" s="16">
        <f t="shared" si="117"/>
        <v>0</v>
      </c>
      <c r="AS113" s="14"/>
      <c r="AT113" s="15"/>
      <c r="AU113" s="16">
        <f t="shared" si="102"/>
        <v>0</v>
      </c>
      <c r="AV113" s="14"/>
      <c r="AW113" s="15"/>
      <c r="AX113" s="16">
        <f t="shared" si="118"/>
        <v>0</v>
      </c>
      <c r="AY113" s="14"/>
      <c r="AZ113" s="15"/>
      <c r="BA113" s="16">
        <f t="shared" si="119"/>
        <v>0</v>
      </c>
      <c r="BB113" s="14"/>
      <c r="BC113" s="15"/>
      <c r="BD113" s="16">
        <f t="shared" si="120"/>
        <v>0</v>
      </c>
      <c r="BE113" s="14">
        <v>1</v>
      </c>
      <c r="BF113" s="15">
        <v>14600</v>
      </c>
      <c r="BG113" s="16">
        <v>14600</v>
      </c>
      <c r="BH113" s="14"/>
      <c r="BI113" s="15"/>
      <c r="BJ113" s="16">
        <f t="shared" si="121"/>
        <v>0</v>
      </c>
      <c r="BK113" s="14"/>
      <c r="BL113" s="15"/>
      <c r="BM113" s="16">
        <f t="shared" si="143"/>
        <v>0</v>
      </c>
      <c r="BN113" s="14"/>
      <c r="BO113" s="15"/>
      <c r="BP113" s="16">
        <f t="shared" si="135"/>
        <v>0</v>
      </c>
      <c r="BQ113" s="14">
        <v>1</v>
      </c>
      <c r="BR113" s="15">
        <v>14600</v>
      </c>
      <c r="BS113" s="16">
        <v>14600</v>
      </c>
      <c r="BT113" s="14"/>
      <c r="BU113" s="15"/>
      <c r="BV113" s="16">
        <f t="shared" si="122"/>
        <v>0</v>
      </c>
      <c r="BW113" s="14"/>
      <c r="BX113" s="15"/>
      <c r="BY113" s="16">
        <f t="shared" si="104"/>
        <v>0</v>
      </c>
      <c r="BZ113" s="14"/>
      <c r="CA113" s="15"/>
      <c r="CB113" s="16">
        <f t="shared" si="123"/>
        <v>0</v>
      </c>
      <c r="CC113" s="14"/>
      <c r="CD113" s="15"/>
      <c r="CE113" s="16">
        <f t="shared" si="124"/>
        <v>0</v>
      </c>
      <c r="CF113" s="14"/>
      <c r="CG113" s="15"/>
      <c r="CH113" s="16">
        <f t="shared" si="125"/>
        <v>0</v>
      </c>
      <c r="CI113" s="14"/>
      <c r="CJ113" s="15"/>
      <c r="CK113" s="16">
        <f t="shared" si="126"/>
        <v>0</v>
      </c>
      <c r="CL113" s="14"/>
      <c r="CM113" s="15"/>
      <c r="CN113" s="16">
        <f t="shared" si="127"/>
        <v>0</v>
      </c>
      <c r="CO113" s="14"/>
      <c r="CP113" s="15"/>
      <c r="CQ113" s="16">
        <f t="shared" si="128"/>
        <v>0</v>
      </c>
      <c r="CR113" s="14"/>
      <c r="CS113" s="15"/>
      <c r="CT113" s="16">
        <f t="shared" si="129"/>
        <v>0</v>
      </c>
      <c r="CU113" s="17">
        <f t="shared" si="130"/>
        <v>5</v>
      </c>
      <c r="CV113" s="16">
        <f t="shared" si="131"/>
        <v>14600</v>
      </c>
      <c r="CW113" s="16">
        <f t="shared" si="132"/>
        <v>73000</v>
      </c>
    </row>
    <row r="114" spans="1:102" ht="15.75" customHeight="1" x14ac:dyDescent="0.35">
      <c r="A114" s="41" t="s">
        <v>1019</v>
      </c>
      <c r="B114" s="41" t="s">
        <v>935</v>
      </c>
      <c r="C114" s="42"/>
      <c r="D114" s="43"/>
      <c r="E114" s="78">
        <f t="shared" si="111"/>
        <v>0</v>
      </c>
      <c r="F114" s="14"/>
      <c r="G114" s="15"/>
      <c r="H114" s="16">
        <f t="shared" si="133"/>
        <v>0</v>
      </c>
      <c r="I114" s="14"/>
      <c r="J114" s="15"/>
      <c r="K114" s="16">
        <f>IFERROR(I114*J114, 0)</f>
        <v>0</v>
      </c>
      <c r="L114" s="14"/>
      <c r="M114" s="15"/>
      <c r="N114" s="16">
        <f t="shared" si="139"/>
        <v>0</v>
      </c>
      <c r="O114" s="14"/>
      <c r="P114" s="15"/>
      <c r="Q114" s="16">
        <f t="shared" si="110"/>
        <v>0</v>
      </c>
      <c r="R114" s="14"/>
      <c r="S114" s="15"/>
      <c r="T114" s="16">
        <f t="shared" si="140"/>
        <v>0</v>
      </c>
      <c r="U114" s="14"/>
      <c r="V114" s="15"/>
      <c r="W114" s="16">
        <f t="shared" si="113"/>
        <v>0</v>
      </c>
      <c r="X114" s="14"/>
      <c r="Y114" s="15"/>
      <c r="Z114" s="16">
        <f t="shared" si="136"/>
        <v>0</v>
      </c>
      <c r="AA114" s="14"/>
      <c r="AB114" s="15"/>
      <c r="AC114" s="16">
        <f t="shared" si="141"/>
        <v>0</v>
      </c>
      <c r="AD114" s="14"/>
      <c r="AE114" s="15"/>
      <c r="AF114" s="16">
        <f t="shared" si="114"/>
        <v>0</v>
      </c>
      <c r="AG114" s="14"/>
      <c r="AH114" s="15"/>
      <c r="AI114" s="16">
        <f>IFERROR(AG114*AH114, 0)</f>
        <v>0</v>
      </c>
      <c r="AJ114" s="14"/>
      <c r="AK114" s="15"/>
      <c r="AL114" s="16">
        <f t="shared" si="115"/>
        <v>0</v>
      </c>
      <c r="AM114" s="14"/>
      <c r="AN114" s="15"/>
      <c r="AO114" s="16">
        <f t="shared" si="116"/>
        <v>0</v>
      </c>
      <c r="AP114" s="14"/>
      <c r="AQ114" s="15"/>
      <c r="AR114" s="16">
        <f t="shared" si="117"/>
        <v>0</v>
      </c>
      <c r="AS114" s="14"/>
      <c r="AT114" s="15"/>
      <c r="AU114" s="16">
        <f t="shared" ref="AU114:AU124" si="145">IFERROR(AS114*AT114, 0)</f>
        <v>0</v>
      </c>
      <c r="AV114" s="14"/>
      <c r="AW114" s="15"/>
      <c r="AX114" s="16">
        <f t="shared" si="118"/>
        <v>0</v>
      </c>
      <c r="AY114" s="14"/>
      <c r="AZ114" s="15"/>
      <c r="BA114" s="16">
        <f t="shared" si="119"/>
        <v>0</v>
      </c>
      <c r="BB114" s="14"/>
      <c r="BC114" s="15"/>
      <c r="BD114" s="16">
        <f t="shared" si="120"/>
        <v>0</v>
      </c>
      <c r="BE114" s="14"/>
      <c r="BF114" s="15"/>
      <c r="BG114" s="16">
        <f>IFERROR(BE114*BF114, 0)</f>
        <v>0</v>
      </c>
      <c r="BH114" s="14"/>
      <c r="BI114" s="15"/>
      <c r="BJ114" s="16">
        <f t="shared" si="121"/>
        <v>0</v>
      </c>
      <c r="BK114" s="14"/>
      <c r="BL114" s="15"/>
      <c r="BM114" s="16">
        <f t="shared" si="143"/>
        <v>0</v>
      </c>
      <c r="BN114" s="14"/>
      <c r="BO114" s="15"/>
      <c r="BP114" s="16">
        <f t="shared" si="135"/>
        <v>0</v>
      </c>
      <c r="BQ114" s="14"/>
      <c r="BR114" s="15"/>
      <c r="BS114" s="16">
        <f>IFERROR(BQ114*BR114, 0)</f>
        <v>0</v>
      </c>
      <c r="BT114" s="14"/>
      <c r="BU114" s="15"/>
      <c r="BV114" s="16">
        <f t="shared" si="122"/>
        <v>0</v>
      </c>
      <c r="BW114" s="14"/>
      <c r="BX114" s="15"/>
      <c r="BY114" s="16">
        <f t="shared" si="104"/>
        <v>0</v>
      </c>
      <c r="BZ114" s="14"/>
      <c r="CA114" s="15"/>
      <c r="CB114" s="16">
        <f t="shared" si="123"/>
        <v>0</v>
      </c>
      <c r="CC114" s="14"/>
      <c r="CD114" s="15"/>
      <c r="CE114" s="16">
        <f t="shared" si="124"/>
        <v>0</v>
      </c>
      <c r="CF114" s="14"/>
      <c r="CG114" s="15"/>
      <c r="CH114" s="16">
        <f t="shared" si="125"/>
        <v>0</v>
      </c>
      <c r="CI114" s="14"/>
      <c r="CJ114" s="15"/>
      <c r="CK114" s="16">
        <f t="shared" si="126"/>
        <v>0</v>
      </c>
      <c r="CL114" s="14"/>
      <c r="CM114" s="15"/>
      <c r="CN114" s="16">
        <f t="shared" si="127"/>
        <v>0</v>
      </c>
      <c r="CO114" s="14"/>
      <c r="CP114" s="15"/>
      <c r="CQ114" s="16">
        <f t="shared" si="128"/>
        <v>0</v>
      </c>
      <c r="CR114" s="14"/>
      <c r="CS114" s="15"/>
      <c r="CT114" s="16">
        <f t="shared" si="129"/>
        <v>0</v>
      </c>
      <c r="CU114" s="17">
        <f t="shared" si="130"/>
        <v>0</v>
      </c>
      <c r="CV114" s="16">
        <f t="shared" si="131"/>
        <v>0</v>
      </c>
      <c r="CW114" s="16">
        <f t="shared" si="132"/>
        <v>0</v>
      </c>
      <c r="CX114" s="82"/>
    </row>
    <row r="115" spans="1:102" ht="15.75" customHeight="1" x14ac:dyDescent="0.35">
      <c r="A115" s="41" t="s">
        <v>98</v>
      </c>
      <c r="B115" s="41" t="s">
        <v>935</v>
      </c>
      <c r="C115" s="42"/>
      <c r="D115" s="43"/>
      <c r="E115" s="78">
        <f t="shared" si="111"/>
        <v>0</v>
      </c>
      <c r="F115" s="14"/>
      <c r="G115" s="15"/>
      <c r="H115" s="16">
        <f t="shared" si="133"/>
        <v>0</v>
      </c>
      <c r="I115" s="14">
        <v>1</v>
      </c>
      <c r="J115" s="15">
        <v>8700</v>
      </c>
      <c r="K115" s="16">
        <v>8700</v>
      </c>
      <c r="L115" s="14"/>
      <c r="M115" s="15"/>
      <c r="N115" s="16">
        <f t="shared" si="139"/>
        <v>0</v>
      </c>
      <c r="O115" s="14"/>
      <c r="P115" s="15"/>
      <c r="Q115" s="16">
        <f t="shared" si="110"/>
        <v>0</v>
      </c>
      <c r="R115" s="14"/>
      <c r="S115" s="15"/>
      <c r="T115" s="16">
        <f t="shared" si="140"/>
        <v>0</v>
      </c>
      <c r="U115" s="14"/>
      <c r="V115" s="15"/>
      <c r="W115" s="16">
        <f t="shared" si="113"/>
        <v>0</v>
      </c>
      <c r="X115" s="14"/>
      <c r="Y115" s="15"/>
      <c r="Z115" s="16">
        <f t="shared" si="136"/>
        <v>0</v>
      </c>
      <c r="AA115" s="14"/>
      <c r="AB115" s="15"/>
      <c r="AC115" s="16">
        <f t="shared" si="141"/>
        <v>0</v>
      </c>
      <c r="AD115" s="14"/>
      <c r="AE115" s="15"/>
      <c r="AF115" s="16">
        <f t="shared" si="114"/>
        <v>0</v>
      </c>
      <c r="AG115" s="14">
        <v>1</v>
      </c>
      <c r="AH115" s="15">
        <v>8700</v>
      </c>
      <c r="AI115" s="16">
        <v>8700</v>
      </c>
      <c r="AJ115" s="14"/>
      <c r="AK115" s="15"/>
      <c r="AL115" s="16">
        <f t="shared" si="115"/>
        <v>0</v>
      </c>
      <c r="AM115" s="14"/>
      <c r="AN115" s="15"/>
      <c r="AO115" s="16">
        <f t="shared" si="116"/>
        <v>0</v>
      </c>
      <c r="AP115" s="14"/>
      <c r="AQ115" s="15"/>
      <c r="AR115" s="16">
        <f t="shared" si="117"/>
        <v>0</v>
      </c>
      <c r="AS115" s="14"/>
      <c r="AT115" s="15"/>
      <c r="AU115" s="16">
        <f t="shared" si="145"/>
        <v>0</v>
      </c>
      <c r="AV115" s="14"/>
      <c r="AW115" s="15"/>
      <c r="AX115" s="16">
        <f t="shared" si="118"/>
        <v>0</v>
      </c>
      <c r="AY115" s="14"/>
      <c r="AZ115" s="15"/>
      <c r="BA115" s="16">
        <f t="shared" si="119"/>
        <v>0</v>
      </c>
      <c r="BB115" s="14"/>
      <c r="BC115" s="15"/>
      <c r="BD115" s="16">
        <f t="shared" si="120"/>
        <v>0</v>
      </c>
      <c r="BE115" s="14"/>
      <c r="BF115" s="15"/>
      <c r="BG115" s="16">
        <f>IFERROR(BE115*BF115, 0)</f>
        <v>0</v>
      </c>
      <c r="BH115" s="14"/>
      <c r="BI115" s="15"/>
      <c r="BJ115" s="16">
        <f t="shared" si="121"/>
        <v>0</v>
      </c>
      <c r="BK115" s="14"/>
      <c r="BL115" s="15"/>
      <c r="BM115" s="16">
        <f t="shared" si="143"/>
        <v>0</v>
      </c>
      <c r="BN115" s="14"/>
      <c r="BO115" s="15"/>
      <c r="BP115" s="16">
        <f t="shared" si="135"/>
        <v>0</v>
      </c>
      <c r="BQ115" s="14"/>
      <c r="BR115" s="15"/>
      <c r="BS115" s="16">
        <f>IFERROR(BQ115*BR115, 0)</f>
        <v>0</v>
      </c>
      <c r="BT115" s="14"/>
      <c r="BU115" s="15"/>
      <c r="BV115" s="16">
        <f t="shared" si="122"/>
        <v>0</v>
      </c>
      <c r="BW115" s="14"/>
      <c r="BX115" s="15"/>
      <c r="BY115" s="16">
        <f t="shared" si="104"/>
        <v>0</v>
      </c>
      <c r="BZ115" s="14"/>
      <c r="CA115" s="15"/>
      <c r="CB115" s="16">
        <f t="shared" si="123"/>
        <v>0</v>
      </c>
      <c r="CC115" s="14"/>
      <c r="CD115" s="15"/>
      <c r="CE115" s="16">
        <f t="shared" si="124"/>
        <v>0</v>
      </c>
      <c r="CF115" s="14"/>
      <c r="CG115" s="15"/>
      <c r="CH115" s="16">
        <f t="shared" si="125"/>
        <v>0</v>
      </c>
      <c r="CI115" s="14"/>
      <c r="CJ115" s="15"/>
      <c r="CK115" s="16">
        <f t="shared" si="126"/>
        <v>0</v>
      </c>
      <c r="CL115" s="14"/>
      <c r="CM115" s="15"/>
      <c r="CN115" s="16">
        <f t="shared" si="127"/>
        <v>0</v>
      </c>
      <c r="CO115" s="14"/>
      <c r="CP115" s="15"/>
      <c r="CQ115" s="16">
        <f t="shared" si="128"/>
        <v>0</v>
      </c>
      <c r="CR115" s="14"/>
      <c r="CS115" s="15"/>
      <c r="CT115" s="16">
        <f t="shared" si="129"/>
        <v>0</v>
      </c>
      <c r="CU115" s="17">
        <f t="shared" si="130"/>
        <v>2</v>
      </c>
      <c r="CV115" s="16">
        <f t="shared" si="131"/>
        <v>8700</v>
      </c>
      <c r="CW115" s="16">
        <f t="shared" si="132"/>
        <v>17400</v>
      </c>
      <c r="CX115" s="82"/>
    </row>
    <row r="116" spans="1:102" ht="15.75" customHeight="1" x14ac:dyDescent="0.35">
      <c r="A116" s="21" t="s">
        <v>1020</v>
      </c>
      <c r="B116" s="21" t="s">
        <v>935</v>
      </c>
      <c r="C116" s="44"/>
      <c r="D116" s="22"/>
      <c r="E116" s="78">
        <f t="shared" si="111"/>
        <v>0</v>
      </c>
      <c r="F116" s="14"/>
      <c r="G116" s="15"/>
      <c r="H116" s="16">
        <f t="shared" si="133"/>
        <v>0</v>
      </c>
      <c r="I116" s="14"/>
      <c r="J116" s="15"/>
      <c r="K116" s="16">
        <f>IFERROR(I116*J116, 0)</f>
        <v>0</v>
      </c>
      <c r="L116" s="14"/>
      <c r="M116" s="15"/>
      <c r="N116" s="16">
        <f t="shared" si="139"/>
        <v>0</v>
      </c>
      <c r="O116" s="14"/>
      <c r="P116" s="15"/>
      <c r="Q116" s="16">
        <f t="shared" si="110"/>
        <v>0</v>
      </c>
      <c r="R116" s="14"/>
      <c r="S116" s="15"/>
      <c r="T116" s="16">
        <f t="shared" si="140"/>
        <v>0</v>
      </c>
      <c r="U116" s="14"/>
      <c r="V116" s="15"/>
      <c r="W116" s="16">
        <f t="shared" si="113"/>
        <v>0</v>
      </c>
      <c r="X116" s="14"/>
      <c r="Y116" s="15"/>
      <c r="Z116" s="16">
        <f t="shared" si="136"/>
        <v>0</v>
      </c>
      <c r="AA116" s="14"/>
      <c r="AB116" s="15"/>
      <c r="AC116" s="16">
        <f t="shared" si="141"/>
        <v>0</v>
      </c>
      <c r="AD116" s="14"/>
      <c r="AE116" s="15"/>
      <c r="AF116" s="16">
        <f t="shared" si="114"/>
        <v>0</v>
      </c>
      <c r="AG116" s="14"/>
      <c r="AH116" s="15"/>
      <c r="AI116" s="16">
        <f>IFERROR(AG116*AH116, 0)</f>
        <v>0</v>
      </c>
      <c r="AJ116" s="14"/>
      <c r="AK116" s="15"/>
      <c r="AL116" s="16">
        <f t="shared" si="115"/>
        <v>0</v>
      </c>
      <c r="AM116" s="14"/>
      <c r="AN116" s="15"/>
      <c r="AO116" s="16">
        <f t="shared" si="116"/>
        <v>0</v>
      </c>
      <c r="AP116" s="14"/>
      <c r="AQ116" s="15"/>
      <c r="AR116" s="16">
        <f t="shared" si="117"/>
        <v>0</v>
      </c>
      <c r="AS116" s="14"/>
      <c r="AT116" s="15"/>
      <c r="AU116" s="16">
        <f t="shared" si="145"/>
        <v>0</v>
      </c>
      <c r="AV116" s="14"/>
      <c r="AW116" s="15"/>
      <c r="AX116" s="16">
        <f t="shared" si="118"/>
        <v>0</v>
      </c>
      <c r="AY116" s="14"/>
      <c r="AZ116" s="15"/>
      <c r="BA116" s="16">
        <f t="shared" si="119"/>
        <v>0</v>
      </c>
      <c r="BB116" s="14"/>
      <c r="BC116" s="15"/>
      <c r="BD116" s="16">
        <f t="shared" si="120"/>
        <v>0</v>
      </c>
      <c r="BE116" s="14"/>
      <c r="BF116" s="15"/>
      <c r="BG116" s="16">
        <f>IFERROR(BE116*BF116, 0)</f>
        <v>0</v>
      </c>
      <c r="BH116" s="14"/>
      <c r="BI116" s="15"/>
      <c r="BJ116" s="16">
        <f t="shared" si="121"/>
        <v>0</v>
      </c>
      <c r="BK116" s="14"/>
      <c r="BL116" s="15"/>
      <c r="BM116" s="16">
        <f t="shared" si="143"/>
        <v>0</v>
      </c>
      <c r="BN116" s="14"/>
      <c r="BO116" s="15"/>
      <c r="BP116" s="16">
        <f t="shared" si="135"/>
        <v>0</v>
      </c>
      <c r="BQ116" s="14"/>
      <c r="BR116" s="15"/>
      <c r="BS116" s="16">
        <f>IFERROR(BQ116*BR116, 0)</f>
        <v>0</v>
      </c>
      <c r="BT116" s="14"/>
      <c r="BU116" s="15"/>
      <c r="BV116" s="16">
        <f t="shared" si="122"/>
        <v>0</v>
      </c>
      <c r="BW116" s="14"/>
      <c r="BX116" s="15"/>
      <c r="BY116" s="16">
        <f t="shared" ref="BY116:BY124" si="146">IFERROR(BW116*BX116, 0)</f>
        <v>0</v>
      </c>
      <c r="BZ116" s="14"/>
      <c r="CA116" s="15"/>
      <c r="CB116" s="16">
        <f t="shared" si="123"/>
        <v>0</v>
      </c>
      <c r="CC116" s="14"/>
      <c r="CD116" s="15"/>
      <c r="CE116" s="16">
        <f t="shared" si="124"/>
        <v>0</v>
      </c>
      <c r="CF116" s="14"/>
      <c r="CG116" s="15"/>
      <c r="CH116" s="16">
        <f t="shared" si="125"/>
        <v>0</v>
      </c>
      <c r="CI116" s="14"/>
      <c r="CJ116" s="15"/>
      <c r="CK116" s="16">
        <f t="shared" si="126"/>
        <v>0</v>
      </c>
      <c r="CL116" s="14"/>
      <c r="CM116" s="15"/>
      <c r="CN116" s="16">
        <f t="shared" si="127"/>
        <v>0</v>
      </c>
      <c r="CO116" s="14"/>
      <c r="CP116" s="15"/>
      <c r="CQ116" s="16">
        <f t="shared" si="128"/>
        <v>0</v>
      </c>
      <c r="CR116" s="14"/>
      <c r="CS116" s="15"/>
      <c r="CT116" s="16">
        <f t="shared" si="129"/>
        <v>0</v>
      </c>
      <c r="CU116" s="17">
        <f t="shared" si="130"/>
        <v>0</v>
      </c>
      <c r="CV116" s="16">
        <f t="shared" si="131"/>
        <v>0</v>
      </c>
      <c r="CW116" s="16">
        <f t="shared" si="132"/>
        <v>0</v>
      </c>
      <c r="CX116" s="82"/>
    </row>
    <row r="117" spans="1:102" ht="15.75" customHeight="1" x14ac:dyDescent="0.35">
      <c r="A117" s="21" t="s">
        <v>152</v>
      </c>
      <c r="B117" s="21" t="s">
        <v>935</v>
      </c>
      <c r="C117" s="44"/>
      <c r="D117" s="22"/>
      <c r="E117" s="78">
        <f t="shared" si="111"/>
        <v>0</v>
      </c>
      <c r="F117" s="14"/>
      <c r="G117" s="15"/>
      <c r="H117" s="16">
        <f t="shared" si="133"/>
        <v>0</v>
      </c>
      <c r="I117" s="14">
        <v>2</v>
      </c>
      <c r="J117" s="15">
        <v>18650</v>
      </c>
      <c r="K117" s="16">
        <v>37300</v>
      </c>
      <c r="L117" s="14"/>
      <c r="M117" s="15"/>
      <c r="N117" s="16">
        <f t="shared" si="139"/>
        <v>0</v>
      </c>
      <c r="O117" s="14"/>
      <c r="P117" s="15"/>
      <c r="Q117" s="16">
        <f t="shared" si="110"/>
        <v>0</v>
      </c>
      <c r="R117" s="14"/>
      <c r="S117" s="15"/>
      <c r="T117" s="16">
        <f t="shared" si="140"/>
        <v>0</v>
      </c>
      <c r="U117" s="14"/>
      <c r="V117" s="15"/>
      <c r="W117" s="16">
        <f t="shared" si="113"/>
        <v>0</v>
      </c>
      <c r="X117" s="14">
        <v>1</v>
      </c>
      <c r="Y117" s="15">
        <v>18650</v>
      </c>
      <c r="Z117" s="16">
        <v>18650</v>
      </c>
      <c r="AA117" s="14"/>
      <c r="AB117" s="15"/>
      <c r="AC117" s="16">
        <f t="shared" si="141"/>
        <v>0</v>
      </c>
      <c r="AD117" s="14"/>
      <c r="AE117" s="15"/>
      <c r="AF117" s="16">
        <f t="shared" si="114"/>
        <v>0</v>
      </c>
      <c r="AG117" s="14">
        <v>1</v>
      </c>
      <c r="AH117" s="15">
        <v>18650</v>
      </c>
      <c r="AI117" s="16">
        <v>18650</v>
      </c>
      <c r="AJ117" s="14"/>
      <c r="AK117" s="15"/>
      <c r="AL117" s="16">
        <f t="shared" si="115"/>
        <v>0</v>
      </c>
      <c r="AM117" s="14"/>
      <c r="AN117" s="15"/>
      <c r="AO117" s="16">
        <f t="shared" si="116"/>
        <v>0</v>
      </c>
      <c r="AP117" s="14"/>
      <c r="AQ117" s="15"/>
      <c r="AR117" s="16">
        <f t="shared" si="117"/>
        <v>0</v>
      </c>
      <c r="AS117" s="14"/>
      <c r="AT117" s="15"/>
      <c r="AU117" s="16">
        <f t="shared" si="145"/>
        <v>0</v>
      </c>
      <c r="AV117" s="14"/>
      <c r="AW117" s="15"/>
      <c r="AX117" s="16">
        <f t="shared" si="118"/>
        <v>0</v>
      </c>
      <c r="AY117" s="14"/>
      <c r="AZ117" s="15"/>
      <c r="BA117" s="16">
        <f t="shared" si="119"/>
        <v>0</v>
      </c>
      <c r="BB117" s="14"/>
      <c r="BC117" s="15"/>
      <c r="BD117" s="16">
        <f t="shared" si="120"/>
        <v>0</v>
      </c>
      <c r="BE117" s="14"/>
      <c r="BF117" s="15"/>
      <c r="BG117" s="16">
        <f>IFERROR(BE117*BF117, 0)</f>
        <v>0</v>
      </c>
      <c r="BH117" s="14"/>
      <c r="BI117" s="15"/>
      <c r="BJ117" s="16">
        <f t="shared" si="121"/>
        <v>0</v>
      </c>
      <c r="BK117" s="14"/>
      <c r="BL117" s="15"/>
      <c r="BM117" s="16">
        <f t="shared" si="143"/>
        <v>0</v>
      </c>
      <c r="BN117" s="14"/>
      <c r="BO117" s="15"/>
      <c r="BP117" s="16">
        <f t="shared" si="135"/>
        <v>0</v>
      </c>
      <c r="BQ117" s="14">
        <v>1</v>
      </c>
      <c r="BR117" s="15">
        <v>18650</v>
      </c>
      <c r="BS117" s="16">
        <v>18650</v>
      </c>
      <c r="BT117" s="14"/>
      <c r="BU117" s="15"/>
      <c r="BV117" s="16">
        <f t="shared" si="122"/>
        <v>0</v>
      </c>
      <c r="BW117" s="14"/>
      <c r="BX117" s="15"/>
      <c r="BY117" s="16">
        <f t="shared" si="146"/>
        <v>0</v>
      </c>
      <c r="BZ117" s="14"/>
      <c r="CA117" s="15"/>
      <c r="CB117" s="16">
        <f t="shared" si="123"/>
        <v>0</v>
      </c>
      <c r="CC117" s="14"/>
      <c r="CD117" s="15"/>
      <c r="CE117" s="16">
        <f t="shared" si="124"/>
        <v>0</v>
      </c>
      <c r="CF117" s="14"/>
      <c r="CG117" s="15"/>
      <c r="CH117" s="16">
        <f t="shared" si="125"/>
        <v>0</v>
      </c>
      <c r="CI117" s="14"/>
      <c r="CJ117" s="15"/>
      <c r="CK117" s="16">
        <f t="shared" si="126"/>
        <v>0</v>
      </c>
      <c r="CL117" s="14"/>
      <c r="CM117" s="15"/>
      <c r="CN117" s="16">
        <f t="shared" si="127"/>
        <v>0</v>
      </c>
      <c r="CO117" s="14"/>
      <c r="CP117" s="15"/>
      <c r="CQ117" s="16">
        <f t="shared" si="128"/>
        <v>0</v>
      </c>
      <c r="CR117" s="14"/>
      <c r="CS117" s="15"/>
      <c r="CT117" s="16">
        <f t="shared" si="129"/>
        <v>0</v>
      </c>
      <c r="CU117" s="17">
        <f t="shared" si="130"/>
        <v>5</v>
      </c>
      <c r="CV117" s="16">
        <f t="shared" si="131"/>
        <v>18650</v>
      </c>
      <c r="CW117" s="16">
        <f t="shared" si="132"/>
        <v>93250</v>
      </c>
      <c r="CX117" s="82"/>
    </row>
    <row r="118" spans="1:102" ht="15.75" customHeight="1" x14ac:dyDescent="0.35">
      <c r="A118" s="21" t="s">
        <v>156</v>
      </c>
      <c r="B118" s="21" t="s">
        <v>935</v>
      </c>
      <c r="C118" s="44"/>
      <c r="D118" s="22"/>
      <c r="E118" s="78">
        <f t="shared" si="111"/>
        <v>0</v>
      </c>
      <c r="F118" s="14"/>
      <c r="G118" s="15"/>
      <c r="H118" s="16">
        <f t="shared" si="133"/>
        <v>0</v>
      </c>
      <c r="I118" s="14">
        <v>10</v>
      </c>
      <c r="J118" s="15">
        <v>5200</v>
      </c>
      <c r="K118" s="16">
        <v>52000</v>
      </c>
      <c r="L118" s="14"/>
      <c r="M118" s="15"/>
      <c r="N118" s="16">
        <f t="shared" si="139"/>
        <v>0</v>
      </c>
      <c r="O118" s="14"/>
      <c r="P118" s="15"/>
      <c r="Q118" s="16">
        <f t="shared" si="110"/>
        <v>0</v>
      </c>
      <c r="R118" s="14"/>
      <c r="S118" s="15"/>
      <c r="T118" s="16">
        <f t="shared" si="140"/>
        <v>0</v>
      </c>
      <c r="U118" s="14"/>
      <c r="V118" s="15"/>
      <c r="W118" s="16">
        <f t="shared" si="113"/>
        <v>0</v>
      </c>
      <c r="X118" s="14">
        <v>10</v>
      </c>
      <c r="Y118" s="15">
        <v>5200</v>
      </c>
      <c r="Z118" s="16">
        <v>52000</v>
      </c>
      <c r="AA118" s="14"/>
      <c r="AB118" s="15"/>
      <c r="AC118" s="16">
        <f t="shared" si="141"/>
        <v>0</v>
      </c>
      <c r="AD118" s="14"/>
      <c r="AE118" s="15"/>
      <c r="AF118" s="16">
        <f t="shared" si="114"/>
        <v>0</v>
      </c>
      <c r="AG118" s="14"/>
      <c r="AH118" s="15"/>
      <c r="AI118" s="16">
        <f>IFERROR(AG118*AH118, 0)</f>
        <v>0</v>
      </c>
      <c r="AJ118" s="14"/>
      <c r="AK118" s="15"/>
      <c r="AL118" s="16">
        <f t="shared" si="115"/>
        <v>0</v>
      </c>
      <c r="AM118" s="14"/>
      <c r="AN118" s="15"/>
      <c r="AO118" s="16">
        <f t="shared" si="116"/>
        <v>0</v>
      </c>
      <c r="AP118" s="14"/>
      <c r="AQ118" s="15"/>
      <c r="AR118" s="16">
        <f t="shared" si="117"/>
        <v>0</v>
      </c>
      <c r="AS118" s="14"/>
      <c r="AT118" s="15"/>
      <c r="AU118" s="16">
        <f t="shared" si="145"/>
        <v>0</v>
      </c>
      <c r="AV118" s="14"/>
      <c r="AW118" s="15"/>
      <c r="AX118" s="16">
        <f t="shared" si="118"/>
        <v>0</v>
      </c>
      <c r="AY118" s="14"/>
      <c r="AZ118" s="15"/>
      <c r="BA118" s="16">
        <f t="shared" si="119"/>
        <v>0</v>
      </c>
      <c r="BB118" s="14"/>
      <c r="BC118" s="15"/>
      <c r="BD118" s="16">
        <f t="shared" si="120"/>
        <v>0</v>
      </c>
      <c r="BE118" s="14">
        <v>10</v>
      </c>
      <c r="BF118" s="15">
        <v>5200</v>
      </c>
      <c r="BG118" s="16">
        <v>52000</v>
      </c>
      <c r="BH118" s="14"/>
      <c r="BI118" s="15"/>
      <c r="BJ118" s="16">
        <f t="shared" si="121"/>
        <v>0</v>
      </c>
      <c r="BK118" s="14"/>
      <c r="BL118" s="15"/>
      <c r="BM118" s="16">
        <f t="shared" si="143"/>
        <v>0</v>
      </c>
      <c r="BN118" s="14"/>
      <c r="BO118" s="15"/>
      <c r="BP118" s="16">
        <f t="shared" si="135"/>
        <v>0</v>
      </c>
      <c r="BQ118" s="14"/>
      <c r="BR118" s="15"/>
      <c r="BS118" s="16">
        <f>IFERROR(BQ118*BR118, 0)</f>
        <v>0</v>
      </c>
      <c r="BT118" s="14"/>
      <c r="BU118" s="15"/>
      <c r="BV118" s="16">
        <f t="shared" si="122"/>
        <v>0</v>
      </c>
      <c r="BW118" s="14"/>
      <c r="BX118" s="15"/>
      <c r="BY118" s="16">
        <f t="shared" si="146"/>
        <v>0</v>
      </c>
      <c r="BZ118" s="14"/>
      <c r="CA118" s="15"/>
      <c r="CB118" s="16">
        <f t="shared" si="123"/>
        <v>0</v>
      </c>
      <c r="CC118" s="14"/>
      <c r="CD118" s="15"/>
      <c r="CE118" s="16">
        <f t="shared" si="124"/>
        <v>0</v>
      </c>
      <c r="CF118" s="14"/>
      <c r="CG118" s="15"/>
      <c r="CH118" s="16">
        <f t="shared" si="125"/>
        <v>0</v>
      </c>
      <c r="CI118" s="14"/>
      <c r="CJ118" s="15"/>
      <c r="CK118" s="16">
        <f t="shared" si="126"/>
        <v>0</v>
      </c>
      <c r="CL118" s="14"/>
      <c r="CM118" s="15"/>
      <c r="CN118" s="16">
        <f t="shared" si="127"/>
        <v>0</v>
      </c>
      <c r="CO118" s="14"/>
      <c r="CP118" s="15"/>
      <c r="CQ118" s="16">
        <f t="shared" si="128"/>
        <v>0</v>
      </c>
      <c r="CR118" s="14"/>
      <c r="CS118" s="15"/>
      <c r="CT118" s="16">
        <f t="shared" si="129"/>
        <v>0</v>
      </c>
      <c r="CU118" s="17">
        <f t="shared" si="130"/>
        <v>30</v>
      </c>
      <c r="CV118" s="16">
        <f t="shared" si="131"/>
        <v>5200</v>
      </c>
      <c r="CW118" s="16">
        <f t="shared" si="132"/>
        <v>156000</v>
      </c>
      <c r="CX118" s="82"/>
    </row>
    <row r="119" spans="1:102" ht="15.75" customHeight="1" x14ac:dyDescent="0.35">
      <c r="A119" s="41" t="s">
        <v>299</v>
      </c>
      <c r="B119" s="41" t="s">
        <v>935</v>
      </c>
      <c r="C119" s="42"/>
      <c r="D119" s="43"/>
      <c r="E119" s="78">
        <f t="shared" si="111"/>
        <v>0</v>
      </c>
      <c r="F119" s="14"/>
      <c r="G119" s="15"/>
      <c r="H119" s="16">
        <f t="shared" si="133"/>
        <v>0</v>
      </c>
      <c r="I119" s="14"/>
      <c r="J119" s="15"/>
      <c r="K119" s="16">
        <f>IFERROR(I119*J119, 0)</f>
        <v>0</v>
      </c>
      <c r="L119" s="14"/>
      <c r="M119" s="15"/>
      <c r="N119" s="16">
        <f t="shared" si="139"/>
        <v>0</v>
      </c>
      <c r="O119" s="14"/>
      <c r="P119" s="15"/>
      <c r="Q119" s="16">
        <f t="shared" si="110"/>
        <v>0</v>
      </c>
      <c r="R119" s="14"/>
      <c r="S119" s="15"/>
      <c r="T119" s="16">
        <f t="shared" si="140"/>
        <v>0</v>
      </c>
      <c r="U119" s="14"/>
      <c r="V119" s="15"/>
      <c r="W119" s="16">
        <f t="shared" si="113"/>
        <v>0</v>
      </c>
      <c r="X119" s="14">
        <v>8</v>
      </c>
      <c r="Y119" s="15">
        <v>5000</v>
      </c>
      <c r="Z119" s="16">
        <v>40000</v>
      </c>
      <c r="AA119" s="14"/>
      <c r="AB119" s="15"/>
      <c r="AC119" s="16">
        <f t="shared" si="141"/>
        <v>0</v>
      </c>
      <c r="AD119" s="14"/>
      <c r="AE119" s="15"/>
      <c r="AF119" s="16">
        <f t="shared" si="114"/>
        <v>0</v>
      </c>
      <c r="AG119" s="14">
        <v>6</v>
      </c>
      <c r="AH119" s="15">
        <v>5000</v>
      </c>
      <c r="AI119" s="16">
        <v>30000</v>
      </c>
      <c r="AJ119" s="14"/>
      <c r="AK119" s="15"/>
      <c r="AL119" s="16">
        <f t="shared" si="115"/>
        <v>0</v>
      </c>
      <c r="AM119" s="14"/>
      <c r="AN119" s="15"/>
      <c r="AO119" s="16">
        <f t="shared" si="116"/>
        <v>0</v>
      </c>
      <c r="AP119" s="14"/>
      <c r="AQ119" s="15"/>
      <c r="AR119" s="16">
        <f t="shared" si="117"/>
        <v>0</v>
      </c>
      <c r="AS119" s="14"/>
      <c r="AT119" s="15"/>
      <c r="AU119" s="16">
        <f t="shared" si="145"/>
        <v>0</v>
      </c>
      <c r="AV119" s="14"/>
      <c r="AW119" s="15"/>
      <c r="AX119" s="16">
        <f t="shared" si="118"/>
        <v>0</v>
      </c>
      <c r="AY119" s="14"/>
      <c r="AZ119" s="15"/>
      <c r="BA119" s="16">
        <f t="shared" si="119"/>
        <v>0</v>
      </c>
      <c r="BB119" s="14"/>
      <c r="BC119" s="15"/>
      <c r="BD119" s="16">
        <f t="shared" si="120"/>
        <v>0</v>
      </c>
      <c r="BE119" s="14">
        <v>10</v>
      </c>
      <c r="BF119" s="15">
        <v>5000</v>
      </c>
      <c r="BG119" s="16">
        <v>50000</v>
      </c>
      <c r="BH119" s="14"/>
      <c r="BI119" s="15"/>
      <c r="BJ119" s="16">
        <f t="shared" si="121"/>
        <v>0</v>
      </c>
      <c r="BK119" s="14"/>
      <c r="BL119" s="15"/>
      <c r="BM119" s="16">
        <f t="shared" si="143"/>
        <v>0</v>
      </c>
      <c r="BN119" s="14"/>
      <c r="BO119" s="15"/>
      <c r="BP119" s="16">
        <f t="shared" si="135"/>
        <v>0</v>
      </c>
      <c r="BQ119" s="14"/>
      <c r="BR119" s="15"/>
      <c r="BS119" s="16">
        <f>IFERROR(BQ119*BR119, 0)</f>
        <v>0</v>
      </c>
      <c r="BT119" s="14"/>
      <c r="BU119" s="15"/>
      <c r="BV119" s="16">
        <f t="shared" si="122"/>
        <v>0</v>
      </c>
      <c r="BW119" s="14"/>
      <c r="BX119" s="15"/>
      <c r="BY119" s="16">
        <f t="shared" si="146"/>
        <v>0</v>
      </c>
      <c r="BZ119" s="14"/>
      <c r="CA119" s="15"/>
      <c r="CB119" s="16">
        <f t="shared" si="123"/>
        <v>0</v>
      </c>
      <c r="CC119" s="14"/>
      <c r="CD119" s="15"/>
      <c r="CE119" s="16">
        <f t="shared" si="124"/>
        <v>0</v>
      </c>
      <c r="CF119" s="14"/>
      <c r="CG119" s="15"/>
      <c r="CH119" s="16">
        <f t="shared" si="125"/>
        <v>0</v>
      </c>
      <c r="CI119" s="14"/>
      <c r="CJ119" s="15"/>
      <c r="CK119" s="16">
        <f t="shared" si="126"/>
        <v>0</v>
      </c>
      <c r="CL119" s="14"/>
      <c r="CM119" s="15"/>
      <c r="CN119" s="16">
        <f t="shared" si="127"/>
        <v>0</v>
      </c>
      <c r="CO119" s="14"/>
      <c r="CP119" s="15"/>
      <c r="CQ119" s="16">
        <f t="shared" si="128"/>
        <v>0</v>
      </c>
      <c r="CR119" s="14"/>
      <c r="CS119" s="15"/>
      <c r="CT119" s="16">
        <f t="shared" si="129"/>
        <v>0</v>
      </c>
      <c r="CU119" s="17">
        <f t="shared" si="130"/>
        <v>24</v>
      </c>
      <c r="CV119" s="16">
        <f t="shared" si="131"/>
        <v>5000</v>
      </c>
      <c r="CW119" s="16">
        <f t="shared" si="132"/>
        <v>120000</v>
      </c>
      <c r="CX119" s="82"/>
    </row>
    <row r="120" spans="1:102" ht="15.75" customHeight="1" x14ac:dyDescent="0.35">
      <c r="A120" s="21" t="s">
        <v>1021</v>
      </c>
      <c r="B120" s="21" t="s">
        <v>935</v>
      </c>
      <c r="C120" s="44"/>
      <c r="D120" s="22"/>
      <c r="E120" s="78">
        <f t="shared" si="111"/>
        <v>0</v>
      </c>
      <c r="F120" s="14"/>
      <c r="G120" s="15"/>
      <c r="H120" s="16">
        <f t="shared" si="133"/>
        <v>0</v>
      </c>
      <c r="I120" s="14"/>
      <c r="J120" s="15"/>
      <c r="K120" s="16">
        <f>IFERROR(I120*J120, 0)</f>
        <v>0</v>
      </c>
      <c r="L120" s="14"/>
      <c r="M120" s="15"/>
      <c r="N120" s="16">
        <f t="shared" si="139"/>
        <v>0</v>
      </c>
      <c r="O120" s="14"/>
      <c r="P120" s="15"/>
      <c r="Q120" s="16">
        <f t="shared" si="110"/>
        <v>0</v>
      </c>
      <c r="R120" s="14"/>
      <c r="S120" s="15"/>
      <c r="T120" s="16">
        <f t="shared" si="140"/>
        <v>0</v>
      </c>
      <c r="U120" s="14"/>
      <c r="V120" s="15"/>
      <c r="W120" s="16">
        <f t="shared" si="113"/>
        <v>0</v>
      </c>
      <c r="X120" s="14"/>
      <c r="Y120" s="15"/>
      <c r="Z120" s="16">
        <f>IFERROR(X120*Y120, 0)</f>
        <v>0</v>
      </c>
      <c r="AA120" s="14"/>
      <c r="AB120" s="15"/>
      <c r="AC120" s="16">
        <f t="shared" si="141"/>
        <v>0</v>
      </c>
      <c r="AD120" s="14"/>
      <c r="AE120" s="15"/>
      <c r="AF120" s="16">
        <f t="shared" si="114"/>
        <v>0</v>
      </c>
      <c r="AG120" s="14"/>
      <c r="AH120" s="15"/>
      <c r="AI120" s="16">
        <f>IFERROR(AG120*AH120, 0)</f>
        <v>0</v>
      </c>
      <c r="AJ120" s="14"/>
      <c r="AK120" s="15"/>
      <c r="AL120" s="16">
        <f t="shared" si="115"/>
        <v>0</v>
      </c>
      <c r="AM120" s="14"/>
      <c r="AN120" s="15"/>
      <c r="AO120" s="16">
        <f t="shared" si="116"/>
        <v>0</v>
      </c>
      <c r="AP120" s="14"/>
      <c r="AQ120" s="15"/>
      <c r="AR120" s="16">
        <f t="shared" si="117"/>
        <v>0</v>
      </c>
      <c r="AS120" s="14"/>
      <c r="AT120" s="15"/>
      <c r="AU120" s="16">
        <f t="shared" si="145"/>
        <v>0</v>
      </c>
      <c r="AV120" s="14"/>
      <c r="AW120" s="15"/>
      <c r="AX120" s="16">
        <f t="shared" si="118"/>
        <v>0</v>
      </c>
      <c r="AY120" s="14"/>
      <c r="AZ120" s="15"/>
      <c r="BA120" s="16">
        <f t="shared" si="119"/>
        <v>0</v>
      </c>
      <c r="BB120" s="14"/>
      <c r="BC120" s="15"/>
      <c r="BD120" s="16">
        <f t="shared" si="120"/>
        <v>0</v>
      </c>
      <c r="BE120" s="14"/>
      <c r="BF120" s="15"/>
      <c r="BG120" s="16">
        <f>IFERROR(BE120*BF120, 0)</f>
        <v>0</v>
      </c>
      <c r="BH120" s="14"/>
      <c r="BI120" s="15"/>
      <c r="BJ120" s="16">
        <f t="shared" si="121"/>
        <v>0</v>
      </c>
      <c r="BK120" s="14"/>
      <c r="BL120" s="15"/>
      <c r="BM120" s="16">
        <f t="shared" si="143"/>
        <v>0</v>
      </c>
      <c r="BN120" s="14"/>
      <c r="BO120" s="15"/>
      <c r="BP120" s="16">
        <f t="shared" si="135"/>
        <v>0</v>
      </c>
      <c r="BQ120" s="14"/>
      <c r="BR120" s="15"/>
      <c r="BS120" s="16">
        <f>IFERROR(BQ120*BR120, 0)</f>
        <v>0</v>
      </c>
      <c r="BT120" s="14"/>
      <c r="BU120" s="15"/>
      <c r="BV120" s="16">
        <f t="shared" si="122"/>
        <v>0</v>
      </c>
      <c r="BW120" s="14"/>
      <c r="BX120" s="15"/>
      <c r="BY120" s="16">
        <f t="shared" si="146"/>
        <v>0</v>
      </c>
      <c r="BZ120" s="14"/>
      <c r="CA120" s="15"/>
      <c r="CB120" s="16">
        <f t="shared" si="123"/>
        <v>0</v>
      </c>
      <c r="CC120" s="14"/>
      <c r="CD120" s="15"/>
      <c r="CE120" s="16">
        <f t="shared" si="124"/>
        <v>0</v>
      </c>
      <c r="CF120" s="14"/>
      <c r="CG120" s="15"/>
      <c r="CH120" s="16">
        <f t="shared" si="125"/>
        <v>0</v>
      </c>
      <c r="CI120" s="14"/>
      <c r="CJ120" s="15"/>
      <c r="CK120" s="16">
        <f t="shared" si="126"/>
        <v>0</v>
      </c>
      <c r="CL120" s="14"/>
      <c r="CM120" s="15"/>
      <c r="CN120" s="16">
        <f t="shared" si="127"/>
        <v>0</v>
      </c>
      <c r="CO120" s="14"/>
      <c r="CP120" s="15"/>
      <c r="CQ120" s="16">
        <f t="shared" si="128"/>
        <v>0</v>
      </c>
      <c r="CR120" s="14"/>
      <c r="CS120" s="15"/>
      <c r="CT120" s="16">
        <f t="shared" si="129"/>
        <v>0</v>
      </c>
      <c r="CU120" s="17">
        <f t="shared" si="130"/>
        <v>0</v>
      </c>
      <c r="CV120" s="16">
        <f t="shared" si="131"/>
        <v>0</v>
      </c>
      <c r="CW120" s="16">
        <f t="shared" si="132"/>
        <v>0</v>
      </c>
      <c r="CX120" s="82"/>
    </row>
    <row r="121" spans="1:102" ht="15.75" customHeight="1" x14ac:dyDescent="0.35">
      <c r="A121" s="21" t="s">
        <v>665</v>
      </c>
      <c r="B121" s="21" t="s">
        <v>935</v>
      </c>
      <c r="C121" s="44"/>
      <c r="D121" s="22"/>
      <c r="E121" s="78">
        <f t="shared" si="111"/>
        <v>0</v>
      </c>
      <c r="F121" s="14"/>
      <c r="G121" s="15"/>
      <c r="H121" s="16">
        <f t="shared" si="133"/>
        <v>0</v>
      </c>
      <c r="I121" s="14"/>
      <c r="J121" s="15"/>
      <c r="K121" s="16">
        <f>IFERROR(I121*J121, 0)</f>
        <v>0</v>
      </c>
      <c r="L121" s="14"/>
      <c r="M121" s="15"/>
      <c r="N121" s="16">
        <f t="shared" si="139"/>
        <v>0</v>
      </c>
      <c r="O121" s="14"/>
      <c r="P121" s="15"/>
      <c r="Q121" s="16">
        <f t="shared" si="110"/>
        <v>0</v>
      </c>
      <c r="R121" s="14"/>
      <c r="S121" s="15"/>
      <c r="T121" s="16">
        <f t="shared" si="140"/>
        <v>0</v>
      </c>
      <c r="U121" s="14"/>
      <c r="V121" s="15"/>
      <c r="W121" s="16">
        <f t="shared" si="113"/>
        <v>0</v>
      </c>
      <c r="X121" s="14"/>
      <c r="Y121" s="15"/>
      <c r="Z121" s="16">
        <f>IFERROR(X121*Y121, 0)</f>
        <v>0</v>
      </c>
      <c r="AA121" s="14"/>
      <c r="AB121" s="15"/>
      <c r="AC121" s="16">
        <f t="shared" si="141"/>
        <v>0</v>
      </c>
      <c r="AD121" s="14"/>
      <c r="AE121" s="15"/>
      <c r="AF121" s="16">
        <f t="shared" si="114"/>
        <v>0</v>
      </c>
      <c r="AG121" s="14"/>
      <c r="AH121" s="15"/>
      <c r="AI121" s="16">
        <f>IFERROR(AG121*AH121, 0)</f>
        <v>0</v>
      </c>
      <c r="AJ121" s="14"/>
      <c r="AK121" s="15"/>
      <c r="AL121" s="16">
        <f t="shared" si="115"/>
        <v>0</v>
      </c>
      <c r="AM121" s="14"/>
      <c r="AN121" s="15"/>
      <c r="AO121" s="16">
        <f t="shared" si="116"/>
        <v>0</v>
      </c>
      <c r="AP121" s="14"/>
      <c r="AQ121" s="15"/>
      <c r="AR121" s="16">
        <f t="shared" si="117"/>
        <v>0</v>
      </c>
      <c r="AS121" s="14"/>
      <c r="AT121" s="15"/>
      <c r="AU121" s="16">
        <f t="shared" si="145"/>
        <v>0</v>
      </c>
      <c r="AV121" s="14"/>
      <c r="AW121" s="15"/>
      <c r="AX121" s="16">
        <f t="shared" si="118"/>
        <v>0</v>
      </c>
      <c r="AY121" s="14"/>
      <c r="AZ121" s="15"/>
      <c r="BA121" s="16">
        <f t="shared" si="119"/>
        <v>0</v>
      </c>
      <c r="BB121" s="14"/>
      <c r="BC121" s="15"/>
      <c r="BD121" s="16">
        <f t="shared" si="120"/>
        <v>0</v>
      </c>
      <c r="BE121" s="14"/>
      <c r="BF121" s="15"/>
      <c r="BG121" s="16">
        <f>IFERROR(BE121*BF121, 0)</f>
        <v>0</v>
      </c>
      <c r="BH121" s="14"/>
      <c r="BI121" s="15"/>
      <c r="BJ121" s="16">
        <f t="shared" si="121"/>
        <v>0</v>
      </c>
      <c r="BK121" s="14"/>
      <c r="BL121" s="15"/>
      <c r="BM121" s="16">
        <f t="shared" si="143"/>
        <v>0</v>
      </c>
      <c r="BN121" s="14"/>
      <c r="BO121" s="15"/>
      <c r="BP121" s="16">
        <f t="shared" si="135"/>
        <v>0</v>
      </c>
      <c r="BQ121" s="14">
        <v>1</v>
      </c>
      <c r="BR121" s="15">
        <v>8200</v>
      </c>
      <c r="BS121" s="16">
        <v>8200</v>
      </c>
      <c r="BT121" s="14"/>
      <c r="BU121" s="15"/>
      <c r="BV121" s="16">
        <f t="shared" si="122"/>
        <v>0</v>
      </c>
      <c r="BW121" s="14"/>
      <c r="BX121" s="15"/>
      <c r="BY121" s="16">
        <f t="shared" si="146"/>
        <v>0</v>
      </c>
      <c r="BZ121" s="14"/>
      <c r="CA121" s="15"/>
      <c r="CB121" s="16">
        <f t="shared" si="123"/>
        <v>0</v>
      </c>
      <c r="CC121" s="14"/>
      <c r="CD121" s="15"/>
      <c r="CE121" s="16">
        <f t="shared" si="124"/>
        <v>0</v>
      </c>
      <c r="CF121" s="14"/>
      <c r="CG121" s="15"/>
      <c r="CH121" s="16">
        <f t="shared" si="125"/>
        <v>0</v>
      </c>
      <c r="CI121" s="14"/>
      <c r="CJ121" s="15"/>
      <c r="CK121" s="16">
        <f t="shared" si="126"/>
        <v>0</v>
      </c>
      <c r="CL121" s="14"/>
      <c r="CM121" s="15"/>
      <c r="CN121" s="16">
        <f t="shared" si="127"/>
        <v>0</v>
      </c>
      <c r="CO121" s="14"/>
      <c r="CP121" s="15"/>
      <c r="CQ121" s="16">
        <f t="shared" si="128"/>
        <v>0</v>
      </c>
      <c r="CR121" s="14"/>
      <c r="CS121" s="15"/>
      <c r="CT121" s="16">
        <f t="shared" si="129"/>
        <v>0</v>
      </c>
      <c r="CU121" s="17">
        <f t="shared" si="130"/>
        <v>1</v>
      </c>
      <c r="CV121" s="16">
        <f t="shared" si="131"/>
        <v>8200</v>
      </c>
      <c r="CW121" s="16">
        <f t="shared" si="132"/>
        <v>8200</v>
      </c>
      <c r="CX121" s="82"/>
    </row>
    <row r="122" spans="1:102" ht="15.75" customHeight="1" x14ac:dyDescent="0.35">
      <c r="A122" s="21" t="s">
        <v>1022</v>
      </c>
      <c r="B122" s="21" t="s">
        <v>935</v>
      </c>
      <c r="C122" s="44"/>
      <c r="D122" s="22"/>
      <c r="E122" s="78">
        <f t="shared" si="111"/>
        <v>0</v>
      </c>
      <c r="F122" s="14"/>
      <c r="G122" s="15"/>
      <c r="H122" s="16">
        <f t="shared" si="133"/>
        <v>0</v>
      </c>
      <c r="I122" s="14"/>
      <c r="J122" s="15"/>
      <c r="K122" s="16">
        <f>IFERROR(I122*J122, 0)</f>
        <v>0</v>
      </c>
      <c r="L122" s="14"/>
      <c r="M122" s="15"/>
      <c r="N122" s="16">
        <f t="shared" si="139"/>
        <v>0</v>
      </c>
      <c r="O122" s="14"/>
      <c r="P122" s="15"/>
      <c r="Q122" s="16">
        <f t="shared" si="110"/>
        <v>0</v>
      </c>
      <c r="R122" s="14"/>
      <c r="S122" s="15"/>
      <c r="T122" s="16">
        <f t="shared" si="140"/>
        <v>0</v>
      </c>
      <c r="U122" s="14"/>
      <c r="V122" s="15"/>
      <c r="W122" s="16">
        <f t="shared" si="113"/>
        <v>0</v>
      </c>
      <c r="X122" s="14"/>
      <c r="Y122" s="15"/>
      <c r="Z122" s="16">
        <f>IFERROR(X122*Y122, 0)</f>
        <v>0</v>
      </c>
      <c r="AA122" s="14"/>
      <c r="AB122" s="15"/>
      <c r="AC122" s="16">
        <f t="shared" si="141"/>
        <v>0</v>
      </c>
      <c r="AD122" s="14"/>
      <c r="AE122" s="15"/>
      <c r="AF122" s="16">
        <f t="shared" si="114"/>
        <v>0</v>
      </c>
      <c r="AG122" s="14"/>
      <c r="AH122" s="15"/>
      <c r="AI122" s="16">
        <f>IFERROR(AG122*AH122, 0)</f>
        <v>0</v>
      </c>
      <c r="AJ122" s="14"/>
      <c r="AK122" s="15"/>
      <c r="AL122" s="16">
        <f t="shared" si="115"/>
        <v>0</v>
      </c>
      <c r="AM122" s="14"/>
      <c r="AN122" s="15"/>
      <c r="AO122" s="16">
        <f t="shared" si="116"/>
        <v>0</v>
      </c>
      <c r="AP122" s="14"/>
      <c r="AQ122" s="15"/>
      <c r="AR122" s="16">
        <f t="shared" si="117"/>
        <v>0</v>
      </c>
      <c r="AS122" s="14"/>
      <c r="AT122" s="15"/>
      <c r="AU122" s="16">
        <f t="shared" si="145"/>
        <v>0</v>
      </c>
      <c r="AV122" s="14"/>
      <c r="AW122" s="15"/>
      <c r="AX122" s="16">
        <f t="shared" si="118"/>
        <v>0</v>
      </c>
      <c r="AY122" s="14"/>
      <c r="AZ122" s="15"/>
      <c r="BA122" s="16">
        <f t="shared" si="119"/>
        <v>0</v>
      </c>
      <c r="BB122" s="14"/>
      <c r="BC122" s="15"/>
      <c r="BD122" s="16">
        <f t="shared" si="120"/>
        <v>0</v>
      </c>
      <c r="BE122" s="14"/>
      <c r="BF122" s="15"/>
      <c r="BG122" s="16">
        <f>IFERROR(BE122*BF122, 0)</f>
        <v>0</v>
      </c>
      <c r="BH122" s="14"/>
      <c r="BI122" s="15"/>
      <c r="BJ122" s="16">
        <f t="shared" si="121"/>
        <v>0</v>
      </c>
      <c r="BK122" s="14"/>
      <c r="BL122" s="15"/>
      <c r="BM122" s="16">
        <f t="shared" si="143"/>
        <v>0</v>
      </c>
      <c r="BN122" s="14"/>
      <c r="BO122" s="15"/>
      <c r="BP122" s="16">
        <f t="shared" si="135"/>
        <v>0</v>
      </c>
      <c r="BQ122" s="14"/>
      <c r="BR122" s="15"/>
      <c r="BS122" s="16">
        <f>IFERROR(BQ122*BR122, 0)</f>
        <v>0</v>
      </c>
      <c r="BT122" s="14"/>
      <c r="BU122" s="15"/>
      <c r="BV122" s="16">
        <f t="shared" si="122"/>
        <v>0</v>
      </c>
      <c r="BW122" s="14"/>
      <c r="BX122" s="15"/>
      <c r="BY122" s="16">
        <f t="shared" si="146"/>
        <v>0</v>
      </c>
      <c r="BZ122" s="14"/>
      <c r="CA122" s="15"/>
      <c r="CB122" s="16">
        <f t="shared" si="123"/>
        <v>0</v>
      </c>
      <c r="CC122" s="14"/>
      <c r="CD122" s="15"/>
      <c r="CE122" s="16">
        <f t="shared" si="124"/>
        <v>0</v>
      </c>
      <c r="CF122" s="14"/>
      <c r="CG122" s="15"/>
      <c r="CH122" s="16">
        <f t="shared" si="125"/>
        <v>0</v>
      </c>
      <c r="CI122" s="14"/>
      <c r="CJ122" s="15"/>
      <c r="CK122" s="16">
        <f t="shared" si="126"/>
        <v>0</v>
      </c>
      <c r="CL122" s="14"/>
      <c r="CM122" s="15"/>
      <c r="CN122" s="16">
        <f t="shared" si="127"/>
        <v>0</v>
      </c>
      <c r="CO122" s="14"/>
      <c r="CP122" s="15"/>
      <c r="CQ122" s="16">
        <f t="shared" si="128"/>
        <v>0</v>
      </c>
      <c r="CR122" s="14"/>
      <c r="CS122" s="15"/>
      <c r="CT122" s="16">
        <f t="shared" si="129"/>
        <v>0</v>
      </c>
      <c r="CU122" s="17">
        <f t="shared" si="130"/>
        <v>0</v>
      </c>
      <c r="CV122" s="16">
        <f t="shared" si="131"/>
        <v>0</v>
      </c>
      <c r="CW122" s="16">
        <f t="shared" si="132"/>
        <v>0</v>
      </c>
      <c r="CX122" s="82"/>
    </row>
    <row r="123" spans="1:102" ht="15.75" customHeight="1" x14ac:dyDescent="0.35">
      <c r="A123" s="21" t="s">
        <v>1023</v>
      </c>
      <c r="B123" s="21" t="s">
        <v>935</v>
      </c>
      <c r="C123" s="44"/>
      <c r="D123" s="22"/>
      <c r="E123" s="78">
        <f t="shared" si="111"/>
        <v>0</v>
      </c>
      <c r="F123" s="14"/>
      <c r="G123" s="15"/>
      <c r="H123" s="16">
        <f t="shared" si="133"/>
        <v>0</v>
      </c>
      <c r="I123" s="14"/>
      <c r="J123" s="15"/>
      <c r="K123" s="16">
        <f>IFERROR(I123*J123, 0)</f>
        <v>0</v>
      </c>
      <c r="L123" s="14"/>
      <c r="M123" s="15"/>
      <c r="N123" s="16">
        <f t="shared" si="139"/>
        <v>0</v>
      </c>
      <c r="O123" s="14"/>
      <c r="P123" s="15"/>
      <c r="Q123" s="16">
        <f t="shared" si="110"/>
        <v>0</v>
      </c>
      <c r="R123" s="14"/>
      <c r="S123" s="15"/>
      <c r="T123" s="16">
        <f t="shared" si="140"/>
        <v>0</v>
      </c>
      <c r="U123" s="14"/>
      <c r="V123" s="15"/>
      <c r="W123" s="16">
        <f t="shared" si="113"/>
        <v>0</v>
      </c>
      <c r="X123" s="14"/>
      <c r="Y123" s="15"/>
      <c r="Z123" s="16">
        <f>IFERROR(X123*Y123, 0)</f>
        <v>0</v>
      </c>
      <c r="AA123" s="14"/>
      <c r="AB123" s="15"/>
      <c r="AC123" s="16">
        <f t="shared" si="141"/>
        <v>0</v>
      </c>
      <c r="AD123" s="14"/>
      <c r="AE123" s="15"/>
      <c r="AF123" s="16">
        <f t="shared" si="114"/>
        <v>0</v>
      </c>
      <c r="AG123" s="14"/>
      <c r="AH123" s="15"/>
      <c r="AI123" s="16">
        <f>IFERROR(AG123*AH123, 0)</f>
        <v>0</v>
      </c>
      <c r="AJ123" s="14"/>
      <c r="AK123" s="15"/>
      <c r="AL123" s="16">
        <f t="shared" si="115"/>
        <v>0</v>
      </c>
      <c r="AM123" s="14"/>
      <c r="AN123" s="15"/>
      <c r="AO123" s="16">
        <f t="shared" si="116"/>
        <v>0</v>
      </c>
      <c r="AP123" s="14"/>
      <c r="AQ123" s="15"/>
      <c r="AR123" s="16">
        <f t="shared" si="117"/>
        <v>0</v>
      </c>
      <c r="AS123" s="14"/>
      <c r="AT123" s="15"/>
      <c r="AU123" s="16">
        <f t="shared" si="145"/>
        <v>0</v>
      </c>
      <c r="AV123" s="14"/>
      <c r="AW123" s="15"/>
      <c r="AX123" s="16">
        <f t="shared" si="118"/>
        <v>0</v>
      </c>
      <c r="AY123" s="14"/>
      <c r="AZ123" s="15"/>
      <c r="BA123" s="16">
        <f t="shared" si="119"/>
        <v>0</v>
      </c>
      <c r="BB123" s="14"/>
      <c r="BC123" s="15"/>
      <c r="BD123" s="16">
        <f t="shared" si="120"/>
        <v>0</v>
      </c>
      <c r="BE123" s="14"/>
      <c r="BF123" s="15"/>
      <c r="BG123" s="16">
        <f>IFERROR(BE123*BF123, 0)</f>
        <v>0</v>
      </c>
      <c r="BH123" s="14"/>
      <c r="BI123" s="15"/>
      <c r="BJ123" s="16">
        <f t="shared" si="121"/>
        <v>0</v>
      </c>
      <c r="BK123" s="14"/>
      <c r="BL123" s="15"/>
      <c r="BM123" s="16">
        <f t="shared" si="143"/>
        <v>0</v>
      </c>
      <c r="BN123" s="14"/>
      <c r="BO123" s="15"/>
      <c r="BP123" s="16">
        <f t="shared" si="135"/>
        <v>0</v>
      </c>
      <c r="BQ123" s="14"/>
      <c r="BR123" s="15"/>
      <c r="BS123" s="16">
        <f>IFERROR(BQ123*BR123, 0)</f>
        <v>0</v>
      </c>
      <c r="BT123" s="14"/>
      <c r="BU123" s="15"/>
      <c r="BV123" s="16">
        <f t="shared" si="122"/>
        <v>0</v>
      </c>
      <c r="BW123" s="14"/>
      <c r="BX123" s="15"/>
      <c r="BY123" s="16">
        <f t="shared" si="146"/>
        <v>0</v>
      </c>
      <c r="BZ123" s="14"/>
      <c r="CA123" s="15"/>
      <c r="CB123" s="16">
        <f t="shared" si="123"/>
        <v>0</v>
      </c>
      <c r="CC123" s="14"/>
      <c r="CD123" s="15"/>
      <c r="CE123" s="16">
        <f t="shared" si="124"/>
        <v>0</v>
      </c>
      <c r="CF123" s="14"/>
      <c r="CG123" s="15"/>
      <c r="CH123" s="16">
        <f t="shared" si="125"/>
        <v>0</v>
      </c>
      <c r="CI123" s="14"/>
      <c r="CJ123" s="15"/>
      <c r="CK123" s="16">
        <f t="shared" si="126"/>
        <v>0</v>
      </c>
      <c r="CL123" s="14"/>
      <c r="CM123" s="15"/>
      <c r="CN123" s="16">
        <f t="shared" si="127"/>
        <v>0</v>
      </c>
      <c r="CO123" s="14"/>
      <c r="CP123" s="15"/>
      <c r="CQ123" s="16">
        <f t="shared" si="128"/>
        <v>0</v>
      </c>
      <c r="CR123" s="14"/>
      <c r="CS123" s="15"/>
      <c r="CT123" s="16">
        <f t="shared" si="129"/>
        <v>0</v>
      </c>
      <c r="CU123" s="17">
        <f t="shared" si="130"/>
        <v>0</v>
      </c>
      <c r="CV123" s="16">
        <f t="shared" si="131"/>
        <v>0</v>
      </c>
      <c r="CW123" s="16">
        <f t="shared" si="132"/>
        <v>0</v>
      </c>
      <c r="CX123" s="82"/>
    </row>
    <row r="124" spans="1:102" ht="15.75" customHeight="1" x14ac:dyDescent="0.35">
      <c r="A124" s="41" t="s">
        <v>128</v>
      </c>
      <c r="B124" s="41" t="s">
        <v>977</v>
      </c>
      <c r="C124" s="19"/>
      <c r="D124" s="20"/>
      <c r="E124" s="78">
        <f t="shared" si="111"/>
        <v>0</v>
      </c>
      <c r="F124" s="14"/>
      <c r="G124" s="15"/>
      <c r="H124" s="16">
        <f t="shared" si="133"/>
        <v>0</v>
      </c>
      <c r="I124" s="14">
        <v>1</v>
      </c>
      <c r="J124" s="15">
        <v>7200</v>
      </c>
      <c r="K124" s="16">
        <v>7200</v>
      </c>
      <c r="L124" s="14"/>
      <c r="M124" s="15"/>
      <c r="N124" s="16">
        <f t="shared" si="139"/>
        <v>0</v>
      </c>
      <c r="O124" s="14"/>
      <c r="P124" s="15"/>
      <c r="Q124" s="16">
        <f t="shared" si="110"/>
        <v>0</v>
      </c>
      <c r="R124" s="14"/>
      <c r="S124" s="15"/>
      <c r="T124" s="16">
        <f t="shared" si="140"/>
        <v>0</v>
      </c>
      <c r="U124" s="14"/>
      <c r="V124" s="15"/>
      <c r="W124" s="16">
        <f t="shared" si="113"/>
        <v>0</v>
      </c>
      <c r="X124" s="14">
        <v>1</v>
      </c>
      <c r="Y124" s="15">
        <v>7200</v>
      </c>
      <c r="Z124" s="16">
        <v>7200</v>
      </c>
      <c r="AA124" s="14"/>
      <c r="AB124" s="15"/>
      <c r="AC124" s="16">
        <f t="shared" si="141"/>
        <v>0</v>
      </c>
      <c r="AD124" s="14"/>
      <c r="AE124" s="15"/>
      <c r="AF124" s="16">
        <f t="shared" si="114"/>
        <v>0</v>
      </c>
      <c r="AG124" s="14">
        <v>1</v>
      </c>
      <c r="AH124" s="15">
        <v>7200</v>
      </c>
      <c r="AI124" s="16">
        <v>7200</v>
      </c>
      <c r="AJ124" s="14"/>
      <c r="AK124" s="15"/>
      <c r="AL124" s="16">
        <f t="shared" si="115"/>
        <v>0</v>
      </c>
      <c r="AM124" s="14"/>
      <c r="AN124" s="15"/>
      <c r="AO124" s="16">
        <f t="shared" si="116"/>
        <v>0</v>
      </c>
      <c r="AP124" s="14"/>
      <c r="AQ124" s="15"/>
      <c r="AR124" s="16">
        <f t="shared" si="117"/>
        <v>0</v>
      </c>
      <c r="AS124" s="14"/>
      <c r="AT124" s="15"/>
      <c r="AU124" s="16">
        <f t="shared" si="145"/>
        <v>0</v>
      </c>
      <c r="AV124" s="14"/>
      <c r="AW124" s="15"/>
      <c r="AX124" s="16">
        <f t="shared" si="118"/>
        <v>0</v>
      </c>
      <c r="AY124" s="14"/>
      <c r="AZ124" s="15"/>
      <c r="BA124" s="16">
        <f t="shared" si="119"/>
        <v>0</v>
      </c>
      <c r="BB124" s="14"/>
      <c r="BC124" s="15"/>
      <c r="BD124" s="16">
        <f t="shared" si="120"/>
        <v>0</v>
      </c>
      <c r="BE124" s="14"/>
      <c r="BF124" s="15"/>
      <c r="BG124" s="16">
        <f>IFERROR(BE124*BF124, 0)</f>
        <v>0</v>
      </c>
      <c r="BH124" s="14"/>
      <c r="BI124" s="15"/>
      <c r="BJ124" s="16">
        <f t="shared" si="121"/>
        <v>0</v>
      </c>
      <c r="BK124" s="14"/>
      <c r="BL124" s="15"/>
      <c r="BM124" s="16">
        <f t="shared" si="143"/>
        <v>0</v>
      </c>
      <c r="BN124" s="14"/>
      <c r="BO124" s="15"/>
      <c r="BP124" s="16">
        <f t="shared" si="135"/>
        <v>0</v>
      </c>
      <c r="BQ124" s="14">
        <v>2</v>
      </c>
      <c r="BR124" s="15">
        <v>7200</v>
      </c>
      <c r="BS124" s="16">
        <v>14400</v>
      </c>
      <c r="BT124" s="14"/>
      <c r="BU124" s="15"/>
      <c r="BV124" s="16">
        <f t="shared" si="122"/>
        <v>0</v>
      </c>
      <c r="BW124" s="14"/>
      <c r="BX124" s="15"/>
      <c r="BY124" s="16">
        <f t="shared" si="146"/>
        <v>0</v>
      </c>
      <c r="BZ124" s="14"/>
      <c r="CA124" s="15"/>
      <c r="CB124" s="16">
        <f t="shared" si="123"/>
        <v>0</v>
      </c>
      <c r="CC124" s="14"/>
      <c r="CD124" s="15"/>
      <c r="CE124" s="16">
        <f t="shared" si="124"/>
        <v>0</v>
      </c>
      <c r="CF124" s="14"/>
      <c r="CG124" s="15"/>
      <c r="CH124" s="16">
        <f t="shared" si="125"/>
        <v>0</v>
      </c>
      <c r="CI124" s="14"/>
      <c r="CJ124" s="15"/>
      <c r="CK124" s="16">
        <f t="shared" si="126"/>
        <v>0</v>
      </c>
      <c r="CL124" s="14"/>
      <c r="CM124" s="15"/>
      <c r="CN124" s="16">
        <f t="shared" si="127"/>
        <v>0</v>
      </c>
      <c r="CO124" s="14"/>
      <c r="CP124" s="15"/>
      <c r="CQ124" s="16">
        <f t="shared" si="128"/>
        <v>0</v>
      </c>
      <c r="CR124" s="14"/>
      <c r="CS124" s="15"/>
      <c r="CT124" s="16">
        <f t="shared" si="129"/>
        <v>0</v>
      </c>
      <c r="CU124" s="17">
        <f t="shared" si="130"/>
        <v>5</v>
      </c>
      <c r="CV124" s="16">
        <f t="shared" si="131"/>
        <v>7200</v>
      </c>
      <c r="CW124" s="16">
        <f t="shared" si="132"/>
        <v>36000</v>
      </c>
      <c r="CX124" s="82"/>
    </row>
    <row r="125" spans="1:102" ht="15.75" customHeight="1" x14ac:dyDescent="0.35">
      <c r="A125" s="76" t="s">
        <v>16</v>
      </c>
      <c r="B125" s="21" t="s">
        <v>846</v>
      </c>
      <c r="C125" s="76"/>
      <c r="D125" s="76"/>
      <c r="E125" s="78">
        <f t="shared" si="111"/>
        <v>0</v>
      </c>
      <c r="F125" s="14">
        <v>2</v>
      </c>
      <c r="G125" s="15">
        <v>1800</v>
      </c>
      <c r="H125" s="16">
        <v>131800</v>
      </c>
      <c r="I125" s="14"/>
      <c r="J125" s="15"/>
      <c r="K125" s="16">
        <f>IFERROR(I125*J125, 0)</f>
        <v>0</v>
      </c>
      <c r="L125" s="14"/>
      <c r="M125" s="15"/>
      <c r="N125" s="16">
        <f t="shared" si="139"/>
        <v>0</v>
      </c>
      <c r="O125" s="14">
        <v>1</v>
      </c>
      <c r="P125" s="15">
        <v>75100</v>
      </c>
      <c r="Q125" s="16">
        <v>75100</v>
      </c>
      <c r="R125" s="14"/>
      <c r="S125" s="15"/>
      <c r="T125" s="16">
        <f t="shared" si="140"/>
        <v>0</v>
      </c>
      <c r="U125" s="14"/>
      <c r="V125" s="15"/>
      <c r="W125" s="16">
        <f t="shared" si="113"/>
        <v>0</v>
      </c>
      <c r="X125" s="14">
        <v>15</v>
      </c>
      <c r="Y125" s="15">
        <v>36900</v>
      </c>
      <c r="Z125" s="16">
        <v>582200</v>
      </c>
      <c r="AA125" s="14"/>
      <c r="AB125" s="15"/>
      <c r="AC125" s="16">
        <f t="shared" si="141"/>
        <v>0</v>
      </c>
      <c r="AD125" s="14"/>
      <c r="AE125" s="15"/>
      <c r="AF125" s="16">
        <f t="shared" si="114"/>
        <v>0</v>
      </c>
      <c r="AG125" s="14"/>
      <c r="AH125" s="15"/>
      <c r="AI125" s="16">
        <f t="shared" ref="AI125:AI151" si="147">IFERROR(AG125*AH125, 0)</f>
        <v>0</v>
      </c>
      <c r="AJ125" s="14"/>
      <c r="AK125" s="15"/>
      <c r="AL125" s="16">
        <f t="shared" si="115"/>
        <v>0</v>
      </c>
      <c r="AM125" s="14"/>
      <c r="AN125" s="15"/>
      <c r="AO125" s="16">
        <f t="shared" si="116"/>
        <v>0</v>
      </c>
      <c r="AP125" s="14"/>
      <c r="AQ125" s="15"/>
      <c r="AR125" s="16">
        <f t="shared" si="117"/>
        <v>0</v>
      </c>
      <c r="AS125" s="14">
        <v>1</v>
      </c>
      <c r="AT125" s="15">
        <v>32000</v>
      </c>
      <c r="AU125" s="16">
        <v>32000</v>
      </c>
      <c r="AV125" s="14"/>
      <c r="AW125" s="15"/>
      <c r="AX125" s="16">
        <f t="shared" si="118"/>
        <v>0</v>
      </c>
      <c r="AY125" s="14"/>
      <c r="AZ125" s="15"/>
      <c r="BA125" s="16">
        <f t="shared" si="119"/>
        <v>0</v>
      </c>
      <c r="BB125" s="14"/>
      <c r="BC125" s="15"/>
      <c r="BD125" s="16">
        <f t="shared" si="120"/>
        <v>0</v>
      </c>
      <c r="BE125" s="14">
        <v>2</v>
      </c>
      <c r="BF125" s="15">
        <v>5300</v>
      </c>
      <c r="BG125" s="16">
        <v>10600</v>
      </c>
      <c r="BH125" s="14">
        <v>1</v>
      </c>
      <c r="BI125" s="15">
        <v>9000</v>
      </c>
      <c r="BJ125" s="16">
        <v>9000</v>
      </c>
      <c r="BK125" s="14"/>
      <c r="BL125" s="15"/>
      <c r="BM125" s="16">
        <f t="shared" si="143"/>
        <v>0</v>
      </c>
      <c r="BN125" s="14"/>
      <c r="BO125" s="15"/>
      <c r="BP125" s="16">
        <f t="shared" si="135"/>
        <v>0</v>
      </c>
      <c r="BQ125" s="14"/>
      <c r="BR125" s="15"/>
      <c r="BS125" s="16">
        <f t="shared" ref="BS125:BS151" si="148">IFERROR(BQ125*BR125, 0)</f>
        <v>0</v>
      </c>
      <c r="BT125" s="14"/>
      <c r="BU125" s="15"/>
      <c r="BV125" s="16">
        <f t="shared" si="122"/>
        <v>0</v>
      </c>
      <c r="BW125" s="14">
        <v>1</v>
      </c>
      <c r="BX125" s="15">
        <v>8400</v>
      </c>
      <c r="BY125" s="16">
        <v>8400</v>
      </c>
      <c r="BZ125" s="14"/>
      <c r="CA125" s="15"/>
      <c r="CB125" s="16">
        <f t="shared" si="123"/>
        <v>0</v>
      </c>
      <c r="CC125" s="14"/>
      <c r="CD125" s="15"/>
      <c r="CE125" s="16">
        <f t="shared" si="124"/>
        <v>0</v>
      </c>
      <c r="CF125" s="14"/>
      <c r="CG125" s="15"/>
      <c r="CH125" s="16">
        <f t="shared" si="125"/>
        <v>0</v>
      </c>
      <c r="CI125" s="14"/>
      <c r="CJ125" s="15"/>
      <c r="CK125" s="16">
        <f t="shared" si="126"/>
        <v>0</v>
      </c>
      <c r="CL125" s="14"/>
      <c r="CM125" s="15"/>
      <c r="CN125" s="16">
        <f t="shared" si="127"/>
        <v>0</v>
      </c>
      <c r="CO125" s="14"/>
      <c r="CP125" s="15"/>
      <c r="CQ125" s="16">
        <f t="shared" si="128"/>
        <v>0</v>
      </c>
      <c r="CR125" s="14"/>
      <c r="CS125" s="15"/>
      <c r="CT125" s="16">
        <f t="shared" si="129"/>
        <v>0</v>
      </c>
      <c r="CU125" s="17">
        <f t="shared" si="130"/>
        <v>23</v>
      </c>
      <c r="CV125" s="16">
        <f t="shared" si="131"/>
        <v>24071.428571428572</v>
      </c>
      <c r="CW125" s="16">
        <f t="shared" si="132"/>
        <v>553642.85714285716</v>
      </c>
    </row>
    <row r="126" spans="1:102" ht="15.75" customHeight="1" x14ac:dyDescent="0.35">
      <c r="A126" s="76" t="s">
        <v>1024</v>
      </c>
      <c r="B126" s="21" t="s">
        <v>846</v>
      </c>
      <c r="C126" s="76"/>
      <c r="D126" s="76"/>
      <c r="E126" s="78">
        <f t="shared" si="111"/>
        <v>0</v>
      </c>
      <c r="F126" s="14"/>
      <c r="G126" s="15"/>
      <c r="H126" s="16">
        <f>IFERROR(F126*G126, 0)</f>
        <v>0</v>
      </c>
      <c r="I126" s="14"/>
      <c r="J126" s="15"/>
      <c r="K126" s="16">
        <f>IFERROR(I126*J126, 0)</f>
        <v>0</v>
      </c>
      <c r="L126" s="14"/>
      <c r="M126" s="15"/>
      <c r="N126" s="16">
        <f t="shared" si="139"/>
        <v>0</v>
      </c>
      <c r="O126" s="14"/>
      <c r="P126" s="15"/>
      <c r="Q126" s="16">
        <f t="shared" ref="Q126:Q151" si="149">IFERROR(O126*P126, 0)</f>
        <v>0</v>
      </c>
      <c r="R126" s="14"/>
      <c r="S126" s="15"/>
      <c r="T126" s="16">
        <f t="shared" si="140"/>
        <v>0</v>
      </c>
      <c r="U126" s="14"/>
      <c r="V126" s="15"/>
      <c r="W126" s="16">
        <f t="shared" si="113"/>
        <v>0</v>
      </c>
      <c r="X126" s="14"/>
      <c r="Y126" s="15"/>
      <c r="Z126" s="16">
        <f>IFERROR(X126*Y126, 0)</f>
        <v>0</v>
      </c>
      <c r="AA126" s="14"/>
      <c r="AB126" s="15"/>
      <c r="AC126" s="16">
        <f t="shared" si="141"/>
        <v>0</v>
      </c>
      <c r="AD126" s="14"/>
      <c r="AE126" s="15"/>
      <c r="AF126" s="16">
        <f t="shared" si="114"/>
        <v>0</v>
      </c>
      <c r="AG126" s="14"/>
      <c r="AH126" s="15"/>
      <c r="AI126" s="16">
        <f t="shared" si="147"/>
        <v>0</v>
      </c>
      <c r="AJ126" s="14"/>
      <c r="AK126" s="15"/>
      <c r="AL126" s="16">
        <f t="shared" si="115"/>
        <v>0</v>
      </c>
      <c r="AM126" s="14"/>
      <c r="AN126" s="15"/>
      <c r="AO126" s="16">
        <f t="shared" si="116"/>
        <v>0</v>
      </c>
      <c r="AP126" s="14"/>
      <c r="AQ126" s="15"/>
      <c r="AR126" s="16">
        <f t="shared" si="117"/>
        <v>0</v>
      </c>
      <c r="AS126" s="14"/>
      <c r="AT126" s="15"/>
      <c r="AU126" s="16">
        <f>IFERROR(AS126*AT126, 0)</f>
        <v>0</v>
      </c>
      <c r="AV126" s="14"/>
      <c r="AW126" s="15"/>
      <c r="AX126" s="16">
        <f t="shared" si="118"/>
        <v>0</v>
      </c>
      <c r="AY126" s="14"/>
      <c r="AZ126" s="15"/>
      <c r="BA126" s="16">
        <f t="shared" si="119"/>
        <v>0</v>
      </c>
      <c r="BB126" s="14"/>
      <c r="BC126" s="15"/>
      <c r="BD126" s="16">
        <f t="shared" si="120"/>
        <v>0</v>
      </c>
      <c r="BE126" s="14"/>
      <c r="BF126" s="15"/>
      <c r="BG126" s="16">
        <f>IFERROR(BE126*BF126, 0)</f>
        <v>0</v>
      </c>
      <c r="BH126" s="14"/>
      <c r="BI126" s="15"/>
      <c r="BJ126" s="16">
        <f>IFERROR(BH126*BI126, 0)</f>
        <v>0</v>
      </c>
      <c r="BK126" s="14"/>
      <c r="BL126" s="15"/>
      <c r="BM126" s="16">
        <f t="shared" si="143"/>
        <v>0</v>
      </c>
      <c r="BN126" s="14"/>
      <c r="BO126" s="15"/>
      <c r="BP126" s="16">
        <f t="shared" si="135"/>
        <v>0</v>
      </c>
      <c r="BQ126" s="14"/>
      <c r="BR126" s="15"/>
      <c r="BS126" s="16">
        <f t="shared" si="148"/>
        <v>0</v>
      </c>
      <c r="BT126" s="14"/>
      <c r="BU126" s="15"/>
      <c r="BV126" s="16">
        <f t="shared" si="122"/>
        <v>0</v>
      </c>
      <c r="BW126" s="14"/>
      <c r="BX126" s="15"/>
      <c r="BY126" s="16">
        <f>IFERROR(BW126*BX126, 0)</f>
        <v>0</v>
      </c>
      <c r="BZ126" s="14"/>
      <c r="CA126" s="15"/>
      <c r="CB126" s="16">
        <f t="shared" si="123"/>
        <v>0</v>
      </c>
      <c r="CC126" s="14"/>
      <c r="CD126" s="15"/>
      <c r="CE126" s="16">
        <f t="shared" si="124"/>
        <v>0</v>
      </c>
      <c r="CF126" s="14"/>
      <c r="CG126" s="15"/>
      <c r="CH126" s="16">
        <f t="shared" si="125"/>
        <v>0</v>
      </c>
      <c r="CI126" s="14"/>
      <c r="CJ126" s="15"/>
      <c r="CK126" s="16">
        <f t="shared" si="126"/>
        <v>0</v>
      </c>
      <c r="CL126" s="14"/>
      <c r="CM126" s="15"/>
      <c r="CN126" s="16">
        <f t="shared" si="127"/>
        <v>0</v>
      </c>
      <c r="CO126" s="14"/>
      <c r="CP126" s="15"/>
      <c r="CQ126" s="16">
        <f t="shared" si="128"/>
        <v>0</v>
      </c>
      <c r="CR126" s="14"/>
      <c r="CS126" s="15"/>
      <c r="CT126" s="16">
        <f t="shared" si="129"/>
        <v>0</v>
      </c>
      <c r="CU126" s="17">
        <f t="shared" si="130"/>
        <v>0</v>
      </c>
      <c r="CV126" s="16">
        <f t="shared" si="131"/>
        <v>0</v>
      </c>
      <c r="CW126" s="16">
        <f t="shared" si="132"/>
        <v>0</v>
      </c>
    </row>
    <row r="127" spans="1:102" ht="15.75" customHeight="1" x14ac:dyDescent="0.35">
      <c r="A127" s="76" t="s">
        <v>358</v>
      </c>
      <c r="B127" s="21" t="s">
        <v>846</v>
      </c>
      <c r="C127" s="76"/>
      <c r="D127" s="76"/>
      <c r="E127" s="78">
        <f t="shared" si="111"/>
        <v>0</v>
      </c>
      <c r="F127" s="14"/>
      <c r="G127" s="15"/>
      <c r="H127" s="16">
        <f>IFERROR(F127*G127, 0)</f>
        <v>0</v>
      </c>
      <c r="I127" s="14"/>
      <c r="J127" s="15"/>
      <c r="K127" s="16">
        <f>IFERROR(I127*J127, 0)</f>
        <v>0</v>
      </c>
      <c r="L127" s="14"/>
      <c r="M127" s="15"/>
      <c r="N127" s="16">
        <f t="shared" si="139"/>
        <v>0</v>
      </c>
      <c r="O127" s="14"/>
      <c r="P127" s="15"/>
      <c r="Q127" s="16">
        <f t="shared" si="149"/>
        <v>0</v>
      </c>
      <c r="R127" s="14"/>
      <c r="S127" s="15"/>
      <c r="T127" s="16">
        <f t="shared" si="140"/>
        <v>0</v>
      </c>
      <c r="U127" s="14"/>
      <c r="V127" s="15"/>
      <c r="W127" s="16">
        <f t="shared" si="113"/>
        <v>0</v>
      </c>
      <c r="X127" s="14"/>
      <c r="Y127" s="15"/>
      <c r="Z127" s="16">
        <f>IFERROR(X127*Y127, 0)</f>
        <v>0</v>
      </c>
      <c r="AA127" s="14">
        <v>72</v>
      </c>
      <c r="AB127" s="15">
        <v>7500</v>
      </c>
      <c r="AC127" s="16">
        <v>540000</v>
      </c>
      <c r="AD127" s="14"/>
      <c r="AE127" s="15"/>
      <c r="AF127" s="16">
        <f t="shared" si="114"/>
        <v>0</v>
      </c>
      <c r="AG127" s="14"/>
      <c r="AH127" s="15"/>
      <c r="AI127" s="16">
        <f t="shared" si="147"/>
        <v>0</v>
      </c>
      <c r="AJ127" s="14"/>
      <c r="AK127" s="15"/>
      <c r="AL127" s="16">
        <f t="shared" si="115"/>
        <v>0</v>
      </c>
      <c r="AM127" s="14"/>
      <c r="AN127" s="15"/>
      <c r="AO127" s="16">
        <f t="shared" si="116"/>
        <v>0</v>
      </c>
      <c r="AP127" s="14"/>
      <c r="AQ127" s="15"/>
      <c r="AR127" s="16">
        <f t="shared" si="117"/>
        <v>0</v>
      </c>
      <c r="AS127" s="14"/>
      <c r="AT127" s="15"/>
      <c r="AU127" s="16">
        <f>IFERROR(AS127*AT127, 0)</f>
        <v>0</v>
      </c>
      <c r="AV127" s="14"/>
      <c r="AW127" s="15"/>
      <c r="AX127" s="16">
        <f t="shared" si="118"/>
        <v>0</v>
      </c>
      <c r="AY127" s="14"/>
      <c r="AZ127" s="15"/>
      <c r="BA127" s="16">
        <f t="shared" si="119"/>
        <v>0</v>
      </c>
      <c r="BB127" s="14"/>
      <c r="BC127" s="15"/>
      <c r="BD127" s="16">
        <f t="shared" si="120"/>
        <v>0</v>
      </c>
      <c r="BE127" s="14"/>
      <c r="BF127" s="15"/>
      <c r="BG127" s="16">
        <f>IFERROR(BE127*BF127, 0)</f>
        <v>0</v>
      </c>
      <c r="BH127" s="14"/>
      <c r="BI127" s="15"/>
      <c r="BJ127" s="16">
        <f>IFERROR(BH127*BI127, 0)</f>
        <v>0</v>
      </c>
      <c r="BK127" s="14"/>
      <c r="BL127" s="15"/>
      <c r="BM127" s="16">
        <f t="shared" si="143"/>
        <v>0</v>
      </c>
      <c r="BN127" s="14"/>
      <c r="BO127" s="15"/>
      <c r="BP127" s="16">
        <f t="shared" si="135"/>
        <v>0</v>
      </c>
      <c r="BQ127" s="14"/>
      <c r="BR127" s="15"/>
      <c r="BS127" s="16">
        <f t="shared" si="148"/>
        <v>0</v>
      </c>
      <c r="BT127" s="14"/>
      <c r="BU127" s="15"/>
      <c r="BV127" s="16">
        <f t="shared" si="122"/>
        <v>0</v>
      </c>
      <c r="BW127" s="14"/>
      <c r="BX127" s="15"/>
      <c r="BY127" s="16">
        <f>IFERROR(BW127*BX127, 0)</f>
        <v>0</v>
      </c>
      <c r="BZ127" s="14"/>
      <c r="CA127" s="15"/>
      <c r="CB127" s="16">
        <f t="shared" si="123"/>
        <v>0</v>
      </c>
      <c r="CC127" s="14"/>
      <c r="CD127" s="15"/>
      <c r="CE127" s="16">
        <f t="shared" si="124"/>
        <v>0</v>
      </c>
      <c r="CF127" s="14"/>
      <c r="CG127" s="15"/>
      <c r="CH127" s="16">
        <f t="shared" si="125"/>
        <v>0</v>
      </c>
      <c r="CI127" s="14"/>
      <c r="CJ127" s="15"/>
      <c r="CK127" s="16">
        <f t="shared" si="126"/>
        <v>0</v>
      </c>
      <c r="CL127" s="14"/>
      <c r="CM127" s="15"/>
      <c r="CN127" s="16">
        <f t="shared" si="127"/>
        <v>0</v>
      </c>
      <c r="CO127" s="14"/>
      <c r="CP127" s="15"/>
      <c r="CQ127" s="16">
        <f t="shared" si="128"/>
        <v>0</v>
      </c>
      <c r="CR127" s="14"/>
      <c r="CS127" s="15"/>
      <c r="CT127" s="16">
        <f t="shared" si="129"/>
        <v>0</v>
      </c>
      <c r="CU127" s="17">
        <f t="shared" si="130"/>
        <v>72</v>
      </c>
      <c r="CV127" s="16">
        <f t="shared" si="131"/>
        <v>7500</v>
      </c>
      <c r="CW127" s="16">
        <f t="shared" si="132"/>
        <v>540000</v>
      </c>
    </row>
    <row r="128" spans="1:102" ht="15.75" customHeight="1" x14ac:dyDescent="0.35">
      <c r="A128" s="21" t="s">
        <v>82</v>
      </c>
      <c r="B128" s="21" t="s">
        <v>846</v>
      </c>
      <c r="C128" s="21"/>
      <c r="D128" s="21"/>
      <c r="E128" s="78">
        <f t="shared" si="111"/>
        <v>0</v>
      </c>
      <c r="F128" s="14"/>
      <c r="G128" s="15"/>
      <c r="H128" s="16">
        <f>IFERROR(F128*G128, 0)</f>
        <v>0</v>
      </c>
      <c r="I128" s="14">
        <v>1</v>
      </c>
      <c r="J128" s="15">
        <v>10500</v>
      </c>
      <c r="K128" s="16">
        <v>10500</v>
      </c>
      <c r="L128" s="14"/>
      <c r="M128" s="15"/>
      <c r="N128" s="16">
        <f t="shared" si="139"/>
        <v>0</v>
      </c>
      <c r="O128" s="14"/>
      <c r="P128" s="15"/>
      <c r="Q128" s="16">
        <f t="shared" si="149"/>
        <v>0</v>
      </c>
      <c r="R128" s="14"/>
      <c r="S128" s="15"/>
      <c r="T128" s="16">
        <f t="shared" si="140"/>
        <v>0</v>
      </c>
      <c r="U128" s="14"/>
      <c r="V128" s="15"/>
      <c r="W128" s="16">
        <f t="shared" si="113"/>
        <v>0</v>
      </c>
      <c r="X128" s="14"/>
      <c r="Y128" s="15"/>
      <c r="Z128" s="16">
        <f>IFERROR(X128*Y128, 0)</f>
        <v>0</v>
      </c>
      <c r="AA128" s="14"/>
      <c r="AB128" s="15"/>
      <c r="AC128" s="16">
        <f>IFERROR(AA128*AB128, 0)</f>
        <v>0</v>
      </c>
      <c r="AD128" s="14"/>
      <c r="AE128" s="15"/>
      <c r="AF128" s="16">
        <f t="shared" si="114"/>
        <v>0</v>
      </c>
      <c r="AG128" s="14"/>
      <c r="AH128" s="15"/>
      <c r="AI128" s="16">
        <f t="shared" si="147"/>
        <v>0</v>
      </c>
      <c r="AJ128" s="14"/>
      <c r="AK128" s="15"/>
      <c r="AL128" s="16">
        <f t="shared" si="115"/>
        <v>0</v>
      </c>
      <c r="AM128" s="14"/>
      <c r="AN128" s="15"/>
      <c r="AO128" s="16">
        <f t="shared" si="116"/>
        <v>0</v>
      </c>
      <c r="AP128" s="14"/>
      <c r="AQ128" s="15"/>
      <c r="AR128" s="16">
        <f t="shared" si="117"/>
        <v>0</v>
      </c>
      <c r="AS128" s="14">
        <v>2</v>
      </c>
      <c r="AT128" s="15">
        <v>4700</v>
      </c>
      <c r="AU128" s="16">
        <v>9400</v>
      </c>
      <c r="AV128" s="14"/>
      <c r="AW128" s="15"/>
      <c r="AX128" s="16">
        <f t="shared" si="118"/>
        <v>0</v>
      </c>
      <c r="AY128" s="14"/>
      <c r="AZ128" s="15"/>
      <c r="BA128" s="16">
        <f t="shared" si="119"/>
        <v>0</v>
      </c>
      <c r="BB128" s="14"/>
      <c r="BC128" s="15"/>
      <c r="BD128" s="16">
        <f t="shared" si="120"/>
        <v>0</v>
      </c>
      <c r="BE128" s="14"/>
      <c r="BF128" s="15"/>
      <c r="BG128" s="16">
        <f>IFERROR(BE128*BF128, 0)</f>
        <v>0</v>
      </c>
      <c r="BH128" s="14"/>
      <c r="BI128" s="15"/>
      <c r="BJ128" s="16">
        <f>IFERROR(BH128*BI128, 0)</f>
        <v>0</v>
      </c>
      <c r="BK128" s="14"/>
      <c r="BL128" s="15"/>
      <c r="BM128" s="16">
        <f t="shared" si="143"/>
        <v>0</v>
      </c>
      <c r="BN128" s="14">
        <v>3</v>
      </c>
      <c r="BO128" s="15">
        <v>3000</v>
      </c>
      <c r="BP128" s="16">
        <v>9000</v>
      </c>
      <c r="BQ128" s="14"/>
      <c r="BR128" s="15"/>
      <c r="BS128" s="16">
        <f t="shared" si="148"/>
        <v>0</v>
      </c>
      <c r="BT128" s="14"/>
      <c r="BU128" s="15"/>
      <c r="BV128" s="16">
        <f t="shared" si="122"/>
        <v>0</v>
      </c>
      <c r="BW128" s="14"/>
      <c r="BX128" s="15"/>
      <c r="BY128" s="16">
        <f>IFERROR(BW128*BX128, 0)</f>
        <v>0</v>
      </c>
      <c r="BZ128" s="14"/>
      <c r="CA128" s="15"/>
      <c r="CB128" s="16">
        <f t="shared" si="123"/>
        <v>0</v>
      </c>
      <c r="CC128" s="14"/>
      <c r="CD128" s="15"/>
      <c r="CE128" s="16">
        <f t="shared" si="124"/>
        <v>0</v>
      </c>
      <c r="CF128" s="14"/>
      <c r="CG128" s="15"/>
      <c r="CH128" s="16">
        <f t="shared" si="125"/>
        <v>0</v>
      </c>
      <c r="CI128" s="14"/>
      <c r="CJ128" s="15"/>
      <c r="CK128" s="16">
        <f t="shared" si="126"/>
        <v>0</v>
      </c>
      <c r="CL128" s="14"/>
      <c r="CM128" s="15"/>
      <c r="CN128" s="16">
        <f t="shared" si="127"/>
        <v>0</v>
      </c>
      <c r="CO128" s="14"/>
      <c r="CP128" s="15"/>
      <c r="CQ128" s="16">
        <f t="shared" si="128"/>
        <v>0</v>
      </c>
      <c r="CR128" s="14"/>
      <c r="CS128" s="15"/>
      <c r="CT128" s="16">
        <f t="shared" si="129"/>
        <v>0</v>
      </c>
      <c r="CU128" s="17">
        <f t="shared" si="130"/>
        <v>6</v>
      </c>
      <c r="CV128" s="16">
        <f t="shared" si="131"/>
        <v>6066.666666666667</v>
      </c>
      <c r="CW128" s="16">
        <f t="shared" si="132"/>
        <v>36400</v>
      </c>
      <c r="CX128" s="82"/>
    </row>
    <row r="129" spans="1:102" ht="15.75" customHeight="1" x14ac:dyDescent="0.35">
      <c r="A129" s="21" t="s">
        <v>24</v>
      </c>
      <c r="B129" s="21" t="s">
        <v>846</v>
      </c>
      <c r="C129" s="21"/>
      <c r="D129" s="21"/>
      <c r="E129" s="78">
        <f t="shared" si="111"/>
        <v>0</v>
      </c>
      <c r="F129" s="14">
        <v>1</v>
      </c>
      <c r="G129" s="15">
        <v>19300</v>
      </c>
      <c r="H129" s="16">
        <v>19300</v>
      </c>
      <c r="I129" s="14"/>
      <c r="J129" s="15"/>
      <c r="K129" s="16">
        <f>IFERROR(I129*J129, 0)</f>
        <v>0</v>
      </c>
      <c r="L129" s="14"/>
      <c r="M129" s="15"/>
      <c r="N129" s="16">
        <f t="shared" si="139"/>
        <v>0</v>
      </c>
      <c r="O129" s="14"/>
      <c r="P129" s="15"/>
      <c r="Q129" s="16">
        <f t="shared" si="149"/>
        <v>0</v>
      </c>
      <c r="R129" s="14"/>
      <c r="S129" s="15"/>
      <c r="T129" s="16">
        <f t="shared" si="140"/>
        <v>0</v>
      </c>
      <c r="U129" s="14"/>
      <c r="V129" s="15"/>
      <c r="W129" s="16">
        <f t="shared" si="113"/>
        <v>0</v>
      </c>
      <c r="X129" s="14">
        <v>3</v>
      </c>
      <c r="Y129" s="15">
        <v>19900</v>
      </c>
      <c r="Z129" s="16">
        <v>305300</v>
      </c>
      <c r="AA129" s="14"/>
      <c r="AB129" s="15"/>
      <c r="AC129" s="16">
        <f>IFERROR(AA129*AB129, 0)</f>
        <v>0</v>
      </c>
      <c r="AD129" s="14"/>
      <c r="AE129" s="15"/>
      <c r="AF129" s="16">
        <f t="shared" si="114"/>
        <v>0</v>
      </c>
      <c r="AG129" s="14"/>
      <c r="AH129" s="15"/>
      <c r="AI129" s="16">
        <f t="shared" si="147"/>
        <v>0</v>
      </c>
      <c r="AJ129" s="14"/>
      <c r="AK129" s="15"/>
      <c r="AL129" s="16">
        <f t="shared" si="115"/>
        <v>0</v>
      </c>
      <c r="AM129" s="14"/>
      <c r="AN129" s="15"/>
      <c r="AO129" s="16">
        <f t="shared" si="116"/>
        <v>0</v>
      </c>
      <c r="AP129" s="14"/>
      <c r="AQ129" s="15"/>
      <c r="AR129" s="16">
        <f t="shared" si="117"/>
        <v>0</v>
      </c>
      <c r="AS129" s="14">
        <v>1</v>
      </c>
      <c r="AT129" s="15">
        <v>21200</v>
      </c>
      <c r="AU129" s="16">
        <v>21200</v>
      </c>
      <c r="AV129" s="14"/>
      <c r="AW129" s="15"/>
      <c r="AX129" s="16">
        <f t="shared" si="118"/>
        <v>0</v>
      </c>
      <c r="AY129" s="14"/>
      <c r="AZ129" s="15"/>
      <c r="BA129" s="16">
        <f t="shared" si="119"/>
        <v>0</v>
      </c>
      <c r="BB129" s="14"/>
      <c r="BC129" s="15"/>
      <c r="BD129" s="16">
        <f t="shared" si="120"/>
        <v>0</v>
      </c>
      <c r="BE129" s="14"/>
      <c r="BF129" s="15"/>
      <c r="BG129" s="16">
        <f>IFERROR(BE129*BF129, 0)</f>
        <v>0</v>
      </c>
      <c r="BH129" s="14"/>
      <c r="BI129" s="15"/>
      <c r="BJ129" s="16">
        <f>IFERROR(BH129*BI129, 0)</f>
        <v>0</v>
      </c>
      <c r="BK129" s="14"/>
      <c r="BL129" s="15"/>
      <c r="BM129" s="16">
        <f t="shared" si="143"/>
        <v>0</v>
      </c>
      <c r="BN129" s="14"/>
      <c r="BO129" s="15"/>
      <c r="BP129" s="16">
        <f t="shared" ref="BP129:BP151" si="150">IFERROR(BN129*BO129, 0)</f>
        <v>0</v>
      </c>
      <c r="BQ129" s="14"/>
      <c r="BR129" s="15"/>
      <c r="BS129" s="16">
        <f t="shared" si="148"/>
        <v>0</v>
      </c>
      <c r="BT129" s="14"/>
      <c r="BU129" s="15"/>
      <c r="BV129" s="16">
        <f t="shared" si="122"/>
        <v>0</v>
      </c>
      <c r="BW129" s="14"/>
      <c r="BX129" s="15"/>
      <c r="BY129" s="16">
        <f>IFERROR(BW129*BX129, 0)</f>
        <v>0</v>
      </c>
      <c r="BZ129" s="14"/>
      <c r="CA129" s="15"/>
      <c r="CB129" s="16">
        <f t="shared" si="123"/>
        <v>0</v>
      </c>
      <c r="CC129" s="14"/>
      <c r="CD129" s="15"/>
      <c r="CE129" s="16">
        <f t="shared" si="124"/>
        <v>0</v>
      </c>
      <c r="CF129" s="14"/>
      <c r="CG129" s="15"/>
      <c r="CH129" s="16">
        <f t="shared" si="125"/>
        <v>0</v>
      </c>
      <c r="CI129" s="14"/>
      <c r="CJ129" s="15"/>
      <c r="CK129" s="16">
        <f t="shared" si="126"/>
        <v>0</v>
      </c>
      <c r="CL129" s="14"/>
      <c r="CM129" s="15"/>
      <c r="CN129" s="16">
        <f t="shared" si="127"/>
        <v>0</v>
      </c>
      <c r="CO129" s="14"/>
      <c r="CP129" s="15"/>
      <c r="CQ129" s="16">
        <f t="shared" si="128"/>
        <v>0</v>
      </c>
      <c r="CR129" s="14"/>
      <c r="CS129" s="15"/>
      <c r="CT129" s="16">
        <f t="shared" si="129"/>
        <v>0</v>
      </c>
      <c r="CU129" s="17">
        <f t="shared" si="130"/>
        <v>5</v>
      </c>
      <c r="CV129" s="16">
        <f t="shared" si="131"/>
        <v>20133.333333333332</v>
      </c>
      <c r="CW129" s="16">
        <f t="shared" si="132"/>
        <v>100666.66666666666</v>
      </c>
      <c r="CX129" s="82"/>
    </row>
    <row r="130" spans="1:102" ht="15.75" customHeight="1" x14ac:dyDescent="0.35">
      <c r="A130" s="41" t="s">
        <v>34</v>
      </c>
      <c r="B130" s="41" t="s">
        <v>846</v>
      </c>
      <c r="C130" s="42"/>
      <c r="D130" s="43"/>
      <c r="E130" s="78">
        <f t="shared" si="111"/>
        <v>0</v>
      </c>
      <c r="F130" s="14">
        <v>1</v>
      </c>
      <c r="G130" s="15">
        <v>25000</v>
      </c>
      <c r="H130" s="16">
        <v>25000</v>
      </c>
      <c r="I130" s="14"/>
      <c r="J130" s="15"/>
      <c r="K130" s="16">
        <f>IFERROR(I130*J130, 0)</f>
        <v>0</v>
      </c>
      <c r="L130" s="14">
        <v>1</v>
      </c>
      <c r="M130" s="15">
        <v>25000</v>
      </c>
      <c r="N130" s="16">
        <v>25000</v>
      </c>
      <c r="O130" s="14"/>
      <c r="P130" s="15"/>
      <c r="Q130" s="16">
        <f t="shared" si="149"/>
        <v>0</v>
      </c>
      <c r="R130" s="14">
        <v>1</v>
      </c>
      <c r="S130" s="15">
        <v>20000</v>
      </c>
      <c r="T130" s="16">
        <v>20000</v>
      </c>
      <c r="U130" s="14"/>
      <c r="V130" s="15"/>
      <c r="W130" s="16">
        <f t="shared" si="113"/>
        <v>0</v>
      </c>
      <c r="X130" s="14"/>
      <c r="Y130" s="15"/>
      <c r="Z130" s="16">
        <f t="shared" ref="Z130:Z151" si="151">IFERROR(X130*Y130, 0)</f>
        <v>0</v>
      </c>
      <c r="AA130" s="14">
        <v>1</v>
      </c>
      <c r="AB130" s="15">
        <v>25000</v>
      </c>
      <c r="AC130" s="16">
        <v>25000</v>
      </c>
      <c r="AD130" s="14"/>
      <c r="AE130" s="15"/>
      <c r="AF130" s="16">
        <f t="shared" si="114"/>
        <v>0</v>
      </c>
      <c r="AG130" s="14"/>
      <c r="AH130" s="15"/>
      <c r="AI130" s="16">
        <f t="shared" si="147"/>
        <v>0</v>
      </c>
      <c r="AJ130" s="14">
        <v>1</v>
      </c>
      <c r="AK130" s="15">
        <v>25000</v>
      </c>
      <c r="AL130" s="16">
        <v>25000</v>
      </c>
      <c r="AM130" s="14"/>
      <c r="AN130" s="15"/>
      <c r="AO130" s="16">
        <f t="shared" si="116"/>
        <v>0</v>
      </c>
      <c r="AP130" s="14">
        <v>1</v>
      </c>
      <c r="AQ130" s="15">
        <v>25000</v>
      </c>
      <c r="AR130" s="16">
        <v>25000</v>
      </c>
      <c r="AS130" s="14"/>
      <c r="AT130" s="15"/>
      <c r="AU130" s="16">
        <f t="shared" ref="AU130:AU151" si="152">IFERROR(AS130*AT130, 0)</f>
        <v>0</v>
      </c>
      <c r="AV130" s="14"/>
      <c r="AW130" s="15"/>
      <c r="AX130" s="16">
        <f t="shared" si="118"/>
        <v>0</v>
      </c>
      <c r="AY130" s="14"/>
      <c r="AZ130" s="15"/>
      <c r="BA130" s="16">
        <f t="shared" si="119"/>
        <v>0</v>
      </c>
      <c r="BB130" s="14">
        <v>1</v>
      </c>
      <c r="BC130" s="15">
        <v>70000</v>
      </c>
      <c r="BD130" s="16">
        <v>70000</v>
      </c>
      <c r="BE130" s="14">
        <v>1</v>
      </c>
      <c r="BF130" s="15">
        <v>25000</v>
      </c>
      <c r="BG130" s="16">
        <v>25000</v>
      </c>
      <c r="BH130" s="14">
        <v>1</v>
      </c>
      <c r="BI130" s="15">
        <v>25000</v>
      </c>
      <c r="BJ130" s="16">
        <v>25000</v>
      </c>
      <c r="BK130" s="14"/>
      <c r="BL130" s="15"/>
      <c r="BM130" s="16">
        <f t="shared" si="143"/>
        <v>0</v>
      </c>
      <c r="BN130" s="14"/>
      <c r="BO130" s="15"/>
      <c r="BP130" s="16">
        <f t="shared" si="150"/>
        <v>0</v>
      </c>
      <c r="BQ130" s="14"/>
      <c r="BR130" s="15"/>
      <c r="BS130" s="16">
        <f t="shared" si="148"/>
        <v>0</v>
      </c>
      <c r="BT130" s="14"/>
      <c r="BU130" s="15"/>
      <c r="BV130" s="16">
        <f t="shared" si="122"/>
        <v>0</v>
      </c>
      <c r="BW130" s="14">
        <v>1</v>
      </c>
      <c r="BX130" s="15">
        <v>20000</v>
      </c>
      <c r="BY130" s="16">
        <v>20000</v>
      </c>
      <c r="BZ130" s="14"/>
      <c r="CA130" s="15"/>
      <c r="CB130" s="16">
        <f t="shared" si="123"/>
        <v>0</v>
      </c>
      <c r="CC130" s="14"/>
      <c r="CD130" s="15"/>
      <c r="CE130" s="16">
        <f t="shared" si="124"/>
        <v>0</v>
      </c>
      <c r="CF130" s="14"/>
      <c r="CG130" s="15"/>
      <c r="CH130" s="16">
        <f t="shared" si="125"/>
        <v>0</v>
      </c>
      <c r="CI130" s="14"/>
      <c r="CJ130" s="15"/>
      <c r="CK130" s="16">
        <f t="shared" si="126"/>
        <v>0</v>
      </c>
      <c r="CL130" s="14"/>
      <c r="CM130" s="15"/>
      <c r="CN130" s="16">
        <f t="shared" si="127"/>
        <v>0</v>
      </c>
      <c r="CO130" s="14"/>
      <c r="CP130" s="15"/>
      <c r="CQ130" s="16">
        <f t="shared" si="128"/>
        <v>0</v>
      </c>
      <c r="CR130" s="14"/>
      <c r="CS130" s="15"/>
      <c r="CT130" s="16">
        <f t="shared" si="129"/>
        <v>0</v>
      </c>
      <c r="CU130" s="17">
        <f t="shared" si="130"/>
        <v>10</v>
      </c>
      <c r="CV130" s="16">
        <f t="shared" si="131"/>
        <v>28500</v>
      </c>
      <c r="CW130" s="16">
        <f t="shared" si="132"/>
        <v>285000</v>
      </c>
    </row>
    <row r="131" spans="1:102" ht="15.75" customHeight="1" x14ac:dyDescent="0.35">
      <c r="A131" s="41" t="s">
        <v>371</v>
      </c>
      <c r="B131" s="41" t="s">
        <v>846</v>
      </c>
      <c r="C131" s="42"/>
      <c r="D131" s="43"/>
      <c r="E131" s="78">
        <f t="shared" ref="E131:E151" si="153">IFERROR(+C131*D131, 0)</f>
        <v>0</v>
      </c>
      <c r="F131" s="14"/>
      <c r="G131" s="15"/>
      <c r="H131" s="16">
        <f t="shared" ref="H131:H151" si="154">IFERROR(F131*G131, 0)</f>
        <v>0</v>
      </c>
      <c r="I131" s="14"/>
      <c r="J131" s="15"/>
      <c r="K131" s="16">
        <f>IFERROR(I131*J131, 0)</f>
        <v>0</v>
      </c>
      <c r="L131" s="14"/>
      <c r="M131" s="15"/>
      <c r="N131" s="16">
        <f t="shared" ref="N131:N151" si="155">IFERROR(L131*M131, 0)</f>
        <v>0</v>
      </c>
      <c r="O131" s="14"/>
      <c r="P131" s="15"/>
      <c r="Q131" s="16">
        <f t="shared" si="149"/>
        <v>0</v>
      </c>
      <c r="R131" s="14"/>
      <c r="S131" s="15"/>
      <c r="T131" s="16">
        <f t="shared" ref="T131:T151" si="156">IFERROR(R131*S131, 0)</f>
        <v>0</v>
      </c>
      <c r="U131" s="14"/>
      <c r="V131" s="15"/>
      <c r="W131" s="16">
        <f t="shared" ref="W131:W151" si="157">IFERROR(U131*V131, 0)</f>
        <v>0</v>
      </c>
      <c r="X131" s="14"/>
      <c r="Y131" s="15"/>
      <c r="Z131" s="16">
        <f t="shared" si="151"/>
        <v>0</v>
      </c>
      <c r="AA131" s="14"/>
      <c r="AB131" s="15"/>
      <c r="AC131" s="16">
        <f t="shared" ref="AC131:AC151" si="158">IFERROR(AA131*AB131, 0)</f>
        <v>0</v>
      </c>
      <c r="AD131" s="14"/>
      <c r="AE131" s="15"/>
      <c r="AF131" s="16">
        <f t="shared" ref="AF131:AF136" si="159">IFERROR(AD131*AE131, 0)</f>
        <v>0</v>
      </c>
      <c r="AG131" s="14"/>
      <c r="AH131" s="15"/>
      <c r="AI131" s="16">
        <f t="shared" si="147"/>
        <v>0</v>
      </c>
      <c r="AJ131" s="14"/>
      <c r="AK131" s="15"/>
      <c r="AL131" s="16">
        <f t="shared" ref="AL131:AL151" si="160">IFERROR(AJ131*AK131, 0)</f>
        <v>0</v>
      </c>
      <c r="AM131" s="14"/>
      <c r="AN131" s="15"/>
      <c r="AO131" s="16">
        <f t="shared" ref="AO131:AO151" si="161">IFERROR(AM131*AN131, 0)</f>
        <v>0</v>
      </c>
      <c r="AP131" s="14"/>
      <c r="AQ131" s="15"/>
      <c r="AR131" s="16">
        <f t="shared" ref="AR131:AR151" si="162">IFERROR(AP131*AQ131, 0)</f>
        <v>0</v>
      </c>
      <c r="AS131" s="14"/>
      <c r="AT131" s="15"/>
      <c r="AU131" s="16">
        <f t="shared" si="152"/>
        <v>0</v>
      </c>
      <c r="AV131" s="14"/>
      <c r="AW131" s="15"/>
      <c r="AX131" s="16">
        <f t="shared" ref="AX131:AX151" si="163">IFERROR(AV131*AW131, 0)</f>
        <v>0</v>
      </c>
      <c r="AY131" s="14"/>
      <c r="AZ131" s="15"/>
      <c r="BA131" s="16">
        <f t="shared" ref="BA131:BA151" si="164">IFERROR(AY131*AZ131, 0)</f>
        <v>0</v>
      </c>
      <c r="BB131" s="14"/>
      <c r="BC131" s="15"/>
      <c r="BD131" s="16">
        <f t="shared" ref="BD131:BD151" si="165">IFERROR(BB131*BC131, 0)</f>
        <v>0</v>
      </c>
      <c r="BE131" s="14"/>
      <c r="BF131" s="15"/>
      <c r="BG131" s="16">
        <f t="shared" ref="BG131:BG151" si="166">IFERROR(BE131*BF131, 0)</f>
        <v>0</v>
      </c>
      <c r="BH131" s="14"/>
      <c r="BI131" s="15"/>
      <c r="BJ131" s="16">
        <f t="shared" ref="BJ131:BJ151" si="167">IFERROR(BH131*BI131, 0)</f>
        <v>0</v>
      </c>
      <c r="BK131" s="14"/>
      <c r="BL131" s="15"/>
      <c r="BM131" s="16">
        <f t="shared" si="143"/>
        <v>0</v>
      </c>
      <c r="BN131" s="14"/>
      <c r="BO131" s="15"/>
      <c r="BP131" s="16">
        <f t="shared" si="150"/>
        <v>0</v>
      </c>
      <c r="BQ131" s="14"/>
      <c r="BR131" s="15"/>
      <c r="BS131" s="16">
        <f t="shared" si="148"/>
        <v>0</v>
      </c>
      <c r="BT131" s="14"/>
      <c r="BU131" s="15"/>
      <c r="BV131" s="16">
        <f t="shared" ref="BV131:BV151" si="168">IFERROR(BT131*BU131, 0)</f>
        <v>0</v>
      </c>
      <c r="BW131" s="14"/>
      <c r="BX131" s="15"/>
      <c r="BY131" s="16">
        <f>IFERROR(BW131*BX131, 0)</f>
        <v>0</v>
      </c>
      <c r="BZ131" s="14"/>
      <c r="CA131" s="15"/>
      <c r="CB131" s="16">
        <f t="shared" ref="CB131:CB151" si="169">IFERROR(BZ131*CA131, 0)</f>
        <v>0</v>
      </c>
      <c r="CC131" s="14"/>
      <c r="CD131" s="15"/>
      <c r="CE131" s="16">
        <f t="shared" ref="CE131:CE151" si="170">IFERROR(CC131*CD131, 0)</f>
        <v>0</v>
      </c>
      <c r="CF131" s="14"/>
      <c r="CG131" s="15"/>
      <c r="CH131" s="16">
        <f t="shared" ref="CH131:CH151" si="171">IFERROR(CF131*CG131, 0)</f>
        <v>0</v>
      </c>
      <c r="CI131" s="14"/>
      <c r="CJ131" s="15"/>
      <c r="CK131" s="16">
        <f t="shared" ref="CK131:CK151" si="172">IFERROR(CI131*CJ131, 0)</f>
        <v>0</v>
      </c>
      <c r="CL131" s="14"/>
      <c r="CM131" s="15"/>
      <c r="CN131" s="16">
        <f t="shared" ref="CN131:CN151" si="173">IFERROR(CL131*CM131, 0)</f>
        <v>0</v>
      </c>
      <c r="CO131" s="14"/>
      <c r="CP131" s="15"/>
      <c r="CQ131" s="16">
        <f t="shared" ref="CQ131:CQ151" si="174">IFERROR(CO131*CP131, 0)</f>
        <v>0</v>
      </c>
      <c r="CR131" s="14"/>
      <c r="CS131" s="15"/>
      <c r="CT131" s="16">
        <f t="shared" ref="CT131:CT151" si="175">IFERROR(CR131*CS131, 0)</f>
        <v>0</v>
      </c>
      <c r="CU131" s="17">
        <f t="shared" ref="CU131:CU151" si="176">IFERROR(SUM(F131,I131,L131,O131,R131,U131,X131,AA131,AD131,AG131,AJ131,AM131,AP131,AS131,AV131,AY131,BB131,BE131,BH131,BK131,BN131,BQ131,BT131,BW131,BZ131,CC131,CF131,CI131,CL131,CO131,CR131), 0)</f>
        <v>0</v>
      </c>
      <c r="CV131" s="16">
        <f t="shared" ref="CV131:CV151" si="177">IFERROR(AVERAGE(G131,J131,M131,P131,S131,V131,Y131,AB131,AE131,AH131,AK131,AN131,AQ131,AT131,AW131,AZ131,BC131,BF131,BI131,BL131,BO131,BR131,BU131,BX131,CA131,CD131,CG131,CJ131,CM131,CP131,CS131), 0)</f>
        <v>0</v>
      </c>
      <c r="CW131" s="16">
        <f t="shared" ref="CW131:CW151" si="178">CU131*CV131</f>
        <v>0</v>
      </c>
    </row>
    <row r="132" spans="1:102" ht="15.75" customHeight="1" x14ac:dyDescent="0.35">
      <c r="A132" s="41" t="s">
        <v>1025</v>
      </c>
      <c r="B132" s="41" t="s">
        <v>846</v>
      </c>
      <c r="C132" s="42"/>
      <c r="D132" s="43"/>
      <c r="E132" s="78">
        <f t="shared" si="153"/>
        <v>0</v>
      </c>
      <c r="F132" s="14"/>
      <c r="G132" s="15"/>
      <c r="H132" s="16">
        <f t="shared" si="154"/>
        <v>0</v>
      </c>
      <c r="I132" s="14"/>
      <c r="J132" s="15"/>
      <c r="K132" s="16">
        <f>IFERROR(I132*J132, 0)</f>
        <v>0</v>
      </c>
      <c r="L132" s="14"/>
      <c r="M132" s="15"/>
      <c r="N132" s="16">
        <f t="shared" si="155"/>
        <v>0</v>
      </c>
      <c r="O132" s="14"/>
      <c r="P132" s="15"/>
      <c r="Q132" s="16">
        <f t="shared" si="149"/>
        <v>0</v>
      </c>
      <c r="R132" s="14"/>
      <c r="S132" s="15"/>
      <c r="T132" s="16">
        <f t="shared" si="156"/>
        <v>0</v>
      </c>
      <c r="U132" s="14"/>
      <c r="V132" s="15"/>
      <c r="W132" s="16">
        <f t="shared" si="157"/>
        <v>0</v>
      </c>
      <c r="X132" s="14"/>
      <c r="Y132" s="15"/>
      <c r="Z132" s="16">
        <f t="shared" si="151"/>
        <v>0</v>
      </c>
      <c r="AA132" s="14"/>
      <c r="AB132" s="15"/>
      <c r="AC132" s="16">
        <f t="shared" si="158"/>
        <v>0</v>
      </c>
      <c r="AD132" s="14"/>
      <c r="AE132" s="15"/>
      <c r="AF132" s="16">
        <f t="shared" si="159"/>
        <v>0</v>
      </c>
      <c r="AG132" s="14"/>
      <c r="AH132" s="15"/>
      <c r="AI132" s="16">
        <f t="shared" si="147"/>
        <v>0</v>
      </c>
      <c r="AJ132" s="14"/>
      <c r="AK132" s="15"/>
      <c r="AL132" s="16">
        <f t="shared" si="160"/>
        <v>0</v>
      </c>
      <c r="AM132" s="14"/>
      <c r="AN132" s="15"/>
      <c r="AO132" s="16">
        <f t="shared" si="161"/>
        <v>0</v>
      </c>
      <c r="AP132" s="14"/>
      <c r="AQ132" s="15"/>
      <c r="AR132" s="16">
        <f t="shared" si="162"/>
        <v>0</v>
      </c>
      <c r="AS132" s="14"/>
      <c r="AT132" s="15"/>
      <c r="AU132" s="16">
        <f t="shared" si="152"/>
        <v>0</v>
      </c>
      <c r="AV132" s="14"/>
      <c r="AW132" s="15"/>
      <c r="AX132" s="16">
        <f t="shared" si="163"/>
        <v>0</v>
      </c>
      <c r="AY132" s="14"/>
      <c r="AZ132" s="15"/>
      <c r="BA132" s="16">
        <f t="shared" si="164"/>
        <v>0</v>
      </c>
      <c r="BB132" s="14"/>
      <c r="BC132" s="15"/>
      <c r="BD132" s="16">
        <f t="shared" si="165"/>
        <v>0</v>
      </c>
      <c r="BE132" s="14"/>
      <c r="BF132" s="15"/>
      <c r="BG132" s="16">
        <f t="shared" si="166"/>
        <v>0</v>
      </c>
      <c r="BH132" s="14"/>
      <c r="BI132" s="15"/>
      <c r="BJ132" s="16">
        <f t="shared" si="167"/>
        <v>0</v>
      </c>
      <c r="BK132" s="14"/>
      <c r="BL132" s="15"/>
      <c r="BM132" s="16">
        <f t="shared" si="143"/>
        <v>0</v>
      </c>
      <c r="BN132" s="14"/>
      <c r="BO132" s="15"/>
      <c r="BP132" s="16">
        <f t="shared" si="150"/>
        <v>0</v>
      </c>
      <c r="BQ132" s="14"/>
      <c r="BR132" s="15"/>
      <c r="BS132" s="16">
        <f t="shared" si="148"/>
        <v>0</v>
      </c>
      <c r="BT132" s="14"/>
      <c r="BU132" s="15"/>
      <c r="BV132" s="16">
        <f t="shared" si="168"/>
        <v>0</v>
      </c>
      <c r="BW132" s="14"/>
      <c r="BX132" s="15"/>
      <c r="BY132" s="16">
        <f>IFERROR(BW132*BX132, 0)</f>
        <v>0</v>
      </c>
      <c r="BZ132" s="14"/>
      <c r="CA132" s="15"/>
      <c r="CB132" s="16">
        <f t="shared" si="169"/>
        <v>0</v>
      </c>
      <c r="CC132" s="14"/>
      <c r="CD132" s="15"/>
      <c r="CE132" s="16">
        <f t="shared" si="170"/>
        <v>0</v>
      </c>
      <c r="CF132" s="14"/>
      <c r="CG132" s="15"/>
      <c r="CH132" s="16">
        <f t="shared" si="171"/>
        <v>0</v>
      </c>
      <c r="CI132" s="14"/>
      <c r="CJ132" s="15"/>
      <c r="CK132" s="16">
        <f t="shared" si="172"/>
        <v>0</v>
      </c>
      <c r="CL132" s="14"/>
      <c r="CM132" s="15"/>
      <c r="CN132" s="16">
        <f t="shared" si="173"/>
        <v>0</v>
      </c>
      <c r="CO132" s="14"/>
      <c r="CP132" s="15"/>
      <c r="CQ132" s="16">
        <f t="shared" si="174"/>
        <v>0</v>
      </c>
      <c r="CR132" s="14"/>
      <c r="CS132" s="15"/>
      <c r="CT132" s="16">
        <f t="shared" si="175"/>
        <v>0</v>
      </c>
      <c r="CU132" s="17">
        <f t="shared" si="176"/>
        <v>0</v>
      </c>
      <c r="CV132" s="16">
        <f t="shared" si="177"/>
        <v>0</v>
      </c>
      <c r="CW132" s="16">
        <f t="shared" si="178"/>
        <v>0</v>
      </c>
    </row>
    <row r="133" spans="1:102" ht="15.75" customHeight="1" x14ac:dyDescent="0.35">
      <c r="A133" s="41" t="s">
        <v>620</v>
      </c>
      <c r="B133" s="41" t="s">
        <v>846</v>
      </c>
      <c r="C133" s="42"/>
      <c r="D133" s="43"/>
      <c r="E133" s="78">
        <f t="shared" si="153"/>
        <v>0</v>
      </c>
      <c r="F133" s="14"/>
      <c r="G133" s="15"/>
      <c r="H133" s="16">
        <f t="shared" si="154"/>
        <v>0</v>
      </c>
      <c r="I133" s="14"/>
      <c r="J133" s="15"/>
      <c r="K133" s="16">
        <f>IFERROR(I133*J133, 0)</f>
        <v>0</v>
      </c>
      <c r="L133" s="14"/>
      <c r="M133" s="15"/>
      <c r="N133" s="16">
        <f t="shared" si="155"/>
        <v>0</v>
      </c>
      <c r="O133" s="14"/>
      <c r="P133" s="15"/>
      <c r="Q133" s="16">
        <f t="shared" si="149"/>
        <v>0</v>
      </c>
      <c r="R133" s="14"/>
      <c r="S133" s="15"/>
      <c r="T133" s="16">
        <f t="shared" si="156"/>
        <v>0</v>
      </c>
      <c r="U133" s="14"/>
      <c r="V133" s="15"/>
      <c r="W133" s="16">
        <f t="shared" si="157"/>
        <v>0</v>
      </c>
      <c r="X133" s="14"/>
      <c r="Y133" s="15"/>
      <c r="Z133" s="16">
        <f t="shared" si="151"/>
        <v>0</v>
      </c>
      <c r="AA133" s="14"/>
      <c r="AB133" s="15"/>
      <c r="AC133" s="16">
        <f t="shared" si="158"/>
        <v>0</v>
      </c>
      <c r="AD133" s="14"/>
      <c r="AE133" s="15"/>
      <c r="AF133" s="16">
        <f t="shared" si="159"/>
        <v>0</v>
      </c>
      <c r="AG133" s="14"/>
      <c r="AH133" s="15"/>
      <c r="AI133" s="16">
        <f t="shared" si="147"/>
        <v>0</v>
      </c>
      <c r="AJ133" s="14"/>
      <c r="AK133" s="15"/>
      <c r="AL133" s="16">
        <f t="shared" si="160"/>
        <v>0</v>
      </c>
      <c r="AM133" s="14"/>
      <c r="AN133" s="15"/>
      <c r="AO133" s="16">
        <f t="shared" si="161"/>
        <v>0</v>
      </c>
      <c r="AP133" s="14"/>
      <c r="AQ133" s="15"/>
      <c r="AR133" s="16">
        <f t="shared" si="162"/>
        <v>0</v>
      </c>
      <c r="AS133" s="14"/>
      <c r="AT133" s="15"/>
      <c r="AU133" s="16">
        <f t="shared" si="152"/>
        <v>0</v>
      </c>
      <c r="AV133" s="14"/>
      <c r="AW133" s="15"/>
      <c r="AX133" s="16">
        <f t="shared" si="163"/>
        <v>0</v>
      </c>
      <c r="AY133" s="14"/>
      <c r="AZ133" s="15"/>
      <c r="BA133" s="16">
        <f t="shared" si="164"/>
        <v>0</v>
      </c>
      <c r="BB133" s="14"/>
      <c r="BC133" s="15"/>
      <c r="BD133" s="16">
        <f t="shared" si="165"/>
        <v>0</v>
      </c>
      <c r="BE133" s="14"/>
      <c r="BF133" s="15"/>
      <c r="BG133" s="16">
        <f t="shared" si="166"/>
        <v>0</v>
      </c>
      <c r="BH133" s="14"/>
      <c r="BI133" s="15"/>
      <c r="BJ133" s="16">
        <f t="shared" si="167"/>
        <v>0</v>
      </c>
      <c r="BK133" s="14">
        <v>1</v>
      </c>
      <c r="BL133" s="15">
        <v>2480</v>
      </c>
      <c r="BM133" s="16">
        <v>2480</v>
      </c>
      <c r="BN133" s="14"/>
      <c r="BO133" s="15"/>
      <c r="BP133" s="16">
        <f t="shared" si="150"/>
        <v>0</v>
      </c>
      <c r="BQ133" s="14"/>
      <c r="BR133" s="15"/>
      <c r="BS133" s="16">
        <f t="shared" si="148"/>
        <v>0</v>
      </c>
      <c r="BT133" s="14"/>
      <c r="BU133" s="15"/>
      <c r="BV133" s="16">
        <f t="shared" si="168"/>
        <v>0</v>
      </c>
      <c r="BW133" s="14"/>
      <c r="BX133" s="15"/>
      <c r="BY133" s="16">
        <f>IFERROR(BW133*BX133, 0)</f>
        <v>0</v>
      </c>
      <c r="BZ133" s="14"/>
      <c r="CA133" s="15"/>
      <c r="CB133" s="16">
        <f t="shared" si="169"/>
        <v>0</v>
      </c>
      <c r="CC133" s="14"/>
      <c r="CD133" s="15"/>
      <c r="CE133" s="16">
        <f t="shared" si="170"/>
        <v>0</v>
      </c>
      <c r="CF133" s="14"/>
      <c r="CG133" s="15"/>
      <c r="CH133" s="16">
        <f t="shared" si="171"/>
        <v>0</v>
      </c>
      <c r="CI133" s="14"/>
      <c r="CJ133" s="15"/>
      <c r="CK133" s="16">
        <f t="shared" si="172"/>
        <v>0</v>
      </c>
      <c r="CL133" s="14"/>
      <c r="CM133" s="15"/>
      <c r="CN133" s="16">
        <f t="shared" si="173"/>
        <v>0</v>
      </c>
      <c r="CO133" s="14"/>
      <c r="CP133" s="15"/>
      <c r="CQ133" s="16">
        <f t="shared" si="174"/>
        <v>0</v>
      </c>
      <c r="CR133" s="14"/>
      <c r="CS133" s="15"/>
      <c r="CT133" s="16">
        <f t="shared" si="175"/>
        <v>0</v>
      </c>
      <c r="CU133" s="17">
        <f t="shared" si="176"/>
        <v>1</v>
      </c>
      <c r="CV133" s="16">
        <f t="shared" si="177"/>
        <v>2480</v>
      </c>
      <c r="CW133" s="16">
        <f t="shared" si="178"/>
        <v>2480</v>
      </c>
    </row>
    <row r="134" spans="1:102" ht="15.75" customHeight="1" x14ac:dyDescent="0.35">
      <c r="A134" s="41" t="s">
        <v>90</v>
      </c>
      <c r="B134" s="41" t="s">
        <v>846</v>
      </c>
      <c r="C134" s="42"/>
      <c r="D134" s="43"/>
      <c r="E134" s="78">
        <f t="shared" si="153"/>
        <v>0</v>
      </c>
      <c r="F134" s="14"/>
      <c r="G134" s="15"/>
      <c r="H134" s="16">
        <f t="shared" si="154"/>
        <v>0</v>
      </c>
      <c r="I134" s="14">
        <v>1</v>
      </c>
      <c r="J134" s="15">
        <v>36000</v>
      </c>
      <c r="K134" s="16">
        <v>36000</v>
      </c>
      <c r="L134" s="14"/>
      <c r="M134" s="15"/>
      <c r="N134" s="16">
        <f t="shared" si="155"/>
        <v>0</v>
      </c>
      <c r="O134" s="14"/>
      <c r="P134" s="15"/>
      <c r="Q134" s="16">
        <f t="shared" si="149"/>
        <v>0</v>
      </c>
      <c r="R134" s="14"/>
      <c r="S134" s="15"/>
      <c r="T134" s="16">
        <f t="shared" si="156"/>
        <v>0</v>
      </c>
      <c r="U134" s="14"/>
      <c r="V134" s="15"/>
      <c r="W134" s="16">
        <f t="shared" si="157"/>
        <v>0</v>
      </c>
      <c r="X134" s="14"/>
      <c r="Y134" s="15"/>
      <c r="Z134" s="16">
        <f t="shared" si="151"/>
        <v>0</v>
      </c>
      <c r="AA134" s="14"/>
      <c r="AB134" s="15"/>
      <c r="AC134" s="16">
        <f t="shared" si="158"/>
        <v>0</v>
      </c>
      <c r="AD134" s="14"/>
      <c r="AE134" s="15"/>
      <c r="AF134" s="16">
        <f t="shared" si="159"/>
        <v>0</v>
      </c>
      <c r="AG134" s="14"/>
      <c r="AH134" s="15"/>
      <c r="AI134" s="16">
        <f t="shared" si="147"/>
        <v>0</v>
      </c>
      <c r="AJ134" s="14"/>
      <c r="AK134" s="15"/>
      <c r="AL134" s="16">
        <f t="shared" si="160"/>
        <v>0</v>
      </c>
      <c r="AM134" s="14"/>
      <c r="AN134" s="15"/>
      <c r="AO134" s="16">
        <f t="shared" si="161"/>
        <v>0</v>
      </c>
      <c r="AP134" s="14"/>
      <c r="AQ134" s="15"/>
      <c r="AR134" s="16">
        <f t="shared" si="162"/>
        <v>0</v>
      </c>
      <c r="AS134" s="14"/>
      <c r="AT134" s="15"/>
      <c r="AU134" s="16">
        <f t="shared" si="152"/>
        <v>0</v>
      </c>
      <c r="AV134" s="14"/>
      <c r="AW134" s="15"/>
      <c r="AX134" s="16">
        <f t="shared" si="163"/>
        <v>0</v>
      </c>
      <c r="AY134" s="14"/>
      <c r="AZ134" s="15"/>
      <c r="BA134" s="16">
        <f t="shared" si="164"/>
        <v>0</v>
      </c>
      <c r="BB134" s="14"/>
      <c r="BC134" s="15"/>
      <c r="BD134" s="16">
        <f t="shared" si="165"/>
        <v>0</v>
      </c>
      <c r="BE134" s="14"/>
      <c r="BF134" s="15"/>
      <c r="BG134" s="16">
        <f t="shared" si="166"/>
        <v>0</v>
      </c>
      <c r="BH134" s="14"/>
      <c r="BI134" s="15"/>
      <c r="BJ134" s="16">
        <f t="shared" si="167"/>
        <v>0</v>
      </c>
      <c r="BK134" s="14"/>
      <c r="BL134" s="15"/>
      <c r="BM134" s="16">
        <f t="shared" ref="BM134:BM151" si="179">IFERROR(BK134*BL134, 0)</f>
        <v>0</v>
      </c>
      <c r="BN134" s="14"/>
      <c r="BO134" s="15"/>
      <c r="BP134" s="16">
        <f t="shared" si="150"/>
        <v>0</v>
      </c>
      <c r="BQ134" s="14"/>
      <c r="BR134" s="15"/>
      <c r="BS134" s="16">
        <f t="shared" si="148"/>
        <v>0</v>
      </c>
      <c r="BT134" s="14"/>
      <c r="BU134" s="15"/>
      <c r="BV134" s="16">
        <f t="shared" si="168"/>
        <v>0</v>
      </c>
      <c r="BW134" s="14">
        <v>1</v>
      </c>
      <c r="BX134" s="15">
        <v>32900</v>
      </c>
      <c r="BY134" s="16">
        <v>32900</v>
      </c>
      <c r="BZ134" s="14"/>
      <c r="CA134" s="15"/>
      <c r="CB134" s="16">
        <f t="shared" si="169"/>
        <v>0</v>
      </c>
      <c r="CC134" s="14"/>
      <c r="CD134" s="15"/>
      <c r="CE134" s="16">
        <f t="shared" si="170"/>
        <v>0</v>
      </c>
      <c r="CF134" s="14"/>
      <c r="CG134" s="15"/>
      <c r="CH134" s="16">
        <f t="shared" si="171"/>
        <v>0</v>
      </c>
      <c r="CI134" s="14"/>
      <c r="CJ134" s="15"/>
      <c r="CK134" s="16">
        <f t="shared" si="172"/>
        <v>0</v>
      </c>
      <c r="CL134" s="14"/>
      <c r="CM134" s="15"/>
      <c r="CN134" s="16">
        <f t="shared" si="173"/>
        <v>0</v>
      </c>
      <c r="CO134" s="14"/>
      <c r="CP134" s="15"/>
      <c r="CQ134" s="16">
        <f t="shared" si="174"/>
        <v>0</v>
      </c>
      <c r="CR134" s="14"/>
      <c r="CS134" s="15"/>
      <c r="CT134" s="16">
        <f t="shared" si="175"/>
        <v>0</v>
      </c>
      <c r="CU134" s="17">
        <f t="shared" si="176"/>
        <v>2</v>
      </c>
      <c r="CV134" s="16">
        <f t="shared" si="177"/>
        <v>34450</v>
      </c>
      <c r="CW134" s="16">
        <f t="shared" si="178"/>
        <v>68900</v>
      </c>
    </row>
    <row r="135" spans="1:102" ht="15.75" customHeight="1" x14ac:dyDescent="0.35">
      <c r="A135" s="41" t="s">
        <v>1026</v>
      </c>
      <c r="B135" s="41" t="s">
        <v>846</v>
      </c>
      <c r="C135" s="42"/>
      <c r="D135" s="43"/>
      <c r="E135" s="78">
        <f t="shared" si="153"/>
        <v>0</v>
      </c>
      <c r="F135" s="14"/>
      <c r="G135" s="15"/>
      <c r="H135" s="16">
        <f t="shared" si="154"/>
        <v>0</v>
      </c>
      <c r="I135" s="14"/>
      <c r="J135" s="15"/>
      <c r="K135" s="16">
        <f t="shared" ref="K135:K151" si="180">IFERROR(I135*J135, 0)</f>
        <v>0</v>
      </c>
      <c r="L135" s="14"/>
      <c r="M135" s="15"/>
      <c r="N135" s="16">
        <f t="shared" si="155"/>
        <v>0</v>
      </c>
      <c r="O135" s="14"/>
      <c r="P135" s="15"/>
      <c r="Q135" s="16">
        <f t="shared" si="149"/>
        <v>0</v>
      </c>
      <c r="R135" s="14"/>
      <c r="S135" s="15"/>
      <c r="T135" s="16">
        <f t="shared" si="156"/>
        <v>0</v>
      </c>
      <c r="U135" s="14"/>
      <c r="V135" s="15"/>
      <c r="W135" s="16">
        <f t="shared" si="157"/>
        <v>0</v>
      </c>
      <c r="X135" s="14"/>
      <c r="Y135" s="15"/>
      <c r="Z135" s="16">
        <f t="shared" si="151"/>
        <v>0</v>
      </c>
      <c r="AA135" s="14"/>
      <c r="AB135" s="15"/>
      <c r="AC135" s="16">
        <f t="shared" si="158"/>
        <v>0</v>
      </c>
      <c r="AD135" s="14"/>
      <c r="AE135" s="15"/>
      <c r="AF135" s="16">
        <f t="shared" si="159"/>
        <v>0</v>
      </c>
      <c r="AG135" s="14"/>
      <c r="AH135" s="15"/>
      <c r="AI135" s="16">
        <f t="shared" si="147"/>
        <v>0</v>
      </c>
      <c r="AJ135" s="14"/>
      <c r="AK135" s="15"/>
      <c r="AL135" s="16">
        <f t="shared" si="160"/>
        <v>0</v>
      </c>
      <c r="AM135" s="14"/>
      <c r="AN135" s="15"/>
      <c r="AO135" s="16">
        <f t="shared" si="161"/>
        <v>0</v>
      </c>
      <c r="AP135" s="14"/>
      <c r="AQ135" s="15"/>
      <c r="AR135" s="16">
        <f t="shared" si="162"/>
        <v>0</v>
      </c>
      <c r="AS135" s="14"/>
      <c r="AT135" s="15"/>
      <c r="AU135" s="16">
        <f t="shared" si="152"/>
        <v>0</v>
      </c>
      <c r="AV135" s="14"/>
      <c r="AW135" s="15"/>
      <c r="AX135" s="16">
        <f t="shared" si="163"/>
        <v>0</v>
      </c>
      <c r="AY135" s="14"/>
      <c r="AZ135" s="15"/>
      <c r="BA135" s="16">
        <f t="shared" si="164"/>
        <v>0</v>
      </c>
      <c r="BB135" s="14"/>
      <c r="BC135" s="15"/>
      <c r="BD135" s="16">
        <f t="shared" si="165"/>
        <v>0</v>
      </c>
      <c r="BE135" s="14"/>
      <c r="BF135" s="15"/>
      <c r="BG135" s="16">
        <f t="shared" si="166"/>
        <v>0</v>
      </c>
      <c r="BH135" s="14"/>
      <c r="BI135" s="15"/>
      <c r="BJ135" s="16">
        <f t="shared" si="167"/>
        <v>0</v>
      </c>
      <c r="BK135" s="14"/>
      <c r="BL135" s="15"/>
      <c r="BM135" s="16">
        <f t="shared" si="179"/>
        <v>0</v>
      </c>
      <c r="BN135" s="14"/>
      <c r="BO135" s="15"/>
      <c r="BP135" s="16">
        <f t="shared" si="150"/>
        <v>0</v>
      </c>
      <c r="BQ135" s="14"/>
      <c r="BR135" s="15"/>
      <c r="BS135" s="16">
        <f t="shared" si="148"/>
        <v>0</v>
      </c>
      <c r="BT135" s="14"/>
      <c r="BU135" s="15"/>
      <c r="BV135" s="16">
        <f t="shared" si="168"/>
        <v>0</v>
      </c>
      <c r="BW135" s="14"/>
      <c r="BX135" s="15"/>
      <c r="BY135" s="16">
        <f t="shared" ref="BY135:BY151" si="181">IFERROR(BW135*BX135, 0)</f>
        <v>0</v>
      </c>
      <c r="BZ135" s="14"/>
      <c r="CA135" s="15"/>
      <c r="CB135" s="16">
        <f t="shared" si="169"/>
        <v>0</v>
      </c>
      <c r="CC135" s="14"/>
      <c r="CD135" s="15"/>
      <c r="CE135" s="16">
        <f t="shared" si="170"/>
        <v>0</v>
      </c>
      <c r="CF135" s="14"/>
      <c r="CG135" s="15"/>
      <c r="CH135" s="16">
        <f t="shared" si="171"/>
        <v>0</v>
      </c>
      <c r="CI135" s="14"/>
      <c r="CJ135" s="15"/>
      <c r="CK135" s="16">
        <f t="shared" si="172"/>
        <v>0</v>
      </c>
      <c r="CL135" s="14"/>
      <c r="CM135" s="15"/>
      <c r="CN135" s="16">
        <f t="shared" si="173"/>
        <v>0</v>
      </c>
      <c r="CO135" s="14"/>
      <c r="CP135" s="15"/>
      <c r="CQ135" s="16">
        <f t="shared" si="174"/>
        <v>0</v>
      </c>
      <c r="CR135" s="14"/>
      <c r="CS135" s="15"/>
      <c r="CT135" s="16">
        <f t="shared" si="175"/>
        <v>0</v>
      </c>
      <c r="CU135" s="17">
        <f t="shared" si="176"/>
        <v>0</v>
      </c>
      <c r="CV135" s="16">
        <f t="shared" si="177"/>
        <v>0</v>
      </c>
      <c r="CW135" s="16">
        <f t="shared" si="178"/>
        <v>0</v>
      </c>
    </row>
    <row r="136" spans="1:102" x14ac:dyDescent="0.35">
      <c r="A136" s="76" t="s">
        <v>1027</v>
      </c>
      <c r="B136" s="41" t="s">
        <v>846</v>
      </c>
      <c r="C136" s="42"/>
      <c r="D136" s="43"/>
      <c r="E136" s="78">
        <f t="shared" si="153"/>
        <v>0</v>
      </c>
      <c r="F136" s="14"/>
      <c r="G136" s="15"/>
      <c r="H136" s="16">
        <f t="shared" si="154"/>
        <v>0</v>
      </c>
      <c r="I136" s="14"/>
      <c r="J136" s="15"/>
      <c r="K136" s="16">
        <f t="shared" si="180"/>
        <v>0</v>
      </c>
      <c r="L136" s="14"/>
      <c r="M136" s="15"/>
      <c r="N136" s="16">
        <f t="shared" si="155"/>
        <v>0</v>
      </c>
      <c r="O136" s="14"/>
      <c r="P136" s="15"/>
      <c r="Q136" s="16">
        <f t="shared" si="149"/>
        <v>0</v>
      </c>
      <c r="R136" s="14"/>
      <c r="S136" s="15"/>
      <c r="T136" s="16">
        <f t="shared" si="156"/>
        <v>0</v>
      </c>
      <c r="U136" s="14"/>
      <c r="V136" s="15"/>
      <c r="W136" s="16">
        <f t="shared" si="157"/>
        <v>0</v>
      </c>
      <c r="X136" s="14"/>
      <c r="Y136" s="15"/>
      <c r="Z136" s="16">
        <f t="shared" si="151"/>
        <v>0</v>
      </c>
      <c r="AA136" s="14"/>
      <c r="AB136" s="15"/>
      <c r="AC136" s="16">
        <f t="shared" si="158"/>
        <v>0</v>
      </c>
      <c r="AD136" s="14"/>
      <c r="AE136" s="15"/>
      <c r="AF136" s="16">
        <f t="shared" si="159"/>
        <v>0</v>
      </c>
      <c r="AG136" s="14"/>
      <c r="AH136" s="15"/>
      <c r="AI136" s="16">
        <f t="shared" si="147"/>
        <v>0</v>
      </c>
      <c r="AJ136" s="14"/>
      <c r="AK136" s="15"/>
      <c r="AL136" s="16">
        <f t="shared" si="160"/>
        <v>0</v>
      </c>
      <c r="AM136" s="14"/>
      <c r="AN136" s="15"/>
      <c r="AO136" s="16">
        <f t="shared" si="161"/>
        <v>0</v>
      </c>
      <c r="AP136" s="14"/>
      <c r="AQ136" s="15"/>
      <c r="AR136" s="16">
        <f t="shared" si="162"/>
        <v>0</v>
      </c>
      <c r="AS136" s="14"/>
      <c r="AT136" s="15"/>
      <c r="AU136" s="16">
        <f t="shared" si="152"/>
        <v>0</v>
      </c>
      <c r="AV136" s="14"/>
      <c r="AW136" s="15"/>
      <c r="AX136" s="16">
        <f t="shared" si="163"/>
        <v>0</v>
      </c>
      <c r="AY136" s="14"/>
      <c r="AZ136" s="15"/>
      <c r="BA136" s="16">
        <f t="shared" si="164"/>
        <v>0</v>
      </c>
      <c r="BB136" s="14"/>
      <c r="BC136" s="15"/>
      <c r="BD136" s="16">
        <f t="shared" si="165"/>
        <v>0</v>
      </c>
      <c r="BE136" s="14"/>
      <c r="BF136" s="15"/>
      <c r="BG136" s="16">
        <f t="shared" si="166"/>
        <v>0</v>
      </c>
      <c r="BH136" s="14"/>
      <c r="BI136" s="15"/>
      <c r="BJ136" s="16">
        <f t="shared" si="167"/>
        <v>0</v>
      </c>
      <c r="BK136" s="14"/>
      <c r="BL136" s="15"/>
      <c r="BM136" s="16">
        <f t="shared" si="179"/>
        <v>0</v>
      </c>
      <c r="BN136" s="14"/>
      <c r="BO136" s="15"/>
      <c r="BP136" s="16">
        <f t="shared" si="150"/>
        <v>0</v>
      </c>
      <c r="BQ136" s="14"/>
      <c r="BR136" s="15"/>
      <c r="BS136" s="16">
        <f t="shared" si="148"/>
        <v>0</v>
      </c>
      <c r="BT136" s="14"/>
      <c r="BU136" s="15"/>
      <c r="BV136" s="16">
        <f t="shared" si="168"/>
        <v>0</v>
      </c>
      <c r="BW136" s="14"/>
      <c r="BX136" s="15"/>
      <c r="BY136" s="16">
        <f t="shared" si="181"/>
        <v>0</v>
      </c>
      <c r="BZ136" s="14"/>
      <c r="CA136" s="15"/>
      <c r="CB136" s="16">
        <f t="shared" si="169"/>
        <v>0</v>
      </c>
      <c r="CC136" s="14"/>
      <c r="CD136" s="15"/>
      <c r="CE136" s="16">
        <f t="shared" si="170"/>
        <v>0</v>
      </c>
      <c r="CF136" s="14"/>
      <c r="CG136" s="15"/>
      <c r="CH136" s="16">
        <f t="shared" si="171"/>
        <v>0</v>
      </c>
      <c r="CI136" s="14"/>
      <c r="CJ136" s="15"/>
      <c r="CK136" s="16">
        <f t="shared" si="172"/>
        <v>0</v>
      </c>
      <c r="CL136" s="14"/>
      <c r="CM136" s="15"/>
      <c r="CN136" s="16">
        <f t="shared" si="173"/>
        <v>0</v>
      </c>
      <c r="CO136" s="14"/>
      <c r="CP136" s="15"/>
      <c r="CQ136" s="16">
        <f t="shared" si="174"/>
        <v>0</v>
      </c>
      <c r="CR136" s="14"/>
      <c r="CS136" s="15"/>
      <c r="CT136" s="16">
        <f t="shared" si="175"/>
        <v>0</v>
      </c>
      <c r="CU136" s="17">
        <f t="shared" si="176"/>
        <v>0</v>
      </c>
      <c r="CV136" s="16">
        <f t="shared" si="177"/>
        <v>0</v>
      </c>
      <c r="CW136" s="16">
        <f t="shared" si="178"/>
        <v>0</v>
      </c>
    </row>
    <row r="137" spans="1:102" x14ac:dyDescent="0.35">
      <c r="A137" s="76" t="s">
        <v>384</v>
      </c>
      <c r="B137" s="41" t="s">
        <v>846</v>
      </c>
      <c r="C137" s="42"/>
      <c r="D137" s="43"/>
      <c r="E137" s="78">
        <f t="shared" si="153"/>
        <v>0</v>
      </c>
      <c r="F137" s="14"/>
      <c r="G137" s="15"/>
      <c r="H137" s="16">
        <f t="shared" si="154"/>
        <v>0</v>
      </c>
      <c r="I137" s="14"/>
      <c r="J137" s="15"/>
      <c r="K137" s="16">
        <f t="shared" si="180"/>
        <v>0</v>
      </c>
      <c r="L137" s="14"/>
      <c r="M137" s="15"/>
      <c r="N137" s="16">
        <f t="shared" si="155"/>
        <v>0</v>
      </c>
      <c r="O137" s="14"/>
      <c r="P137" s="15"/>
      <c r="Q137" s="16">
        <f t="shared" si="149"/>
        <v>0</v>
      </c>
      <c r="R137" s="14"/>
      <c r="S137" s="15"/>
      <c r="T137" s="16">
        <f t="shared" si="156"/>
        <v>0</v>
      </c>
      <c r="U137" s="14"/>
      <c r="V137" s="15"/>
      <c r="W137" s="16">
        <f t="shared" si="157"/>
        <v>0</v>
      </c>
      <c r="X137" s="14"/>
      <c r="Y137" s="15"/>
      <c r="Z137" s="16">
        <f t="shared" si="151"/>
        <v>0</v>
      </c>
      <c r="AA137" s="14"/>
      <c r="AB137" s="15"/>
      <c r="AC137" s="16">
        <f t="shared" si="158"/>
        <v>0</v>
      </c>
      <c r="AD137" s="14">
        <v>1</v>
      </c>
      <c r="AE137" s="15">
        <v>29512</v>
      </c>
      <c r="AF137" s="16">
        <v>29512</v>
      </c>
      <c r="AG137" s="14"/>
      <c r="AH137" s="15"/>
      <c r="AI137" s="16">
        <f t="shared" si="147"/>
        <v>0</v>
      </c>
      <c r="AJ137" s="14"/>
      <c r="AK137" s="15"/>
      <c r="AL137" s="16">
        <f t="shared" si="160"/>
        <v>0</v>
      </c>
      <c r="AM137" s="14"/>
      <c r="AN137" s="15"/>
      <c r="AO137" s="16">
        <f t="shared" si="161"/>
        <v>0</v>
      </c>
      <c r="AP137" s="14"/>
      <c r="AQ137" s="15"/>
      <c r="AR137" s="16">
        <f t="shared" si="162"/>
        <v>0</v>
      </c>
      <c r="AS137" s="14"/>
      <c r="AT137" s="15"/>
      <c r="AU137" s="16">
        <f t="shared" si="152"/>
        <v>0</v>
      </c>
      <c r="AV137" s="14"/>
      <c r="AW137" s="15"/>
      <c r="AX137" s="16">
        <f t="shared" si="163"/>
        <v>0</v>
      </c>
      <c r="AY137" s="14"/>
      <c r="AZ137" s="15"/>
      <c r="BA137" s="16">
        <f t="shared" si="164"/>
        <v>0</v>
      </c>
      <c r="BB137" s="14"/>
      <c r="BC137" s="15"/>
      <c r="BD137" s="16">
        <f t="shared" si="165"/>
        <v>0</v>
      </c>
      <c r="BE137" s="14"/>
      <c r="BF137" s="15"/>
      <c r="BG137" s="16">
        <f t="shared" si="166"/>
        <v>0</v>
      </c>
      <c r="BH137" s="14"/>
      <c r="BI137" s="15"/>
      <c r="BJ137" s="16">
        <f t="shared" si="167"/>
        <v>0</v>
      </c>
      <c r="BK137" s="14"/>
      <c r="BL137" s="15"/>
      <c r="BM137" s="16">
        <f t="shared" si="179"/>
        <v>0</v>
      </c>
      <c r="BN137" s="14"/>
      <c r="BO137" s="15"/>
      <c r="BP137" s="16">
        <f t="shared" si="150"/>
        <v>0</v>
      </c>
      <c r="BQ137" s="14"/>
      <c r="BR137" s="15"/>
      <c r="BS137" s="16">
        <f t="shared" si="148"/>
        <v>0</v>
      </c>
      <c r="BT137" s="14"/>
      <c r="BU137" s="15"/>
      <c r="BV137" s="16">
        <f t="shared" si="168"/>
        <v>0</v>
      </c>
      <c r="BW137" s="14"/>
      <c r="BX137" s="15"/>
      <c r="BY137" s="16">
        <f t="shared" si="181"/>
        <v>0</v>
      </c>
      <c r="BZ137" s="14"/>
      <c r="CA137" s="15"/>
      <c r="CB137" s="16">
        <f t="shared" si="169"/>
        <v>0</v>
      </c>
      <c r="CC137" s="14"/>
      <c r="CD137" s="15"/>
      <c r="CE137" s="16">
        <f t="shared" si="170"/>
        <v>0</v>
      </c>
      <c r="CF137" s="14"/>
      <c r="CG137" s="15"/>
      <c r="CH137" s="16">
        <f t="shared" si="171"/>
        <v>0</v>
      </c>
      <c r="CI137" s="14"/>
      <c r="CJ137" s="15"/>
      <c r="CK137" s="16">
        <f t="shared" si="172"/>
        <v>0</v>
      </c>
      <c r="CL137" s="14"/>
      <c r="CM137" s="15"/>
      <c r="CN137" s="16">
        <f t="shared" si="173"/>
        <v>0</v>
      </c>
      <c r="CO137" s="14"/>
      <c r="CP137" s="15"/>
      <c r="CQ137" s="16">
        <f t="shared" si="174"/>
        <v>0</v>
      </c>
      <c r="CR137" s="14"/>
      <c r="CS137" s="15"/>
      <c r="CT137" s="16">
        <f t="shared" si="175"/>
        <v>0</v>
      </c>
      <c r="CU137" s="17">
        <f t="shared" si="176"/>
        <v>1</v>
      </c>
      <c r="CV137" s="16">
        <f t="shared" si="177"/>
        <v>29512</v>
      </c>
      <c r="CW137" s="16">
        <f t="shared" si="178"/>
        <v>29512</v>
      </c>
    </row>
    <row r="138" spans="1:102" x14ac:dyDescent="0.35">
      <c r="A138" s="76" t="s">
        <v>1028</v>
      </c>
      <c r="B138" s="41" t="s">
        <v>846</v>
      </c>
      <c r="C138" s="42"/>
      <c r="D138" s="43"/>
      <c r="E138" s="78">
        <f t="shared" si="153"/>
        <v>0</v>
      </c>
      <c r="F138" s="14"/>
      <c r="G138" s="15"/>
      <c r="H138" s="16">
        <f t="shared" si="154"/>
        <v>0</v>
      </c>
      <c r="I138" s="14"/>
      <c r="J138" s="15"/>
      <c r="K138" s="16">
        <f t="shared" si="180"/>
        <v>0</v>
      </c>
      <c r="L138" s="14"/>
      <c r="M138" s="15"/>
      <c r="N138" s="16">
        <f t="shared" si="155"/>
        <v>0</v>
      </c>
      <c r="O138" s="14"/>
      <c r="P138" s="15"/>
      <c r="Q138" s="16">
        <f t="shared" si="149"/>
        <v>0</v>
      </c>
      <c r="R138" s="14"/>
      <c r="S138" s="15"/>
      <c r="T138" s="16">
        <f t="shared" si="156"/>
        <v>0</v>
      </c>
      <c r="U138" s="14"/>
      <c r="V138" s="15"/>
      <c r="W138" s="16">
        <f t="shared" si="157"/>
        <v>0</v>
      </c>
      <c r="X138" s="14"/>
      <c r="Y138" s="15"/>
      <c r="Z138" s="16">
        <f t="shared" si="151"/>
        <v>0</v>
      </c>
      <c r="AA138" s="14"/>
      <c r="AB138" s="15"/>
      <c r="AC138" s="16">
        <f t="shared" si="158"/>
        <v>0</v>
      </c>
      <c r="AD138" s="14"/>
      <c r="AE138" s="15"/>
      <c r="AF138" s="16">
        <f t="shared" ref="AF138:AF151" si="182">IFERROR(AD138*AE138, 0)</f>
        <v>0</v>
      </c>
      <c r="AG138" s="14"/>
      <c r="AH138" s="15"/>
      <c r="AI138" s="16">
        <f t="shared" si="147"/>
        <v>0</v>
      </c>
      <c r="AJ138" s="14"/>
      <c r="AK138" s="15"/>
      <c r="AL138" s="16">
        <f t="shared" si="160"/>
        <v>0</v>
      </c>
      <c r="AM138" s="14"/>
      <c r="AN138" s="15"/>
      <c r="AO138" s="16">
        <f t="shared" si="161"/>
        <v>0</v>
      </c>
      <c r="AP138" s="14"/>
      <c r="AQ138" s="15"/>
      <c r="AR138" s="16">
        <f t="shared" si="162"/>
        <v>0</v>
      </c>
      <c r="AS138" s="14"/>
      <c r="AT138" s="15"/>
      <c r="AU138" s="16">
        <f t="shared" si="152"/>
        <v>0</v>
      </c>
      <c r="AV138" s="14"/>
      <c r="AW138" s="15"/>
      <c r="AX138" s="16">
        <f t="shared" si="163"/>
        <v>0</v>
      </c>
      <c r="AY138" s="14"/>
      <c r="AZ138" s="15"/>
      <c r="BA138" s="16">
        <f t="shared" si="164"/>
        <v>0</v>
      </c>
      <c r="BB138" s="14"/>
      <c r="BC138" s="15"/>
      <c r="BD138" s="16">
        <f t="shared" si="165"/>
        <v>0</v>
      </c>
      <c r="BE138" s="14"/>
      <c r="BF138" s="15"/>
      <c r="BG138" s="16">
        <f t="shared" si="166"/>
        <v>0</v>
      </c>
      <c r="BH138" s="14"/>
      <c r="BI138" s="15"/>
      <c r="BJ138" s="16">
        <f t="shared" si="167"/>
        <v>0</v>
      </c>
      <c r="BK138" s="14"/>
      <c r="BL138" s="15"/>
      <c r="BM138" s="16">
        <f t="shared" si="179"/>
        <v>0</v>
      </c>
      <c r="BN138" s="14"/>
      <c r="BO138" s="15"/>
      <c r="BP138" s="16">
        <f t="shared" si="150"/>
        <v>0</v>
      </c>
      <c r="BQ138" s="14"/>
      <c r="BR138" s="15"/>
      <c r="BS138" s="16">
        <f t="shared" si="148"/>
        <v>0</v>
      </c>
      <c r="BT138" s="14"/>
      <c r="BU138" s="15"/>
      <c r="BV138" s="16">
        <f t="shared" si="168"/>
        <v>0</v>
      </c>
      <c r="BW138" s="14"/>
      <c r="BX138" s="15"/>
      <c r="BY138" s="16">
        <f t="shared" si="181"/>
        <v>0</v>
      </c>
      <c r="BZ138" s="14"/>
      <c r="CA138" s="15"/>
      <c r="CB138" s="16">
        <f t="shared" si="169"/>
        <v>0</v>
      </c>
      <c r="CC138" s="14"/>
      <c r="CD138" s="15"/>
      <c r="CE138" s="16">
        <f t="shared" si="170"/>
        <v>0</v>
      </c>
      <c r="CF138" s="14"/>
      <c r="CG138" s="15"/>
      <c r="CH138" s="16">
        <f t="shared" si="171"/>
        <v>0</v>
      </c>
      <c r="CI138" s="14"/>
      <c r="CJ138" s="15"/>
      <c r="CK138" s="16">
        <f t="shared" si="172"/>
        <v>0</v>
      </c>
      <c r="CL138" s="14"/>
      <c r="CM138" s="15"/>
      <c r="CN138" s="16">
        <f t="shared" si="173"/>
        <v>0</v>
      </c>
      <c r="CO138" s="14"/>
      <c r="CP138" s="15"/>
      <c r="CQ138" s="16">
        <f t="shared" si="174"/>
        <v>0</v>
      </c>
      <c r="CR138" s="14"/>
      <c r="CS138" s="15"/>
      <c r="CT138" s="16">
        <f t="shared" si="175"/>
        <v>0</v>
      </c>
      <c r="CU138" s="17">
        <f t="shared" si="176"/>
        <v>0</v>
      </c>
      <c r="CV138" s="16">
        <f t="shared" si="177"/>
        <v>0</v>
      </c>
      <c r="CW138" s="16">
        <f t="shared" si="178"/>
        <v>0</v>
      </c>
    </row>
    <row r="139" spans="1:102" x14ac:dyDescent="0.35">
      <c r="A139" s="76" t="s">
        <v>1029</v>
      </c>
      <c r="B139" s="41" t="s">
        <v>846</v>
      </c>
      <c r="C139" s="42"/>
      <c r="D139" s="43"/>
      <c r="E139" s="78">
        <f t="shared" si="153"/>
        <v>0</v>
      </c>
      <c r="F139" s="14"/>
      <c r="G139" s="15"/>
      <c r="H139" s="16">
        <f t="shared" si="154"/>
        <v>0</v>
      </c>
      <c r="I139" s="14"/>
      <c r="J139" s="15"/>
      <c r="K139" s="16">
        <f t="shared" si="180"/>
        <v>0</v>
      </c>
      <c r="L139" s="14"/>
      <c r="M139" s="15"/>
      <c r="N139" s="16">
        <f t="shared" si="155"/>
        <v>0</v>
      </c>
      <c r="O139" s="14"/>
      <c r="P139" s="15"/>
      <c r="Q139" s="16">
        <f t="shared" si="149"/>
        <v>0</v>
      </c>
      <c r="R139" s="14"/>
      <c r="S139" s="15"/>
      <c r="T139" s="16">
        <f t="shared" si="156"/>
        <v>0</v>
      </c>
      <c r="U139" s="14"/>
      <c r="V139" s="15"/>
      <c r="W139" s="16">
        <f t="shared" si="157"/>
        <v>0</v>
      </c>
      <c r="X139" s="14"/>
      <c r="Y139" s="15"/>
      <c r="Z139" s="16">
        <f t="shared" si="151"/>
        <v>0</v>
      </c>
      <c r="AA139" s="14"/>
      <c r="AB139" s="15"/>
      <c r="AC139" s="16">
        <f t="shared" si="158"/>
        <v>0</v>
      </c>
      <c r="AD139" s="14"/>
      <c r="AE139" s="15"/>
      <c r="AF139" s="16">
        <f t="shared" si="182"/>
        <v>0</v>
      </c>
      <c r="AG139" s="14"/>
      <c r="AH139" s="15"/>
      <c r="AI139" s="16">
        <f t="shared" si="147"/>
        <v>0</v>
      </c>
      <c r="AJ139" s="14"/>
      <c r="AK139" s="15"/>
      <c r="AL139" s="16">
        <f t="shared" si="160"/>
        <v>0</v>
      </c>
      <c r="AM139" s="14"/>
      <c r="AN139" s="15"/>
      <c r="AO139" s="16">
        <f t="shared" si="161"/>
        <v>0</v>
      </c>
      <c r="AP139" s="14"/>
      <c r="AQ139" s="15"/>
      <c r="AR139" s="16">
        <f t="shared" si="162"/>
        <v>0</v>
      </c>
      <c r="AS139" s="14"/>
      <c r="AT139" s="15"/>
      <c r="AU139" s="16">
        <f t="shared" si="152"/>
        <v>0</v>
      </c>
      <c r="AV139" s="14"/>
      <c r="AW139" s="15"/>
      <c r="AX139" s="16">
        <f t="shared" si="163"/>
        <v>0</v>
      </c>
      <c r="AY139" s="14"/>
      <c r="AZ139" s="15"/>
      <c r="BA139" s="16">
        <f t="shared" si="164"/>
        <v>0</v>
      </c>
      <c r="BB139" s="14"/>
      <c r="BC139" s="15"/>
      <c r="BD139" s="16">
        <f t="shared" si="165"/>
        <v>0</v>
      </c>
      <c r="BE139" s="14"/>
      <c r="BF139" s="15"/>
      <c r="BG139" s="16">
        <f t="shared" si="166"/>
        <v>0</v>
      </c>
      <c r="BH139" s="14"/>
      <c r="BI139" s="15"/>
      <c r="BJ139" s="16">
        <f t="shared" si="167"/>
        <v>0</v>
      </c>
      <c r="BK139" s="14"/>
      <c r="BL139" s="15"/>
      <c r="BM139" s="16">
        <f t="shared" si="179"/>
        <v>0</v>
      </c>
      <c r="BN139" s="14"/>
      <c r="BO139" s="15"/>
      <c r="BP139" s="16">
        <f t="shared" si="150"/>
        <v>0</v>
      </c>
      <c r="BQ139" s="14"/>
      <c r="BR139" s="15"/>
      <c r="BS139" s="16">
        <f t="shared" si="148"/>
        <v>0</v>
      </c>
      <c r="BT139" s="14"/>
      <c r="BU139" s="15"/>
      <c r="BV139" s="16">
        <f t="shared" si="168"/>
        <v>0</v>
      </c>
      <c r="BW139" s="14"/>
      <c r="BX139" s="15"/>
      <c r="BY139" s="16">
        <f t="shared" si="181"/>
        <v>0</v>
      </c>
      <c r="BZ139" s="14"/>
      <c r="CA139" s="15"/>
      <c r="CB139" s="16">
        <f t="shared" si="169"/>
        <v>0</v>
      </c>
      <c r="CC139" s="14"/>
      <c r="CD139" s="15"/>
      <c r="CE139" s="16">
        <f t="shared" si="170"/>
        <v>0</v>
      </c>
      <c r="CF139" s="14"/>
      <c r="CG139" s="15"/>
      <c r="CH139" s="16">
        <f t="shared" si="171"/>
        <v>0</v>
      </c>
      <c r="CI139" s="14"/>
      <c r="CJ139" s="15"/>
      <c r="CK139" s="16">
        <f t="shared" si="172"/>
        <v>0</v>
      </c>
      <c r="CL139" s="14"/>
      <c r="CM139" s="15"/>
      <c r="CN139" s="16">
        <f t="shared" si="173"/>
        <v>0</v>
      </c>
      <c r="CO139" s="14"/>
      <c r="CP139" s="15"/>
      <c r="CQ139" s="16">
        <f t="shared" si="174"/>
        <v>0</v>
      </c>
      <c r="CR139" s="14"/>
      <c r="CS139" s="15"/>
      <c r="CT139" s="16">
        <f t="shared" si="175"/>
        <v>0</v>
      </c>
      <c r="CU139" s="17">
        <f t="shared" si="176"/>
        <v>0</v>
      </c>
      <c r="CV139" s="16">
        <f t="shared" si="177"/>
        <v>0</v>
      </c>
      <c r="CW139" s="16">
        <f t="shared" si="178"/>
        <v>0</v>
      </c>
    </row>
    <row r="140" spans="1:102" x14ac:dyDescent="0.35">
      <c r="A140" s="76" t="s">
        <v>1030</v>
      </c>
      <c r="B140" s="41" t="s">
        <v>846</v>
      </c>
      <c r="C140" s="42"/>
      <c r="D140" s="43"/>
      <c r="E140" s="78">
        <f t="shared" si="153"/>
        <v>0</v>
      </c>
      <c r="F140" s="14"/>
      <c r="G140" s="15"/>
      <c r="H140" s="16">
        <f t="shared" si="154"/>
        <v>0</v>
      </c>
      <c r="I140" s="14"/>
      <c r="J140" s="15"/>
      <c r="K140" s="16">
        <f t="shared" si="180"/>
        <v>0</v>
      </c>
      <c r="L140" s="14"/>
      <c r="M140" s="15"/>
      <c r="N140" s="16">
        <f t="shared" si="155"/>
        <v>0</v>
      </c>
      <c r="O140" s="14"/>
      <c r="P140" s="15"/>
      <c r="Q140" s="16">
        <f t="shared" si="149"/>
        <v>0</v>
      </c>
      <c r="R140" s="14"/>
      <c r="S140" s="15"/>
      <c r="T140" s="16">
        <f t="shared" si="156"/>
        <v>0</v>
      </c>
      <c r="U140" s="14"/>
      <c r="V140" s="15"/>
      <c r="W140" s="16">
        <f t="shared" si="157"/>
        <v>0</v>
      </c>
      <c r="X140" s="14"/>
      <c r="Y140" s="15"/>
      <c r="Z140" s="16">
        <f t="shared" si="151"/>
        <v>0</v>
      </c>
      <c r="AA140" s="14"/>
      <c r="AB140" s="15"/>
      <c r="AC140" s="16">
        <f t="shared" si="158"/>
        <v>0</v>
      </c>
      <c r="AD140" s="14"/>
      <c r="AE140" s="15"/>
      <c r="AF140" s="16">
        <f t="shared" si="182"/>
        <v>0</v>
      </c>
      <c r="AG140" s="14"/>
      <c r="AH140" s="15"/>
      <c r="AI140" s="16">
        <f t="shared" si="147"/>
        <v>0</v>
      </c>
      <c r="AJ140" s="14"/>
      <c r="AK140" s="15"/>
      <c r="AL140" s="16">
        <f t="shared" si="160"/>
        <v>0</v>
      </c>
      <c r="AM140" s="14"/>
      <c r="AN140" s="15"/>
      <c r="AO140" s="16">
        <f t="shared" si="161"/>
        <v>0</v>
      </c>
      <c r="AP140" s="14"/>
      <c r="AQ140" s="15"/>
      <c r="AR140" s="16">
        <f t="shared" si="162"/>
        <v>0</v>
      </c>
      <c r="AS140" s="14"/>
      <c r="AT140" s="15"/>
      <c r="AU140" s="16">
        <f t="shared" si="152"/>
        <v>0</v>
      </c>
      <c r="AV140" s="14"/>
      <c r="AW140" s="15"/>
      <c r="AX140" s="16">
        <f t="shared" si="163"/>
        <v>0</v>
      </c>
      <c r="AY140" s="14"/>
      <c r="AZ140" s="15"/>
      <c r="BA140" s="16">
        <f t="shared" si="164"/>
        <v>0</v>
      </c>
      <c r="BB140" s="14"/>
      <c r="BC140" s="15"/>
      <c r="BD140" s="16">
        <f t="shared" si="165"/>
        <v>0</v>
      </c>
      <c r="BE140" s="14"/>
      <c r="BF140" s="15"/>
      <c r="BG140" s="16">
        <f t="shared" si="166"/>
        <v>0</v>
      </c>
      <c r="BH140" s="14"/>
      <c r="BI140" s="15"/>
      <c r="BJ140" s="16">
        <f t="shared" si="167"/>
        <v>0</v>
      </c>
      <c r="BK140" s="14"/>
      <c r="BL140" s="15"/>
      <c r="BM140" s="16">
        <f t="shared" si="179"/>
        <v>0</v>
      </c>
      <c r="BN140" s="14"/>
      <c r="BO140" s="15"/>
      <c r="BP140" s="16">
        <f t="shared" si="150"/>
        <v>0</v>
      </c>
      <c r="BQ140" s="14"/>
      <c r="BR140" s="15"/>
      <c r="BS140" s="16">
        <f t="shared" si="148"/>
        <v>0</v>
      </c>
      <c r="BT140" s="14"/>
      <c r="BU140" s="15"/>
      <c r="BV140" s="16">
        <f t="shared" si="168"/>
        <v>0</v>
      </c>
      <c r="BW140" s="14"/>
      <c r="BX140" s="15"/>
      <c r="BY140" s="16">
        <f t="shared" si="181"/>
        <v>0</v>
      </c>
      <c r="BZ140" s="14"/>
      <c r="CA140" s="15"/>
      <c r="CB140" s="16">
        <f t="shared" si="169"/>
        <v>0</v>
      </c>
      <c r="CC140" s="14"/>
      <c r="CD140" s="15"/>
      <c r="CE140" s="16">
        <f t="shared" si="170"/>
        <v>0</v>
      </c>
      <c r="CF140" s="14"/>
      <c r="CG140" s="15"/>
      <c r="CH140" s="16">
        <f t="shared" si="171"/>
        <v>0</v>
      </c>
      <c r="CI140" s="14"/>
      <c r="CJ140" s="15"/>
      <c r="CK140" s="16">
        <f t="shared" si="172"/>
        <v>0</v>
      </c>
      <c r="CL140" s="14"/>
      <c r="CM140" s="15"/>
      <c r="CN140" s="16">
        <f t="shared" si="173"/>
        <v>0</v>
      </c>
      <c r="CO140" s="14"/>
      <c r="CP140" s="15"/>
      <c r="CQ140" s="16">
        <f t="shared" si="174"/>
        <v>0</v>
      </c>
      <c r="CR140" s="14"/>
      <c r="CS140" s="15"/>
      <c r="CT140" s="16">
        <f t="shared" si="175"/>
        <v>0</v>
      </c>
      <c r="CU140" s="17">
        <f t="shared" si="176"/>
        <v>0</v>
      </c>
      <c r="CV140" s="16">
        <f t="shared" si="177"/>
        <v>0</v>
      </c>
      <c r="CW140" s="16">
        <f t="shared" si="178"/>
        <v>0</v>
      </c>
    </row>
    <row r="141" spans="1:102" x14ac:dyDescent="0.35">
      <c r="A141" s="76" t="s">
        <v>1031</v>
      </c>
      <c r="B141" s="41" t="s">
        <v>846</v>
      </c>
      <c r="C141" s="42"/>
      <c r="D141" s="43"/>
      <c r="E141" s="78">
        <f t="shared" si="153"/>
        <v>0</v>
      </c>
      <c r="F141" s="14"/>
      <c r="G141" s="15"/>
      <c r="H141" s="16">
        <f t="shared" si="154"/>
        <v>0</v>
      </c>
      <c r="I141" s="14"/>
      <c r="J141" s="15"/>
      <c r="K141" s="16">
        <f t="shared" si="180"/>
        <v>0</v>
      </c>
      <c r="L141" s="14"/>
      <c r="M141" s="15"/>
      <c r="N141" s="16">
        <f t="shared" si="155"/>
        <v>0</v>
      </c>
      <c r="O141" s="14"/>
      <c r="P141" s="15"/>
      <c r="Q141" s="16">
        <f t="shared" si="149"/>
        <v>0</v>
      </c>
      <c r="R141" s="14"/>
      <c r="S141" s="15"/>
      <c r="T141" s="16">
        <f t="shared" si="156"/>
        <v>0</v>
      </c>
      <c r="U141" s="14"/>
      <c r="V141" s="15"/>
      <c r="W141" s="16">
        <f t="shared" si="157"/>
        <v>0</v>
      </c>
      <c r="X141" s="14"/>
      <c r="Y141" s="15"/>
      <c r="Z141" s="16">
        <f t="shared" si="151"/>
        <v>0</v>
      </c>
      <c r="AA141" s="14"/>
      <c r="AB141" s="15"/>
      <c r="AC141" s="16">
        <f t="shared" si="158"/>
        <v>0</v>
      </c>
      <c r="AD141" s="14"/>
      <c r="AE141" s="15"/>
      <c r="AF141" s="16">
        <f t="shared" si="182"/>
        <v>0</v>
      </c>
      <c r="AG141" s="14"/>
      <c r="AH141" s="15"/>
      <c r="AI141" s="16">
        <f t="shared" si="147"/>
        <v>0</v>
      </c>
      <c r="AJ141" s="14"/>
      <c r="AK141" s="15"/>
      <c r="AL141" s="16">
        <f t="shared" si="160"/>
        <v>0</v>
      </c>
      <c r="AM141" s="14"/>
      <c r="AN141" s="15"/>
      <c r="AO141" s="16">
        <f t="shared" si="161"/>
        <v>0</v>
      </c>
      <c r="AP141" s="14"/>
      <c r="AQ141" s="15"/>
      <c r="AR141" s="16">
        <f t="shared" si="162"/>
        <v>0</v>
      </c>
      <c r="AS141" s="14"/>
      <c r="AT141" s="15"/>
      <c r="AU141" s="16">
        <f t="shared" si="152"/>
        <v>0</v>
      </c>
      <c r="AV141" s="14"/>
      <c r="AW141" s="15"/>
      <c r="AX141" s="16">
        <f t="shared" si="163"/>
        <v>0</v>
      </c>
      <c r="AY141" s="14"/>
      <c r="AZ141" s="15"/>
      <c r="BA141" s="16">
        <f t="shared" si="164"/>
        <v>0</v>
      </c>
      <c r="BB141" s="14"/>
      <c r="BC141" s="15"/>
      <c r="BD141" s="16">
        <f t="shared" si="165"/>
        <v>0</v>
      </c>
      <c r="BE141" s="14"/>
      <c r="BF141" s="15"/>
      <c r="BG141" s="16">
        <f t="shared" si="166"/>
        <v>0</v>
      </c>
      <c r="BH141" s="14"/>
      <c r="BI141" s="15"/>
      <c r="BJ141" s="16">
        <f t="shared" si="167"/>
        <v>0</v>
      </c>
      <c r="BK141" s="14"/>
      <c r="BL141" s="15"/>
      <c r="BM141" s="16">
        <f t="shared" si="179"/>
        <v>0</v>
      </c>
      <c r="BN141" s="14"/>
      <c r="BO141" s="15"/>
      <c r="BP141" s="16">
        <f t="shared" si="150"/>
        <v>0</v>
      </c>
      <c r="BQ141" s="14"/>
      <c r="BR141" s="15"/>
      <c r="BS141" s="16">
        <f t="shared" si="148"/>
        <v>0</v>
      </c>
      <c r="BT141" s="14"/>
      <c r="BU141" s="15"/>
      <c r="BV141" s="16">
        <f t="shared" si="168"/>
        <v>0</v>
      </c>
      <c r="BW141" s="14"/>
      <c r="BX141" s="15"/>
      <c r="BY141" s="16">
        <f t="shared" si="181"/>
        <v>0</v>
      </c>
      <c r="BZ141" s="14"/>
      <c r="CA141" s="15"/>
      <c r="CB141" s="16">
        <f t="shared" si="169"/>
        <v>0</v>
      </c>
      <c r="CC141" s="14"/>
      <c r="CD141" s="15"/>
      <c r="CE141" s="16">
        <f t="shared" si="170"/>
        <v>0</v>
      </c>
      <c r="CF141" s="14"/>
      <c r="CG141" s="15"/>
      <c r="CH141" s="16">
        <f t="shared" si="171"/>
        <v>0</v>
      </c>
      <c r="CI141" s="14"/>
      <c r="CJ141" s="15"/>
      <c r="CK141" s="16">
        <f t="shared" si="172"/>
        <v>0</v>
      </c>
      <c r="CL141" s="14"/>
      <c r="CM141" s="15"/>
      <c r="CN141" s="16">
        <f t="shared" si="173"/>
        <v>0</v>
      </c>
      <c r="CO141" s="14"/>
      <c r="CP141" s="15"/>
      <c r="CQ141" s="16">
        <f t="shared" si="174"/>
        <v>0</v>
      </c>
      <c r="CR141" s="14"/>
      <c r="CS141" s="15"/>
      <c r="CT141" s="16">
        <f t="shared" si="175"/>
        <v>0</v>
      </c>
      <c r="CU141" s="17">
        <f t="shared" si="176"/>
        <v>0</v>
      </c>
      <c r="CV141" s="16">
        <f t="shared" si="177"/>
        <v>0</v>
      </c>
      <c r="CW141" s="16">
        <f t="shared" si="178"/>
        <v>0</v>
      </c>
    </row>
    <row r="142" spans="1:102" x14ac:dyDescent="0.35">
      <c r="A142" s="76" t="s">
        <v>1032</v>
      </c>
      <c r="B142" s="41" t="s">
        <v>846</v>
      </c>
      <c r="C142" s="42"/>
      <c r="D142" s="43"/>
      <c r="E142" s="78">
        <f t="shared" si="153"/>
        <v>0</v>
      </c>
      <c r="F142" s="14"/>
      <c r="G142" s="15"/>
      <c r="H142" s="16">
        <f t="shared" si="154"/>
        <v>0</v>
      </c>
      <c r="I142" s="14"/>
      <c r="J142" s="15"/>
      <c r="K142" s="16">
        <f t="shared" si="180"/>
        <v>0</v>
      </c>
      <c r="L142" s="14"/>
      <c r="M142" s="15"/>
      <c r="N142" s="16">
        <f t="shared" si="155"/>
        <v>0</v>
      </c>
      <c r="O142" s="14"/>
      <c r="P142" s="15"/>
      <c r="Q142" s="16">
        <f t="shared" si="149"/>
        <v>0</v>
      </c>
      <c r="R142" s="14"/>
      <c r="S142" s="15"/>
      <c r="T142" s="16">
        <f t="shared" si="156"/>
        <v>0</v>
      </c>
      <c r="U142" s="14"/>
      <c r="V142" s="15"/>
      <c r="W142" s="16">
        <f t="shared" si="157"/>
        <v>0</v>
      </c>
      <c r="X142" s="14"/>
      <c r="Y142" s="15"/>
      <c r="Z142" s="16">
        <f t="shared" si="151"/>
        <v>0</v>
      </c>
      <c r="AA142" s="14"/>
      <c r="AB142" s="15"/>
      <c r="AC142" s="16">
        <f t="shared" si="158"/>
        <v>0</v>
      </c>
      <c r="AD142" s="14"/>
      <c r="AE142" s="15"/>
      <c r="AF142" s="16">
        <f t="shared" si="182"/>
        <v>0</v>
      </c>
      <c r="AG142" s="14"/>
      <c r="AH142" s="15"/>
      <c r="AI142" s="16">
        <f t="shared" si="147"/>
        <v>0</v>
      </c>
      <c r="AJ142" s="14"/>
      <c r="AK142" s="15"/>
      <c r="AL142" s="16">
        <f t="shared" si="160"/>
        <v>0</v>
      </c>
      <c r="AM142" s="14"/>
      <c r="AN142" s="15"/>
      <c r="AO142" s="16">
        <f t="shared" si="161"/>
        <v>0</v>
      </c>
      <c r="AP142" s="14"/>
      <c r="AQ142" s="15"/>
      <c r="AR142" s="16">
        <f t="shared" si="162"/>
        <v>0</v>
      </c>
      <c r="AS142" s="14"/>
      <c r="AT142" s="15"/>
      <c r="AU142" s="16">
        <f t="shared" si="152"/>
        <v>0</v>
      </c>
      <c r="AV142" s="14"/>
      <c r="AW142" s="15"/>
      <c r="AX142" s="16">
        <f t="shared" si="163"/>
        <v>0</v>
      </c>
      <c r="AY142" s="14"/>
      <c r="AZ142" s="15"/>
      <c r="BA142" s="16">
        <f t="shared" si="164"/>
        <v>0</v>
      </c>
      <c r="BB142" s="14"/>
      <c r="BC142" s="15"/>
      <c r="BD142" s="16">
        <f t="shared" si="165"/>
        <v>0</v>
      </c>
      <c r="BE142" s="14"/>
      <c r="BF142" s="15"/>
      <c r="BG142" s="16">
        <f t="shared" si="166"/>
        <v>0</v>
      </c>
      <c r="BH142" s="14"/>
      <c r="BI142" s="15"/>
      <c r="BJ142" s="16">
        <f t="shared" si="167"/>
        <v>0</v>
      </c>
      <c r="BK142" s="14"/>
      <c r="BL142" s="15"/>
      <c r="BM142" s="16">
        <f t="shared" si="179"/>
        <v>0</v>
      </c>
      <c r="BN142" s="14"/>
      <c r="BO142" s="15"/>
      <c r="BP142" s="16">
        <f t="shared" si="150"/>
        <v>0</v>
      </c>
      <c r="BQ142" s="14"/>
      <c r="BR142" s="15"/>
      <c r="BS142" s="16">
        <f t="shared" si="148"/>
        <v>0</v>
      </c>
      <c r="BT142" s="14"/>
      <c r="BU142" s="15"/>
      <c r="BV142" s="16">
        <f t="shared" si="168"/>
        <v>0</v>
      </c>
      <c r="BW142" s="14"/>
      <c r="BX142" s="15"/>
      <c r="BY142" s="16">
        <f t="shared" si="181"/>
        <v>0</v>
      </c>
      <c r="BZ142" s="14"/>
      <c r="CA142" s="15"/>
      <c r="CB142" s="16">
        <f t="shared" si="169"/>
        <v>0</v>
      </c>
      <c r="CC142" s="14"/>
      <c r="CD142" s="15"/>
      <c r="CE142" s="16">
        <f t="shared" si="170"/>
        <v>0</v>
      </c>
      <c r="CF142" s="14"/>
      <c r="CG142" s="15"/>
      <c r="CH142" s="16">
        <f t="shared" si="171"/>
        <v>0</v>
      </c>
      <c r="CI142" s="14"/>
      <c r="CJ142" s="15"/>
      <c r="CK142" s="16">
        <f t="shared" si="172"/>
        <v>0</v>
      </c>
      <c r="CL142" s="14"/>
      <c r="CM142" s="15"/>
      <c r="CN142" s="16">
        <f t="shared" si="173"/>
        <v>0</v>
      </c>
      <c r="CO142" s="14"/>
      <c r="CP142" s="15"/>
      <c r="CQ142" s="16">
        <f t="shared" si="174"/>
        <v>0</v>
      </c>
      <c r="CR142" s="14"/>
      <c r="CS142" s="15"/>
      <c r="CT142" s="16">
        <f t="shared" si="175"/>
        <v>0</v>
      </c>
      <c r="CU142" s="17">
        <f t="shared" si="176"/>
        <v>0</v>
      </c>
      <c r="CV142" s="16">
        <f t="shared" si="177"/>
        <v>0</v>
      </c>
      <c r="CW142" s="16">
        <f t="shared" si="178"/>
        <v>0</v>
      </c>
    </row>
    <row r="143" spans="1:102" x14ac:dyDescent="0.35">
      <c r="A143" s="76" t="s">
        <v>1033</v>
      </c>
      <c r="B143" s="41" t="s">
        <v>846</v>
      </c>
      <c r="C143" s="42"/>
      <c r="D143" s="43"/>
      <c r="E143" s="78">
        <f t="shared" si="153"/>
        <v>0</v>
      </c>
      <c r="F143" s="14"/>
      <c r="G143" s="15"/>
      <c r="H143" s="16">
        <f t="shared" si="154"/>
        <v>0</v>
      </c>
      <c r="I143" s="14"/>
      <c r="J143" s="15"/>
      <c r="K143" s="16">
        <f t="shared" si="180"/>
        <v>0</v>
      </c>
      <c r="L143" s="14"/>
      <c r="M143" s="15"/>
      <c r="N143" s="16">
        <f t="shared" si="155"/>
        <v>0</v>
      </c>
      <c r="O143" s="14"/>
      <c r="P143" s="15"/>
      <c r="Q143" s="16">
        <f t="shared" si="149"/>
        <v>0</v>
      </c>
      <c r="R143" s="14"/>
      <c r="S143" s="15"/>
      <c r="T143" s="16">
        <f t="shared" si="156"/>
        <v>0</v>
      </c>
      <c r="U143" s="14"/>
      <c r="V143" s="15"/>
      <c r="W143" s="16">
        <f t="shared" si="157"/>
        <v>0</v>
      </c>
      <c r="X143" s="14"/>
      <c r="Y143" s="15"/>
      <c r="Z143" s="16">
        <f t="shared" si="151"/>
        <v>0</v>
      </c>
      <c r="AA143" s="14"/>
      <c r="AB143" s="15"/>
      <c r="AC143" s="16">
        <f t="shared" si="158"/>
        <v>0</v>
      </c>
      <c r="AD143" s="14"/>
      <c r="AE143" s="15"/>
      <c r="AF143" s="16">
        <f t="shared" si="182"/>
        <v>0</v>
      </c>
      <c r="AG143" s="14"/>
      <c r="AH143" s="15"/>
      <c r="AI143" s="16">
        <f t="shared" si="147"/>
        <v>0</v>
      </c>
      <c r="AJ143" s="14"/>
      <c r="AK143" s="15"/>
      <c r="AL143" s="16">
        <f t="shared" si="160"/>
        <v>0</v>
      </c>
      <c r="AM143" s="14"/>
      <c r="AN143" s="15"/>
      <c r="AO143" s="16">
        <f t="shared" si="161"/>
        <v>0</v>
      </c>
      <c r="AP143" s="14"/>
      <c r="AQ143" s="15"/>
      <c r="AR143" s="16">
        <f t="shared" si="162"/>
        <v>0</v>
      </c>
      <c r="AS143" s="14"/>
      <c r="AT143" s="15"/>
      <c r="AU143" s="16">
        <f t="shared" si="152"/>
        <v>0</v>
      </c>
      <c r="AV143" s="14"/>
      <c r="AW143" s="15"/>
      <c r="AX143" s="16">
        <f t="shared" si="163"/>
        <v>0</v>
      </c>
      <c r="AY143" s="14"/>
      <c r="AZ143" s="15"/>
      <c r="BA143" s="16">
        <f t="shared" si="164"/>
        <v>0</v>
      </c>
      <c r="BB143" s="14"/>
      <c r="BC143" s="15"/>
      <c r="BD143" s="16">
        <f t="shared" si="165"/>
        <v>0</v>
      </c>
      <c r="BE143" s="14"/>
      <c r="BF143" s="15"/>
      <c r="BG143" s="16">
        <f t="shared" si="166"/>
        <v>0</v>
      </c>
      <c r="BH143" s="14"/>
      <c r="BI143" s="15"/>
      <c r="BJ143" s="16">
        <f t="shared" si="167"/>
        <v>0</v>
      </c>
      <c r="BK143" s="14"/>
      <c r="BL143" s="15"/>
      <c r="BM143" s="16">
        <f t="shared" si="179"/>
        <v>0</v>
      </c>
      <c r="BN143" s="14"/>
      <c r="BO143" s="15"/>
      <c r="BP143" s="16">
        <f t="shared" si="150"/>
        <v>0</v>
      </c>
      <c r="BQ143" s="14"/>
      <c r="BR143" s="15"/>
      <c r="BS143" s="16">
        <f t="shared" si="148"/>
        <v>0</v>
      </c>
      <c r="BT143" s="14"/>
      <c r="BU143" s="15"/>
      <c r="BV143" s="16">
        <f t="shared" si="168"/>
        <v>0</v>
      </c>
      <c r="BW143" s="14"/>
      <c r="BX143" s="15"/>
      <c r="BY143" s="16">
        <f t="shared" si="181"/>
        <v>0</v>
      </c>
      <c r="BZ143" s="14"/>
      <c r="CA143" s="15"/>
      <c r="CB143" s="16">
        <f t="shared" si="169"/>
        <v>0</v>
      </c>
      <c r="CC143" s="14"/>
      <c r="CD143" s="15"/>
      <c r="CE143" s="16">
        <f t="shared" si="170"/>
        <v>0</v>
      </c>
      <c r="CF143" s="14"/>
      <c r="CG143" s="15"/>
      <c r="CH143" s="16">
        <f t="shared" si="171"/>
        <v>0</v>
      </c>
      <c r="CI143" s="14"/>
      <c r="CJ143" s="15"/>
      <c r="CK143" s="16">
        <f t="shared" si="172"/>
        <v>0</v>
      </c>
      <c r="CL143" s="14"/>
      <c r="CM143" s="15"/>
      <c r="CN143" s="16">
        <f t="shared" si="173"/>
        <v>0</v>
      </c>
      <c r="CO143" s="14"/>
      <c r="CP143" s="15"/>
      <c r="CQ143" s="16">
        <f t="shared" si="174"/>
        <v>0</v>
      </c>
      <c r="CR143" s="14"/>
      <c r="CS143" s="15"/>
      <c r="CT143" s="16">
        <f t="shared" si="175"/>
        <v>0</v>
      </c>
      <c r="CU143" s="17">
        <f t="shared" si="176"/>
        <v>0</v>
      </c>
      <c r="CV143" s="16">
        <f t="shared" si="177"/>
        <v>0</v>
      </c>
      <c r="CW143" s="16">
        <f t="shared" si="178"/>
        <v>0</v>
      </c>
    </row>
    <row r="144" spans="1:102" x14ac:dyDescent="0.35">
      <c r="A144" s="76" t="s">
        <v>1034</v>
      </c>
      <c r="B144" s="41" t="s">
        <v>846</v>
      </c>
      <c r="C144" s="42"/>
      <c r="D144" s="43"/>
      <c r="E144" s="78">
        <f t="shared" si="153"/>
        <v>0</v>
      </c>
      <c r="F144" s="14"/>
      <c r="G144" s="15"/>
      <c r="H144" s="16">
        <f t="shared" si="154"/>
        <v>0</v>
      </c>
      <c r="I144" s="14"/>
      <c r="J144" s="15"/>
      <c r="K144" s="16">
        <f t="shared" si="180"/>
        <v>0</v>
      </c>
      <c r="L144" s="14"/>
      <c r="M144" s="15"/>
      <c r="N144" s="16">
        <f t="shared" si="155"/>
        <v>0</v>
      </c>
      <c r="O144" s="14"/>
      <c r="P144" s="15"/>
      <c r="Q144" s="16">
        <f t="shared" si="149"/>
        <v>0</v>
      </c>
      <c r="R144" s="14"/>
      <c r="S144" s="15"/>
      <c r="T144" s="16">
        <f t="shared" si="156"/>
        <v>0</v>
      </c>
      <c r="U144" s="14"/>
      <c r="V144" s="15"/>
      <c r="W144" s="16">
        <f t="shared" si="157"/>
        <v>0</v>
      </c>
      <c r="X144" s="14"/>
      <c r="Y144" s="15"/>
      <c r="Z144" s="16">
        <f t="shared" si="151"/>
        <v>0</v>
      </c>
      <c r="AA144" s="14"/>
      <c r="AB144" s="15"/>
      <c r="AC144" s="16">
        <f t="shared" si="158"/>
        <v>0</v>
      </c>
      <c r="AD144" s="14"/>
      <c r="AE144" s="15"/>
      <c r="AF144" s="16">
        <f t="shared" si="182"/>
        <v>0</v>
      </c>
      <c r="AG144" s="14"/>
      <c r="AH144" s="15"/>
      <c r="AI144" s="16">
        <f t="shared" si="147"/>
        <v>0</v>
      </c>
      <c r="AJ144" s="14"/>
      <c r="AK144" s="15"/>
      <c r="AL144" s="16">
        <f t="shared" si="160"/>
        <v>0</v>
      </c>
      <c r="AM144" s="14"/>
      <c r="AN144" s="15"/>
      <c r="AO144" s="16">
        <f t="shared" si="161"/>
        <v>0</v>
      </c>
      <c r="AP144" s="14"/>
      <c r="AQ144" s="15"/>
      <c r="AR144" s="16">
        <f t="shared" si="162"/>
        <v>0</v>
      </c>
      <c r="AS144" s="14"/>
      <c r="AT144" s="15"/>
      <c r="AU144" s="16">
        <f t="shared" si="152"/>
        <v>0</v>
      </c>
      <c r="AV144" s="14"/>
      <c r="AW144" s="15"/>
      <c r="AX144" s="16">
        <f t="shared" si="163"/>
        <v>0</v>
      </c>
      <c r="AY144" s="14"/>
      <c r="AZ144" s="15"/>
      <c r="BA144" s="16">
        <f t="shared" si="164"/>
        <v>0</v>
      </c>
      <c r="BB144" s="14"/>
      <c r="BC144" s="15"/>
      <c r="BD144" s="16">
        <f t="shared" si="165"/>
        <v>0</v>
      </c>
      <c r="BE144" s="14"/>
      <c r="BF144" s="15"/>
      <c r="BG144" s="16">
        <f t="shared" si="166"/>
        <v>0</v>
      </c>
      <c r="BH144" s="14"/>
      <c r="BI144" s="15"/>
      <c r="BJ144" s="16">
        <f t="shared" si="167"/>
        <v>0</v>
      </c>
      <c r="BK144" s="14"/>
      <c r="BL144" s="15"/>
      <c r="BM144" s="16">
        <f t="shared" si="179"/>
        <v>0</v>
      </c>
      <c r="BN144" s="14"/>
      <c r="BO144" s="15"/>
      <c r="BP144" s="16">
        <f t="shared" si="150"/>
        <v>0</v>
      </c>
      <c r="BQ144" s="14"/>
      <c r="BR144" s="15"/>
      <c r="BS144" s="16">
        <f t="shared" si="148"/>
        <v>0</v>
      </c>
      <c r="BT144" s="14"/>
      <c r="BU144" s="15"/>
      <c r="BV144" s="16">
        <f t="shared" si="168"/>
        <v>0</v>
      </c>
      <c r="BW144" s="14"/>
      <c r="BX144" s="15"/>
      <c r="BY144" s="16">
        <f t="shared" si="181"/>
        <v>0</v>
      </c>
      <c r="BZ144" s="14"/>
      <c r="CA144" s="15"/>
      <c r="CB144" s="16">
        <f t="shared" si="169"/>
        <v>0</v>
      </c>
      <c r="CC144" s="14"/>
      <c r="CD144" s="15"/>
      <c r="CE144" s="16">
        <f t="shared" si="170"/>
        <v>0</v>
      </c>
      <c r="CF144" s="14"/>
      <c r="CG144" s="15"/>
      <c r="CH144" s="16">
        <f t="shared" si="171"/>
        <v>0</v>
      </c>
      <c r="CI144" s="14"/>
      <c r="CJ144" s="15"/>
      <c r="CK144" s="16">
        <f t="shared" si="172"/>
        <v>0</v>
      </c>
      <c r="CL144" s="14"/>
      <c r="CM144" s="15"/>
      <c r="CN144" s="16">
        <f t="shared" si="173"/>
        <v>0</v>
      </c>
      <c r="CO144" s="14"/>
      <c r="CP144" s="15"/>
      <c r="CQ144" s="16">
        <f t="shared" si="174"/>
        <v>0</v>
      </c>
      <c r="CR144" s="14"/>
      <c r="CS144" s="15"/>
      <c r="CT144" s="16">
        <f t="shared" si="175"/>
        <v>0</v>
      </c>
      <c r="CU144" s="17">
        <f t="shared" si="176"/>
        <v>0</v>
      </c>
      <c r="CV144" s="16">
        <f t="shared" si="177"/>
        <v>0</v>
      </c>
      <c r="CW144" s="16">
        <f t="shared" si="178"/>
        <v>0</v>
      </c>
    </row>
    <row r="145" spans="1:101" x14ac:dyDescent="0.35">
      <c r="A145" s="76" t="s">
        <v>1035</v>
      </c>
      <c r="B145" s="41" t="s">
        <v>846</v>
      </c>
      <c r="C145" s="42"/>
      <c r="D145" s="43"/>
      <c r="E145" s="78">
        <f t="shared" si="153"/>
        <v>0</v>
      </c>
      <c r="F145" s="14"/>
      <c r="G145" s="15"/>
      <c r="H145" s="16">
        <f t="shared" si="154"/>
        <v>0</v>
      </c>
      <c r="I145" s="14"/>
      <c r="J145" s="15"/>
      <c r="K145" s="16">
        <f t="shared" si="180"/>
        <v>0</v>
      </c>
      <c r="L145" s="14"/>
      <c r="M145" s="15"/>
      <c r="N145" s="16">
        <f t="shared" si="155"/>
        <v>0</v>
      </c>
      <c r="O145" s="14"/>
      <c r="P145" s="15"/>
      <c r="Q145" s="16">
        <f t="shared" si="149"/>
        <v>0</v>
      </c>
      <c r="R145" s="14"/>
      <c r="S145" s="15"/>
      <c r="T145" s="16">
        <f t="shared" si="156"/>
        <v>0</v>
      </c>
      <c r="U145" s="14"/>
      <c r="V145" s="15"/>
      <c r="W145" s="16">
        <f t="shared" si="157"/>
        <v>0</v>
      </c>
      <c r="X145" s="14"/>
      <c r="Y145" s="15"/>
      <c r="Z145" s="16">
        <f t="shared" si="151"/>
        <v>0</v>
      </c>
      <c r="AA145" s="14"/>
      <c r="AB145" s="15"/>
      <c r="AC145" s="16">
        <f t="shared" si="158"/>
        <v>0</v>
      </c>
      <c r="AD145" s="14"/>
      <c r="AE145" s="15"/>
      <c r="AF145" s="16">
        <f t="shared" si="182"/>
        <v>0</v>
      </c>
      <c r="AG145" s="14"/>
      <c r="AH145" s="15"/>
      <c r="AI145" s="16">
        <f t="shared" si="147"/>
        <v>0</v>
      </c>
      <c r="AJ145" s="14"/>
      <c r="AK145" s="15"/>
      <c r="AL145" s="16">
        <f t="shared" si="160"/>
        <v>0</v>
      </c>
      <c r="AM145" s="14"/>
      <c r="AN145" s="15"/>
      <c r="AO145" s="16">
        <f t="shared" si="161"/>
        <v>0</v>
      </c>
      <c r="AP145" s="14"/>
      <c r="AQ145" s="15"/>
      <c r="AR145" s="16">
        <f t="shared" si="162"/>
        <v>0</v>
      </c>
      <c r="AS145" s="14"/>
      <c r="AT145" s="15"/>
      <c r="AU145" s="16">
        <f t="shared" si="152"/>
        <v>0</v>
      </c>
      <c r="AV145" s="14"/>
      <c r="AW145" s="15"/>
      <c r="AX145" s="16">
        <f t="shared" si="163"/>
        <v>0</v>
      </c>
      <c r="AY145" s="14"/>
      <c r="AZ145" s="15"/>
      <c r="BA145" s="16">
        <f t="shared" si="164"/>
        <v>0</v>
      </c>
      <c r="BB145" s="14"/>
      <c r="BC145" s="15"/>
      <c r="BD145" s="16">
        <f t="shared" si="165"/>
        <v>0</v>
      </c>
      <c r="BE145" s="14"/>
      <c r="BF145" s="15"/>
      <c r="BG145" s="16">
        <f t="shared" si="166"/>
        <v>0</v>
      </c>
      <c r="BH145" s="14"/>
      <c r="BI145" s="15"/>
      <c r="BJ145" s="16">
        <f t="shared" si="167"/>
        <v>0</v>
      </c>
      <c r="BK145" s="14"/>
      <c r="BL145" s="15"/>
      <c r="BM145" s="16">
        <f t="shared" si="179"/>
        <v>0</v>
      </c>
      <c r="BN145" s="14"/>
      <c r="BO145" s="15"/>
      <c r="BP145" s="16">
        <f t="shared" si="150"/>
        <v>0</v>
      </c>
      <c r="BQ145" s="14"/>
      <c r="BR145" s="15"/>
      <c r="BS145" s="16">
        <f t="shared" si="148"/>
        <v>0</v>
      </c>
      <c r="BT145" s="14"/>
      <c r="BU145" s="15"/>
      <c r="BV145" s="16">
        <f t="shared" si="168"/>
        <v>0</v>
      </c>
      <c r="BW145" s="14"/>
      <c r="BX145" s="15"/>
      <c r="BY145" s="16">
        <f t="shared" si="181"/>
        <v>0</v>
      </c>
      <c r="BZ145" s="14"/>
      <c r="CA145" s="15"/>
      <c r="CB145" s="16">
        <f t="shared" si="169"/>
        <v>0</v>
      </c>
      <c r="CC145" s="14"/>
      <c r="CD145" s="15"/>
      <c r="CE145" s="16">
        <f t="shared" si="170"/>
        <v>0</v>
      </c>
      <c r="CF145" s="14"/>
      <c r="CG145" s="15"/>
      <c r="CH145" s="16">
        <f t="shared" si="171"/>
        <v>0</v>
      </c>
      <c r="CI145" s="14"/>
      <c r="CJ145" s="15"/>
      <c r="CK145" s="16">
        <f t="shared" si="172"/>
        <v>0</v>
      </c>
      <c r="CL145" s="14"/>
      <c r="CM145" s="15"/>
      <c r="CN145" s="16">
        <f t="shared" si="173"/>
        <v>0</v>
      </c>
      <c r="CO145" s="14"/>
      <c r="CP145" s="15"/>
      <c r="CQ145" s="16">
        <f t="shared" si="174"/>
        <v>0</v>
      </c>
      <c r="CR145" s="14"/>
      <c r="CS145" s="15"/>
      <c r="CT145" s="16">
        <f t="shared" si="175"/>
        <v>0</v>
      </c>
      <c r="CU145" s="17">
        <f t="shared" si="176"/>
        <v>0</v>
      </c>
      <c r="CV145" s="16">
        <f t="shared" si="177"/>
        <v>0</v>
      </c>
      <c r="CW145" s="16">
        <f t="shared" si="178"/>
        <v>0</v>
      </c>
    </row>
    <row r="146" spans="1:101" x14ac:dyDescent="0.35">
      <c r="A146" s="76" t="s">
        <v>1036</v>
      </c>
      <c r="B146" s="41" t="s">
        <v>846</v>
      </c>
      <c r="C146" s="42"/>
      <c r="D146" s="43"/>
      <c r="E146" s="78">
        <f t="shared" si="153"/>
        <v>0</v>
      </c>
      <c r="F146" s="14"/>
      <c r="G146" s="15"/>
      <c r="H146" s="16">
        <f t="shared" si="154"/>
        <v>0</v>
      </c>
      <c r="I146" s="14"/>
      <c r="J146" s="15"/>
      <c r="K146" s="16">
        <f t="shared" si="180"/>
        <v>0</v>
      </c>
      <c r="L146" s="14"/>
      <c r="M146" s="15"/>
      <c r="N146" s="16">
        <f t="shared" si="155"/>
        <v>0</v>
      </c>
      <c r="O146" s="14"/>
      <c r="P146" s="15"/>
      <c r="Q146" s="16">
        <f t="shared" si="149"/>
        <v>0</v>
      </c>
      <c r="R146" s="14"/>
      <c r="S146" s="15"/>
      <c r="T146" s="16">
        <f t="shared" si="156"/>
        <v>0</v>
      </c>
      <c r="U146" s="14"/>
      <c r="V146" s="15"/>
      <c r="W146" s="16">
        <f t="shared" si="157"/>
        <v>0</v>
      </c>
      <c r="X146" s="14"/>
      <c r="Y146" s="15"/>
      <c r="Z146" s="16">
        <f t="shared" si="151"/>
        <v>0</v>
      </c>
      <c r="AA146" s="14"/>
      <c r="AB146" s="15"/>
      <c r="AC146" s="16">
        <f t="shared" si="158"/>
        <v>0</v>
      </c>
      <c r="AD146" s="14"/>
      <c r="AE146" s="15"/>
      <c r="AF146" s="16">
        <f t="shared" si="182"/>
        <v>0</v>
      </c>
      <c r="AG146" s="14"/>
      <c r="AH146" s="15"/>
      <c r="AI146" s="16">
        <f t="shared" si="147"/>
        <v>0</v>
      </c>
      <c r="AJ146" s="14"/>
      <c r="AK146" s="15"/>
      <c r="AL146" s="16">
        <f t="shared" si="160"/>
        <v>0</v>
      </c>
      <c r="AM146" s="14"/>
      <c r="AN146" s="15"/>
      <c r="AO146" s="16">
        <f t="shared" si="161"/>
        <v>0</v>
      </c>
      <c r="AP146" s="14"/>
      <c r="AQ146" s="15"/>
      <c r="AR146" s="16">
        <f t="shared" si="162"/>
        <v>0</v>
      </c>
      <c r="AS146" s="14"/>
      <c r="AT146" s="15"/>
      <c r="AU146" s="16">
        <f t="shared" si="152"/>
        <v>0</v>
      </c>
      <c r="AV146" s="14"/>
      <c r="AW146" s="15"/>
      <c r="AX146" s="16">
        <f t="shared" si="163"/>
        <v>0</v>
      </c>
      <c r="AY146" s="14"/>
      <c r="AZ146" s="15"/>
      <c r="BA146" s="16">
        <f t="shared" si="164"/>
        <v>0</v>
      </c>
      <c r="BB146" s="14"/>
      <c r="BC146" s="15"/>
      <c r="BD146" s="16">
        <f t="shared" si="165"/>
        <v>0</v>
      </c>
      <c r="BE146" s="14"/>
      <c r="BF146" s="15"/>
      <c r="BG146" s="16">
        <f t="shared" si="166"/>
        <v>0</v>
      </c>
      <c r="BH146" s="14"/>
      <c r="BI146" s="15"/>
      <c r="BJ146" s="16">
        <f t="shared" si="167"/>
        <v>0</v>
      </c>
      <c r="BK146" s="14"/>
      <c r="BL146" s="15"/>
      <c r="BM146" s="16">
        <f t="shared" si="179"/>
        <v>0</v>
      </c>
      <c r="BN146" s="14"/>
      <c r="BO146" s="15"/>
      <c r="BP146" s="16">
        <f t="shared" si="150"/>
        <v>0</v>
      </c>
      <c r="BQ146" s="14"/>
      <c r="BR146" s="15"/>
      <c r="BS146" s="16">
        <f t="shared" si="148"/>
        <v>0</v>
      </c>
      <c r="BT146" s="14"/>
      <c r="BU146" s="15"/>
      <c r="BV146" s="16">
        <f t="shared" si="168"/>
        <v>0</v>
      </c>
      <c r="BW146" s="14"/>
      <c r="BX146" s="15"/>
      <c r="BY146" s="16">
        <f t="shared" si="181"/>
        <v>0</v>
      </c>
      <c r="BZ146" s="14"/>
      <c r="CA146" s="15"/>
      <c r="CB146" s="16">
        <f t="shared" si="169"/>
        <v>0</v>
      </c>
      <c r="CC146" s="14"/>
      <c r="CD146" s="15"/>
      <c r="CE146" s="16">
        <f t="shared" si="170"/>
        <v>0</v>
      </c>
      <c r="CF146" s="14"/>
      <c r="CG146" s="15"/>
      <c r="CH146" s="16">
        <f t="shared" si="171"/>
        <v>0</v>
      </c>
      <c r="CI146" s="14"/>
      <c r="CJ146" s="15"/>
      <c r="CK146" s="16">
        <f t="shared" si="172"/>
        <v>0</v>
      </c>
      <c r="CL146" s="14"/>
      <c r="CM146" s="15"/>
      <c r="CN146" s="16">
        <f t="shared" si="173"/>
        <v>0</v>
      </c>
      <c r="CO146" s="14"/>
      <c r="CP146" s="15"/>
      <c r="CQ146" s="16">
        <f t="shared" si="174"/>
        <v>0</v>
      </c>
      <c r="CR146" s="14"/>
      <c r="CS146" s="15"/>
      <c r="CT146" s="16">
        <f t="shared" si="175"/>
        <v>0</v>
      </c>
      <c r="CU146" s="17">
        <f t="shared" si="176"/>
        <v>0</v>
      </c>
      <c r="CV146" s="16">
        <f t="shared" si="177"/>
        <v>0</v>
      </c>
      <c r="CW146" s="16">
        <f t="shared" si="178"/>
        <v>0</v>
      </c>
    </row>
    <row r="147" spans="1:101" x14ac:dyDescent="0.35">
      <c r="A147" s="76" t="s">
        <v>1037</v>
      </c>
      <c r="B147" s="41" t="s">
        <v>846</v>
      </c>
      <c r="C147" s="42"/>
      <c r="D147" s="43"/>
      <c r="E147" s="78">
        <f t="shared" si="153"/>
        <v>0</v>
      </c>
      <c r="F147" s="14"/>
      <c r="G147" s="15"/>
      <c r="H147" s="16">
        <f t="shared" si="154"/>
        <v>0</v>
      </c>
      <c r="I147" s="14"/>
      <c r="J147" s="15"/>
      <c r="K147" s="16">
        <f t="shared" si="180"/>
        <v>0</v>
      </c>
      <c r="L147" s="14"/>
      <c r="M147" s="15"/>
      <c r="N147" s="16">
        <f t="shared" si="155"/>
        <v>0</v>
      </c>
      <c r="O147" s="14"/>
      <c r="P147" s="15"/>
      <c r="Q147" s="16">
        <f t="shared" si="149"/>
        <v>0</v>
      </c>
      <c r="R147" s="14"/>
      <c r="S147" s="15"/>
      <c r="T147" s="16">
        <f t="shared" si="156"/>
        <v>0</v>
      </c>
      <c r="U147" s="14"/>
      <c r="V147" s="15"/>
      <c r="W147" s="16">
        <f t="shared" si="157"/>
        <v>0</v>
      </c>
      <c r="X147" s="14"/>
      <c r="Y147" s="15"/>
      <c r="Z147" s="16">
        <f t="shared" si="151"/>
        <v>0</v>
      </c>
      <c r="AA147" s="14"/>
      <c r="AB147" s="15"/>
      <c r="AC147" s="16">
        <f t="shared" si="158"/>
        <v>0</v>
      </c>
      <c r="AD147" s="14"/>
      <c r="AE147" s="15"/>
      <c r="AF147" s="16">
        <f t="shared" si="182"/>
        <v>0</v>
      </c>
      <c r="AG147" s="14"/>
      <c r="AH147" s="15"/>
      <c r="AI147" s="16">
        <f t="shared" si="147"/>
        <v>0</v>
      </c>
      <c r="AJ147" s="14"/>
      <c r="AK147" s="15"/>
      <c r="AL147" s="16">
        <f t="shared" si="160"/>
        <v>0</v>
      </c>
      <c r="AM147" s="14"/>
      <c r="AN147" s="15"/>
      <c r="AO147" s="16">
        <f t="shared" si="161"/>
        <v>0</v>
      </c>
      <c r="AP147" s="14"/>
      <c r="AQ147" s="15"/>
      <c r="AR147" s="16">
        <f t="shared" si="162"/>
        <v>0</v>
      </c>
      <c r="AS147" s="14"/>
      <c r="AT147" s="15"/>
      <c r="AU147" s="16">
        <f t="shared" si="152"/>
        <v>0</v>
      </c>
      <c r="AV147" s="14"/>
      <c r="AW147" s="15"/>
      <c r="AX147" s="16">
        <f t="shared" si="163"/>
        <v>0</v>
      </c>
      <c r="AY147" s="14"/>
      <c r="AZ147" s="15"/>
      <c r="BA147" s="16">
        <f t="shared" si="164"/>
        <v>0</v>
      </c>
      <c r="BB147" s="14"/>
      <c r="BC147" s="15"/>
      <c r="BD147" s="16">
        <f t="shared" si="165"/>
        <v>0</v>
      </c>
      <c r="BE147" s="14"/>
      <c r="BF147" s="15"/>
      <c r="BG147" s="16">
        <f t="shared" si="166"/>
        <v>0</v>
      </c>
      <c r="BH147" s="14"/>
      <c r="BI147" s="15"/>
      <c r="BJ147" s="16">
        <f t="shared" si="167"/>
        <v>0</v>
      </c>
      <c r="BK147" s="14"/>
      <c r="BL147" s="15"/>
      <c r="BM147" s="16">
        <f t="shared" si="179"/>
        <v>0</v>
      </c>
      <c r="BN147" s="14"/>
      <c r="BO147" s="15"/>
      <c r="BP147" s="16">
        <f t="shared" si="150"/>
        <v>0</v>
      </c>
      <c r="BQ147" s="14"/>
      <c r="BR147" s="15"/>
      <c r="BS147" s="16">
        <f t="shared" si="148"/>
        <v>0</v>
      </c>
      <c r="BT147" s="14"/>
      <c r="BU147" s="15"/>
      <c r="BV147" s="16">
        <f t="shared" si="168"/>
        <v>0</v>
      </c>
      <c r="BW147" s="14"/>
      <c r="BX147" s="15"/>
      <c r="BY147" s="16">
        <f t="shared" si="181"/>
        <v>0</v>
      </c>
      <c r="BZ147" s="14"/>
      <c r="CA147" s="15"/>
      <c r="CB147" s="16">
        <f t="shared" si="169"/>
        <v>0</v>
      </c>
      <c r="CC147" s="14"/>
      <c r="CD147" s="15"/>
      <c r="CE147" s="16">
        <f t="shared" si="170"/>
        <v>0</v>
      </c>
      <c r="CF147" s="14"/>
      <c r="CG147" s="15"/>
      <c r="CH147" s="16">
        <f t="shared" si="171"/>
        <v>0</v>
      </c>
      <c r="CI147" s="14"/>
      <c r="CJ147" s="15"/>
      <c r="CK147" s="16">
        <f t="shared" si="172"/>
        <v>0</v>
      </c>
      <c r="CL147" s="14"/>
      <c r="CM147" s="15"/>
      <c r="CN147" s="16">
        <f t="shared" si="173"/>
        <v>0</v>
      </c>
      <c r="CO147" s="14"/>
      <c r="CP147" s="15"/>
      <c r="CQ147" s="16">
        <f t="shared" si="174"/>
        <v>0</v>
      </c>
      <c r="CR147" s="14"/>
      <c r="CS147" s="15"/>
      <c r="CT147" s="16">
        <f t="shared" si="175"/>
        <v>0</v>
      </c>
      <c r="CU147" s="17">
        <f t="shared" si="176"/>
        <v>0</v>
      </c>
      <c r="CV147" s="16">
        <f t="shared" si="177"/>
        <v>0</v>
      </c>
      <c r="CW147" s="16">
        <f t="shared" si="178"/>
        <v>0</v>
      </c>
    </row>
    <row r="148" spans="1:101" x14ac:dyDescent="0.35">
      <c r="A148" s="76" t="s">
        <v>1038</v>
      </c>
      <c r="B148" s="41" t="s">
        <v>846</v>
      </c>
      <c r="C148" s="42"/>
      <c r="D148" s="43"/>
      <c r="E148" s="78">
        <f t="shared" si="153"/>
        <v>0</v>
      </c>
      <c r="F148" s="14"/>
      <c r="G148" s="15"/>
      <c r="H148" s="16">
        <f t="shared" si="154"/>
        <v>0</v>
      </c>
      <c r="I148" s="14"/>
      <c r="J148" s="15"/>
      <c r="K148" s="16">
        <f t="shared" si="180"/>
        <v>0</v>
      </c>
      <c r="L148" s="14"/>
      <c r="M148" s="15"/>
      <c r="N148" s="16">
        <f t="shared" si="155"/>
        <v>0</v>
      </c>
      <c r="O148" s="14"/>
      <c r="P148" s="15"/>
      <c r="Q148" s="16">
        <f t="shared" si="149"/>
        <v>0</v>
      </c>
      <c r="R148" s="14"/>
      <c r="S148" s="15"/>
      <c r="T148" s="16">
        <f t="shared" si="156"/>
        <v>0</v>
      </c>
      <c r="U148" s="14"/>
      <c r="V148" s="15"/>
      <c r="W148" s="16">
        <f t="shared" si="157"/>
        <v>0</v>
      </c>
      <c r="X148" s="14"/>
      <c r="Y148" s="15"/>
      <c r="Z148" s="16">
        <f t="shared" si="151"/>
        <v>0</v>
      </c>
      <c r="AA148" s="14"/>
      <c r="AB148" s="15"/>
      <c r="AC148" s="16">
        <f t="shared" si="158"/>
        <v>0</v>
      </c>
      <c r="AD148" s="14"/>
      <c r="AE148" s="15"/>
      <c r="AF148" s="16">
        <f t="shared" si="182"/>
        <v>0</v>
      </c>
      <c r="AG148" s="14"/>
      <c r="AH148" s="15"/>
      <c r="AI148" s="16">
        <f t="shared" si="147"/>
        <v>0</v>
      </c>
      <c r="AJ148" s="14"/>
      <c r="AK148" s="15"/>
      <c r="AL148" s="16">
        <f t="shared" si="160"/>
        <v>0</v>
      </c>
      <c r="AM148" s="14"/>
      <c r="AN148" s="15"/>
      <c r="AO148" s="16">
        <f t="shared" si="161"/>
        <v>0</v>
      </c>
      <c r="AP148" s="14"/>
      <c r="AQ148" s="15"/>
      <c r="AR148" s="16">
        <f t="shared" si="162"/>
        <v>0</v>
      </c>
      <c r="AS148" s="14"/>
      <c r="AT148" s="15"/>
      <c r="AU148" s="16">
        <f t="shared" si="152"/>
        <v>0</v>
      </c>
      <c r="AV148" s="14"/>
      <c r="AW148" s="15"/>
      <c r="AX148" s="16">
        <f t="shared" si="163"/>
        <v>0</v>
      </c>
      <c r="AY148" s="14"/>
      <c r="AZ148" s="15"/>
      <c r="BA148" s="16">
        <f t="shared" si="164"/>
        <v>0</v>
      </c>
      <c r="BB148" s="14"/>
      <c r="BC148" s="15"/>
      <c r="BD148" s="16">
        <f t="shared" si="165"/>
        <v>0</v>
      </c>
      <c r="BE148" s="14"/>
      <c r="BF148" s="15"/>
      <c r="BG148" s="16">
        <f t="shared" si="166"/>
        <v>0</v>
      </c>
      <c r="BH148" s="14"/>
      <c r="BI148" s="15"/>
      <c r="BJ148" s="16">
        <f t="shared" si="167"/>
        <v>0</v>
      </c>
      <c r="BK148" s="14"/>
      <c r="BL148" s="15"/>
      <c r="BM148" s="16">
        <f t="shared" si="179"/>
        <v>0</v>
      </c>
      <c r="BN148" s="14"/>
      <c r="BO148" s="15"/>
      <c r="BP148" s="16">
        <f t="shared" si="150"/>
        <v>0</v>
      </c>
      <c r="BQ148" s="14"/>
      <c r="BR148" s="15"/>
      <c r="BS148" s="16">
        <f t="shared" si="148"/>
        <v>0</v>
      </c>
      <c r="BT148" s="14"/>
      <c r="BU148" s="15"/>
      <c r="BV148" s="16">
        <f t="shared" si="168"/>
        <v>0</v>
      </c>
      <c r="BW148" s="14"/>
      <c r="BX148" s="15"/>
      <c r="BY148" s="16">
        <f t="shared" si="181"/>
        <v>0</v>
      </c>
      <c r="BZ148" s="14"/>
      <c r="CA148" s="15"/>
      <c r="CB148" s="16">
        <f t="shared" si="169"/>
        <v>0</v>
      </c>
      <c r="CC148" s="14"/>
      <c r="CD148" s="15"/>
      <c r="CE148" s="16">
        <f t="shared" si="170"/>
        <v>0</v>
      </c>
      <c r="CF148" s="14"/>
      <c r="CG148" s="15"/>
      <c r="CH148" s="16">
        <f t="shared" si="171"/>
        <v>0</v>
      </c>
      <c r="CI148" s="14"/>
      <c r="CJ148" s="15"/>
      <c r="CK148" s="16">
        <f t="shared" si="172"/>
        <v>0</v>
      </c>
      <c r="CL148" s="14"/>
      <c r="CM148" s="15"/>
      <c r="CN148" s="16">
        <f t="shared" si="173"/>
        <v>0</v>
      </c>
      <c r="CO148" s="14"/>
      <c r="CP148" s="15"/>
      <c r="CQ148" s="16">
        <f t="shared" si="174"/>
        <v>0</v>
      </c>
      <c r="CR148" s="14"/>
      <c r="CS148" s="15"/>
      <c r="CT148" s="16">
        <f t="shared" si="175"/>
        <v>0</v>
      </c>
      <c r="CU148" s="17">
        <f t="shared" si="176"/>
        <v>0</v>
      </c>
      <c r="CV148" s="16">
        <f t="shared" si="177"/>
        <v>0</v>
      </c>
      <c r="CW148" s="16">
        <f t="shared" si="178"/>
        <v>0</v>
      </c>
    </row>
    <row r="149" spans="1:101" x14ac:dyDescent="0.35">
      <c r="A149" s="76" t="s">
        <v>1039</v>
      </c>
      <c r="B149" s="41" t="s">
        <v>846</v>
      </c>
      <c r="C149" s="42"/>
      <c r="D149" s="43"/>
      <c r="E149" s="78">
        <f t="shared" si="153"/>
        <v>0</v>
      </c>
      <c r="F149" s="14"/>
      <c r="G149" s="15"/>
      <c r="H149" s="16">
        <f t="shared" si="154"/>
        <v>0</v>
      </c>
      <c r="I149" s="14"/>
      <c r="J149" s="15"/>
      <c r="K149" s="16">
        <f t="shared" si="180"/>
        <v>0</v>
      </c>
      <c r="L149" s="14"/>
      <c r="M149" s="15"/>
      <c r="N149" s="16">
        <f t="shared" si="155"/>
        <v>0</v>
      </c>
      <c r="O149" s="14"/>
      <c r="P149" s="15"/>
      <c r="Q149" s="16">
        <f t="shared" si="149"/>
        <v>0</v>
      </c>
      <c r="R149" s="14"/>
      <c r="S149" s="15"/>
      <c r="T149" s="16">
        <f t="shared" si="156"/>
        <v>0</v>
      </c>
      <c r="U149" s="14"/>
      <c r="V149" s="15"/>
      <c r="W149" s="16">
        <f t="shared" si="157"/>
        <v>0</v>
      </c>
      <c r="X149" s="14"/>
      <c r="Y149" s="15"/>
      <c r="Z149" s="16">
        <f t="shared" si="151"/>
        <v>0</v>
      </c>
      <c r="AA149" s="14"/>
      <c r="AB149" s="15"/>
      <c r="AC149" s="16">
        <f t="shared" si="158"/>
        <v>0</v>
      </c>
      <c r="AD149" s="14"/>
      <c r="AE149" s="15"/>
      <c r="AF149" s="16">
        <f t="shared" si="182"/>
        <v>0</v>
      </c>
      <c r="AG149" s="14"/>
      <c r="AH149" s="15"/>
      <c r="AI149" s="16">
        <f t="shared" si="147"/>
        <v>0</v>
      </c>
      <c r="AJ149" s="14"/>
      <c r="AK149" s="15"/>
      <c r="AL149" s="16">
        <f t="shared" si="160"/>
        <v>0</v>
      </c>
      <c r="AM149" s="14"/>
      <c r="AN149" s="15"/>
      <c r="AO149" s="16">
        <f t="shared" si="161"/>
        <v>0</v>
      </c>
      <c r="AP149" s="14"/>
      <c r="AQ149" s="15"/>
      <c r="AR149" s="16">
        <f t="shared" si="162"/>
        <v>0</v>
      </c>
      <c r="AS149" s="14"/>
      <c r="AT149" s="15"/>
      <c r="AU149" s="16">
        <f t="shared" si="152"/>
        <v>0</v>
      </c>
      <c r="AV149" s="14"/>
      <c r="AW149" s="15"/>
      <c r="AX149" s="16">
        <f t="shared" si="163"/>
        <v>0</v>
      </c>
      <c r="AY149" s="14"/>
      <c r="AZ149" s="15"/>
      <c r="BA149" s="16">
        <f t="shared" si="164"/>
        <v>0</v>
      </c>
      <c r="BB149" s="14"/>
      <c r="BC149" s="15"/>
      <c r="BD149" s="16">
        <f t="shared" si="165"/>
        <v>0</v>
      </c>
      <c r="BE149" s="14"/>
      <c r="BF149" s="15"/>
      <c r="BG149" s="16">
        <f t="shared" si="166"/>
        <v>0</v>
      </c>
      <c r="BH149" s="14"/>
      <c r="BI149" s="15"/>
      <c r="BJ149" s="16">
        <f t="shared" si="167"/>
        <v>0</v>
      </c>
      <c r="BK149" s="14"/>
      <c r="BL149" s="15"/>
      <c r="BM149" s="16">
        <f t="shared" si="179"/>
        <v>0</v>
      </c>
      <c r="BN149" s="14"/>
      <c r="BO149" s="15"/>
      <c r="BP149" s="16">
        <f t="shared" si="150"/>
        <v>0</v>
      </c>
      <c r="BQ149" s="14"/>
      <c r="BR149" s="15"/>
      <c r="BS149" s="16">
        <f t="shared" si="148"/>
        <v>0</v>
      </c>
      <c r="BT149" s="14"/>
      <c r="BU149" s="15"/>
      <c r="BV149" s="16">
        <f t="shared" si="168"/>
        <v>0</v>
      </c>
      <c r="BW149" s="14"/>
      <c r="BX149" s="15"/>
      <c r="BY149" s="16">
        <f t="shared" si="181"/>
        <v>0</v>
      </c>
      <c r="BZ149" s="14"/>
      <c r="CA149" s="15"/>
      <c r="CB149" s="16">
        <f t="shared" si="169"/>
        <v>0</v>
      </c>
      <c r="CC149" s="14"/>
      <c r="CD149" s="15"/>
      <c r="CE149" s="16">
        <f t="shared" si="170"/>
        <v>0</v>
      </c>
      <c r="CF149" s="14"/>
      <c r="CG149" s="15"/>
      <c r="CH149" s="16">
        <f t="shared" si="171"/>
        <v>0</v>
      </c>
      <c r="CI149" s="14"/>
      <c r="CJ149" s="15"/>
      <c r="CK149" s="16">
        <f t="shared" si="172"/>
        <v>0</v>
      </c>
      <c r="CL149" s="14"/>
      <c r="CM149" s="15"/>
      <c r="CN149" s="16">
        <f t="shared" si="173"/>
        <v>0</v>
      </c>
      <c r="CO149" s="14"/>
      <c r="CP149" s="15"/>
      <c r="CQ149" s="16">
        <f t="shared" si="174"/>
        <v>0</v>
      </c>
      <c r="CR149" s="14"/>
      <c r="CS149" s="15"/>
      <c r="CT149" s="16">
        <f t="shared" si="175"/>
        <v>0</v>
      </c>
      <c r="CU149" s="17">
        <f t="shared" si="176"/>
        <v>0</v>
      </c>
      <c r="CV149" s="16">
        <f t="shared" si="177"/>
        <v>0</v>
      </c>
      <c r="CW149" s="16">
        <f t="shared" si="178"/>
        <v>0</v>
      </c>
    </row>
    <row r="150" spans="1:101" x14ac:dyDescent="0.35">
      <c r="A150" s="76" t="s">
        <v>1040</v>
      </c>
      <c r="B150" s="41" t="s">
        <v>846</v>
      </c>
      <c r="C150" s="42"/>
      <c r="D150" s="43"/>
      <c r="E150" s="78">
        <f t="shared" si="153"/>
        <v>0</v>
      </c>
      <c r="F150" s="14"/>
      <c r="G150" s="15"/>
      <c r="H150" s="16">
        <f t="shared" si="154"/>
        <v>0</v>
      </c>
      <c r="I150" s="14"/>
      <c r="J150" s="15"/>
      <c r="K150" s="16">
        <f t="shared" si="180"/>
        <v>0</v>
      </c>
      <c r="L150" s="14"/>
      <c r="M150" s="15"/>
      <c r="N150" s="16">
        <f t="shared" si="155"/>
        <v>0</v>
      </c>
      <c r="O150" s="14"/>
      <c r="P150" s="15"/>
      <c r="Q150" s="16">
        <f t="shared" si="149"/>
        <v>0</v>
      </c>
      <c r="R150" s="14"/>
      <c r="S150" s="15"/>
      <c r="T150" s="16">
        <f t="shared" si="156"/>
        <v>0</v>
      </c>
      <c r="U150" s="14"/>
      <c r="V150" s="15"/>
      <c r="W150" s="16">
        <f t="shared" si="157"/>
        <v>0</v>
      </c>
      <c r="X150" s="14"/>
      <c r="Y150" s="15"/>
      <c r="Z150" s="16">
        <f t="shared" si="151"/>
        <v>0</v>
      </c>
      <c r="AA150" s="14"/>
      <c r="AB150" s="15"/>
      <c r="AC150" s="16">
        <f t="shared" si="158"/>
        <v>0</v>
      </c>
      <c r="AD150" s="14"/>
      <c r="AE150" s="15"/>
      <c r="AF150" s="16">
        <f t="shared" si="182"/>
        <v>0</v>
      </c>
      <c r="AG150" s="14"/>
      <c r="AH150" s="15"/>
      <c r="AI150" s="16">
        <f t="shared" si="147"/>
        <v>0</v>
      </c>
      <c r="AJ150" s="14"/>
      <c r="AK150" s="15"/>
      <c r="AL150" s="16">
        <f t="shared" si="160"/>
        <v>0</v>
      </c>
      <c r="AM150" s="14"/>
      <c r="AN150" s="15"/>
      <c r="AO150" s="16">
        <f t="shared" si="161"/>
        <v>0</v>
      </c>
      <c r="AP150" s="14"/>
      <c r="AQ150" s="15"/>
      <c r="AR150" s="16">
        <f t="shared" si="162"/>
        <v>0</v>
      </c>
      <c r="AS150" s="14"/>
      <c r="AT150" s="15"/>
      <c r="AU150" s="16">
        <f t="shared" si="152"/>
        <v>0</v>
      </c>
      <c r="AV150" s="14"/>
      <c r="AW150" s="15"/>
      <c r="AX150" s="16">
        <f t="shared" si="163"/>
        <v>0</v>
      </c>
      <c r="AY150" s="14"/>
      <c r="AZ150" s="15"/>
      <c r="BA150" s="16">
        <f t="shared" si="164"/>
        <v>0</v>
      </c>
      <c r="BB150" s="14"/>
      <c r="BC150" s="15"/>
      <c r="BD150" s="16">
        <f t="shared" si="165"/>
        <v>0</v>
      </c>
      <c r="BE150" s="14"/>
      <c r="BF150" s="15"/>
      <c r="BG150" s="16">
        <f t="shared" si="166"/>
        <v>0</v>
      </c>
      <c r="BH150" s="14"/>
      <c r="BI150" s="15"/>
      <c r="BJ150" s="16">
        <f t="shared" si="167"/>
        <v>0</v>
      </c>
      <c r="BK150" s="14"/>
      <c r="BL150" s="15"/>
      <c r="BM150" s="16">
        <f t="shared" si="179"/>
        <v>0</v>
      </c>
      <c r="BN150" s="14"/>
      <c r="BO150" s="15"/>
      <c r="BP150" s="16">
        <f t="shared" si="150"/>
        <v>0</v>
      </c>
      <c r="BQ150" s="14"/>
      <c r="BR150" s="15"/>
      <c r="BS150" s="16">
        <f t="shared" si="148"/>
        <v>0</v>
      </c>
      <c r="BT150" s="14"/>
      <c r="BU150" s="15"/>
      <c r="BV150" s="16">
        <f t="shared" si="168"/>
        <v>0</v>
      </c>
      <c r="BW150" s="14"/>
      <c r="BX150" s="15"/>
      <c r="BY150" s="16">
        <f t="shared" si="181"/>
        <v>0</v>
      </c>
      <c r="BZ150" s="14"/>
      <c r="CA150" s="15"/>
      <c r="CB150" s="16">
        <f t="shared" si="169"/>
        <v>0</v>
      </c>
      <c r="CC150" s="14"/>
      <c r="CD150" s="15"/>
      <c r="CE150" s="16">
        <f t="shared" si="170"/>
        <v>0</v>
      </c>
      <c r="CF150" s="14"/>
      <c r="CG150" s="15"/>
      <c r="CH150" s="16">
        <f t="shared" si="171"/>
        <v>0</v>
      </c>
      <c r="CI150" s="14"/>
      <c r="CJ150" s="15"/>
      <c r="CK150" s="16">
        <f t="shared" si="172"/>
        <v>0</v>
      </c>
      <c r="CL150" s="14"/>
      <c r="CM150" s="15"/>
      <c r="CN150" s="16">
        <f t="shared" si="173"/>
        <v>0</v>
      </c>
      <c r="CO150" s="14"/>
      <c r="CP150" s="15"/>
      <c r="CQ150" s="16">
        <f t="shared" si="174"/>
        <v>0</v>
      </c>
      <c r="CR150" s="14"/>
      <c r="CS150" s="15"/>
      <c r="CT150" s="16">
        <f t="shared" si="175"/>
        <v>0</v>
      </c>
      <c r="CU150" s="17">
        <f t="shared" si="176"/>
        <v>0</v>
      </c>
      <c r="CV150" s="16">
        <f t="shared" si="177"/>
        <v>0</v>
      </c>
      <c r="CW150" s="16">
        <f t="shared" si="178"/>
        <v>0</v>
      </c>
    </row>
    <row r="151" spans="1:101" x14ac:dyDescent="0.35">
      <c r="A151" s="76" t="s">
        <v>1041</v>
      </c>
      <c r="B151" s="41" t="s">
        <v>846</v>
      </c>
      <c r="C151" s="42"/>
      <c r="D151" s="43"/>
      <c r="E151" s="78">
        <f t="shared" si="153"/>
        <v>0</v>
      </c>
      <c r="F151" s="14"/>
      <c r="G151" s="15"/>
      <c r="H151" s="16">
        <f t="shared" si="154"/>
        <v>0</v>
      </c>
      <c r="I151" s="14"/>
      <c r="J151" s="15"/>
      <c r="K151" s="16">
        <f t="shared" si="180"/>
        <v>0</v>
      </c>
      <c r="L151" s="14"/>
      <c r="M151" s="15"/>
      <c r="N151" s="16">
        <f t="shared" si="155"/>
        <v>0</v>
      </c>
      <c r="O151" s="14"/>
      <c r="P151" s="15"/>
      <c r="Q151" s="16">
        <f t="shared" si="149"/>
        <v>0</v>
      </c>
      <c r="R151" s="14"/>
      <c r="S151" s="15"/>
      <c r="T151" s="16">
        <f t="shared" si="156"/>
        <v>0</v>
      </c>
      <c r="U151" s="14"/>
      <c r="V151" s="15"/>
      <c r="W151" s="16">
        <f t="shared" si="157"/>
        <v>0</v>
      </c>
      <c r="X151" s="14"/>
      <c r="Y151" s="15"/>
      <c r="Z151" s="16">
        <f t="shared" si="151"/>
        <v>0</v>
      </c>
      <c r="AA151" s="14"/>
      <c r="AB151" s="15"/>
      <c r="AC151" s="16">
        <f t="shared" si="158"/>
        <v>0</v>
      </c>
      <c r="AD151" s="14"/>
      <c r="AE151" s="15"/>
      <c r="AF151" s="16">
        <f t="shared" si="182"/>
        <v>0</v>
      </c>
      <c r="AG151" s="14"/>
      <c r="AH151" s="15"/>
      <c r="AI151" s="16">
        <f t="shared" si="147"/>
        <v>0</v>
      </c>
      <c r="AJ151" s="14"/>
      <c r="AK151" s="15"/>
      <c r="AL151" s="16">
        <f t="shared" si="160"/>
        <v>0</v>
      </c>
      <c r="AM151" s="14"/>
      <c r="AN151" s="15"/>
      <c r="AO151" s="16">
        <f t="shared" si="161"/>
        <v>0</v>
      </c>
      <c r="AP151" s="14"/>
      <c r="AQ151" s="15"/>
      <c r="AR151" s="16">
        <f t="shared" si="162"/>
        <v>0</v>
      </c>
      <c r="AS151" s="14"/>
      <c r="AT151" s="15"/>
      <c r="AU151" s="16">
        <f t="shared" si="152"/>
        <v>0</v>
      </c>
      <c r="AV151" s="14"/>
      <c r="AW151" s="15"/>
      <c r="AX151" s="16">
        <f t="shared" si="163"/>
        <v>0</v>
      </c>
      <c r="AY151" s="14"/>
      <c r="AZ151" s="15"/>
      <c r="BA151" s="16">
        <f t="shared" si="164"/>
        <v>0</v>
      </c>
      <c r="BB151" s="14"/>
      <c r="BC151" s="15"/>
      <c r="BD151" s="16">
        <f t="shared" si="165"/>
        <v>0</v>
      </c>
      <c r="BE151" s="14"/>
      <c r="BF151" s="15"/>
      <c r="BG151" s="16">
        <f t="shared" si="166"/>
        <v>0</v>
      </c>
      <c r="BH151" s="14"/>
      <c r="BI151" s="15"/>
      <c r="BJ151" s="16">
        <f t="shared" si="167"/>
        <v>0</v>
      </c>
      <c r="BK151" s="14"/>
      <c r="BL151" s="15"/>
      <c r="BM151" s="16">
        <f t="shared" si="179"/>
        <v>0</v>
      </c>
      <c r="BN151" s="14"/>
      <c r="BO151" s="15"/>
      <c r="BP151" s="16">
        <f t="shared" si="150"/>
        <v>0</v>
      </c>
      <c r="BQ151" s="14"/>
      <c r="BR151" s="15"/>
      <c r="BS151" s="16">
        <f t="shared" si="148"/>
        <v>0</v>
      </c>
      <c r="BT151" s="14"/>
      <c r="BU151" s="15"/>
      <c r="BV151" s="16">
        <f t="shared" si="168"/>
        <v>0</v>
      </c>
      <c r="BW151" s="14"/>
      <c r="BX151" s="15"/>
      <c r="BY151" s="16">
        <f t="shared" si="181"/>
        <v>0</v>
      </c>
      <c r="BZ151" s="14"/>
      <c r="CA151" s="15"/>
      <c r="CB151" s="16">
        <f t="shared" si="169"/>
        <v>0</v>
      </c>
      <c r="CC151" s="14"/>
      <c r="CD151" s="15"/>
      <c r="CE151" s="16">
        <f t="shared" si="170"/>
        <v>0</v>
      </c>
      <c r="CF151" s="14"/>
      <c r="CG151" s="15"/>
      <c r="CH151" s="16">
        <f t="shared" si="171"/>
        <v>0</v>
      </c>
      <c r="CI151" s="14"/>
      <c r="CJ151" s="15"/>
      <c r="CK151" s="16">
        <f t="shared" si="172"/>
        <v>0</v>
      </c>
      <c r="CL151" s="14"/>
      <c r="CM151" s="15"/>
      <c r="CN151" s="16">
        <f t="shared" si="173"/>
        <v>0</v>
      </c>
      <c r="CO151" s="14"/>
      <c r="CP151" s="15"/>
      <c r="CQ151" s="16">
        <f t="shared" si="174"/>
        <v>0</v>
      </c>
      <c r="CR151" s="14"/>
      <c r="CS151" s="15"/>
      <c r="CT151" s="16">
        <f t="shared" si="175"/>
        <v>0</v>
      </c>
      <c r="CU151" s="17">
        <f t="shared" si="176"/>
        <v>0</v>
      </c>
      <c r="CV151" s="16">
        <f t="shared" si="177"/>
        <v>0</v>
      </c>
      <c r="CW151" s="16">
        <f t="shared" si="178"/>
        <v>0</v>
      </c>
    </row>
    <row r="152" spans="1:101" x14ac:dyDescent="0.35">
      <c r="A152" t="s">
        <v>764</v>
      </c>
    </row>
    <row r="153" spans="1:101" x14ac:dyDescent="0.35">
      <c r="A153" t="s">
        <v>778</v>
      </c>
    </row>
  </sheetData>
  <autoFilter ref="A2:CW151" xr:uid="{00000000-0009-0000-0000-000004000000}"/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CW60"/>
  <sheetViews>
    <sheetView topLeftCell="A28" zoomScaleNormal="100" workbookViewId="0">
      <pane xSplit="1" topLeftCell="BZ1" activePane="topRight" state="frozen"/>
      <selection pane="topRight" activeCell="CW2" sqref="CW2"/>
    </sheetView>
  </sheetViews>
  <sheetFormatPr baseColWidth="10" defaultColWidth="11.453125" defaultRowHeight="15.5" x14ac:dyDescent="0.35"/>
  <cols>
    <col min="1" max="1" width="39.1796875" style="39" bestFit="1" customWidth="1"/>
    <col min="2" max="2" width="9.54296875" style="39" customWidth="1"/>
    <col min="3" max="3" width="10.26953125" style="39" customWidth="1"/>
    <col min="4" max="4" width="7.1796875" style="39" customWidth="1"/>
    <col min="5" max="5" width="6.81640625" style="39" customWidth="1"/>
    <col min="6" max="6" width="10.453125" style="39" customWidth="1"/>
    <col min="7" max="7" width="13.7265625" style="39" customWidth="1"/>
    <col min="8" max="8" width="14.26953125" style="39" customWidth="1"/>
    <col min="9" max="9" width="10.453125" style="39" customWidth="1"/>
    <col min="10" max="10" width="13.7265625" style="39" customWidth="1"/>
    <col min="11" max="11" width="14.26953125" style="39" customWidth="1"/>
    <col min="12" max="12" width="10.453125" style="39" customWidth="1"/>
    <col min="13" max="13" width="13.7265625" style="39" customWidth="1"/>
    <col min="14" max="14" width="14.26953125" style="39" customWidth="1"/>
    <col min="15" max="15" width="10.453125" style="39" customWidth="1"/>
    <col min="16" max="16" width="13.7265625" style="39" customWidth="1"/>
    <col min="17" max="17" width="14.26953125" style="39" customWidth="1"/>
    <col min="18" max="18" width="10.453125" style="39" customWidth="1"/>
    <col min="19" max="19" width="13" style="39" bestFit="1" customWidth="1"/>
    <col min="20" max="20" width="14.26953125" style="39" customWidth="1"/>
    <col min="21" max="21" width="10.453125" style="39" customWidth="1"/>
    <col min="22" max="22" width="13.7265625" style="39" customWidth="1"/>
    <col min="23" max="23" width="14.26953125" style="39" customWidth="1"/>
    <col min="24" max="24" width="10.453125" style="39" customWidth="1"/>
    <col min="25" max="25" width="13.7265625" style="39" customWidth="1"/>
    <col min="26" max="26" width="14.26953125" style="39" customWidth="1"/>
    <col min="27" max="27" width="10.453125" style="39" customWidth="1"/>
    <col min="28" max="28" width="13.7265625" style="39" customWidth="1"/>
    <col min="29" max="29" width="14.26953125" style="39" customWidth="1"/>
    <col min="30" max="30" width="10.453125" style="23" customWidth="1"/>
    <col min="31" max="31" width="13.7265625" style="23" customWidth="1"/>
    <col min="32" max="32" width="14.26953125" style="23" customWidth="1"/>
    <col min="33" max="33" width="10.453125" style="39" customWidth="1"/>
    <col min="34" max="34" width="13.7265625" style="39" customWidth="1"/>
    <col min="35" max="35" width="14.26953125" style="39" customWidth="1"/>
    <col min="36" max="36" width="10.453125" style="39" bestFit="1" customWidth="1"/>
    <col min="37" max="37" width="13.7265625" style="39" bestFit="1" customWidth="1"/>
    <col min="38" max="38" width="14.26953125" style="39" bestFit="1" customWidth="1"/>
    <col min="39" max="39" width="10.453125" style="39" bestFit="1" customWidth="1"/>
    <col min="40" max="40" width="13.7265625" style="39" bestFit="1" customWidth="1"/>
    <col min="41" max="41" width="14.26953125" style="39" bestFit="1" customWidth="1"/>
    <col min="42" max="42" width="10.453125" style="39" bestFit="1" customWidth="1"/>
    <col min="43" max="43" width="11.81640625" style="39" bestFit="1" customWidth="1"/>
    <col min="44" max="44" width="14.26953125" style="39" bestFit="1" customWidth="1"/>
    <col min="45" max="45" width="10.453125" style="39" bestFit="1" customWidth="1"/>
    <col min="46" max="46" width="13.7265625" style="39" bestFit="1" customWidth="1"/>
    <col min="47" max="47" width="14.26953125" style="39" bestFit="1" customWidth="1"/>
    <col min="48" max="48" width="10.453125" style="39" bestFit="1" customWidth="1"/>
    <col min="49" max="49" width="13.7265625" style="39" bestFit="1" customWidth="1"/>
    <col min="50" max="50" width="14.26953125" style="39" bestFit="1" customWidth="1"/>
    <col min="51" max="51" width="10.453125" style="39" bestFit="1" customWidth="1"/>
    <col min="52" max="52" width="13.7265625" style="39" bestFit="1" customWidth="1"/>
    <col min="53" max="53" width="14.26953125" style="39" bestFit="1" customWidth="1"/>
    <col min="54" max="54" width="10.453125" style="39" bestFit="1" customWidth="1"/>
    <col min="55" max="55" width="13.7265625" style="39" bestFit="1" customWidth="1"/>
    <col min="56" max="56" width="14.26953125" style="39" bestFit="1" customWidth="1"/>
    <col min="57" max="57" width="10.453125" style="39" bestFit="1" customWidth="1"/>
    <col min="58" max="58" width="13.7265625" style="39" bestFit="1" customWidth="1"/>
    <col min="59" max="59" width="14.26953125" style="39" bestFit="1" customWidth="1"/>
    <col min="60" max="60" width="10.453125" style="39" bestFit="1" customWidth="1"/>
    <col min="61" max="61" width="13.7265625" style="39" bestFit="1" customWidth="1"/>
    <col min="62" max="62" width="14.26953125" style="39" bestFit="1" customWidth="1"/>
    <col min="63" max="63" width="10.453125" style="39" bestFit="1" customWidth="1"/>
    <col min="64" max="64" width="13.7265625" style="39" bestFit="1" customWidth="1"/>
    <col min="65" max="65" width="14.26953125" style="39" bestFit="1" customWidth="1"/>
    <col min="66" max="66" width="10.453125" style="39" bestFit="1" customWidth="1"/>
    <col min="67" max="67" width="13" style="39" bestFit="1" customWidth="1"/>
    <col min="68" max="68" width="14.26953125" style="39" bestFit="1" customWidth="1"/>
    <col min="69" max="69" width="10.453125" style="39" bestFit="1" customWidth="1"/>
    <col min="70" max="70" width="13.7265625" style="39" bestFit="1" customWidth="1"/>
    <col min="71" max="71" width="14.26953125" style="39" bestFit="1" customWidth="1"/>
    <col min="72" max="72" width="10.453125" style="39" bestFit="1" customWidth="1"/>
    <col min="73" max="73" width="13.7265625" style="39" bestFit="1" customWidth="1"/>
    <col min="74" max="74" width="14.26953125" style="39" bestFit="1" customWidth="1"/>
    <col min="75" max="75" width="10.453125" style="39" bestFit="1" customWidth="1"/>
    <col min="76" max="76" width="13.7265625" style="39" bestFit="1" customWidth="1"/>
    <col min="77" max="77" width="14.26953125" style="39" bestFit="1" customWidth="1"/>
    <col min="78" max="78" width="10.453125" style="39" bestFit="1" customWidth="1"/>
    <col min="79" max="79" width="13.7265625" style="39" bestFit="1" customWidth="1"/>
    <col min="80" max="80" width="14.26953125" style="39" bestFit="1" customWidth="1"/>
    <col min="81" max="81" width="10.453125" style="39" bestFit="1" customWidth="1"/>
    <col min="82" max="82" width="13.7265625" style="39" bestFit="1" customWidth="1"/>
    <col min="83" max="83" width="14.26953125" style="39" bestFit="1" customWidth="1"/>
    <col min="84" max="84" width="10.453125" style="39" bestFit="1" customWidth="1"/>
    <col min="85" max="85" width="13.7265625" style="39" bestFit="1" customWidth="1"/>
    <col min="86" max="86" width="14.26953125" style="39" bestFit="1" customWidth="1"/>
    <col min="87" max="87" width="10.453125" style="39" bestFit="1" customWidth="1"/>
    <col min="88" max="88" width="13.7265625" style="39" bestFit="1" customWidth="1"/>
    <col min="89" max="89" width="14.26953125" style="39" bestFit="1" customWidth="1"/>
    <col min="90" max="90" width="10.453125" style="39" bestFit="1" customWidth="1"/>
    <col min="91" max="91" width="11.81640625" style="39" bestFit="1" customWidth="1"/>
    <col min="92" max="92" width="14.26953125" style="39" bestFit="1" customWidth="1"/>
    <col min="93" max="93" width="10.453125" style="39" bestFit="1" customWidth="1"/>
    <col min="94" max="94" width="13.7265625" style="39" bestFit="1" customWidth="1"/>
    <col min="95" max="95" width="14.26953125" style="39" bestFit="1" customWidth="1"/>
    <col min="96" max="96" width="10.453125" style="39" bestFit="1" customWidth="1"/>
    <col min="97" max="97" width="13.7265625" style="39" bestFit="1" customWidth="1"/>
    <col min="98" max="98" width="14.26953125" style="39" bestFit="1" customWidth="1"/>
    <col min="99" max="99" width="10.453125" style="39" bestFit="1" customWidth="1"/>
    <col min="100" max="100" width="13.7265625" style="39" bestFit="1" customWidth="1"/>
    <col min="101" max="101" width="14.26953125" style="39" bestFit="1" customWidth="1"/>
    <col min="102" max="107" width="15.54296875" style="39" customWidth="1"/>
    <col min="108" max="108" width="18.54296875" style="39" customWidth="1"/>
    <col min="109" max="109" width="14.453125" style="39" customWidth="1"/>
    <col min="110" max="111" width="16" style="39" customWidth="1"/>
    <col min="112" max="121" width="11.453125" style="39" customWidth="1"/>
    <col min="122" max="16384" width="11.453125" style="39"/>
  </cols>
  <sheetData>
    <row r="1" spans="1:101" ht="15.75" customHeight="1" x14ac:dyDescent="0.35">
      <c r="A1" s="95" t="s">
        <v>1042</v>
      </c>
      <c r="B1" s="52"/>
      <c r="C1" s="52"/>
      <c r="D1" s="52"/>
      <c r="E1" s="52"/>
      <c r="F1" s="156">
        <v>1</v>
      </c>
      <c r="G1" s="154"/>
      <c r="H1" s="155"/>
      <c r="I1" s="156">
        <v>2</v>
      </c>
      <c r="J1" s="154"/>
      <c r="K1" s="155"/>
      <c r="L1" s="156">
        <v>3</v>
      </c>
      <c r="M1" s="154"/>
      <c r="N1" s="155"/>
      <c r="O1" s="156">
        <v>4</v>
      </c>
      <c r="P1" s="154"/>
      <c r="Q1" s="155"/>
      <c r="R1" s="156">
        <v>5</v>
      </c>
      <c r="S1" s="154"/>
      <c r="T1" s="155"/>
      <c r="U1" s="156">
        <v>6</v>
      </c>
      <c r="V1" s="154"/>
      <c r="W1" s="155"/>
      <c r="X1" s="156">
        <v>7</v>
      </c>
      <c r="Y1" s="154"/>
      <c r="Z1" s="155"/>
      <c r="AA1" s="156">
        <v>8</v>
      </c>
      <c r="AB1" s="154"/>
      <c r="AC1" s="155"/>
      <c r="AD1" s="156">
        <v>9</v>
      </c>
      <c r="AE1" s="154"/>
      <c r="AF1" s="155"/>
      <c r="AG1" s="156">
        <v>10</v>
      </c>
      <c r="AH1" s="154"/>
      <c r="AI1" s="155"/>
      <c r="AJ1" s="156">
        <v>11</v>
      </c>
      <c r="AK1" s="154"/>
      <c r="AL1" s="155"/>
      <c r="AM1" s="156">
        <v>12</v>
      </c>
      <c r="AN1" s="154"/>
      <c r="AO1" s="155"/>
      <c r="AP1" s="156">
        <v>13</v>
      </c>
      <c r="AQ1" s="154"/>
      <c r="AR1" s="155"/>
      <c r="AS1" s="156">
        <v>14</v>
      </c>
      <c r="AT1" s="154"/>
      <c r="AU1" s="155"/>
      <c r="AV1" s="156">
        <v>15</v>
      </c>
      <c r="AW1" s="154"/>
      <c r="AX1" s="155"/>
      <c r="AY1" s="156">
        <v>16</v>
      </c>
      <c r="AZ1" s="154"/>
      <c r="BA1" s="155"/>
      <c r="BB1" s="156">
        <v>17</v>
      </c>
      <c r="BC1" s="154"/>
      <c r="BD1" s="155"/>
      <c r="BE1" s="156">
        <v>18</v>
      </c>
      <c r="BF1" s="154"/>
      <c r="BG1" s="155"/>
      <c r="BH1" s="156">
        <v>19</v>
      </c>
      <c r="BI1" s="154"/>
      <c r="BJ1" s="155"/>
      <c r="BK1" s="156">
        <v>20</v>
      </c>
      <c r="BL1" s="154"/>
      <c r="BM1" s="155"/>
      <c r="BN1" s="156">
        <v>21</v>
      </c>
      <c r="BO1" s="154"/>
      <c r="BP1" s="155"/>
      <c r="BQ1" s="156">
        <v>22</v>
      </c>
      <c r="BR1" s="154"/>
      <c r="BS1" s="155"/>
      <c r="BT1" s="156">
        <v>23</v>
      </c>
      <c r="BU1" s="154"/>
      <c r="BV1" s="155"/>
      <c r="BW1" s="156">
        <v>24</v>
      </c>
      <c r="BX1" s="154"/>
      <c r="BY1" s="155"/>
      <c r="BZ1" s="156">
        <v>25</v>
      </c>
      <c r="CA1" s="154"/>
      <c r="CB1" s="155"/>
      <c r="CC1" s="156">
        <v>26</v>
      </c>
      <c r="CD1" s="154"/>
      <c r="CE1" s="155"/>
      <c r="CF1" s="156">
        <v>27</v>
      </c>
      <c r="CG1" s="154"/>
      <c r="CH1" s="155"/>
      <c r="CI1" s="156">
        <v>28</v>
      </c>
      <c r="CJ1" s="154"/>
      <c r="CK1" s="155"/>
      <c r="CL1" s="156">
        <v>29</v>
      </c>
      <c r="CM1" s="154"/>
      <c r="CN1" s="155"/>
      <c r="CO1" s="156">
        <v>30</v>
      </c>
      <c r="CP1" s="154"/>
      <c r="CQ1" s="155"/>
      <c r="CR1" s="156">
        <v>31</v>
      </c>
      <c r="CS1" s="154"/>
      <c r="CT1" s="155"/>
      <c r="CU1" s="158" t="s">
        <v>828</v>
      </c>
      <c r="CV1" s="154"/>
      <c r="CW1" s="155"/>
    </row>
    <row r="2" spans="1:101" ht="15.75" customHeight="1" x14ac:dyDescent="0.35">
      <c r="A2" s="53" t="s">
        <v>829</v>
      </c>
      <c r="B2" s="54" t="s">
        <v>870</v>
      </c>
      <c r="C2" s="54" t="s">
        <v>4</v>
      </c>
      <c r="D2" s="54" t="s">
        <v>872</v>
      </c>
      <c r="E2" s="54" t="s">
        <v>832</v>
      </c>
      <c r="F2" s="53" t="s">
        <v>833</v>
      </c>
      <c r="G2" s="53" t="s">
        <v>834</v>
      </c>
      <c r="H2" s="53" t="s">
        <v>835</v>
      </c>
      <c r="I2" s="53" t="s">
        <v>833</v>
      </c>
      <c r="J2" s="53" t="s">
        <v>834</v>
      </c>
      <c r="K2" s="53" t="s">
        <v>835</v>
      </c>
      <c r="L2" s="53" t="s">
        <v>833</v>
      </c>
      <c r="M2" s="53" t="s">
        <v>834</v>
      </c>
      <c r="N2" s="53" t="s">
        <v>835</v>
      </c>
      <c r="O2" s="53" t="s">
        <v>833</v>
      </c>
      <c r="P2" s="53" t="s">
        <v>834</v>
      </c>
      <c r="Q2" s="53" t="s">
        <v>835</v>
      </c>
      <c r="R2" s="53" t="s">
        <v>833</v>
      </c>
      <c r="S2" s="53" t="s">
        <v>836</v>
      </c>
      <c r="T2" s="53" t="s">
        <v>835</v>
      </c>
      <c r="U2" s="53" t="s">
        <v>833</v>
      </c>
      <c r="V2" s="53" t="s">
        <v>834</v>
      </c>
      <c r="W2" s="53" t="s">
        <v>835</v>
      </c>
      <c r="X2" s="53" t="s">
        <v>833</v>
      </c>
      <c r="Y2" s="53" t="s">
        <v>834</v>
      </c>
      <c r="Z2" s="53" t="s">
        <v>835</v>
      </c>
      <c r="AA2" s="53" t="s">
        <v>833</v>
      </c>
      <c r="AB2" s="53" t="s">
        <v>834</v>
      </c>
      <c r="AC2" s="53" t="s">
        <v>835</v>
      </c>
      <c r="AD2" s="53" t="s">
        <v>833</v>
      </c>
      <c r="AE2" s="53" t="s">
        <v>834</v>
      </c>
      <c r="AF2" s="53" t="s">
        <v>835</v>
      </c>
      <c r="AG2" s="53" t="s">
        <v>833</v>
      </c>
      <c r="AH2" s="53" t="s">
        <v>834</v>
      </c>
      <c r="AI2" s="53" t="s">
        <v>835</v>
      </c>
      <c r="AJ2" s="53" t="s">
        <v>833</v>
      </c>
      <c r="AK2" s="53" t="s">
        <v>834</v>
      </c>
      <c r="AL2" s="53" t="s">
        <v>835</v>
      </c>
      <c r="AM2" s="53" t="s">
        <v>833</v>
      </c>
      <c r="AN2" s="53" t="s">
        <v>834</v>
      </c>
      <c r="AO2" s="53" t="s">
        <v>835</v>
      </c>
      <c r="AP2" s="53" t="s">
        <v>833</v>
      </c>
      <c r="AQ2" s="53" t="s">
        <v>836</v>
      </c>
      <c r="AR2" s="53" t="s">
        <v>835</v>
      </c>
      <c r="AS2" s="53" t="s">
        <v>833</v>
      </c>
      <c r="AT2" s="53" t="s">
        <v>834</v>
      </c>
      <c r="AU2" s="53" t="s">
        <v>835</v>
      </c>
      <c r="AV2" s="53" t="s">
        <v>833</v>
      </c>
      <c r="AW2" s="53" t="s">
        <v>834</v>
      </c>
      <c r="AX2" s="53" t="s">
        <v>835</v>
      </c>
      <c r="AY2" s="53" t="s">
        <v>833</v>
      </c>
      <c r="AZ2" s="53" t="s">
        <v>834</v>
      </c>
      <c r="BA2" s="53" t="s">
        <v>835</v>
      </c>
      <c r="BB2" s="53" t="s">
        <v>833</v>
      </c>
      <c r="BC2" s="53" t="s">
        <v>834</v>
      </c>
      <c r="BD2" s="53" t="s">
        <v>835</v>
      </c>
      <c r="BE2" s="53" t="s">
        <v>833</v>
      </c>
      <c r="BF2" s="53" t="s">
        <v>834</v>
      </c>
      <c r="BG2" s="53" t="s">
        <v>835</v>
      </c>
      <c r="BH2" s="53" t="s">
        <v>833</v>
      </c>
      <c r="BI2" s="53" t="s">
        <v>834</v>
      </c>
      <c r="BJ2" s="53" t="s">
        <v>835</v>
      </c>
      <c r="BK2" s="53" t="s">
        <v>833</v>
      </c>
      <c r="BL2" s="53" t="s">
        <v>834</v>
      </c>
      <c r="BM2" s="53" t="s">
        <v>835</v>
      </c>
      <c r="BN2" s="53" t="s">
        <v>833</v>
      </c>
      <c r="BO2" s="53" t="s">
        <v>836</v>
      </c>
      <c r="BP2" s="53" t="s">
        <v>835</v>
      </c>
      <c r="BQ2" s="53" t="s">
        <v>833</v>
      </c>
      <c r="BR2" s="53" t="s">
        <v>834</v>
      </c>
      <c r="BS2" s="53" t="s">
        <v>835</v>
      </c>
      <c r="BT2" s="53" t="s">
        <v>833</v>
      </c>
      <c r="BU2" s="53" t="s">
        <v>834</v>
      </c>
      <c r="BV2" s="53" t="s">
        <v>835</v>
      </c>
      <c r="BW2" s="53" t="s">
        <v>833</v>
      </c>
      <c r="BX2" s="53" t="s">
        <v>834</v>
      </c>
      <c r="BY2" s="53" t="s">
        <v>835</v>
      </c>
      <c r="BZ2" s="53" t="s">
        <v>833</v>
      </c>
      <c r="CA2" s="53" t="s">
        <v>834</v>
      </c>
      <c r="CB2" s="53" t="s">
        <v>835</v>
      </c>
      <c r="CC2" s="53" t="s">
        <v>833</v>
      </c>
      <c r="CD2" s="53" t="s">
        <v>834</v>
      </c>
      <c r="CE2" s="53" t="s">
        <v>835</v>
      </c>
      <c r="CF2" s="53" t="s">
        <v>833</v>
      </c>
      <c r="CG2" s="53" t="s">
        <v>834</v>
      </c>
      <c r="CH2" s="53" t="s">
        <v>835</v>
      </c>
      <c r="CI2" s="53" t="s">
        <v>833</v>
      </c>
      <c r="CJ2" s="53" t="s">
        <v>834</v>
      </c>
      <c r="CK2" s="53" t="s">
        <v>835</v>
      </c>
      <c r="CL2" s="53" t="s">
        <v>833</v>
      </c>
      <c r="CM2" s="53" t="s">
        <v>836</v>
      </c>
      <c r="CN2" s="53" t="s">
        <v>835</v>
      </c>
      <c r="CO2" s="53" t="s">
        <v>833</v>
      </c>
      <c r="CP2" s="53" t="s">
        <v>834</v>
      </c>
      <c r="CQ2" s="53" t="s">
        <v>835</v>
      </c>
      <c r="CR2" s="53" t="s">
        <v>833</v>
      </c>
      <c r="CS2" s="53" t="s">
        <v>834</v>
      </c>
      <c r="CT2" s="53" t="s">
        <v>835</v>
      </c>
      <c r="CU2" s="53" t="s">
        <v>833</v>
      </c>
      <c r="CV2" s="53" t="s">
        <v>834</v>
      </c>
      <c r="CW2" s="53" t="s">
        <v>835</v>
      </c>
    </row>
    <row r="3" spans="1:101" ht="15.75" customHeight="1" x14ac:dyDescent="0.35">
      <c r="A3" s="53" t="s">
        <v>431</v>
      </c>
      <c r="B3" s="53" t="s">
        <v>846</v>
      </c>
      <c r="C3" s="55"/>
      <c r="D3" s="56"/>
      <c r="E3" s="57">
        <f t="shared" ref="E3:E34" si="0">IFERROR(C3*D3, 0)</f>
        <v>0</v>
      </c>
      <c r="F3" s="55"/>
      <c r="G3" s="56"/>
      <c r="H3" s="57">
        <f t="shared" ref="H3:H40" si="1">IFERROR(F3*G3, 0)</f>
        <v>0</v>
      </c>
      <c r="I3" s="55"/>
      <c r="J3" s="56"/>
      <c r="K3" s="57">
        <f t="shared" ref="K3:K40" si="2">IFERROR(I3*J3, 0)</f>
        <v>0</v>
      </c>
      <c r="L3" s="55"/>
      <c r="M3" s="56"/>
      <c r="N3" s="57">
        <f t="shared" ref="N3:N40" si="3">IFERROR(L3*M3, 0)</f>
        <v>0</v>
      </c>
      <c r="O3" s="55"/>
      <c r="P3" s="56"/>
      <c r="Q3" s="57">
        <f t="shared" ref="Q3:Q11" si="4">IFERROR(O3*P3, 0)</f>
        <v>0</v>
      </c>
      <c r="R3" s="55"/>
      <c r="S3" s="56"/>
      <c r="T3" s="57">
        <f t="shared" ref="T3:T41" si="5">IFERROR(R3*S3, 0)</f>
        <v>0</v>
      </c>
      <c r="U3" s="55"/>
      <c r="V3" s="56"/>
      <c r="W3" s="57">
        <f t="shared" ref="W3:W13" si="6">IFERROR(U3*V3, 0)</f>
        <v>0</v>
      </c>
      <c r="X3" s="55"/>
      <c r="Y3" s="56"/>
      <c r="Z3" s="57">
        <f t="shared" ref="Z3:Z29" si="7">IFERROR(X3*Y3, 0)</f>
        <v>0</v>
      </c>
      <c r="AA3" s="55"/>
      <c r="AB3" s="56"/>
      <c r="AC3" s="57">
        <f t="shared" ref="AC3:AC40" si="8">IFERROR(AA3*AB3, 0)</f>
        <v>0</v>
      </c>
      <c r="AD3" s="55"/>
      <c r="AE3" s="56"/>
      <c r="AF3" s="57">
        <f t="shared" ref="AF3:AF33" si="9">IFERROR(AD3*AE3, 0)</f>
        <v>0</v>
      </c>
      <c r="AG3" s="55"/>
      <c r="AH3" s="56"/>
      <c r="AI3" s="57">
        <f t="shared" ref="AI3:AI31" si="10">IFERROR(AG3*AH3, 0)</f>
        <v>0</v>
      </c>
      <c r="AJ3" s="55">
        <v>1</v>
      </c>
      <c r="AK3" s="56">
        <v>74500</v>
      </c>
      <c r="AL3" s="57">
        <v>74500</v>
      </c>
      <c r="AM3" s="55"/>
      <c r="AN3" s="56"/>
      <c r="AO3" s="57">
        <f t="shared" ref="AO3:AO40" si="11">IFERROR(AM3*AN3, 0)</f>
        <v>0</v>
      </c>
      <c r="AP3" s="55"/>
      <c r="AQ3" s="56"/>
      <c r="AR3" s="57">
        <f t="shared" ref="AR3:AR42" si="12">IFERROR(AP3*AQ3, 0)</f>
        <v>0</v>
      </c>
      <c r="AS3" s="55"/>
      <c r="AT3" s="56"/>
      <c r="AU3" s="57">
        <f t="shared" ref="AU3:AU30" si="13">IFERROR(AS3*AT3, 0)</f>
        <v>0</v>
      </c>
      <c r="AV3" s="55"/>
      <c r="AW3" s="56"/>
      <c r="AX3" s="57">
        <f t="shared" ref="AX3:AX40" si="14">IFERROR(AV3*AW3, 0)</f>
        <v>0</v>
      </c>
      <c r="AY3" s="55"/>
      <c r="AZ3" s="56"/>
      <c r="BA3" s="57">
        <f t="shared" ref="BA3:BA12" si="15">IFERROR(AY3*AZ3, 0)</f>
        <v>0</v>
      </c>
      <c r="BB3" s="55"/>
      <c r="BC3" s="56"/>
      <c r="BD3" s="57">
        <f>IFERROR(BB3*BC3, 0)</f>
        <v>0</v>
      </c>
      <c r="BE3" s="55"/>
      <c r="BF3" s="56"/>
      <c r="BG3" s="57">
        <f t="shared" ref="BG3:BG30" si="16">IFERROR(BE3*BF3, 0)</f>
        <v>0</v>
      </c>
      <c r="BH3" s="55"/>
      <c r="BI3" s="56"/>
      <c r="BJ3" s="57">
        <f t="shared" ref="BJ3:BJ8" si="17">IFERROR(BH3*BI3, 0)</f>
        <v>0</v>
      </c>
      <c r="BK3" s="55"/>
      <c r="BL3" s="56"/>
      <c r="BM3" s="57">
        <f t="shared" ref="BM3:BM31" si="18">IFERROR(BK3*BL3, 0)</f>
        <v>0</v>
      </c>
      <c r="BN3" s="55"/>
      <c r="BO3" s="56"/>
      <c r="BP3" s="57">
        <f t="shared" ref="BP3:BP11" si="19">IFERROR(BN3*BO3, 0)</f>
        <v>0</v>
      </c>
      <c r="BQ3" s="55"/>
      <c r="BR3" s="56"/>
      <c r="BS3" s="57">
        <f t="shared" ref="BS3:BS40" si="20">IFERROR(BQ3*BR3, 0)</f>
        <v>0</v>
      </c>
      <c r="BT3" s="55"/>
      <c r="BU3" s="56"/>
      <c r="BV3" s="57">
        <f>IFERROR(BT3*BU3, 0)</f>
        <v>0</v>
      </c>
      <c r="BW3" s="55"/>
      <c r="BX3" s="56"/>
      <c r="BY3" s="57">
        <f t="shared" ref="BY3:BY34" si="21">IFERROR(BW3*BX3, 0)</f>
        <v>0</v>
      </c>
      <c r="BZ3" s="55"/>
      <c r="CA3" s="56"/>
      <c r="CB3" s="57">
        <f t="shared" ref="CB3:CB34" si="22">IFERROR(BZ3*CA3, 0)</f>
        <v>0</v>
      </c>
      <c r="CC3" s="55"/>
      <c r="CD3" s="56"/>
      <c r="CE3" s="57">
        <f t="shared" ref="CE3:CE34" si="23">IFERROR(CC3*CD3, 0)</f>
        <v>0</v>
      </c>
      <c r="CF3" s="55"/>
      <c r="CG3" s="56"/>
      <c r="CH3" s="57">
        <f t="shared" ref="CH3:CH34" si="24">IFERROR(CF3*CG3, 0)</f>
        <v>0</v>
      </c>
      <c r="CI3" s="55"/>
      <c r="CJ3" s="56"/>
      <c r="CK3" s="57">
        <f t="shared" ref="CK3:CK34" si="25">IFERROR(CI3*CJ3, 0)</f>
        <v>0</v>
      </c>
      <c r="CL3" s="55"/>
      <c r="CM3" s="56"/>
      <c r="CN3" s="57">
        <f t="shared" ref="CN3:CN34" si="26">IFERROR(CL3*CM3, 0)</f>
        <v>0</v>
      </c>
      <c r="CO3" s="55"/>
      <c r="CP3" s="56"/>
      <c r="CQ3" s="57">
        <f t="shared" ref="CQ3:CQ34" si="27">IFERROR(CO3*CP3, 0)</f>
        <v>0</v>
      </c>
      <c r="CR3" s="55"/>
      <c r="CS3" s="56"/>
      <c r="CT3" s="57">
        <f t="shared" ref="CT3:CT34" si="28">IFERROR(CR3*CS3, 0)</f>
        <v>0</v>
      </c>
      <c r="CU3" s="58">
        <f t="shared" ref="CU3:CU34" si="29">IFERROR(SUM(F3,I3,L3,O3,R3,U3,X3,AA3,AD3,AG3,AJ3,AM3,AP3,AS3,AV3,AY3,BB3,BE3,BH3,BK3,BN3,BQ3,BT3,BW3,BZ3,CC3,CF3,CI3,CL3,CO3,CR3), 0)</f>
        <v>1</v>
      </c>
      <c r="CV3" s="57">
        <f t="shared" ref="CV3:CV34" si="30">IFERROR(AVERAGE(G3,J3,M3,P3,S3,V3,Y3,AB3,AE3,AH3,AK3,AN3,AQ3,AT3,AW3,AZ3,BC3,BF3,BI3,BL3,BO3,BR3,BU3,BX3,CA3,CD3,CG3,CJ3,CM3,CP3,CS3), 0)</f>
        <v>74500</v>
      </c>
      <c r="CW3" s="57">
        <f t="shared" ref="CW3:CW34" si="31">CU3*CV3</f>
        <v>74500</v>
      </c>
    </row>
    <row r="4" spans="1:101" ht="15.75" customHeight="1" x14ac:dyDescent="0.35">
      <c r="A4" s="53" t="s">
        <v>435</v>
      </c>
      <c r="B4" s="53" t="s">
        <v>846</v>
      </c>
      <c r="C4" s="55"/>
      <c r="D4" s="56"/>
      <c r="E4" s="57">
        <f t="shared" si="0"/>
        <v>0</v>
      </c>
      <c r="F4" s="55"/>
      <c r="G4" s="56"/>
      <c r="H4" s="57">
        <f t="shared" si="1"/>
        <v>0</v>
      </c>
      <c r="I4" s="55"/>
      <c r="J4" s="56"/>
      <c r="K4" s="57">
        <f t="shared" si="2"/>
        <v>0</v>
      </c>
      <c r="L4" s="55"/>
      <c r="M4" s="56"/>
      <c r="N4" s="57">
        <f t="shared" si="3"/>
        <v>0</v>
      </c>
      <c r="O4" s="55"/>
      <c r="P4" s="56"/>
      <c r="Q4" s="57">
        <f t="shared" si="4"/>
        <v>0</v>
      </c>
      <c r="R4" s="55"/>
      <c r="S4" s="56"/>
      <c r="T4" s="57">
        <f t="shared" si="5"/>
        <v>0</v>
      </c>
      <c r="U4" s="55"/>
      <c r="V4" s="56"/>
      <c r="W4" s="57">
        <f t="shared" si="6"/>
        <v>0</v>
      </c>
      <c r="X4" s="55"/>
      <c r="Y4" s="56"/>
      <c r="Z4" s="57">
        <f t="shared" si="7"/>
        <v>0</v>
      </c>
      <c r="AA4" s="55"/>
      <c r="AB4" s="56"/>
      <c r="AC4" s="57">
        <f t="shared" si="8"/>
        <v>0</v>
      </c>
      <c r="AD4" s="55"/>
      <c r="AE4" s="56"/>
      <c r="AF4" s="57">
        <f t="shared" si="9"/>
        <v>0</v>
      </c>
      <c r="AG4" s="55"/>
      <c r="AH4" s="56"/>
      <c r="AI4" s="57">
        <f t="shared" si="10"/>
        <v>0</v>
      </c>
      <c r="AJ4" s="55">
        <v>1</v>
      </c>
      <c r="AK4" s="56">
        <v>77500</v>
      </c>
      <c r="AL4" s="57">
        <v>77500</v>
      </c>
      <c r="AM4" s="55"/>
      <c r="AN4" s="56"/>
      <c r="AO4" s="57">
        <f t="shared" si="11"/>
        <v>0</v>
      </c>
      <c r="AP4" s="55"/>
      <c r="AQ4" s="56"/>
      <c r="AR4" s="57">
        <f t="shared" si="12"/>
        <v>0</v>
      </c>
      <c r="AS4" s="55"/>
      <c r="AT4" s="56"/>
      <c r="AU4" s="57">
        <f t="shared" si="13"/>
        <v>0</v>
      </c>
      <c r="AV4" s="55"/>
      <c r="AW4" s="56"/>
      <c r="AX4" s="57">
        <f t="shared" si="14"/>
        <v>0</v>
      </c>
      <c r="AY4" s="55"/>
      <c r="AZ4" s="56"/>
      <c r="BA4" s="57">
        <f t="shared" si="15"/>
        <v>0</v>
      </c>
      <c r="BB4" s="55">
        <v>1</v>
      </c>
      <c r="BC4" s="56">
        <v>90500</v>
      </c>
      <c r="BD4" s="57">
        <v>90500</v>
      </c>
      <c r="BE4" s="55"/>
      <c r="BF4" s="56"/>
      <c r="BG4" s="57">
        <f t="shared" si="16"/>
        <v>0</v>
      </c>
      <c r="BH4" s="55"/>
      <c r="BI4" s="56"/>
      <c r="BJ4" s="57">
        <f t="shared" si="17"/>
        <v>0</v>
      </c>
      <c r="BK4" s="55"/>
      <c r="BL4" s="56"/>
      <c r="BM4" s="57">
        <f t="shared" si="18"/>
        <v>0</v>
      </c>
      <c r="BN4" s="55"/>
      <c r="BO4" s="56"/>
      <c r="BP4" s="57">
        <f t="shared" si="19"/>
        <v>0</v>
      </c>
      <c r="BQ4" s="55"/>
      <c r="BR4" s="56"/>
      <c r="BS4" s="57">
        <f t="shared" si="20"/>
        <v>0</v>
      </c>
      <c r="BT4" s="55"/>
      <c r="BU4" s="56"/>
      <c r="BV4" s="57">
        <f>IFERROR(BT4*BU4, 0)</f>
        <v>0</v>
      </c>
      <c r="BW4" s="55"/>
      <c r="BX4" s="56"/>
      <c r="BY4" s="57">
        <f t="shared" si="21"/>
        <v>0</v>
      </c>
      <c r="BZ4" s="55"/>
      <c r="CA4" s="56"/>
      <c r="CB4" s="57">
        <f t="shared" si="22"/>
        <v>0</v>
      </c>
      <c r="CC4" s="55"/>
      <c r="CD4" s="56"/>
      <c r="CE4" s="57">
        <f t="shared" si="23"/>
        <v>0</v>
      </c>
      <c r="CF4" s="55"/>
      <c r="CG4" s="56"/>
      <c r="CH4" s="57">
        <f t="shared" si="24"/>
        <v>0</v>
      </c>
      <c r="CI4" s="55"/>
      <c r="CJ4" s="56"/>
      <c r="CK4" s="57">
        <f t="shared" si="25"/>
        <v>0</v>
      </c>
      <c r="CL4" s="55"/>
      <c r="CM4" s="56"/>
      <c r="CN4" s="57">
        <f t="shared" si="26"/>
        <v>0</v>
      </c>
      <c r="CO4" s="55"/>
      <c r="CP4" s="56"/>
      <c r="CQ4" s="57">
        <f t="shared" si="27"/>
        <v>0</v>
      </c>
      <c r="CR4" s="55"/>
      <c r="CS4" s="56"/>
      <c r="CT4" s="57">
        <f t="shared" si="28"/>
        <v>0</v>
      </c>
      <c r="CU4" s="58">
        <f t="shared" si="29"/>
        <v>2</v>
      </c>
      <c r="CV4" s="57">
        <f t="shared" si="30"/>
        <v>84000</v>
      </c>
      <c r="CW4" s="57">
        <f t="shared" si="31"/>
        <v>168000</v>
      </c>
    </row>
    <row r="5" spans="1:101" ht="15.75" customHeight="1" x14ac:dyDescent="0.35">
      <c r="A5" s="53" t="s">
        <v>437</v>
      </c>
      <c r="B5" s="53" t="s">
        <v>846</v>
      </c>
      <c r="C5" s="55"/>
      <c r="D5" s="56"/>
      <c r="E5" s="57">
        <f t="shared" si="0"/>
        <v>0</v>
      </c>
      <c r="F5" s="55"/>
      <c r="G5" s="56"/>
      <c r="H5" s="57">
        <f t="shared" si="1"/>
        <v>0</v>
      </c>
      <c r="I5" s="55"/>
      <c r="J5" s="56"/>
      <c r="K5" s="57">
        <f t="shared" si="2"/>
        <v>0</v>
      </c>
      <c r="L5" s="55"/>
      <c r="M5" s="56"/>
      <c r="N5" s="57">
        <f t="shared" si="3"/>
        <v>0</v>
      </c>
      <c r="O5" s="55"/>
      <c r="P5" s="56"/>
      <c r="Q5" s="57">
        <f t="shared" si="4"/>
        <v>0</v>
      </c>
      <c r="R5" s="55"/>
      <c r="S5" s="56"/>
      <c r="T5" s="57">
        <f t="shared" si="5"/>
        <v>0</v>
      </c>
      <c r="U5" s="55"/>
      <c r="V5" s="56"/>
      <c r="W5" s="57">
        <f t="shared" si="6"/>
        <v>0</v>
      </c>
      <c r="X5" s="55"/>
      <c r="Y5" s="56"/>
      <c r="Z5" s="57">
        <f t="shared" si="7"/>
        <v>0</v>
      </c>
      <c r="AA5" s="55"/>
      <c r="AB5" s="56"/>
      <c r="AC5" s="57">
        <f t="shared" si="8"/>
        <v>0</v>
      </c>
      <c r="AD5" s="55"/>
      <c r="AE5" s="56"/>
      <c r="AF5" s="57">
        <f t="shared" si="9"/>
        <v>0</v>
      </c>
      <c r="AG5" s="55"/>
      <c r="AH5" s="56"/>
      <c r="AI5" s="57">
        <f t="shared" si="10"/>
        <v>0</v>
      </c>
      <c r="AJ5" s="55">
        <v>2</v>
      </c>
      <c r="AK5" s="56">
        <v>74500</v>
      </c>
      <c r="AL5" s="57">
        <v>167500</v>
      </c>
      <c r="AM5" s="55"/>
      <c r="AN5" s="56"/>
      <c r="AO5" s="57">
        <f t="shared" si="11"/>
        <v>0</v>
      </c>
      <c r="AP5" s="55"/>
      <c r="AQ5" s="56"/>
      <c r="AR5" s="57">
        <f t="shared" si="12"/>
        <v>0</v>
      </c>
      <c r="AS5" s="55"/>
      <c r="AT5" s="56"/>
      <c r="AU5" s="57">
        <f t="shared" si="13"/>
        <v>0</v>
      </c>
      <c r="AV5" s="55"/>
      <c r="AW5" s="56"/>
      <c r="AX5" s="57">
        <f t="shared" si="14"/>
        <v>0</v>
      </c>
      <c r="AY5" s="55"/>
      <c r="AZ5" s="56"/>
      <c r="BA5" s="57">
        <f t="shared" si="15"/>
        <v>0</v>
      </c>
      <c r="BB5" s="55">
        <v>1</v>
      </c>
      <c r="BC5" s="56">
        <v>74500</v>
      </c>
      <c r="BD5" s="57">
        <v>74500</v>
      </c>
      <c r="BE5" s="55"/>
      <c r="BF5" s="56"/>
      <c r="BG5" s="57">
        <f t="shared" si="16"/>
        <v>0</v>
      </c>
      <c r="BH5" s="55"/>
      <c r="BI5" s="56"/>
      <c r="BJ5" s="57">
        <f t="shared" si="17"/>
        <v>0</v>
      </c>
      <c r="BK5" s="55"/>
      <c r="BL5" s="56"/>
      <c r="BM5" s="57">
        <f t="shared" si="18"/>
        <v>0</v>
      </c>
      <c r="BN5" s="55"/>
      <c r="BO5" s="56"/>
      <c r="BP5" s="57">
        <f t="shared" si="19"/>
        <v>0</v>
      </c>
      <c r="BQ5" s="55"/>
      <c r="BR5" s="56"/>
      <c r="BS5" s="57">
        <f t="shared" si="20"/>
        <v>0</v>
      </c>
      <c r="BT5" s="55"/>
      <c r="BU5" s="56"/>
      <c r="BV5" s="57">
        <f>IFERROR(BT5*BU5, 0)</f>
        <v>0</v>
      </c>
      <c r="BW5" s="55"/>
      <c r="BX5" s="56"/>
      <c r="BY5" s="57">
        <f t="shared" si="21"/>
        <v>0</v>
      </c>
      <c r="BZ5" s="55"/>
      <c r="CA5" s="56"/>
      <c r="CB5" s="57">
        <f t="shared" si="22"/>
        <v>0</v>
      </c>
      <c r="CC5" s="55"/>
      <c r="CD5" s="56"/>
      <c r="CE5" s="57">
        <f t="shared" si="23"/>
        <v>0</v>
      </c>
      <c r="CF5" s="55"/>
      <c r="CG5" s="56"/>
      <c r="CH5" s="57">
        <f t="shared" si="24"/>
        <v>0</v>
      </c>
      <c r="CI5" s="55"/>
      <c r="CJ5" s="56"/>
      <c r="CK5" s="57">
        <f t="shared" si="25"/>
        <v>0</v>
      </c>
      <c r="CL5" s="55"/>
      <c r="CM5" s="56"/>
      <c r="CN5" s="57">
        <f t="shared" si="26"/>
        <v>0</v>
      </c>
      <c r="CO5" s="55"/>
      <c r="CP5" s="56"/>
      <c r="CQ5" s="57">
        <f t="shared" si="27"/>
        <v>0</v>
      </c>
      <c r="CR5" s="55"/>
      <c r="CS5" s="56"/>
      <c r="CT5" s="57">
        <f t="shared" si="28"/>
        <v>0</v>
      </c>
      <c r="CU5" s="58">
        <f t="shared" si="29"/>
        <v>3</v>
      </c>
      <c r="CV5" s="57">
        <f t="shared" si="30"/>
        <v>74500</v>
      </c>
      <c r="CW5" s="57">
        <f t="shared" si="31"/>
        <v>223500</v>
      </c>
    </row>
    <row r="6" spans="1:101" ht="15.75" customHeight="1" x14ac:dyDescent="0.35">
      <c r="A6" s="53" t="s">
        <v>442</v>
      </c>
      <c r="B6" s="53" t="s">
        <v>846</v>
      </c>
      <c r="C6" s="55"/>
      <c r="D6" s="56"/>
      <c r="E6" s="57">
        <f t="shared" si="0"/>
        <v>0</v>
      </c>
      <c r="F6" s="55"/>
      <c r="G6" s="56"/>
      <c r="H6" s="57">
        <f t="shared" si="1"/>
        <v>0</v>
      </c>
      <c r="I6" s="55"/>
      <c r="J6" s="56"/>
      <c r="K6" s="57">
        <f t="shared" si="2"/>
        <v>0</v>
      </c>
      <c r="L6" s="55"/>
      <c r="M6" s="56"/>
      <c r="N6" s="57">
        <f t="shared" si="3"/>
        <v>0</v>
      </c>
      <c r="O6" s="55"/>
      <c r="P6" s="56"/>
      <c r="Q6" s="57">
        <f t="shared" si="4"/>
        <v>0</v>
      </c>
      <c r="R6" s="55"/>
      <c r="S6" s="56"/>
      <c r="T6" s="57">
        <f t="shared" si="5"/>
        <v>0</v>
      </c>
      <c r="U6" s="55"/>
      <c r="V6" s="56"/>
      <c r="W6" s="57">
        <f t="shared" si="6"/>
        <v>0</v>
      </c>
      <c r="X6" s="55"/>
      <c r="Y6" s="56"/>
      <c r="Z6" s="57">
        <f t="shared" si="7"/>
        <v>0</v>
      </c>
      <c r="AA6" s="55"/>
      <c r="AB6" s="56"/>
      <c r="AC6" s="57">
        <f t="shared" si="8"/>
        <v>0</v>
      </c>
      <c r="AD6" s="55"/>
      <c r="AE6" s="56"/>
      <c r="AF6" s="57">
        <f t="shared" si="9"/>
        <v>0</v>
      </c>
      <c r="AG6" s="55"/>
      <c r="AH6" s="56"/>
      <c r="AI6" s="57">
        <f t="shared" si="10"/>
        <v>0</v>
      </c>
      <c r="AJ6" s="55">
        <v>1</v>
      </c>
      <c r="AK6" s="56">
        <v>69700</v>
      </c>
      <c r="AL6" s="57">
        <v>69700</v>
      </c>
      <c r="AM6" s="55"/>
      <c r="AN6" s="56"/>
      <c r="AO6" s="57">
        <f t="shared" si="11"/>
        <v>0</v>
      </c>
      <c r="AP6" s="55"/>
      <c r="AQ6" s="56"/>
      <c r="AR6" s="57">
        <f t="shared" si="12"/>
        <v>0</v>
      </c>
      <c r="AS6" s="55"/>
      <c r="AT6" s="56"/>
      <c r="AU6" s="57">
        <f t="shared" si="13"/>
        <v>0</v>
      </c>
      <c r="AV6" s="55"/>
      <c r="AW6" s="56"/>
      <c r="AX6" s="57">
        <f t="shared" si="14"/>
        <v>0</v>
      </c>
      <c r="AY6" s="55"/>
      <c r="AZ6" s="56"/>
      <c r="BA6" s="57">
        <f t="shared" si="15"/>
        <v>0</v>
      </c>
      <c r="BB6" s="55">
        <v>1</v>
      </c>
      <c r="BC6" s="56">
        <v>69700</v>
      </c>
      <c r="BD6" s="57">
        <v>69700</v>
      </c>
      <c r="BE6" s="55"/>
      <c r="BF6" s="56"/>
      <c r="BG6" s="57">
        <f t="shared" si="16"/>
        <v>0</v>
      </c>
      <c r="BH6" s="55"/>
      <c r="BI6" s="56"/>
      <c r="BJ6" s="57">
        <f t="shared" si="17"/>
        <v>0</v>
      </c>
      <c r="BK6" s="55"/>
      <c r="BL6" s="56"/>
      <c r="BM6" s="57">
        <f t="shared" si="18"/>
        <v>0</v>
      </c>
      <c r="BN6" s="55"/>
      <c r="BO6" s="56"/>
      <c r="BP6" s="57">
        <f t="shared" si="19"/>
        <v>0</v>
      </c>
      <c r="BQ6" s="55"/>
      <c r="BR6" s="56"/>
      <c r="BS6" s="57">
        <f t="shared" si="20"/>
        <v>0</v>
      </c>
      <c r="BT6" s="55">
        <v>2</v>
      </c>
      <c r="BU6" s="56">
        <v>69700</v>
      </c>
      <c r="BV6" s="57">
        <v>139400</v>
      </c>
      <c r="BW6" s="55"/>
      <c r="BX6" s="56"/>
      <c r="BY6" s="57">
        <f t="shared" si="21"/>
        <v>0</v>
      </c>
      <c r="BZ6" s="55"/>
      <c r="CA6" s="56"/>
      <c r="CB6" s="57">
        <f t="shared" si="22"/>
        <v>0</v>
      </c>
      <c r="CC6" s="55"/>
      <c r="CD6" s="56"/>
      <c r="CE6" s="57">
        <f t="shared" si="23"/>
        <v>0</v>
      </c>
      <c r="CF6" s="55"/>
      <c r="CG6" s="56"/>
      <c r="CH6" s="57">
        <f t="shared" si="24"/>
        <v>0</v>
      </c>
      <c r="CI6" s="55"/>
      <c r="CJ6" s="56"/>
      <c r="CK6" s="57">
        <f t="shared" si="25"/>
        <v>0</v>
      </c>
      <c r="CL6" s="55"/>
      <c r="CM6" s="56"/>
      <c r="CN6" s="57">
        <f t="shared" si="26"/>
        <v>0</v>
      </c>
      <c r="CO6" s="55"/>
      <c r="CP6" s="56"/>
      <c r="CQ6" s="57">
        <f t="shared" si="27"/>
        <v>0</v>
      </c>
      <c r="CR6" s="55"/>
      <c r="CS6" s="56"/>
      <c r="CT6" s="57">
        <f t="shared" si="28"/>
        <v>0</v>
      </c>
      <c r="CU6" s="58">
        <f t="shared" si="29"/>
        <v>4</v>
      </c>
      <c r="CV6" s="57">
        <f t="shared" si="30"/>
        <v>69700</v>
      </c>
      <c r="CW6" s="57">
        <f t="shared" si="31"/>
        <v>278800</v>
      </c>
    </row>
    <row r="7" spans="1:101" ht="15.75" customHeight="1" x14ac:dyDescent="0.35">
      <c r="A7" s="53" t="s">
        <v>1043</v>
      </c>
      <c r="B7" s="53" t="s">
        <v>846</v>
      </c>
      <c r="C7" s="55"/>
      <c r="D7" s="56"/>
      <c r="E7" s="57">
        <f t="shared" si="0"/>
        <v>0</v>
      </c>
      <c r="F7" s="55"/>
      <c r="G7" s="56"/>
      <c r="H7" s="57">
        <f t="shared" si="1"/>
        <v>0</v>
      </c>
      <c r="I7" s="55"/>
      <c r="J7" s="56"/>
      <c r="K7" s="57">
        <f t="shared" si="2"/>
        <v>0</v>
      </c>
      <c r="L7" s="55"/>
      <c r="M7" s="56"/>
      <c r="N7" s="57">
        <f t="shared" si="3"/>
        <v>0</v>
      </c>
      <c r="O7" s="55"/>
      <c r="P7" s="56"/>
      <c r="Q7" s="57">
        <f t="shared" si="4"/>
        <v>0</v>
      </c>
      <c r="R7" s="55"/>
      <c r="S7" s="56"/>
      <c r="T7" s="57">
        <f t="shared" si="5"/>
        <v>0</v>
      </c>
      <c r="U7" s="55"/>
      <c r="V7" s="56"/>
      <c r="W7" s="57">
        <f t="shared" si="6"/>
        <v>0</v>
      </c>
      <c r="X7" s="55"/>
      <c r="Y7" s="56"/>
      <c r="Z7" s="57">
        <f t="shared" si="7"/>
        <v>0</v>
      </c>
      <c r="AA7" s="55"/>
      <c r="AB7" s="56"/>
      <c r="AC7" s="57">
        <f t="shared" si="8"/>
        <v>0</v>
      </c>
      <c r="AD7" s="55"/>
      <c r="AE7" s="56"/>
      <c r="AF7" s="57">
        <f t="shared" si="9"/>
        <v>0</v>
      </c>
      <c r="AG7" s="55"/>
      <c r="AH7" s="56"/>
      <c r="AI7" s="57">
        <f t="shared" si="10"/>
        <v>0</v>
      </c>
      <c r="AJ7" s="55"/>
      <c r="AK7" s="56"/>
      <c r="AL7" s="57">
        <f>IFERROR(AJ7*AK7, 0)</f>
        <v>0</v>
      </c>
      <c r="AM7" s="55"/>
      <c r="AN7" s="56"/>
      <c r="AO7" s="57">
        <f t="shared" si="11"/>
        <v>0</v>
      </c>
      <c r="AP7" s="55"/>
      <c r="AQ7" s="56"/>
      <c r="AR7" s="57">
        <f t="shared" si="12"/>
        <v>0</v>
      </c>
      <c r="AS7" s="55"/>
      <c r="AT7" s="56"/>
      <c r="AU7" s="57">
        <f t="shared" si="13"/>
        <v>0</v>
      </c>
      <c r="AV7" s="55"/>
      <c r="AW7" s="56"/>
      <c r="AX7" s="57">
        <f t="shared" si="14"/>
        <v>0</v>
      </c>
      <c r="AY7" s="55"/>
      <c r="AZ7" s="56"/>
      <c r="BA7" s="57">
        <f t="shared" si="15"/>
        <v>0</v>
      </c>
      <c r="BB7" s="55"/>
      <c r="BC7" s="56"/>
      <c r="BD7" s="57">
        <f t="shared" ref="BD7:BD40" si="32">IFERROR(BB7*BC7, 0)</f>
        <v>0</v>
      </c>
      <c r="BE7" s="55"/>
      <c r="BF7" s="56"/>
      <c r="BG7" s="57">
        <f t="shared" si="16"/>
        <v>0</v>
      </c>
      <c r="BH7" s="55"/>
      <c r="BI7" s="56"/>
      <c r="BJ7" s="57">
        <f t="shared" si="17"/>
        <v>0</v>
      </c>
      <c r="BK7" s="55"/>
      <c r="BL7" s="56"/>
      <c r="BM7" s="57">
        <f t="shared" si="18"/>
        <v>0</v>
      </c>
      <c r="BN7" s="55"/>
      <c r="BO7" s="56"/>
      <c r="BP7" s="57">
        <f t="shared" si="19"/>
        <v>0</v>
      </c>
      <c r="BQ7" s="55"/>
      <c r="BR7" s="56"/>
      <c r="BS7" s="57">
        <f t="shared" si="20"/>
        <v>0</v>
      </c>
      <c r="BT7" s="55"/>
      <c r="BU7" s="56"/>
      <c r="BV7" s="57">
        <f t="shared" ref="BV7:BV38" si="33">IFERROR(BT7*BU7, 0)</f>
        <v>0</v>
      </c>
      <c r="BW7" s="55"/>
      <c r="BX7" s="56"/>
      <c r="BY7" s="57">
        <f t="shared" si="21"/>
        <v>0</v>
      </c>
      <c r="BZ7" s="55"/>
      <c r="CA7" s="56"/>
      <c r="CB7" s="57">
        <f t="shared" si="22"/>
        <v>0</v>
      </c>
      <c r="CC7" s="55"/>
      <c r="CD7" s="56"/>
      <c r="CE7" s="57">
        <f t="shared" si="23"/>
        <v>0</v>
      </c>
      <c r="CF7" s="55"/>
      <c r="CG7" s="56"/>
      <c r="CH7" s="57">
        <f t="shared" si="24"/>
        <v>0</v>
      </c>
      <c r="CI7" s="55"/>
      <c r="CJ7" s="56"/>
      <c r="CK7" s="57">
        <f t="shared" si="25"/>
        <v>0</v>
      </c>
      <c r="CL7" s="55"/>
      <c r="CM7" s="56"/>
      <c r="CN7" s="57">
        <f t="shared" si="26"/>
        <v>0</v>
      </c>
      <c r="CO7" s="55"/>
      <c r="CP7" s="56"/>
      <c r="CQ7" s="57">
        <f t="shared" si="27"/>
        <v>0</v>
      </c>
      <c r="CR7" s="55"/>
      <c r="CS7" s="56"/>
      <c r="CT7" s="57">
        <f t="shared" si="28"/>
        <v>0</v>
      </c>
      <c r="CU7" s="58">
        <f t="shared" si="29"/>
        <v>0</v>
      </c>
      <c r="CV7" s="57">
        <f t="shared" si="30"/>
        <v>0</v>
      </c>
      <c r="CW7" s="57">
        <f t="shared" si="31"/>
        <v>0</v>
      </c>
    </row>
    <row r="8" spans="1:101" ht="15.75" customHeight="1" x14ac:dyDescent="0.35">
      <c r="A8" s="53" t="s">
        <v>832</v>
      </c>
      <c r="B8" s="59" t="s">
        <v>846</v>
      </c>
      <c r="C8" s="60"/>
      <c r="D8" s="61"/>
      <c r="E8" s="57">
        <f t="shared" si="0"/>
        <v>0</v>
      </c>
      <c r="F8" s="55"/>
      <c r="G8" s="56"/>
      <c r="H8" s="57">
        <f t="shared" si="1"/>
        <v>0</v>
      </c>
      <c r="I8" s="55"/>
      <c r="J8" s="56"/>
      <c r="K8" s="57">
        <f t="shared" si="2"/>
        <v>0</v>
      </c>
      <c r="L8" s="55"/>
      <c r="M8" s="56"/>
      <c r="N8" s="57">
        <f t="shared" si="3"/>
        <v>0</v>
      </c>
      <c r="O8" s="55"/>
      <c r="P8" s="56"/>
      <c r="Q8" s="57">
        <f t="shared" si="4"/>
        <v>0</v>
      </c>
      <c r="R8" s="55"/>
      <c r="S8" s="56"/>
      <c r="T8" s="57">
        <f t="shared" si="5"/>
        <v>0</v>
      </c>
      <c r="U8" s="55"/>
      <c r="V8" s="56"/>
      <c r="W8" s="57">
        <f t="shared" si="6"/>
        <v>0</v>
      </c>
      <c r="X8" s="55"/>
      <c r="Y8" s="56"/>
      <c r="Z8" s="57">
        <f t="shared" si="7"/>
        <v>0</v>
      </c>
      <c r="AA8" s="55"/>
      <c r="AB8" s="56"/>
      <c r="AC8" s="57">
        <f t="shared" si="8"/>
        <v>0</v>
      </c>
      <c r="AD8" s="55"/>
      <c r="AE8" s="56"/>
      <c r="AF8" s="57">
        <f t="shared" si="9"/>
        <v>0</v>
      </c>
      <c r="AG8" s="55"/>
      <c r="AH8" s="56"/>
      <c r="AI8" s="57">
        <f t="shared" si="10"/>
        <v>0</v>
      </c>
      <c r="AJ8" s="55"/>
      <c r="AK8" s="56"/>
      <c r="AL8" s="57">
        <f>IFERROR(AJ8*AK8, 0)</f>
        <v>0</v>
      </c>
      <c r="AM8" s="55"/>
      <c r="AN8" s="56"/>
      <c r="AO8" s="57">
        <f t="shared" si="11"/>
        <v>0</v>
      </c>
      <c r="AP8" s="55"/>
      <c r="AQ8" s="56"/>
      <c r="AR8" s="57">
        <f t="shared" si="12"/>
        <v>0</v>
      </c>
      <c r="AS8" s="55"/>
      <c r="AT8" s="56"/>
      <c r="AU8" s="57">
        <f t="shared" si="13"/>
        <v>0</v>
      </c>
      <c r="AV8" s="55"/>
      <c r="AW8" s="56"/>
      <c r="AX8" s="57">
        <f t="shared" si="14"/>
        <v>0</v>
      </c>
      <c r="AY8" s="55"/>
      <c r="AZ8" s="56"/>
      <c r="BA8" s="57">
        <f t="shared" si="15"/>
        <v>0</v>
      </c>
      <c r="BB8" s="55"/>
      <c r="BC8" s="56"/>
      <c r="BD8" s="57">
        <f t="shared" si="32"/>
        <v>0</v>
      </c>
      <c r="BE8" s="55"/>
      <c r="BF8" s="56"/>
      <c r="BG8" s="57">
        <f t="shared" si="16"/>
        <v>0</v>
      </c>
      <c r="BH8" s="55"/>
      <c r="BI8" s="56"/>
      <c r="BJ8" s="57">
        <f t="shared" si="17"/>
        <v>0</v>
      </c>
      <c r="BK8" s="55"/>
      <c r="BL8" s="56"/>
      <c r="BM8" s="57">
        <f t="shared" si="18"/>
        <v>0</v>
      </c>
      <c r="BN8" s="55"/>
      <c r="BO8" s="56"/>
      <c r="BP8" s="57">
        <f t="shared" si="19"/>
        <v>0</v>
      </c>
      <c r="BQ8" s="55"/>
      <c r="BR8" s="56"/>
      <c r="BS8" s="57">
        <f t="shared" si="20"/>
        <v>0</v>
      </c>
      <c r="BT8" s="55"/>
      <c r="BU8" s="56"/>
      <c r="BV8" s="57">
        <f t="shared" si="33"/>
        <v>0</v>
      </c>
      <c r="BW8" s="55"/>
      <c r="BX8" s="56"/>
      <c r="BY8" s="57">
        <f t="shared" si="21"/>
        <v>0</v>
      </c>
      <c r="BZ8" s="55"/>
      <c r="CA8" s="56"/>
      <c r="CB8" s="57">
        <f t="shared" si="22"/>
        <v>0</v>
      </c>
      <c r="CC8" s="55"/>
      <c r="CD8" s="56"/>
      <c r="CE8" s="57">
        <f t="shared" si="23"/>
        <v>0</v>
      </c>
      <c r="CF8" s="55"/>
      <c r="CG8" s="56"/>
      <c r="CH8" s="57">
        <f t="shared" si="24"/>
        <v>0</v>
      </c>
      <c r="CI8" s="55"/>
      <c r="CJ8" s="56"/>
      <c r="CK8" s="57">
        <f t="shared" si="25"/>
        <v>0</v>
      </c>
      <c r="CL8" s="55"/>
      <c r="CM8" s="56"/>
      <c r="CN8" s="57">
        <f t="shared" si="26"/>
        <v>0</v>
      </c>
      <c r="CO8" s="55"/>
      <c r="CP8" s="56"/>
      <c r="CQ8" s="57">
        <f t="shared" si="27"/>
        <v>0</v>
      </c>
      <c r="CR8" s="55"/>
      <c r="CS8" s="56"/>
      <c r="CT8" s="57">
        <f t="shared" si="28"/>
        <v>0</v>
      </c>
      <c r="CU8" s="58">
        <f t="shared" si="29"/>
        <v>0</v>
      </c>
      <c r="CV8" s="57">
        <f t="shared" si="30"/>
        <v>0</v>
      </c>
      <c r="CW8" s="57">
        <f t="shared" si="31"/>
        <v>0</v>
      </c>
    </row>
    <row r="9" spans="1:101" ht="15.75" customHeight="1" x14ac:dyDescent="0.35">
      <c r="A9" s="62" t="s">
        <v>57</v>
      </c>
      <c r="B9" s="62" t="s">
        <v>846</v>
      </c>
      <c r="C9" s="63"/>
      <c r="D9" s="64"/>
      <c r="E9" s="57">
        <f t="shared" si="0"/>
        <v>0</v>
      </c>
      <c r="F9" s="55"/>
      <c r="G9" s="56"/>
      <c r="H9" s="57">
        <f t="shared" si="1"/>
        <v>0</v>
      </c>
      <c r="I9" s="55"/>
      <c r="J9" s="56"/>
      <c r="K9" s="57">
        <f t="shared" si="2"/>
        <v>0</v>
      </c>
      <c r="L9" s="55"/>
      <c r="M9" s="56"/>
      <c r="N9" s="57">
        <f t="shared" si="3"/>
        <v>0</v>
      </c>
      <c r="O9" s="55"/>
      <c r="P9" s="56"/>
      <c r="Q9" s="57">
        <f t="shared" si="4"/>
        <v>0</v>
      </c>
      <c r="R9" s="55"/>
      <c r="S9" s="56"/>
      <c r="T9" s="57">
        <f t="shared" si="5"/>
        <v>0</v>
      </c>
      <c r="U9" s="55"/>
      <c r="V9" s="56"/>
      <c r="W9" s="57">
        <f t="shared" si="6"/>
        <v>0</v>
      </c>
      <c r="X9" s="55"/>
      <c r="Y9" s="56"/>
      <c r="Z9" s="57">
        <f t="shared" si="7"/>
        <v>0</v>
      </c>
      <c r="AA9" s="55"/>
      <c r="AB9" s="56"/>
      <c r="AC9" s="57">
        <f t="shared" si="8"/>
        <v>0</v>
      </c>
      <c r="AD9" s="55"/>
      <c r="AE9" s="56"/>
      <c r="AF9" s="57">
        <f t="shared" si="9"/>
        <v>0</v>
      </c>
      <c r="AG9" s="55"/>
      <c r="AH9" s="56"/>
      <c r="AI9" s="57">
        <f t="shared" si="10"/>
        <v>0</v>
      </c>
      <c r="AJ9" s="55"/>
      <c r="AK9" s="56"/>
      <c r="AL9" s="57">
        <f>IFERROR(AJ9*AK9, 0)</f>
        <v>0</v>
      </c>
      <c r="AM9" s="55"/>
      <c r="AN9" s="56"/>
      <c r="AO9" s="57">
        <f t="shared" si="11"/>
        <v>0</v>
      </c>
      <c r="AP9" s="55"/>
      <c r="AQ9" s="56"/>
      <c r="AR9" s="57">
        <f t="shared" si="12"/>
        <v>0</v>
      </c>
      <c r="AS9" s="55"/>
      <c r="AT9" s="56"/>
      <c r="AU9" s="57">
        <f t="shared" si="13"/>
        <v>0</v>
      </c>
      <c r="AV9" s="55"/>
      <c r="AW9" s="56"/>
      <c r="AX9" s="57">
        <f t="shared" si="14"/>
        <v>0</v>
      </c>
      <c r="AY9" s="55"/>
      <c r="AZ9" s="56"/>
      <c r="BA9" s="57">
        <f t="shared" si="15"/>
        <v>0</v>
      </c>
      <c r="BB9" s="55"/>
      <c r="BC9" s="56"/>
      <c r="BD9" s="57">
        <f t="shared" si="32"/>
        <v>0</v>
      </c>
      <c r="BE9" s="55"/>
      <c r="BF9" s="56"/>
      <c r="BG9" s="57">
        <f t="shared" si="16"/>
        <v>0</v>
      </c>
      <c r="BH9" s="55">
        <v>2</v>
      </c>
      <c r="BI9" s="56">
        <v>24800</v>
      </c>
      <c r="BJ9" s="57">
        <v>49600</v>
      </c>
      <c r="BK9" s="55"/>
      <c r="BL9" s="56"/>
      <c r="BM9" s="57">
        <f t="shared" si="18"/>
        <v>0</v>
      </c>
      <c r="BN9" s="55"/>
      <c r="BO9" s="56"/>
      <c r="BP9" s="57">
        <f t="shared" si="19"/>
        <v>0</v>
      </c>
      <c r="BQ9" s="55"/>
      <c r="BR9" s="56"/>
      <c r="BS9" s="57">
        <f t="shared" si="20"/>
        <v>0</v>
      </c>
      <c r="BT9" s="55"/>
      <c r="BU9" s="56"/>
      <c r="BV9" s="57">
        <f t="shared" si="33"/>
        <v>0</v>
      </c>
      <c r="BW9" s="55"/>
      <c r="BX9" s="56"/>
      <c r="BY9" s="57">
        <f t="shared" si="21"/>
        <v>0</v>
      </c>
      <c r="BZ9" s="55"/>
      <c r="CA9" s="56"/>
      <c r="CB9" s="57">
        <f t="shared" si="22"/>
        <v>0</v>
      </c>
      <c r="CC9" s="55"/>
      <c r="CD9" s="56"/>
      <c r="CE9" s="57">
        <f t="shared" si="23"/>
        <v>0</v>
      </c>
      <c r="CF9" s="55"/>
      <c r="CG9" s="56"/>
      <c r="CH9" s="57">
        <f t="shared" si="24"/>
        <v>0</v>
      </c>
      <c r="CI9" s="55"/>
      <c r="CJ9" s="56"/>
      <c r="CK9" s="57">
        <f t="shared" si="25"/>
        <v>0</v>
      </c>
      <c r="CL9" s="55"/>
      <c r="CM9" s="56"/>
      <c r="CN9" s="57">
        <f t="shared" si="26"/>
        <v>0</v>
      </c>
      <c r="CO9" s="55"/>
      <c r="CP9" s="56"/>
      <c r="CQ9" s="57">
        <f t="shared" si="27"/>
        <v>0</v>
      </c>
      <c r="CR9" s="55"/>
      <c r="CS9" s="56"/>
      <c r="CT9" s="57">
        <f t="shared" si="28"/>
        <v>0</v>
      </c>
      <c r="CU9" s="58">
        <f t="shared" si="29"/>
        <v>2</v>
      </c>
      <c r="CV9" s="57">
        <f t="shared" si="30"/>
        <v>24800</v>
      </c>
      <c r="CW9" s="57">
        <f t="shared" si="31"/>
        <v>49600</v>
      </c>
    </row>
    <row r="10" spans="1:101" ht="15.75" customHeight="1" x14ac:dyDescent="0.35">
      <c r="A10" s="53" t="s">
        <v>829</v>
      </c>
      <c r="B10" s="54" t="s">
        <v>870</v>
      </c>
      <c r="C10" s="65" t="s">
        <v>4</v>
      </c>
      <c r="D10" s="66" t="s">
        <v>872</v>
      </c>
      <c r="E10" s="57">
        <f t="shared" si="0"/>
        <v>0</v>
      </c>
      <c r="F10" s="55"/>
      <c r="G10" s="56"/>
      <c r="H10" s="57">
        <f t="shared" si="1"/>
        <v>0</v>
      </c>
      <c r="I10" s="55"/>
      <c r="J10" s="56"/>
      <c r="K10" s="57">
        <f t="shared" si="2"/>
        <v>0</v>
      </c>
      <c r="L10" s="55"/>
      <c r="M10" s="56"/>
      <c r="N10" s="57">
        <f t="shared" si="3"/>
        <v>0</v>
      </c>
      <c r="O10" s="55"/>
      <c r="P10" s="56"/>
      <c r="Q10" s="57">
        <f t="shared" si="4"/>
        <v>0</v>
      </c>
      <c r="R10" s="55"/>
      <c r="S10" s="56"/>
      <c r="T10" s="57">
        <f t="shared" si="5"/>
        <v>0</v>
      </c>
      <c r="U10" s="55"/>
      <c r="V10" s="56"/>
      <c r="W10" s="57">
        <f t="shared" si="6"/>
        <v>0</v>
      </c>
      <c r="X10" s="55"/>
      <c r="Y10" s="56"/>
      <c r="Z10" s="57">
        <f t="shared" si="7"/>
        <v>0</v>
      </c>
      <c r="AA10" s="55"/>
      <c r="AB10" s="56"/>
      <c r="AC10" s="57">
        <f t="shared" si="8"/>
        <v>0</v>
      </c>
      <c r="AD10" s="55"/>
      <c r="AE10" s="56"/>
      <c r="AF10" s="57">
        <f t="shared" si="9"/>
        <v>0</v>
      </c>
      <c r="AG10" s="55"/>
      <c r="AH10" s="56"/>
      <c r="AI10" s="57">
        <f t="shared" si="10"/>
        <v>0</v>
      </c>
      <c r="AJ10" s="55"/>
      <c r="AK10" s="56"/>
      <c r="AL10" s="57">
        <f>IFERROR(AJ10*AK10, 0)</f>
        <v>0</v>
      </c>
      <c r="AM10" s="55"/>
      <c r="AN10" s="56"/>
      <c r="AO10" s="57">
        <f t="shared" si="11"/>
        <v>0</v>
      </c>
      <c r="AP10" s="55"/>
      <c r="AQ10" s="56"/>
      <c r="AR10" s="57">
        <f t="shared" si="12"/>
        <v>0</v>
      </c>
      <c r="AS10" s="55"/>
      <c r="AT10" s="56"/>
      <c r="AU10" s="57">
        <f t="shared" si="13"/>
        <v>0</v>
      </c>
      <c r="AV10" s="55"/>
      <c r="AW10" s="56"/>
      <c r="AX10" s="57">
        <f t="shared" si="14"/>
        <v>0</v>
      </c>
      <c r="AY10" s="55"/>
      <c r="AZ10" s="56"/>
      <c r="BA10" s="57">
        <f t="shared" si="15"/>
        <v>0</v>
      </c>
      <c r="BB10" s="55"/>
      <c r="BC10" s="56"/>
      <c r="BD10" s="57">
        <f t="shared" si="32"/>
        <v>0</v>
      </c>
      <c r="BE10" s="55"/>
      <c r="BF10" s="56"/>
      <c r="BG10" s="57">
        <f t="shared" si="16"/>
        <v>0</v>
      </c>
      <c r="BH10" s="55"/>
      <c r="BI10" s="56"/>
      <c r="BJ10" s="57">
        <f t="shared" ref="BJ10:BJ41" si="34">IFERROR(BH10*BI10, 0)</f>
        <v>0</v>
      </c>
      <c r="BK10" s="55"/>
      <c r="BL10" s="56"/>
      <c r="BM10" s="57">
        <f t="shared" si="18"/>
        <v>0</v>
      </c>
      <c r="BN10" s="55"/>
      <c r="BO10" s="56"/>
      <c r="BP10" s="57">
        <f t="shared" si="19"/>
        <v>0</v>
      </c>
      <c r="BQ10" s="55"/>
      <c r="BR10" s="56"/>
      <c r="BS10" s="57">
        <f t="shared" si="20"/>
        <v>0</v>
      </c>
      <c r="BT10" s="55"/>
      <c r="BU10" s="56"/>
      <c r="BV10" s="57">
        <f t="shared" si="33"/>
        <v>0</v>
      </c>
      <c r="BW10" s="55"/>
      <c r="BX10" s="56"/>
      <c r="BY10" s="57">
        <f t="shared" si="21"/>
        <v>0</v>
      </c>
      <c r="BZ10" s="55"/>
      <c r="CA10" s="56"/>
      <c r="CB10" s="57">
        <f t="shared" si="22"/>
        <v>0</v>
      </c>
      <c r="CC10" s="55"/>
      <c r="CD10" s="56"/>
      <c r="CE10" s="57">
        <f t="shared" si="23"/>
        <v>0</v>
      </c>
      <c r="CF10" s="55"/>
      <c r="CG10" s="56"/>
      <c r="CH10" s="57">
        <f t="shared" si="24"/>
        <v>0</v>
      </c>
      <c r="CI10" s="55"/>
      <c r="CJ10" s="56"/>
      <c r="CK10" s="57">
        <f t="shared" si="25"/>
        <v>0</v>
      </c>
      <c r="CL10" s="55"/>
      <c r="CM10" s="56"/>
      <c r="CN10" s="57">
        <f t="shared" si="26"/>
        <v>0</v>
      </c>
      <c r="CO10" s="55"/>
      <c r="CP10" s="56"/>
      <c r="CQ10" s="57">
        <f t="shared" si="27"/>
        <v>0</v>
      </c>
      <c r="CR10" s="55"/>
      <c r="CS10" s="56"/>
      <c r="CT10" s="57">
        <f t="shared" si="28"/>
        <v>0</v>
      </c>
      <c r="CU10" s="58">
        <f t="shared" si="29"/>
        <v>0</v>
      </c>
      <c r="CV10" s="57">
        <f t="shared" si="30"/>
        <v>0</v>
      </c>
      <c r="CW10" s="57">
        <f t="shared" si="31"/>
        <v>0</v>
      </c>
    </row>
    <row r="11" spans="1:101" ht="15.75" customHeight="1" x14ac:dyDescent="0.35">
      <c r="A11" s="53" t="s">
        <v>1044</v>
      </c>
      <c r="B11" s="53" t="s">
        <v>846</v>
      </c>
      <c r="C11" s="55"/>
      <c r="D11" s="56"/>
      <c r="E11" s="57">
        <f t="shared" si="0"/>
        <v>0</v>
      </c>
      <c r="F11" s="55"/>
      <c r="G11" s="56"/>
      <c r="H11" s="57">
        <f t="shared" si="1"/>
        <v>0</v>
      </c>
      <c r="I11" s="55"/>
      <c r="J11" s="56"/>
      <c r="K11" s="57">
        <f t="shared" si="2"/>
        <v>0</v>
      </c>
      <c r="L11" s="55"/>
      <c r="M11" s="56"/>
      <c r="N11" s="57">
        <f t="shared" si="3"/>
        <v>0</v>
      </c>
      <c r="O11" s="55"/>
      <c r="P11" s="56"/>
      <c r="Q11" s="57">
        <f t="shared" si="4"/>
        <v>0</v>
      </c>
      <c r="R11" s="55"/>
      <c r="S11" s="56"/>
      <c r="T11" s="57">
        <f t="shared" si="5"/>
        <v>0</v>
      </c>
      <c r="U11" s="55"/>
      <c r="V11" s="56"/>
      <c r="W11" s="57">
        <f t="shared" si="6"/>
        <v>0</v>
      </c>
      <c r="X11" s="55"/>
      <c r="Y11" s="56"/>
      <c r="Z11" s="57">
        <f t="shared" si="7"/>
        <v>0</v>
      </c>
      <c r="AA11" s="55"/>
      <c r="AB11" s="56"/>
      <c r="AC11" s="57">
        <f t="shared" si="8"/>
        <v>0</v>
      </c>
      <c r="AD11" s="55"/>
      <c r="AE11" s="56"/>
      <c r="AF11" s="57">
        <f t="shared" si="9"/>
        <v>0</v>
      </c>
      <c r="AG11" s="55"/>
      <c r="AH11" s="56"/>
      <c r="AI11" s="57">
        <f t="shared" si="10"/>
        <v>0</v>
      </c>
      <c r="AJ11" s="55"/>
      <c r="AK11" s="56"/>
      <c r="AL11" s="57">
        <f>IFERROR(AJ11*AK11, 0)</f>
        <v>0</v>
      </c>
      <c r="AM11" s="55"/>
      <c r="AN11" s="56"/>
      <c r="AO11" s="57">
        <f t="shared" si="11"/>
        <v>0</v>
      </c>
      <c r="AP11" s="55"/>
      <c r="AQ11" s="56"/>
      <c r="AR11" s="57">
        <f t="shared" si="12"/>
        <v>0</v>
      </c>
      <c r="AS11" s="55"/>
      <c r="AT11" s="56"/>
      <c r="AU11" s="57">
        <f t="shared" si="13"/>
        <v>0</v>
      </c>
      <c r="AV11" s="55"/>
      <c r="AW11" s="56"/>
      <c r="AX11" s="57">
        <f t="shared" si="14"/>
        <v>0</v>
      </c>
      <c r="AY11" s="55"/>
      <c r="AZ11" s="56"/>
      <c r="BA11" s="57">
        <f t="shared" si="15"/>
        <v>0</v>
      </c>
      <c r="BB11" s="55"/>
      <c r="BC11" s="56"/>
      <c r="BD11" s="57">
        <f t="shared" si="32"/>
        <v>0</v>
      </c>
      <c r="BE11" s="55"/>
      <c r="BF11" s="56"/>
      <c r="BG11" s="57">
        <f t="shared" si="16"/>
        <v>0</v>
      </c>
      <c r="BH11" s="55"/>
      <c r="BI11" s="56"/>
      <c r="BJ11" s="57">
        <f t="shared" si="34"/>
        <v>0</v>
      </c>
      <c r="BK11" s="55"/>
      <c r="BL11" s="56"/>
      <c r="BM11" s="57">
        <f t="shared" si="18"/>
        <v>0</v>
      </c>
      <c r="BN11" s="55"/>
      <c r="BO11" s="56"/>
      <c r="BP11" s="57">
        <f t="shared" si="19"/>
        <v>0</v>
      </c>
      <c r="BQ11" s="55"/>
      <c r="BR11" s="56"/>
      <c r="BS11" s="57">
        <f t="shared" si="20"/>
        <v>0</v>
      </c>
      <c r="BT11" s="55"/>
      <c r="BU11" s="56"/>
      <c r="BV11" s="57">
        <f t="shared" si="33"/>
        <v>0</v>
      </c>
      <c r="BW11" s="55"/>
      <c r="BX11" s="56"/>
      <c r="BY11" s="57">
        <f t="shared" si="21"/>
        <v>0</v>
      </c>
      <c r="BZ11" s="55"/>
      <c r="CA11" s="56"/>
      <c r="CB11" s="57">
        <f t="shared" si="22"/>
        <v>0</v>
      </c>
      <c r="CC11" s="55"/>
      <c r="CD11" s="56"/>
      <c r="CE11" s="57">
        <f t="shared" si="23"/>
        <v>0</v>
      </c>
      <c r="CF11" s="55"/>
      <c r="CG11" s="56"/>
      <c r="CH11" s="57">
        <f t="shared" si="24"/>
        <v>0</v>
      </c>
      <c r="CI11" s="55"/>
      <c r="CJ11" s="56"/>
      <c r="CK11" s="57">
        <f t="shared" si="25"/>
        <v>0</v>
      </c>
      <c r="CL11" s="55"/>
      <c r="CM11" s="56"/>
      <c r="CN11" s="57">
        <f t="shared" si="26"/>
        <v>0</v>
      </c>
      <c r="CO11" s="55"/>
      <c r="CP11" s="56"/>
      <c r="CQ11" s="57">
        <f t="shared" si="27"/>
        <v>0</v>
      </c>
      <c r="CR11" s="55"/>
      <c r="CS11" s="56"/>
      <c r="CT11" s="57">
        <f t="shared" si="28"/>
        <v>0</v>
      </c>
      <c r="CU11" s="58">
        <f t="shared" si="29"/>
        <v>0</v>
      </c>
      <c r="CV11" s="57">
        <f t="shared" si="30"/>
        <v>0</v>
      </c>
      <c r="CW11" s="57">
        <f t="shared" si="31"/>
        <v>0</v>
      </c>
    </row>
    <row r="12" spans="1:101" ht="15.75" customHeight="1" x14ac:dyDescent="0.35">
      <c r="A12" s="53" t="s">
        <v>235</v>
      </c>
      <c r="B12" s="53" t="s">
        <v>846</v>
      </c>
      <c r="C12" s="55"/>
      <c r="D12" s="56"/>
      <c r="E12" s="57">
        <f t="shared" si="0"/>
        <v>0</v>
      </c>
      <c r="F12" s="55"/>
      <c r="G12" s="56"/>
      <c r="H12" s="57">
        <f t="shared" si="1"/>
        <v>0</v>
      </c>
      <c r="I12" s="55"/>
      <c r="J12" s="56"/>
      <c r="K12" s="57">
        <f t="shared" si="2"/>
        <v>0</v>
      </c>
      <c r="L12" s="55"/>
      <c r="M12" s="56"/>
      <c r="N12" s="57">
        <f t="shared" si="3"/>
        <v>0</v>
      </c>
      <c r="O12" s="55">
        <v>30</v>
      </c>
      <c r="P12" s="56">
        <v>1916.67</v>
      </c>
      <c r="Q12" s="57">
        <v>57500.1</v>
      </c>
      <c r="R12" s="55"/>
      <c r="S12" s="56"/>
      <c r="T12" s="57">
        <f t="shared" si="5"/>
        <v>0</v>
      </c>
      <c r="U12" s="55"/>
      <c r="V12" s="56"/>
      <c r="W12" s="57">
        <f t="shared" si="6"/>
        <v>0</v>
      </c>
      <c r="X12" s="55"/>
      <c r="Y12" s="56"/>
      <c r="Z12" s="57">
        <f t="shared" si="7"/>
        <v>0</v>
      </c>
      <c r="AA12" s="55"/>
      <c r="AB12" s="56"/>
      <c r="AC12" s="57">
        <f t="shared" si="8"/>
        <v>0</v>
      </c>
      <c r="AD12" s="55"/>
      <c r="AE12" s="56"/>
      <c r="AF12" s="57">
        <f t="shared" si="9"/>
        <v>0</v>
      </c>
      <c r="AG12" s="55"/>
      <c r="AH12" s="56"/>
      <c r="AI12" s="57">
        <f t="shared" si="10"/>
        <v>0</v>
      </c>
      <c r="AJ12" s="55">
        <v>60</v>
      </c>
      <c r="AK12" s="56">
        <v>1916.67</v>
      </c>
      <c r="AL12" s="57">
        <v>115000.2</v>
      </c>
      <c r="AM12" s="55"/>
      <c r="AN12" s="56"/>
      <c r="AO12" s="57">
        <f t="shared" si="11"/>
        <v>0</v>
      </c>
      <c r="AP12" s="55"/>
      <c r="AQ12" s="56"/>
      <c r="AR12" s="57">
        <f t="shared" si="12"/>
        <v>0</v>
      </c>
      <c r="AS12" s="55"/>
      <c r="AT12" s="56"/>
      <c r="AU12" s="57">
        <f t="shared" si="13"/>
        <v>0</v>
      </c>
      <c r="AV12" s="55"/>
      <c r="AW12" s="56"/>
      <c r="AX12" s="57">
        <f t="shared" si="14"/>
        <v>0</v>
      </c>
      <c r="AY12" s="55"/>
      <c r="AZ12" s="56"/>
      <c r="BA12" s="57">
        <f t="shared" si="15"/>
        <v>0</v>
      </c>
      <c r="BB12" s="55"/>
      <c r="BC12" s="56"/>
      <c r="BD12" s="57">
        <f t="shared" si="32"/>
        <v>0</v>
      </c>
      <c r="BE12" s="55"/>
      <c r="BF12" s="56"/>
      <c r="BG12" s="57">
        <f t="shared" si="16"/>
        <v>0</v>
      </c>
      <c r="BH12" s="55"/>
      <c r="BI12" s="56"/>
      <c r="BJ12" s="57">
        <f t="shared" si="34"/>
        <v>0</v>
      </c>
      <c r="BK12" s="55"/>
      <c r="BL12" s="56"/>
      <c r="BM12" s="57">
        <f t="shared" si="18"/>
        <v>0</v>
      </c>
      <c r="BN12" s="55">
        <v>30</v>
      </c>
      <c r="BO12" s="56">
        <v>1916.67</v>
      </c>
      <c r="BP12" s="57">
        <v>57500.1</v>
      </c>
      <c r="BQ12" s="55"/>
      <c r="BR12" s="56"/>
      <c r="BS12" s="57">
        <f t="shared" si="20"/>
        <v>0</v>
      </c>
      <c r="BT12" s="55"/>
      <c r="BU12" s="56"/>
      <c r="BV12" s="57">
        <f t="shared" si="33"/>
        <v>0</v>
      </c>
      <c r="BW12" s="55"/>
      <c r="BX12" s="56"/>
      <c r="BY12" s="57">
        <f t="shared" si="21"/>
        <v>0</v>
      </c>
      <c r="BZ12" s="55"/>
      <c r="CA12" s="56"/>
      <c r="CB12" s="57">
        <f t="shared" si="22"/>
        <v>0</v>
      </c>
      <c r="CC12" s="55"/>
      <c r="CD12" s="56"/>
      <c r="CE12" s="57">
        <f t="shared" si="23"/>
        <v>0</v>
      </c>
      <c r="CF12" s="55"/>
      <c r="CG12" s="56"/>
      <c r="CH12" s="57">
        <f t="shared" si="24"/>
        <v>0</v>
      </c>
      <c r="CI12" s="55"/>
      <c r="CJ12" s="56"/>
      <c r="CK12" s="57">
        <f t="shared" si="25"/>
        <v>0</v>
      </c>
      <c r="CL12" s="55"/>
      <c r="CM12" s="56"/>
      <c r="CN12" s="57">
        <f t="shared" si="26"/>
        <v>0</v>
      </c>
      <c r="CO12" s="55"/>
      <c r="CP12" s="56"/>
      <c r="CQ12" s="57">
        <f t="shared" si="27"/>
        <v>0</v>
      </c>
      <c r="CR12" s="55"/>
      <c r="CS12" s="56"/>
      <c r="CT12" s="57">
        <f t="shared" si="28"/>
        <v>0</v>
      </c>
      <c r="CU12" s="58">
        <f t="shared" si="29"/>
        <v>120</v>
      </c>
      <c r="CV12" s="57">
        <f t="shared" si="30"/>
        <v>1916.67</v>
      </c>
      <c r="CW12" s="57">
        <f t="shared" si="31"/>
        <v>230000.40000000002</v>
      </c>
    </row>
    <row r="13" spans="1:101" ht="15.75" customHeight="1" x14ac:dyDescent="0.35">
      <c r="A13" s="62" t="s">
        <v>558</v>
      </c>
      <c r="B13" s="67" t="s">
        <v>846</v>
      </c>
      <c r="C13" s="68"/>
      <c r="D13" s="69"/>
      <c r="E13" s="57">
        <f t="shared" si="0"/>
        <v>0</v>
      </c>
      <c r="F13" s="55"/>
      <c r="G13" s="56"/>
      <c r="H13" s="57">
        <f t="shared" si="1"/>
        <v>0</v>
      </c>
      <c r="I13" s="55"/>
      <c r="J13" s="56"/>
      <c r="K13" s="57">
        <f t="shared" si="2"/>
        <v>0</v>
      </c>
      <c r="L13" s="55"/>
      <c r="M13" s="56"/>
      <c r="N13" s="57">
        <f t="shared" si="3"/>
        <v>0</v>
      </c>
      <c r="O13" s="55"/>
      <c r="P13" s="56"/>
      <c r="Q13" s="57">
        <f>IFERROR(O13*P13, 0)</f>
        <v>0</v>
      </c>
      <c r="R13" s="55"/>
      <c r="S13" s="56"/>
      <c r="T13" s="57">
        <f t="shared" si="5"/>
        <v>0</v>
      </c>
      <c r="U13" s="55"/>
      <c r="V13" s="56"/>
      <c r="W13" s="57">
        <f t="shared" si="6"/>
        <v>0</v>
      </c>
      <c r="X13" s="55"/>
      <c r="Y13" s="56"/>
      <c r="Z13" s="57">
        <f t="shared" si="7"/>
        <v>0</v>
      </c>
      <c r="AA13" s="55"/>
      <c r="AB13" s="56"/>
      <c r="AC13" s="57">
        <f t="shared" si="8"/>
        <v>0</v>
      </c>
      <c r="AD13" s="55"/>
      <c r="AE13" s="56"/>
      <c r="AF13" s="57">
        <f t="shared" si="9"/>
        <v>0</v>
      </c>
      <c r="AG13" s="55"/>
      <c r="AH13" s="56"/>
      <c r="AI13" s="57">
        <f t="shared" si="10"/>
        <v>0</v>
      </c>
      <c r="AJ13" s="55"/>
      <c r="AK13" s="56"/>
      <c r="AL13" s="57">
        <f>IFERROR(AJ13*AK13, 0)</f>
        <v>0</v>
      </c>
      <c r="AM13" s="55"/>
      <c r="AN13" s="56"/>
      <c r="AO13" s="57">
        <f t="shared" si="11"/>
        <v>0</v>
      </c>
      <c r="AP13" s="55"/>
      <c r="AQ13" s="56"/>
      <c r="AR13" s="57">
        <f t="shared" si="12"/>
        <v>0</v>
      </c>
      <c r="AS13" s="55"/>
      <c r="AT13" s="56"/>
      <c r="AU13" s="57">
        <f t="shared" si="13"/>
        <v>0</v>
      </c>
      <c r="AV13" s="55"/>
      <c r="AW13" s="56"/>
      <c r="AX13" s="57">
        <f t="shared" si="14"/>
        <v>0</v>
      </c>
      <c r="AY13" s="55">
        <v>1</v>
      </c>
      <c r="AZ13" s="56">
        <v>25600</v>
      </c>
      <c r="BA13" s="57">
        <v>25600</v>
      </c>
      <c r="BB13" s="55"/>
      <c r="BC13" s="56"/>
      <c r="BD13" s="57">
        <f t="shared" si="32"/>
        <v>0</v>
      </c>
      <c r="BE13" s="55"/>
      <c r="BF13" s="56"/>
      <c r="BG13" s="57">
        <f t="shared" si="16"/>
        <v>0</v>
      </c>
      <c r="BH13" s="55"/>
      <c r="BI13" s="56"/>
      <c r="BJ13" s="57">
        <f t="shared" si="34"/>
        <v>0</v>
      </c>
      <c r="BK13" s="55"/>
      <c r="BL13" s="56"/>
      <c r="BM13" s="57">
        <f t="shared" si="18"/>
        <v>0</v>
      </c>
      <c r="BN13" s="55">
        <v>24</v>
      </c>
      <c r="BO13" s="56">
        <v>1333.33</v>
      </c>
      <c r="BP13" s="57">
        <v>31999.919999999998</v>
      </c>
      <c r="BQ13" s="55"/>
      <c r="BR13" s="56"/>
      <c r="BS13" s="57">
        <f t="shared" si="20"/>
        <v>0</v>
      </c>
      <c r="BT13" s="55"/>
      <c r="BU13" s="56"/>
      <c r="BV13" s="57">
        <f t="shared" si="33"/>
        <v>0</v>
      </c>
      <c r="BW13" s="55"/>
      <c r="BX13" s="56"/>
      <c r="BY13" s="57">
        <f t="shared" si="21"/>
        <v>0</v>
      </c>
      <c r="BZ13" s="55"/>
      <c r="CA13" s="56"/>
      <c r="CB13" s="57">
        <f t="shared" si="22"/>
        <v>0</v>
      </c>
      <c r="CC13" s="55"/>
      <c r="CD13" s="56"/>
      <c r="CE13" s="57">
        <f t="shared" si="23"/>
        <v>0</v>
      </c>
      <c r="CF13" s="55"/>
      <c r="CG13" s="56"/>
      <c r="CH13" s="57">
        <f t="shared" si="24"/>
        <v>0</v>
      </c>
      <c r="CI13" s="55"/>
      <c r="CJ13" s="56"/>
      <c r="CK13" s="57">
        <f t="shared" si="25"/>
        <v>0</v>
      </c>
      <c r="CL13" s="55"/>
      <c r="CM13" s="56"/>
      <c r="CN13" s="57">
        <f t="shared" si="26"/>
        <v>0</v>
      </c>
      <c r="CO13" s="55"/>
      <c r="CP13" s="56"/>
      <c r="CQ13" s="57">
        <f t="shared" si="27"/>
        <v>0</v>
      </c>
      <c r="CR13" s="55"/>
      <c r="CS13" s="56"/>
      <c r="CT13" s="57">
        <f t="shared" si="28"/>
        <v>0</v>
      </c>
      <c r="CU13" s="58">
        <f t="shared" si="29"/>
        <v>25</v>
      </c>
      <c r="CV13" s="57">
        <f t="shared" si="30"/>
        <v>13466.665000000001</v>
      </c>
      <c r="CW13" s="57">
        <f t="shared" si="31"/>
        <v>336666.625</v>
      </c>
    </row>
    <row r="14" spans="1:101" ht="15.75" customHeight="1" x14ac:dyDescent="0.35">
      <c r="A14" s="53" t="s">
        <v>269</v>
      </c>
      <c r="B14" s="53" t="s">
        <v>846</v>
      </c>
      <c r="C14" s="55"/>
      <c r="D14" s="56"/>
      <c r="E14" s="57">
        <f t="shared" si="0"/>
        <v>0</v>
      </c>
      <c r="F14" s="55"/>
      <c r="G14" s="56"/>
      <c r="H14" s="57">
        <f t="shared" si="1"/>
        <v>0</v>
      </c>
      <c r="I14" s="55"/>
      <c r="J14" s="56"/>
      <c r="K14" s="57">
        <f t="shared" si="2"/>
        <v>0</v>
      </c>
      <c r="L14" s="55"/>
      <c r="M14" s="56"/>
      <c r="N14" s="57">
        <f t="shared" si="3"/>
        <v>0</v>
      </c>
      <c r="O14" s="55"/>
      <c r="P14" s="56"/>
      <c r="Q14" s="57">
        <f>IFERROR(O14*P14, 0)</f>
        <v>0</v>
      </c>
      <c r="R14" s="55"/>
      <c r="S14" s="56"/>
      <c r="T14" s="57">
        <f t="shared" si="5"/>
        <v>0</v>
      </c>
      <c r="U14" s="55">
        <v>1</v>
      </c>
      <c r="V14" s="56">
        <v>46521</v>
      </c>
      <c r="W14" s="57">
        <v>46521</v>
      </c>
      <c r="X14" s="55"/>
      <c r="Y14" s="56"/>
      <c r="Z14" s="57">
        <f t="shared" si="7"/>
        <v>0</v>
      </c>
      <c r="AA14" s="55"/>
      <c r="AB14" s="56"/>
      <c r="AC14" s="57">
        <f t="shared" si="8"/>
        <v>0</v>
      </c>
      <c r="AD14" s="55"/>
      <c r="AE14" s="56"/>
      <c r="AF14" s="57">
        <f t="shared" si="9"/>
        <v>0</v>
      </c>
      <c r="AG14" s="55"/>
      <c r="AH14" s="56"/>
      <c r="AI14" s="57">
        <f t="shared" si="10"/>
        <v>0</v>
      </c>
      <c r="AJ14" s="55"/>
      <c r="AK14" s="56"/>
      <c r="AL14" s="57">
        <f>IFERROR(AJ14*AK14, 0)</f>
        <v>0</v>
      </c>
      <c r="AM14" s="55"/>
      <c r="AN14" s="56"/>
      <c r="AO14" s="57">
        <f t="shared" si="11"/>
        <v>0</v>
      </c>
      <c r="AP14" s="55"/>
      <c r="AQ14" s="56"/>
      <c r="AR14" s="57">
        <f t="shared" si="12"/>
        <v>0</v>
      </c>
      <c r="AS14" s="55"/>
      <c r="AT14" s="56"/>
      <c r="AU14" s="57">
        <f t="shared" si="13"/>
        <v>0</v>
      </c>
      <c r="AV14" s="55"/>
      <c r="AW14" s="56"/>
      <c r="AX14" s="57">
        <f t="shared" si="14"/>
        <v>0</v>
      </c>
      <c r="AY14" s="55">
        <v>1</v>
      </c>
      <c r="AZ14" s="56">
        <v>53661</v>
      </c>
      <c r="BA14" s="57">
        <v>53661</v>
      </c>
      <c r="BB14" s="55"/>
      <c r="BC14" s="56"/>
      <c r="BD14" s="57">
        <f t="shared" si="32"/>
        <v>0</v>
      </c>
      <c r="BE14" s="55"/>
      <c r="BF14" s="56"/>
      <c r="BG14" s="57">
        <f t="shared" si="16"/>
        <v>0</v>
      </c>
      <c r="BH14" s="55"/>
      <c r="BI14" s="56"/>
      <c r="BJ14" s="57">
        <f t="shared" si="34"/>
        <v>0</v>
      </c>
      <c r="BK14" s="55"/>
      <c r="BL14" s="56"/>
      <c r="BM14" s="57">
        <f t="shared" si="18"/>
        <v>0</v>
      </c>
      <c r="BN14" s="55"/>
      <c r="BO14" s="56"/>
      <c r="BP14" s="57">
        <f>IFERROR(BN14*BO14, 0)</f>
        <v>0</v>
      </c>
      <c r="BQ14" s="55"/>
      <c r="BR14" s="56"/>
      <c r="BS14" s="57">
        <f t="shared" si="20"/>
        <v>0</v>
      </c>
      <c r="BT14" s="55"/>
      <c r="BU14" s="56"/>
      <c r="BV14" s="57">
        <f t="shared" si="33"/>
        <v>0</v>
      </c>
      <c r="BW14" s="55"/>
      <c r="BX14" s="56"/>
      <c r="BY14" s="57">
        <f t="shared" si="21"/>
        <v>0</v>
      </c>
      <c r="BZ14" s="55"/>
      <c r="CA14" s="56"/>
      <c r="CB14" s="57">
        <f t="shared" si="22"/>
        <v>0</v>
      </c>
      <c r="CC14" s="55"/>
      <c r="CD14" s="56"/>
      <c r="CE14" s="57">
        <f t="shared" si="23"/>
        <v>0</v>
      </c>
      <c r="CF14" s="55"/>
      <c r="CG14" s="56"/>
      <c r="CH14" s="57">
        <f t="shared" si="24"/>
        <v>0</v>
      </c>
      <c r="CI14" s="55"/>
      <c r="CJ14" s="56"/>
      <c r="CK14" s="57">
        <f t="shared" si="25"/>
        <v>0</v>
      </c>
      <c r="CL14" s="55"/>
      <c r="CM14" s="56"/>
      <c r="CN14" s="57">
        <f t="shared" si="26"/>
        <v>0</v>
      </c>
      <c r="CO14" s="55"/>
      <c r="CP14" s="56"/>
      <c r="CQ14" s="57">
        <f t="shared" si="27"/>
        <v>0</v>
      </c>
      <c r="CR14" s="55"/>
      <c r="CS14" s="56"/>
      <c r="CT14" s="57">
        <f t="shared" si="28"/>
        <v>0</v>
      </c>
      <c r="CU14" s="58">
        <f t="shared" si="29"/>
        <v>2</v>
      </c>
      <c r="CV14" s="57">
        <f t="shared" si="30"/>
        <v>50091</v>
      </c>
      <c r="CW14" s="57">
        <f t="shared" si="31"/>
        <v>100182</v>
      </c>
    </row>
    <row r="15" spans="1:101" ht="15.75" customHeight="1" x14ac:dyDescent="0.35">
      <c r="A15" s="70" t="s">
        <v>267</v>
      </c>
      <c r="B15" s="53" t="s">
        <v>846</v>
      </c>
      <c r="C15" s="55"/>
      <c r="D15" s="56"/>
      <c r="E15" s="57">
        <f t="shared" si="0"/>
        <v>0</v>
      </c>
      <c r="F15" s="55"/>
      <c r="G15" s="56"/>
      <c r="H15" s="57">
        <f t="shared" si="1"/>
        <v>0</v>
      </c>
      <c r="I15" s="55"/>
      <c r="J15" s="56"/>
      <c r="K15" s="57">
        <f t="shared" si="2"/>
        <v>0</v>
      </c>
      <c r="L15" s="55"/>
      <c r="M15" s="56"/>
      <c r="N15" s="57">
        <f t="shared" si="3"/>
        <v>0</v>
      </c>
      <c r="O15" s="55"/>
      <c r="P15" s="56"/>
      <c r="Q15" s="57">
        <f>IFERROR(O15*P15, 0)</f>
        <v>0</v>
      </c>
      <c r="R15" s="55"/>
      <c r="S15" s="56"/>
      <c r="T15" s="57">
        <f t="shared" si="5"/>
        <v>0</v>
      </c>
      <c r="U15" s="55">
        <v>1</v>
      </c>
      <c r="V15" s="56">
        <v>52521</v>
      </c>
      <c r="W15" s="57">
        <v>52521</v>
      </c>
      <c r="X15" s="55"/>
      <c r="Y15" s="56"/>
      <c r="Z15" s="57">
        <f t="shared" si="7"/>
        <v>0</v>
      </c>
      <c r="AA15" s="55"/>
      <c r="AB15" s="56"/>
      <c r="AC15" s="57">
        <f t="shared" si="8"/>
        <v>0</v>
      </c>
      <c r="AD15" s="55"/>
      <c r="AE15" s="56"/>
      <c r="AF15" s="57">
        <f t="shared" si="9"/>
        <v>0</v>
      </c>
      <c r="AG15" s="55"/>
      <c r="AH15" s="56"/>
      <c r="AI15" s="57">
        <f t="shared" si="10"/>
        <v>0</v>
      </c>
      <c r="AJ15" s="55"/>
      <c r="AK15" s="56"/>
      <c r="AL15" s="57">
        <f>IFERROR(AJ15*AK15, 0)</f>
        <v>0</v>
      </c>
      <c r="AM15" s="55"/>
      <c r="AN15" s="56"/>
      <c r="AO15" s="57">
        <f t="shared" si="11"/>
        <v>0</v>
      </c>
      <c r="AP15" s="55"/>
      <c r="AQ15" s="56"/>
      <c r="AR15" s="57">
        <f t="shared" si="12"/>
        <v>0</v>
      </c>
      <c r="AS15" s="55"/>
      <c r="AT15" s="56"/>
      <c r="AU15" s="57">
        <f t="shared" si="13"/>
        <v>0</v>
      </c>
      <c r="AV15" s="55"/>
      <c r="AW15" s="56"/>
      <c r="AX15" s="57">
        <f t="shared" si="14"/>
        <v>0</v>
      </c>
      <c r="AY15" s="55"/>
      <c r="AZ15" s="56"/>
      <c r="BA15" s="57">
        <f t="shared" ref="BA15:BA40" si="35">IFERROR(AY15*AZ15, 0)</f>
        <v>0</v>
      </c>
      <c r="BB15" s="55"/>
      <c r="BC15" s="56"/>
      <c r="BD15" s="57">
        <f t="shared" si="32"/>
        <v>0</v>
      </c>
      <c r="BE15" s="55"/>
      <c r="BF15" s="56"/>
      <c r="BG15" s="57">
        <f t="shared" si="16"/>
        <v>0</v>
      </c>
      <c r="BH15" s="55"/>
      <c r="BI15" s="56"/>
      <c r="BJ15" s="57">
        <f t="shared" si="34"/>
        <v>0</v>
      </c>
      <c r="BK15" s="55"/>
      <c r="BL15" s="56"/>
      <c r="BM15" s="57">
        <f t="shared" si="18"/>
        <v>0</v>
      </c>
      <c r="BN15" s="55"/>
      <c r="BO15" s="56"/>
      <c r="BP15" s="57">
        <f>IFERROR(BN15*BO15, 0)</f>
        <v>0</v>
      </c>
      <c r="BQ15" s="55"/>
      <c r="BR15" s="56"/>
      <c r="BS15" s="57">
        <f t="shared" si="20"/>
        <v>0</v>
      </c>
      <c r="BT15" s="55"/>
      <c r="BU15" s="56"/>
      <c r="BV15" s="57">
        <f t="shared" si="33"/>
        <v>0</v>
      </c>
      <c r="BW15" s="55"/>
      <c r="BX15" s="56"/>
      <c r="BY15" s="57">
        <f t="shared" si="21"/>
        <v>0</v>
      </c>
      <c r="BZ15" s="55"/>
      <c r="CA15" s="56"/>
      <c r="CB15" s="57">
        <f t="shared" si="22"/>
        <v>0</v>
      </c>
      <c r="CC15" s="55"/>
      <c r="CD15" s="56"/>
      <c r="CE15" s="57">
        <f t="shared" si="23"/>
        <v>0</v>
      </c>
      <c r="CF15" s="55"/>
      <c r="CG15" s="56"/>
      <c r="CH15" s="57">
        <f t="shared" si="24"/>
        <v>0</v>
      </c>
      <c r="CI15" s="55"/>
      <c r="CJ15" s="56"/>
      <c r="CK15" s="57">
        <f t="shared" si="25"/>
        <v>0</v>
      </c>
      <c r="CL15" s="55"/>
      <c r="CM15" s="56"/>
      <c r="CN15" s="57">
        <f t="shared" si="26"/>
        <v>0</v>
      </c>
      <c r="CO15" s="55"/>
      <c r="CP15" s="56"/>
      <c r="CQ15" s="57">
        <f t="shared" si="27"/>
        <v>0</v>
      </c>
      <c r="CR15" s="55"/>
      <c r="CS15" s="56"/>
      <c r="CT15" s="57">
        <f t="shared" si="28"/>
        <v>0</v>
      </c>
      <c r="CU15" s="58">
        <f t="shared" si="29"/>
        <v>1</v>
      </c>
      <c r="CV15" s="57">
        <f t="shared" si="30"/>
        <v>52521</v>
      </c>
      <c r="CW15" s="57">
        <f t="shared" si="31"/>
        <v>52521</v>
      </c>
    </row>
    <row r="16" spans="1:101" ht="15.75" customHeight="1" x14ac:dyDescent="0.35">
      <c r="A16" s="53" t="s">
        <v>237</v>
      </c>
      <c r="B16" s="53" t="s">
        <v>846</v>
      </c>
      <c r="C16" s="55"/>
      <c r="D16" s="56"/>
      <c r="E16" s="57">
        <f t="shared" si="0"/>
        <v>0</v>
      </c>
      <c r="F16" s="55"/>
      <c r="G16" s="56"/>
      <c r="H16" s="57">
        <f t="shared" si="1"/>
        <v>0</v>
      </c>
      <c r="I16" s="55"/>
      <c r="J16" s="56"/>
      <c r="K16" s="57">
        <f t="shared" si="2"/>
        <v>0</v>
      </c>
      <c r="L16" s="55"/>
      <c r="M16" s="56"/>
      <c r="N16" s="57">
        <f t="shared" si="3"/>
        <v>0</v>
      </c>
      <c r="O16" s="55">
        <v>12</v>
      </c>
      <c r="P16" s="56">
        <v>3151.26</v>
      </c>
      <c r="Q16" s="57">
        <v>37815.120000000003</v>
      </c>
      <c r="R16" s="55"/>
      <c r="S16" s="56"/>
      <c r="T16" s="57">
        <f t="shared" si="5"/>
        <v>0</v>
      </c>
      <c r="U16" s="55"/>
      <c r="V16" s="56"/>
      <c r="W16" s="57">
        <f t="shared" ref="W16:W40" si="36">IFERROR(U16*V16, 0)</f>
        <v>0</v>
      </c>
      <c r="X16" s="55"/>
      <c r="Y16" s="56"/>
      <c r="Z16" s="57">
        <f t="shared" si="7"/>
        <v>0</v>
      </c>
      <c r="AA16" s="55"/>
      <c r="AB16" s="56"/>
      <c r="AC16" s="57">
        <f t="shared" si="8"/>
        <v>0</v>
      </c>
      <c r="AD16" s="55"/>
      <c r="AE16" s="56"/>
      <c r="AF16" s="57">
        <f t="shared" si="9"/>
        <v>0</v>
      </c>
      <c r="AG16" s="55"/>
      <c r="AH16" s="56"/>
      <c r="AI16" s="57">
        <f t="shared" si="10"/>
        <v>0</v>
      </c>
      <c r="AJ16" s="55"/>
      <c r="AK16" s="56"/>
      <c r="AL16" s="57">
        <f>IFERROR(AJ16*AK16, 0)</f>
        <v>0</v>
      </c>
      <c r="AM16" s="55"/>
      <c r="AN16" s="56"/>
      <c r="AO16" s="57">
        <f t="shared" si="11"/>
        <v>0</v>
      </c>
      <c r="AP16" s="55"/>
      <c r="AQ16" s="56"/>
      <c r="AR16" s="57">
        <f t="shared" si="12"/>
        <v>0</v>
      </c>
      <c r="AS16" s="55"/>
      <c r="AT16" s="56"/>
      <c r="AU16" s="57">
        <f t="shared" si="13"/>
        <v>0</v>
      </c>
      <c r="AV16" s="55"/>
      <c r="AW16" s="56"/>
      <c r="AX16" s="57">
        <f t="shared" si="14"/>
        <v>0</v>
      </c>
      <c r="AY16" s="55"/>
      <c r="AZ16" s="56"/>
      <c r="BA16" s="57">
        <f t="shared" si="35"/>
        <v>0</v>
      </c>
      <c r="BB16" s="55"/>
      <c r="BC16" s="56"/>
      <c r="BD16" s="57">
        <f t="shared" si="32"/>
        <v>0</v>
      </c>
      <c r="BE16" s="55"/>
      <c r="BF16" s="56"/>
      <c r="BG16" s="57">
        <f t="shared" si="16"/>
        <v>0</v>
      </c>
      <c r="BH16" s="55"/>
      <c r="BI16" s="56"/>
      <c r="BJ16" s="57">
        <f t="shared" si="34"/>
        <v>0</v>
      </c>
      <c r="BK16" s="55"/>
      <c r="BL16" s="56"/>
      <c r="BM16" s="57">
        <f t="shared" si="18"/>
        <v>0</v>
      </c>
      <c r="BN16" s="55"/>
      <c r="BO16" s="56"/>
      <c r="BP16" s="57">
        <f>IFERROR(BN16*BO16, 0)</f>
        <v>0</v>
      </c>
      <c r="BQ16" s="55"/>
      <c r="BR16" s="56"/>
      <c r="BS16" s="57">
        <f t="shared" si="20"/>
        <v>0</v>
      </c>
      <c r="BT16" s="55"/>
      <c r="BU16" s="56"/>
      <c r="BV16" s="57">
        <f t="shared" si="33"/>
        <v>0</v>
      </c>
      <c r="BW16" s="55"/>
      <c r="BX16" s="56"/>
      <c r="BY16" s="57">
        <f t="shared" si="21"/>
        <v>0</v>
      </c>
      <c r="BZ16" s="55"/>
      <c r="CA16" s="56"/>
      <c r="CB16" s="57">
        <f t="shared" si="22"/>
        <v>0</v>
      </c>
      <c r="CC16" s="55"/>
      <c r="CD16" s="56"/>
      <c r="CE16" s="57">
        <f t="shared" si="23"/>
        <v>0</v>
      </c>
      <c r="CF16" s="55"/>
      <c r="CG16" s="56"/>
      <c r="CH16" s="57">
        <f t="shared" si="24"/>
        <v>0</v>
      </c>
      <c r="CI16" s="55"/>
      <c r="CJ16" s="56"/>
      <c r="CK16" s="57">
        <f t="shared" si="25"/>
        <v>0</v>
      </c>
      <c r="CL16" s="55"/>
      <c r="CM16" s="56"/>
      <c r="CN16" s="57">
        <f t="shared" si="26"/>
        <v>0</v>
      </c>
      <c r="CO16" s="55"/>
      <c r="CP16" s="56"/>
      <c r="CQ16" s="57">
        <f t="shared" si="27"/>
        <v>0</v>
      </c>
      <c r="CR16" s="55"/>
      <c r="CS16" s="56"/>
      <c r="CT16" s="57">
        <f t="shared" si="28"/>
        <v>0</v>
      </c>
      <c r="CU16" s="58">
        <f t="shared" si="29"/>
        <v>12</v>
      </c>
      <c r="CV16" s="57">
        <f t="shared" si="30"/>
        <v>3151.26</v>
      </c>
      <c r="CW16" s="57">
        <f t="shared" si="31"/>
        <v>37815.120000000003</v>
      </c>
    </row>
    <row r="17" spans="1:101" ht="15.75" customHeight="1" x14ac:dyDescent="0.35">
      <c r="A17" s="53" t="s">
        <v>1045</v>
      </c>
      <c r="B17" s="53" t="s">
        <v>846</v>
      </c>
      <c r="C17" s="55"/>
      <c r="D17" s="56"/>
      <c r="E17" s="57">
        <f t="shared" si="0"/>
        <v>0</v>
      </c>
      <c r="F17" s="55"/>
      <c r="G17" s="56"/>
      <c r="H17" s="57">
        <f t="shared" si="1"/>
        <v>0</v>
      </c>
      <c r="I17" s="55"/>
      <c r="J17" s="56"/>
      <c r="K17" s="57">
        <f t="shared" si="2"/>
        <v>0</v>
      </c>
      <c r="L17" s="55"/>
      <c r="M17" s="56"/>
      <c r="N17" s="57">
        <f t="shared" si="3"/>
        <v>0</v>
      </c>
      <c r="O17" s="55"/>
      <c r="P17" s="56"/>
      <c r="Q17" s="57">
        <f>IFERROR(O17*P17, 0)</f>
        <v>0</v>
      </c>
      <c r="R17" s="55"/>
      <c r="S17" s="56"/>
      <c r="T17" s="57">
        <f t="shared" si="5"/>
        <v>0</v>
      </c>
      <c r="U17" s="55"/>
      <c r="V17" s="56"/>
      <c r="W17" s="57">
        <f t="shared" si="36"/>
        <v>0</v>
      </c>
      <c r="X17" s="55"/>
      <c r="Y17" s="56"/>
      <c r="Z17" s="57">
        <f t="shared" si="7"/>
        <v>0</v>
      </c>
      <c r="AA17" s="55"/>
      <c r="AB17" s="56"/>
      <c r="AC17" s="57">
        <f t="shared" si="8"/>
        <v>0</v>
      </c>
      <c r="AD17" s="55"/>
      <c r="AE17" s="56"/>
      <c r="AF17" s="57">
        <f t="shared" si="9"/>
        <v>0</v>
      </c>
      <c r="AG17" s="55"/>
      <c r="AH17" s="56"/>
      <c r="AI17" s="57">
        <f t="shared" si="10"/>
        <v>0</v>
      </c>
      <c r="AJ17" s="55"/>
      <c r="AK17" s="56"/>
      <c r="AL17" s="57">
        <f>IFERROR(AJ17*AK17, 0)</f>
        <v>0</v>
      </c>
      <c r="AM17" s="55"/>
      <c r="AN17" s="56"/>
      <c r="AO17" s="57">
        <f t="shared" si="11"/>
        <v>0</v>
      </c>
      <c r="AP17" s="55"/>
      <c r="AQ17" s="56"/>
      <c r="AR17" s="57">
        <f t="shared" si="12"/>
        <v>0</v>
      </c>
      <c r="AS17" s="55"/>
      <c r="AT17" s="56"/>
      <c r="AU17" s="57">
        <f t="shared" si="13"/>
        <v>0</v>
      </c>
      <c r="AV17" s="55"/>
      <c r="AW17" s="56"/>
      <c r="AX17" s="57">
        <f t="shared" si="14"/>
        <v>0</v>
      </c>
      <c r="AY17" s="55"/>
      <c r="AZ17" s="56"/>
      <c r="BA17" s="57">
        <f t="shared" si="35"/>
        <v>0</v>
      </c>
      <c r="BB17" s="55"/>
      <c r="BC17" s="56"/>
      <c r="BD17" s="57">
        <f t="shared" si="32"/>
        <v>0</v>
      </c>
      <c r="BE17" s="55"/>
      <c r="BF17" s="56"/>
      <c r="BG17" s="57">
        <f t="shared" si="16"/>
        <v>0</v>
      </c>
      <c r="BH17" s="55"/>
      <c r="BI17" s="56"/>
      <c r="BJ17" s="57">
        <f t="shared" si="34"/>
        <v>0</v>
      </c>
      <c r="BK17" s="55"/>
      <c r="BL17" s="56"/>
      <c r="BM17" s="57">
        <f t="shared" si="18"/>
        <v>0</v>
      </c>
      <c r="BN17" s="55"/>
      <c r="BO17" s="56"/>
      <c r="BP17" s="57">
        <f>IFERROR(BN17*BO17, 0)</f>
        <v>0</v>
      </c>
      <c r="BQ17" s="55"/>
      <c r="BR17" s="56"/>
      <c r="BS17" s="57">
        <f t="shared" si="20"/>
        <v>0</v>
      </c>
      <c r="BT17" s="55"/>
      <c r="BU17" s="56"/>
      <c r="BV17" s="57">
        <f t="shared" si="33"/>
        <v>0</v>
      </c>
      <c r="BW17" s="55"/>
      <c r="BX17" s="56"/>
      <c r="BY17" s="57">
        <f t="shared" si="21"/>
        <v>0</v>
      </c>
      <c r="BZ17" s="55"/>
      <c r="CA17" s="56"/>
      <c r="CB17" s="57">
        <f t="shared" si="22"/>
        <v>0</v>
      </c>
      <c r="CC17" s="55"/>
      <c r="CD17" s="56"/>
      <c r="CE17" s="57">
        <f t="shared" si="23"/>
        <v>0</v>
      </c>
      <c r="CF17" s="55"/>
      <c r="CG17" s="56"/>
      <c r="CH17" s="57">
        <f t="shared" si="24"/>
        <v>0</v>
      </c>
      <c r="CI17" s="55"/>
      <c r="CJ17" s="56"/>
      <c r="CK17" s="57">
        <f t="shared" si="25"/>
        <v>0</v>
      </c>
      <c r="CL17" s="55"/>
      <c r="CM17" s="56"/>
      <c r="CN17" s="57">
        <f t="shared" si="26"/>
        <v>0</v>
      </c>
      <c r="CO17" s="55"/>
      <c r="CP17" s="56"/>
      <c r="CQ17" s="57">
        <f t="shared" si="27"/>
        <v>0</v>
      </c>
      <c r="CR17" s="55"/>
      <c r="CS17" s="56"/>
      <c r="CT17" s="57">
        <f t="shared" si="28"/>
        <v>0</v>
      </c>
      <c r="CU17" s="58">
        <f t="shared" si="29"/>
        <v>0</v>
      </c>
      <c r="CV17" s="57">
        <f t="shared" si="30"/>
        <v>0</v>
      </c>
      <c r="CW17" s="57">
        <f t="shared" si="31"/>
        <v>0</v>
      </c>
    </row>
    <row r="18" spans="1:101" ht="15.75" customHeight="1" x14ac:dyDescent="0.35">
      <c r="A18" s="53" t="s">
        <v>240</v>
      </c>
      <c r="B18" s="53" t="s">
        <v>846</v>
      </c>
      <c r="C18" s="55"/>
      <c r="D18" s="56"/>
      <c r="E18" s="57">
        <f t="shared" si="0"/>
        <v>0</v>
      </c>
      <c r="F18" s="55"/>
      <c r="G18" s="56"/>
      <c r="H18" s="57">
        <f t="shared" si="1"/>
        <v>0</v>
      </c>
      <c r="I18" s="55"/>
      <c r="J18" s="56"/>
      <c r="K18" s="57">
        <f t="shared" si="2"/>
        <v>0</v>
      </c>
      <c r="L18" s="55"/>
      <c r="M18" s="56"/>
      <c r="N18" s="57">
        <f t="shared" si="3"/>
        <v>0</v>
      </c>
      <c r="O18" s="55">
        <v>45</v>
      </c>
      <c r="P18" s="56">
        <v>1450.98</v>
      </c>
      <c r="Q18" s="57">
        <v>65294.100000000013</v>
      </c>
      <c r="R18" s="55"/>
      <c r="S18" s="56"/>
      <c r="T18" s="57">
        <f t="shared" si="5"/>
        <v>0</v>
      </c>
      <c r="U18" s="55"/>
      <c r="V18" s="56"/>
      <c r="W18" s="57">
        <f t="shared" si="36"/>
        <v>0</v>
      </c>
      <c r="X18" s="55"/>
      <c r="Y18" s="56"/>
      <c r="Z18" s="57">
        <f t="shared" si="7"/>
        <v>0</v>
      </c>
      <c r="AA18" s="55"/>
      <c r="AB18" s="56"/>
      <c r="AC18" s="57">
        <f t="shared" si="8"/>
        <v>0</v>
      </c>
      <c r="AD18" s="55"/>
      <c r="AE18" s="56"/>
      <c r="AF18" s="57">
        <f t="shared" si="9"/>
        <v>0</v>
      </c>
      <c r="AG18" s="55"/>
      <c r="AH18" s="56"/>
      <c r="AI18" s="57">
        <f t="shared" si="10"/>
        <v>0</v>
      </c>
      <c r="AJ18" s="55">
        <v>15</v>
      </c>
      <c r="AK18" s="56">
        <v>1450.98</v>
      </c>
      <c r="AL18" s="57">
        <v>21764.7</v>
      </c>
      <c r="AM18" s="55"/>
      <c r="AN18" s="56"/>
      <c r="AO18" s="57">
        <f t="shared" si="11"/>
        <v>0</v>
      </c>
      <c r="AP18" s="55"/>
      <c r="AQ18" s="56"/>
      <c r="AR18" s="57">
        <f t="shared" si="12"/>
        <v>0</v>
      </c>
      <c r="AS18" s="55"/>
      <c r="AT18" s="56"/>
      <c r="AU18" s="57">
        <f t="shared" si="13"/>
        <v>0</v>
      </c>
      <c r="AV18" s="55"/>
      <c r="AW18" s="56"/>
      <c r="AX18" s="57">
        <f t="shared" si="14"/>
        <v>0</v>
      </c>
      <c r="AY18" s="55"/>
      <c r="AZ18" s="56"/>
      <c r="BA18" s="57">
        <f t="shared" si="35"/>
        <v>0</v>
      </c>
      <c r="BB18" s="55"/>
      <c r="BC18" s="56"/>
      <c r="BD18" s="57">
        <f t="shared" si="32"/>
        <v>0</v>
      </c>
      <c r="BE18" s="55"/>
      <c r="BF18" s="56"/>
      <c r="BG18" s="57">
        <f t="shared" si="16"/>
        <v>0</v>
      </c>
      <c r="BH18" s="55"/>
      <c r="BI18" s="56"/>
      <c r="BJ18" s="57">
        <f t="shared" si="34"/>
        <v>0</v>
      </c>
      <c r="BK18" s="55"/>
      <c r="BL18" s="56"/>
      <c r="BM18" s="57">
        <f t="shared" si="18"/>
        <v>0</v>
      </c>
      <c r="BN18" s="55">
        <v>15</v>
      </c>
      <c r="BO18" s="56">
        <v>1450.98</v>
      </c>
      <c r="BP18" s="57">
        <v>21764.7</v>
      </c>
      <c r="BQ18" s="55"/>
      <c r="BR18" s="56"/>
      <c r="BS18" s="57">
        <f t="shared" si="20"/>
        <v>0</v>
      </c>
      <c r="BT18" s="55"/>
      <c r="BU18" s="56"/>
      <c r="BV18" s="57">
        <f t="shared" si="33"/>
        <v>0</v>
      </c>
      <c r="BW18" s="55"/>
      <c r="BX18" s="56"/>
      <c r="BY18" s="57">
        <f t="shared" si="21"/>
        <v>0</v>
      </c>
      <c r="BZ18" s="55"/>
      <c r="CA18" s="56"/>
      <c r="CB18" s="57">
        <f t="shared" si="22"/>
        <v>0</v>
      </c>
      <c r="CC18" s="55"/>
      <c r="CD18" s="56"/>
      <c r="CE18" s="57">
        <f t="shared" si="23"/>
        <v>0</v>
      </c>
      <c r="CF18" s="55"/>
      <c r="CG18" s="56"/>
      <c r="CH18" s="57">
        <f t="shared" si="24"/>
        <v>0</v>
      </c>
      <c r="CI18" s="55"/>
      <c r="CJ18" s="56"/>
      <c r="CK18" s="57">
        <f t="shared" si="25"/>
        <v>0</v>
      </c>
      <c r="CL18" s="55"/>
      <c r="CM18" s="56"/>
      <c r="CN18" s="57">
        <f t="shared" si="26"/>
        <v>0</v>
      </c>
      <c r="CO18" s="55"/>
      <c r="CP18" s="56"/>
      <c r="CQ18" s="57">
        <f t="shared" si="27"/>
        <v>0</v>
      </c>
      <c r="CR18" s="55"/>
      <c r="CS18" s="56"/>
      <c r="CT18" s="57">
        <f t="shared" si="28"/>
        <v>0</v>
      </c>
      <c r="CU18" s="58">
        <f t="shared" si="29"/>
        <v>75</v>
      </c>
      <c r="CV18" s="57">
        <f t="shared" si="30"/>
        <v>1450.9800000000002</v>
      </c>
      <c r="CW18" s="57">
        <f t="shared" si="31"/>
        <v>108823.50000000001</v>
      </c>
    </row>
    <row r="19" spans="1:101" ht="15.75" customHeight="1" x14ac:dyDescent="0.35">
      <c r="A19" s="53" t="s">
        <v>1046</v>
      </c>
      <c r="B19" s="53" t="s">
        <v>846</v>
      </c>
      <c r="C19" s="55"/>
      <c r="D19" s="56"/>
      <c r="E19" s="57">
        <f t="shared" si="0"/>
        <v>0</v>
      </c>
      <c r="F19" s="55"/>
      <c r="G19" s="56"/>
      <c r="H19" s="57">
        <f t="shared" si="1"/>
        <v>0</v>
      </c>
      <c r="I19" s="55"/>
      <c r="J19" s="56"/>
      <c r="K19" s="57">
        <f t="shared" si="2"/>
        <v>0</v>
      </c>
      <c r="L19" s="55"/>
      <c r="M19" s="56"/>
      <c r="N19" s="57">
        <f t="shared" si="3"/>
        <v>0</v>
      </c>
      <c r="O19" s="55"/>
      <c r="P19" s="56"/>
      <c r="Q19" s="57">
        <f>IFERROR(O19*P19, 0)</f>
        <v>0</v>
      </c>
      <c r="R19" s="55"/>
      <c r="S19" s="56"/>
      <c r="T19" s="57">
        <f t="shared" si="5"/>
        <v>0</v>
      </c>
      <c r="U19" s="55"/>
      <c r="V19" s="56"/>
      <c r="W19" s="57">
        <f t="shared" si="36"/>
        <v>0</v>
      </c>
      <c r="X19" s="55"/>
      <c r="Y19" s="56"/>
      <c r="Z19" s="57">
        <f t="shared" si="7"/>
        <v>0</v>
      </c>
      <c r="AA19" s="55"/>
      <c r="AB19" s="56"/>
      <c r="AC19" s="57">
        <f t="shared" si="8"/>
        <v>0</v>
      </c>
      <c r="AD19" s="55"/>
      <c r="AE19" s="56"/>
      <c r="AF19" s="57">
        <f t="shared" si="9"/>
        <v>0</v>
      </c>
      <c r="AG19" s="55"/>
      <c r="AH19" s="56"/>
      <c r="AI19" s="57">
        <f t="shared" si="10"/>
        <v>0</v>
      </c>
      <c r="AJ19" s="55"/>
      <c r="AK19" s="56"/>
      <c r="AL19" s="57">
        <f>IFERROR(AJ19*AK19, 0)</f>
        <v>0</v>
      </c>
      <c r="AM19" s="55"/>
      <c r="AN19" s="56"/>
      <c r="AO19" s="57">
        <f t="shared" si="11"/>
        <v>0</v>
      </c>
      <c r="AP19" s="55"/>
      <c r="AQ19" s="56"/>
      <c r="AR19" s="57">
        <f t="shared" si="12"/>
        <v>0</v>
      </c>
      <c r="AS19" s="55"/>
      <c r="AT19" s="56"/>
      <c r="AU19" s="57">
        <f t="shared" si="13"/>
        <v>0</v>
      </c>
      <c r="AV19" s="55"/>
      <c r="AW19" s="56"/>
      <c r="AX19" s="57">
        <f t="shared" si="14"/>
        <v>0</v>
      </c>
      <c r="AY19" s="55"/>
      <c r="AZ19" s="56"/>
      <c r="BA19" s="57">
        <f t="shared" si="35"/>
        <v>0</v>
      </c>
      <c r="BB19" s="55"/>
      <c r="BC19" s="56"/>
      <c r="BD19" s="57">
        <f t="shared" si="32"/>
        <v>0</v>
      </c>
      <c r="BE19" s="55"/>
      <c r="BF19" s="56"/>
      <c r="BG19" s="57">
        <f t="shared" si="16"/>
        <v>0</v>
      </c>
      <c r="BH19" s="55"/>
      <c r="BI19" s="56"/>
      <c r="BJ19" s="57">
        <f t="shared" si="34"/>
        <v>0</v>
      </c>
      <c r="BK19" s="55"/>
      <c r="BL19" s="56"/>
      <c r="BM19" s="57">
        <f t="shared" si="18"/>
        <v>0</v>
      </c>
      <c r="BN19" s="55"/>
      <c r="BO19" s="56"/>
      <c r="BP19" s="57">
        <f t="shared" ref="BP19:BP45" si="37">IFERROR(BN19*BO19, 0)</f>
        <v>0</v>
      </c>
      <c r="BQ19" s="55"/>
      <c r="BR19" s="56"/>
      <c r="BS19" s="57">
        <f t="shared" si="20"/>
        <v>0</v>
      </c>
      <c r="BT19" s="55"/>
      <c r="BU19" s="56"/>
      <c r="BV19" s="57">
        <f t="shared" si="33"/>
        <v>0</v>
      </c>
      <c r="BW19" s="55"/>
      <c r="BX19" s="56"/>
      <c r="BY19" s="57">
        <f t="shared" si="21"/>
        <v>0</v>
      </c>
      <c r="BZ19" s="55"/>
      <c r="CA19" s="56"/>
      <c r="CB19" s="57">
        <f t="shared" si="22"/>
        <v>0</v>
      </c>
      <c r="CC19" s="55"/>
      <c r="CD19" s="56"/>
      <c r="CE19" s="57">
        <f t="shared" si="23"/>
        <v>0</v>
      </c>
      <c r="CF19" s="55"/>
      <c r="CG19" s="56"/>
      <c r="CH19" s="57">
        <f t="shared" si="24"/>
        <v>0</v>
      </c>
      <c r="CI19" s="55"/>
      <c r="CJ19" s="56"/>
      <c r="CK19" s="57">
        <f t="shared" si="25"/>
        <v>0</v>
      </c>
      <c r="CL19" s="55"/>
      <c r="CM19" s="56"/>
      <c r="CN19" s="57">
        <f t="shared" si="26"/>
        <v>0</v>
      </c>
      <c r="CO19" s="55"/>
      <c r="CP19" s="56"/>
      <c r="CQ19" s="57">
        <f t="shared" si="27"/>
        <v>0</v>
      </c>
      <c r="CR19" s="55"/>
      <c r="CS19" s="56"/>
      <c r="CT19" s="57">
        <f t="shared" si="28"/>
        <v>0</v>
      </c>
      <c r="CU19" s="58">
        <f t="shared" si="29"/>
        <v>0</v>
      </c>
      <c r="CV19" s="57">
        <f t="shared" si="30"/>
        <v>0</v>
      </c>
      <c r="CW19" s="57">
        <f t="shared" si="31"/>
        <v>0</v>
      </c>
    </row>
    <row r="20" spans="1:101" ht="15.75" customHeight="1" x14ac:dyDescent="0.35">
      <c r="A20" s="53" t="s">
        <v>227</v>
      </c>
      <c r="B20" s="53" t="s">
        <v>846</v>
      </c>
      <c r="C20" s="55"/>
      <c r="D20" s="56"/>
      <c r="E20" s="57">
        <f t="shared" si="0"/>
        <v>0</v>
      </c>
      <c r="F20" s="55"/>
      <c r="G20" s="56"/>
      <c r="H20" s="57">
        <f t="shared" si="1"/>
        <v>0</v>
      </c>
      <c r="I20" s="55"/>
      <c r="J20" s="56"/>
      <c r="K20" s="57">
        <f t="shared" si="2"/>
        <v>0</v>
      </c>
      <c r="L20" s="55"/>
      <c r="M20" s="56"/>
      <c r="N20" s="57">
        <f t="shared" si="3"/>
        <v>0</v>
      </c>
      <c r="O20" s="55">
        <v>24</v>
      </c>
      <c r="P20" s="56">
        <v>2731.09</v>
      </c>
      <c r="Q20" s="57">
        <v>65546.16</v>
      </c>
      <c r="R20" s="55"/>
      <c r="S20" s="56"/>
      <c r="T20" s="57">
        <f t="shared" si="5"/>
        <v>0</v>
      </c>
      <c r="U20" s="55"/>
      <c r="V20" s="56"/>
      <c r="W20" s="57">
        <f t="shared" si="36"/>
        <v>0</v>
      </c>
      <c r="X20" s="55"/>
      <c r="Y20" s="56"/>
      <c r="Z20" s="57">
        <f t="shared" si="7"/>
        <v>0</v>
      </c>
      <c r="AA20" s="55"/>
      <c r="AB20" s="56"/>
      <c r="AC20" s="57">
        <f t="shared" si="8"/>
        <v>0</v>
      </c>
      <c r="AD20" s="55"/>
      <c r="AE20" s="56"/>
      <c r="AF20" s="57">
        <f t="shared" si="9"/>
        <v>0</v>
      </c>
      <c r="AG20" s="55"/>
      <c r="AH20" s="56"/>
      <c r="AI20" s="57">
        <f t="shared" si="10"/>
        <v>0</v>
      </c>
      <c r="AJ20" s="55">
        <v>24</v>
      </c>
      <c r="AK20" s="56">
        <v>2731.09</v>
      </c>
      <c r="AL20" s="57">
        <v>65546.16</v>
      </c>
      <c r="AM20" s="55"/>
      <c r="AN20" s="56"/>
      <c r="AO20" s="57">
        <f t="shared" si="11"/>
        <v>0</v>
      </c>
      <c r="AP20" s="55"/>
      <c r="AQ20" s="56"/>
      <c r="AR20" s="57">
        <f t="shared" si="12"/>
        <v>0</v>
      </c>
      <c r="AS20" s="55"/>
      <c r="AT20" s="56"/>
      <c r="AU20" s="57">
        <f t="shared" si="13"/>
        <v>0</v>
      </c>
      <c r="AV20" s="55"/>
      <c r="AW20" s="56"/>
      <c r="AX20" s="57">
        <f t="shared" si="14"/>
        <v>0</v>
      </c>
      <c r="AY20" s="55"/>
      <c r="AZ20" s="56"/>
      <c r="BA20" s="57">
        <f t="shared" si="35"/>
        <v>0</v>
      </c>
      <c r="BB20" s="55"/>
      <c r="BC20" s="56"/>
      <c r="BD20" s="57">
        <f t="shared" si="32"/>
        <v>0</v>
      </c>
      <c r="BE20" s="55"/>
      <c r="BF20" s="56"/>
      <c r="BG20" s="57">
        <f t="shared" si="16"/>
        <v>0</v>
      </c>
      <c r="BH20" s="55"/>
      <c r="BI20" s="56"/>
      <c r="BJ20" s="57">
        <f t="shared" si="34"/>
        <v>0</v>
      </c>
      <c r="BK20" s="55"/>
      <c r="BL20" s="56"/>
      <c r="BM20" s="57">
        <f t="shared" si="18"/>
        <v>0</v>
      </c>
      <c r="BN20" s="55"/>
      <c r="BO20" s="56"/>
      <c r="BP20" s="57">
        <f t="shared" si="37"/>
        <v>0</v>
      </c>
      <c r="BQ20" s="55"/>
      <c r="BR20" s="56"/>
      <c r="BS20" s="57">
        <f t="shared" si="20"/>
        <v>0</v>
      </c>
      <c r="BT20" s="55"/>
      <c r="BU20" s="56"/>
      <c r="BV20" s="57">
        <f t="shared" si="33"/>
        <v>0</v>
      </c>
      <c r="BW20" s="55"/>
      <c r="BX20" s="56"/>
      <c r="BY20" s="57">
        <f t="shared" si="21"/>
        <v>0</v>
      </c>
      <c r="BZ20" s="55"/>
      <c r="CA20" s="56"/>
      <c r="CB20" s="57">
        <f t="shared" si="22"/>
        <v>0</v>
      </c>
      <c r="CC20" s="55"/>
      <c r="CD20" s="56"/>
      <c r="CE20" s="57">
        <f t="shared" si="23"/>
        <v>0</v>
      </c>
      <c r="CF20" s="55"/>
      <c r="CG20" s="56"/>
      <c r="CH20" s="57">
        <f t="shared" si="24"/>
        <v>0</v>
      </c>
      <c r="CI20" s="55"/>
      <c r="CJ20" s="56"/>
      <c r="CK20" s="57">
        <f t="shared" si="25"/>
        <v>0</v>
      </c>
      <c r="CL20" s="55"/>
      <c r="CM20" s="56"/>
      <c r="CN20" s="57">
        <f t="shared" si="26"/>
        <v>0</v>
      </c>
      <c r="CO20" s="55"/>
      <c r="CP20" s="56"/>
      <c r="CQ20" s="57">
        <f t="shared" si="27"/>
        <v>0</v>
      </c>
      <c r="CR20" s="55"/>
      <c r="CS20" s="56"/>
      <c r="CT20" s="57">
        <f t="shared" si="28"/>
        <v>0</v>
      </c>
      <c r="CU20" s="58">
        <f t="shared" si="29"/>
        <v>48</v>
      </c>
      <c r="CV20" s="57">
        <f t="shared" si="30"/>
        <v>2731.09</v>
      </c>
      <c r="CW20" s="57">
        <f t="shared" si="31"/>
        <v>131092.32</v>
      </c>
    </row>
    <row r="21" spans="1:101" ht="15.75" customHeight="1" x14ac:dyDescent="0.35">
      <c r="A21" s="53" t="s">
        <v>731</v>
      </c>
      <c r="B21" s="53" t="s">
        <v>846</v>
      </c>
      <c r="C21" s="55"/>
      <c r="D21" s="56"/>
      <c r="E21" s="57">
        <f t="shared" si="0"/>
        <v>0</v>
      </c>
      <c r="F21" s="55"/>
      <c r="G21" s="56"/>
      <c r="H21" s="57">
        <f t="shared" si="1"/>
        <v>0</v>
      </c>
      <c r="I21" s="55"/>
      <c r="J21" s="56"/>
      <c r="K21" s="57">
        <f t="shared" si="2"/>
        <v>0</v>
      </c>
      <c r="L21" s="55"/>
      <c r="M21" s="56"/>
      <c r="N21" s="57">
        <f t="shared" si="3"/>
        <v>0</v>
      </c>
      <c r="O21" s="55"/>
      <c r="P21" s="56"/>
      <c r="Q21" s="57">
        <f>IFERROR(O21*P21, 0)</f>
        <v>0</v>
      </c>
      <c r="R21" s="55"/>
      <c r="S21" s="56"/>
      <c r="T21" s="57">
        <f t="shared" si="5"/>
        <v>0</v>
      </c>
      <c r="U21" s="55"/>
      <c r="V21" s="56"/>
      <c r="W21" s="57">
        <f t="shared" si="36"/>
        <v>0</v>
      </c>
      <c r="X21" s="55"/>
      <c r="Y21" s="56"/>
      <c r="Z21" s="57">
        <f t="shared" si="7"/>
        <v>0</v>
      </c>
      <c r="AA21" s="55"/>
      <c r="AB21" s="56"/>
      <c r="AC21" s="57">
        <f t="shared" si="8"/>
        <v>0</v>
      </c>
      <c r="AD21" s="55"/>
      <c r="AE21" s="56"/>
      <c r="AF21" s="57">
        <f t="shared" si="9"/>
        <v>0</v>
      </c>
      <c r="AG21" s="55"/>
      <c r="AH21" s="56"/>
      <c r="AI21" s="57">
        <f t="shared" si="10"/>
        <v>0</v>
      </c>
      <c r="AJ21" s="55"/>
      <c r="AK21" s="56"/>
      <c r="AL21" s="57">
        <f>IFERROR(AJ21*AK21, 0)</f>
        <v>0</v>
      </c>
      <c r="AM21" s="55"/>
      <c r="AN21" s="56"/>
      <c r="AO21" s="57">
        <f t="shared" si="11"/>
        <v>0</v>
      </c>
      <c r="AP21" s="55"/>
      <c r="AQ21" s="56"/>
      <c r="AR21" s="57">
        <f t="shared" si="12"/>
        <v>0</v>
      </c>
      <c r="AS21" s="55"/>
      <c r="AT21" s="56"/>
      <c r="AU21" s="57">
        <f t="shared" si="13"/>
        <v>0</v>
      </c>
      <c r="AV21" s="55"/>
      <c r="AW21" s="56"/>
      <c r="AX21" s="57">
        <f t="shared" si="14"/>
        <v>0</v>
      </c>
      <c r="AY21" s="55"/>
      <c r="AZ21" s="56"/>
      <c r="BA21" s="57">
        <f t="shared" si="35"/>
        <v>0</v>
      </c>
      <c r="BB21" s="55"/>
      <c r="BC21" s="56"/>
      <c r="BD21" s="57">
        <f t="shared" si="32"/>
        <v>0</v>
      </c>
      <c r="BE21" s="55"/>
      <c r="BF21" s="56"/>
      <c r="BG21" s="57">
        <f t="shared" si="16"/>
        <v>0</v>
      </c>
      <c r="BH21" s="55"/>
      <c r="BI21" s="56"/>
      <c r="BJ21" s="57">
        <f t="shared" si="34"/>
        <v>0</v>
      </c>
      <c r="BK21" s="55"/>
      <c r="BL21" s="56"/>
      <c r="BM21" s="57">
        <f t="shared" si="18"/>
        <v>0</v>
      </c>
      <c r="BN21" s="55"/>
      <c r="BO21" s="56"/>
      <c r="BP21" s="57">
        <f t="shared" si="37"/>
        <v>0</v>
      </c>
      <c r="BQ21" s="55"/>
      <c r="BR21" s="56"/>
      <c r="BS21" s="57">
        <f t="shared" si="20"/>
        <v>0</v>
      </c>
      <c r="BT21" s="55"/>
      <c r="BU21" s="56"/>
      <c r="BV21" s="57">
        <f t="shared" si="33"/>
        <v>0</v>
      </c>
      <c r="BW21" s="55"/>
      <c r="BX21" s="56"/>
      <c r="BY21" s="57">
        <f t="shared" si="21"/>
        <v>0</v>
      </c>
      <c r="BZ21" s="55"/>
      <c r="CA21" s="56"/>
      <c r="CB21" s="57">
        <f t="shared" si="22"/>
        <v>0</v>
      </c>
      <c r="CC21" s="55"/>
      <c r="CD21" s="56"/>
      <c r="CE21" s="57">
        <f t="shared" si="23"/>
        <v>0</v>
      </c>
      <c r="CF21" s="55"/>
      <c r="CG21" s="56"/>
      <c r="CH21" s="57">
        <f t="shared" si="24"/>
        <v>0</v>
      </c>
      <c r="CI21" s="55"/>
      <c r="CJ21" s="56"/>
      <c r="CK21" s="57">
        <f t="shared" si="25"/>
        <v>0</v>
      </c>
      <c r="CL21" s="55"/>
      <c r="CM21" s="56"/>
      <c r="CN21" s="57">
        <f t="shared" si="26"/>
        <v>0</v>
      </c>
      <c r="CO21" s="55"/>
      <c r="CP21" s="56"/>
      <c r="CQ21" s="57">
        <f t="shared" si="27"/>
        <v>0</v>
      </c>
      <c r="CR21" s="55"/>
      <c r="CS21" s="56"/>
      <c r="CT21" s="57">
        <f t="shared" si="28"/>
        <v>0</v>
      </c>
      <c r="CU21" s="58">
        <f t="shared" si="29"/>
        <v>0</v>
      </c>
      <c r="CV21" s="57">
        <f t="shared" si="30"/>
        <v>0</v>
      </c>
      <c r="CW21" s="57">
        <f t="shared" si="31"/>
        <v>0</v>
      </c>
    </row>
    <row r="22" spans="1:101" ht="15.75" customHeight="1" x14ac:dyDescent="0.35">
      <c r="A22" s="53" t="s">
        <v>223</v>
      </c>
      <c r="B22" s="53" t="s">
        <v>846</v>
      </c>
      <c r="C22" s="55"/>
      <c r="D22" s="56"/>
      <c r="E22" s="57">
        <f t="shared" si="0"/>
        <v>0</v>
      </c>
      <c r="F22" s="55"/>
      <c r="G22" s="56"/>
      <c r="H22" s="57">
        <f t="shared" si="1"/>
        <v>0</v>
      </c>
      <c r="I22" s="55"/>
      <c r="J22" s="56"/>
      <c r="K22" s="57">
        <f t="shared" si="2"/>
        <v>0</v>
      </c>
      <c r="L22" s="55"/>
      <c r="M22" s="56"/>
      <c r="N22" s="57">
        <f t="shared" si="3"/>
        <v>0</v>
      </c>
      <c r="O22" s="55">
        <v>30</v>
      </c>
      <c r="P22" s="56">
        <v>1820.73</v>
      </c>
      <c r="Q22" s="57">
        <v>54621.9</v>
      </c>
      <c r="R22" s="55"/>
      <c r="S22" s="56"/>
      <c r="T22" s="57">
        <f t="shared" si="5"/>
        <v>0</v>
      </c>
      <c r="U22" s="55"/>
      <c r="V22" s="56"/>
      <c r="W22" s="57">
        <f t="shared" si="36"/>
        <v>0</v>
      </c>
      <c r="X22" s="55"/>
      <c r="Y22" s="56"/>
      <c r="Z22" s="57">
        <f t="shared" si="7"/>
        <v>0</v>
      </c>
      <c r="AA22" s="55"/>
      <c r="AB22" s="56"/>
      <c r="AC22" s="57">
        <f t="shared" si="8"/>
        <v>0</v>
      </c>
      <c r="AD22" s="55"/>
      <c r="AE22" s="56"/>
      <c r="AF22" s="57">
        <f t="shared" si="9"/>
        <v>0</v>
      </c>
      <c r="AG22" s="55"/>
      <c r="AH22" s="56"/>
      <c r="AI22" s="57">
        <f t="shared" si="10"/>
        <v>0</v>
      </c>
      <c r="AJ22" s="55">
        <v>30</v>
      </c>
      <c r="AK22" s="56">
        <v>1820.73</v>
      </c>
      <c r="AL22" s="57">
        <v>54621.9</v>
      </c>
      <c r="AM22" s="55"/>
      <c r="AN22" s="56"/>
      <c r="AO22" s="57">
        <f t="shared" si="11"/>
        <v>0</v>
      </c>
      <c r="AP22" s="55"/>
      <c r="AQ22" s="56"/>
      <c r="AR22" s="57">
        <f t="shared" si="12"/>
        <v>0</v>
      </c>
      <c r="AS22" s="55"/>
      <c r="AT22" s="56"/>
      <c r="AU22" s="57">
        <f t="shared" si="13"/>
        <v>0</v>
      </c>
      <c r="AV22" s="55"/>
      <c r="AW22" s="56"/>
      <c r="AX22" s="57">
        <f t="shared" si="14"/>
        <v>0</v>
      </c>
      <c r="AY22" s="55"/>
      <c r="AZ22" s="56"/>
      <c r="BA22" s="57">
        <f t="shared" si="35"/>
        <v>0</v>
      </c>
      <c r="BB22" s="55"/>
      <c r="BC22" s="56"/>
      <c r="BD22" s="57">
        <f t="shared" si="32"/>
        <v>0</v>
      </c>
      <c r="BE22" s="55"/>
      <c r="BF22" s="56"/>
      <c r="BG22" s="57">
        <f t="shared" si="16"/>
        <v>0</v>
      </c>
      <c r="BH22" s="55"/>
      <c r="BI22" s="56"/>
      <c r="BJ22" s="57">
        <f t="shared" si="34"/>
        <v>0</v>
      </c>
      <c r="BK22" s="55"/>
      <c r="BL22" s="56"/>
      <c r="BM22" s="57">
        <f t="shared" si="18"/>
        <v>0</v>
      </c>
      <c r="BN22" s="55"/>
      <c r="BO22" s="56"/>
      <c r="BP22" s="57">
        <f t="shared" si="37"/>
        <v>0</v>
      </c>
      <c r="BQ22" s="55"/>
      <c r="BR22" s="56"/>
      <c r="BS22" s="57">
        <f t="shared" si="20"/>
        <v>0</v>
      </c>
      <c r="BT22" s="55"/>
      <c r="BU22" s="56"/>
      <c r="BV22" s="57">
        <f t="shared" si="33"/>
        <v>0</v>
      </c>
      <c r="BW22" s="55"/>
      <c r="BX22" s="56"/>
      <c r="BY22" s="57">
        <f t="shared" si="21"/>
        <v>0</v>
      </c>
      <c r="BZ22" s="55"/>
      <c r="CA22" s="56"/>
      <c r="CB22" s="57">
        <f t="shared" si="22"/>
        <v>0</v>
      </c>
      <c r="CC22" s="55"/>
      <c r="CD22" s="56"/>
      <c r="CE22" s="57">
        <f t="shared" si="23"/>
        <v>0</v>
      </c>
      <c r="CF22" s="55"/>
      <c r="CG22" s="56"/>
      <c r="CH22" s="57">
        <f t="shared" si="24"/>
        <v>0</v>
      </c>
      <c r="CI22" s="55"/>
      <c r="CJ22" s="56"/>
      <c r="CK22" s="57">
        <f t="shared" si="25"/>
        <v>0</v>
      </c>
      <c r="CL22" s="55"/>
      <c r="CM22" s="56"/>
      <c r="CN22" s="57">
        <f t="shared" si="26"/>
        <v>0</v>
      </c>
      <c r="CO22" s="55"/>
      <c r="CP22" s="56"/>
      <c r="CQ22" s="57">
        <f t="shared" si="27"/>
        <v>0</v>
      </c>
      <c r="CR22" s="55"/>
      <c r="CS22" s="56"/>
      <c r="CT22" s="57">
        <f t="shared" si="28"/>
        <v>0</v>
      </c>
      <c r="CU22" s="58">
        <f t="shared" si="29"/>
        <v>60</v>
      </c>
      <c r="CV22" s="57">
        <f t="shared" si="30"/>
        <v>1820.73</v>
      </c>
      <c r="CW22" s="57">
        <f t="shared" si="31"/>
        <v>109243.8</v>
      </c>
    </row>
    <row r="23" spans="1:101" ht="15.75" customHeight="1" x14ac:dyDescent="0.35">
      <c r="A23" s="53" t="s">
        <v>1047</v>
      </c>
      <c r="B23" s="53" t="s">
        <v>846</v>
      </c>
      <c r="C23" s="55"/>
      <c r="D23" s="56"/>
      <c r="E23" s="57">
        <f t="shared" si="0"/>
        <v>0</v>
      </c>
      <c r="F23" s="55"/>
      <c r="G23" s="56"/>
      <c r="H23" s="57">
        <f t="shared" si="1"/>
        <v>0</v>
      </c>
      <c r="I23" s="55"/>
      <c r="J23" s="56"/>
      <c r="K23" s="57">
        <f t="shared" si="2"/>
        <v>0</v>
      </c>
      <c r="L23" s="55"/>
      <c r="M23" s="56"/>
      <c r="N23" s="57">
        <f t="shared" si="3"/>
        <v>0</v>
      </c>
      <c r="O23" s="55"/>
      <c r="P23" s="56"/>
      <c r="Q23" s="57">
        <f t="shared" ref="Q23:Q30" si="38">IFERROR(O23*P23, 0)</f>
        <v>0</v>
      </c>
      <c r="R23" s="55"/>
      <c r="S23" s="56"/>
      <c r="T23" s="57">
        <f t="shared" si="5"/>
        <v>0</v>
      </c>
      <c r="U23" s="55"/>
      <c r="V23" s="56"/>
      <c r="W23" s="57">
        <f t="shared" si="36"/>
        <v>0</v>
      </c>
      <c r="X23" s="55"/>
      <c r="Y23" s="56"/>
      <c r="Z23" s="57">
        <f t="shared" si="7"/>
        <v>0</v>
      </c>
      <c r="AA23" s="55"/>
      <c r="AB23" s="56"/>
      <c r="AC23" s="57">
        <f t="shared" si="8"/>
        <v>0</v>
      </c>
      <c r="AD23" s="55"/>
      <c r="AE23" s="56"/>
      <c r="AF23" s="57">
        <f t="shared" si="9"/>
        <v>0</v>
      </c>
      <c r="AG23" s="55"/>
      <c r="AH23" s="56"/>
      <c r="AI23" s="57">
        <f t="shared" si="10"/>
        <v>0</v>
      </c>
      <c r="AJ23" s="55"/>
      <c r="AK23" s="56"/>
      <c r="AL23" s="57">
        <f t="shared" ref="AL23:AL38" si="39">IFERROR(AJ23*AK23, 0)</f>
        <v>0</v>
      </c>
      <c r="AM23" s="55"/>
      <c r="AN23" s="56"/>
      <c r="AO23" s="57">
        <f t="shared" si="11"/>
        <v>0</v>
      </c>
      <c r="AP23" s="55"/>
      <c r="AQ23" s="56"/>
      <c r="AR23" s="57">
        <f t="shared" si="12"/>
        <v>0</v>
      </c>
      <c r="AS23" s="55"/>
      <c r="AT23" s="56"/>
      <c r="AU23" s="57">
        <f t="shared" si="13"/>
        <v>0</v>
      </c>
      <c r="AV23" s="55"/>
      <c r="AW23" s="56"/>
      <c r="AX23" s="57">
        <f t="shared" si="14"/>
        <v>0</v>
      </c>
      <c r="AY23" s="55"/>
      <c r="AZ23" s="56"/>
      <c r="BA23" s="57">
        <f t="shared" si="35"/>
        <v>0</v>
      </c>
      <c r="BB23" s="55"/>
      <c r="BC23" s="56"/>
      <c r="BD23" s="57">
        <f t="shared" si="32"/>
        <v>0</v>
      </c>
      <c r="BE23" s="55"/>
      <c r="BF23" s="56"/>
      <c r="BG23" s="57">
        <f t="shared" si="16"/>
        <v>0</v>
      </c>
      <c r="BH23" s="55"/>
      <c r="BI23" s="56"/>
      <c r="BJ23" s="57">
        <f t="shared" si="34"/>
        <v>0</v>
      </c>
      <c r="BK23" s="55"/>
      <c r="BL23" s="56"/>
      <c r="BM23" s="57">
        <f t="shared" si="18"/>
        <v>0</v>
      </c>
      <c r="BN23" s="55"/>
      <c r="BO23" s="56"/>
      <c r="BP23" s="57">
        <f t="shared" si="37"/>
        <v>0</v>
      </c>
      <c r="BQ23" s="55"/>
      <c r="BR23" s="56"/>
      <c r="BS23" s="57">
        <f t="shared" si="20"/>
        <v>0</v>
      </c>
      <c r="BT23" s="55"/>
      <c r="BU23" s="56"/>
      <c r="BV23" s="57">
        <f t="shared" si="33"/>
        <v>0</v>
      </c>
      <c r="BW23" s="55"/>
      <c r="BX23" s="56"/>
      <c r="BY23" s="57">
        <f t="shared" si="21"/>
        <v>0</v>
      </c>
      <c r="BZ23" s="55"/>
      <c r="CA23" s="56"/>
      <c r="CB23" s="57">
        <f t="shared" si="22"/>
        <v>0</v>
      </c>
      <c r="CC23" s="55"/>
      <c r="CD23" s="56"/>
      <c r="CE23" s="57">
        <f t="shared" si="23"/>
        <v>0</v>
      </c>
      <c r="CF23" s="55"/>
      <c r="CG23" s="56"/>
      <c r="CH23" s="57">
        <f t="shared" si="24"/>
        <v>0</v>
      </c>
      <c r="CI23" s="55"/>
      <c r="CJ23" s="56"/>
      <c r="CK23" s="57">
        <f t="shared" si="25"/>
        <v>0</v>
      </c>
      <c r="CL23" s="55"/>
      <c r="CM23" s="56"/>
      <c r="CN23" s="57">
        <f t="shared" si="26"/>
        <v>0</v>
      </c>
      <c r="CO23" s="55"/>
      <c r="CP23" s="56"/>
      <c r="CQ23" s="57">
        <f t="shared" si="27"/>
        <v>0</v>
      </c>
      <c r="CR23" s="55"/>
      <c r="CS23" s="56"/>
      <c r="CT23" s="57">
        <f t="shared" si="28"/>
        <v>0</v>
      </c>
      <c r="CU23" s="58">
        <f t="shared" si="29"/>
        <v>0</v>
      </c>
      <c r="CV23" s="57">
        <f t="shared" si="30"/>
        <v>0</v>
      </c>
      <c r="CW23" s="57">
        <f t="shared" si="31"/>
        <v>0</v>
      </c>
    </row>
    <row r="24" spans="1:101" ht="15.75" customHeight="1" x14ac:dyDescent="0.35">
      <c r="A24" s="53" t="s">
        <v>1048</v>
      </c>
      <c r="B24" s="53" t="s">
        <v>846</v>
      </c>
      <c r="C24" s="55"/>
      <c r="D24" s="56"/>
      <c r="E24" s="57">
        <f t="shared" si="0"/>
        <v>0</v>
      </c>
      <c r="F24" s="55"/>
      <c r="G24" s="56"/>
      <c r="H24" s="57">
        <f t="shared" si="1"/>
        <v>0</v>
      </c>
      <c r="I24" s="55"/>
      <c r="J24" s="56"/>
      <c r="K24" s="57">
        <f t="shared" si="2"/>
        <v>0</v>
      </c>
      <c r="L24" s="55"/>
      <c r="M24" s="56"/>
      <c r="N24" s="57">
        <f t="shared" si="3"/>
        <v>0</v>
      </c>
      <c r="O24" s="55"/>
      <c r="P24" s="56"/>
      <c r="Q24" s="57">
        <f t="shared" si="38"/>
        <v>0</v>
      </c>
      <c r="R24" s="55"/>
      <c r="S24" s="56"/>
      <c r="T24" s="57">
        <f t="shared" si="5"/>
        <v>0</v>
      </c>
      <c r="U24" s="55"/>
      <c r="V24" s="56"/>
      <c r="W24" s="57">
        <f t="shared" si="36"/>
        <v>0</v>
      </c>
      <c r="X24" s="55"/>
      <c r="Y24" s="56"/>
      <c r="Z24" s="57">
        <f t="shared" si="7"/>
        <v>0</v>
      </c>
      <c r="AA24" s="55"/>
      <c r="AB24" s="56"/>
      <c r="AC24" s="57">
        <f t="shared" si="8"/>
        <v>0</v>
      </c>
      <c r="AD24" s="55"/>
      <c r="AE24" s="56"/>
      <c r="AF24" s="57">
        <f t="shared" si="9"/>
        <v>0</v>
      </c>
      <c r="AG24" s="55"/>
      <c r="AH24" s="56"/>
      <c r="AI24" s="57">
        <f t="shared" si="10"/>
        <v>0</v>
      </c>
      <c r="AJ24" s="55"/>
      <c r="AK24" s="56"/>
      <c r="AL24" s="57">
        <f t="shared" si="39"/>
        <v>0</v>
      </c>
      <c r="AM24" s="55"/>
      <c r="AN24" s="56"/>
      <c r="AO24" s="57">
        <f t="shared" si="11"/>
        <v>0</v>
      </c>
      <c r="AP24" s="55"/>
      <c r="AQ24" s="56"/>
      <c r="AR24" s="57">
        <f t="shared" si="12"/>
        <v>0</v>
      </c>
      <c r="AS24" s="55"/>
      <c r="AT24" s="56"/>
      <c r="AU24" s="57">
        <f t="shared" si="13"/>
        <v>0</v>
      </c>
      <c r="AV24" s="55"/>
      <c r="AW24" s="56"/>
      <c r="AX24" s="57">
        <f t="shared" si="14"/>
        <v>0</v>
      </c>
      <c r="AY24" s="55"/>
      <c r="AZ24" s="56"/>
      <c r="BA24" s="57">
        <f t="shared" si="35"/>
        <v>0</v>
      </c>
      <c r="BB24" s="55"/>
      <c r="BC24" s="56"/>
      <c r="BD24" s="57">
        <f t="shared" si="32"/>
        <v>0</v>
      </c>
      <c r="BE24" s="55"/>
      <c r="BF24" s="56"/>
      <c r="BG24" s="57">
        <f t="shared" si="16"/>
        <v>0</v>
      </c>
      <c r="BH24" s="55"/>
      <c r="BI24" s="56"/>
      <c r="BJ24" s="57">
        <f t="shared" si="34"/>
        <v>0</v>
      </c>
      <c r="BK24" s="55"/>
      <c r="BL24" s="56"/>
      <c r="BM24" s="57">
        <f t="shared" si="18"/>
        <v>0</v>
      </c>
      <c r="BN24" s="55"/>
      <c r="BO24" s="56"/>
      <c r="BP24" s="57">
        <f t="shared" si="37"/>
        <v>0</v>
      </c>
      <c r="BQ24" s="55"/>
      <c r="BR24" s="56"/>
      <c r="BS24" s="57">
        <f t="shared" si="20"/>
        <v>0</v>
      </c>
      <c r="BT24" s="55"/>
      <c r="BU24" s="56"/>
      <c r="BV24" s="57">
        <f t="shared" si="33"/>
        <v>0</v>
      </c>
      <c r="BW24" s="55"/>
      <c r="BX24" s="56"/>
      <c r="BY24" s="57">
        <f t="shared" si="21"/>
        <v>0</v>
      </c>
      <c r="BZ24" s="55"/>
      <c r="CA24" s="56"/>
      <c r="CB24" s="57">
        <f t="shared" si="22"/>
        <v>0</v>
      </c>
      <c r="CC24" s="55"/>
      <c r="CD24" s="56"/>
      <c r="CE24" s="57">
        <f t="shared" si="23"/>
        <v>0</v>
      </c>
      <c r="CF24" s="55"/>
      <c r="CG24" s="56"/>
      <c r="CH24" s="57">
        <f t="shared" si="24"/>
        <v>0</v>
      </c>
      <c r="CI24" s="55"/>
      <c r="CJ24" s="56"/>
      <c r="CK24" s="57">
        <f t="shared" si="25"/>
        <v>0</v>
      </c>
      <c r="CL24" s="55"/>
      <c r="CM24" s="56"/>
      <c r="CN24" s="57">
        <f t="shared" si="26"/>
        <v>0</v>
      </c>
      <c r="CO24" s="55"/>
      <c r="CP24" s="56"/>
      <c r="CQ24" s="57">
        <f t="shared" si="27"/>
        <v>0</v>
      </c>
      <c r="CR24" s="55"/>
      <c r="CS24" s="56"/>
      <c r="CT24" s="57">
        <f t="shared" si="28"/>
        <v>0</v>
      </c>
      <c r="CU24" s="58">
        <f t="shared" si="29"/>
        <v>0</v>
      </c>
      <c r="CV24" s="57">
        <f t="shared" si="30"/>
        <v>0</v>
      </c>
      <c r="CW24" s="57">
        <f t="shared" si="31"/>
        <v>0</v>
      </c>
    </row>
    <row r="25" spans="1:101" ht="15.75" customHeight="1" x14ac:dyDescent="0.35">
      <c r="A25" s="53" t="s">
        <v>1049</v>
      </c>
      <c r="B25" s="53" t="s">
        <v>846</v>
      </c>
      <c r="C25" s="55"/>
      <c r="D25" s="56"/>
      <c r="E25" s="57">
        <f t="shared" si="0"/>
        <v>0</v>
      </c>
      <c r="F25" s="55"/>
      <c r="G25" s="56"/>
      <c r="H25" s="57">
        <f t="shared" si="1"/>
        <v>0</v>
      </c>
      <c r="I25" s="55"/>
      <c r="J25" s="56"/>
      <c r="K25" s="57">
        <f t="shared" si="2"/>
        <v>0</v>
      </c>
      <c r="L25" s="55"/>
      <c r="M25" s="56"/>
      <c r="N25" s="57">
        <f t="shared" si="3"/>
        <v>0</v>
      </c>
      <c r="O25" s="55"/>
      <c r="P25" s="56"/>
      <c r="Q25" s="57">
        <f t="shared" si="38"/>
        <v>0</v>
      </c>
      <c r="R25" s="55"/>
      <c r="S25" s="56"/>
      <c r="T25" s="57">
        <f t="shared" si="5"/>
        <v>0</v>
      </c>
      <c r="U25" s="55"/>
      <c r="V25" s="56"/>
      <c r="W25" s="57">
        <f t="shared" si="36"/>
        <v>0</v>
      </c>
      <c r="X25" s="55"/>
      <c r="Y25" s="56"/>
      <c r="Z25" s="57">
        <f t="shared" si="7"/>
        <v>0</v>
      </c>
      <c r="AA25" s="55"/>
      <c r="AB25" s="56"/>
      <c r="AC25" s="57">
        <f t="shared" si="8"/>
        <v>0</v>
      </c>
      <c r="AD25" s="55"/>
      <c r="AE25" s="56"/>
      <c r="AF25" s="57">
        <f t="shared" si="9"/>
        <v>0</v>
      </c>
      <c r="AG25" s="55"/>
      <c r="AH25" s="56"/>
      <c r="AI25" s="57">
        <f t="shared" si="10"/>
        <v>0</v>
      </c>
      <c r="AJ25" s="55"/>
      <c r="AK25" s="56"/>
      <c r="AL25" s="57">
        <f t="shared" si="39"/>
        <v>0</v>
      </c>
      <c r="AM25" s="55"/>
      <c r="AN25" s="56"/>
      <c r="AO25" s="57">
        <f t="shared" si="11"/>
        <v>0</v>
      </c>
      <c r="AP25" s="55"/>
      <c r="AQ25" s="56"/>
      <c r="AR25" s="57">
        <f t="shared" si="12"/>
        <v>0</v>
      </c>
      <c r="AS25" s="55"/>
      <c r="AT25" s="56"/>
      <c r="AU25" s="57">
        <f t="shared" si="13"/>
        <v>0</v>
      </c>
      <c r="AV25" s="55"/>
      <c r="AW25" s="56"/>
      <c r="AX25" s="57">
        <f t="shared" si="14"/>
        <v>0</v>
      </c>
      <c r="AY25" s="55"/>
      <c r="AZ25" s="56"/>
      <c r="BA25" s="57">
        <f t="shared" si="35"/>
        <v>0</v>
      </c>
      <c r="BB25" s="55"/>
      <c r="BC25" s="56"/>
      <c r="BD25" s="57">
        <f t="shared" si="32"/>
        <v>0</v>
      </c>
      <c r="BE25" s="55"/>
      <c r="BF25" s="56"/>
      <c r="BG25" s="57">
        <f t="shared" si="16"/>
        <v>0</v>
      </c>
      <c r="BH25" s="55"/>
      <c r="BI25" s="56"/>
      <c r="BJ25" s="57">
        <f t="shared" si="34"/>
        <v>0</v>
      </c>
      <c r="BK25" s="55"/>
      <c r="BL25" s="56"/>
      <c r="BM25" s="57">
        <f t="shared" si="18"/>
        <v>0</v>
      </c>
      <c r="BN25" s="55"/>
      <c r="BO25" s="56"/>
      <c r="BP25" s="57">
        <f t="shared" si="37"/>
        <v>0</v>
      </c>
      <c r="BQ25" s="55"/>
      <c r="BR25" s="56"/>
      <c r="BS25" s="57">
        <f t="shared" si="20"/>
        <v>0</v>
      </c>
      <c r="BT25" s="55"/>
      <c r="BU25" s="56"/>
      <c r="BV25" s="57">
        <f t="shared" si="33"/>
        <v>0</v>
      </c>
      <c r="BW25" s="55"/>
      <c r="BX25" s="56"/>
      <c r="BY25" s="57">
        <f t="shared" si="21"/>
        <v>0</v>
      </c>
      <c r="BZ25" s="55"/>
      <c r="CA25" s="56"/>
      <c r="CB25" s="57">
        <f t="shared" si="22"/>
        <v>0</v>
      </c>
      <c r="CC25" s="55"/>
      <c r="CD25" s="56"/>
      <c r="CE25" s="57">
        <f t="shared" si="23"/>
        <v>0</v>
      </c>
      <c r="CF25" s="55"/>
      <c r="CG25" s="56"/>
      <c r="CH25" s="57">
        <f t="shared" si="24"/>
        <v>0</v>
      </c>
      <c r="CI25" s="55"/>
      <c r="CJ25" s="56"/>
      <c r="CK25" s="57">
        <f t="shared" si="25"/>
        <v>0</v>
      </c>
      <c r="CL25" s="55"/>
      <c r="CM25" s="56"/>
      <c r="CN25" s="57">
        <f t="shared" si="26"/>
        <v>0</v>
      </c>
      <c r="CO25" s="55"/>
      <c r="CP25" s="56"/>
      <c r="CQ25" s="57">
        <f t="shared" si="27"/>
        <v>0</v>
      </c>
      <c r="CR25" s="55"/>
      <c r="CS25" s="56"/>
      <c r="CT25" s="57">
        <f t="shared" si="28"/>
        <v>0</v>
      </c>
      <c r="CU25" s="58">
        <f t="shared" si="29"/>
        <v>0</v>
      </c>
      <c r="CV25" s="57">
        <f t="shared" si="30"/>
        <v>0</v>
      </c>
      <c r="CW25" s="57">
        <f t="shared" si="31"/>
        <v>0</v>
      </c>
    </row>
    <row r="26" spans="1:101" ht="15.75" customHeight="1" x14ac:dyDescent="0.35">
      <c r="A26" s="53" t="s">
        <v>1050</v>
      </c>
      <c r="B26" s="53" t="s">
        <v>846</v>
      </c>
      <c r="C26" s="55"/>
      <c r="D26" s="56"/>
      <c r="E26" s="57">
        <f t="shared" si="0"/>
        <v>0</v>
      </c>
      <c r="F26" s="55"/>
      <c r="G26" s="56"/>
      <c r="H26" s="57">
        <f t="shared" si="1"/>
        <v>0</v>
      </c>
      <c r="I26" s="55"/>
      <c r="J26" s="56"/>
      <c r="K26" s="57">
        <f t="shared" si="2"/>
        <v>0</v>
      </c>
      <c r="L26" s="55"/>
      <c r="M26" s="56"/>
      <c r="N26" s="57">
        <f t="shared" si="3"/>
        <v>0</v>
      </c>
      <c r="O26" s="55"/>
      <c r="P26" s="56"/>
      <c r="Q26" s="57">
        <f t="shared" si="38"/>
        <v>0</v>
      </c>
      <c r="R26" s="55"/>
      <c r="S26" s="56"/>
      <c r="T26" s="57">
        <f t="shared" si="5"/>
        <v>0</v>
      </c>
      <c r="U26" s="55"/>
      <c r="V26" s="56"/>
      <c r="W26" s="57">
        <f t="shared" si="36"/>
        <v>0</v>
      </c>
      <c r="X26" s="55"/>
      <c r="Y26" s="56"/>
      <c r="Z26" s="57">
        <f t="shared" si="7"/>
        <v>0</v>
      </c>
      <c r="AA26" s="55"/>
      <c r="AB26" s="56"/>
      <c r="AC26" s="57">
        <f t="shared" si="8"/>
        <v>0</v>
      </c>
      <c r="AD26" s="55"/>
      <c r="AE26" s="56"/>
      <c r="AF26" s="57">
        <f t="shared" si="9"/>
        <v>0</v>
      </c>
      <c r="AG26" s="55"/>
      <c r="AH26" s="56"/>
      <c r="AI26" s="57">
        <f t="shared" si="10"/>
        <v>0</v>
      </c>
      <c r="AJ26" s="55"/>
      <c r="AK26" s="56"/>
      <c r="AL26" s="57">
        <f t="shared" si="39"/>
        <v>0</v>
      </c>
      <c r="AM26" s="55"/>
      <c r="AN26" s="56"/>
      <c r="AO26" s="57">
        <f t="shared" si="11"/>
        <v>0</v>
      </c>
      <c r="AP26" s="55"/>
      <c r="AQ26" s="56"/>
      <c r="AR26" s="57">
        <f t="shared" si="12"/>
        <v>0</v>
      </c>
      <c r="AS26" s="55"/>
      <c r="AT26" s="56"/>
      <c r="AU26" s="57">
        <f t="shared" si="13"/>
        <v>0</v>
      </c>
      <c r="AV26" s="55"/>
      <c r="AW26" s="56"/>
      <c r="AX26" s="57">
        <f t="shared" si="14"/>
        <v>0</v>
      </c>
      <c r="AY26" s="55"/>
      <c r="AZ26" s="56"/>
      <c r="BA26" s="57">
        <f t="shared" si="35"/>
        <v>0</v>
      </c>
      <c r="BB26" s="55"/>
      <c r="BC26" s="56"/>
      <c r="BD26" s="57">
        <f t="shared" si="32"/>
        <v>0</v>
      </c>
      <c r="BE26" s="55"/>
      <c r="BF26" s="56"/>
      <c r="BG26" s="57">
        <f t="shared" si="16"/>
        <v>0</v>
      </c>
      <c r="BH26" s="55"/>
      <c r="BI26" s="56"/>
      <c r="BJ26" s="57">
        <f t="shared" si="34"/>
        <v>0</v>
      </c>
      <c r="BK26" s="55"/>
      <c r="BL26" s="56"/>
      <c r="BM26" s="57">
        <f t="shared" si="18"/>
        <v>0</v>
      </c>
      <c r="BN26" s="55"/>
      <c r="BO26" s="56"/>
      <c r="BP26" s="57">
        <f t="shared" si="37"/>
        <v>0</v>
      </c>
      <c r="BQ26" s="55"/>
      <c r="BR26" s="56"/>
      <c r="BS26" s="57">
        <f t="shared" si="20"/>
        <v>0</v>
      </c>
      <c r="BT26" s="55"/>
      <c r="BU26" s="56"/>
      <c r="BV26" s="57">
        <f t="shared" si="33"/>
        <v>0</v>
      </c>
      <c r="BW26" s="55"/>
      <c r="BX26" s="56"/>
      <c r="BY26" s="57">
        <f t="shared" si="21"/>
        <v>0</v>
      </c>
      <c r="BZ26" s="55"/>
      <c r="CA26" s="56"/>
      <c r="CB26" s="57">
        <f t="shared" si="22"/>
        <v>0</v>
      </c>
      <c r="CC26" s="55"/>
      <c r="CD26" s="56"/>
      <c r="CE26" s="57">
        <f t="shared" si="23"/>
        <v>0</v>
      </c>
      <c r="CF26" s="55"/>
      <c r="CG26" s="56"/>
      <c r="CH26" s="57">
        <f t="shared" si="24"/>
        <v>0</v>
      </c>
      <c r="CI26" s="55"/>
      <c r="CJ26" s="56"/>
      <c r="CK26" s="57">
        <f t="shared" si="25"/>
        <v>0</v>
      </c>
      <c r="CL26" s="55"/>
      <c r="CM26" s="56"/>
      <c r="CN26" s="57">
        <f t="shared" si="26"/>
        <v>0</v>
      </c>
      <c r="CO26" s="55"/>
      <c r="CP26" s="56"/>
      <c r="CQ26" s="57">
        <f t="shared" si="27"/>
        <v>0</v>
      </c>
      <c r="CR26" s="55"/>
      <c r="CS26" s="56"/>
      <c r="CT26" s="57">
        <f t="shared" si="28"/>
        <v>0</v>
      </c>
      <c r="CU26" s="58">
        <f t="shared" si="29"/>
        <v>0</v>
      </c>
      <c r="CV26" s="57">
        <f t="shared" si="30"/>
        <v>0</v>
      </c>
      <c r="CW26" s="57">
        <f t="shared" si="31"/>
        <v>0</v>
      </c>
    </row>
    <row r="27" spans="1:101" ht="15.75" customHeight="1" x14ac:dyDescent="0.35">
      <c r="A27" s="53" t="s">
        <v>1051</v>
      </c>
      <c r="B27" s="53" t="s">
        <v>846</v>
      </c>
      <c r="C27" s="55"/>
      <c r="D27" s="56"/>
      <c r="E27" s="57">
        <f t="shared" si="0"/>
        <v>0</v>
      </c>
      <c r="F27" s="55"/>
      <c r="G27" s="56"/>
      <c r="H27" s="57">
        <f t="shared" si="1"/>
        <v>0</v>
      </c>
      <c r="I27" s="55"/>
      <c r="J27" s="56"/>
      <c r="K27" s="57">
        <f t="shared" si="2"/>
        <v>0</v>
      </c>
      <c r="L27" s="55"/>
      <c r="M27" s="56"/>
      <c r="N27" s="57">
        <f t="shared" si="3"/>
        <v>0</v>
      </c>
      <c r="O27" s="55"/>
      <c r="P27" s="56"/>
      <c r="Q27" s="57">
        <f t="shared" si="38"/>
        <v>0</v>
      </c>
      <c r="R27" s="55"/>
      <c r="S27" s="56"/>
      <c r="T27" s="57">
        <f t="shared" si="5"/>
        <v>0</v>
      </c>
      <c r="U27" s="55"/>
      <c r="V27" s="56"/>
      <c r="W27" s="57">
        <f t="shared" si="36"/>
        <v>0</v>
      </c>
      <c r="X27" s="55"/>
      <c r="Y27" s="56"/>
      <c r="Z27" s="57">
        <f t="shared" si="7"/>
        <v>0</v>
      </c>
      <c r="AA27" s="55"/>
      <c r="AB27" s="56"/>
      <c r="AC27" s="57">
        <f t="shared" si="8"/>
        <v>0</v>
      </c>
      <c r="AD27" s="55"/>
      <c r="AE27" s="56"/>
      <c r="AF27" s="57">
        <f t="shared" si="9"/>
        <v>0</v>
      </c>
      <c r="AG27" s="55"/>
      <c r="AH27" s="56"/>
      <c r="AI27" s="57">
        <f t="shared" si="10"/>
        <v>0</v>
      </c>
      <c r="AJ27" s="55"/>
      <c r="AK27" s="56"/>
      <c r="AL27" s="57">
        <f t="shared" si="39"/>
        <v>0</v>
      </c>
      <c r="AM27" s="55"/>
      <c r="AN27" s="56"/>
      <c r="AO27" s="57">
        <f t="shared" si="11"/>
        <v>0</v>
      </c>
      <c r="AP27" s="55"/>
      <c r="AQ27" s="56"/>
      <c r="AR27" s="57">
        <f t="shared" si="12"/>
        <v>0</v>
      </c>
      <c r="AS27" s="55"/>
      <c r="AT27" s="56"/>
      <c r="AU27" s="57">
        <f t="shared" si="13"/>
        <v>0</v>
      </c>
      <c r="AV27" s="55"/>
      <c r="AW27" s="56"/>
      <c r="AX27" s="57">
        <f t="shared" si="14"/>
        <v>0</v>
      </c>
      <c r="AY27" s="55"/>
      <c r="AZ27" s="56"/>
      <c r="BA27" s="57">
        <f t="shared" si="35"/>
        <v>0</v>
      </c>
      <c r="BB27" s="55"/>
      <c r="BC27" s="56"/>
      <c r="BD27" s="57">
        <f t="shared" si="32"/>
        <v>0</v>
      </c>
      <c r="BE27" s="55"/>
      <c r="BF27" s="56"/>
      <c r="BG27" s="57">
        <f t="shared" si="16"/>
        <v>0</v>
      </c>
      <c r="BH27" s="55"/>
      <c r="BI27" s="56"/>
      <c r="BJ27" s="57">
        <f t="shared" si="34"/>
        <v>0</v>
      </c>
      <c r="BK27" s="55"/>
      <c r="BL27" s="56"/>
      <c r="BM27" s="57">
        <f t="shared" si="18"/>
        <v>0</v>
      </c>
      <c r="BN27" s="55"/>
      <c r="BO27" s="56"/>
      <c r="BP27" s="57">
        <f t="shared" si="37"/>
        <v>0</v>
      </c>
      <c r="BQ27" s="55"/>
      <c r="BR27" s="56"/>
      <c r="BS27" s="57">
        <f t="shared" si="20"/>
        <v>0</v>
      </c>
      <c r="BT27" s="55"/>
      <c r="BU27" s="56"/>
      <c r="BV27" s="57">
        <f t="shared" si="33"/>
        <v>0</v>
      </c>
      <c r="BW27" s="55"/>
      <c r="BX27" s="56"/>
      <c r="BY27" s="57">
        <f t="shared" si="21"/>
        <v>0</v>
      </c>
      <c r="BZ27" s="55"/>
      <c r="CA27" s="56"/>
      <c r="CB27" s="57">
        <f t="shared" si="22"/>
        <v>0</v>
      </c>
      <c r="CC27" s="55"/>
      <c r="CD27" s="56"/>
      <c r="CE27" s="57">
        <f t="shared" si="23"/>
        <v>0</v>
      </c>
      <c r="CF27" s="55"/>
      <c r="CG27" s="56"/>
      <c r="CH27" s="57">
        <f t="shared" si="24"/>
        <v>0</v>
      </c>
      <c r="CI27" s="55"/>
      <c r="CJ27" s="56"/>
      <c r="CK27" s="57">
        <f t="shared" si="25"/>
        <v>0</v>
      </c>
      <c r="CL27" s="55"/>
      <c r="CM27" s="56"/>
      <c r="CN27" s="57">
        <f t="shared" si="26"/>
        <v>0</v>
      </c>
      <c r="CO27" s="55"/>
      <c r="CP27" s="56"/>
      <c r="CQ27" s="57">
        <f t="shared" si="27"/>
        <v>0</v>
      </c>
      <c r="CR27" s="55"/>
      <c r="CS27" s="56"/>
      <c r="CT27" s="57">
        <f t="shared" si="28"/>
        <v>0</v>
      </c>
      <c r="CU27" s="58">
        <f t="shared" si="29"/>
        <v>0</v>
      </c>
      <c r="CV27" s="57">
        <f t="shared" si="30"/>
        <v>0</v>
      </c>
      <c r="CW27" s="57">
        <f t="shared" si="31"/>
        <v>0</v>
      </c>
    </row>
    <row r="28" spans="1:101" ht="15.75" customHeight="1" x14ac:dyDescent="0.35">
      <c r="A28" s="53" t="s">
        <v>781</v>
      </c>
      <c r="B28" s="53" t="s">
        <v>846</v>
      </c>
      <c r="C28" s="55"/>
      <c r="D28" s="56"/>
      <c r="E28" s="57">
        <f t="shared" si="0"/>
        <v>0</v>
      </c>
      <c r="F28" s="55"/>
      <c r="G28" s="56"/>
      <c r="H28" s="57">
        <f t="shared" si="1"/>
        <v>0</v>
      </c>
      <c r="I28" s="55"/>
      <c r="J28" s="56"/>
      <c r="K28" s="57">
        <f t="shared" si="2"/>
        <v>0</v>
      </c>
      <c r="L28" s="55"/>
      <c r="M28" s="56"/>
      <c r="N28" s="57">
        <f t="shared" si="3"/>
        <v>0</v>
      </c>
      <c r="O28" s="55"/>
      <c r="P28" s="56"/>
      <c r="Q28" s="57">
        <f t="shared" si="38"/>
        <v>0</v>
      </c>
      <c r="R28" s="55"/>
      <c r="S28" s="56"/>
      <c r="T28" s="57">
        <f t="shared" si="5"/>
        <v>0</v>
      </c>
      <c r="U28" s="55"/>
      <c r="V28" s="56"/>
      <c r="W28" s="57">
        <f t="shared" si="36"/>
        <v>0</v>
      </c>
      <c r="X28" s="55"/>
      <c r="Y28" s="56"/>
      <c r="Z28" s="57">
        <f t="shared" si="7"/>
        <v>0</v>
      </c>
      <c r="AA28" s="55"/>
      <c r="AB28" s="56"/>
      <c r="AC28" s="57">
        <f t="shared" si="8"/>
        <v>0</v>
      </c>
      <c r="AD28" s="55"/>
      <c r="AE28" s="56"/>
      <c r="AF28" s="57">
        <f t="shared" si="9"/>
        <v>0</v>
      </c>
      <c r="AG28" s="55"/>
      <c r="AH28" s="56"/>
      <c r="AI28" s="57">
        <f t="shared" si="10"/>
        <v>0</v>
      </c>
      <c r="AJ28" s="55"/>
      <c r="AK28" s="56"/>
      <c r="AL28" s="57">
        <f t="shared" si="39"/>
        <v>0</v>
      </c>
      <c r="AM28" s="55"/>
      <c r="AN28" s="56"/>
      <c r="AO28" s="57">
        <f t="shared" si="11"/>
        <v>0</v>
      </c>
      <c r="AP28" s="55"/>
      <c r="AQ28" s="56"/>
      <c r="AR28" s="57">
        <f t="shared" si="12"/>
        <v>0</v>
      </c>
      <c r="AS28" s="55"/>
      <c r="AT28" s="56"/>
      <c r="AU28" s="57">
        <f t="shared" si="13"/>
        <v>0</v>
      </c>
      <c r="AV28" s="55"/>
      <c r="AW28" s="56"/>
      <c r="AX28" s="57">
        <f t="shared" si="14"/>
        <v>0</v>
      </c>
      <c r="AY28" s="55"/>
      <c r="AZ28" s="56"/>
      <c r="BA28" s="57">
        <f t="shared" si="35"/>
        <v>0</v>
      </c>
      <c r="BB28" s="55"/>
      <c r="BC28" s="56"/>
      <c r="BD28" s="57">
        <f t="shared" si="32"/>
        <v>0</v>
      </c>
      <c r="BE28" s="55"/>
      <c r="BF28" s="56"/>
      <c r="BG28" s="57">
        <f t="shared" si="16"/>
        <v>0</v>
      </c>
      <c r="BH28" s="55"/>
      <c r="BI28" s="56"/>
      <c r="BJ28" s="57">
        <f t="shared" si="34"/>
        <v>0</v>
      </c>
      <c r="BK28" s="55"/>
      <c r="BL28" s="56"/>
      <c r="BM28" s="57">
        <f t="shared" si="18"/>
        <v>0</v>
      </c>
      <c r="BN28" s="55"/>
      <c r="BO28" s="56"/>
      <c r="BP28" s="57">
        <f t="shared" si="37"/>
        <v>0</v>
      </c>
      <c r="BQ28" s="55"/>
      <c r="BR28" s="56"/>
      <c r="BS28" s="57">
        <f t="shared" si="20"/>
        <v>0</v>
      </c>
      <c r="BT28" s="55"/>
      <c r="BU28" s="56"/>
      <c r="BV28" s="57">
        <f t="shared" si="33"/>
        <v>0</v>
      </c>
      <c r="BW28" s="55"/>
      <c r="BX28" s="56"/>
      <c r="BY28" s="57">
        <f t="shared" si="21"/>
        <v>0</v>
      </c>
      <c r="BZ28" s="55"/>
      <c r="CA28" s="56"/>
      <c r="CB28" s="57">
        <f t="shared" si="22"/>
        <v>0</v>
      </c>
      <c r="CC28" s="55"/>
      <c r="CD28" s="56"/>
      <c r="CE28" s="57">
        <f t="shared" si="23"/>
        <v>0</v>
      </c>
      <c r="CF28" s="55"/>
      <c r="CG28" s="56"/>
      <c r="CH28" s="57">
        <f t="shared" si="24"/>
        <v>0</v>
      </c>
      <c r="CI28" s="55"/>
      <c r="CJ28" s="56"/>
      <c r="CK28" s="57">
        <f t="shared" si="25"/>
        <v>0</v>
      </c>
      <c r="CL28" s="55"/>
      <c r="CM28" s="56"/>
      <c r="CN28" s="57">
        <f t="shared" si="26"/>
        <v>0</v>
      </c>
      <c r="CO28" s="55"/>
      <c r="CP28" s="56"/>
      <c r="CQ28" s="57">
        <f t="shared" si="27"/>
        <v>0</v>
      </c>
      <c r="CR28" s="55"/>
      <c r="CS28" s="56"/>
      <c r="CT28" s="57">
        <f t="shared" si="28"/>
        <v>0</v>
      </c>
      <c r="CU28" s="58">
        <f t="shared" si="29"/>
        <v>0</v>
      </c>
      <c r="CV28" s="57">
        <f t="shared" si="30"/>
        <v>0</v>
      </c>
      <c r="CW28" s="57">
        <f t="shared" si="31"/>
        <v>0</v>
      </c>
    </row>
    <row r="29" spans="1:101" ht="15.75" customHeight="1" x14ac:dyDescent="0.35">
      <c r="A29" s="53" t="s">
        <v>1052</v>
      </c>
      <c r="B29" s="53" t="s">
        <v>846</v>
      </c>
      <c r="C29" s="55"/>
      <c r="D29" s="56"/>
      <c r="E29" s="57">
        <f t="shared" si="0"/>
        <v>0</v>
      </c>
      <c r="F29" s="55"/>
      <c r="G29" s="56"/>
      <c r="H29" s="57">
        <f t="shared" si="1"/>
        <v>0</v>
      </c>
      <c r="I29" s="55"/>
      <c r="J29" s="56"/>
      <c r="K29" s="57">
        <f t="shared" si="2"/>
        <v>0</v>
      </c>
      <c r="L29" s="55"/>
      <c r="M29" s="56"/>
      <c r="N29" s="57">
        <f t="shared" si="3"/>
        <v>0</v>
      </c>
      <c r="O29" s="55"/>
      <c r="P29" s="56"/>
      <c r="Q29" s="57">
        <f t="shared" si="38"/>
        <v>0</v>
      </c>
      <c r="R29" s="55"/>
      <c r="S29" s="56"/>
      <c r="T29" s="57">
        <f t="shared" si="5"/>
        <v>0</v>
      </c>
      <c r="U29" s="55"/>
      <c r="V29" s="56"/>
      <c r="W29" s="57">
        <f t="shared" si="36"/>
        <v>0</v>
      </c>
      <c r="X29" s="55"/>
      <c r="Y29" s="56"/>
      <c r="Z29" s="57">
        <f t="shared" si="7"/>
        <v>0</v>
      </c>
      <c r="AA29" s="55"/>
      <c r="AB29" s="56"/>
      <c r="AC29" s="57">
        <f t="shared" si="8"/>
        <v>0</v>
      </c>
      <c r="AD29" s="55"/>
      <c r="AE29" s="56"/>
      <c r="AF29" s="57">
        <f t="shared" si="9"/>
        <v>0</v>
      </c>
      <c r="AG29" s="55"/>
      <c r="AH29" s="56"/>
      <c r="AI29" s="57">
        <f t="shared" si="10"/>
        <v>0</v>
      </c>
      <c r="AJ29" s="55"/>
      <c r="AK29" s="56"/>
      <c r="AL29" s="57">
        <f t="shared" si="39"/>
        <v>0</v>
      </c>
      <c r="AM29" s="55"/>
      <c r="AN29" s="56"/>
      <c r="AO29" s="57">
        <f t="shared" si="11"/>
        <v>0</v>
      </c>
      <c r="AP29" s="55"/>
      <c r="AQ29" s="56"/>
      <c r="AR29" s="57">
        <f t="shared" si="12"/>
        <v>0</v>
      </c>
      <c r="AS29" s="55"/>
      <c r="AT29" s="56"/>
      <c r="AU29" s="57">
        <f t="shared" si="13"/>
        <v>0</v>
      </c>
      <c r="AV29" s="55"/>
      <c r="AW29" s="56"/>
      <c r="AX29" s="57">
        <f t="shared" si="14"/>
        <v>0</v>
      </c>
      <c r="AY29" s="55"/>
      <c r="AZ29" s="56"/>
      <c r="BA29" s="57">
        <f t="shared" si="35"/>
        <v>0</v>
      </c>
      <c r="BB29" s="55"/>
      <c r="BC29" s="56"/>
      <c r="BD29" s="57">
        <f t="shared" si="32"/>
        <v>0</v>
      </c>
      <c r="BE29" s="55"/>
      <c r="BF29" s="56"/>
      <c r="BG29" s="57">
        <f t="shared" si="16"/>
        <v>0</v>
      </c>
      <c r="BH29" s="55"/>
      <c r="BI29" s="56"/>
      <c r="BJ29" s="57">
        <f t="shared" si="34"/>
        <v>0</v>
      </c>
      <c r="BK29" s="55"/>
      <c r="BL29" s="56"/>
      <c r="BM29" s="57">
        <f t="shared" si="18"/>
        <v>0</v>
      </c>
      <c r="BN29" s="55"/>
      <c r="BO29" s="56"/>
      <c r="BP29" s="57">
        <f t="shared" si="37"/>
        <v>0</v>
      </c>
      <c r="BQ29" s="55"/>
      <c r="BR29" s="56"/>
      <c r="BS29" s="57">
        <f t="shared" si="20"/>
        <v>0</v>
      </c>
      <c r="BT29" s="55"/>
      <c r="BU29" s="56"/>
      <c r="BV29" s="57">
        <f t="shared" si="33"/>
        <v>0</v>
      </c>
      <c r="BW29" s="55"/>
      <c r="BX29" s="56"/>
      <c r="BY29" s="57">
        <f t="shared" si="21"/>
        <v>0</v>
      </c>
      <c r="BZ29" s="55"/>
      <c r="CA29" s="56"/>
      <c r="CB29" s="57">
        <f t="shared" si="22"/>
        <v>0</v>
      </c>
      <c r="CC29" s="55"/>
      <c r="CD29" s="56"/>
      <c r="CE29" s="57">
        <f t="shared" si="23"/>
        <v>0</v>
      </c>
      <c r="CF29" s="55"/>
      <c r="CG29" s="56"/>
      <c r="CH29" s="57">
        <f t="shared" si="24"/>
        <v>0</v>
      </c>
      <c r="CI29" s="55"/>
      <c r="CJ29" s="56"/>
      <c r="CK29" s="57">
        <f t="shared" si="25"/>
        <v>0</v>
      </c>
      <c r="CL29" s="55"/>
      <c r="CM29" s="56"/>
      <c r="CN29" s="57">
        <f t="shared" si="26"/>
        <v>0</v>
      </c>
      <c r="CO29" s="55"/>
      <c r="CP29" s="56"/>
      <c r="CQ29" s="57">
        <f t="shared" si="27"/>
        <v>0</v>
      </c>
      <c r="CR29" s="55"/>
      <c r="CS29" s="56"/>
      <c r="CT29" s="57">
        <f t="shared" si="28"/>
        <v>0</v>
      </c>
      <c r="CU29" s="58">
        <f t="shared" si="29"/>
        <v>0</v>
      </c>
      <c r="CV29" s="57">
        <f t="shared" si="30"/>
        <v>0</v>
      </c>
      <c r="CW29" s="57">
        <f t="shared" si="31"/>
        <v>0</v>
      </c>
    </row>
    <row r="30" spans="1:101" ht="15.75" customHeight="1" x14ac:dyDescent="0.35">
      <c r="A30" s="53" t="s">
        <v>338</v>
      </c>
      <c r="B30" s="59" t="s">
        <v>846</v>
      </c>
      <c r="C30" s="60"/>
      <c r="D30" s="56"/>
      <c r="E30" s="57">
        <f t="shared" si="0"/>
        <v>0</v>
      </c>
      <c r="F30" s="55"/>
      <c r="G30" s="56"/>
      <c r="H30" s="57">
        <f t="shared" si="1"/>
        <v>0</v>
      </c>
      <c r="I30" s="55"/>
      <c r="J30" s="56"/>
      <c r="K30" s="57">
        <f t="shared" si="2"/>
        <v>0</v>
      </c>
      <c r="L30" s="55"/>
      <c r="M30" s="56"/>
      <c r="N30" s="57">
        <f t="shared" si="3"/>
        <v>0</v>
      </c>
      <c r="O30" s="55"/>
      <c r="P30" s="56"/>
      <c r="Q30" s="57">
        <f t="shared" si="38"/>
        <v>0</v>
      </c>
      <c r="R30" s="55"/>
      <c r="S30" s="56"/>
      <c r="T30" s="57">
        <f t="shared" si="5"/>
        <v>0</v>
      </c>
      <c r="U30" s="55"/>
      <c r="V30" s="56"/>
      <c r="W30" s="57">
        <f t="shared" si="36"/>
        <v>0</v>
      </c>
      <c r="X30" s="55">
        <v>1.57</v>
      </c>
      <c r="Y30" s="56">
        <v>3300</v>
      </c>
      <c r="Z30" s="57">
        <v>5181</v>
      </c>
      <c r="AA30" s="55"/>
      <c r="AB30" s="56"/>
      <c r="AC30" s="57">
        <f t="shared" si="8"/>
        <v>0</v>
      </c>
      <c r="AD30" s="55"/>
      <c r="AE30" s="56"/>
      <c r="AF30" s="57">
        <f t="shared" si="9"/>
        <v>0</v>
      </c>
      <c r="AG30" s="55"/>
      <c r="AH30" s="56"/>
      <c r="AI30" s="57">
        <f t="shared" si="10"/>
        <v>0</v>
      </c>
      <c r="AJ30" s="55"/>
      <c r="AK30" s="56"/>
      <c r="AL30" s="57">
        <f t="shared" si="39"/>
        <v>0</v>
      </c>
      <c r="AM30" s="55"/>
      <c r="AN30" s="56"/>
      <c r="AO30" s="57">
        <f t="shared" si="11"/>
        <v>0</v>
      </c>
      <c r="AP30" s="55"/>
      <c r="AQ30" s="56"/>
      <c r="AR30" s="57">
        <f t="shared" si="12"/>
        <v>0</v>
      </c>
      <c r="AS30" s="55"/>
      <c r="AT30" s="56"/>
      <c r="AU30" s="57">
        <f t="shared" si="13"/>
        <v>0</v>
      </c>
      <c r="AV30" s="55"/>
      <c r="AW30" s="56"/>
      <c r="AX30" s="57">
        <f t="shared" si="14"/>
        <v>0</v>
      </c>
      <c r="AY30" s="55"/>
      <c r="AZ30" s="56"/>
      <c r="BA30" s="57">
        <f t="shared" si="35"/>
        <v>0</v>
      </c>
      <c r="BB30" s="55"/>
      <c r="BC30" s="56"/>
      <c r="BD30" s="57">
        <f t="shared" si="32"/>
        <v>0</v>
      </c>
      <c r="BE30" s="55"/>
      <c r="BF30" s="56"/>
      <c r="BG30" s="57">
        <f t="shared" si="16"/>
        <v>0</v>
      </c>
      <c r="BH30" s="55"/>
      <c r="BI30" s="56"/>
      <c r="BJ30" s="57">
        <f t="shared" si="34"/>
        <v>0</v>
      </c>
      <c r="BK30" s="55"/>
      <c r="BL30" s="56"/>
      <c r="BM30" s="57">
        <f t="shared" si="18"/>
        <v>0</v>
      </c>
      <c r="BN30" s="55"/>
      <c r="BO30" s="56"/>
      <c r="BP30" s="57">
        <f t="shared" si="37"/>
        <v>0</v>
      </c>
      <c r="BQ30" s="55"/>
      <c r="BR30" s="56"/>
      <c r="BS30" s="57">
        <f t="shared" si="20"/>
        <v>0</v>
      </c>
      <c r="BT30" s="55"/>
      <c r="BU30" s="56"/>
      <c r="BV30" s="57">
        <f t="shared" si="33"/>
        <v>0</v>
      </c>
      <c r="BW30" s="55"/>
      <c r="BX30" s="56"/>
      <c r="BY30" s="57">
        <f t="shared" si="21"/>
        <v>0</v>
      </c>
      <c r="BZ30" s="55"/>
      <c r="CA30" s="56"/>
      <c r="CB30" s="57">
        <f t="shared" si="22"/>
        <v>0</v>
      </c>
      <c r="CC30" s="55"/>
      <c r="CD30" s="56"/>
      <c r="CE30" s="57">
        <f t="shared" si="23"/>
        <v>0</v>
      </c>
      <c r="CF30" s="55"/>
      <c r="CG30" s="56"/>
      <c r="CH30" s="57">
        <f t="shared" si="24"/>
        <v>0</v>
      </c>
      <c r="CI30" s="55"/>
      <c r="CJ30" s="56"/>
      <c r="CK30" s="57">
        <f t="shared" si="25"/>
        <v>0</v>
      </c>
      <c r="CL30" s="55"/>
      <c r="CM30" s="56"/>
      <c r="CN30" s="57">
        <f t="shared" si="26"/>
        <v>0</v>
      </c>
      <c r="CO30" s="55"/>
      <c r="CP30" s="56"/>
      <c r="CQ30" s="57">
        <f t="shared" si="27"/>
        <v>0</v>
      </c>
      <c r="CR30" s="55"/>
      <c r="CS30" s="56"/>
      <c r="CT30" s="57">
        <f t="shared" si="28"/>
        <v>0</v>
      </c>
      <c r="CU30" s="58">
        <f t="shared" si="29"/>
        <v>1.57</v>
      </c>
      <c r="CV30" s="57">
        <f t="shared" si="30"/>
        <v>3300</v>
      </c>
      <c r="CW30" s="57">
        <f t="shared" si="31"/>
        <v>5181</v>
      </c>
    </row>
    <row r="31" spans="1:101" ht="15.75" customHeight="1" x14ac:dyDescent="0.35">
      <c r="A31" s="53" t="s">
        <v>209</v>
      </c>
      <c r="B31" s="53" t="s">
        <v>846</v>
      </c>
      <c r="C31" s="55"/>
      <c r="D31" s="56"/>
      <c r="E31" s="57">
        <f t="shared" si="0"/>
        <v>0</v>
      </c>
      <c r="F31" s="55"/>
      <c r="G31" s="56"/>
      <c r="H31" s="57">
        <f t="shared" si="1"/>
        <v>0</v>
      </c>
      <c r="I31" s="55"/>
      <c r="J31" s="56"/>
      <c r="K31" s="57">
        <f t="shared" si="2"/>
        <v>0</v>
      </c>
      <c r="L31" s="55"/>
      <c r="M31" s="56"/>
      <c r="N31" s="57">
        <f t="shared" si="3"/>
        <v>0</v>
      </c>
      <c r="O31" s="55">
        <v>3</v>
      </c>
      <c r="P31" s="56">
        <v>26000</v>
      </c>
      <c r="Q31" s="57">
        <v>78000</v>
      </c>
      <c r="R31" s="55"/>
      <c r="S31" s="56"/>
      <c r="T31" s="57">
        <f t="shared" si="5"/>
        <v>0</v>
      </c>
      <c r="U31" s="55"/>
      <c r="V31" s="56"/>
      <c r="W31" s="57">
        <f t="shared" si="36"/>
        <v>0</v>
      </c>
      <c r="X31" s="55"/>
      <c r="Y31" s="56"/>
      <c r="Z31" s="57">
        <f>IFERROR(X31*Y31, 0)</f>
        <v>0</v>
      </c>
      <c r="AA31" s="55"/>
      <c r="AB31" s="56"/>
      <c r="AC31" s="57">
        <f t="shared" si="8"/>
        <v>0</v>
      </c>
      <c r="AD31" s="55"/>
      <c r="AE31" s="56"/>
      <c r="AF31" s="57">
        <f t="shared" si="9"/>
        <v>0</v>
      </c>
      <c r="AG31" s="55"/>
      <c r="AH31" s="56"/>
      <c r="AI31" s="57">
        <f t="shared" si="10"/>
        <v>0</v>
      </c>
      <c r="AJ31" s="55"/>
      <c r="AK31" s="56"/>
      <c r="AL31" s="57">
        <f t="shared" si="39"/>
        <v>0</v>
      </c>
      <c r="AM31" s="55"/>
      <c r="AN31" s="56"/>
      <c r="AO31" s="57">
        <f t="shared" si="11"/>
        <v>0</v>
      </c>
      <c r="AP31" s="55"/>
      <c r="AQ31" s="56"/>
      <c r="AR31" s="57">
        <f t="shared" si="12"/>
        <v>0</v>
      </c>
      <c r="AS31" s="55">
        <v>3</v>
      </c>
      <c r="AT31" s="56">
        <v>26000</v>
      </c>
      <c r="AU31" s="57">
        <v>78000</v>
      </c>
      <c r="AV31" s="55"/>
      <c r="AW31" s="56"/>
      <c r="AX31" s="57">
        <f t="shared" si="14"/>
        <v>0</v>
      </c>
      <c r="AY31" s="55"/>
      <c r="AZ31" s="56"/>
      <c r="BA31" s="57">
        <f t="shared" si="35"/>
        <v>0</v>
      </c>
      <c r="BB31" s="55"/>
      <c r="BC31" s="56"/>
      <c r="BD31" s="57">
        <f t="shared" si="32"/>
        <v>0</v>
      </c>
      <c r="BE31" s="55">
        <v>3</v>
      </c>
      <c r="BF31" s="56">
        <v>26000</v>
      </c>
      <c r="BG31" s="57">
        <v>78000</v>
      </c>
      <c r="BH31" s="55"/>
      <c r="BI31" s="56"/>
      <c r="BJ31" s="57">
        <f t="shared" si="34"/>
        <v>0</v>
      </c>
      <c r="BK31" s="55"/>
      <c r="BL31" s="56"/>
      <c r="BM31" s="57">
        <f t="shared" si="18"/>
        <v>0</v>
      </c>
      <c r="BN31" s="55"/>
      <c r="BO31" s="56"/>
      <c r="BP31" s="57">
        <f t="shared" si="37"/>
        <v>0</v>
      </c>
      <c r="BQ31" s="55"/>
      <c r="BR31" s="56"/>
      <c r="BS31" s="57">
        <f t="shared" si="20"/>
        <v>0</v>
      </c>
      <c r="BT31" s="55"/>
      <c r="BU31" s="56"/>
      <c r="BV31" s="57">
        <f t="shared" si="33"/>
        <v>0</v>
      </c>
      <c r="BW31" s="55"/>
      <c r="BX31" s="56"/>
      <c r="BY31" s="57">
        <f t="shared" si="21"/>
        <v>0</v>
      </c>
      <c r="BZ31" s="55"/>
      <c r="CA31" s="56"/>
      <c r="CB31" s="57">
        <f t="shared" si="22"/>
        <v>0</v>
      </c>
      <c r="CC31" s="55"/>
      <c r="CD31" s="56"/>
      <c r="CE31" s="57">
        <f t="shared" si="23"/>
        <v>0</v>
      </c>
      <c r="CF31" s="55"/>
      <c r="CG31" s="56"/>
      <c r="CH31" s="57">
        <f t="shared" si="24"/>
        <v>0</v>
      </c>
      <c r="CI31" s="55"/>
      <c r="CJ31" s="56"/>
      <c r="CK31" s="57">
        <f t="shared" si="25"/>
        <v>0</v>
      </c>
      <c r="CL31" s="55"/>
      <c r="CM31" s="56"/>
      <c r="CN31" s="57">
        <f t="shared" si="26"/>
        <v>0</v>
      </c>
      <c r="CO31" s="55"/>
      <c r="CP31" s="56"/>
      <c r="CQ31" s="57">
        <f t="shared" si="27"/>
        <v>0</v>
      </c>
      <c r="CR31" s="55"/>
      <c r="CS31" s="56"/>
      <c r="CT31" s="57">
        <f t="shared" si="28"/>
        <v>0</v>
      </c>
      <c r="CU31" s="58">
        <f t="shared" si="29"/>
        <v>9</v>
      </c>
      <c r="CV31" s="57">
        <f t="shared" si="30"/>
        <v>26000</v>
      </c>
      <c r="CW31" s="57">
        <f t="shared" si="31"/>
        <v>234000</v>
      </c>
    </row>
    <row r="32" spans="1:101" ht="15.75" customHeight="1" x14ac:dyDescent="0.35">
      <c r="A32" s="53" t="s">
        <v>194</v>
      </c>
      <c r="B32" s="53" t="s">
        <v>846</v>
      </c>
      <c r="C32" s="55"/>
      <c r="D32" s="56"/>
      <c r="E32" s="57">
        <f t="shared" si="0"/>
        <v>0</v>
      </c>
      <c r="F32" s="55"/>
      <c r="G32" s="56"/>
      <c r="H32" s="57">
        <f t="shared" si="1"/>
        <v>0</v>
      </c>
      <c r="I32" s="55"/>
      <c r="J32" s="56"/>
      <c r="K32" s="57">
        <f t="shared" si="2"/>
        <v>0</v>
      </c>
      <c r="L32" s="55"/>
      <c r="M32" s="56"/>
      <c r="N32" s="57">
        <f t="shared" si="3"/>
        <v>0</v>
      </c>
      <c r="O32" s="55">
        <v>3</v>
      </c>
      <c r="P32" s="56">
        <v>12900</v>
      </c>
      <c r="Q32" s="57">
        <v>38700</v>
      </c>
      <c r="R32" s="55"/>
      <c r="S32" s="56"/>
      <c r="T32" s="57">
        <f t="shared" si="5"/>
        <v>0</v>
      </c>
      <c r="U32" s="55"/>
      <c r="V32" s="56"/>
      <c r="W32" s="57">
        <f t="shared" si="36"/>
        <v>0</v>
      </c>
      <c r="X32" s="55"/>
      <c r="Y32" s="56"/>
      <c r="Z32" s="57">
        <f>IFERROR(X32*Y32, 0)</f>
        <v>0</v>
      </c>
      <c r="AA32" s="55"/>
      <c r="AB32" s="56"/>
      <c r="AC32" s="57">
        <f t="shared" si="8"/>
        <v>0</v>
      </c>
      <c r="AD32" s="55"/>
      <c r="AE32" s="56"/>
      <c r="AF32" s="57">
        <f t="shared" si="9"/>
        <v>0</v>
      </c>
      <c r="AG32" s="55">
        <v>7</v>
      </c>
      <c r="AH32" s="56">
        <v>12900</v>
      </c>
      <c r="AI32" s="57">
        <v>90300</v>
      </c>
      <c r="AJ32" s="55"/>
      <c r="AK32" s="56"/>
      <c r="AL32" s="57">
        <f t="shared" si="39"/>
        <v>0</v>
      </c>
      <c r="AM32" s="55"/>
      <c r="AN32" s="56"/>
      <c r="AO32" s="57">
        <f t="shared" si="11"/>
        <v>0</v>
      </c>
      <c r="AP32" s="55"/>
      <c r="AQ32" s="56"/>
      <c r="AR32" s="57">
        <f t="shared" si="12"/>
        <v>0</v>
      </c>
      <c r="AS32" s="55"/>
      <c r="AT32" s="56"/>
      <c r="AU32" s="57">
        <f t="shared" ref="AU32:AU40" si="40">IFERROR(AS32*AT32, 0)</f>
        <v>0</v>
      </c>
      <c r="AV32" s="55"/>
      <c r="AW32" s="56"/>
      <c r="AX32" s="57">
        <f t="shared" si="14"/>
        <v>0</v>
      </c>
      <c r="AY32" s="55"/>
      <c r="AZ32" s="56"/>
      <c r="BA32" s="57">
        <f t="shared" si="35"/>
        <v>0</v>
      </c>
      <c r="BB32" s="55"/>
      <c r="BC32" s="56"/>
      <c r="BD32" s="57">
        <f t="shared" si="32"/>
        <v>0</v>
      </c>
      <c r="BE32" s="55">
        <v>3</v>
      </c>
      <c r="BF32" s="56">
        <v>12900</v>
      </c>
      <c r="BG32" s="57">
        <v>38700</v>
      </c>
      <c r="BH32" s="55"/>
      <c r="BI32" s="56"/>
      <c r="BJ32" s="57">
        <f t="shared" si="34"/>
        <v>0</v>
      </c>
      <c r="BK32" s="55">
        <v>2</v>
      </c>
      <c r="BL32" s="56">
        <v>12900</v>
      </c>
      <c r="BM32" s="57">
        <v>25800</v>
      </c>
      <c r="BN32" s="55"/>
      <c r="BO32" s="56"/>
      <c r="BP32" s="57">
        <f t="shared" si="37"/>
        <v>0</v>
      </c>
      <c r="BQ32" s="55"/>
      <c r="BR32" s="56"/>
      <c r="BS32" s="57">
        <f t="shared" si="20"/>
        <v>0</v>
      </c>
      <c r="BT32" s="55"/>
      <c r="BU32" s="56"/>
      <c r="BV32" s="57">
        <f t="shared" si="33"/>
        <v>0</v>
      </c>
      <c r="BW32" s="55"/>
      <c r="BX32" s="56"/>
      <c r="BY32" s="57">
        <f t="shared" si="21"/>
        <v>0</v>
      </c>
      <c r="BZ32" s="55"/>
      <c r="CA32" s="56"/>
      <c r="CB32" s="57">
        <f t="shared" si="22"/>
        <v>0</v>
      </c>
      <c r="CC32" s="55"/>
      <c r="CD32" s="56"/>
      <c r="CE32" s="57">
        <f t="shared" si="23"/>
        <v>0</v>
      </c>
      <c r="CF32" s="55"/>
      <c r="CG32" s="56"/>
      <c r="CH32" s="57">
        <f t="shared" si="24"/>
        <v>0</v>
      </c>
      <c r="CI32" s="55"/>
      <c r="CJ32" s="56"/>
      <c r="CK32" s="57">
        <f t="shared" si="25"/>
        <v>0</v>
      </c>
      <c r="CL32" s="55"/>
      <c r="CM32" s="56"/>
      <c r="CN32" s="57">
        <f t="shared" si="26"/>
        <v>0</v>
      </c>
      <c r="CO32" s="55"/>
      <c r="CP32" s="56"/>
      <c r="CQ32" s="57">
        <f t="shared" si="27"/>
        <v>0</v>
      </c>
      <c r="CR32" s="55"/>
      <c r="CS32" s="56"/>
      <c r="CT32" s="57">
        <f t="shared" si="28"/>
        <v>0</v>
      </c>
      <c r="CU32" s="58">
        <f t="shared" si="29"/>
        <v>15</v>
      </c>
      <c r="CV32" s="57">
        <f t="shared" si="30"/>
        <v>12900</v>
      </c>
      <c r="CW32" s="57">
        <f t="shared" si="31"/>
        <v>193500</v>
      </c>
    </row>
    <row r="33" spans="1:101" ht="15.75" customHeight="1" x14ac:dyDescent="0.35">
      <c r="A33" s="53" t="s">
        <v>1053</v>
      </c>
      <c r="B33" s="53" t="s">
        <v>846</v>
      </c>
      <c r="C33" s="55"/>
      <c r="D33" s="56"/>
      <c r="E33" s="57">
        <f t="shared" si="0"/>
        <v>0</v>
      </c>
      <c r="F33" s="55"/>
      <c r="G33" s="56"/>
      <c r="H33" s="57">
        <f t="shared" si="1"/>
        <v>0</v>
      </c>
      <c r="I33" s="55"/>
      <c r="J33" s="56"/>
      <c r="K33" s="57">
        <f t="shared" si="2"/>
        <v>0</v>
      </c>
      <c r="L33" s="55"/>
      <c r="M33" s="56"/>
      <c r="N33" s="57">
        <f t="shared" si="3"/>
        <v>0</v>
      </c>
      <c r="O33" s="55"/>
      <c r="P33" s="56"/>
      <c r="Q33" s="57">
        <f>IFERROR(O33*P33, 0)</f>
        <v>0</v>
      </c>
      <c r="R33" s="55"/>
      <c r="S33" s="56"/>
      <c r="T33" s="57">
        <f t="shared" si="5"/>
        <v>0</v>
      </c>
      <c r="U33" s="55"/>
      <c r="V33" s="56"/>
      <c r="W33" s="57">
        <f t="shared" si="36"/>
        <v>0</v>
      </c>
      <c r="X33" s="55"/>
      <c r="Y33" s="56"/>
      <c r="Z33" s="57">
        <f>IFERROR(X33*Y33, 0)</f>
        <v>0</v>
      </c>
      <c r="AA33" s="55"/>
      <c r="AB33" s="56"/>
      <c r="AC33" s="57">
        <f t="shared" si="8"/>
        <v>0</v>
      </c>
      <c r="AD33" s="55"/>
      <c r="AE33" s="56"/>
      <c r="AF33" s="57">
        <f t="shared" si="9"/>
        <v>0</v>
      </c>
      <c r="AG33" s="55"/>
      <c r="AH33" s="56"/>
      <c r="AI33" s="57">
        <f>IFERROR(AG33*AH33, 0)</f>
        <v>0</v>
      </c>
      <c r="AJ33" s="55"/>
      <c r="AK33" s="56"/>
      <c r="AL33" s="57">
        <f t="shared" si="39"/>
        <v>0</v>
      </c>
      <c r="AM33" s="55"/>
      <c r="AN33" s="56"/>
      <c r="AO33" s="57">
        <f t="shared" si="11"/>
        <v>0</v>
      </c>
      <c r="AP33" s="55"/>
      <c r="AQ33" s="56"/>
      <c r="AR33" s="57">
        <f t="shared" si="12"/>
        <v>0</v>
      </c>
      <c r="AS33" s="55"/>
      <c r="AT33" s="56"/>
      <c r="AU33" s="57">
        <f t="shared" si="40"/>
        <v>0</v>
      </c>
      <c r="AV33" s="55"/>
      <c r="AW33" s="56"/>
      <c r="AX33" s="57">
        <f t="shared" si="14"/>
        <v>0</v>
      </c>
      <c r="AY33" s="55"/>
      <c r="AZ33" s="56"/>
      <c r="BA33" s="57">
        <f t="shared" si="35"/>
        <v>0</v>
      </c>
      <c r="BB33" s="55"/>
      <c r="BC33" s="56"/>
      <c r="BD33" s="57">
        <f t="shared" si="32"/>
        <v>0</v>
      </c>
      <c r="BE33" s="55"/>
      <c r="BF33" s="56"/>
      <c r="BG33" s="57">
        <f>IFERROR(BE33*BF33, 0)</f>
        <v>0</v>
      </c>
      <c r="BH33" s="55"/>
      <c r="BI33" s="56"/>
      <c r="BJ33" s="57">
        <f t="shared" si="34"/>
        <v>0</v>
      </c>
      <c r="BK33" s="55"/>
      <c r="BL33" s="56"/>
      <c r="BM33" s="57">
        <f>IFERROR(BK33*BL33, 0)</f>
        <v>0</v>
      </c>
      <c r="BN33" s="55"/>
      <c r="BO33" s="56"/>
      <c r="BP33" s="57">
        <f t="shared" si="37"/>
        <v>0</v>
      </c>
      <c r="BQ33" s="55"/>
      <c r="BR33" s="56"/>
      <c r="BS33" s="57">
        <f t="shared" si="20"/>
        <v>0</v>
      </c>
      <c r="BT33" s="55"/>
      <c r="BU33" s="56"/>
      <c r="BV33" s="57">
        <f t="shared" si="33"/>
        <v>0</v>
      </c>
      <c r="BW33" s="55"/>
      <c r="BX33" s="56"/>
      <c r="BY33" s="57">
        <f t="shared" si="21"/>
        <v>0</v>
      </c>
      <c r="BZ33" s="55"/>
      <c r="CA33" s="56"/>
      <c r="CB33" s="57">
        <f t="shared" si="22"/>
        <v>0</v>
      </c>
      <c r="CC33" s="55"/>
      <c r="CD33" s="56"/>
      <c r="CE33" s="57">
        <f t="shared" si="23"/>
        <v>0</v>
      </c>
      <c r="CF33" s="55"/>
      <c r="CG33" s="56"/>
      <c r="CH33" s="57">
        <f t="shared" si="24"/>
        <v>0</v>
      </c>
      <c r="CI33" s="55"/>
      <c r="CJ33" s="56"/>
      <c r="CK33" s="57">
        <f t="shared" si="25"/>
        <v>0</v>
      </c>
      <c r="CL33" s="55"/>
      <c r="CM33" s="56"/>
      <c r="CN33" s="57">
        <f t="shared" si="26"/>
        <v>0</v>
      </c>
      <c r="CO33" s="55"/>
      <c r="CP33" s="56"/>
      <c r="CQ33" s="57">
        <f t="shared" si="27"/>
        <v>0</v>
      </c>
      <c r="CR33" s="55"/>
      <c r="CS33" s="56"/>
      <c r="CT33" s="57">
        <f t="shared" si="28"/>
        <v>0</v>
      </c>
      <c r="CU33" s="58">
        <f t="shared" si="29"/>
        <v>0</v>
      </c>
      <c r="CV33" s="57">
        <f t="shared" si="30"/>
        <v>0</v>
      </c>
      <c r="CW33" s="57">
        <f t="shared" si="31"/>
        <v>0</v>
      </c>
    </row>
    <row r="34" spans="1:101" ht="15.75" customHeight="1" x14ac:dyDescent="0.35">
      <c r="A34" s="53" t="s">
        <v>347</v>
      </c>
      <c r="B34" s="53" t="s">
        <v>846</v>
      </c>
      <c r="C34" s="55"/>
      <c r="D34" s="56"/>
      <c r="E34" s="57">
        <f t="shared" si="0"/>
        <v>0</v>
      </c>
      <c r="F34" s="55"/>
      <c r="G34" s="56"/>
      <c r="H34" s="57">
        <f t="shared" si="1"/>
        <v>0</v>
      </c>
      <c r="I34" s="55"/>
      <c r="J34" s="56"/>
      <c r="K34" s="57">
        <f t="shared" si="2"/>
        <v>0</v>
      </c>
      <c r="L34" s="55"/>
      <c r="M34" s="56"/>
      <c r="N34" s="57">
        <f t="shared" si="3"/>
        <v>0</v>
      </c>
      <c r="O34" s="55"/>
      <c r="P34" s="56"/>
      <c r="Q34" s="57">
        <f>IFERROR(O34*P34, 0)</f>
        <v>0</v>
      </c>
      <c r="R34" s="55"/>
      <c r="S34" s="56"/>
      <c r="T34" s="57">
        <f t="shared" si="5"/>
        <v>0</v>
      </c>
      <c r="U34" s="55"/>
      <c r="V34" s="56"/>
      <c r="W34" s="57">
        <f t="shared" si="36"/>
        <v>0</v>
      </c>
      <c r="X34" s="55">
        <v>1.1499999999999999</v>
      </c>
      <c r="Y34" s="56">
        <v>7500</v>
      </c>
      <c r="Z34" s="57">
        <v>8625</v>
      </c>
      <c r="AA34" s="55"/>
      <c r="AB34" s="56"/>
      <c r="AC34" s="57">
        <f t="shared" si="8"/>
        <v>0</v>
      </c>
      <c r="AD34" s="55">
        <v>1</v>
      </c>
      <c r="AE34" s="56">
        <v>33000</v>
      </c>
      <c r="AF34" s="57">
        <v>33000</v>
      </c>
      <c r="AG34" s="55">
        <v>5</v>
      </c>
      <c r="AH34" s="56">
        <v>17950</v>
      </c>
      <c r="AI34" s="57">
        <v>89750</v>
      </c>
      <c r="AJ34" s="55"/>
      <c r="AK34" s="56"/>
      <c r="AL34" s="57">
        <f t="shared" si="39"/>
        <v>0</v>
      </c>
      <c r="AM34" s="55"/>
      <c r="AN34" s="56"/>
      <c r="AO34" s="57">
        <f t="shared" si="11"/>
        <v>0</v>
      </c>
      <c r="AP34" s="55"/>
      <c r="AQ34" s="56"/>
      <c r="AR34" s="57">
        <f t="shared" si="12"/>
        <v>0</v>
      </c>
      <c r="AS34" s="55"/>
      <c r="AT34" s="56"/>
      <c r="AU34" s="57">
        <f t="shared" si="40"/>
        <v>0</v>
      </c>
      <c r="AV34" s="55"/>
      <c r="AW34" s="56"/>
      <c r="AX34" s="57">
        <f t="shared" si="14"/>
        <v>0</v>
      </c>
      <c r="AY34" s="55"/>
      <c r="AZ34" s="56"/>
      <c r="BA34" s="57">
        <f t="shared" si="35"/>
        <v>0</v>
      </c>
      <c r="BB34" s="55"/>
      <c r="BC34" s="56"/>
      <c r="BD34" s="57">
        <f t="shared" si="32"/>
        <v>0</v>
      </c>
      <c r="BE34" s="55">
        <v>3</v>
      </c>
      <c r="BF34" s="56">
        <v>17950</v>
      </c>
      <c r="BG34" s="57">
        <v>53850</v>
      </c>
      <c r="BH34" s="55"/>
      <c r="BI34" s="56"/>
      <c r="BJ34" s="57">
        <f t="shared" si="34"/>
        <v>0</v>
      </c>
      <c r="BK34" s="55">
        <v>2</v>
      </c>
      <c r="BL34" s="56">
        <v>16950</v>
      </c>
      <c r="BM34" s="57">
        <v>33900</v>
      </c>
      <c r="BN34" s="55"/>
      <c r="BO34" s="56"/>
      <c r="BP34" s="57">
        <f t="shared" si="37"/>
        <v>0</v>
      </c>
      <c r="BQ34" s="55"/>
      <c r="BR34" s="56"/>
      <c r="BS34" s="57">
        <f t="shared" si="20"/>
        <v>0</v>
      </c>
      <c r="BT34" s="55"/>
      <c r="BU34" s="56"/>
      <c r="BV34" s="57">
        <f t="shared" si="33"/>
        <v>0</v>
      </c>
      <c r="BW34" s="55"/>
      <c r="BX34" s="56"/>
      <c r="BY34" s="57">
        <f t="shared" si="21"/>
        <v>0</v>
      </c>
      <c r="BZ34" s="55"/>
      <c r="CA34" s="56"/>
      <c r="CB34" s="57">
        <f t="shared" si="22"/>
        <v>0</v>
      </c>
      <c r="CC34" s="55"/>
      <c r="CD34" s="56"/>
      <c r="CE34" s="57">
        <f t="shared" si="23"/>
        <v>0</v>
      </c>
      <c r="CF34" s="55"/>
      <c r="CG34" s="56"/>
      <c r="CH34" s="57">
        <f t="shared" si="24"/>
        <v>0</v>
      </c>
      <c r="CI34" s="55"/>
      <c r="CJ34" s="56"/>
      <c r="CK34" s="57">
        <f t="shared" si="25"/>
        <v>0</v>
      </c>
      <c r="CL34" s="55"/>
      <c r="CM34" s="56"/>
      <c r="CN34" s="57">
        <f t="shared" si="26"/>
        <v>0</v>
      </c>
      <c r="CO34" s="55"/>
      <c r="CP34" s="56"/>
      <c r="CQ34" s="57">
        <f t="shared" si="27"/>
        <v>0</v>
      </c>
      <c r="CR34" s="55"/>
      <c r="CS34" s="56"/>
      <c r="CT34" s="57">
        <f t="shared" si="28"/>
        <v>0</v>
      </c>
      <c r="CU34" s="58">
        <f t="shared" si="29"/>
        <v>12.15</v>
      </c>
      <c r="CV34" s="57">
        <f t="shared" si="30"/>
        <v>18670</v>
      </c>
      <c r="CW34" s="57">
        <f t="shared" si="31"/>
        <v>226840.5</v>
      </c>
    </row>
    <row r="35" spans="1:101" ht="15.75" customHeight="1" x14ac:dyDescent="0.35">
      <c r="A35" s="53" t="s">
        <v>196</v>
      </c>
      <c r="B35" s="53" t="s">
        <v>846</v>
      </c>
      <c r="C35" s="55"/>
      <c r="D35" s="56"/>
      <c r="E35" s="57">
        <f t="shared" ref="E35:E58" si="41">IFERROR(C35*D35, 0)</f>
        <v>0</v>
      </c>
      <c r="F35" s="55"/>
      <c r="G35" s="56"/>
      <c r="H35" s="57">
        <f t="shared" si="1"/>
        <v>0</v>
      </c>
      <c r="I35" s="55"/>
      <c r="J35" s="56"/>
      <c r="K35" s="57">
        <f t="shared" si="2"/>
        <v>0</v>
      </c>
      <c r="L35" s="55"/>
      <c r="M35" s="56"/>
      <c r="N35" s="57">
        <f t="shared" si="3"/>
        <v>0</v>
      </c>
      <c r="O35" s="55">
        <v>2</v>
      </c>
      <c r="P35" s="56">
        <v>12600</v>
      </c>
      <c r="Q35" s="57">
        <v>25200</v>
      </c>
      <c r="R35" s="55"/>
      <c r="S35" s="56"/>
      <c r="T35" s="57">
        <f t="shared" si="5"/>
        <v>0</v>
      </c>
      <c r="U35" s="55"/>
      <c r="V35" s="56"/>
      <c r="W35" s="57">
        <f t="shared" si="36"/>
        <v>0</v>
      </c>
      <c r="X35" s="55"/>
      <c r="Y35" s="56"/>
      <c r="Z35" s="57">
        <f t="shared" ref="Z35:Z40" si="42">IFERROR(X35*Y35, 0)</f>
        <v>0</v>
      </c>
      <c r="AA35" s="55"/>
      <c r="AB35" s="56"/>
      <c r="AC35" s="57">
        <f t="shared" si="8"/>
        <v>0</v>
      </c>
      <c r="AD35" s="55"/>
      <c r="AE35" s="56"/>
      <c r="AF35" s="57">
        <f>IFERROR(AD35*AE35, 0)</f>
        <v>0</v>
      </c>
      <c r="AG35" s="55">
        <v>3</v>
      </c>
      <c r="AH35" s="56">
        <v>12600</v>
      </c>
      <c r="AI35" s="57">
        <v>37800</v>
      </c>
      <c r="AJ35" s="55"/>
      <c r="AK35" s="56"/>
      <c r="AL35" s="57">
        <f t="shared" si="39"/>
        <v>0</v>
      </c>
      <c r="AM35" s="55"/>
      <c r="AN35" s="56"/>
      <c r="AO35" s="57">
        <f t="shared" si="11"/>
        <v>0</v>
      </c>
      <c r="AP35" s="55"/>
      <c r="AQ35" s="56"/>
      <c r="AR35" s="57">
        <f t="shared" si="12"/>
        <v>0</v>
      </c>
      <c r="AS35" s="55"/>
      <c r="AT35" s="56"/>
      <c r="AU35" s="57">
        <f t="shared" si="40"/>
        <v>0</v>
      </c>
      <c r="AV35" s="55"/>
      <c r="AW35" s="56"/>
      <c r="AX35" s="57">
        <f t="shared" si="14"/>
        <v>0</v>
      </c>
      <c r="AY35" s="55"/>
      <c r="AZ35" s="56"/>
      <c r="BA35" s="57">
        <f t="shared" si="35"/>
        <v>0</v>
      </c>
      <c r="BB35" s="55"/>
      <c r="BC35" s="56"/>
      <c r="BD35" s="57">
        <f t="shared" si="32"/>
        <v>0</v>
      </c>
      <c r="BE35" s="55">
        <v>4</v>
      </c>
      <c r="BF35" s="56">
        <v>12600</v>
      </c>
      <c r="BG35" s="57">
        <v>50400</v>
      </c>
      <c r="BH35" s="55"/>
      <c r="BI35" s="56"/>
      <c r="BJ35" s="57">
        <f t="shared" si="34"/>
        <v>0</v>
      </c>
      <c r="BK35" s="55">
        <v>2</v>
      </c>
      <c r="BL35" s="56">
        <v>12600</v>
      </c>
      <c r="BM35" s="57">
        <v>25200</v>
      </c>
      <c r="BN35" s="55"/>
      <c r="BO35" s="56"/>
      <c r="BP35" s="57">
        <f t="shared" si="37"/>
        <v>0</v>
      </c>
      <c r="BQ35" s="55"/>
      <c r="BR35" s="56"/>
      <c r="BS35" s="57">
        <f t="shared" si="20"/>
        <v>0</v>
      </c>
      <c r="BT35" s="55"/>
      <c r="BU35" s="56"/>
      <c r="BV35" s="57">
        <f t="shared" si="33"/>
        <v>0</v>
      </c>
      <c r="BW35" s="55"/>
      <c r="BX35" s="56"/>
      <c r="BY35" s="57">
        <f t="shared" ref="BY35:BY60" si="43">IFERROR(BW35*BX35, 0)</f>
        <v>0</v>
      </c>
      <c r="BZ35" s="55"/>
      <c r="CA35" s="56"/>
      <c r="CB35" s="57">
        <f t="shared" ref="CB35:CB60" si="44">IFERROR(BZ35*CA35, 0)</f>
        <v>0</v>
      </c>
      <c r="CC35" s="55"/>
      <c r="CD35" s="56"/>
      <c r="CE35" s="57">
        <f t="shared" ref="CE35:CE60" si="45">IFERROR(CC35*CD35, 0)</f>
        <v>0</v>
      </c>
      <c r="CF35" s="55"/>
      <c r="CG35" s="56"/>
      <c r="CH35" s="57">
        <f t="shared" ref="CH35:CH60" si="46">IFERROR(CF35*CG35, 0)</f>
        <v>0</v>
      </c>
      <c r="CI35" s="55"/>
      <c r="CJ35" s="56"/>
      <c r="CK35" s="57">
        <f t="shared" ref="CK35:CK60" si="47">IFERROR(CI35*CJ35, 0)</f>
        <v>0</v>
      </c>
      <c r="CL35" s="55"/>
      <c r="CM35" s="56"/>
      <c r="CN35" s="57">
        <f t="shared" ref="CN35:CN60" si="48">IFERROR(CL35*CM35, 0)</f>
        <v>0</v>
      </c>
      <c r="CO35" s="55"/>
      <c r="CP35" s="56"/>
      <c r="CQ35" s="57">
        <f t="shared" ref="CQ35:CQ60" si="49">IFERROR(CO35*CP35, 0)</f>
        <v>0</v>
      </c>
      <c r="CR35" s="55"/>
      <c r="CS35" s="56"/>
      <c r="CT35" s="57">
        <f t="shared" ref="CT35:CT60" si="50">IFERROR(CR35*CS35, 0)</f>
        <v>0</v>
      </c>
      <c r="CU35" s="58">
        <f t="shared" ref="CU35:CU60" si="51">IFERROR(SUM(F35,I35,L35,O35,R35,U35,X35,AA35,AD35,AG35,AJ35,AM35,AP35,AS35,AV35,AY35,BB35,BE35,BH35,BK35,BN35,BQ35,BT35,BW35,BZ35,CC35,CF35,CI35,CL35,CO35,CR35), 0)</f>
        <v>11</v>
      </c>
      <c r="CV35" s="57">
        <f t="shared" ref="CV35:CV60" si="52">IFERROR(AVERAGE(G35,J35,M35,P35,S35,V35,Y35,AB35,AE35,AH35,AK35,AN35,AQ35,AT35,AW35,AZ35,BC35,BF35,BI35,BL35,BO35,BR35,BU35,BX35,CA35,CD35,CG35,CJ35,CM35,CP35,CS35), 0)</f>
        <v>12600</v>
      </c>
      <c r="CW35" s="57">
        <f t="shared" ref="CW35:CW60" si="53">CU35*CV35</f>
        <v>138600</v>
      </c>
    </row>
    <row r="36" spans="1:101" ht="15.75" customHeight="1" x14ac:dyDescent="0.35">
      <c r="A36" s="53" t="s">
        <v>198</v>
      </c>
      <c r="B36" s="53" t="s">
        <v>846</v>
      </c>
      <c r="C36" s="55"/>
      <c r="D36" s="56"/>
      <c r="E36" s="57">
        <f t="shared" si="41"/>
        <v>0</v>
      </c>
      <c r="F36" s="55"/>
      <c r="G36" s="56"/>
      <c r="H36" s="57">
        <f t="shared" si="1"/>
        <v>0</v>
      </c>
      <c r="I36" s="55"/>
      <c r="J36" s="56"/>
      <c r="K36" s="57">
        <f t="shared" si="2"/>
        <v>0</v>
      </c>
      <c r="L36" s="55"/>
      <c r="M36" s="56"/>
      <c r="N36" s="57">
        <f t="shared" si="3"/>
        <v>0</v>
      </c>
      <c r="O36" s="55">
        <v>1</v>
      </c>
      <c r="P36" s="56">
        <v>15500</v>
      </c>
      <c r="Q36" s="57">
        <v>15500</v>
      </c>
      <c r="R36" s="55"/>
      <c r="S36" s="56"/>
      <c r="T36" s="57">
        <f t="shared" si="5"/>
        <v>0</v>
      </c>
      <c r="U36" s="55"/>
      <c r="V36" s="56"/>
      <c r="W36" s="57">
        <f t="shared" si="36"/>
        <v>0</v>
      </c>
      <c r="X36" s="55"/>
      <c r="Y36" s="56"/>
      <c r="Z36" s="57">
        <f t="shared" si="42"/>
        <v>0</v>
      </c>
      <c r="AA36" s="55"/>
      <c r="AB36" s="56"/>
      <c r="AC36" s="57">
        <f t="shared" si="8"/>
        <v>0</v>
      </c>
      <c r="AD36" s="55"/>
      <c r="AE36" s="56"/>
      <c r="AF36" s="57">
        <f>IFERROR(AD36*AE36, 0)</f>
        <v>0</v>
      </c>
      <c r="AG36" s="55">
        <v>3</v>
      </c>
      <c r="AH36" s="56">
        <v>15500</v>
      </c>
      <c r="AI36" s="57">
        <v>46500</v>
      </c>
      <c r="AJ36" s="55"/>
      <c r="AK36" s="56"/>
      <c r="AL36" s="57">
        <f t="shared" si="39"/>
        <v>0</v>
      </c>
      <c r="AM36" s="55"/>
      <c r="AN36" s="56"/>
      <c r="AO36" s="57">
        <f t="shared" si="11"/>
        <v>0</v>
      </c>
      <c r="AP36" s="55"/>
      <c r="AQ36" s="56"/>
      <c r="AR36" s="57">
        <f t="shared" si="12"/>
        <v>0</v>
      </c>
      <c r="AS36" s="55"/>
      <c r="AT36" s="56"/>
      <c r="AU36" s="57">
        <f t="shared" si="40"/>
        <v>0</v>
      </c>
      <c r="AV36" s="55"/>
      <c r="AW36" s="56"/>
      <c r="AX36" s="57">
        <f t="shared" si="14"/>
        <v>0</v>
      </c>
      <c r="AY36" s="55"/>
      <c r="AZ36" s="56"/>
      <c r="BA36" s="57">
        <f t="shared" si="35"/>
        <v>0</v>
      </c>
      <c r="BB36" s="55"/>
      <c r="BC36" s="56"/>
      <c r="BD36" s="57">
        <f t="shared" si="32"/>
        <v>0</v>
      </c>
      <c r="BE36" s="55">
        <v>1</v>
      </c>
      <c r="BF36" s="56">
        <v>15500</v>
      </c>
      <c r="BG36" s="57">
        <v>15500</v>
      </c>
      <c r="BH36" s="55"/>
      <c r="BI36" s="56"/>
      <c r="BJ36" s="57">
        <f t="shared" si="34"/>
        <v>0</v>
      </c>
      <c r="BK36" s="55">
        <v>1</v>
      </c>
      <c r="BL36" s="56">
        <v>15500</v>
      </c>
      <c r="BM36" s="57">
        <v>15500</v>
      </c>
      <c r="BN36" s="55"/>
      <c r="BO36" s="56"/>
      <c r="BP36" s="57">
        <f t="shared" si="37"/>
        <v>0</v>
      </c>
      <c r="BQ36" s="55"/>
      <c r="BR36" s="56"/>
      <c r="BS36" s="57">
        <f t="shared" si="20"/>
        <v>0</v>
      </c>
      <c r="BT36" s="55"/>
      <c r="BU36" s="56"/>
      <c r="BV36" s="57">
        <f t="shared" si="33"/>
        <v>0</v>
      </c>
      <c r="BW36" s="55"/>
      <c r="BX36" s="56"/>
      <c r="BY36" s="57">
        <f t="shared" si="43"/>
        <v>0</v>
      </c>
      <c r="BZ36" s="55"/>
      <c r="CA36" s="56"/>
      <c r="CB36" s="57">
        <f t="shared" si="44"/>
        <v>0</v>
      </c>
      <c r="CC36" s="55"/>
      <c r="CD36" s="56"/>
      <c r="CE36" s="57">
        <f t="shared" si="45"/>
        <v>0</v>
      </c>
      <c r="CF36" s="55"/>
      <c r="CG36" s="56"/>
      <c r="CH36" s="57">
        <f t="shared" si="46"/>
        <v>0</v>
      </c>
      <c r="CI36" s="55"/>
      <c r="CJ36" s="56"/>
      <c r="CK36" s="57">
        <f t="shared" si="47"/>
        <v>0</v>
      </c>
      <c r="CL36" s="55"/>
      <c r="CM36" s="56"/>
      <c r="CN36" s="57">
        <f t="shared" si="48"/>
        <v>0</v>
      </c>
      <c r="CO36" s="55"/>
      <c r="CP36" s="56"/>
      <c r="CQ36" s="57">
        <f t="shared" si="49"/>
        <v>0</v>
      </c>
      <c r="CR36" s="55"/>
      <c r="CS36" s="56"/>
      <c r="CT36" s="57">
        <f t="shared" si="50"/>
        <v>0</v>
      </c>
      <c r="CU36" s="58">
        <f t="shared" si="51"/>
        <v>6</v>
      </c>
      <c r="CV36" s="57">
        <f t="shared" si="52"/>
        <v>15500</v>
      </c>
      <c r="CW36" s="57">
        <f t="shared" si="53"/>
        <v>93000</v>
      </c>
    </row>
    <row r="37" spans="1:101" ht="15.75" customHeight="1" x14ac:dyDescent="0.35">
      <c r="A37" s="53" t="s">
        <v>396</v>
      </c>
      <c r="B37" s="53" t="s">
        <v>846</v>
      </c>
      <c r="C37" s="55"/>
      <c r="D37" s="56"/>
      <c r="E37" s="57">
        <f t="shared" si="41"/>
        <v>0</v>
      </c>
      <c r="F37" s="55"/>
      <c r="G37" s="56"/>
      <c r="H37" s="57">
        <f t="shared" si="1"/>
        <v>0</v>
      </c>
      <c r="I37" s="55"/>
      <c r="J37" s="56"/>
      <c r="K37" s="57">
        <f t="shared" si="2"/>
        <v>0</v>
      </c>
      <c r="L37" s="55"/>
      <c r="M37" s="56"/>
      <c r="N37" s="57">
        <f t="shared" si="3"/>
        <v>0</v>
      </c>
      <c r="O37" s="55"/>
      <c r="P37" s="56"/>
      <c r="Q37" s="57">
        <f>IFERROR(O37*P37, 0)</f>
        <v>0</v>
      </c>
      <c r="R37" s="55"/>
      <c r="S37" s="56"/>
      <c r="T37" s="57">
        <f t="shared" si="5"/>
        <v>0</v>
      </c>
      <c r="U37" s="55"/>
      <c r="V37" s="56"/>
      <c r="W37" s="57">
        <f t="shared" si="36"/>
        <v>0</v>
      </c>
      <c r="X37" s="55"/>
      <c r="Y37" s="56"/>
      <c r="Z37" s="57">
        <f t="shared" si="42"/>
        <v>0</v>
      </c>
      <c r="AA37" s="55"/>
      <c r="AB37" s="56"/>
      <c r="AC37" s="57">
        <f t="shared" si="8"/>
        <v>0</v>
      </c>
      <c r="AD37" s="55"/>
      <c r="AE37" s="56"/>
      <c r="AF37" s="57">
        <f>IFERROR(AD37*AE37, 0)</f>
        <v>0</v>
      </c>
      <c r="AG37" s="55">
        <v>2</v>
      </c>
      <c r="AH37" s="56">
        <v>12700</v>
      </c>
      <c r="AI37" s="57">
        <v>25400</v>
      </c>
      <c r="AJ37" s="55"/>
      <c r="AK37" s="56"/>
      <c r="AL37" s="57">
        <f t="shared" si="39"/>
        <v>0</v>
      </c>
      <c r="AM37" s="55"/>
      <c r="AN37" s="56"/>
      <c r="AO37" s="57">
        <f t="shared" si="11"/>
        <v>0</v>
      </c>
      <c r="AP37" s="55"/>
      <c r="AQ37" s="56"/>
      <c r="AR37" s="57">
        <f t="shared" si="12"/>
        <v>0</v>
      </c>
      <c r="AS37" s="55"/>
      <c r="AT37" s="56"/>
      <c r="AU37" s="57">
        <f t="shared" si="40"/>
        <v>0</v>
      </c>
      <c r="AV37" s="55"/>
      <c r="AW37" s="56"/>
      <c r="AX37" s="57">
        <f t="shared" si="14"/>
        <v>0</v>
      </c>
      <c r="AY37" s="55"/>
      <c r="AZ37" s="56"/>
      <c r="BA37" s="57">
        <f t="shared" si="35"/>
        <v>0</v>
      </c>
      <c r="BB37" s="55"/>
      <c r="BC37" s="56"/>
      <c r="BD37" s="57">
        <f t="shared" si="32"/>
        <v>0</v>
      </c>
      <c r="BE37" s="55">
        <v>1</v>
      </c>
      <c r="BF37" s="56">
        <v>12700</v>
      </c>
      <c r="BG37" s="57">
        <v>12700</v>
      </c>
      <c r="BH37" s="55"/>
      <c r="BI37" s="56"/>
      <c r="BJ37" s="57">
        <f t="shared" si="34"/>
        <v>0</v>
      </c>
      <c r="BK37" s="55"/>
      <c r="BL37" s="56"/>
      <c r="BM37" s="57">
        <f>IFERROR(BK37*BL37, 0)</f>
        <v>0</v>
      </c>
      <c r="BN37" s="55"/>
      <c r="BO37" s="56"/>
      <c r="BP37" s="57">
        <f t="shared" si="37"/>
        <v>0</v>
      </c>
      <c r="BQ37" s="55"/>
      <c r="BR37" s="56"/>
      <c r="BS37" s="57">
        <f t="shared" si="20"/>
        <v>0</v>
      </c>
      <c r="BT37" s="55"/>
      <c r="BU37" s="56"/>
      <c r="BV37" s="57">
        <f t="shared" si="33"/>
        <v>0</v>
      </c>
      <c r="BW37" s="55"/>
      <c r="BX37" s="56"/>
      <c r="BY37" s="57">
        <f t="shared" si="43"/>
        <v>0</v>
      </c>
      <c r="BZ37" s="55"/>
      <c r="CA37" s="56"/>
      <c r="CB37" s="57">
        <f t="shared" si="44"/>
        <v>0</v>
      </c>
      <c r="CC37" s="55"/>
      <c r="CD37" s="56"/>
      <c r="CE37" s="57">
        <f t="shared" si="45"/>
        <v>0</v>
      </c>
      <c r="CF37" s="55"/>
      <c r="CG37" s="56"/>
      <c r="CH37" s="57">
        <f t="shared" si="46"/>
        <v>0</v>
      </c>
      <c r="CI37" s="55"/>
      <c r="CJ37" s="56"/>
      <c r="CK37" s="57">
        <f t="shared" si="47"/>
        <v>0</v>
      </c>
      <c r="CL37" s="55"/>
      <c r="CM37" s="56"/>
      <c r="CN37" s="57">
        <f t="shared" si="48"/>
        <v>0</v>
      </c>
      <c r="CO37" s="55"/>
      <c r="CP37" s="56"/>
      <c r="CQ37" s="57">
        <f t="shared" si="49"/>
        <v>0</v>
      </c>
      <c r="CR37" s="55"/>
      <c r="CS37" s="56"/>
      <c r="CT37" s="57">
        <f t="shared" si="50"/>
        <v>0</v>
      </c>
      <c r="CU37" s="58">
        <f t="shared" si="51"/>
        <v>3</v>
      </c>
      <c r="CV37" s="57">
        <f t="shared" si="52"/>
        <v>12700</v>
      </c>
      <c r="CW37" s="57">
        <f t="shared" si="53"/>
        <v>38100</v>
      </c>
    </row>
    <row r="38" spans="1:101" ht="15.75" customHeight="1" x14ac:dyDescent="0.35">
      <c r="A38" s="53" t="s">
        <v>200</v>
      </c>
      <c r="B38" s="53" t="s">
        <v>846</v>
      </c>
      <c r="C38" s="55"/>
      <c r="D38" s="56"/>
      <c r="E38" s="57">
        <f t="shared" si="41"/>
        <v>0</v>
      </c>
      <c r="F38" s="55"/>
      <c r="G38" s="56"/>
      <c r="H38" s="57">
        <f t="shared" si="1"/>
        <v>0</v>
      </c>
      <c r="I38" s="55"/>
      <c r="J38" s="56"/>
      <c r="K38" s="57">
        <f t="shared" si="2"/>
        <v>0</v>
      </c>
      <c r="L38" s="55"/>
      <c r="M38" s="56"/>
      <c r="N38" s="57">
        <f t="shared" si="3"/>
        <v>0</v>
      </c>
      <c r="O38" s="55">
        <v>2</v>
      </c>
      <c r="P38" s="56">
        <v>16800</v>
      </c>
      <c r="Q38" s="57">
        <v>33600</v>
      </c>
      <c r="R38" s="55"/>
      <c r="S38" s="56"/>
      <c r="T38" s="57">
        <f t="shared" si="5"/>
        <v>0</v>
      </c>
      <c r="U38" s="55"/>
      <c r="V38" s="56"/>
      <c r="W38" s="57">
        <f t="shared" si="36"/>
        <v>0</v>
      </c>
      <c r="X38" s="55"/>
      <c r="Y38" s="56"/>
      <c r="Z38" s="57">
        <f t="shared" si="42"/>
        <v>0</v>
      </c>
      <c r="AA38" s="55"/>
      <c r="AB38" s="56"/>
      <c r="AC38" s="57">
        <f t="shared" si="8"/>
        <v>0</v>
      </c>
      <c r="AD38" s="55"/>
      <c r="AE38" s="56"/>
      <c r="AF38" s="57">
        <f>IFERROR(AD38*AE38, 0)</f>
        <v>0</v>
      </c>
      <c r="AG38" s="55">
        <v>2</v>
      </c>
      <c r="AH38" s="56">
        <v>16800</v>
      </c>
      <c r="AI38" s="57">
        <v>33600</v>
      </c>
      <c r="AJ38" s="55"/>
      <c r="AK38" s="56"/>
      <c r="AL38" s="57">
        <f t="shared" si="39"/>
        <v>0</v>
      </c>
      <c r="AM38" s="55"/>
      <c r="AN38" s="56"/>
      <c r="AO38" s="57">
        <f t="shared" si="11"/>
        <v>0</v>
      </c>
      <c r="AP38" s="55"/>
      <c r="AQ38" s="56"/>
      <c r="AR38" s="57">
        <f t="shared" si="12"/>
        <v>0</v>
      </c>
      <c r="AS38" s="55"/>
      <c r="AT38" s="56"/>
      <c r="AU38" s="57">
        <f t="shared" si="40"/>
        <v>0</v>
      </c>
      <c r="AV38" s="55"/>
      <c r="AW38" s="56"/>
      <c r="AX38" s="57">
        <f t="shared" si="14"/>
        <v>0</v>
      </c>
      <c r="AY38" s="55"/>
      <c r="AZ38" s="56"/>
      <c r="BA38" s="57">
        <f t="shared" si="35"/>
        <v>0</v>
      </c>
      <c r="BB38" s="55"/>
      <c r="BC38" s="56"/>
      <c r="BD38" s="57">
        <f t="shared" si="32"/>
        <v>0</v>
      </c>
      <c r="BE38" s="55"/>
      <c r="BF38" s="56"/>
      <c r="BG38" s="57">
        <f>IFERROR(BE38*BF38, 0)</f>
        <v>0</v>
      </c>
      <c r="BH38" s="55"/>
      <c r="BI38" s="56"/>
      <c r="BJ38" s="57">
        <f t="shared" si="34"/>
        <v>0</v>
      </c>
      <c r="BK38" s="55"/>
      <c r="BL38" s="56"/>
      <c r="BM38" s="57">
        <f>IFERROR(BK38*BL38, 0)</f>
        <v>0</v>
      </c>
      <c r="BN38" s="55"/>
      <c r="BO38" s="56"/>
      <c r="BP38" s="57">
        <f t="shared" si="37"/>
        <v>0</v>
      </c>
      <c r="BQ38" s="55"/>
      <c r="BR38" s="56"/>
      <c r="BS38" s="57">
        <f t="shared" si="20"/>
        <v>0</v>
      </c>
      <c r="BT38" s="55"/>
      <c r="BU38" s="56"/>
      <c r="BV38" s="57">
        <f t="shared" si="33"/>
        <v>0</v>
      </c>
      <c r="BW38" s="55"/>
      <c r="BX38" s="56"/>
      <c r="BY38" s="57">
        <f t="shared" si="43"/>
        <v>0</v>
      </c>
      <c r="BZ38" s="55"/>
      <c r="CA38" s="56"/>
      <c r="CB38" s="57">
        <f t="shared" si="44"/>
        <v>0</v>
      </c>
      <c r="CC38" s="55"/>
      <c r="CD38" s="56"/>
      <c r="CE38" s="57">
        <f t="shared" si="45"/>
        <v>0</v>
      </c>
      <c r="CF38" s="55"/>
      <c r="CG38" s="56"/>
      <c r="CH38" s="57">
        <f t="shared" si="46"/>
        <v>0</v>
      </c>
      <c r="CI38" s="55"/>
      <c r="CJ38" s="56"/>
      <c r="CK38" s="57">
        <f t="shared" si="47"/>
        <v>0</v>
      </c>
      <c r="CL38" s="55"/>
      <c r="CM38" s="56"/>
      <c r="CN38" s="57">
        <f t="shared" si="48"/>
        <v>0</v>
      </c>
      <c r="CO38" s="55"/>
      <c r="CP38" s="56"/>
      <c r="CQ38" s="57">
        <f t="shared" si="49"/>
        <v>0</v>
      </c>
      <c r="CR38" s="55"/>
      <c r="CS38" s="56"/>
      <c r="CT38" s="57">
        <f t="shared" si="50"/>
        <v>0</v>
      </c>
      <c r="CU38" s="58">
        <f t="shared" si="51"/>
        <v>4</v>
      </c>
      <c r="CV38" s="57">
        <f t="shared" si="52"/>
        <v>16800</v>
      </c>
      <c r="CW38" s="57">
        <f t="shared" si="53"/>
        <v>67200</v>
      </c>
    </row>
    <row r="39" spans="1:101" ht="15.75" customHeight="1" x14ac:dyDescent="0.35">
      <c r="A39" s="53" t="s">
        <v>1054</v>
      </c>
      <c r="B39" s="53" t="s">
        <v>1055</v>
      </c>
      <c r="C39" s="55"/>
      <c r="D39" s="56"/>
      <c r="E39" s="57">
        <f t="shared" si="41"/>
        <v>0</v>
      </c>
      <c r="F39" s="55"/>
      <c r="G39" s="56"/>
      <c r="H39" s="57">
        <f t="shared" si="1"/>
        <v>0</v>
      </c>
      <c r="I39" s="55"/>
      <c r="J39" s="56"/>
      <c r="K39" s="57">
        <f t="shared" si="2"/>
        <v>0</v>
      </c>
      <c r="L39" s="55"/>
      <c r="M39" s="56"/>
      <c r="N39" s="57">
        <f t="shared" si="3"/>
        <v>0</v>
      </c>
      <c r="O39" s="55"/>
      <c r="P39" s="56"/>
      <c r="Q39" s="57">
        <f>IFERROR(O39*P39, 0)</f>
        <v>0</v>
      </c>
      <c r="R39" s="55"/>
      <c r="S39" s="56"/>
      <c r="T39" s="57">
        <f t="shared" si="5"/>
        <v>0</v>
      </c>
      <c r="U39" s="55"/>
      <c r="V39" s="56"/>
      <c r="W39" s="57">
        <f t="shared" si="36"/>
        <v>0</v>
      </c>
      <c r="X39" s="55"/>
      <c r="Y39" s="56"/>
      <c r="Z39" s="57">
        <f t="shared" si="42"/>
        <v>0</v>
      </c>
      <c r="AA39" s="55"/>
      <c r="AB39" s="56"/>
      <c r="AC39" s="57">
        <f t="shared" si="8"/>
        <v>0</v>
      </c>
      <c r="AD39" s="55"/>
      <c r="AE39" s="56"/>
      <c r="AF39" s="57">
        <f>IFERROR(AD39*AE39, 0)</f>
        <v>0</v>
      </c>
      <c r="AG39" s="55"/>
      <c r="AH39" s="56"/>
      <c r="AI39" s="57">
        <f>IFERROR(AG39*AH39, 0)</f>
        <v>0</v>
      </c>
      <c r="AJ39" s="55">
        <v>2</v>
      </c>
      <c r="AK39" s="56">
        <v>5000</v>
      </c>
      <c r="AL39" s="57">
        <v>10000</v>
      </c>
      <c r="AM39" s="55"/>
      <c r="AN39" s="56"/>
      <c r="AO39" s="57">
        <f t="shared" si="11"/>
        <v>0</v>
      </c>
      <c r="AP39" s="55"/>
      <c r="AQ39" s="56"/>
      <c r="AR39" s="57">
        <f t="shared" si="12"/>
        <v>0</v>
      </c>
      <c r="AS39" s="55"/>
      <c r="AT39" s="56"/>
      <c r="AU39" s="57">
        <f t="shared" si="40"/>
        <v>0</v>
      </c>
      <c r="AV39" s="55"/>
      <c r="AW39" s="56"/>
      <c r="AX39" s="57">
        <f t="shared" si="14"/>
        <v>0</v>
      </c>
      <c r="AY39" s="55"/>
      <c r="AZ39" s="56"/>
      <c r="BA39" s="57">
        <f t="shared" si="35"/>
        <v>0</v>
      </c>
      <c r="BB39" s="55"/>
      <c r="BC39" s="56"/>
      <c r="BD39" s="57">
        <f t="shared" si="32"/>
        <v>0</v>
      </c>
      <c r="BE39" s="55"/>
      <c r="BF39" s="56"/>
      <c r="BG39" s="57">
        <f>IFERROR(BE39*BF39, 0)</f>
        <v>0</v>
      </c>
      <c r="BH39" s="55"/>
      <c r="BI39" s="56"/>
      <c r="BJ39" s="57">
        <f t="shared" si="34"/>
        <v>0</v>
      </c>
      <c r="BK39" s="55"/>
      <c r="BL39" s="56"/>
      <c r="BM39" s="57">
        <f>IFERROR(BK39*BL39, 0)</f>
        <v>0</v>
      </c>
      <c r="BN39" s="55"/>
      <c r="BO39" s="56"/>
      <c r="BP39" s="57">
        <f t="shared" si="37"/>
        <v>0</v>
      </c>
      <c r="BQ39" s="55"/>
      <c r="BR39" s="56"/>
      <c r="BS39" s="57">
        <f t="shared" si="20"/>
        <v>0</v>
      </c>
      <c r="BT39" s="55"/>
      <c r="BU39" s="56"/>
      <c r="BV39" s="57">
        <f t="shared" ref="BV39:BV58" si="54">IFERROR(BT39*BU39, 0)</f>
        <v>0</v>
      </c>
      <c r="BW39" s="55"/>
      <c r="BX39" s="56"/>
      <c r="BY39" s="57">
        <f t="shared" si="43"/>
        <v>0</v>
      </c>
      <c r="BZ39" s="55"/>
      <c r="CA39" s="56"/>
      <c r="CB39" s="57">
        <f t="shared" si="44"/>
        <v>0</v>
      </c>
      <c r="CC39" s="55"/>
      <c r="CD39" s="56"/>
      <c r="CE39" s="57">
        <f t="shared" si="45"/>
        <v>0</v>
      </c>
      <c r="CF39" s="55"/>
      <c r="CG39" s="56"/>
      <c r="CH39" s="57">
        <f t="shared" si="46"/>
        <v>0</v>
      </c>
      <c r="CI39" s="55"/>
      <c r="CJ39" s="56"/>
      <c r="CK39" s="57">
        <f t="shared" si="47"/>
        <v>0</v>
      </c>
      <c r="CL39" s="55"/>
      <c r="CM39" s="56"/>
      <c r="CN39" s="57">
        <f t="shared" si="48"/>
        <v>0</v>
      </c>
      <c r="CO39" s="55"/>
      <c r="CP39" s="56"/>
      <c r="CQ39" s="57">
        <f t="shared" si="49"/>
        <v>0</v>
      </c>
      <c r="CR39" s="55"/>
      <c r="CS39" s="56"/>
      <c r="CT39" s="57">
        <f t="shared" si="50"/>
        <v>0</v>
      </c>
      <c r="CU39" s="58">
        <f t="shared" si="51"/>
        <v>2</v>
      </c>
      <c r="CV39" s="57">
        <f t="shared" si="52"/>
        <v>5000</v>
      </c>
      <c r="CW39" s="57">
        <f t="shared" si="53"/>
        <v>10000</v>
      </c>
    </row>
    <row r="40" spans="1:101" ht="15.75" customHeight="1" x14ac:dyDescent="0.35">
      <c r="A40" s="53" t="s">
        <v>368</v>
      </c>
      <c r="B40" s="53" t="s">
        <v>935</v>
      </c>
      <c r="C40" s="55"/>
      <c r="D40" s="56"/>
      <c r="E40" s="57">
        <f t="shared" si="41"/>
        <v>0</v>
      </c>
      <c r="F40" s="55"/>
      <c r="G40" s="56"/>
      <c r="H40" s="57">
        <f t="shared" si="1"/>
        <v>0</v>
      </c>
      <c r="I40" s="55"/>
      <c r="J40" s="56"/>
      <c r="K40" s="57">
        <f t="shared" si="2"/>
        <v>0</v>
      </c>
      <c r="L40" s="55"/>
      <c r="M40" s="56"/>
      <c r="N40" s="57">
        <f t="shared" si="3"/>
        <v>0</v>
      </c>
      <c r="O40" s="55"/>
      <c r="P40" s="56"/>
      <c r="Q40" s="57">
        <f>IFERROR(O40*P40, 0)</f>
        <v>0</v>
      </c>
      <c r="R40" s="55"/>
      <c r="S40" s="56"/>
      <c r="T40" s="57">
        <f t="shared" si="5"/>
        <v>0</v>
      </c>
      <c r="U40" s="55"/>
      <c r="V40" s="56"/>
      <c r="W40" s="57">
        <f t="shared" si="36"/>
        <v>0</v>
      </c>
      <c r="X40" s="55"/>
      <c r="Y40" s="56"/>
      <c r="Z40" s="57">
        <f t="shared" si="42"/>
        <v>0</v>
      </c>
      <c r="AA40" s="55"/>
      <c r="AB40" s="56"/>
      <c r="AC40" s="57">
        <f t="shared" si="8"/>
        <v>0</v>
      </c>
      <c r="AD40" s="55">
        <v>1</v>
      </c>
      <c r="AE40" s="56">
        <v>8500</v>
      </c>
      <c r="AF40" s="57">
        <v>8500</v>
      </c>
      <c r="AG40" s="55"/>
      <c r="AH40" s="56"/>
      <c r="AI40" s="57">
        <f>IFERROR(AG40*AH40, 0)</f>
        <v>0</v>
      </c>
      <c r="AJ40" s="55"/>
      <c r="AK40" s="56"/>
      <c r="AL40" s="57">
        <f>IFERROR(AJ40*AK40, 0)</f>
        <v>0</v>
      </c>
      <c r="AM40" s="55"/>
      <c r="AN40" s="56"/>
      <c r="AO40" s="57">
        <f t="shared" si="11"/>
        <v>0</v>
      </c>
      <c r="AP40" s="55"/>
      <c r="AQ40" s="56"/>
      <c r="AR40" s="57">
        <f t="shared" si="12"/>
        <v>0</v>
      </c>
      <c r="AS40" s="55"/>
      <c r="AT40" s="56"/>
      <c r="AU40" s="57">
        <f t="shared" si="40"/>
        <v>0</v>
      </c>
      <c r="AV40" s="55"/>
      <c r="AW40" s="56"/>
      <c r="AX40" s="57">
        <f t="shared" si="14"/>
        <v>0</v>
      </c>
      <c r="AY40" s="55"/>
      <c r="AZ40" s="56"/>
      <c r="BA40" s="57">
        <f t="shared" si="35"/>
        <v>0</v>
      </c>
      <c r="BB40" s="55"/>
      <c r="BC40" s="56"/>
      <c r="BD40" s="57">
        <f t="shared" si="32"/>
        <v>0</v>
      </c>
      <c r="BE40" s="55"/>
      <c r="BF40" s="56"/>
      <c r="BG40" s="57">
        <f>IFERROR(BE40*BF40, 0)</f>
        <v>0</v>
      </c>
      <c r="BH40" s="55"/>
      <c r="BI40" s="56"/>
      <c r="BJ40" s="57">
        <f t="shared" si="34"/>
        <v>0</v>
      </c>
      <c r="BK40" s="55"/>
      <c r="BL40" s="56"/>
      <c r="BM40" s="57">
        <f>IFERROR(BK40*BL40, 0)</f>
        <v>0</v>
      </c>
      <c r="BN40" s="55"/>
      <c r="BO40" s="56"/>
      <c r="BP40" s="57">
        <f t="shared" si="37"/>
        <v>0</v>
      </c>
      <c r="BQ40" s="55"/>
      <c r="BR40" s="56"/>
      <c r="BS40" s="57">
        <f t="shared" si="20"/>
        <v>0</v>
      </c>
      <c r="BT40" s="55"/>
      <c r="BU40" s="56"/>
      <c r="BV40" s="57">
        <f t="shared" si="54"/>
        <v>0</v>
      </c>
      <c r="BW40" s="55"/>
      <c r="BX40" s="56"/>
      <c r="BY40" s="57">
        <f t="shared" si="43"/>
        <v>0</v>
      </c>
      <c r="BZ40" s="55"/>
      <c r="CA40" s="56"/>
      <c r="CB40" s="57">
        <f t="shared" si="44"/>
        <v>0</v>
      </c>
      <c r="CC40" s="55"/>
      <c r="CD40" s="56"/>
      <c r="CE40" s="57">
        <f t="shared" si="45"/>
        <v>0</v>
      </c>
      <c r="CF40" s="55"/>
      <c r="CG40" s="56"/>
      <c r="CH40" s="57">
        <f t="shared" si="46"/>
        <v>0</v>
      </c>
      <c r="CI40" s="55"/>
      <c r="CJ40" s="56"/>
      <c r="CK40" s="57">
        <f t="shared" si="47"/>
        <v>0</v>
      </c>
      <c r="CL40" s="55"/>
      <c r="CM40" s="56"/>
      <c r="CN40" s="57">
        <f t="shared" si="48"/>
        <v>0</v>
      </c>
      <c r="CO40" s="55"/>
      <c r="CP40" s="56"/>
      <c r="CQ40" s="57">
        <f t="shared" si="49"/>
        <v>0</v>
      </c>
      <c r="CR40" s="55"/>
      <c r="CS40" s="56"/>
      <c r="CT40" s="57">
        <f t="shared" si="50"/>
        <v>0</v>
      </c>
      <c r="CU40" s="58">
        <f t="shared" si="51"/>
        <v>1</v>
      </c>
      <c r="CV40" s="57">
        <f t="shared" si="52"/>
        <v>8500</v>
      </c>
      <c r="CW40" s="57">
        <f t="shared" si="53"/>
        <v>8500</v>
      </c>
    </row>
    <row r="41" spans="1:101" ht="15.75" customHeight="1" x14ac:dyDescent="0.35">
      <c r="A41" s="53" t="s">
        <v>58</v>
      </c>
      <c r="B41" s="53" t="s">
        <v>1056</v>
      </c>
      <c r="C41" s="55"/>
      <c r="D41" s="56"/>
      <c r="E41" s="57">
        <f t="shared" si="41"/>
        <v>0</v>
      </c>
      <c r="F41" s="55">
        <v>2</v>
      </c>
      <c r="G41" s="56">
        <v>9500</v>
      </c>
      <c r="H41" s="57">
        <v>19000</v>
      </c>
      <c r="I41" s="55">
        <v>2</v>
      </c>
      <c r="J41" s="56">
        <v>9500</v>
      </c>
      <c r="K41" s="57">
        <v>19000</v>
      </c>
      <c r="L41" s="55">
        <v>4</v>
      </c>
      <c r="M41" s="56">
        <v>9500</v>
      </c>
      <c r="N41" s="57">
        <v>38000</v>
      </c>
      <c r="O41" s="55">
        <v>4</v>
      </c>
      <c r="P41" s="56">
        <v>9500</v>
      </c>
      <c r="Q41" s="57">
        <v>38000</v>
      </c>
      <c r="R41" s="55"/>
      <c r="S41" s="56"/>
      <c r="T41" s="57">
        <f t="shared" si="5"/>
        <v>0</v>
      </c>
      <c r="U41" s="55">
        <v>3</v>
      </c>
      <c r="V41" s="56">
        <v>9500</v>
      </c>
      <c r="W41" s="57">
        <v>48000</v>
      </c>
      <c r="X41" s="55">
        <v>4</v>
      </c>
      <c r="Y41" s="56">
        <v>9500</v>
      </c>
      <c r="Z41" s="57">
        <v>38000</v>
      </c>
      <c r="AA41" s="55">
        <v>4</v>
      </c>
      <c r="AB41" s="56">
        <v>9500</v>
      </c>
      <c r="AC41" s="57">
        <v>38000</v>
      </c>
      <c r="AD41" s="55">
        <v>2</v>
      </c>
      <c r="AE41" s="56">
        <v>9500</v>
      </c>
      <c r="AF41" s="57">
        <v>19000</v>
      </c>
      <c r="AG41" s="55">
        <v>2</v>
      </c>
      <c r="AH41" s="56">
        <v>9500</v>
      </c>
      <c r="AI41" s="57">
        <v>19000</v>
      </c>
      <c r="AJ41" s="55">
        <v>2</v>
      </c>
      <c r="AK41" s="56">
        <v>9500</v>
      </c>
      <c r="AL41" s="57">
        <v>19000</v>
      </c>
      <c r="AM41" s="55">
        <v>4</v>
      </c>
      <c r="AN41" s="56">
        <v>9500</v>
      </c>
      <c r="AO41" s="57">
        <v>38000</v>
      </c>
      <c r="AP41" s="55"/>
      <c r="AQ41" s="56"/>
      <c r="AR41" s="57">
        <f t="shared" si="12"/>
        <v>0</v>
      </c>
      <c r="AS41" s="55">
        <v>4</v>
      </c>
      <c r="AT41" s="56">
        <v>9500</v>
      </c>
      <c r="AU41" s="57">
        <v>38000</v>
      </c>
      <c r="AV41" s="55">
        <v>2</v>
      </c>
      <c r="AW41" s="56">
        <v>9500</v>
      </c>
      <c r="AX41" s="57">
        <v>19000</v>
      </c>
      <c r="AY41" s="55">
        <v>2</v>
      </c>
      <c r="AZ41" s="56">
        <v>9500</v>
      </c>
      <c r="BA41" s="57">
        <v>19000</v>
      </c>
      <c r="BB41" s="55">
        <v>2</v>
      </c>
      <c r="BC41" s="56">
        <v>9500</v>
      </c>
      <c r="BD41" s="57">
        <v>19000</v>
      </c>
      <c r="BE41" s="55">
        <v>2</v>
      </c>
      <c r="BF41" s="56">
        <v>9500</v>
      </c>
      <c r="BG41" s="57">
        <v>19000</v>
      </c>
      <c r="BH41" s="55"/>
      <c r="BI41" s="56"/>
      <c r="BJ41" s="57">
        <f t="shared" si="34"/>
        <v>0</v>
      </c>
      <c r="BK41" s="55"/>
      <c r="BL41" s="56"/>
      <c r="BM41" s="57">
        <f>IFERROR(BK41*BL41, 0)</f>
        <v>0</v>
      </c>
      <c r="BN41" s="55"/>
      <c r="BO41" s="56"/>
      <c r="BP41" s="57">
        <f t="shared" si="37"/>
        <v>0</v>
      </c>
      <c r="BQ41" s="55">
        <v>2</v>
      </c>
      <c r="BR41" s="56">
        <v>9500</v>
      </c>
      <c r="BS41" s="57">
        <v>19000</v>
      </c>
      <c r="BT41" s="55"/>
      <c r="BU41" s="56"/>
      <c r="BV41" s="57">
        <f t="shared" si="54"/>
        <v>0</v>
      </c>
      <c r="BW41" s="55"/>
      <c r="BX41" s="56"/>
      <c r="BY41" s="57">
        <f t="shared" si="43"/>
        <v>0</v>
      </c>
      <c r="BZ41" s="55"/>
      <c r="CA41" s="56"/>
      <c r="CB41" s="57">
        <f t="shared" si="44"/>
        <v>0</v>
      </c>
      <c r="CC41" s="55"/>
      <c r="CD41" s="56"/>
      <c r="CE41" s="57">
        <f t="shared" si="45"/>
        <v>0</v>
      </c>
      <c r="CF41" s="55"/>
      <c r="CG41" s="56"/>
      <c r="CH41" s="57">
        <f t="shared" si="46"/>
        <v>0</v>
      </c>
      <c r="CI41" s="55"/>
      <c r="CJ41" s="56"/>
      <c r="CK41" s="57">
        <f t="shared" si="47"/>
        <v>0</v>
      </c>
      <c r="CL41" s="55"/>
      <c r="CM41" s="56"/>
      <c r="CN41" s="57">
        <f t="shared" si="48"/>
        <v>0</v>
      </c>
      <c r="CO41" s="55"/>
      <c r="CP41" s="56"/>
      <c r="CQ41" s="57">
        <f t="shared" si="49"/>
        <v>0</v>
      </c>
      <c r="CR41" s="55"/>
      <c r="CS41" s="56"/>
      <c r="CT41" s="57">
        <f t="shared" si="50"/>
        <v>0</v>
      </c>
      <c r="CU41" s="58">
        <f t="shared" si="51"/>
        <v>47</v>
      </c>
      <c r="CV41" s="57">
        <f t="shared" si="52"/>
        <v>9500</v>
      </c>
      <c r="CW41" s="57">
        <f t="shared" si="53"/>
        <v>446500</v>
      </c>
    </row>
    <row r="42" spans="1:101" ht="15.75" customHeight="1" x14ac:dyDescent="0.35">
      <c r="A42" s="53" t="s">
        <v>60</v>
      </c>
      <c r="B42" s="53" t="s">
        <v>935</v>
      </c>
      <c r="C42" s="55"/>
      <c r="D42" s="56"/>
      <c r="E42" s="57">
        <f t="shared" si="41"/>
        <v>0</v>
      </c>
      <c r="F42" s="55">
        <v>2</v>
      </c>
      <c r="G42" s="56">
        <v>5000</v>
      </c>
      <c r="H42" s="57">
        <v>10000</v>
      </c>
      <c r="I42" s="55">
        <v>2</v>
      </c>
      <c r="J42" s="56">
        <v>5000</v>
      </c>
      <c r="K42" s="57">
        <v>10000</v>
      </c>
      <c r="L42" s="55">
        <v>4</v>
      </c>
      <c r="M42" s="56">
        <v>5000</v>
      </c>
      <c r="N42" s="57">
        <v>20000</v>
      </c>
      <c r="O42" s="55">
        <v>2</v>
      </c>
      <c r="P42" s="56">
        <v>5000</v>
      </c>
      <c r="Q42" s="57">
        <v>10000</v>
      </c>
      <c r="R42" s="55">
        <v>2</v>
      </c>
      <c r="S42" s="56">
        <v>5000</v>
      </c>
      <c r="T42" s="57">
        <v>10000</v>
      </c>
      <c r="U42" s="55">
        <v>2</v>
      </c>
      <c r="V42" s="56">
        <v>5000</v>
      </c>
      <c r="W42" s="57">
        <v>10000</v>
      </c>
      <c r="X42" s="55">
        <v>4</v>
      </c>
      <c r="Y42" s="56">
        <v>5000</v>
      </c>
      <c r="Z42" s="57">
        <v>20000</v>
      </c>
      <c r="AA42" s="55">
        <v>4</v>
      </c>
      <c r="AB42" s="56">
        <v>5000</v>
      </c>
      <c r="AC42" s="57">
        <v>20000</v>
      </c>
      <c r="AD42" s="55">
        <v>5</v>
      </c>
      <c r="AE42" s="56">
        <v>5000</v>
      </c>
      <c r="AF42" s="57">
        <v>25000</v>
      </c>
      <c r="AG42" s="55">
        <v>5</v>
      </c>
      <c r="AH42" s="56">
        <v>5000</v>
      </c>
      <c r="AI42" s="57">
        <v>25000</v>
      </c>
      <c r="AJ42" s="55">
        <v>4</v>
      </c>
      <c r="AK42" s="56">
        <v>5000</v>
      </c>
      <c r="AL42" s="57">
        <v>29000</v>
      </c>
      <c r="AM42" s="55">
        <v>5</v>
      </c>
      <c r="AN42" s="56">
        <v>5000</v>
      </c>
      <c r="AO42" s="57">
        <v>25000</v>
      </c>
      <c r="AP42" s="55"/>
      <c r="AQ42" s="56"/>
      <c r="AR42" s="57">
        <f t="shared" si="12"/>
        <v>0</v>
      </c>
      <c r="AS42" s="55">
        <v>5</v>
      </c>
      <c r="AT42" s="56">
        <v>5000</v>
      </c>
      <c r="AU42" s="57">
        <v>25000</v>
      </c>
      <c r="AV42" s="55">
        <v>2</v>
      </c>
      <c r="AW42" s="56">
        <v>5000</v>
      </c>
      <c r="AX42" s="57">
        <v>10000</v>
      </c>
      <c r="AY42" s="55"/>
      <c r="AZ42" s="56"/>
      <c r="BA42" s="57">
        <f t="shared" ref="BA42:BA47" si="55">IFERROR(AY42*AZ42, 0)</f>
        <v>0</v>
      </c>
      <c r="BB42" s="55"/>
      <c r="BC42" s="56"/>
      <c r="BD42" s="57">
        <f t="shared" ref="BD42:BD56" si="56">IFERROR(BB42*BC42, 0)</f>
        <v>0</v>
      </c>
      <c r="BE42" s="55">
        <v>3</v>
      </c>
      <c r="BF42" s="56">
        <v>5000</v>
      </c>
      <c r="BG42" s="57">
        <v>15000</v>
      </c>
      <c r="BH42" s="55">
        <v>4</v>
      </c>
      <c r="BI42" s="56">
        <v>5000</v>
      </c>
      <c r="BJ42" s="57">
        <v>20000</v>
      </c>
      <c r="BK42" s="55">
        <v>3</v>
      </c>
      <c r="BL42" s="56">
        <v>5000</v>
      </c>
      <c r="BM42" s="57">
        <v>15000</v>
      </c>
      <c r="BN42" s="55"/>
      <c r="BO42" s="56"/>
      <c r="BP42" s="57">
        <f t="shared" si="37"/>
        <v>0</v>
      </c>
      <c r="BQ42" s="55">
        <v>3</v>
      </c>
      <c r="BR42" s="56">
        <v>5000</v>
      </c>
      <c r="BS42" s="57">
        <v>15000</v>
      </c>
      <c r="BT42" s="55"/>
      <c r="BU42" s="56"/>
      <c r="BV42" s="57">
        <f t="shared" si="54"/>
        <v>0</v>
      </c>
      <c r="BW42" s="55"/>
      <c r="BX42" s="56"/>
      <c r="BY42" s="57">
        <f t="shared" si="43"/>
        <v>0</v>
      </c>
      <c r="BZ42" s="55"/>
      <c r="CA42" s="56"/>
      <c r="CB42" s="57">
        <f t="shared" si="44"/>
        <v>0</v>
      </c>
      <c r="CC42" s="55"/>
      <c r="CD42" s="56"/>
      <c r="CE42" s="57">
        <f t="shared" si="45"/>
        <v>0</v>
      </c>
      <c r="CF42" s="55"/>
      <c r="CG42" s="56"/>
      <c r="CH42" s="57">
        <f t="shared" si="46"/>
        <v>0</v>
      </c>
      <c r="CI42" s="55"/>
      <c r="CJ42" s="56"/>
      <c r="CK42" s="57">
        <f t="shared" si="47"/>
        <v>0</v>
      </c>
      <c r="CL42" s="55"/>
      <c r="CM42" s="56"/>
      <c r="CN42" s="57">
        <f t="shared" si="48"/>
        <v>0</v>
      </c>
      <c r="CO42" s="55"/>
      <c r="CP42" s="56"/>
      <c r="CQ42" s="57">
        <f t="shared" si="49"/>
        <v>0</v>
      </c>
      <c r="CR42" s="55"/>
      <c r="CS42" s="56"/>
      <c r="CT42" s="57">
        <f t="shared" si="50"/>
        <v>0</v>
      </c>
      <c r="CU42" s="58">
        <f t="shared" si="51"/>
        <v>61</v>
      </c>
      <c r="CV42" s="57">
        <f t="shared" si="52"/>
        <v>5000</v>
      </c>
      <c r="CW42" s="57">
        <f t="shared" si="53"/>
        <v>305000</v>
      </c>
    </row>
    <row r="43" spans="1:101" ht="15.75" customHeight="1" x14ac:dyDescent="0.35">
      <c r="A43" s="53" t="s">
        <v>510</v>
      </c>
      <c r="B43" s="53" t="s">
        <v>846</v>
      </c>
      <c r="C43" s="55"/>
      <c r="D43" s="56"/>
      <c r="E43" s="57">
        <f t="shared" si="41"/>
        <v>0</v>
      </c>
      <c r="F43" s="55"/>
      <c r="G43" s="56"/>
      <c r="H43" s="57">
        <f t="shared" ref="H43:H60" si="57">IFERROR(F43*G43, 0)</f>
        <v>0</v>
      </c>
      <c r="I43" s="55"/>
      <c r="J43" s="56"/>
      <c r="K43" s="57">
        <f t="shared" ref="K43:K60" si="58">IFERROR(I43*J43, 0)</f>
        <v>0</v>
      </c>
      <c r="L43" s="55"/>
      <c r="M43" s="56"/>
      <c r="N43" s="57">
        <f t="shared" ref="N43:N60" si="59">IFERROR(L43*M43, 0)</f>
        <v>0</v>
      </c>
      <c r="O43" s="55"/>
      <c r="P43" s="56"/>
      <c r="Q43" s="57">
        <f>IFERROR(O43*P43, 0)</f>
        <v>0</v>
      </c>
      <c r="R43" s="55"/>
      <c r="S43" s="56"/>
      <c r="T43" s="57">
        <f t="shared" ref="T43:T60" si="60">IFERROR(R43*S43, 0)</f>
        <v>0</v>
      </c>
      <c r="U43" s="55"/>
      <c r="V43" s="56"/>
      <c r="W43" s="57">
        <f t="shared" ref="W43:W60" si="61">IFERROR(U43*V43, 0)</f>
        <v>0</v>
      </c>
      <c r="X43" s="55"/>
      <c r="Y43" s="56"/>
      <c r="Z43" s="57">
        <f t="shared" ref="Z43:Z60" si="62">IFERROR(X43*Y43, 0)</f>
        <v>0</v>
      </c>
      <c r="AA43" s="55"/>
      <c r="AB43" s="56"/>
      <c r="AC43" s="57">
        <f t="shared" ref="AC43:AC60" si="63">IFERROR(AA43*AB43, 0)</f>
        <v>0</v>
      </c>
      <c r="AD43" s="55"/>
      <c r="AE43" s="56"/>
      <c r="AF43" s="57">
        <f t="shared" ref="AF43:AF60" si="64">IFERROR(AD43*AE43, 0)</f>
        <v>0</v>
      </c>
      <c r="AG43" s="55"/>
      <c r="AH43" s="56"/>
      <c r="AI43" s="57">
        <f t="shared" ref="AI43:AI60" si="65">IFERROR(AG43*AH43, 0)</f>
        <v>0</v>
      </c>
      <c r="AJ43" s="55"/>
      <c r="AK43" s="56"/>
      <c r="AL43" s="57">
        <f>IFERROR(AJ43*AK43, 0)</f>
        <v>0</v>
      </c>
      <c r="AM43" s="55"/>
      <c r="AN43" s="56"/>
      <c r="AO43" s="57">
        <f t="shared" ref="AO43:AO60" si="66">IFERROR(AM43*AN43, 0)</f>
        <v>0</v>
      </c>
      <c r="AP43" s="55">
        <v>4</v>
      </c>
      <c r="AQ43" s="56">
        <v>19412</v>
      </c>
      <c r="AR43" s="57">
        <v>77647</v>
      </c>
      <c r="AS43" s="55"/>
      <c r="AT43" s="56"/>
      <c r="AU43" s="57">
        <f t="shared" ref="AU43:AU60" si="67">IFERROR(AS43*AT43, 0)</f>
        <v>0</v>
      </c>
      <c r="AV43" s="55"/>
      <c r="AW43" s="56"/>
      <c r="AX43" s="57">
        <f t="shared" ref="AX43:AX60" si="68">IFERROR(AV43*AW43, 0)</f>
        <v>0</v>
      </c>
      <c r="AY43" s="55"/>
      <c r="AZ43" s="56"/>
      <c r="BA43" s="57">
        <f t="shared" si="55"/>
        <v>0</v>
      </c>
      <c r="BB43" s="55"/>
      <c r="BC43" s="56"/>
      <c r="BD43" s="57">
        <f t="shared" si="56"/>
        <v>0</v>
      </c>
      <c r="BE43" s="55"/>
      <c r="BF43" s="56"/>
      <c r="BG43" s="57">
        <f t="shared" ref="BG43:BG60" si="69">IFERROR(BE43*BF43, 0)</f>
        <v>0</v>
      </c>
      <c r="BH43" s="55"/>
      <c r="BI43" s="56"/>
      <c r="BJ43" s="57">
        <f t="shared" ref="BJ43:BJ60" si="70">IFERROR(BH43*BI43, 0)</f>
        <v>0</v>
      </c>
      <c r="BK43" s="55"/>
      <c r="BL43" s="56"/>
      <c r="BM43" s="57">
        <f t="shared" ref="BM43:BM60" si="71">IFERROR(BK43*BL43, 0)</f>
        <v>0</v>
      </c>
      <c r="BN43" s="55"/>
      <c r="BO43" s="56"/>
      <c r="BP43" s="57">
        <f t="shared" si="37"/>
        <v>0</v>
      </c>
      <c r="BQ43" s="55"/>
      <c r="BR43" s="56"/>
      <c r="BS43" s="57">
        <f t="shared" ref="BS43:BS60" si="72">IFERROR(BQ43*BR43, 0)</f>
        <v>0</v>
      </c>
      <c r="BT43" s="55"/>
      <c r="BU43" s="56"/>
      <c r="BV43" s="57">
        <f t="shared" si="54"/>
        <v>0</v>
      </c>
      <c r="BW43" s="55"/>
      <c r="BX43" s="56"/>
      <c r="BY43" s="57">
        <f t="shared" si="43"/>
        <v>0</v>
      </c>
      <c r="BZ43" s="55"/>
      <c r="CA43" s="56"/>
      <c r="CB43" s="57">
        <f t="shared" si="44"/>
        <v>0</v>
      </c>
      <c r="CC43" s="55"/>
      <c r="CD43" s="56"/>
      <c r="CE43" s="57">
        <f t="shared" si="45"/>
        <v>0</v>
      </c>
      <c r="CF43" s="55"/>
      <c r="CG43" s="56"/>
      <c r="CH43" s="57">
        <f t="shared" si="46"/>
        <v>0</v>
      </c>
      <c r="CI43" s="55"/>
      <c r="CJ43" s="56"/>
      <c r="CK43" s="57">
        <f t="shared" si="47"/>
        <v>0</v>
      </c>
      <c r="CL43" s="55"/>
      <c r="CM43" s="56"/>
      <c r="CN43" s="57">
        <f t="shared" si="48"/>
        <v>0</v>
      </c>
      <c r="CO43" s="55"/>
      <c r="CP43" s="56"/>
      <c r="CQ43" s="57">
        <f t="shared" si="49"/>
        <v>0</v>
      </c>
      <c r="CR43" s="55"/>
      <c r="CS43" s="56"/>
      <c r="CT43" s="57">
        <f t="shared" si="50"/>
        <v>0</v>
      </c>
      <c r="CU43" s="58">
        <f t="shared" si="51"/>
        <v>4</v>
      </c>
      <c r="CV43" s="57">
        <f t="shared" si="52"/>
        <v>19412</v>
      </c>
      <c r="CW43" s="57">
        <f t="shared" si="53"/>
        <v>77648</v>
      </c>
    </row>
    <row r="44" spans="1:101" ht="15.75" customHeight="1" x14ac:dyDescent="0.35">
      <c r="A44" s="53" t="s">
        <v>1057</v>
      </c>
      <c r="B44" s="53" t="s">
        <v>846</v>
      </c>
      <c r="C44" s="55"/>
      <c r="D44" s="56"/>
      <c r="E44" s="57">
        <f t="shared" si="41"/>
        <v>0</v>
      </c>
      <c r="F44" s="55"/>
      <c r="G44" s="56"/>
      <c r="H44" s="57">
        <f t="shared" si="57"/>
        <v>0</v>
      </c>
      <c r="I44" s="55"/>
      <c r="J44" s="56"/>
      <c r="K44" s="57">
        <f t="shared" si="58"/>
        <v>0</v>
      </c>
      <c r="L44" s="55"/>
      <c r="M44" s="56"/>
      <c r="N44" s="57">
        <f t="shared" si="59"/>
        <v>0</v>
      </c>
      <c r="O44" s="55"/>
      <c r="P44" s="56"/>
      <c r="Q44" s="57">
        <f>IFERROR(O44*P44, 0)</f>
        <v>0</v>
      </c>
      <c r="R44" s="55"/>
      <c r="S44" s="56"/>
      <c r="T44" s="57">
        <f t="shared" si="60"/>
        <v>0</v>
      </c>
      <c r="U44" s="55"/>
      <c r="V44" s="56"/>
      <c r="W44" s="57">
        <f t="shared" si="61"/>
        <v>0</v>
      </c>
      <c r="X44" s="55"/>
      <c r="Y44" s="56"/>
      <c r="Z44" s="57">
        <f t="shared" si="62"/>
        <v>0</v>
      </c>
      <c r="AA44" s="55"/>
      <c r="AB44" s="56"/>
      <c r="AC44" s="57">
        <f t="shared" si="63"/>
        <v>0</v>
      </c>
      <c r="AD44" s="55"/>
      <c r="AE44" s="56"/>
      <c r="AF44" s="57">
        <f t="shared" si="64"/>
        <v>0</v>
      </c>
      <c r="AG44" s="55"/>
      <c r="AH44" s="56"/>
      <c r="AI44" s="57">
        <f t="shared" si="65"/>
        <v>0</v>
      </c>
      <c r="AJ44" s="55"/>
      <c r="AK44" s="56"/>
      <c r="AL44" s="57">
        <f>IFERROR(AJ44*AK44, 0)</f>
        <v>0</v>
      </c>
      <c r="AM44" s="55"/>
      <c r="AN44" s="56"/>
      <c r="AO44" s="57">
        <f t="shared" si="66"/>
        <v>0</v>
      </c>
      <c r="AP44" s="55"/>
      <c r="AQ44" s="56"/>
      <c r="AR44" s="57">
        <f t="shared" ref="AR44:AR60" si="73">IFERROR(AP44*AQ44, 0)</f>
        <v>0</v>
      </c>
      <c r="AS44" s="55"/>
      <c r="AT44" s="56"/>
      <c r="AU44" s="57">
        <f t="shared" si="67"/>
        <v>0</v>
      </c>
      <c r="AV44" s="55"/>
      <c r="AW44" s="56"/>
      <c r="AX44" s="57">
        <f t="shared" si="68"/>
        <v>0</v>
      </c>
      <c r="AY44" s="55"/>
      <c r="AZ44" s="56"/>
      <c r="BA44" s="57">
        <f t="shared" si="55"/>
        <v>0</v>
      </c>
      <c r="BB44" s="55"/>
      <c r="BC44" s="56"/>
      <c r="BD44" s="57">
        <f t="shared" si="56"/>
        <v>0</v>
      </c>
      <c r="BE44" s="55"/>
      <c r="BF44" s="56"/>
      <c r="BG44" s="57">
        <f t="shared" si="69"/>
        <v>0</v>
      </c>
      <c r="BH44" s="55"/>
      <c r="BI44" s="56"/>
      <c r="BJ44" s="57">
        <f t="shared" si="70"/>
        <v>0</v>
      </c>
      <c r="BK44" s="55"/>
      <c r="BL44" s="56"/>
      <c r="BM44" s="57">
        <f t="shared" si="71"/>
        <v>0</v>
      </c>
      <c r="BN44" s="55"/>
      <c r="BO44" s="56"/>
      <c r="BP44" s="57">
        <f t="shared" si="37"/>
        <v>0</v>
      </c>
      <c r="BQ44" s="55"/>
      <c r="BR44" s="56"/>
      <c r="BS44" s="57">
        <f t="shared" si="72"/>
        <v>0</v>
      </c>
      <c r="BT44" s="55"/>
      <c r="BU44" s="56"/>
      <c r="BV44" s="57">
        <f t="shared" si="54"/>
        <v>0</v>
      </c>
      <c r="BW44" s="55"/>
      <c r="BX44" s="56"/>
      <c r="BY44" s="57">
        <f t="shared" si="43"/>
        <v>0</v>
      </c>
      <c r="BZ44" s="55"/>
      <c r="CA44" s="56"/>
      <c r="CB44" s="57">
        <f t="shared" si="44"/>
        <v>0</v>
      </c>
      <c r="CC44" s="55"/>
      <c r="CD44" s="56"/>
      <c r="CE44" s="57">
        <f t="shared" si="45"/>
        <v>0</v>
      </c>
      <c r="CF44" s="55"/>
      <c r="CG44" s="56"/>
      <c r="CH44" s="57">
        <f t="shared" si="46"/>
        <v>0</v>
      </c>
      <c r="CI44" s="55"/>
      <c r="CJ44" s="56"/>
      <c r="CK44" s="57">
        <f t="shared" si="47"/>
        <v>0</v>
      </c>
      <c r="CL44" s="55"/>
      <c r="CM44" s="56"/>
      <c r="CN44" s="57">
        <f t="shared" si="48"/>
        <v>0</v>
      </c>
      <c r="CO44" s="55"/>
      <c r="CP44" s="56"/>
      <c r="CQ44" s="57">
        <f t="shared" si="49"/>
        <v>0</v>
      </c>
      <c r="CR44" s="55"/>
      <c r="CS44" s="56"/>
      <c r="CT44" s="57">
        <f t="shared" si="50"/>
        <v>0</v>
      </c>
      <c r="CU44" s="58">
        <f t="shared" si="51"/>
        <v>0</v>
      </c>
      <c r="CV44" s="57">
        <f t="shared" si="52"/>
        <v>0</v>
      </c>
      <c r="CW44" s="57">
        <f t="shared" si="53"/>
        <v>0</v>
      </c>
    </row>
    <row r="45" spans="1:101" ht="15.75" customHeight="1" x14ac:dyDescent="0.35">
      <c r="A45" s="53" t="s">
        <v>1058</v>
      </c>
      <c r="B45" s="53" t="s">
        <v>846</v>
      </c>
      <c r="C45" s="55"/>
      <c r="D45" s="56"/>
      <c r="E45" s="57">
        <f t="shared" si="41"/>
        <v>0</v>
      </c>
      <c r="F45" s="55"/>
      <c r="G45" s="56"/>
      <c r="H45" s="57">
        <f t="shared" si="57"/>
        <v>0</v>
      </c>
      <c r="I45" s="55"/>
      <c r="J45" s="56"/>
      <c r="K45" s="57">
        <f t="shared" si="58"/>
        <v>0</v>
      </c>
      <c r="L45" s="55"/>
      <c r="M45" s="56"/>
      <c r="N45" s="57">
        <f t="shared" si="59"/>
        <v>0</v>
      </c>
      <c r="O45" s="55"/>
      <c r="P45" s="56"/>
      <c r="Q45" s="57">
        <f>IFERROR(O45*P45, 0)</f>
        <v>0</v>
      </c>
      <c r="R45" s="55"/>
      <c r="S45" s="56"/>
      <c r="T45" s="57">
        <f t="shared" si="60"/>
        <v>0</v>
      </c>
      <c r="U45" s="55"/>
      <c r="V45" s="56"/>
      <c r="W45" s="57">
        <f t="shared" si="61"/>
        <v>0</v>
      </c>
      <c r="X45" s="55"/>
      <c r="Y45" s="56"/>
      <c r="Z45" s="57">
        <f t="shared" si="62"/>
        <v>0</v>
      </c>
      <c r="AA45" s="55"/>
      <c r="AB45" s="56"/>
      <c r="AC45" s="57">
        <f t="shared" si="63"/>
        <v>0</v>
      </c>
      <c r="AD45" s="55"/>
      <c r="AE45" s="56"/>
      <c r="AF45" s="57">
        <f t="shared" si="64"/>
        <v>0</v>
      </c>
      <c r="AG45" s="55"/>
      <c r="AH45" s="56"/>
      <c r="AI45" s="57">
        <f t="shared" si="65"/>
        <v>0</v>
      </c>
      <c r="AJ45" s="55"/>
      <c r="AK45" s="56"/>
      <c r="AL45" s="57">
        <f>IFERROR(AJ45*AK45, 0)</f>
        <v>0</v>
      </c>
      <c r="AM45" s="55"/>
      <c r="AN45" s="56"/>
      <c r="AO45" s="57">
        <f t="shared" si="66"/>
        <v>0</v>
      </c>
      <c r="AP45" s="55"/>
      <c r="AQ45" s="56"/>
      <c r="AR45" s="57">
        <f t="shared" si="73"/>
        <v>0</v>
      </c>
      <c r="AS45" s="55"/>
      <c r="AT45" s="56"/>
      <c r="AU45" s="57">
        <f t="shared" si="67"/>
        <v>0</v>
      </c>
      <c r="AV45" s="55"/>
      <c r="AW45" s="56"/>
      <c r="AX45" s="57">
        <f t="shared" si="68"/>
        <v>0</v>
      </c>
      <c r="AY45" s="55"/>
      <c r="AZ45" s="56"/>
      <c r="BA45" s="57">
        <f t="shared" si="55"/>
        <v>0</v>
      </c>
      <c r="BB45" s="55"/>
      <c r="BC45" s="56"/>
      <c r="BD45" s="57">
        <f t="shared" si="56"/>
        <v>0</v>
      </c>
      <c r="BE45" s="55"/>
      <c r="BF45" s="56"/>
      <c r="BG45" s="57">
        <f t="shared" si="69"/>
        <v>0</v>
      </c>
      <c r="BH45" s="55"/>
      <c r="BI45" s="56"/>
      <c r="BJ45" s="57">
        <f t="shared" si="70"/>
        <v>0</v>
      </c>
      <c r="BK45" s="55"/>
      <c r="BL45" s="56"/>
      <c r="BM45" s="57">
        <f t="shared" si="71"/>
        <v>0</v>
      </c>
      <c r="BN45" s="55"/>
      <c r="BO45" s="56"/>
      <c r="BP45" s="57">
        <f t="shared" si="37"/>
        <v>0</v>
      </c>
      <c r="BQ45" s="55"/>
      <c r="BR45" s="56"/>
      <c r="BS45" s="57">
        <f t="shared" si="72"/>
        <v>0</v>
      </c>
      <c r="BT45" s="55"/>
      <c r="BU45" s="56"/>
      <c r="BV45" s="57">
        <f t="shared" si="54"/>
        <v>0</v>
      </c>
      <c r="BW45" s="55"/>
      <c r="BX45" s="56"/>
      <c r="BY45" s="57">
        <f t="shared" si="43"/>
        <v>0</v>
      </c>
      <c r="BZ45" s="55"/>
      <c r="CA45" s="56"/>
      <c r="CB45" s="57">
        <f t="shared" si="44"/>
        <v>0</v>
      </c>
      <c r="CC45" s="55"/>
      <c r="CD45" s="56"/>
      <c r="CE45" s="57">
        <f t="shared" si="45"/>
        <v>0</v>
      </c>
      <c r="CF45" s="55"/>
      <c r="CG45" s="56"/>
      <c r="CH45" s="57">
        <f t="shared" si="46"/>
        <v>0</v>
      </c>
      <c r="CI45" s="55"/>
      <c r="CJ45" s="56"/>
      <c r="CK45" s="57">
        <f t="shared" si="47"/>
        <v>0</v>
      </c>
      <c r="CL45" s="55"/>
      <c r="CM45" s="56"/>
      <c r="CN45" s="57">
        <f t="shared" si="48"/>
        <v>0</v>
      </c>
      <c r="CO45" s="55"/>
      <c r="CP45" s="56"/>
      <c r="CQ45" s="57">
        <f t="shared" si="49"/>
        <v>0</v>
      </c>
      <c r="CR45" s="55"/>
      <c r="CS45" s="56"/>
      <c r="CT45" s="57">
        <f t="shared" si="50"/>
        <v>0</v>
      </c>
      <c r="CU45" s="58">
        <f t="shared" si="51"/>
        <v>0</v>
      </c>
      <c r="CV45" s="57">
        <f t="shared" si="52"/>
        <v>0</v>
      </c>
      <c r="CW45" s="57">
        <f t="shared" si="53"/>
        <v>0</v>
      </c>
    </row>
    <row r="46" spans="1:101" ht="15.75" customHeight="1" x14ac:dyDescent="0.35">
      <c r="A46" s="53" t="s">
        <v>635</v>
      </c>
      <c r="B46" s="53" t="s">
        <v>846</v>
      </c>
      <c r="C46" s="55"/>
      <c r="D46" s="56"/>
      <c r="E46" s="57">
        <f t="shared" si="41"/>
        <v>0</v>
      </c>
      <c r="F46" s="55"/>
      <c r="G46" s="56"/>
      <c r="H46" s="57">
        <f t="shared" si="57"/>
        <v>0</v>
      </c>
      <c r="I46" s="55"/>
      <c r="J46" s="56"/>
      <c r="K46" s="57">
        <f t="shared" si="58"/>
        <v>0</v>
      </c>
      <c r="L46" s="55"/>
      <c r="M46" s="56"/>
      <c r="N46" s="57">
        <f t="shared" si="59"/>
        <v>0</v>
      </c>
      <c r="O46" s="55"/>
      <c r="P46" s="56"/>
      <c r="Q46" s="57">
        <f>IFERROR(O46*P46, 0)</f>
        <v>0</v>
      </c>
      <c r="R46" s="55"/>
      <c r="S46" s="56"/>
      <c r="T46" s="57">
        <f t="shared" si="60"/>
        <v>0</v>
      </c>
      <c r="U46" s="55"/>
      <c r="V46" s="56"/>
      <c r="W46" s="57">
        <f t="shared" si="61"/>
        <v>0</v>
      </c>
      <c r="X46" s="55"/>
      <c r="Y46" s="56"/>
      <c r="Z46" s="57">
        <f t="shared" si="62"/>
        <v>0</v>
      </c>
      <c r="AA46" s="55"/>
      <c r="AB46" s="56"/>
      <c r="AC46" s="57">
        <f t="shared" si="63"/>
        <v>0</v>
      </c>
      <c r="AD46" s="55"/>
      <c r="AE46" s="56"/>
      <c r="AF46" s="57">
        <f t="shared" si="64"/>
        <v>0</v>
      </c>
      <c r="AG46" s="55"/>
      <c r="AH46" s="56"/>
      <c r="AI46" s="57">
        <f t="shared" si="65"/>
        <v>0</v>
      </c>
      <c r="AJ46" s="55"/>
      <c r="AK46" s="56"/>
      <c r="AL46" s="57">
        <f>IFERROR(AJ46*AK46, 0)</f>
        <v>0</v>
      </c>
      <c r="AM46" s="55"/>
      <c r="AN46" s="56"/>
      <c r="AO46" s="57">
        <f t="shared" si="66"/>
        <v>0</v>
      </c>
      <c r="AP46" s="55"/>
      <c r="AQ46" s="56"/>
      <c r="AR46" s="57">
        <f t="shared" si="73"/>
        <v>0</v>
      </c>
      <c r="AS46" s="55"/>
      <c r="AT46" s="56"/>
      <c r="AU46" s="57">
        <f t="shared" si="67"/>
        <v>0</v>
      </c>
      <c r="AV46" s="55"/>
      <c r="AW46" s="56"/>
      <c r="AX46" s="57">
        <f t="shared" si="68"/>
        <v>0</v>
      </c>
      <c r="AY46" s="55"/>
      <c r="AZ46" s="56"/>
      <c r="BA46" s="57">
        <f t="shared" si="55"/>
        <v>0</v>
      </c>
      <c r="BB46" s="55"/>
      <c r="BC46" s="56"/>
      <c r="BD46" s="57">
        <f t="shared" si="56"/>
        <v>0</v>
      </c>
      <c r="BE46" s="55"/>
      <c r="BF46" s="56"/>
      <c r="BG46" s="57">
        <f t="shared" si="69"/>
        <v>0</v>
      </c>
      <c r="BH46" s="55"/>
      <c r="BI46" s="56"/>
      <c r="BJ46" s="57">
        <f t="shared" si="70"/>
        <v>0</v>
      </c>
      <c r="BK46" s="55"/>
      <c r="BL46" s="56"/>
      <c r="BM46" s="57">
        <f t="shared" si="71"/>
        <v>0</v>
      </c>
      <c r="BN46" s="55">
        <v>15</v>
      </c>
      <c r="BO46" s="56">
        <v>1260.5</v>
      </c>
      <c r="BP46" s="57">
        <v>18907.5</v>
      </c>
      <c r="BQ46" s="55"/>
      <c r="BR46" s="56"/>
      <c r="BS46" s="57">
        <f t="shared" si="72"/>
        <v>0</v>
      </c>
      <c r="BT46" s="55"/>
      <c r="BU46" s="56"/>
      <c r="BV46" s="57">
        <f t="shared" si="54"/>
        <v>0</v>
      </c>
      <c r="BW46" s="55"/>
      <c r="BX46" s="56"/>
      <c r="BY46" s="57">
        <f t="shared" si="43"/>
        <v>0</v>
      </c>
      <c r="BZ46" s="55"/>
      <c r="CA46" s="56"/>
      <c r="CB46" s="57">
        <f t="shared" si="44"/>
        <v>0</v>
      </c>
      <c r="CC46" s="55"/>
      <c r="CD46" s="56"/>
      <c r="CE46" s="57">
        <f t="shared" si="45"/>
        <v>0</v>
      </c>
      <c r="CF46" s="55"/>
      <c r="CG46" s="56"/>
      <c r="CH46" s="57">
        <f t="shared" si="46"/>
        <v>0</v>
      </c>
      <c r="CI46" s="55"/>
      <c r="CJ46" s="56"/>
      <c r="CK46" s="57">
        <f t="shared" si="47"/>
        <v>0</v>
      </c>
      <c r="CL46" s="55"/>
      <c r="CM46" s="56"/>
      <c r="CN46" s="57">
        <f t="shared" si="48"/>
        <v>0</v>
      </c>
      <c r="CO46" s="55"/>
      <c r="CP46" s="56"/>
      <c r="CQ46" s="57">
        <f t="shared" si="49"/>
        <v>0</v>
      </c>
      <c r="CR46" s="55"/>
      <c r="CS46" s="56"/>
      <c r="CT46" s="57">
        <f t="shared" si="50"/>
        <v>0</v>
      </c>
      <c r="CU46" s="58">
        <f t="shared" si="51"/>
        <v>15</v>
      </c>
      <c r="CV46" s="57">
        <f t="shared" si="52"/>
        <v>1260.5</v>
      </c>
      <c r="CW46" s="57">
        <f t="shared" si="53"/>
        <v>18907.5</v>
      </c>
    </row>
    <row r="47" spans="1:101" ht="15.75" customHeight="1" x14ac:dyDescent="0.35">
      <c r="A47" s="53" t="s">
        <v>246</v>
      </c>
      <c r="B47" s="53" t="s">
        <v>846</v>
      </c>
      <c r="C47" s="55"/>
      <c r="D47" s="56"/>
      <c r="E47" s="57">
        <f t="shared" si="41"/>
        <v>0</v>
      </c>
      <c r="F47" s="55"/>
      <c r="G47" s="56"/>
      <c r="H47" s="57">
        <f t="shared" si="57"/>
        <v>0</v>
      </c>
      <c r="I47" s="55"/>
      <c r="J47" s="56"/>
      <c r="K47" s="57">
        <f t="shared" si="58"/>
        <v>0</v>
      </c>
      <c r="L47" s="55"/>
      <c r="M47" s="56"/>
      <c r="N47" s="57">
        <f t="shared" si="59"/>
        <v>0</v>
      </c>
      <c r="O47" s="55">
        <v>15</v>
      </c>
      <c r="P47" s="56">
        <v>1450.98</v>
      </c>
      <c r="Q47" s="57">
        <v>21764.7</v>
      </c>
      <c r="R47" s="55"/>
      <c r="S47" s="56"/>
      <c r="T47" s="57">
        <f t="shared" si="60"/>
        <v>0</v>
      </c>
      <c r="U47" s="55"/>
      <c r="V47" s="56"/>
      <c r="W47" s="57">
        <f t="shared" si="61"/>
        <v>0</v>
      </c>
      <c r="X47" s="55"/>
      <c r="Y47" s="56"/>
      <c r="Z47" s="57">
        <f t="shared" si="62"/>
        <v>0</v>
      </c>
      <c r="AA47" s="55"/>
      <c r="AB47" s="56"/>
      <c r="AC47" s="57">
        <f t="shared" si="63"/>
        <v>0</v>
      </c>
      <c r="AD47" s="55"/>
      <c r="AE47" s="56"/>
      <c r="AF47" s="57">
        <f t="shared" si="64"/>
        <v>0</v>
      </c>
      <c r="AG47" s="55"/>
      <c r="AH47" s="56"/>
      <c r="AI47" s="57">
        <f t="shared" si="65"/>
        <v>0</v>
      </c>
      <c r="AJ47" s="55">
        <v>15</v>
      </c>
      <c r="AK47" s="56">
        <v>1450.98</v>
      </c>
      <c r="AL47" s="57">
        <v>21764.7</v>
      </c>
      <c r="AM47" s="55"/>
      <c r="AN47" s="56"/>
      <c r="AO47" s="57">
        <f t="shared" si="66"/>
        <v>0</v>
      </c>
      <c r="AP47" s="55"/>
      <c r="AQ47" s="56"/>
      <c r="AR47" s="57">
        <f t="shared" si="73"/>
        <v>0</v>
      </c>
      <c r="AS47" s="55"/>
      <c r="AT47" s="56"/>
      <c r="AU47" s="57">
        <f t="shared" si="67"/>
        <v>0</v>
      </c>
      <c r="AV47" s="55"/>
      <c r="AW47" s="56"/>
      <c r="AX47" s="57">
        <f t="shared" si="68"/>
        <v>0</v>
      </c>
      <c r="AY47" s="55"/>
      <c r="AZ47" s="56"/>
      <c r="BA47" s="57">
        <f t="shared" si="55"/>
        <v>0</v>
      </c>
      <c r="BB47" s="55"/>
      <c r="BC47" s="56"/>
      <c r="BD47" s="57">
        <f t="shared" si="56"/>
        <v>0</v>
      </c>
      <c r="BE47" s="55"/>
      <c r="BF47" s="56"/>
      <c r="BG47" s="57">
        <f t="shared" si="69"/>
        <v>0</v>
      </c>
      <c r="BH47" s="55"/>
      <c r="BI47" s="56"/>
      <c r="BJ47" s="57">
        <f t="shared" si="70"/>
        <v>0</v>
      </c>
      <c r="BK47" s="55"/>
      <c r="BL47" s="56"/>
      <c r="BM47" s="57">
        <f t="shared" si="71"/>
        <v>0</v>
      </c>
      <c r="BN47" s="55"/>
      <c r="BO47" s="56"/>
      <c r="BP47" s="57">
        <f>IFERROR(BN47*BO47, 0)</f>
        <v>0</v>
      </c>
      <c r="BQ47" s="55"/>
      <c r="BR47" s="56"/>
      <c r="BS47" s="57">
        <f t="shared" si="72"/>
        <v>0</v>
      </c>
      <c r="BT47" s="55"/>
      <c r="BU47" s="56"/>
      <c r="BV47" s="57">
        <f t="shared" si="54"/>
        <v>0</v>
      </c>
      <c r="BW47" s="55"/>
      <c r="BX47" s="56"/>
      <c r="BY47" s="57">
        <f t="shared" si="43"/>
        <v>0</v>
      </c>
      <c r="BZ47" s="55"/>
      <c r="CA47" s="56"/>
      <c r="CB47" s="57">
        <f t="shared" si="44"/>
        <v>0</v>
      </c>
      <c r="CC47" s="55"/>
      <c r="CD47" s="56"/>
      <c r="CE47" s="57">
        <f t="shared" si="45"/>
        <v>0</v>
      </c>
      <c r="CF47" s="55"/>
      <c r="CG47" s="56"/>
      <c r="CH47" s="57">
        <f t="shared" si="46"/>
        <v>0</v>
      </c>
      <c r="CI47" s="55"/>
      <c r="CJ47" s="56"/>
      <c r="CK47" s="57">
        <f t="shared" si="47"/>
        <v>0</v>
      </c>
      <c r="CL47" s="55"/>
      <c r="CM47" s="56"/>
      <c r="CN47" s="57">
        <f t="shared" si="48"/>
        <v>0</v>
      </c>
      <c r="CO47" s="55"/>
      <c r="CP47" s="56"/>
      <c r="CQ47" s="57">
        <f t="shared" si="49"/>
        <v>0</v>
      </c>
      <c r="CR47" s="55"/>
      <c r="CS47" s="56"/>
      <c r="CT47" s="57">
        <f t="shared" si="50"/>
        <v>0</v>
      </c>
      <c r="CU47" s="58">
        <f t="shared" si="51"/>
        <v>30</v>
      </c>
      <c r="CV47" s="57">
        <f t="shared" si="52"/>
        <v>1450.98</v>
      </c>
      <c r="CW47" s="57">
        <f t="shared" si="53"/>
        <v>43529.4</v>
      </c>
    </row>
    <row r="48" spans="1:101" ht="15.75" customHeight="1" x14ac:dyDescent="0.35">
      <c r="A48" s="53" t="s">
        <v>562</v>
      </c>
      <c r="B48" s="53" t="s">
        <v>846</v>
      </c>
      <c r="C48" s="55"/>
      <c r="D48" s="56"/>
      <c r="E48" s="57">
        <f t="shared" si="41"/>
        <v>0</v>
      </c>
      <c r="F48" s="55"/>
      <c r="G48" s="56"/>
      <c r="H48" s="57">
        <f t="shared" si="57"/>
        <v>0</v>
      </c>
      <c r="I48" s="55"/>
      <c r="J48" s="56"/>
      <c r="K48" s="57">
        <f t="shared" si="58"/>
        <v>0</v>
      </c>
      <c r="L48" s="55"/>
      <c r="M48" s="56"/>
      <c r="N48" s="57">
        <f t="shared" si="59"/>
        <v>0</v>
      </c>
      <c r="O48" s="55"/>
      <c r="P48" s="56"/>
      <c r="Q48" s="57">
        <f>IFERROR(O48*P48, 0)</f>
        <v>0</v>
      </c>
      <c r="R48" s="55"/>
      <c r="S48" s="56"/>
      <c r="T48" s="57">
        <f t="shared" si="60"/>
        <v>0</v>
      </c>
      <c r="U48" s="55"/>
      <c r="V48" s="56"/>
      <c r="W48" s="57">
        <f t="shared" si="61"/>
        <v>0</v>
      </c>
      <c r="X48" s="55"/>
      <c r="Y48" s="56"/>
      <c r="Z48" s="57">
        <f t="shared" si="62"/>
        <v>0</v>
      </c>
      <c r="AA48" s="55"/>
      <c r="AB48" s="56"/>
      <c r="AC48" s="57">
        <f t="shared" si="63"/>
        <v>0</v>
      </c>
      <c r="AD48" s="55"/>
      <c r="AE48" s="56"/>
      <c r="AF48" s="57">
        <f t="shared" si="64"/>
        <v>0</v>
      </c>
      <c r="AG48" s="55"/>
      <c r="AH48" s="56"/>
      <c r="AI48" s="57">
        <f t="shared" si="65"/>
        <v>0</v>
      </c>
      <c r="AJ48" s="55"/>
      <c r="AK48" s="56"/>
      <c r="AL48" s="57">
        <f t="shared" ref="AL48:AL56" si="74">IFERROR(AJ48*AK48, 0)</f>
        <v>0</v>
      </c>
      <c r="AM48" s="55"/>
      <c r="AN48" s="56"/>
      <c r="AO48" s="57">
        <f t="shared" si="66"/>
        <v>0</v>
      </c>
      <c r="AP48" s="55"/>
      <c r="AQ48" s="56"/>
      <c r="AR48" s="57">
        <f t="shared" si="73"/>
        <v>0</v>
      </c>
      <c r="AS48" s="55"/>
      <c r="AT48" s="56"/>
      <c r="AU48" s="57">
        <f t="shared" si="67"/>
        <v>0</v>
      </c>
      <c r="AV48" s="55"/>
      <c r="AW48" s="56"/>
      <c r="AX48" s="57">
        <f t="shared" si="68"/>
        <v>0</v>
      </c>
      <c r="AY48" s="55">
        <v>2</v>
      </c>
      <c r="AZ48" s="56">
        <v>5000</v>
      </c>
      <c r="BA48" s="57">
        <v>10000</v>
      </c>
      <c r="BB48" s="55"/>
      <c r="BC48" s="56"/>
      <c r="BD48" s="57">
        <f t="shared" si="56"/>
        <v>0</v>
      </c>
      <c r="BE48" s="55"/>
      <c r="BF48" s="56"/>
      <c r="BG48" s="57">
        <f t="shared" si="69"/>
        <v>0</v>
      </c>
      <c r="BH48" s="55"/>
      <c r="BI48" s="56"/>
      <c r="BJ48" s="57">
        <f t="shared" si="70"/>
        <v>0</v>
      </c>
      <c r="BK48" s="55"/>
      <c r="BL48" s="56"/>
      <c r="BM48" s="57">
        <f t="shared" si="71"/>
        <v>0</v>
      </c>
      <c r="BN48" s="55"/>
      <c r="BO48" s="56"/>
      <c r="BP48" s="57">
        <f>IFERROR(BN48*BO48, 0)</f>
        <v>0</v>
      </c>
      <c r="BQ48" s="55"/>
      <c r="BR48" s="56"/>
      <c r="BS48" s="57">
        <f t="shared" si="72"/>
        <v>0</v>
      </c>
      <c r="BT48" s="55"/>
      <c r="BU48" s="56"/>
      <c r="BV48" s="57">
        <f t="shared" si="54"/>
        <v>0</v>
      </c>
      <c r="BW48" s="55"/>
      <c r="BX48" s="56"/>
      <c r="BY48" s="57">
        <f t="shared" si="43"/>
        <v>0</v>
      </c>
      <c r="BZ48" s="55"/>
      <c r="CA48" s="56"/>
      <c r="CB48" s="57">
        <f t="shared" si="44"/>
        <v>0</v>
      </c>
      <c r="CC48" s="55"/>
      <c r="CD48" s="56"/>
      <c r="CE48" s="57">
        <f t="shared" si="45"/>
        <v>0</v>
      </c>
      <c r="CF48" s="55"/>
      <c r="CG48" s="56"/>
      <c r="CH48" s="57">
        <f t="shared" si="46"/>
        <v>0</v>
      </c>
      <c r="CI48" s="55"/>
      <c r="CJ48" s="56"/>
      <c r="CK48" s="57">
        <f t="shared" si="47"/>
        <v>0</v>
      </c>
      <c r="CL48" s="55"/>
      <c r="CM48" s="56"/>
      <c r="CN48" s="57">
        <f t="shared" si="48"/>
        <v>0</v>
      </c>
      <c r="CO48" s="55"/>
      <c r="CP48" s="56"/>
      <c r="CQ48" s="57">
        <f t="shared" si="49"/>
        <v>0</v>
      </c>
      <c r="CR48" s="55"/>
      <c r="CS48" s="56"/>
      <c r="CT48" s="57">
        <f t="shared" si="50"/>
        <v>0</v>
      </c>
      <c r="CU48" s="58">
        <f t="shared" si="51"/>
        <v>2</v>
      </c>
      <c r="CV48" s="57">
        <f t="shared" si="52"/>
        <v>5000</v>
      </c>
      <c r="CW48" s="57">
        <f t="shared" si="53"/>
        <v>10000</v>
      </c>
    </row>
    <row r="49" spans="1:101" ht="15.75" customHeight="1" x14ac:dyDescent="0.35">
      <c r="A49" s="53" t="s">
        <v>244</v>
      </c>
      <c r="B49" s="53" t="s">
        <v>846</v>
      </c>
      <c r="C49" s="55"/>
      <c r="D49" s="56"/>
      <c r="E49" s="57">
        <f t="shared" si="41"/>
        <v>0</v>
      </c>
      <c r="F49" s="55"/>
      <c r="G49" s="56"/>
      <c r="H49" s="57">
        <f t="shared" si="57"/>
        <v>0</v>
      </c>
      <c r="I49" s="55"/>
      <c r="J49" s="56"/>
      <c r="K49" s="57">
        <f t="shared" si="58"/>
        <v>0</v>
      </c>
      <c r="L49" s="55"/>
      <c r="M49" s="56"/>
      <c r="N49" s="57">
        <f t="shared" si="59"/>
        <v>0</v>
      </c>
      <c r="O49" s="55">
        <v>6</v>
      </c>
      <c r="P49" s="56">
        <v>3151.26</v>
      </c>
      <c r="Q49" s="57">
        <v>18907.560000000001</v>
      </c>
      <c r="R49" s="55"/>
      <c r="S49" s="56"/>
      <c r="T49" s="57">
        <f t="shared" si="60"/>
        <v>0</v>
      </c>
      <c r="U49" s="55"/>
      <c r="V49" s="56"/>
      <c r="W49" s="57">
        <f t="shared" si="61"/>
        <v>0</v>
      </c>
      <c r="X49" s="55"/>
      <c r="Y49" s="56"/>
      <c r="Z49" s="57">
        <f t="shared" si="62"/>
        <v>0</v>
      </c>
      <c r="AA49" s="55"/>
      <c r="AB49" s="56"/>
      <c r="AC49" s="57">
        <f t="shared" si="63"/>
        <v>0</v>
      </c>
      <c r="AD49" s="55"/>
      <c r="AE49" s="56"/>
      <c r="AF49" s="57">
        <f t="shared" si="64"/>
        <v>0</v>
      </c>
      <c r="AG49" s="55"/>
      <c r="AH49" s="56"/>
      <c r="AI49" s="57">
        <f t="shared" si="65"/>
        <v>0</v>
      </c>
      <c r="AJ49" s="55"/>
      <c r="AK49" s="56"/>
      <c r="AL49" s="57">
        <f t="shared" si="74"/>
        <v>0</v>
      </c>
      <c r="AM49" s="55"/>
      <c r="AN49" s="56"/>
      <c r="AO49" s="57">
        <f t="shared" si="66"/>
        <v>0</v>
      </c>
      <c r="AP49" s="55"/>
      <c r="AQ49" s="56"/>
      <c r="AR49" s="57">
        <f t="shared" si="73"/>
        <v>0</v>
      </c>
      <c r="AS49" s="55"/>
      <c r="AT49" s="56"/>
      <c r="AU49" s="57">
        <f t="shared" si="67"/>
        <v>0</v>
      </c>
      <c r="AV49" s="55"/>
      <c r="AW49" s="56"/>
      <c r="AX49" s="57">
        <f t="shared" si="68"/>
        <v>0</v>
      </c>
      <c r="AY49" s="55"/>
      <c r="AZ49" s="56"/>
      <c r="BA49" s="57">
        <f t="shared" ref="BA49:BA60" si="75">IFERROR(AY49*AZ49, 0)</f>
        <v>0</v>
      </c>
      <c r="BB49" s="55"/>
      <c r="BC49" s="56"/>
      <c r="BD49" s="57">
        <f t="shared" si="56"/>
        <v>0</v>
      </c>
      <c r="BE49" s="55"/>
      <c r="BF49" s="56"/>
      <c r="BG49" s="57">
        <f t="shared" si="69"/>
        <v>0</v>
      </c>
      <c r="BH49" s="55"/>
      <c r="BI49" s="56"/>
      <c r="BJ49" s="57">
        <f t="shared" si="70"/>
        <v>0</v>
      </c>
      <c r="BK49" s="55"/>
      <c r="BL49" s="56"/>
      <c r="BM49" s="57">
        <f t="shared" si="71"/>
        <v>0</v>
      </c>
      <c r="BN49" s="55">
        <v>12</v>
      </c>
      <c r="BO49" s="56">
        <v>3151.26</v>
      </c>
      <c r="BP49" s="57">
        <v>37815.120000000003</v>
      </c>
      <c r="BQ49" s="55"/>
      <c r="BR49" s="56"/>
      <c r="BS49" s="57">
        <f t="shared" si="72"/>
        <v>0</v>
      </c>
      <c r="BT49" s="55"/>
      <c r="BU49" s="56"/>
      <c r="BV49" s="57">
        <f t="shared" si="54"/>
        <v>0</v>
      </c>
      <c r="BW49" s="55"/>
      <c r="BX49" s="56"/>
      <c r="BY49" s="57">
        <f t="shared" si="43"/>
        <v>0</v>
      </c>
      <c r="BZ49" s="55"/>
      <c r="CA49" s="56"/>
      <c r="CB49" s="57">
        <f t="shared" si="44"/>
        <v>0</v>
      </c>
      <c r="CC49" s="55"/>
      <c r="CD49" s="56"/>
      <c r="CE49" s="57">
        <f t="shared" si="45"/>
        <v>0</v>
      </c>
      <c r="CF49" s="55"/>
      <c r="CG49" s="56"/>
      <c r="CH49" s="57">
        <f t="shared" si="46"/>
        <v>0</v>
      </c>
      <c r="CI49" s="55"/>
      <c r="CJ49" s="56"/>
      <c r="CK49" s="57">
        <f t="shared" si="47"/>
        <v>0</v>
      </c>
      <c r="CL49" s="55"/>
      <c r="CM49" s="56"/>
      <c r="CN49" s="57">
        <f t="shared" si="48"/>
        <v>0</v>
      </c>
      <c r="CO49" s="55"/>
      <c r="CP49" s="56"/>
      <c r="CQ49" s="57">
        <f t="shared" si="49"/>
        <v>0</v>
      </c>
      <c r="CR49" s="55"/>
      <c r="CS49" s="56"/>
      <c r="CT49" s="57">
        <f t="shared" si="50"/>
        <v>0</v>
      </c>
      <c r="CU49" s="58">
        <f t="shared" si="51"/>
        <v>18</v>
      </c>
      <c r="CV49" s="57">
        <f t="shared" si="52"/>
        <v>3151.26</v>
      </c>
      <c r="CW49" s="57">
        <f t="shared" si="53"/>
        <v>56722.680000000008</v>
      </c>
    </row>
    <row r="50" spans="1:101" ht="15.75" customHeight="1" x14ac:dyDescent="0.35">
      <c r="A50" s="53" t="s">
        <v>1059</v>
      </c>
      <c r="B50" s="53" t="s">
        <v>846</v>
      </c>
      <c r="C50" s="55"/>
      <c r="D50" s="56"/>
      <c r="E50" s="57">
        <f t="shared" si="41"/>
        <v>0</v>
      </c>
      <c r="F50" s="55"/>
      <c r="G50" s="56"/>
      <c r="H50" s="57">
        <f t="shared" si="57"/>
        <v>0</v>
      </c>
      <c r="I50" s="55"/>
      <c r="J50" s="56"/>
      <c r="K50" s="57">
        <f t="shared" si="58"/>
        <v>0</v>
      </c>
      <c r="L50" s="55"/>
      <c r="M50" s="56"/>
      <c r="N50" s="57">
        <f t="shared" si="59"/>
        <v>0</v>
      </c>
      <c r="O50" s="55"/>
      <c r="P50" s="56"/>
      <c r="Q50" s="57">
        <f t="shared" ref="Q50:Q60" si="76">IFERROR(O50*P50, 0)</f>
        <v>0</v>
      </c>
      <c r="R50" s="55"/>
      <c r="S50" s="56"/>
      <c r="T50" s="57">
        <f t="shared" si="60"/>
        <v>0</v>
      </c>
      <c r="U50" s="55"/>
      <c r="V50" s="56"/>
      <c r="W50" s="57">
        <f t="shared" si="61"/>
        <v>0</v>
      </c>
      <c r="X50" s="55"/>
      <c r="Y50" s="56"/>
      <c r="Z50" s="57">
        <f t="shared" si="62"/>
        <v>0</v>
      </c>
      <c r="AA50" s="55"/>
      <c r="AB50" s="56"/>
      <c r="AC50" s="57">
        <f t="shared" si="63"/>
        <v>0</v>
      </c>
      <c r="AD50" s="55"/>
      <c r="AE50" s="56"/>
      <c r="AF50" s="57">
        <f t="shared" si="64"/>
        <v>0</v>
      </c>
      <c r="AG50" s="55"/>
      <c r="AH50" s="56"/>
      <c r="AI50" s="57">
        <f t="shared" si="65"/>
        <v>0</v>
      </c>
      <c r="AJ50" s="55"/>
      <c r="AK50" s="56"/>
      <c r="AL50" s="57">
        <f t="shared" si="74"/>
        <v>0</v>
      </c>
      <c r="AM50" s="55"/>
      <c r="AN50" s="56"/>
      <c r="AO50" s="57">
        <f t="shared" si="66"/>
        <v>0</v>
      </c>
      <c r="AP50" s="55"/>
      <c r="AQ50" s="56"/>
      <c r="AR50" s="57">
        <f t="shared" si="73"/>
        <v>0</v>
      </c>
      <c r="AS50" s="55"/>
      <c r="AT50" s="56"/>
      <c r="AU50" s="57">
        <f t="shared" si="67"/>
        <v>0</v>
      </c>
      <c r="AV50" s="55"/>
      <c r="AW50" s="56"/>
      <c r="AX50" s="57">
        <f t="shared" si="68"/>
        <v>0</v>
      </c>
      <c r="AY50" s="55"/>
      <c r="AZ50" s="56"/>
      <c r="BA50" s="57">
        <f t="shared" si="75"/>
        <v>0</v>
      </c>
      <c r="BB50" s="55"/>
      <c r="BC50" s="56"/>
      <c r="BD50" s="57">
        <f t="shared" si="56"/>
        <v>0</v>
      </c>
      <c r="BE50" s="55"/>
      <c r="BF50" s="56"/>
      <c r="BG50" s="57">
        <f t="shared" si="69"/>
        <v>0</v>
      </c>
      <c r="BH50" s="55"/>
      <c r="BI50" s="56"/>
      <c r="BJ50" s="57">
        <f t="shared" si="70"/>
        <v>0</v>
      </c>
      <c r="BK50" s="55"/>
      <c r="BL50" s="56"/>
      <c r="BM50" s="57">
        <f t="shared" si="71"/>
        <v>0</v>
      </c>
      <c r="BN50" s="55"/>
      <c r="BO50" s="56"/>
      <c r="BP50" s="57">
        <f t="shared" ref="BP50:BP60" si="77">IFERROR(BN50*BO50, 0)</f>
        <v>0</v>
      </c>
      <c r="BQ50" s="55"/>
      <c r="BR50" s="56"/>
      <c r="BS50" s="57">
        <f t="shared" si="72"/>
        <v>0</v>
      </c>
      <c r="BT50" s="55"/>
      <c r="BU50" s="56"/>
      <c r="BV50" s="57">
        <f t="shared" si="54"/>
        <v>0</v>
      </c>
      <c r="BW50" s="55"/>
      <c r="BX50" s="56"/>
      <c r="BY50" s="57">
        <f t="shared" si="43"/>
        <v>0</v>
      </c>
      <c r="BZ50" s="55"/>
      <c r="CA50" s="56"/>
      <c r="CB50" s="57">
        <f t="shared" si="44"/>
        <v>0</v>
      </c>
      <c r="CC50" s="55"/>
      <c r="CD50" s="56"/>
      <c r="CE50" s="57">
        <f t="shared" si="45"/>
        <v>0</v>
      </c>
      <c r="CF50" s="55"/>
      <c r="CG50" s="56"/>
      <c r="CH50" s="57">
        <f t="shared" si="46"/>
        <v>0</v>
      </c>
      <c r="CI50" s="55"/>
      <c r="CJ50" s="56"/>
      <c r="CK50" s="57">
        <f t="shared" si="47"/>
        <v>0</v>
      </c>
      <c r="CL50" s="55"/>
      <c r="CM50" s="56"/>
      <c r="CN50" s="57">
        <f t="shared" si="48"/>
        <v>0</v>
      </c>
      <c r="CO50" s="55"/>
      <c r="CP50" s="56"/>
      <c r="CQ50" s="57">
        <f t="shared" si="49"/>
        <v>0</v>
      </c>
      <c r="CR50" s="55"/>
      <c r="CS50" s="56"/>
      <c r="CT50" s="57">
        <f t="shared" si="50"/>
        <v>0</v>
      </c>
      <c r="CU50" s="58">
        <f t="shared" si="51"/>
        <v>0</v>
      </c>
      <c r="CV50" s="57">
        <f t="shared" si="52"/>
        <v>0</v>
      </c>
      <c r="CW50" s="57">
        <f t="shared" si="53"/>
        <v>0</v>
      </c>
    </row>
    <row r="51" spans="1:101" ht="15.75" customHeight="1" x14ac:dyDescent="0.35">
      <c r="A51" s="53" t="s">
        <v>1060</v>
      </c>
      <c r="B51" s="53" t="s">
        <v>846</v>
      </c>
      <c r="C51" s="55"/>
      <c r="D51" s="56"/>
      <c r="E51" s="57">
        <f t="shared" si="41"/>
        <v>0</v>
      </c>
      <c r="F51" s="55"/>
      <c r="G51" s="56"/>
      <c r="H51" s="57">
        <f t="shared" si="57"/>
        <v>0</v>
      </c>
      <c r="I51" s="55"/>
      <c r="J51" s="56"/>
      <c r="K51" s="57">
        <f t="shared" si="58"/>
        <v>0</v>
      </c>
      <c r="L51" s="55"/>
      <c r="M51" s="56"/>
      <c r="N51" s="57">
        <f t="shared" si="59"/>
        <v>0</v>
      </c>
      <c r="O51" s="55"/>
      <c r="P51" s="56"/>
      <c r="Q51" s="57">
        <f t="shared" si="76"/>
        <v>0</v>
      </c>
      <c r="R51" s="55"/>
      <c r="S51" s="56"/>
      <c r="T51" s="57">
        <f t="shared" si="60"/>
        <v>0</v>
      </c>
      <c r="U51" s="55"/>
      <c r="V51" s="56"/>
      <c r="W51" s="57">
        <f t="shared" si="61"/>
        <v>0</v>
      </c>
      <c r="X51" s="55"/>
      <c r="Y51" s="56"/>
      <c r="Z51" s="57">
        <f t="shared" si="62"/>
        <v>0</v>
      </c>
      <c r="AA51" s="55"/>
      <c r="AB51" s="56"/>
      <c r="AC51" s="57">
        <f t="shared" si="63"/>
        <v>0</v>
      </c>
      <c r="AD51" s="55"/>
      <c r="AE51" s="56"/>
      <c r="AF51" s="57">
        <f t="shared" si="64"/>
        <v>0</v>
      </c>
      <c r="AG51" s="55"/>
      <c r="AH51" s="56"/>
      <c r="AI51" s="57">
        <f t="shared" si="65"/>
        <v>0</v>
      </c>
      <c r="AJ51" s="55"/>
      <c r="AK51" s="56"/>
      <c r="AL51" s="57">
        <f t="shared" si="74"/>
        <v>0</v>
      </c>
      <c r="AM51" s="55"/>
      <c r="AN51" s="56"/>
      <c r="AO51" s="57">
        <f t="shared" si="66"/>
        <v>0</v>
      </c>
      <c r="AP51" s="55"/>
      <c r="AQ51" s="56"/>
      <c r="AR51" s="57">
        <f t="shared" si="73"/>
        <v>0</v>
      </c>
      <c r="AS51" s="55"/>
      <c r="AT51" s="56"/>
      <c r="AU51" s="57">
        <f t="shared" si="67"/>
        <v>0</v>
      </c>
      <c r="AV51" s="55"/>
      <c r="AW51" s="56"/>
      <c r="AX51" s="57">
        <f t="shared" si="68"/>
        <v>0</v>
      </c>
      <c r="AY51" s="55"/>
      <c r="AZ51" s="56"/>
      <c r="BA51" s="57">
        <f t="shared" si="75"/>
        <v>0</v>
      </c>
      <c r="BB51" s="55"/>
      <c r="BC51" s="56"/>
      <c r="BD51" s="57">
        <f t="shared" si="56"/>
        <v>0</v>
      </c>
      <c r="BE51" s="55"/>
      <c r="BF51" s="56"/>
      <c r="BG51" s="57">
        <f t="shared" si="69"/>
        <v>0</v>
      </c>
      <c r="BH51" s="55"/>
      <c r="BI51" s="56"/>
      <c r="BJ51" s="57">
        <f t="shared" si="70"/>
        <v>0</v>
      </c>
      <c r="BK51" s="55"/>
      <c r="BL51" s="56"/>
      <c r="BM51" s="57">
        <f t="shared" si="71"/>
        <v>0</v>
      </c>
      <c r="BN51" s="55"/>
      <c r="BO51" s="56"/>
      <c r="BP51" s="57">
        <f t="shared" si="77"/>
        <v>0</v>
      </c>
      <c r="BQ51" s="55"/>
      <c r="BR51" s="56"/>
      <c r="BS51" s="57">
        <f t="shared" si="72"/>
        <v>0</v>
      </c>
      <c r="BT51" s="55"/>
      <c r="BU51" s="56"/>
      <c r="BV51" s="57">
        <f t="shared" si="54"/>
        <v>0</v>
      </c>
      <c r="BW51" s="55"/>
      <c r="BX51" s="56"/>
      <c r="BY51" s="57">
        <f t="shared" si="43"/>
        <v>0</v>
      </c>
      <c r="BZ51" s="55"/>
      <c r="CA51" s="56"/>
      <c r="CB51" s="57">
        <f t="shared" si="44"/>
        <v>0</v>
      </c>
      <c r="CC51" s="55"/>
      <c r="CD51" s="56"/>
      <c r="CE51" s="57">
        <f t="shared" si="45"/>
        <v>0</v>
      </c>
      <c r="CF51" s="55"/>
      <c r="CG51" s="56"/>
      <c r="CH51" s="57">
        <f t="shared" si="46"/>
        <v>0</v>
      </c>
      <c r="CI51" s="55"/>
      <c r="CJ51" s="56"/>
      <c r="CK51" s="57">
        <f t="shared" si="47"/>
        <v>0</v>
      </c>
      <c r="CL51" s="55"/>
      <c r="CM51" s="56"/>
      <c r="CN51" s="57">
        <f t="shared" si="48"/>
        <v>0</v>
      </c>
      <c r="CO51" s="55"/>
      <c r="CP51" s="56"/>
      <c r="CQ51" s="57">
        <f t="shared" si="49"/>
        <v>0</v>
      </c>
      <c r="CR51" s="55"/>
      <c r="CS51" s="56"/>
      <c r="CT51" s="57">
        <f t="shared" si="50"/>
        <v>0</v>
      </c>
      <c r="CU51" s="58">
        <f t="shared" si="51"/>
        <v>0</v>
      </c>
      <c r="CV51" s="57">
        <f t="shared" si="52"/>
        <v>0</v>
      </c>
      <c r="CW51" s="57">
        <f t="shared" si="53"/>
        <v>0</v>
      </c>
    </row>
    <row r="52" spans="1:101" ht="15.75" customHeight="1" x14ac:dyDescent="0.35">
      <c r="A52" s="53" t="s">
        <v>799</v>
      </c>
      <c r="B52" s="53" t="s">
        <v>846</v>
      </c>
      <c r="C52" s="55"/>
      <c r="D52" s="56"/>
      <c r="E52" s="57">
        <f t="shared" si="41"/>
        <v>0</v>
      </c>
      <c r="F52" s="55"/>
      <c r="G52" s="56"/>
      <c r="H52" s="57">
        <f t="shared" si="57"/>
        <v>0</v>
      </c>
      <c r="I52" s="55"/>
      <c r="J52" s="56"/>
      <c r="K52" s="57">
        <f t="shared" si="58"/>
        <v>0</v>
      </c>
      <c r="L52" s="55"/>
      <c r="M52" s="56"/>
      <c r="N52" s="57">
        <f t="shared" si="59"/>
        <v>0</v>
      </c>
      <c r="O52" s="55"/>
      <c r="P52" s="56"/>
      <c r="Q52" s="57">
        <f t="shared" si="76"/>
        <v>0</v>
      </c>
      <c r="R52" s="55"/>
      <c r="S52" s="56"/>
      <c r="T52" s="57">
        <f t="shared" si="60"/>
        <v>0</v>
      </c>
      <c r="U52" s="55"/>
      <c r="V52" s="56"/>
      <c r="W52" s="57">
        <f t="shared" si="61"/>
        <v>0</v>
      </c>
      <c r="X52" s="55"/>
      <c r="Y52" s="56"/>
      <c r="Z52" s="57">
        <f t="shared" si="62"/>
        <v>0</v>
      </c>
      <c r="AA52" s="55"/>
      <c r="AB52" s="56"/>
      <c r="AC52" s="57">
        <f t="shared" si="63"/>
        <v>0</v>
      </c>
      <c r="AD52" s="55"/>
      <c r="AE52" s="56"/>
      <c r="AF52" s="57">
        <f t="shared" si="64"/>
        <v>0</v>
      </c>
      <c r="AG52" s="55"/>
      <c r="AH52" s="56"/>
      <c r="AI52" s="57">
        <f t="shared" si="65"/>
        <v>0</v>
      </c>
      <c r="AJ52" s="55"/>
      <c r="AK52" s="56"/>
      <c r="AL52" s="57">
        <f t="shared" si="74"/>
        <v>0</v>
      </c>
      <c r="AM52" s="55"/>
      <c r="AN52" s="56"/>
      <c r="AO52" s="57">
        <f t="shared" si="66"/>
        <v>0</v>
      </c>
      <c r="AP52" s="55"/>
      <c r="AQ52" s="56"/>
      <c r="AR52" s="57">
        <f t="shared" si="73"/>
        <v>0</v>
      </c>
      <c r="AS52" s="55"/>
      <c r="AT52" s="56"/>
      <c r="AU52" s="57">
        <f t="shared" si="67"/>
        <v>0</v>
      </c>
      <c r="AV52" s="55"/>
      <c r="AW52" s="56"/>
      <c r="AX52" s="57">
        <f t="shared" si="68"/>
        <v>0</v>
      </c>
      <c r="AY52" s="55"/>
      <c r="AZ52" s="56"/>
      <c r="BA52" s="57">
        <f t="shared" si="75"/>
        <v>0</v>
      </c>
      <c r="BB52" s="55"/>
      <c r="BC52" s="56"/>
      <c r="BD52" s="57">
        <f t="shared" si="56"/>
        <v>0</v>
      </c>
      <c r="BE52" s="55"/>
      <c r="BF52" s="56"/>
      <c r="BG52" s="57">
        <f t="shared" si="69"/>
        <v>0</v>
      </c>
      <c r="BH52" s="55"/>
      <c r="BI52" s="56"/>
      <c r="BJ52" s="57">
        <f t="shared" si="70"/>
        <v>0</v>
      </c>
      <c r="BK52" s="55"/>
      <c r="BL52" s="56"/>
      <c r="BM52" s="57">
        <f t="shared" si="71"/>
        <v>0</v>
      </c>
      <c r="BN52" s="55"/>
      <c r="BO52" s="56"/>
      <c r="BP52" s="57">
        <f t="shared" si="77"/>
        <v>0</v>
      </c>
      <c r="BQ52" s="55"/>
      <c r="BR52" s="56"/>
      <c r="BS52" s="57">
        <f t="shared" si="72"/>
        <v>0</v>
      </c>
      <c r="BT52" s="55"/>
      <c r="BU52" s="56"/>
      <c r="BV52" s="57">
        <f t="shared" si="54"/>
        <v>0</v>
      </c>
      <c r="BW52" s="55"/>
      <c r="BX52" s="56"/>
      <c r="BY52" s="57">
        <f t="shared" si="43"/>
        <v>0</v>
      </c>
      <c r="BZ52" s="55"/>
      <c r="CA52" s="56"/>
      <c r="CB52" s="57">
        <f t="shared" si="44"/>
        <v>0</v>
      </c>
      <c r="CC52" s="55"/>
      <c r="CD52" s="56"/>
      <c r="CE52" s="57">
        <f t="shared" si="45"/>
        <v>0</v>
      </c>
      <c r="CF52" s="55"/>
      <c r="CG52" s="56"/>
      <c r="CH52" s="57">
        <f t="shared" si="46"/>
        <v>0</v>
      </c>
      <c r="CI52" s="55"/>
      <c r="CJ52" s="56"/>
      <c r="CK52" s="57">
        <f t="shared" si="47"/>
        <v>0</v>
      </c>
      <c r="CL52" s="55"/>
      <c r="CM52" s="56"/>
      <c r="CN52" s="57">
        <f t="shared" si="48"/>
        <v>0</v>
      </c>
      <c r="CO52" s="55"/>
      <c r="CP52" s="56"/>
      <c r="CQ52" s="57">
        <f t="shared" si="49"/>
        <v>0</v>
      </c>
      <c r="CR52" s="55"/>
      <c r="CS52" s="56"/>
      <c r="CT52" s="57">
        <f t="shared" si="50"/>
        <v>0</v>
      </c>
      <c r="CU52" s="58">
        <f t="shared" si="51"/>
        <v>0</v>
      </c>
      <c r="CV52" s="57">
        <f t="shared" si="52"/>
        <v>0</v>
      </c>
      <c r="CW52" s="57">
        <f t="shared" si="53"/>
        <v>0</v>
      </c>
    </row>
    <row r="53" spans="1:101" ht="15.75" customHeight="1" x14ac:dyDescent="0.35">
      <c r="A53" s="53" t="s">
        <v>1061</v>
      </c>
      <c r="B53" s="53" t="s">
        <v>846</v>
      </c>
      <c r="C53" s="55"/>
      <c r="D53" s="56"/>
      <c r="E53" s="57">
        <f t="shared" si="41"/>
        <v>0</v>
      </c>
      <c r="F53" s="55"/>
      <c r="G53" s="56"/>
      <c r="H53" s="57">
        <f t="shared" si="57"/>
        <v>0</v>
      </c>
      <c r="I53" s="55"/>
      <c r="J53" s="56"/>
      <c r="K53" s="57">
        <f t="shared" si="58"/>
        <v>0</v>
      </c>
      <c r="L53" s="55"/>
      <c r="M53" s="56"/>
      <c r="N53" s="57">
        <f t="shared" si="59"/>
        <v>0</v>
      </c>
      <c r="O53" s="55"/>
      <c r="P53" s="56"/>
      <c r="Q53" s="57">
        <f t="shared" si="76"/>
        <v>0</v>
      </c>
      <c r="R53" s="55"/>
      <c r="S53" s="56"/>
      <c r="T53" s="57">
        <f t="shared" si="60"/>
        <v>0</v>
      </c>
      <c r="U53" s="55"/>
      <c r="V53" s="56"/>
      <c r="W53" s="57">
        <f t="shared" si="61"/>
        <v>0</v>
      </c>
      <c r="X53" s="55"/>
      <c r="Y53" s="56"/>
      <c r="Z53" s="57">
        <f t="shared" si="62"/>
        <v>0</v>
      </c>
      <c r="AA53" s="55"/>
      <c r="AB53" s="56"/>
      <c r="AC53" s="57">
        <f t="shared" si="63"/>
        <v>0</v>
      </c>
      <c r="AD53" s="55"/>
      <c r="AE53" s="56"/>
      <c r="AF53" s="57">
        <f t="shared" si="64"/>
        <v>0</v>
      </c>
      <c r="AG53" s="55"/>
      <c r="AH53" s="56"/>
      <c r="AI53" s="57">
        <f t="shared" si="65"/>
        <v>0</v>
      </c>
      <c r="AJ53" s="55"/>
      <c r="AK53" s="56"/>
      <c r="AL53" s="57">
        <f t="shared" si="74"/>
        <v>0</v>
      </c>
      <c r="AM53" s="55"/>
      <c r="AN53" s="56"/>
      <c r="AO53" s="57">
        <f t="shared" si="66"/>
        <v>0</v>
      </c>
      <c r="AP53" s="55"/>
      <c r="AQ53" s="56"/>
      <c r="AR53" s="57">
        <f t="shared" si="73"/>
        <v>0</v>
      </c>
      <c r="AS53" s="55"/>
      <c r="AT53" s="56"/>
      <c r="AU53" s="57">
        <f t="shared" si="67"/>
        <v>0</v>
      </c>
      <c r="AV53" s="55"/>
      <c r="AW53" s="56"/>
      <c r="AX53" s="57">
        <f t="shared" si="68"/>
        <v>0</v>
      </c>
      <c r="AY53" s="55"/>
      <c r="AZ53" s="56"/>
      <c r="BA53" s="57">
        <f t="shared" si="75"/>
        <v>0</v>
      </c>
      <c r="BB53" s="55"/>
      <c r="BC53" s="56"/>
      <c r="BD53" s="57">
        <f t="shared" si="56"/>
        <v>0</v>
      </c>
      <c r="BE53" s="55"/>
      <c r="BF53" s="56"/>
      <c r="BG53" s="57">
        <f t="shared" si="69"/>
        <v>0</v>
      </c>
      <c r="BH53" s="55"/>
      <c r="BI53" s="56"/>
      <c r="BJ53" s="57">
        <f t="shared" si="70"/>
        <v>0</v>
      </c>
      <c r="BK53" s="55"/>
      <c r="BL53" s="56"/>
      <c r="BM53" s="57">
        <f t="shared" si="71"/>
        <v>0</v>
      </c>
      <c r="BN53" s="55"/>
      <c r="BO53" s="56"/>
      <c r="BP53" s="57">
        <f t="shared" si="77"/>
        <v>0</v>
      </c>
      <c r="BQ53" s="55"/>
      <c r="BR53" s="56"/>
      <c r="BS53" s="57">
        <f t="shared" si="72"/>
        <v>0</v>
      </c>
      <c r="BT53" s="55"/>
      <c r="BU53" s="56"/>
      <c r="BV53" s="57">
        <f t="shared" si="54"/>
        <v>0</v>
      </c>
      <c r="BW53" s="55"/>
      <c r="BX53" s="56"/>
      <c r="BY53" s="57">
        <f t="shared" si="43"/>
        <v>0</v>
      </c>
      <c r="BZ53" s="55"/>
      <c r="CA53" s="56"/>
      <c r="CB53" s="57">
        <f t="shared" si="44"/>
        <v>0</v>
      </c>
      <c r="CC53" s="55"/>
      <c r="CD53" s="56"/>
      <c r="CE53" s="57">
        <f t="shared" si="45"/>
        <v>0</v>
      </c>
      <c r="CF53" s="55"/>
      <c r="CG53" s="56"/>
      <c r="CH53" s="57">
        <f t="shared" si="46"/>
        <v>0</v>
      </c>
      <c r="CI53" s="55"/>
      <c r="CJ53" s="56"/>
      <c r="CK53" s="57">
        <f t="shared" si="47"/>
        <v>0</v>
      </c>
      <c r="CL53" s="55"/>
      <c r="CM53" s="56"/>
      <c r="CN53" s="57">
        <f t="shared" si="48"/>
        <v>0</v>
      </c>
      <c r="CO53" s="55"/>
      <c r="CP53" s="56"/>
      <c r="CQ53" s="57">
        <f t="shared" si="49"/>
        <v>0</v>
      </c>
      <c r="CR53" s="55"/>
      <c r="CS53" s="56"/>
      <c r="CT53" s="57">
        <f t="shared" si="50"/>
        <v>0</v>
      </c>
      <c r="CU53" s="58">
        <f t="shared" si="51"/>
        <v>0</v>
      </c>
      <c r="CV53" s="57">
        <f t="shared" si="52"/>
        <v>0</v>
      </c>
      <c r="CW53" s="57">
        <f t="shared" si="53"/>
        <v>0</v>
      </c>
    </row>
    <row r="54" spans="1:101" ht="15.75" customHeight="1" x14ac:dyDescent="0.35">
      <c r="A54" s="53" t="s">
        <v>1062</v>
      </c>
      <c r="B54" s="21" t="s">
        <v>846</v>
      </c>
      <c r="C54" s="76"/>
      <c r="D54" s="76"/>
      <c r="E54" s="57">
        <f t="shared" si="41"/>
        <v>0</v>
      </c>
      <c r="F54" s="55"/>
      <c r="G54" s="56"/>
      <c r="H54" s="57">
        <f t="shared" si="57"/>
        <v>0</v>
      </c>
      <c r="I54" s="55"/>
      <c r="J54" s="56"/>
      <c r="K54" s="57">
        <f t="shared" si="58"/>
        <v>0</v>
      </c>
      <c r="L54" s="55"/>
      <c r="M54" s="56"/>
      <c r="N54" s="57">
        <f t="shared" si="59"/>
        <v>0</v>
      </c>
      <c r="O54" s="55"/>
      <c r="P54" s="56"/>
      <c r="Q54" s="57">
        <f t="shared" si="76"/>
        <v>0</v>
      </c>
      <c r="R54" s="55"/>
      <c r="S54" s="56"/>
      <c r="T54" s="57">
        <f t="shared" si="60"/>
        <v>0</v>
      </c>
      <c r="U54" s="55"/>
      <c r="V54" s="56"/>
      <c r="W54" s="57">
        <f t="shared" si="61"/>
        <v>0</v>
      </c>
      <c r="X54" s="55"/>
      <c r="Y54" s="56"/>
      <c r="Z54" s="57">
        <f t="shared" si="62"/>
        <v>0</v>
      </c>
      <c r="AA54" s="55"/>
      <c r="AB54" s="56"/>
      <c r="AC54" s="57">
        <f t="shared" si="63"/>
        <v>0</v>
      </c>
      <c r="AD54" s="55"/>
      <c r="AE54" s="56"/>
      <c r="AF54" s="57">
        <f t="shared" si="64"/>
        <v>0</v>
      </c>
      <c r="AG54" s="55"/>
      <c r="AH54" s="56"/>
      <c r="AI54" s="57">
        <f t="shared" si="65"/>
        <v>0</v>
      </c>
      <c r="AJ54" s="55"/>
      <c r="AK54" s="56"/>
      <c r="AL54" s="57">
        <f t="shared" si="74"/>
        <v>0</v>
      </c>
      <c r="AM54" s="55"/>
      <c r="AN54" s="56"/>
      <c r="AO54" s="57">
        <f t="shared" si="66"/>
        <v>0</v>
      </c>
      <c r="AP54" s="55"/>
      <c r="AQ54" s="56"/>
      <c r="AR54" s="57">
        <f t="shared" si="73"/>
        <v>0</v>
      </c>
      <c r="AS54" s="55"/>
      <c r="AT54" s="56"/>
      <c r="AU54" s="57">
        <f t="shared" si="67"/>
        <v>0</v>
      </c>
      <c r="AV54" s="55"/>
      <c r="AW54" s="56"/>
      <c r="AX54" s="57">
        <f t="shared" si="68"/>
        <v>0</v>
      </c>
      <c r="AY54" s="55"/>
      <c r="AZ54" s="56"/>
      <c r="BA54" s="57">
        <f t="shared" si="75"/>
        <v>0</v>
      </c>
      <c r="BB54" s="55"/>
      <c r="BC54" s="56"/>
      <c r="BD54" s="57">
        <f t="shared" si="56"/>
        <v>0</v>
      </c>
      <c r="BE54" s="55"/>
      <c r="BF54" s="56"/>
      <c r="BG54" s="57">
        <f t="shared" si="69"/>
        <v>0</v>
      </c>
      <c r="BH54" s="55"/>
      <c r="BI54" s="56"/>
      <c r="BJ54" s="57">
        <f t="shared" si="70"/>
        <v>0</v>
      </c>
      <c r="BK54" s="55"/>
      <c r="BL54" s="56"/>
      <c r="BM54" s="57">
        <f t="shared" si="71"/>
        <v>0</v>
      </c>
      <c r="BN54" s="55"/>
      <c r="BO54" s="56"/>
      <c r="BP54" s="57">
        <f t="shared" si="77"/>
        <v>0</v>
      </c>
      <c r="BQ54" s="55"/>
      <c r="BR54" s="56"/>
      <c r="BS54" s="57">
        <f t="shared" si="72"/>
        <v>0</v>
      </c>
      <c r="BT54" s="55"/>
      <c r="BU54" s="56"/>
      <c r="BV54" s="57">
        <f t="shared" si="54"/>
        <v>0</v>
      </c>
      <c r="BW54" s="55"/>
      <c r="BX54" s="56"/>
      <c r="BY54" s="57">
        <f t="shared" si="43"/>
        <v>0</v>
      </c>
      <c r="BZ54" s="55"/>
      <c r="CA54" s="56"/>
      <c r="CB54" s="57">
        <f t="shared" si="44"/>
        <v>0</v>
      </c>
      <c r="CC54" s="55"/>
      <c r="CD54" s="56"/>
      <c r="CE54" s="57">
        <f t="shared" si="45"/>
        <v>0</v>
      </c>
      <c r="CF54" s="55"/>
      <c r="CG54" s="56"/>
      <c r="CH54" s="57">
        <f t="shared" si="46"/>
        <v>0</v>
      </c>
      <c r="CI54" s="55"/>
      <c r="CJ54" s="56"/>
      <c r="CK54" s="57">
        <f t="shared" si="47"/>
        <v>0</v>
      </c>
      <c r="CL54" s="55"/>
      <c r="CM54" s="56"/>
      <c r="CN54" s="57">
        <f t="shared" si="48"/>
        <v>0</v>
      </c>
      <c r="CO54" s="55"/>
      <c r="CP54" s="56"/>
      <c r="CQ54" s="57">
        <f t="shared" si="49"/>
        <v>0</v>
      </c>
      <c r="CR54" s="55"/>
      <c r="CS54" s="56"/>
      <c r="CT54" s="57">
        <f t="shared" si="50"/>
        <v>0</v>
      </c>
      <c r="CU54" s="58">
        <f t="shared" si="51"/>
        <v>0</v>
      </c>
      <c r="CV54" s="57">
        <f t="shared" si="52"/>
        <v>0</v>
      </c>
      <c r="CW54" s="57">
        <f t="shared" si="53"/>
        <v>0</v>
      </c>
    </row>
    <row r="55" spans="1:101" ht="15.75" customHeight="1" x14ac:dyDescent="0.35">
      <c r="A55" s="21" t="s">
        <v>1063</v>
      </c>
      <c r="B55" s="21" t="s">
        <v>846</v>
      </c>
      <c r="C55" s="21"/>
      <c r="D55" s="21"/>
      <c r="E55" s="57">
        <f t="shared" si="41"/>
        <v>0</v>
      </c>
      <c r="F55" s="55"/>
      <c r="G55" s="56"/>
      <c r="H55" s="57">
        <f t="shared" si="57"/>
        <v>0</v>
      </c>
      <c r="I55" s="55"/>
      <c r="J55" s="56"/>
      <c r="K55" s="57">
        <f t="shared" si="58"/>
        <v>0</v>
      </c>
      <c r="L55" s="55"/>
      <c r="M55" s="56"/>
      <c r="N55" s="57">
        <f t="shared" si="59"/>
        <v>0</v>
      </c>
      <c r="O55" s="55"/>
      <c r="P55" s="56"/>
      <c r="Q55" s="57">
        <f t="shared" si="76"/>
        <v>0</v>
      </c>
      <c r="R55" s="55"/>
      <c r="S55" s="56"/>
      <c r="T55" s="57">
        <f t="shared" si="60"/>
        <v>0</v>
      </c>
      <c r="U55" s="55"/>
      <c r="V55" s="56"/>
      <c r="W55" s="57">
        <f t="shared" si="61"/>
        <v>0</v>
      </c>
      <c r="X55" s="55"/>
      <c r="Y55" s="56"/>
      <c r="Z55" s="57">
        <f t="shared" si="62"/>
        <v>0</v>
      </c>
      <c r="AA55" s="55"/>
      <c r="AB55" s="56"/>
      <c r="AC55" s="57">
        <f t="shared" si="63"/>
        <v>0</v>
      </c>
      <c r="AD55" s="55"/>
      <c r="AE55" s="56"/>
      <c r="AF55" s="57">
        <f t="shared" si="64"/>
        <v>0</v>
      </c>
      <c r="AG55" s="55"/>
      <c r="AH55" s="56"/>
      <c r="AI55" s="57">
        <f t="shared" si="65"/>
        <v>0</v>
      </c>
      <c r="AJ55" s="55"/>
      <c r="AK55" s="56"/>
      <c r="AL55" s="57">
        <f t="shared" si="74"/>
        <v>0</v>
      </c>
      <c r="AM55" s="55"/>
      <c r="AN55" s="56"/>
      <c r="AO55" s="57">
        <f t="shared" si="66"/>
        <v>0</v>
      </c>
      <c r="AP55" s="55"/>
      <c r="AQ55" s="56"/>
      <c r="AR55" s="57">
        <f t="shared" si="73"/>
        <v>0</v>
      </c>
      <c r="AS55" s="55"/>
      <c r="AT55" s="56"/>
      <c r="AU55" s="57">
        <f t="shared" si="67"/>
        <v>0</v>
      </c>
      <c r="AV55" s="55"/>
      <c r="AW55" s="56"/>
      <c r="AX55" s="57">
        <f t="shared" si="68"/>
        <v>0</v>
      </c>
      <c r="AY55" s="55"/>
      <c r="AZ55" s="56"/>
      <c r="BA55" s="57">
        <f t="shared" si="75"/>
        <v>0</v>
      </c>
      <c r="BB55" s="55"/>
      <c r="BC55" s="56"/>
      <c r="BD55" s="57">
        <f t="shared" si="56"/>
        <v>0</v>
      </c>
      <c r="BE55" s="55"/>
      <c r="BF55" s="56"/>
      <c r="BG55" s="57">
        <f t="shared" si="69"/>
        <v>0</v>
      </c>
      <c r="BH55" s="55"/>
      <c r="BI55" s="56"/>
      <c r="BJ55" s="57">
        <f t="shared" si="70"/>
        <v>0</v>
      </c>
      <c r="BK55" s="55"/>
      <c r="BL55" s="56"/>
      <c r="BM55" s="57">
        <f t="shared" si="71"/>
        <v>0</v>
      </c>
      <c r="BN55" s="55"/>
      <c r="BO55" s="56"/>
      <c r="BP55" s="57">
        <f t="shared" si="77"/>
        <v>0</v>
      </c>
      <c r="BQ55" s="55"/>
      <c r="BR55" s="56"/>
      <c r="BS55" s="57">
        <f t="shared" si="72"/>
        <v>0</v>
      </c>
      <c r="BT55" s="55"/>
      <c r="BU55" s="56"/>
      <c r="BV55" s="57">
        <f t="shared" si="54"/>
        <v>0</v>
      </c>
      <c r="BW55" s="55"/>
      <c r="BX55" s="56"/>
      <c r="BY55" s="57">
        <f t="shared" si="43"/>
        <v>0</v>
      </c>
      <c r="BZ55" s="55"/>
      <c r="CA55" s="56"/>
      <c r="CB55" s="57">
        <f t="shared" si="44"/>
        <v>0</v>
      </c>
      <c r="CC55" s="55"/>
      <c r="CD55" s="56"/>
      <c r="CE55" s="57">
        <f t="shared" si="45"/>
        <v>0</v>
      </c>
      <c r="CF55" s="55"/>
      <c r="CG55" s="56"/>
      <c r="CH55" s="57">
        <f t="shared" si="46"/>
        <v>0</v>
      </c>
      <c r="CI55" s="55"/>
      <c r="CJ55" s="56"/>
      <c r="CK55" s="57">
        <f t="shared" si="47"/>
        <v>0</v>
      </c>
      <c r="CL55" s="55"/>
      <c r="CM55" s="56"/>
      <c r="CN55" s="57">
        <f t="shared" si="48"/>
        <v>0</v>
      </c>
      <c r="CO55" s="55"/>
      <c r="CP55" s="56"/>
      <c r="CQ55" s="57">
        <f t="shared" si="49"/>
        <v>0</v>
      </c>
      <c r="CR55" s="55"/>
      <c r="CS55" s="56"/>
      <c r="CT55" s="57">
        <f t="shared" si="50"/>
        <v>0</v>
      </c>
      <c r="CU55" s="58">
        <f t="shared" si="51"/>
        <v>0</v>
      </c>
      <c r="CV55" s="57">
        <f t="shared" si="52"/>
        <v>0</v>
      </c>
      <c r="CW55" s="57">
        <f t="shared" si="53"/>
        <v>0</v>
      </c>
    </row>
    <row r="56" spans="1:101" ht="15.75" customHeight="1" x14ac:dyDescent="0.35">
      <c r="A56" s="21" t="s">
        <v>1064</v>
      </c>
      <c r="B56" s="21" t="s">
        <v>846</v>
      </c>
      <c r="C56" s="21"/>
      <c r="D56" s="21"/>
      <c r="E56" s="57">
        <f t="shared" si="41"/>
        <v>0</v>
      </c>
      <c r="F56" s="55"/>
      <c r="G56" s="56"/>
      <c r="H56" s="57">
        <f t="shared" si="57"/>
        <v>0</v>
      </c>
      <c r="I56" s="55"/>
      <c r="J56" s="56"/>
      <c r="K56" s="57">
        <f t="shared" si="58"/>
        <v>0</v>
      </c>
      <c r="L56" s="55"/>
      <c r="M56" s="56"/>
      <c r="N56" s="57">
        <f t="shared" si="59"/>
        <v>0</v>
      </c>
      <c r="O56" s="55"/>
      <c r="P56" s="56"/>
      <c r="Q56" s="57">
        <f t="shared" si="76"/>
        <v>0</v>
      </c>
      <c r="R56" s="55"/>
      <c r="S56" s="56"/>
      <c r="T56" s="57">
        <f t="shared" si="60"/>
        <v>0</v>
      </c>
      <c r="U56" s="55"/>
      <c r="V56" s="56"/>
      <c r="W56" s="57">
        <f t="shared" si="61"/>
        <v>0</v>
      </c>
      <c r="X56" s="55"/>
      <c r="Y56" s="56"/>
      <c r="Z56" s="57">
        <f t="shared" si="62"/>
        <v>0</v>
      </c>
      <c r="AA56" s="55"/>
      <c r="AB56" s="56"/>
      <c r="AC56" s="57">
        <f t="shared" si="63"/>
        <v>0</v>
      </c>
      <c r="AD56" s="55"/>
      <c r="AE56" s="56"/>
      <c r="AF56" s="57">
        <f t="shared" si="64"/>
        <v>0</v>
      </c>
      <c r="AG56" s="55"/>
      <c r="AH56" s="56"/>
      <c r="AI56" s="57">
        <f t="shared" si="65"/>
        <v>0</v>
      </c>
      <c r="AJ56" s="55"/>
      <c r="AK56" s="56"/>
      <c r="AL56" s="57">
        <f t="shared" si="74"/>
        <v>0</v>
      </c>
      <c r="AM56" s="55"/>
      <c r="AN56" s="56"/>
      <c r="AO56" s="57">
        <f t="shared" si="66"/>
        <v>0</v>
      </c>
      <c r="AP56" s="55"/>
      <c r="AQ56" s="56"/>
      <c r="AR56" s="57">
        <f t="shared" si="73"/>
        <v>0</v>
      </c>
      <c r="AS56" s="55"/>
      <c r="AT56" s="56"/>
      <c r="AU56" s="57">
        <f t="shared" si="67"/>
        <v>0</v>
      </c>
      <c r="AV56" s="55"/>
      <c r="AW56" s="56"/>
      <c r="AX56" s="57">
        <f t="shared" si="68"/>
        <v>0</v>
      </c>
      <c r="AY56" s="55"/>
      <c r="AZ56" s="56"/>
      <c r="BA56" s="57">
        <f t="shared" si="75"/>
        <v>0</v>
      </c>
      <c r="BB56" s="55"/>
      <c r="BC56" s="56"/>
      <c r="BD56" s="57">
        <f t="shared" si="56"/>
        <v>0</v>
      </c>
      <c r="BE56" s="55"/>
      <c r="BF56" s="56"/>
      <c r="BG56" s="57">
        <f t="shared" si="69"/>
        <v>0</v>
      </c>
      <c r="BH56" s="55"/>
      <c r="BI56" s="56"/>
      <c r="BJ56" s="57">
        <f t="shared" si="70"/>
        <v>0</v>
      </c>
      <c r="BK56" s="55"/>
      <c r="BL56" s="56"/>
      <c r="BM56" s="57">
        <f t="shared" si="71"/>
        <v>0</v>
      </c>
      <c r="BN56" s="55"/>
      <c r="BO56" s="56"/>
      <c r="BP56" s="57">
        <f t="shared" si="77"/>
        <v>0</v>
      </c>
      <c r="BQ56" s="55"/>
      <c r="BR56" s="56"/>
      <c r="BS56" s="57">
        <f t="shared" si="72"/>
        <v>0</v>
      </c>
      <c r="BT56" s="55"/>
      <c r="BU56" s="56"/>
      <c r="BV56" s="57">
        <f t="shared" si="54"/>
        <v>0</v>
      </c>
      <c r="BW56" s="55"/>
      <c r="BX56" s="56"/>
      <c r="BY56" s="57">
        <f t="shared" si="43"/>
        <v>0</v>
      </c>
      <c r="BZ56" s="55"/>
      <c r="CA56" s="56"/>
      <c r="CB56" s="57">
        <f t="shared" si="44"/>
        <v>0</v>
      </c>
      <c r="CC56" s="55"/>
      <c r="CD56" s="56"/>
      <c r="CE56" s="57">
        <f t="shared" si="45"/>
        <v>0</v>
      </c>
      <c r="CF56" s="55"/>
      <c r="CG56" s="56"/>
      <c r="CH56" s="57">
        <f t="shared" si="46"/>
        <v>0</v>
      </c>
      <c r="CI56" s="55"/>
      <c r="CJ56" s="56"/>
      <c r="CK56" s="57">
        <f t="shared" si="47"/>
        <v>0</v>
      </c>
      <c r="CL56" s="55"/>
      <c r="CM56" s="56"/>
      <c r="CN56" s="57">
        <f t="shared" si="48"/>
        <v>0</v>
      </c>
      <c r="CO56" s="55"/>
      <c r="CP56" s="56"/>
      <c r="CQ56" s="57">
        <f t="shared" si="49"/>
        <v>0</v>
      </c>
      <c r="CR56" s="55"/>
      <c r="CS56" s="56"/>
      <c r="CT56" s="57">
        <f t="shared" si="50"/>
        <v>0</v>
      </c>
      <c r="CU56" s="58">
        <f t="shared" si="51"/>
        <v>0</v>
      </c>
      <c r="CV56" s="57">
        <f t="shared" si="52"/>
        <v>0</v>
      </c>
      <c r="CW56" s="57">
        <f t="shared" si="53"/>
        <v>0</v>
      </c>
    </row>
    <row r="57" spans="1:101" ht="15.75" customHeight="1" x14ac:dyDescent="0.35">
      <c r="A57" s="53" t="s">
        <v>444</v>
      </c>
      <c r="B57" s="53" t="s">
        <v>846</v>
      </c>
      <c r="C57" s="55"/>
      <c r="D57" s="56"/>
      <c r="E57" s="57">
        <f t="shared" si="41"/>
        <v>0</v>
      </c>
      <c r="F57" s="55"/>
      <c r="G57" s="56"/>
      <c r="H57" s="57">
        <f t="shared" si="57"/>
        <v>0</v>
      </c>
      <c r="I57" s="55"/>
      <c r="J57" s="56"/>
      <c r="K57" s="57">
        <f t="shared" si="58"/>
        <v>0</v>
      </c>
      <c r="L57" s="55"/>
      <c r="M57" s="56"/>
      <c r="N57" s="57">
        <f t="shared" si="59"/>
        <v>0</v>
      </c>
      <c r="O57" s="55"/>
      <c r="P57" s="56"/>
      <c r="Q57" s="57">
        <f t="shared" si="76"/>
        <v>0</v>
      </c>
      <c r="R57" s="55"/>
      <c r="S57" s="56"/>
      <c r="T57" s="57">
        <f t="shared" si="60"/>
        <v>0</v>
      </c>
      <c r="U57" s="55"/>
      <c r="V57" s="56"/>
      <c r="W57" s="57">
        <f t="shared" si="61"/>
        <v>0</v>
      </c>
      <c r="X57" s="55"/>
      <c r="Y57" s="56"/>
      <c r="Z57" s="57">
        <f t="shared" si="62"/>
        <v>0</v>
      </c>
      <c r="AA57" s="55"/>
      <c r="AB57" s="56"/>
      <c r="AC57" s="57">
        <f t="shared" si="63"/>
        <v>0</v>
      </c>
      <c r="AD57" s="55"/>
      <c r="AE57" s="56"/>
      <c r="AF57" s="57">
        <f t="shared" si="64"/>
        <v>0</v>
      </c>
      <c r="AG57" s="55"/>
      <c r="AH57" s="56"/>
      <c r="AI57" s="57">
        <f t="shared" si="65"/>
        <v>0</v>
      </c>
      <c r="AJ57" s="55">
        <v>1</v>
      </c>
      <c r="AK57" s="56">
        <v>60900</v>
      </c>
      <c r="AL57" s="57">
        <v>60900</v>
      </c>
      <c r="AM57" s="55"/>
      <c r="AN57" s="56"/>
      <c r="AO57" s="57">
        <f t="shared" si="66"/>
        <v>0</v>
      </c>
      <c r="AP57" s="55"/>
      <c r="AQ57" s="56"/>
      <c r="AR57" s="57">
        <f t="shared" si="73"/>
        <v>0</v>
      </c>
      <c r="AS57" s="55"/>
      <c r="AT57" s="56"/>
      <c r="AU57" s="57">
        <f t="shared" si="67"/>
        <v>0</v>
      </c>
      <c r="AV57" s="55"/>
      <c r="AW57" s="56"/>
      <c r="AX57" s="57">
        <f t="shared" si="68"/>
        <v>0</v>
      </c>
      <c r="AY57" s="55"/>
      <c r="AZ57" s="56"/>
      <c r="BA57" s="57">
        <f t="shared" si="75"/>
        <v>0</v>
      </c>
      <c r="BB57" s="55">
        <v>1</v>
      </c>
      <c r="BC57" s="56">
        <v>60900</v>
      </c>
      <c r="BD57" s="57">
        <v>60900</v>
      </c>
      <c r="BE57" s="55"/>
      <c r="BF57" s="56"/>
      <c r="BG57" s="57">
        <f t="shared" si="69"/>
        <v>0</v>
      </c>
      <c r="BH57" s="55"/>
      <c r="BI57" s="56"/>
      <c r="BJ57" s="57">
        <f t="shared" si="70"/>
        <v>0</v>
      </c>
      <c r="BK57" s="55"/>
      <c r="BL57" s="56"/>
      <c r="BM57" s="57">
        <f t="shared" si="71"/>
        <v>0</v>
      </c>
      <c r="BN57" s="55"/>
      <c r="BO57" s="56"/>
      <c r="BP57" s="57">
        <f t="shared" si="77"/>
        <v>0</v>
      </c>
      <c r="BQ57" s="55"/>
      <c r="BR57" s="56"/>
      <c r="BS57" s="57">
        <f t="shared" si="72"/>
        <v>0</v>
      </c>
      <c r="BT57" s="55"/>
      <c r="BU57" s="56"/>
      <c r="BV57" s="57">
        <f t="shared" si="54"/>
        <v>0</v>
      </c>
      <c r="BW57" s="55"/>
      <c r="BX57" s="56"/>
      <c r="BY57" s="57">
        <f t="shared" si="43"/>
        <v>0</v>
      </c>
      <c r="BZ57" s="55"/>
      <c r="CA57" s="56"/>
      <c r="CB57" s="57">
        <f t="shared" si="44"/>
        <v>0</v>
      </c>
      <c r="CC57" s="55"/>
      <c r="CD57" s="56"/>
      <c r="CE57" s="57">
        <f t="shared" si="45"/>
        <v>0</v>
      </c>
      <c r="CF57" s="55"/>
      <c r="CG57" s="56"/>
      <c r="CH57" s="57">
        <f t="shared" si="46"/>
        <v>0</v>
      </c>
      <c r="CI57" s="55"/>
      <c r="CJ57" s="56"/>
      <c r="CK57" s="57">
        <f t="shared" si="47"/>
        <v>0</v>
      </c>
      <c r="CL57" s="55"/>
      <c r="CM57" s="56"/>
      <c r="CN57" s="57">
        <f t="shared" si="48"/>
        <v>0</v>
      </c>
      <c r="CO57" s="55"/>
      <c r="CP57" s="56"/>
      <c r="CQ57" s="57">
        <f t="shared" si="49"/>
        <v>0</v>
      </c>
      <c r="CR57" s="55"/>
      <c r="CS57" s="56"/>
      <c r="CT57" s="57">
        <f t="shared" si="50"/>
        <v>0</v>
      </c>
      <c r="CU57" s="58">
        <f t="shared" si="51"/>
        <v>2</v>
      </c>
      <c r="CV57" s="57">
        <f t="shared" si="52"/>
        <v>60900</v>
      </c>
      <c r="CW57" s="57">
        <f t="shared" si="53"/>
        <v>121800</v>
      </c>
    </row>
    <row r="58" spans="1:101" ht="15.75" customHeight="1" x14ac:dyDescent="0.35">
      <c r="A58" s="53" t="s">
        <v>1065</v>
      </c>
      <c r="B58" s="53" t="s">
        <v>846</v>
      </c>
      <c r="C58" s="55"/>
      <c r="D58" s="56"/>
      <c r="E58" s="57">
        <f t="shared" si="41"/>
        <v>0</v>
      </c>
      <c r="F58" s="55"/>
      <c r="G58" s="56"/>
      <c r="H58" s="57">
        <f t="shared" si="57"/>
        <v>0</v>
      </c>
      <c r="I58" s="55"/>
      <c r="J58" s="56"/>
      <c r="K58" s="57">
        <f t="shared" si="58"/>
        <v>0</v>
      </c>
      <c r="L58" s="55"/>
      <c r="M58" s="56"/>
      <c r="N58" s="57">
        <f t="shared" si="59"/>
        <v>0</v>
      </c>
      <c r="O58" s="55"/>
      <c r="P58" s="56"/>
      <c r="Q58" s="57">
        <f t="shared" si="76"/>
        <v>0</v>
      </c>
      <c r="R58" s="55"/>
      <c r="S58" s="56"/>
      <c r="T58" s="57">
        <f t="shared" si="60"/>
        <v>0</v>
      </c>
      <c r="U58" s="55"/>
      <c r="V58" s="56"/>
      <c r="W58" s="57">
        <f t="shared" si="61"/>
        <v>0</v>
      </c>
      <c r="X58" s="55"/>
      <c r="Y58" s="56"/>
      <c r="Z58" s="57">
        <f t="shared" si="62"/>
        <v>0</v>
      </c>
      <c r="AA58" s="55"/>
      <c r="AB58" s="56"/>
      <c r="AC58" s="57">
        <f t="shared" si="63"/>
        <v>0</v>
      </c>
      <c r="AD58" s="55"/>
      <c r="AE58" s="56"/>
      <c r="AF58" s="57">
        <f t="shared" si="64"/>
        <v>0</v>
      </c>
      <c r="AG58" s="55"/>
      <c r="AH58" s="56"/>
      <c r="AI58" s="57">
        <f t="shared" si="65"/>
        <v>0</v>
      </c>
      <c r="AJ58" s="55"/>
      <c r="AK58" s="56"/>
      <c r="AL58" s="57">
        <f>IFERROR(AJ58*AK58, 0)</f>
        <v>0</v>
      </c>
      <c r="AM58" s="55"/>
      <c r="AN58" s="56"/>
      <c r="AO58" s="57">
        <f t="shared" si="66"/>
        <v>0</v>
      </c>
      <c r="AP58" s="55"/>
      <c r="AQ58" s="56"/>
      <c r="AR58" s="57">
        <f t="shared" si="73"/>
        <v>0</v>
      </c>
      <c r="AS58" s="55"/>
      <c r="AT58" s="56"/>
      <c r="AU58" s="57">
        <f t="shared" si="67"/>
        <v>0</v>
      </c>
      <c r="AV58" s="55"/>
      <c r="AW58" s="56"/>
      <c r="AX58" s="57">
        <f t="shared" si="68"/>
        <v>0</v>
      </c>
      <c r="AY58" s="55"/>
      <c r="AZ58" s="56"/>
      <c r="BA58" s="57">
        <f t="shared" si="75"/>
        <v>0</v>
      </c>
      <c r="BB58" s="55"/>
      <c r="BC58" s="56"/>
      <c r="BD58" s="57">
        <f>IFERROR(BB58*BC58, 0)</f>
        <v>0</v>
      </c>
      <c r="BE58" s="55"/>
      <c r="BF58" s="56"/>
      <c r="BG58" s="57">
        <f t="shared" si="69"/>
        <v>0</v>
      </c>
      <c r="BH58" s="55"/>
      <c r="BI58" s="56"/>
      <c r="BJ58" s="57">
        <f t="shared" si="70"/>
        <v>0</v>
      </c>
      <c r="BK58" s="55"/>
      <c r="BL58" s="56"/>
      <c r="BM58" s="57">
        <f t="shared" si="71"/>
        <v>0</v>
      </c>
      <c r="BN58" s="55"/>
      <c r="BO58" s="56"/>
      <c r="BP58" s="57">
        <f t="shared" si="77"/>
        <v>0</v>
      </c>
      <c r="BQ58" s="55"/>
      <c r="BR58" s="56"/>
      <c r="BS58" s="57">
        <f t="shared" si="72"/>
        <v>0</v>
      </c>
      <c r="BT58" s="55"/>
      <c r="BU58" s="56"/>
      <c r="BV58" s="57">
        <f t="shared" si="54"/>
        <v>0</v>
      </c>
      <c r="BW58" s="55"/>
      <c r="BX58" s="56"/>
      <c r="BY58" s="57">
        <f t="shared" si="43"/>
        <v>0</v>
      </c>
      <c r="BZ58" s="55"/>
      <c r="CA58" s="56"/>
      <c r="CB58" s="57">
        <f t="shared" si="44"/>
        <v>0</v>
      </c>
      <c r="CC58" s="55"/>
      <c r="CD58" s="56"/>
      <c r="CE58" s="57">
        <f t="shared" si="45"/>
        <v>0</v>
      </c>
      <c r="CF58" s="55"/>
      <c r="CG58" s="56"/>
      <c r="CH58" s="57">
        <f t="shared" si="46"/>
        <v>0</v>
      </c>
      <c r="CI58" s="55"/>
      <c r="CJ58" s="56"/>
      <c r="CK58" s="57">
        <f t="shared" si="47"/>
        <v>0</v>
      </c>
      <c r="CL58" s="55"/>
      <c r="CM58" s="56"/>
      <c r="CN58" s="57">
        <f t="shared" si="48"/>
        <v>0</v>
      </c>
      <c r="CO58" s="55"/>
      <c r="CP58" s="56"/>
      <c r="CQ58" s="57">
        <f t="shared" si="49"/>
        <v>0</v>
      </c>
      <c r="CR58" s="55"/>
      <c r="CS58" s="56"/>
      <c r="CT58" s="57">
        <f t="shared" si="50"/>
        <v>0</v>
      </c>
      <c r="CU58" s="58">
        <f t="shared" si="51"/>
        <v>0</v>
      </c>
      <c r="CV58" s="57">
        <f t="shared" si="52"/>
        <v>0</v>
      </c>
      <c r="CW58" s="57">
        <f t="shared" si="53"/>
        <v>0</v>
      </c>
    </row>
    <row r="59" spans="1:101" x14ac:dyDescent="0.35">
      <c r="A59" s="76" t="s">
        <v>439</v>
      </c>
      <c r="B59" s="53" t="s">
        <v>846</v>
      </c>
      <c r="C59" s="76"/>
      <c r="D59" s="76"/>
      <c r="E59" s="76"/>
      <c r="F59" s="55"/>
      <c r="G59" s="56"/>
      <c r="H59" s="57">
        <f t="shared" si="57"/>
        <v>0</v>
      </c>
      <c r="I59" s="55"/>
      <c r="J59" s="56"/>
      <c r="K59" s="57">
        <f t="shared" si="58"/>
        <v>0</v>
      </c>
      <c r="L59" s="55"/>
      <c r="M59" s="56"/>
      <c r="N59" s="57">
        <f t="shared" si="59"/>
        <v>0</v>
      </c>
      <c r="O59" s="55"/>
      <c r="P59" s="56"/>
      <c r="Q59" s="57">
        <f t="shared" si="76"/>
        <v>0</v>
      </c>
      <c r="R59" s="55"/>
      <c r="S59" s="56"/>
      <c r="T59" s="57">
        <f t="shared" si="60"/>
        <v>0</v>
      </c>
      <c r="U59" s="55"/>
      <c r="V59" s="56"/>
      <c r="W59" s="57">
        <f t="shared" si="61"/>
        <v>0</v>
      </c>
      <c r="X59" s="55"/>
      <c r="Y59" s="56"/>
      <c r="Z59" s="57">
        <f t="shared" si="62"/>
        <v>0</v>
      </c>
      <c r="AA59" s="55"/>
      <c r="AB59" s="56"/>
      <c r="AC59" s="57">
        <f t="shared" si="63"/>
        <v>0</v>
      </c>
      <c r="AD59" s="55"/>
      <c r="AE59" s="56"/>
      <c r="AF59" s="57">
        <f t="shared" si="64"/>
        <v>0</v>
      </c>
      <c r="AG59" s="55"/>
      <c r="AH59" s="56"/>
      <c r="AI59" s="57">
        <f t="shared" si="65"/>
        <v>0</v>
      </c>
      <c r="AJ59" s="55">
        <v>1</v>
      </c>
      <c r="AK59" s="56">
        <v>92200</v>
      </c>
      <c r="AL59" s="57">
        <v>92200</v>
      </c>
      <c r="AM59" s="55"/>
      <c r="AN59" s="56"/>
      <c r="AO59" s="57">
        <f t="shared" si="66"/>
        <v>0</v>
      </c>
      <c r="AP59" s="55"/>
      <c r="AQ59" s="56"/>
      <c r="AR59" s="57">
        <f t="shared" si="73"/>
        <v>0</v>
      </c>
      <c r="AS59" s="55"/>
      <c r="AT59" s="56"/>
      <c r="AU59" s="57">
        <f t="shared" si="67"/>
        <v>0</v>
      </c>
      <c r="AV59" s="55"/>
      <c r="AW59" s="56"/>
      <c r="AX59" s="57">
        <f t="shared" si="68"/>
        <v>0</v>
      </c>
      <c r="AY59" s="55"/>
      <c r="AZ59" s="56"/>
      <c r="BA59" s="57">
        <f t="shared" si="75"/>
        <v>0</v>
      </c>
      <c r="BB59" s="55"/>
      <c r="BC59" s="56"/>
      <c r="BD59" s="57">
        <f>IFERROR(BB59*BC59, 0)</f>
        <v>0</v>
      </c>
      <c r="BE59" s="55"/>
      <c r="BF59" s="56"/>
      <c r="BG59" s="57">
        <f t="shared" si="69"/>
        <v>0</v>
      </c>
      <c r="BH59" s="55"/>
      <c r="BI59" s="56"/>
      <c r="BJ59" s="57">
        <f t="shared" si="70"/>
        <v>0</v>
      </c>
      <c r="BK59" s="55"/>
      <c r="BL59" s="56"/>
      <c r="BM59" s="57">
        <f t="shared" si="71"/>
        <v>0</v>
      </c>
      <c r="BN59" s="55"/>
      <c r="BO59" s="56"/>
      <c r="BP59" s="57">
        <f t="shared" si="77"/>
        <v>0</v>
      </c>
      <c r="BQ59" s="55"/>
      <c r="BR59" s="56"/>
      <c r="BS59" s="57">
        <f t="shared" si="72"/>
        <v>0</v>
      </c>
      <c r="BT59" s="55">
        <v>1</v>
      </c>
      <c r="BU59" s="56">
        <v>92200</v>
      </c>
      <c r="BV59" s="57">
        <v>92200</v>
      </c>
      <c r="BW59" s="55"/>
      <c r="BX59" s="56"/>
      <c r="BY59" s="57">
        <f t="shared" si="43"/>
        <v>0</v>
      </c>
      <c r="BZ59" s="55"/>
      <c r="CA59" s="56"/>
      <c r="CB59" s="57">
        <f t="shared" si="44"/>
        <v>0</v>
      </c>
      <c r="CC59" s="55"/>
      <c r="CD59" s="56"/>
      <c r="CE59" s="57">
        <f t="shared" si="45"/>
        <v>0</v>
      </c>
      <c r="CF59" s="55"/>
      <c r="CG59" s="56"/>
      <c r="CH59" s="57">
        <f t="shared" si="46"/>
        <v>0</v>
      </c>
      <c r="CI59" s="55"/>
      <c r="CJ59" s="56"/>
      <c r="CK59" s="57">
        <f t="shared" si="47"/>
        <v>0</v>
      </c>
      <c r="CL59" s="55"/>
      <c r="CM59" s="56"/>
      <c r="CN59" s="57">
        <f t="shared" si="48"/>
        <v>0</v>
      </c>
      <c r="CO59" s="55"/>
      <c r="CP59" s="56"/>
      <c r="CQ59" s="57">
        <f t="shared" si="49"/>
        <v>0</v>
      </c>
      <c r="CR59" s="55"/>
      <c r="CS59" s="56"/>
      <c r="CT59" s="57">
        <f t="shared" si="50"/>
        <v>0</v>
      </c>
      <c r="CU59" s="58">
        <f t="shared" si="51"/>
        <v>2</v>
      </c>
      <c r="CV59" s="57">
        <f t="shared" si="52"/>
        <v>92200</v>
      </c>
      <c r="CW59" s="57">
        <f t="shared" si="53"/>
        <v>184400</v>
      </c>
    </row>
    <row r="60" spans="1:101" x14ac:dyDescent="0.35">
      <c r="A60" s="76" t="s">
        <v>433</v>
      </c>
      <c r="B60" s="53" t="s">
        <v>846</v>
      </c>
      <c r="C60" s="76"/>
      <c r="D60" s="76"/>
      <c r="E60" s="76"/>
      <c r="F60" s="55"/>
      <c r="G60" s="56"/>
      <c r="H60" s="57">
        <f t="shared" si="57"/>
        <v>0</v>
      </c>
      <c r="I60" s="55"/>
      <c r="J60" s="56"/>
      <c r="K60" s="57">
        <f t="shared" si="58"/>
        <v>0</v>
      </c>
      <c r="L60" s="55"/>
      <c r="M60" s="56"/>
      <c r="N60" s="57">
        <f t="shared" si="59"/>
        <v>0</v>
      </c>
      <c r="O60" s="55"/>
      <c r="P60" s="56"/>
      <c r="Q60" s="57">
        <f t="shared" si="76"/>
        <v>0</v>
      </c>
      <c r="R60" s="55"/>
      <c r="S60" s="56"/>
      <c r="T60" s="57">
        <f t="shared" si="60"/>
        <v>0</v>
      </c>
      <c r="U60" s="55"/>
      <c r="V60" s="56"/>
      <c r="W60" s="57">
        <f t="shared" si="61"/>
        <v>0</v>
      </c>
      <c r="X60" s="55"/>
      <c r="Y60" s="56"/>
      <c r="Z60" s="57">
        <f t="shared" si="62"/>
        <v>0</v>
      </c>
      <c r="AA60" s="55"/>
      <c r="AB60" s="56"/>
      <c r="AC60" s="57">
        <f t="shared" si="63"/>
        <v>0</v>
      </c>
      <c r="AD60" s="55"/>
      <c r="AE60" s="56"/>
      <c r="AF60" s="57">
        <f t="shared" si="64"/>
        <v>0</v>
      </c>
      <c r="AG60" s="55"/>
      <c r="AH60" s="56"/>
      <c r="AI60" s="57">
        <f t="shared" si="65"/>
        <v>0</v>
      </c>
      <c r="AJ60" s="55">
        <v>1</v>
      </c>
      <c r="AK60" s="56">
        <v>75500</v>
      </c>
      <c r="AL60" s="57">
        <v>75500</v>
      </c>
      <c r="AM60" s="55"/>
      <c r="AN60" s="56"/>
      <c r="AO60" s="57">
        <f t="shared" si="66"/>
        <v>0</v>
      </c>
      <c r="AP60" s="55"/>
      <c r="AQ60" s="56"/>
      <c r="AR60" s="57">
        <f t="shared" si="73"/>
        <v>0</v>
      </c>
      <c r="AS60" s="55"/>
      <c r="AT60" s="56"/>
      <c r="AU60" s="57">
        <f t="shared" si="67"/>
        <v>0</v>
      </c>
      <c r="AV60" s="55"/>
      <c r="AW60" s="56"/>
      <c r="AX60" s="57">
        <f t="shared" si="68"/>
        <v>0</v>
      </c>
      <c r="AY60" s="55"/>
      <c r="AZ60" s="56"/>
      <c r="BA60" s="57">
        <f t="shared" si="75"/>
        <v>0</v>
      </c>
      <c r="BB60" s="55"/>
      <c r="BC60" s="56"/>
      <c r="BD60" s="57">
        <f>IFERROR(BB60*BC60, 0)</f>
        <v>0</v>
      </c>
      <c r="BE60" s="55"/>
      <c r="BF60" s="56"/>
      <c r="BG60" s="57">
        <f t="shared" si="69"/>
        <v>0</v>
      </c>
      <c r="BH60" s="55"/>
      <c r="BI60" s="56"/>
      <c r="BJ60" s="57">
        <f t="shared" si="70"/>
        <v>0</v>
      </c>
      <c r="BK60" s="55"/>
      <c r="BL60" s="56"/>
      <c r="BM60" s="57">
        <f t="shared" si="71"/>
        <v>0</v>
      </c>
      <c r="BN60" s="55"/>
      <c r="BO60" s="56"/>
      <c r="BP60" s="57">
        <f t="shared" si="77"/>
        <v>0</v>
      </c>
      <c r="BQ60" s="55"/>
      <c r="BR60" s="56"/>
      <c r="BS60" s="57">
        <f t="shared" si="72"/>
        <v>0</v>
      </c>
      <c r="BT60" s="55"/>
      <c r="BU60" s="56"/>
      <c r="BV60" s="57">
        <f>IFERROR(BT60*BU60, 0)</f>
        <v>0</v>
      </c>
      <c r="BW60" s="55"/>
      <c r="BX60" s="56"/>
      <c r="BY60" s="57">
        <f t="shared" si="43"/>
        <v>0</v>
      </c>
      <c r="BZ60" s="55"/>
      <c r="CA60" s="56"/>
      <c r="CB60" s="57">
        <f t="shared" si="44"/>
        <v>0</v>
      </c>
      <c r="CC60" s="55"/>
      <c r="CD60" s="56"/>
      <c r="CE60" s="57">
        <f t="shared" si="45"/>
        <v>0</v>
      </c>
      <c r="CF60" s="55"/>
      <c r="CG60" s="56"/>
      <c r="CH60" s="57">
        <f t="shared" si="46"/>
        <v>0</v>
      </c>
      <c r="CI60" s="55"/>
      <c r="CJ60" s="56"/>
      <c r="CK60" s="57">
        <f t="shared" si="47"/>
        <v>0</v>
      </c>
      <c r="CL60" s="55"/>
      <c r="CM60" s="56"/>
      <c r="CN60" s="57">
        <f t="shared" si="48"/>
        <v>0</v>
      </c>
      <c r="CO60" s="55"/>
      <c r="CP60" s="56"/>
      <c r="CQ60" s="57">
        <f t="shared" si="49"/>
        <v>0</v>
      </c>
      <c r="CR60" s="55"/>
      <c r="CS60" s="56"/>
      <c r="CT60" s="57">
        <f t="shared" si="50"/>
        <v>0</v>
      </c>
      <c r="CU60" s="58">
        <f t="shared" si="51"/>
        <v>1</v>
      </c>
      <c r="CV60" s="57">
        <f t="shared" si="52"/>
        <v>75500</v>
      </c>
      <c r="CW60" s="57">
        <f t="shared" si="53"/>
        <v>75500</v>
      </c>
    </row>
  </sheetData>
  <autoFilter ref="A2:CW60" xr:uid="{00000000-0009-0000-0000-000005000000}"/>
  <mergeCells count="32">
    <mergeCell ref="CR1:CT1"/>
    <mergeCell ref="AM1:AO1"/>
    <mergeCell ref="L1:N1"/>
    <mergeCell ref="BB1:BD1"/>
    <mergeCell ref="BN1:BP1"/>
    <mergeCell ref="AY1:BA1"/>
    <mergeCell ref="BH1:BJ1"/>
    <mergeCell ref="CL1:CN1"/>
    <mergeCell ref="CC1:CE1"/>
    <mergeCell ref="CI1:CK1"/>
    <mergeCell ref="CO1:CQ1"/>
    <mergeCell ref="AD1:AF1"/>
    <mergeCell ref="O1:Q1"/>
    <mergeCell ref="BE1:BG1"/>
    <mergeCell ref="BQ1:BS1"/>
    <mergeCell ref="AP1:AR1"/>
    <mergeCell ref="CU1:CW1"/>
    <mergeCell ref="CF1:CH1"/>
    <mergeCell ref="F1:H1"/>
    <mergeCell ref="BW1:BY1"/>
    <mergeCell ref="R1:T1"/>
    <mergeCell ref="AV1:AX1"/>
    <mergeCell ref="AA1:AC1"/>
    <mergeCell ref="AG1:AI1"/>
    <mergeCell ref="AS1:AU1"/>
    <mergeCell ref="I1:K1"/>
    <mergeCell ref="BZ1:CB1"/>
    <mergeCell ref="X1:Z1"/>
    <mergeCell ref="BK1:BM1"/>
    <mergeCell ref="AJ1:AL1"/>
    <mergeCell ref="BT1:BV1"/>
    <mergeCell ref="U1:W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tabSelected="1" zoomScaleNormal="100" workbookViewId="0">
      <selection activeCell="D6" sqref="D6"/>
    </sheetView>
  </sheetViews>
  <sheetFormatPr baseColWidth="10" defaultColWidth="10.7265625" defaultRowHeight="14.5" x14ac:dyDescent="0.35"/>
  <cols>
    <col min="1" max="1" width="38.54296875" customWidth="1"/>
    <col min="2" max="2" width="25.453125" style="71" customWidth="1"/>
  </cols>
  <sheetData>
    <row r="1" spans="1:2" ht="23.25" customHeight="1" x14ac:dyDescent="0.35">
      <c r="A1" s="159" t="s">
        <v>1066</v>
      </c>
      <c r="B1" s="155"/>
    </row>
    <row r="2" spans="1:2" ht="12.75" customHeight="1" x14ac:dyDescent="0.55000000000000004">
      <c r="A2" s="72"/>
      <c r="B2" s="73"/>
    </row>
    <row r="3" spans="1:2" ht="23.25" customHeight="1" x14ac:dyDescent="0.35">
      <c r="A3" s="37" t="s">
        <v>1067</v>
      </c>
      <c r="B3" s="78">
        <f>IFERROR(SUM(Carnes!CW3:CW800), 0)</f>
        <v>46661520.870750003</v>
      </c>
    </row>
    <row r="4" spans="1:2" ht="23.25" customHeight="1" x14ac:dyDescent="0.35">
      <c r="A4" s="37" t="s">
        <v>1068</v>
      </c>
      <c r="B4" s="78">
        <f>IFERROR(SUM(Verduras!CW3:CW800), 0)</f>
        <v>25863179.57125625</v>
      </c>
    </row>
    <row r="5" spans="1:2" ht="23.25" customHeight="1" x14ac:dyDescent="0.35">
      <c r="A5" s="37" t="s">
        <v>1069</v>
      </c>
      <c r="B5" s="78">
        <f>IFERROR(SUM(Grano!CW3:CW800), 0)</f>
        <v>5862936.7999999998</v>
      </c>
    </row>
    <row r="6" spans="1:2" ht="23.25" customHeight="1" x14ac:dyDescent="0.35">
      <c r="A6" s="37" t="s">
        <v>1070</v>
      </c>
      <c r="B6" s="78">
        <f>IFERROR(SUM(Desechables!CW3:CW800), 0)</f>
        <v>13377939.023809522</v>
      </c>
    </row>
    <row r="7" spans="1:2" ht="23.25" customHeight="1" x14ac:dyDescent="0.35">
      <c r="A7" s="37" t="s">
        <v>1071</v>
      </c>
      <c r="B7" s="78">
        <f>IFERROR(SUM(Bebidas!CW3:CW800), 0)</f>
        <v>4255673.8450000007</v>
      </c>
    </row>
    <row r="8" spans="1:2" ht="23.25" customHeight="1" x14ac:dyDescent="0.35">
      <c r="A8" s="37" t="s">
        <v>1072</v>
      </c>
      <c r="B8" s="78">
        <f>IFERROR(SUM(Servicios!CW3:CW801), 0)</f>
        <v>38050461.13179487</v>
      </c>
    </row>
    <row r="9" spans="1:2" ht="23.25" customHeight="1" x14ac:dyDescent="0.35">
      <c r="A9" s="74" t="s">
        <v>1073</v>
      </c>
      <c r="B9" s="75">
        <f>IFERROR(SUM(B3:B8), 0)</f>
        <v>134071711.24261065</v>
      </c>
    </row>
    <row r="10" spans="1:2" ht="23.25" customHeight="1" x14ac:dyDescent="0.55000000000000004">
      <c r="A10" s="72"/>
      <c r="B10" s="73"/>
    </row>
    <row r="11" spans="1:2" ht="23.25" customHeight="1" x14ac:dyDescent="0.55000000000000004">
      <c r="A11" s="72"/>
      <c r="B11" s="73"/>
    </row>
  </sheetData>
  <mergeCells count="1">
    <mergeCell ref="A1:B1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51"/>
  <sheetViews>
    <sheetView topLeftCell="A172" workbookViewId="0">
      <selection activeCell="D1047" sqref="D1047"/>
    </sheetView>
  </sheetViews>
  <sheetFormatPr baseColWidth="10" defaultRowHeight="14.5" x14ac:dyDescent="0.35"/>
  <cols>
    <col min="1" max="1" width="11.453125" style="92" customWidth="1"/>
    <col min="2" max="2" width="18.453125" style="92" bestFit="1" customWidth="1"/>
    <col min="3" max="3" width="28.26953125" style="92" bestFit="1" customWidth="1"/>
    <col min="4" max="4" width="39.1796875" style="92" bestFit="1" customWidth="1"/>
    <col min="5" max="5" width="11.453125" style="92" customWidth="1"/>
    <col min="6" max="6" width="16.1796875" style="102" bestFit="1" customWidth="1"/>
    <col min="7" max="7" width="17.453125" style="102" bestFit="1" customWidth="1"/>
  </cols>
  <sheetData>
    <row r="1" spans="1:7" x14ac:dyDescent="0.35">
      <c r="A1" s="96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9" t="s">
        <v>5</v>
      </c>
      <c r="G1" s="99" t="s">
        <v>6</v>
      </c>
    </row>
    <row r="2" spans="1:7" x14ac:dyDescent="0.35">
      <c r="A2" s="90">
        <v>1</v>
      </c>
      <c r="B2" s="90" t="s">
        <v>7</v>
      </c>
      <c r="C2" s="90" t="s">
        <v>8</v>
      </c>
      <c r="D2" s="90" t="s">
        <v>9</v>
      </c>
      <c r="E2" s="90">
        <v>1</v>
      </c>
      <c r="F2" s="100">
        <v>36000</v>
      </c>
      <c r="G2" s="100">
        <v>36000</v>
      </c>
    </row>
    <row r="3" spans="1:7" x14ac:dyDescent="0.35">
      <c r="A3" s="90">
        <v>1</v>
      </c>
      <c r="B3" s="90" t="s">
        <v>10</v>
      </c>
      <c r="C3" s="90" t="s">
        <v>11</v>
      </c>
      <c r="D3" s="90" t="s">
        <v>12</v>
      </c>
      <c r="E3" s="90">
        <v>7.98</v>
      </c>
      <c r="F3" s="100">
        <v>7000</v>
      </c>
      <c r="G3" s="100">
        <v>55800</v>
      </c>
    </row>
    <row r="4" spans="1:7" x14ac:dyDescent="0.35">
      <c r="A4" s="90">
        <v>1</v>
      </c>
      <c r="B4" s="90" t="s">
        <v>7</v>
      </c>
      <c r="C4" s="90" t="s">
        <v>13</v>
      </c>
      <c r="D4" s="90" t="s">
        <v>14</v>
      </c>
      <c r="E4" s="90">
        <v>1</v>
      </c>
      <c r="F4" s="100">
        <v>30000</v>
      </c>
      <c r="G4" s="100">
        <v>30000</v>
      </c>
    </row>
    <row r="5" spans="1:7" x14ac:dyDescent="0.35">
      <c r="A5" s="90">
        <v>1</v>
      </c>
      <c r="B5" s="90" t="s">
        <v>15</v>
      </c>
      <c r="C5" s="90" t="s">
        <v>16</v>
      </c>
      <c r="D5" s="90" t="s">
        <v>17</v>
      </c>
      <c r="E5" s="90">
        <v>1</v>
      </c>
      <c r="F5" s="100">
        <v>130000</v>
      </c>
      <c r="G5" s="100">
        <v>130000</v>
      </c>
    </row>
    <row r="6" spans="1:7" x14ac:dyDescent="0.35">
      <c r="A6" s="90">
        <v>1</v>
      </c>
      <c r="B6" s="90" t="s">
        <v>18</v>
      </c>
      <c r="C6" s="90" t="s">
        <v>19</v>
      </c>
      <c r="D6" s="90" t="s">
        <v>20</v>
      </c>
      <c r="E6" s="90">
        <v>1</v>
      </c>
      <c r="F6" s="100">
        <v>15000</v>
      </c>
      <c r="G6" s="100">
        <v>15000</v>
      </c>
    </row>
    <row r="7" spans="1:7" x14ac:dyDescent="0.35">
      <c r="A7" s="90">
        <v>1</v>
      </c>
      <c r="B7" s="90" t="s">
        <v>21</v>
      </c>
      <c r="C7" s="90" t="s">
        <v>22</v>
      </c>
      <c r="D7" s="90" t="s">
        <v>23</v>
      </c>
      <c r="E7" s="90">
        <v>6</v>
      </c>
      <c r="F7" s="100">
        <v>1912</v>
      </c>
      <c r="G7" s="100">
        <v>11472</v>
      </c>
    </row>
    <row r="8" spans="1:7" x14ac:dyDescent="0.35">
      <c r="A8" s="90">
        <v>1</v>
      </c>
      <c r="B8" s="90" t="s">
        <v>15</v>
      </c>
      <c r="C8" s="90" t="s">
        <v>24</v>
      </c>
      <c r="D8" s="90" t="s">
        <v>25</v>
      </c>
      <c r="E8" s="90">
        <v>1</v>
      </c>
      <c r="F8" s="100">
        <v>19300</v>
      </c>
      <c r="G8" s="100">
        <v>19300</v>
      </c>
    </row>
    <row r="9" spans="1:7" x14ac:dyDescent="0.35">
      <c r="A9" s="90">
        <v>1</v>
      </c>
      <c r="B9" s="90" t="s">
        <v>15</v>
      </c>
      <c r="C9" s="90" t="s">
        <v>16</v>
      </c>
      <c r="D9" s="90" t="s">
        <v>26</v>
      </c>
      <c r="E9" s="90">
        <v>1</v>
      </c>
      <c r="F9" s="100">
        <v>1800</v>
      </c>
      <c r="G9" s="100">
        <v>1800</v>
      </c>
    </row>
    <row r="10" spans="1:7" x14ac:dyDescent="0.35">
      <c r="A10" s="90">
        <v>1</v>
      </c>
      <c r="B10" s="90" t="s">
        <v>21</v>
      </c>
      <c r="C10" s="90" t="s">
        <v>27</v>
      </c>
      <c r="D10" s="90" t="s">
        <v>28</v>
      </c>
      <c r="E10" s="90">
        <v>1</v>
      </c>
      <c r="F10" s="100">
        <v>13500</v>
      </c>
      <c r="G10" s="100">
        <v>13500</v>
      </c>
    </row>
    <row r="11" spans="1:7" x14ac:dyDescent="0.35">
      <c r="A11" s="90">
        <v>1</v>
      </c>
      <c r="B11" s="90" t="s">
        <v>7</v>
      </c>
      <c r="C11" s="90" t="s">
        <v>8</v>
      </c>
      <c r="D11" s="90" t="s">
        <v>29</v>
      </c>
      <c r="E11" s="90">
        <v>1</v>
      </c>
      <c r="F11" s="100">
        <v>138000</v>
      </c>
      <c r="G11" s="100">
        <v>138000</v>
      </c>
    </row>
    <row r="12" spans="1:7" x14ac:dyDescent="0.35">
      <c r="A12" s="90">
        <v>1</v>
      </c>
      <c r="B12" s="90" t="s">
        <v>18</v>
      </c>
      <c r="C12" s="90" t="s">
        <v>30</v>
      </c>
      <c r="D12" s="90" t="s">
        <v>31</v>
      </c>
      <c r="E12" s="90">
        <v>1</v>
      </c>
      <c r="F12" s="100">
        <v>57200</v>
      </c>
      <c r="G12" s="100">
        <v>57200</v>
      </c>
    </row>
    <row r="13" spans="1:7" x14ac:dyDescent="0.35">
      <c r="A13" s="97">
        <v>1</v>
      </c>
      <c r="B13" s="97" t="s">
        <v>15</v>
      </c>
      <c r="C13" s="97" t="s">
        <v>27</v>
      </c>
      <c r="D13" s="97" t="s">
        <v>32</v>
      </c>
      <c r="E13" s="97">
        <v>1</v>
      </c>
      <c r="F13" s="101">
        <v>44600</v>
      </c>
      <c r="G13" s="101">
        <v>44600</v>
      </c>
    </row>
    <row r="14" spans="1:7" x14ac:dyDescent="0.35">
      <c r="A14" s="90">
        <v>1</v>
      </c>
      <c r="B14" s="90" t="s">
        <v>7</v>
      </c>
      <c r="C14" s="90" t="s">
        <v>13</v>
      </c>
      <c r="D14" s="90" t="s">
        <v>33</v>
      </c>
      <c r="E14" s="90">
        <v>1</v>
      </c>
      <c r="F14" s="100">
        <v>30000</v>
      </c>
      <c r="G14" s="100">
        <v>30000</v>
      </c>
    </row>
    <row r="15" spans="1:7" x14ac:dyDescent="0.35">
      <c r="A15" s="90">
        <v>1</v>
      </c>
      <c r="B15" s="90" t="s">
        <v>15</v>
      </c>
      <c r="C15" s="90" t="s">
        <v>34</v>
      </c>
      <c r="D15" s="90" t="s">
        <v>35</v>
      </c>
      <c r="E15" s="90">
        <v>1</v>
      </c>
      <c r="F15" s="100">
        <v>25000</v>
      </c>
      <c r="G15" s="100">
        <v>25000</v>
      </c>
    </row>
    <row r="16" spans="1:7" x14ac:dyDescent="0.35">
      <c r="A16" s="90">
        <v>1</v>
      </c>
      <c r="B16" s="90" t="s">
        <v>10</v>
      </c>
      <c r="C16" s="90" t="s">
        <v>11</v>
      </c>
      <c r="D16" s="90" t="s">
        <v>36</v>
      </c>
      <c r="E16" s="90">
        <v>1</v>
      </c>
      <c r="F16" s="100">
        <v>15000</v>
      </c>
      <c r="G16" s="100">
        <v>15000</v>
      </c>
    </row>
    <row r="17" spans="1:8" x14ac:dyDescent="0.35">
      <c r="A17" s="90">
        <v>1</v>
      </c>
      <c r="B17" s="90" t="s">
        <v>15</v>
      </c>
      <c r="C17" s="90" t="s">
        <v>37</v>
      </c>
      <c r="D17" s="90" t="s">
        <v>38</v>
      </c>
      <c r="E17" s="90">
        <v>4</v>
      </c>
      <c r="F17" s="100">
        <v>10600</v>
      </c>
      <c r="G17" s="100">
        <v>42400</v>
      </c>
    </row>
    <row r="18" spans="1:8" x14ac:dyDescent="0.35">
      <c r="A18" s="90">
        <v>1</v>
      </c>
      <c r="B18" s="90" t="s">
        <v>15</v>
      </c>
      <c r="C18" s="90" t="s">
        <v>39</v>
      </c>
      <c r="D18" s="90" t="s">
        <v>40</v>
      </c>
      <c r="E18" s="90">
        <v>150</v>
      </c>
      <c r="F18" s="100">
        <v>390</v>
      </c>
      <c r="G18" s="100">
        <v>58500</v>
      </c>
    </row>
    <row r="19" spans="1:8" x14ac:dyDescent="0.35">
      <c r="A19" s="90">
        <v>1</v>
      </c>
      <c r="B19" s="90" t="s">
        <v>15</v>
      </c>
      <c r="C19" s="90" t="s">
        <v>41</v>
      </c>
      <c r="D19" s="90" t="s">
        <v>42</v>
      </c>
      <c r="E19" s="90">
        <v>3</v>
      </c>
      <c r="F19" s="100">
        <v>2500</v>
      </c>
      <c r="G19" s="100">
        <v>7500</v>
      </c>
    </row>
    <row r="20" spans="1:8" x14ac:dyDescent="0.35">
      <c r="A20" s="90">
        <v>1</v>
      </c>
      <c r="B20" s="90" t="s">
        <v>15</v>
      </c>
      <c r="C20" s="90" t="s">
        <v>43</v>
      </c>
      <c r="D20" s="90" t="s">
        <v>44</v>
      </c>
      <c r="E20" s="90">
        <v>10</v>
      </c>
      <c r="F20" s="100">
        <v>450</v>
      </c>
      <c r="G20" s="100">
        <v>4500</v>
      </c>
    </row>
    <row r="21" spans="1:8" x14ac:dyDescent="0.35">
      <c r="A21" s="90">
        <v>1</v>
      </c>
      <c r="B21" s="90" t="s">
        <v>15</v>
      </c>
      <c r="C21" s="90" t="s">
        <v>45</v>
      </c>
      <c r="D21" s="90" t="s">
        <v>46</v>
      </c>
      <c r="E21" s="90">
        <v>1</v>
      </c>
      <c r="F21" s="100">
        <v>8400</v>
      </c>
      <c r="G21" s="100">
        <v>8400</v>
      </c>
    </row>
    <row r="22" spans="1:8" x14ac:dyDescent="0.35">
      <c r="A22" s="90">
        <v>1</v>
      </c>
      <c r="B22" s="90" t="s">
        <v>15</v>
      </c>
      <c r="C22" s="90" t="s">
        <v>47</v>
      </c>
      <c r="D22" s="90" t="s">
        <v>48</v>
      </c>
      <c r="E22" s="90">
        <v>10</v>
      </c>
      <c r="F22" s="100">
        <v>750</v>
      </c>
      <c r="G22" s="100">
        <v>7500</v>
      </c>
    </row>
    <row r="23" spans="1:8" x14ac:dyDescent="0.35">
      <c r="A23" s="90">
        <v>1</v>
      </c>
      <c r="B23" s="90" t="s">
        <v>15</v>
      </c>
      <c r="C23" s="90" t="s">
        <v>49</v>
      </c>
      <c r="D23" s="90" t="s">
        <v>50</v>
      </c>
      <c r="E23" s="90">
        <v>1</v>
      </c>
      <c r="F23" s="100">
        <v>17500</v>
      </c>
      <c r="G23" s="100">
        <v>17500</v>
      </c>
    </row>
    <row r="24" spans="1:8" x14ac:dyDescent="0.35">
      <c r="A24" s="90">
        <v>1</v>
      </c>
      <c r="B24" s="90" t="s">
        <v>15</v>
      </c>
      <c r="C24" s="90" t="s">
        <v>51</v>
      </c>
      <c r="D24" s="90" t="s">
        <v>52</v>
      </c>
      <c r="E24" s="90">
        <v>2</v>
      </c>
      <c r="F24" s="100">
        <v>9600</v>
      </c>
      <c r="G24" s="100">
        <v>19200</v>
      </c>
    </row>
    <row r="25" spans="1:8" x14ac:dyDescent="0.35">
      <c r="A25" s="90">
        <v>1</v>
      </c>
      <c r="B25" s="90" t="s">
        <v>15</v>
      </c>
      <c r="C25" s="90" t="s">
        <v>53</v>
      </c>
      <c r="D25" s="90" t="s">
        <v>54</v>
      </c>
      <c r="E25" s="90">
        <v>3</v>
      </c>
      <c r="F25" s="100">
        <v>2400</v>
      </c>
      <c r="G25" s="100">
        <v>7200</v>
      </c>
    </row>
    <row r="26" spans="1:8" x14ac:dyDescent="0.35">
      <c r="A26" s="90">
        <v>1</v>
      </c>
      <c r="B26" s="90" t="s">
        <v>10</v>
      </c>
      <c r="C26" s="90" t="s">
        <v>55</v>
      </c>
      <c r="D26" s="90" t="s">
        <v>56</v>
      </c>
      <c r="E26" s="90">
        <v>13.2</v>
      </c>
      <c r="F26" s="100">
        <v>19800</v>
      </c>
      <c r="G26" s="100">
        <v>261360</v>
      </c>
      <c r="H26" s="98"/>
    </row>
    <row r="27" spans="1:8" x14ac:dyDescent="0.35">
      <c r="A27" s="90">
        <v>1</v>
      </c>
      <c r="B27" s="90" t="s">
        <v>57</v>
      </c>
      <c r="C27" s="90" t="s">
        <v>58</v>
      </c>
      <c r="D27" s="90" t="s">
        <v>59</v>
      </c>
      <c r="E27" s="90">
        <v>2</v>
      </c>
      <c r="F27" s="100">
        <v>9500</v>
      </c>
      <c r="G27" s="100">
        <v>19000</v>
      </c>
    </row>
    <row r="28" spans="1:8" x14ac:dyDescent="0.35">
      <c r="A28" s="90">
        <v>1</v>
      </c>
      <c r="B28" s="90" t="s">
        <v>57</v>
      </c>
      <c r="C28" s="90" t="s">
        <v>60</v>
      </c>
      <c r="D28" s="90" t="s">
        <v>61</v>
      </c>
      <c r="E28" s="90">
        <v>2</v>
      </c>
      <c r="F28" s="100">
        <v>5000</v>
      </c>
      <c r="G28" s="100">
        <v>10000</v>
      </c>
    </row>
    <row r="29" spans="1:8" x14ac:dyDescent="0.35">
      <c r="A29" s="90">
        <v>1</v>
      </c>
      <c r="B29" s="90" t="s">
        <v>10</v>
      </c>
      <c r="C29" s="90" t="s">
        <v>62</v>
      </c>
      <c r="D29" s="90" t="s">
        <v>63</v>
      </c>
      <c r="E29" s="90">
        <v>2</v>
      </c>
      <c r="F29" s="100">
        <v>22000</v>
      </c>
      <c r="G29" s="100">
        <v>44000</v>
      </c>
    </row>
    <row r="30" spans="1:8" x14ac:dyDescent="0.35">
      <c r="A30" s="90">
        <v>1</v>
      </c>
      <c r="B30" s="90" t="s">
        <v>21</v>
      </c>
      <c r="C30" s="90" t="s">
        <v>64</v>
      </c>
      <c r="D30" s="90" t="s">
        <v>65</v>
      </c>
      <c r="E30" s="90">
        <v>50</v>
      </c>
      <c r="F30" s="100">
        <v>4180</v>
      </c>
      <c r="G30" s="100">
        <v>209000</v>
      </c>
    </row>
    <row r="31" spans="1:8" x14ac:dyDescent="0.35">
      <c r="A31" s="90">
        <v>1</v>
      </c>
      <c r="B31" s="90" t="s">
        <v>15</v>
      </c>
      <c r="C31" s="90" t="s">
        <v>66</v>
      </c>
      <c r="D31" s="90" t="s">
        <v>67</v>
      </c>
      <c r="E31" s="90">
        <v>2</v>
      </c>
      <c r="F31" s="100">
        <v>18200</v>
      </c>
      <c r="G31" s="100">
        <v>36400</v>
      </c>
    </row>
    <row r="32" spans="1:8" x14ac:dyDescent="0.35">
      <c r="A32" s="90">
        <v>1</v>
      </c>
      <c r="B32" s="90" t="s">
        <v>10</v>
      </c>
      <c r="C32" s="90" t="s">
        <v>68</v>
      </c>
      <c r="D32" s="90" t="s">
        <v>69</v>
      </c>
      <c r="E32" s="90">
        <v>5.91</v>
      </c>
      <c r="F32" s="100">
        <v>23500</v>
      </c>
      <c r="G32" s="100">
        <v>138767.5</v>
      </c>
    </row>
    <row r="33" spans="1:7" x14ac:dyDescent="0.35">
      <c r="A33" s="90">
        <v>1</v>
      </c>
      <c r="B33" s="90" t="s">
        <v>10</v>
      </c>
      <c r="C33" s="90" t="s">
        <v>70</v>
      </c>
      <c r="D33" s="90" t="s">
        <v>71</v>
      </c>
      <c r="E33" s="90">
        <v>9.27</v>
      </c>
      <c r="F33" s="100">
        <v>30500</v>
      </c>
      <c r="G33" s="100">
        <v>282735</v>
      </c>
    </row>
    <row r="34" spans="1:7" x14ac:dyDescent="0.35">
      <c r="A34" s="116">
        <v>1</v>
      </c>
      <c r="B34" s="127" t="s">
        <v>18</v>
      </c>
      <c r="C34" s="127" t="s">
        <v>824</v>
      </c>
      <c r="D34" s="127" t="s">
        <v>181</v>
      </c>
      <c r="E34" s="132">
        <v>12</v>
      </c>
      <c r="F34" s="141">
        <v>5600</v>
      </c>
      <c r="G34" s="141">
        <v>67200</v>
      </c>
    </row>
    <row r="35" spans="1:7" x14ac:dyDescent="0.35">
      <c r="A35" s="90">
        <v>2</v>
      </c>
      <c r="B35" s="90" t="s">
        <v>57</v>
      </c>
      <c r="C35" s="90" t="s">
        <v>58</v>
      </c>
      <c r="D35" s="90" t="s">
        <v>72</v>
      </c>
      <c r="E35" s="90">
        <v>2</v>
      </c>
      <c r="F35" s="100">
        <v>9500</v>
      </c>
      <c r="G35" s="100">
        <v>19000</v>
      </c>
    </row>
    <row r="36" spans="1:7" x14ac:dyDescent="0.35">
      <c r="A36" s="90">
        <v>2</v>
      </c>
      <c r="B36" s="90" t="s">
        <v>18</v>
      </c>
      <c r="C36" s="90" t="s">
        <v>73</v>
      </c>
      <c r="D36" s="90" t="s">
        <v>73</v>
      </c>
      <c r="E36" s="90">
        <v>1</v>
      </c>
      <c r="F36" s="100">
        <v>36400</v>
      </c>
      <c r="G36" s="100">
        <v>36400</v>
      </c>
    </row>
    <row r="37" spans="1:7" x14ac:dyDescent="0.35">
      <c r="A37" s="90">
        <v>2</v>
      </c>
      <c r="B37" s="90" t="s">
        <v>18</v>
      </c>
      <c r="C37" s="90" t="s">
        <v>74</v>
      </c>
      <c r="D37" s="90" t="s">
        <v>74</v>
      </c>
      <c r="E37" s="90">
        <v>1</v>
      </c>
      <c r="F37" s="100">
        <v>40000</v>
      </c>
      <c r="G37" s="100">
        <v>40000</v>
      </c>
    </row>
    <row r="38" spans="1:7" x14ac:dyDescent="0.35">
      <c r="A38" s="90">
        <v>2</v>
      </c>
      <c r="B38" s="90" t="s">
        <v>18</v>
      </c>
      <c r="C38" s="90" t="s">
        <v>30</v>
      </c>
      <c r="D38" s="90" t="s">
        <v>75</v>
      </c>
      <c r="E38" s="90">
        <v>1</v>
      </c>
      <c r="F38" s="100">
        <v>60000</v>
      </c>
      <c r="G38" s="100">
        <v>60000</v>
      </c>
    </row>
    <row r="39" spans="1:7" x14ac:dyDescent="0.35">
      <c r="A39" s="90">
        <v>2</v>
      </c>
      <c r="B39" s="90" t="s">
        <v>18</v>
      </c>
      <c r="C39" s="90" t="s">
        <v>76</v>
      </c>
      <c r="D39" s="90" t="s">
        <v>77</v>
      </c>
      <c r="E39" s="90">
        <v>1</v>
      </c>
      <c r="F39" s="100">
        <v>100000</v>
      </c>
      <c r="G39" s="100">
        <v>100000</v>
      </c>
    </row>
    <row r="40" spans="1:7" x14ac:dyDescent="0.35">
      <c r="A40" s="90">
        <v>2</v>
      </c>
      <c r="B40" s="90" t="s">
        <v>18</v>
      </c>
      <c r="C40" s="90" t="s">
        <v>78</v>
      </c>
      <c r="D40" s="90" t="s">
        <v>79</v>
      </c>
      <c r="E40" s="90">
        <v>16</v>
      </c>
      <c r="F40" s="100">
        <v>1800</v>
      </c>
      <c r="G40" s="100">
        <v>28800</v>
      </c>
    </row>
    <row r="41" spans="1:7" x14ac:dyDescent="0.35">
      <c r="A41" s="90">
        <v>2</v>
      </c>
      <c r="B41" s="90" t="s">
        <v>18</v>
      </c>
      <c r="C41" s="90" t="s">
        <v>80</v>
      </c>
      <c r="D41" s="90" t="s">
        <v>81</v>
      </c>
      <c r="E41" s="90">
        <v>1</v>
      </c>
      <c r="F41" s="100">
        <v>130000</v>
      </c>
      <c r="G41" s="100">
        <v>130000</v>
      </c>
    </row>
    <row r="42" spans="1:7" x14ac:dyDescent="0.35">
      <c r="A42" s="90">
        <v>2</v>
      </c>
      <c r="B42" s="90" t="s">
        <v>15</v>
      </c>
      <c r="C42" s="90" t="s">
        <v>82</v>
      </c>
      <c r="D42" s="90" t="s">
        <v>83</v>
      </c>
      <c r="E42" s="90">
        <v>1</v>
      </c>
      <c r="F42" s="100">
        <v>10500</v>
      </c>
      <c r="G42" s="100">
        <v>10500</v>
      </c>
    </row>
    <row r="43" spans="1:7" x14ac:dyDescent="0.35">
      <c r="A43" s="90">
        <v>2</v>
      </c>
      <c r="B43" s="90" t="s">
        <v>57</v>
      </c>
      <c r="C43" s="90" t="s">
        <v>60</v>
      </c>
      <c r="D43" s="90" t="s">
        <v>84</v>
      </c>
      <c r="E43" s="90">
        <v>2</v>
      </c>
      <c r="F43" s="100">
        <v>5000</v>
      </c>
      <c r="G43" s="100">
        <v>10000</v>
      </c>
    </row>
    <row r="44" spans="1:7" x14ac:dyDescent="0.35">
      <c r="A44" s="90">
        <v>2</v>
      </c>
      <c r="B44" s="90" t="s">
        <v>18</v>
      </c>
      <c r="C44" s="90" t="s">
        <v>85</v>
      </c>
      <c r="D44" s="90" t="s">
        <v>86</v>
      </c>
      <c r="E44" s="90">
        <v>1</v>
      </c>
      <c r="F44" s="100">
        <v>4000</v>
      </c>
      <c r="G44" s="100">
        <v>4000</v>
      </c>
    </row>
    <row r="45" spans="1:7" x14ac:dyDescent="0.35">
      <c r="A45" s="90">
        <v>2</v>
      </c>
      <c r="B45" s="90" t="s">
        <v>21</v>
      </c>
      <c r="C45" s="90" t="s">
        <v>87</v>
      </c>
      <c r="D45" s="90" t="s">
        <v>87</v>
      </c>
      <c r="E45" s="90">
        <v>1</v>
      </c>
      <c r="F45" s="100">
        <v>15000</v>
      </c>
      <c r="G45" s="100">
        <v>15000</v>
      </c>
    </row>
    <row r="46" spans="1:7" x14ac:dyDescent="0.35">
      <c r="A46" s="90">
        <v>2</v>
      </c>
      <c r="B46" s="90" t="s">
        <v>7</v>
      </c>
      <c r="C46" s="90" t="s">
        <v>88</v>
      </c>
      <c r="D46" s="90" t="s">
        <v>89</v>
      </c>
      <c r="E46" s="90">
        <v>1</v>
      </c>
      <c r="F46" s="100">
        <v>15000</v>
      </c>
      <c r="G46" s="100">
        <v>15000</v>
      </c>
    </row>
    <row r="47" spans="1:7" x14ac:dyDescent="0.35">
      <c r="A47" s="90">
        <v>2</v>
      </c>
      <c r="B47" s="90" t="s">
        <v>15</v>
      </c>
      <c r="C47" s="90" t="s">
        <v>90</v>
      </c>
      <c r="D47" s="90" t="s">
        <v>91</v>
      </c>
      <c r="E47" s="90">
        <v>1</v>
      </c>
      <c r="F47" s="100">
        <v>36000</v>
      </c>
      <c r="G47" s="100">
        <v>36000</v>
      </c>
    </row>
    <row r="48" spans="1:7" x14ac:dyDescent="0.35">
      <c r="A48" s="90">
        <v>2</v>
      </c>
      <c r="B48" s="90" t="s">
        <v>18</v>
      </c>
      <c r="C48" s="90" t="s">
        <v>92</v>
      </c>
      <c r="D48" s="90" t="s">
        <v>93</v>
      </c>
      <c r="E48" s="90">
        <v>1</v>
      </c>
      <c r="F48" s="100">
        <v>25000</v>
      </c>
      <c r="G48" s="100">
        <v>25000</v>
      </c>
    </row>
    <row r="49" spans="1:7" x14ac:dyDescent="0.35">
      <c r="A49" s="90">
        <v>2</v>
      </c>
      <c r="B49" s="90" t="s">
        <v>7</v>
      </c>
      <c r="C49" s="90" t="s">
        <v>94</v>
      </c>
      <c r="D49" s="90" t="s">
        <v>95</v>
      </c>
      <c r="E49" s="90">
        <v>1</v>
      </c>
      <c r="F49" s="100">
        <v>234200</v>
      </c>
      <c r="G49" s="100">
        <v>234200</v>
      </c>
    </row>
    <row r="50" spans="1:7" x14ac:dyDescent="0.35">
      <c r="A50" s="90">
        <v>2</v>
      </c>
      <c r="B50" s="90" t="s">
        <v>7</v>
      </c>
      <c r="C50" s="90" t="s">
        <v>8</v>
      </c>
      <c r="D50" s="90" t="s">
        <v>96</v>
      </c>
      <c r="E50" s="90">
        <v>1</v>
      </c>
      <c r="F50" s="100">
        <v>138000</v>
      </c>
      <c r="G50" s="100">
        <v>138000</v>
      </c>
    </row>
    <row r="51" spans="1:7" x14ac:dyDescent="0.35">
      <c r="A51" s="90">
        <v>2</v>
      </c>
      <c r="B51" s="90" t="s">
        <v>7</v>
      </c>
      <c r="C51" s="90" t="s">
        <v>13</v>
      </c>
      <c r="D51" s="90" t="s">
        <v>97</v>
      </c>
      <c r="E51" s="90">
        <v>1</v>
      </c>
      <c r="F51" s="100">
        <v>30000</v>
      </c>
      <c r="G51" s="100">
        <v>30000</v>
      </c>
    </row>
    <row r="52" spans="1:7" x14ac:dyDescent="0.35">
      <c r="A52" s="90">
        <v>2</v>
      </c>
      <c r="B52" s="90" t="s">
        <v>15</v>
      </c>
      <c r="C52" s="90" t="s">
        <v>98</v>
      </c>
      <c r="D52" s="90" t="s">
        <v>99</v>
      </c>
      <c r="E52" s="90">
        <v>1</v>
      </c>
      <c r="F52" s="100">
        <v>8700</v>
      </c>
      <c r="G52" s="100">
        <v>8700</v>
      </c>
    </row>
    <row r="53" spans="1:7" x14ac:dyDescent="0.35">
      <c r="A53" s="90">
        <v>2</v>
      </c>
      <c r="B53" s="90" t="s">
        <v>15</v>
      </c>
      <c r="C53" s="90" t="s">
        <v>39</v>
      </c>
      <c r="D53" s="90" t="s">
        <v>40</v>
      </c>
      <c r="E53" s="90">
        <v>100</v>
      </c>
      <c r="F53" s="100">
        <v>390</v>
      </c>
      <c r="G53" s="100">
        <v>39000</v>
      </c>
    </row>
    <row r="54" spans="1:7" x14ac:dyDescent="0.35">
      <c r="A54" s="90">
        <v>2</v>
      </c>
      <c r="B54" s="90" t="s">
        <v>15</v>
      </c>
      <c r="C54" s="90" t="s">
        <v>41</v>
      </c>
      <c r="D54" s="90" t="s">
        <v>42</v>
      </c>
      <c r="E54" s="90">
        <v>5</v>
      </c>
      <c r="F54" s="100">
        <v>2500</v>
      </c>
      <c r="G54" s="100">
        <v>12500</v>
      </c>
    </row>
    <row r="55" spans="1:7" x14ac:dyDescent="0.35">
      <c r="A55" s="90">
        <v>2</v>
      </c>
      <c r="B55" s="90" t="s">
        <v>15</v>
      </c>
      <c r="C55" s="90" t="s">
        <v>100</v>
      </c>
      <c r="D55" s="90" t="s">
        <v>101</v>
      </c>
      <c r="E55" s="90">
        <v>13</v>
      </c>
      <c r="F55" s="100">
        <v>10000</v>
      </c>
      <c r="G55" s="100">
        <v>130000</v>
      </c>
    </row>
    <row r="56" spans="1:7" x14ac:dyDescent="0.35">
      <c r="A56" s="90">
        <v>2</v>
      </c>
      <c r="B56" s="90" t="s">
        <v>15</v>
      </c>
      <c r="C56" s="90" t="s">
        <v>102</v>
      </c>
      <c r="D56" s="90" t="s">
        <v>103</v>
      </c>
      <c r="E56" s="90">
        <v>20</v>
      </c>
      <c r="F56" s="100">
        <v>900</v>
      </c>
      <c r="G56" s="100">
        <v>18000</v>
      </c>
    </row>
    <row r="57" spans="1:7" x14ac:dyDescent="0.35">
      <c r="A57" s="90">
        <v>2</v>
      </c>
      <c r="B57" s="90" t="s">
        <v>15</v>
      </c>
      <c r="C57" s="90" t="s">
        <v>104</v>
      </c>
      <c r="D57" s="90" t="s">
        <v>105</v>
      </c>
      <c r="E57" s="90">
        <v>5</v>
      </c>
      <c r="F57" s="100">
        <v>6650</v>
      </c>
      <c r="G57" s="100">
        <v>33250</v>
      </c>
    </row>
    <row r="58" spans="1:7" x14ac:dyDescent="0.35">
      <c r="A58" s="90">
        <v>2</v>
      </c>
      <c r="B58" s="90" t="s">
        <v>15</v>
      </c>
      <c r="C58" s="90" t="s">
        <v>45</v>
      </c>
      <c r="D58" s="90" t="s">
        <v>46</v>
      </c>
      <c r="E58" s="90">
        <v>2</v>
      </c>
      <c r="F58" s="100">
        <v>8400</v>
      </c>
      <c r="G58" s="100">
        <v>16800</v>
      </c>
    </row>
    <row r="59" spans="1:7" x14ac:dyDescent="0.35">
      <c r="A59" s="90">
        <v>2</v>
      </c>
      <c r="B59" s="90" t="s">
        <v>15</v>
      </c>
      <c r="C59" s="90" t="s">
        <v>51</v>
      </c>
      <c r="D59" s="90" t="s">
        <v>52</v>
      </c>
      <c r="E59" s="90">
        <v>3</v>
      </c>
      <c r="F59" s="100">
        <v>9600</v>
      </c>
      <c r="G59" s="100">
        <v>28800</v>
      </c>
    </row>
    <row r="60" spans="1:7" x14ac:dyDescent="0.35">
      <c r="A60" s="90">
        <v>2</v>
      </c>
      <c r="B60" s="90" t="s">
        <v>15</v>
      </c>
      <c r="C60" s="90" t="s">
        <v>106</v>
      </c>
      <c r="D60" s="90" t="s">
        <v>107</v>
      </c>
      <c r="E60" s="90">
        <v>1</v>
      </c>
      <c r="F60" s="100">
        <v>15950</v>
      </c>
      <c r="G60" s="100">
        <v>15950</v>
      </c>
    </row>
    <row r="61" spans="1:7" x14ac:dyDescent="0.35">
      <c r="A61" s="90">
        <v>2</v>
      </c>
      <c r="B61" s="90" t="s">
        <v>15</v>
      </c>
      <c r="C61" s="90" t="s">
        <v>108</v>
      </c>
      <c r="D61" s="90" t="s">
        <v>109</v>
      </c>
      <c r="E61" s="90">
        <v>4</v>
      </c>
      <c r="F61" s="100">
        <v>17250</v>
      </c>
      <c r="G61" s="100">
        <v>69000</v>
      </c>
    </row>
    <row r="62" spans="1:7" x14ac:dyDescent="0.35">
      <c r="A62" s="90">
        <v>2</v>
      </c>
      <c r="B62" s="90" t="s">
        <v>15</v>
      </c>
      <c r="C62" s="90" t="s">
        <v>110</v>
      </c>
      <c r="D62" s="90" t="s">
        <v>111</v>
      </c>
      <c r="E62" s="90">
        <v>1</v>
      </c>
      <c r="F62" s="100">
        <v>17500</v>
      </c>
      <c r="G62" s="100">
        <v>17500</v>
      </c>
    </row>
    <row r="63" spans="1:7" x14ac:dyDescent="0.35">
      <c r="A63" s="90">
        <v>2</v>
      </c>
      <c r="B63" s="90" t="s">
        <v>15</v>
      </c>
      <c r="C63" s="90" t="s">
        <v>112</v>
      </c>
      <c r="D63" s="90" t="s">
        <v>113</v>
      </c>
      <c r="E63" s="90">
        <v>10</v>
      </c>
      <c r="F63" s="100">
        <v>4800</v>
      </c>
      <c r="G63" s="100">
        <v>48000</v>
      </c>
    </row>
    <row r="64" spans="1:7" x14ac:dyDescent="0.35">
      <c r="A64" s="90">
        <v>2</v>
      </c>
      <c r="B64" s="90" t="s">
        <v>15</v>
      </c>
      <c r="C64" s="90" t="s">
        <v>114</v>
      </c>
      <c r="D64" s="90" t="s">
        <v>115</v>
      </c>
      <c r="E64" s="90">
        <v>50</v>
      </c>
      <c r="F64" s="100">
        <v>4600</v>
      </c>
      <c r="G64" s="100">
        <v>230000</v>
      </c>
    </row>
    <row r="65" spans="1:7" x14ac:dyDescent="0.35">
      <c r="A65" s="90">
        <v>2</v>
      </c>
      <c r="B65" s="90" t="s">
        <v>15</v>
      </c>
      <c r="C65" s="90" t="s">
        <v>116</v>
      </c>
      <c r="D65" s="90" t="s">
        <v>117</v>
      </c>
      <c r="E65" s="90">
        <v>5</v>
      </c>
      <c r="F65" s="100">
        <v>2600</v>
      </c>
      <c r="G65" s="100">
        <v>13000</v>
      </c>
    </row>
    <row r="66" spans="1:7" x14ac:dyDescent="0.35">
      <c r="A66" s="90">
        <v>2</v>
      </c>
      <c r="B66" s="90" t="s">
        <v>15</v>
      </c>
      <c r="C66" s="90" t="s">
        <v>118</v>
      </c>
      <c r="D66" s="90" t="s">
        <v>119</v>
      </c>
      <c r="E66" s="90">
        <v>1</v>
      </c>
      <c r="F66" s="100">
        <v>15100</v>
      </c>
      <c r="G66" s="100">
        <v>15100</v>
      </c>
    </row>
    <row r="67" spans="1:7" x14ac:dyDescent="0.35">
      <c r="A67" s="90">
        <v>2</v>
      </c>
      <c r="B67" s="90" t="s">
        <v>15</v>
      </c>
      <c r="C67" s="90" t="s">
        <v>120</v>
      </c>
      <c r="D67" s="90" t="s">
        <v>121</v>
      </c>
      <c r="E67" s="90">
        <v>3</v>
      </c>
      <c r="F67" s="100">
        <v>6200</v>
      </c>
      <c r="G67" s="100">
        <v>18600</v>
      </c>
    </row>
    <row r="68" spans="1:7" x14ac:dyDescent="0.35">
      <c r="A68" s="90">
        <v>2</v>
      </c>
      <c r="B68" s="90" t="s">
        <v>15</v>
      </c>
      <c r="C68" s="90" t="s">
        <v>122</v>
      </c>
      <c r="D68" s="90" t="s">
        <v>123</v>
      </c>
      <c r="E68" s="90">
        <v>1</v>
      </c>
      <c r="F68" s="100">
        <v>8100</v>
      </c>
      <c r="G68" s="100">
        <v>8100</v>
      </c>
    </row>
    <row r="69" spans="1:7" x14ac:dyDescent="0.35">
      <c r="A69" s="90">
        <v>2</v>
      </c>
      <c r="B69" s="90" t="s">
        <v>15</v>
      </c>
      <c r="C69" s="90" t="s">
        <v>37</v>
      </c>
      <c r="D69" s="90" t="s">
        <v>38</v>
      </c>
      <c r="E69" s="90">
        <v>4</v>
      </c>
      <c r="F69" s="100">
        <v>10600</v>
      </c>
      <c r="G69" s="100">
        <v>42400</v>
      </c>
    </row>
    <row r="70" spans="1:7" x14ac:dyDescent="0.35">
      <c r="A70" s="90">
        <v>2</v>
      </c>
      <c r="B70" s="90" t="s">
        <v>15</v>
      </c>
      <c r="C70" s="90" t="s">
        <v>124</v>
      </c>
      <c r="D70" s="90" t="s">
        <v>125</v>
      </c>
      <c r="E70" s="90">
        <v>2</v>
      </c>
      <c r="F70" s="100">
        <v>19850</v>
      </c>
      <c r="G70" s="100">
        <v>39700</v>
      </c>
    </row>
    <row r="71" spans="1:7" x14ac:dyDescent="0.35">
      <c r="A71" s="90">
        <v>2</v>
      </c>
      <c r="B71" s="90" t="s">
        <v>15</v>
      </c>
      <c r="C71" s="90" t="s">
        <v>126</v>
      </c>
      <c r="D71" s="90" t="s">
        <v>127</v>
      </c>
      <c r="E71" s="90">
        <v>2</v>
      </c>
      <c r="F71" s="100">
        <v>18750</v>
      </c>
      <c r="G71" s="100">
        <v>37500</v>
      </c>
    </row>
    <row r="72" spans="1:7" x14ac:dyDescent="0.35">
      <c r="A72" s="90">
        <v>2</v>
      </c>
      <c r="B72" s="90" t="s">
        <v>15</v>
      </c>
      <c r="C72" s="90" t="s">
        <v>128</v>
      </c>
      <c r="D72" s="90" t="s">
        <v>129</v>
      </c>
      <c r="E72" s="90">
        <v>1</v>
      </c>
      <c r="F72" s="100">
        <v>7200</v>
      </c>
      <c r="G72" s="100">
        <v>7200</v>
      </c>
    </row>
    <row r="73" spans="1:7" x14ac:dyDescent="0.35">
      <c r="A73" s="90">
        <v>2</v>
      </c>
      <c r="B73" s="90" t="s">
        <v>15</v>
      </c>
      <c r="C73" s="90" t="s">
        <v>130</v>
      </c>
      <c r="D73" s="90" t="s">
        <v>131</v>
      </c>
      <c r="E73" s="90">
        <v>3</v>
      </c>
      <c r="F73" s="100">
        <v>2750</v>
      </c>
      <c r="G73" s="100">
        <v>8250</v>
      </c>
    </row>
    <row r="74" spans="1:7" x14ac:dyDescent="0.35">
      <c r="A74" s="90">
        <v>2</v>
      </c>
      <c r="B74" s="90" t="s">
        <v>15</v>
      </c>
      <c r="C74" s="90" t="s">
        <v>53</v>
      </c>
      <c r="D74" s="90" t="s">
        <v>54</v>
      </c>
      <c r="E74" s="90">
        <v>5</v>
      </c>
      <c r="F74" s="100">
        <v>2250</v>
      </c>
      <c r="G74" s="100">
        <v>11250</v>
      </c>
    </row>
    <row r="75" spans="1:7" x14ac:dyDescent="0.35">
      <c r="A75" s="90">
        <v>2</v>
      </c>
      <c r="B75" s="90" t="s">
        <v>15</v>
      </c>
      <c r="C75" s="90" t="s">
        <v>132</v>
      </c>
      <c r="D75" s="90" t="s">
        <v>133</v>
      </c>
      <c r="E75" s="90">
        <v>3</v>
      </c>
      <c r="F75" s="100">
        <v>4850</v>
      </c>
      <c r="G75" s="100">
        <v>14550</v>
      </c>
    </row>
    <row r="76" spans="1:7" x14ac:dyDescent="0.35">
      <c r="A76" s="90">
        <v>2</v>
      </c>
      <c r="B76" s="90" t="s">
        <v>15</v>
      </c>
      <c r="C76" s="90" t="s">
        <v>134</v>
      </c>
      <c r="D76" s="90" t="s">
        <v>135</v>
      </c>
      <c r="E76" s="90">
        <v>13</v>
      </c>
      <c r="F76" s="100">
        <v>15800</v>
      </c>
      <c r="G76" s="100">
        <v>205400</v>
      </c>
    </row>
    <row r="77" spans="1:7" x14ac:dyDescent="0.35">
      <c r="A77" s="90">
        <v>2</v>
      </c>
      <c r="B77" s="90" t="s">
        <v>15</v>
      </c>
      <c r="C77" s="90" t="s">
        <v>136</v>
      </c>
      <c r="D77" s="90" t="s">
        <v>137</v>
      </c>
      <c r="E77" s="90">
        <v>5</v>
      </c>
      <c r="F77" s="100">
        <v>2100</v>
      </c>
      <c r="G77" s="100">
        <v>10500</v>
      </c>
    </row>
    <row r="78" spans="1:7" x14ac:dyDescent="0.35">
      <c r="A78" s="90">
        <v>2</v>
      </c>
      <c r="B78" s="90" t="s">
        <v>15</v>
      </c>
      <c r="C78" s="90" t="s">
        <v>138</v>
      </c>
      <c r="D78" s="90" t="s">
        <v>139</v>
      </c>
      <c r="E78" s="90">
        <v>2</v>
      </c>
      <c r="F78" s="100">
        <v>14600</v>
      </c>
      <c r="G78" s="100">
        <v>29200</v>
      </c>
    </row>
    <row r="79" spans="1:7" x14ac:dyDescent="0.35">
      <c r="A79" s="90">
        <v>2</v>
      </c>
      <c r="B79" s="90" t="s">
        <v>15</v>
      </c>
      <c r="C79" s="90" t="s">
        <v>140</v>
      </c>
      <c r="D79" s="90" t="s">
        <v>141</v>
      </c>
      <c r="E79" s="90">
        <v>2</v>
      </c>
      <c r="F79" s="100">
        <v>30350</v>
      </c>
      <c r="G79" s="100">
        <v>60700</v>
      </c>
    </row>
    <row r="80" spans="1:7" x14ac:dyDescent="0.35">
      <c r="A80" s="90">
        <v>2</v>
      </c>
      <c r="B80" s="90" t="s">
        <v>15</v>
      </c>
      <c r="C80" s="90" t="s">
        <v>142</v>
      </c>
      <c r="D80" s="90" t="s">
        <v>143</v>
      </c>
      <c r="E80" s="90">
        <v>1</v>
      </c>
      <c r="F80" s="100">
        <v>30700</v>
      </c>
      <c r="G80" s="100">
        <v>30700</v>
      </c>
    </row>
    <row r="81" spans="1:7" x14ac:dyDescent="0.35">
      <c r="A81" s="90">
        <v>2</v>
      </c>
      <c r="B81" s="90" t="s">
        <v>15</v>
      </c>
      <c r="C81" s="90" t="s">
        <v>144</v>
      </c>
      <c r="D81" s="90" t="s">
        <v>145</v>
      </c>
      <c r="E81" s="90">
        <v>1</v>
      </c>
      <c r="F81" s="100">
        <v>15550</v>
      </c>
      <c r="G81" s="100">
        <v>15550</v>
      </c>
    </row>
    <row r="82" spans="1:7" x14ac:dyDescent="0.35">
      <c r="A82" s="90">
        <v>2</v>
      </c>
      <c r="B82" s="90" t="s">
        <v>15</v>
      </c>
      <c r="C82" s="90" t="s">
        <v>146</v>
      </c>
      <c r="D82" s="90" t="s">
        <v>147</v>
      </c>
      <c r="E82" s="90">
        <v>60</v>
      </c>
      <c r="F82" s="100">
        <v>2000</v>
      </c>
      <c r="G82" s="100">
        <v>120000</v>
      </c>
    </row>
    <row r="83" spans="1:7" x14ac:dyDescent="0.35">
      <c r="A83" s="90">
        <v>2</v>
      </c>
      <c r="B83" s="90" t="s">
        <v>15</v>
      </c>
      <c r="C83" s="90" t="s">
        <v>148</v>
      </c>
      <c r="D83" s="90" t="s">
        <v>149</v>
      </c>
      <c r="E83" s="90">
        <v>200</v>
      </c>
      <c r="F83" s="100">
        <v>440</v>
      </c>
      <c r="G83" s="100">
        <v>88000</v>
      </c>
    </row>
    <row r="84" spans="1:7" x14ac:dyDescent="0.35">
      <c r="A84" s="90">
        <v>2</v>
      </c>
      <c r="B84" s="90" t="s">
        <v>15</v>
      </c>
      <c r="C84" s="90" t="s">
        <v>150</v>
      </c>
      <c r="D84" s="90" t="s">
        <v>151</v>
      </c>
      <c r="E84" s="90">
        <v>200</v>
      </c>
      <c r="F84" s="100">
        <v>440</v>
      </c>
      <c r="G84" s="100">
        <v>88000</v>
      </c>
    </row>
    <row r="85" spans="1:7" x14ac:dyDescent="0.35">
      <c r="A85" s="90">
        <v>2</v>
      </c>
      <c r="B85" s="90" t="s">
        <v>15</v>
      </c>
      <c r="C85" s="90" t="s">
        <v>152</v>
      </c>
      <c r="D85" s="90" t="s">
        <v>153</v>
      </c>
      <c r="E85" s="90">
        <v>2</v>
      </c>
      <c r="F85" s="100">
        <v>18650</v>
      </c>
      <c r="G85" s="100">
        <v>37300</v>
      </c>
    </row>
    <row r="86" spans="1:7" x14ac:dyDescent="0.35">
      <c r="A86" s="90">
        <v>2</v>
      </c>
      <c r="B86" s="90" t="s">
        <v>15</v>
      </c>
      <c r="C86" s="90" t="s">
        <v>154</v>
      </c>
      <c r="D86" s="90" t="s">
        <v>155</v>
      </c>
      <c r="E86" s="90">
        <v>200</v>
      </c>
      <c r="F86" s="100">
        <v>270</v>
      </c>
      <c r="G86" s="100">
        <v>54000</v>
      </c>
    </row>
    <row r="87" spans="1:7" x14ac:dyDescent="0.35">
      <c r="A87" s="90">
        <v>2</v>
      </c>
      <c r="B87" s="90" t="s">
        <v>15</v>
      </c>
      <c r="C87" s="90" t="s">
        <v>156</v>
      </c>
      <c r="D87" s="90" t="s">
        <v>157</v>
      </c>
      <c r="E87" s="90">
        <v>10</v>
      </c>
      <c r="F87" s="100">
        <v>5200</v>
      </c>
      <c r="G87" s="100">
        <v>52000</v>
      </c>
    </row>
    <row r="88" spans="1:7" x14ac:dyDescent="0.35">
      <c r="A88" s="97">
        <v>2</v>
      </c>
      <c r="B88" s="97" t="s">
        <v>57</v>
      </c>
      <c r="C88" s="97" t="s">
        <v>158</v>
      </c>
      <c r="D88" s="97" t="s">
        <v>159</v>
      </c>
      <c r="E88" s="97">
        <v>2</v>
      </c>
      <c r="F88" s="101">
        <v>42269</v>
      </c>
      <c r="G88" s="101">
        <v>84538</v>
      </c>
    </row>
    <row r="89" spans="1:7" x14ac:dyDescent="0.35">
      <c r="A89" s="90">
        <v>2</v>
      </c>
      <c r="B89" s="90" t="s">
        <v>10</v>
      </c>
      <c r="C89" s="90" t="s">
        <v>160</v>
      </c>
      <c r="D89" s="90" t="s">
        <v>161</v>
      </c>
      <c r="E89" s="90">
        <v>10</v>
      </c>
      <c r="F89" s="100">
        <v>8487.4</v>
      </c>
      <c r="G89" s="100">
        <v>84874</v>
      </c>
    </row>
    <row r="90" spans="1:7" x14ac:dyDescent="0.35">
      <c r="A90" s="90">
        <v>2</v>
      </c>
      <c r="B90" s="90" t="s">
        <v>10</v>
      </c>
      <c r="C90" s="90" t="s">
        <v>162</v>
      </c>
      <c r="D90" s="90" t="s">
        <v>163</v>
      </c>
      <c r="E90" s="90">
        <v>20.7</v>
      </c>
      <c r="F90" s="100">
        <v>22900</v>
      </c>
      <c r="G90" s="100">
        <v>474030</v>
      </c>
    </row>
    <row r="91" spans="1:7" x14ac:dyDescent="0.35">
      <c r="A91" s="90">
        <v>2</v>
      </c>
      <c r="B91" s="90" t="s">
        <v>10</v>
      </c>
      <c r="C91" s="90" t="s">
        <v>164</v>
      </c>
      <c r="D91" s="90" t="s">
        <v>165</v>
      </c>
      <c r="E91" s="90">
        <v>20</v>
      </c>
      <c r="F91" s="100">
        <v>16000</v>
      </c>
      <c r="G91" s="100">
        <v>320000</v>
      </c>
    </row>
    <row r="92" spans="1:7" x14ac:dyDescent="0.35">
      <c r="A92" s="90">
        <v>2</v>
      </c>
      <c r="B92" s="90" t="s">
        <v>10</v>
      </c>
      <c r="C92" s="90" t="s">
        <v>70</v>
      </c>
      <c r="D92" s="90" t="s">
        <v>166</v>
      </c>
      <c r="E92" s="90">
        <v>22.8</v>
      </c>
      <c r="F92" s="100">
        <v>34500</v>
      </c>
      <c r="G92" s="100">
        <v>786600</v>
      </c>
    </row>
    <row r="93" spans="1:7" x14ac:dyDescent="0.35">
      <c r="A93" s="90">
        <v>2</v>
      </c>
      <c r="B93" s="90" t="s">
        <v>10</v>
      </c>
      <c r="C93" s="90" t="s">
        <v>167</v>
      </c>
      <c r="D93" s="90" t="s">
        <v>168</v>
      </c>
      <c r="E93" s="90">
        <v>4.8</v>
      </c>
      <c r="F93" s="100">
        <v>22000</v>
      </c>
      <c r="G93" s="100">
        <v>105600</v>
      </c>
    </row>
    <row r="94" spans="1:7" x14ac:dyDescent="0.35">
      <c r="A94" s="90">
        <v>2</v>
      </c>
      <c r="B94" s="90" t="s">
        <v>18</v>
      </c>
      <c r="C94" s="90" t="s">
        <v>169</v>
      </c>
      <c r="D94" s="90" t="s">
        <v>170</v>
      </c>
      <c r="E94" s="90">
        <v>8</v>
      </c>
      <c r="F94" s="100">
        <v>15546.25</v>
      </c>
      <c r="G94" s="100">
        <v>124370</v>
      </c>
    </row>
    <row r="95" spans="1:7" x14ac:dyDescent="0.35">
      <c r="A95" s="90">
        <v>2</v>
      </c>
      <c r="B95" s="90" t="s">
        <v>10</v>
      </c>
      <c r="C95" s="90" t="s">
        <v>171</v>
      </c>
      <c r="D95" s="90" t="s">
        <v>172</v>
      </c>
      <c r="E95" s="90">
        <v>66.650000000000006</v>
      </c>
      <c r="F95" s="100">
        <v>21900</v>
      </c>
      <c r="G95" s="100">
        <v>1459635</v>
      </c>
    </row>
    <row r="96" spans="1:7" x14ac:dyDescent="0.35">
      <c r="A96" s="90">
        <v>2</v>
      </c>
      <c r="B96" s="90" t="s">
        <v>10</v>
      </c>
      <c r="C96" s="90" t="s">
        <v>173</v>
      </c>
      <c r="D96" s="90" t="s">
        <v>174</v>
      </c>
      <c r="E96" s="90">
        <v>20</v>
      </c>
      <c r="F96" s="100">
        <v>16500</v>
      </c>
      <c r="G96" s="100">
        <v>330000</v>
      </c>
    </row>
    <row r="97" spans="1:7" x14ac:dyDescent="0.35">
      <c r="A97" s="90">
        <v>2</v>
      </c>
      <c r="B97" s="90" t="s">
        <v>10</v>
      </c>
      <c r="C97" s="90" t="s">
        <v>162</v>
      </c>
      <c r="D97" s="90" t="s">
        <v>163</v>
      </c>
      <c r="E97" s="90">
        <v>10</v>
      </c>
      <c r="F97" s="100">
        <v>22900</v>
      </c>
      <c r="G97" s="100">
        <v>229000</v>
      </c>
    </row>
    <row r="98" spans="1:7" x14ac:dyDescent="0.35">
      <c r="A98" s="90">
        <v>2</v>
      </c>
      <c r="B98" s="90" t="s">
        <v>10</v>
      </c>
      <c r="C98" s="90" t="s">
        <v>175</v>
      </c>
      <c r="D98" s="90" t="s">
        <v>176</v>
      </c>
      <c r="E98" s="90">
        <v>21.71</v>
      </c>
      <c r="F98" s="100">
        <v>25900</v>
      </c>
      <c r="G98" s="100">
        <v>562289</v>
      </c>
    </row>
    <row r="99" spans="1:7" x14ac:dyDescent="0.35">
      <c r="A99" s="90">
        <v>3</v>
      </c>
      <c r="B99" s="90" t="s">
        <v>7</v>
      </c>
      <c r="C99" s="90" t="s">
        <v>8</v>
      </c>
      <c r="D99" s="90" t="s">
        <v>29</v>
      </c>
      <c r="E99" s="90">
        <v>1</v>
      </c>
      <c r="F99" s="100">
        <v>138000</v>
      </c>
      <c r="G99" s="100">
        <v>138000</v>
      </c>
    </row>
    <row r="100" spans="1:7" x14ac:dyDescent="0.35">
      <c r="A100" s="90">
        <v>3</v>
      </c>
      <c r="B100" s="90" t="s">
        <v>15</v>
      </c>
      <c r="C100" s="90" t="s">
        <v>34</v>
      </c>
      <c r="D100" s="90" t="s">
        <v>35</v>
      </c>
      <c r="E100" s="90">
        <v>1</v>
      </c>
      <c r="F100" s="100">
        <v>25000</v>
      </c>
      <c r="G100" s="100">
        <v>25000</v>
      </c>
    </row>
    <row r="101" spans="1:7" x14ac:dyDescent="0.35">
      <c r="A101" s="90">
        <v>3</v>
      </c>
      <c r="B101" s="90" t="s">
        <v>7</v>
      </c>
      <c r="C101" s="90" t="s">
        <v>13</v>
      </c>
      <c r="D101" s="90" t="s">
        <v>33</v>
      </c>
      <c r="E101" s="90">
        <v>1</v>
      </c>
      <c r="F101" s="100">
        <v>30000</v>
      </c>
      <c r="G101" s="100">
        <v>30000</v>
      </c>
    </row>
    <row r="102" spans="1:7" x14ac:dyDescent="0.35">
      <c r="A102" s="90">
        <v>3</v>
      </c>
      <c r="B102" s="90" t="s">
        <v>21</v>
      </c>
      <c r="C102" s="90" t="s">
        <v>177</v>
      </c>
      <c r="D102" s="90" t="s">
        <v>178</v>
      </c>
      <c r="E102" s="90">
        <v>1</v>
      </c>
      <c r="F102" s="100">
        <v>130000</v>
      </c>
      <c r="G102" s="100">
        <v>130000</v>
      </c>
    </row>
    <row r="103" spans="1:7" x14ac:dyDescent="0.35">
      <c r="A103" s="90">
        <v>3</v>
      </c>
      <c r="B103" s="90" t="s">
        <v>57</v>
      </c>
      <c r="C103" s="90" t="s">
        <v>58</v>
      </c>
      <c r="D103" s="90" t="s">
        <v>59</v>
      </c>
      <c r="E103" s="90">
        <v>2</v>
      </c>
      <c r="F103" s="100">
        <v>9500</v>
      </c>
      <c r="G103" s="100">
        <v>19000</v>
      </c>
    </row>
    <row r="104" spans="1:7" x14ac:dyDescent="0.35">
      <c r="A104" s="90">
        <v>3</v>
      </c>
      <c r="B104" s="90" t="s">
        <v>57</v>
      </c>
      <c r="C104" s="90" t="s">
        <v>60</v>
      </c>
      <c r="D104" s="90" t="s">
        <v>179</v>
      </c>
      <c r="E104" s="90">
        <v>2</v>
      </c>
      <c r="F104" s="100">
        <v>5000</v>
      </c>
      <c r="G104" s="100">
        <v>10000</v>
      </c>
    </row>
    <row r="105" spans="1:7" x14ac:dyDescent="0.35">
      <c r="A105" s="90">
        <v>3</v>
      </c>
      <c r="B105" s="90" t="s">
        <v>18</v>
      </c>
      <c r="C105" s="90" t="s">
        <v>30</v>
      </c>
      <c r="D105" s="90" t="s">
        <v>180</v>
      </c>
      <c r="E105" s="90">
        <v>1</v>
      </c>
      <c r="F105" s="100">
        <v>17200</v>
      </c>
      <c r="G105" s="100">
        <v>17200</v>
      </c>
    </row>
    <row r="106" spans="1:7" x14ac:dyDescent="0.35">
      <c r="A106" s="90">
        <v>3</v>
      </c>
      <c r="B106" s="90" t="s">
        <v>18</v>
      </c>
      <c r="C106" s="90" t="s">
        <v>30</v>
      </c>
      <c r="D106" s="90" t="s">
        <v>181</v>
      </c>
      <c r="E106" s="90">
        <v>4</v>
      </c>
      <c r="F106" s="100">
        <v>6800</v>
      </c>
      <c r="G106" s="100">
        <v>27200</v>
      </c>
    </row>
    <row r="107" spans="1:7" x14ac:dyDescent="0.35">
      <c r="A107" s="90">
        <v>3</v>
      </c>
      <c r="B107" s="90" t="s">
        <v>18</v>
      </c>
      <c r="C107" s="90" t="s">
        <v>182</v>
      </c>
      <c r="D107" s="90" t="s">
        <v>183</v>
      </c>
      <c r="E107" s="90">
        <v>5.4050000000000002</v>
      </c>
      <c r="F107" s="100">
        <v>3280</v>
      </c>
      <c r="G107" s="100">
        <v>17729</v>
      </c>
    </row>
    <row r="108" spans="1:7" x14ac:dyDescent="0.35">
      <c r="A108" s="90">
        <v>3</v>
      </c>
      <c r="B108" s="90" t="s">
        <v>18</v>
      </c>
      <c r="C108" s="90" t="s">
        <v>30</v>
      </c>
      <c r="D108" s="90" t="s">
        <v>181</v>
      </c>
      <c r="E108" s="90">
        <v>2</v>
      </c>
      <c r="F108" s="100">
        <v>6800</v>
      </c>
      <c r="G108" s="100">
        <v>13600</v>
      </c>
    </row>
    <row r="109" spans="1:7" x14ac:dyDescent="0.35">
      <c r="A109" s="90">
        <v>3</v>
      </c>
      <c r="B109" s="90" t="s">
        <v>15</v>
      </c>
      <c r="C109" s="90" t="s">
        <v>184</v>
      </c>
      <c r="D109" s="90" t="s">
        <v>185</v>
      </c>
      <c r="E109" s="90">
        <v>1</v>
      </c>
      <c r="F109" s="100">
        <v>300</v>
      </c>
      <c r="G109" s="100">
        <v>300</v>
      </c>
    </row>
    <row r="110" spans="1:7" x14ac:dyDescent="0.35">
      <c r="A110" s="90">
        <v>3</v>
      </c>
      <c r="B110" s="90" t="s">
        <v>15</v>
      </c>
      <c r="C110" s="90" t="s">
        <v>186</v>
      </c>
      <c r="D110" s="90" t="s">
        <v>187</v>
      </c>
      <c r="E110" s="90">
        <v>1</v>
      </c>
      <c r="F110" s="100">
        <v>23700</v>
      </c>
      <c r="G110" s="100">
        <v>23700</v>
      </c>
    </row>
    <row r="111" spans="1:7" x14ac:dyDescent="0.35">
      <c r="A111" s="90">
        <v>3</v>
      </c>
      <c r="B111" s="90" t="s">
        <v>57</v>
      </c>
      <c r="C111" s="90" t="s">
        <v>60</v>
      </c>
      <c r="D111" s="90" t="s">
        <v>61</v>
      </c>
      <c r="E111" s="90">
        <v>2</v>
      </c>
      <c r="F111" s="100">
        <v>5000</v>
      </c>
      <c r="G111" s="100">
        <v>10000</v>
      </c>
    </row>
    <row r="112" spans="1:7" x14ac:dyDescent="0.35">
      <c r="A112" s="90">
        <v>3</v>
      </c>
      <c r="B112" s="90" t="s">
        <v>57</v>
      </c>
      <c r="C112" s="90" t="s">
        <v>58</v>
      </c>
      <c r="D112" s="90" t="s">
        <v>59</v>
      </c>
      <c r="E112" s="90">
        <v>2</v>
      </c>
      <c r="F112" s="100">
        <v>9500</v>
      </c>
      <c r="G112" s="100">
        <v>19000</v>
      </c>
    </row>
    <row r="113" spans="1:7" x14ac:dyDescent="0.35">
      <c r="A113" s="90">
        <v>3</v>
      </c>
      <c r="B113" s="90" t="s">
        <v>10</v>
      </c>
      <c r="C113" s="90" t="s">
        <v>188</v>
      </c>
      <c r="D113" s="90" t="s">
        <v>189</v>
      </c>
      <c r="E113" s="90">
        <v>10.36</v>
      </c>
      <c r="F113" s="100">
        <v>18500</v>
      </c>
      <c r="G113" s="100">
        <v>191660</v>
      </c>
    </row>
    <row r="114" spans="1:7" x14ac:dyDescent="0.35">
      <c r="A114" s="90">
        <v>4</v>
      </c>
      <c r="B114" s="90" t="s">
        <v>10</v>
      </c>
      <c r="C114" s="90" t="s">
        <v>190</v>
      </c>
      <c r="D114" s="90" t="s">
        <v>191</v>
      </c>
      <c r="E114" s="90">
        <v>5</v>
      </c>
      <c r="F114" s="100">
        <v>48000</v>
      </c>
      <c r="G114" s="100">
        <v>240000</v>
      </c>
    </row>
    <row r="115" spans="1:7" x14ac:dyDescent="0.35">
      <c r="A115" s="90">
        <v>4</v>
      </c>
      <c r="B115" s="90" t="s">
        <v>10</v>
      </c>
      <c r="C115" s="90" t="s">
        <v>192</v>
      </c>
      <c r="D115" s="90" t="s">
        <v>193</v>
      </c>
      <c r="E115" s="90">
        <v>2</v>
      </c>
      <c r="F115" s="100">
        <v>46000</v>
      </c>
      <c r="G115" s="100">
        <v>92000</v>
      </c>
    </row>
    <row r="116" spans="1:7" x14ac:dyDescent="0.35">
      <c r="A116" s="90">
        <v>4</v>
      </c>
      <c r="B116" s="90" t="s">
        <v>57</v>
      </c>
      <c r="C116" s="90" t="s">
        <v>194</v>
      </c>
      <c r="D116" s="90" t="s">
        <v>195</v>
      </c>
      <c r="E116" s="90">
        <v>3</v>
      </c>
      <c r="F116" s="100">
        <v>12900</v>
      </c>
      <c r="G116" s="100">
        <v>38700</v>
      </c>
    </row>
    <row r="117" spans="1:7" x14ac:dyDescent="0.35">
      <c r="A117" s="90">
        <v>4</v>
      </c>
      <c r="B117" s="90" t="s">
        <v>57</v>
      </c>
      <c r="C117" s="90" t="s">
        <v>196</v>
      </c>
      <c r="D117" s="90" t="s">
        <v>197</v>
      </c>
      <c r="E117" s="90">
        <v>2</v>
      </c>
      <c r="F117" s="100">
        <v>12600</v>
      </c>
      <c r="G117" s="100">
        <v>25200</v>
      </c>
    </row>
    <row r="118" spans="1:7" x14ac:dyDescent="0.35">
      <c r="A118" s="90">
        <v>4</v>
      </c>
      <c r="B118" s="90" t="s">
        <v>57</v>
      </c>
      <c r="C118" s="90" t="s">
        <v>198</v>
      </c>
      <c r="D118" s="90" t="s">
        <v>199</v>
      </c>
      <c r="E118" s="90">
        <v>1</v>
      </c>
      <c r="F118" s="100">
        <v>15500</v>
      </c>
      <c r="G118" s="100">
        <v>15500</v>
      </c>
    </row>
    <row r="119" spans="1:7" x14ac:dyDescent="0.35">
      <c r="A119" s="90">
        <v>4</v>
      </c>
      <c r="B119" s="90" t="s">
        <v>57</v>
      </c>
      <c r="C119" s="90" t="s">
        <v>200</v>
      </c>
      <c r="D119" s="90" t="s">
        <v>201</v>
      </c>
      <c r="E119" s="90">
        <v>2</v>
      </c>
      <c r="F119" s="100">
        <v>16800</v>
      </c>
      <c r="G119" s="100">
        <v>33600</v>
      </c>
    </row>
    <row r="120" spans="1:7" x14ac:dyDescent="0.35">
      <c r="A120" s="90">
        <v>4</v>
      </c>
      <c r="B120" s="90" t="s">
        <v>21</v>
      </c>
      <c r="C120" s="90" t="s">
        <v>202</v>
      </c>
      <c r="D120" s="90" t="s">
        <v>203</v>
      </c>
      <c r="E120" s="90">
        <v>700</v>
      </c>
      <c r="F120" s="100">
        <v>150</v>
      </c>
      <c r="G120" s="100">
        <v>105000</v>
      </c>
    </row>
    <row r="121" spans="1:7" x14ac:dyDescent="0.35">
      <c r="A121" s="90">
        <v>4</v>
      </c>
      <c r="B121" s="90" t="s">
        <v>21</v>
      </c>
      <c r="C121" s="90" t="s">
        <v>202</v>
      </c>
      <c r="D121" s="90" t="s">
        <v>204</v>
      </c>
      <c r="E121" s="90">
        <v>400</v>
      </c>
      <c r="F121" s="100">
        <v>150</v>
      </c>
      <c r="G121" s="100">
        <v>60000</v>
      </c>
    </row>
    <row r="122" spans="1:7" x14ac:dyDescent="0.35">
      <c r="A122" s="90">
        <v>4</v>
      </c>
      <c r="B122" s="90" t="s">
        <v>18</v>
      </c>
      <c r="C122" s="90" t="s">
        <v>30</v>
      </c>
      <c r="D122" s="90" t="s">
        <v>205</v>
      </c>
      <c r="E122" s="90">
        <v>1</v>
      </c>
      <c r="F122" s="100">
        <v>132000</v>
      </c>
      <c r="G122" s="100">
        <v>132000</v>
      </c>
    </row>
    <row r="123" spans="1:7" x14ac:dyDescent="0.35">
      <c r="A123" s="90">
        <v>4</v>
      </c>
      <c r="B123" s="90" t="s">
        <v>7</v>
      </c>
      <c r="C123" s="90" t="s">
        <v>88</v>
      </c>
      <c r="D123" s="90" t="s">
        <v>206</v>
      </c>
      <c r="E123" s="90">
        <v>1</v>
      </c>
      <c r="F123" s="100">
        <v>7500</v>
      </c>
      <c r="G123" s="100">
        <v>7500</v>
      </c>
    </row>
    <row r="124" spans="1:7" x14ac:dyDescent="0.35">
      <c r="A124" s="90">
        <v>4</v>
      </c>
      <c r="B124" s="90" t="s">
        <v>7</v>
      </c>
      <c r="C124" s="90" t="s">
        <v>8</v>
      </c>
      <c r="D124" s="90" t="s">
        <v>29</v>
      </c>
      <c r="E124" s="90">
        <v>1</v>
      </c>
      <c r="F124" s="100">
        <v>132000</v>
      </c>
      <c r="G124" s="100">
        <v>132000</v>
      </c>
    </row>
    <row r="125" spans="1:7" x14ac:dyDescent="0.35">
      <c r="A125" s="90">
        <v>4</v>
      </c>
      <c r="B125" s="90" t="s">
        <v>57</v>
      </c>
      <c r="C125" s="90" t="s">
        <v>58</v>
      </c>
      <c r="D125" s="90" t="s">
        <v>59</v>
      </c>
      <c r="E125" s="90">
        <v>2</v>
      </c>
      <c r="F125" s="100">
        <v>9500</v>
      </c>
      <c r="G125" s="100">
        <v>19000</v>
      </c>
    </row>
    <row r="126" spans="1:7" x14ac:dyDescent="0.35">
      <c r="A126" s="90">
        <v>4</v>
      </c>
      <c r="B126" s="90" t="s">
        <v>18</v>
      </c>
      <c r="C126" s="90" t="s">
        <v>207</v>
      </c>
      <c r="D126" s="90" t="s">
        <v>208</v>
      </c>
      <c r="E126" s="90">
        <v>10</v>
      </c>
      <c r="F126" s="100">
        <v>45000</v>
      </c>
      <c r="G126" s="100">
        <v>45000</v>
      </c>
    </row>
    <row r="127" spans="1:7" x14ac:dyDescent="0.35">
      <c r="A127" s="97">
        <v>4</v>
      </c>
      <c r="B127" s="97" t="s">
        <v>18</v>
      </c>
      <c r="C127" s="97" t="s">
        <v>209</v>
      </c>
      <c r="D127" s="97" t="s">
        <v>210</v>
      </c>
      <c r="E127" s="97">
        <v>1</v>
      </c>
      <c r="F127" s="101">
        <v>18000</v>
      </c>
      <c r="G127" s="101">
        <v>18000</v>
      </c>
    </row>
    <row r="128" spans="1:7" x14ac:dyDescent="0.35">
      <c r="A128" s="90">
        <v>4</v>
      </c>
      <c r="B128" s="90" t="s">
        <v>21</v>
      </c>
      <c r="C128" s="90" t="s">
        <v>202</v>
      </c>
      <c r="D128" s="90" t="s">
        <v>211</v>
      </c>
      <c r="E128" s="90">
        <v>1100</v>
      </c>
      <c r="F128" s="100">
        <v>150</v>
      </c>
      <c r="G128" s="100">
        <v>165000</v>
      </c>
    </row>
    <row r="129" spans="1:7" x14ac:dyDescent="0.35">
      <c r="A129" s="90">
        <v>4</v>
      </c>
      <c r="B129" s="90" t="s">
        <v>7</v>
      </c>
      <c r="C129" s="90" t="s">
        <v>88</v>
      </c>
      <c r="D129" s="90" t="s">
        <v>212</v>
      </c>
      <c r="E129" s="90">
        <v>3</v>
      </c>
      <c r="F129" s="100">
        <v>2500</v>
      </c>
      <c r="G129" s="100">
        <v>7500</v>
      </c>
    </row>
    <row r="130" spans="1:7" x14ac:dyDescent="0.35">
      <c r="A130" s="90">
        <v>4</v>
      </c>
      <c r="B130" s="90" t="s">
        <v>18</v>
      </c>
      <c r="C130" s="90" t="s">
        <v>30</v>
      </c>
      <c r="D130" s="90" t="s">
        <v>213</v>
      </c>
      <c r="E130" s="90">
        <v>22</v>
      </c>
      <c r="F130" s="100">
        <v>6000</v>
      </c>
      <c r="G130" s="100">
        <v>132000</v>
      </c>
    </row>
    <row r="131" spans="1:7" x14ac:dyDescent="0.35">
      <c r="A131" s="90">
        <v>4</v>
      </c>
      <c r="B131" s="90" t="s">
        <v>15</v>
      </c>
      <c r="C131" s="90" t="s">
        <v>214</v>
      </c>
      <c r="D131" s="90" t="s">
        <v>215</v>
      </c>
      <c r="E131" s="90">
        <v>25</v>
      </c>
      <c r="F131" s="100">
        <v>2100</v>
      </c>
      <c r="G131" s="100">
        <v>52500</v>
      </c>
    </row>
    <row r="132" spans="1:7" x14ac:dyDescent="0.35">
      <c r="A132" s="90">
        <v>4</v>
      </c>
      <c r="B132" s="90" t="s">
        <v>15</v>
      </c>
      <c r="C132" s="90" t="s">
        <v>16</v>
      </c>
      <c r="D132" s="90" t="s">
        <v>216</v>
      </c>
      <c r="E132" s="90">
        <v>1</v>
      </c>
      <c r="F132" s="100">
        <v>75100</v>
      </c>
      <c r="G132" s="100">
        <v>75100</v>
      </c>
    </row>
    <row r="133" spans="1:7" x14ac:dyDescent="0.35">
      <c r="A133" s="90">
        <v>4</v>
      </c>
      <c r="B133" s="90" t="s">
        <v>21</v>
      </c>
      <c r="C133" s="90" t="s">
        <v>217</v>
      </c>
      <c r="D133" s="90" t="s">
        <v>218</v>
      </c>
      <c r="E133" s="90">
        <v>2</v>
      </c>
      <c r="F133" s="100">
        <v>252000</v>
      </c>
      <c r="G133" s="100">
        <v>504000</v>
      </c>
    </row>
    <row r="134" spans="1:7" x14ac:dyDescent="0.35">
      <c r="A134" s="90">
        <v>4</v>
      </c>
      <c r="B134" s="90" t="s">
        <v>21</v>
      </c>
      <c r="C134" s="90" t="s">
        <v>219</v>
      </c>
      <c r="D134" s="90" t="s">
        <v>220</v>
      </c>
      <c r="E134" s="90">
        <v>1</v>
      </c>
      <c r="F134" s="100">
        <v>70000</v>
      </c>
      <c r="G134" s="100">
        <v>70000</v>
      </c>
    </row>
    <row r="135" spans="1:7" x14ac:dyDescent="0.35">
      <c r="A135" s="90">
        <v>4</v>
      </c>
      <c r="B135" s="90" t="s">
        <v>21</v>
      </c>
      <c r="C135" s="90" t="s">
        <v>221</v>
      </c>
      <c r="D135" s="90" t="s">
        <v>222</v>
      </c>
      <c r="E135" s="90">
        <v>4</v>
      </c>
      <c r="F135" s="100">
        <v>102000</v>
      </c>
      <c r="G135" s="100">
        <v>408000</v>
      </c>
    </row>
    <row r="136" spans="1:7" x14ac:dyDescent="0.35">
      <c r="A136" s="90">
        <v>4</v>
      </c>
      <c r="B136" s="90" t="s">
        <v>18</v>
      </c>
      <c r="C136" s="90" t="s">
        <v>169</v>
      </c>
      <c r="D136" s="90" t="s">
        <v>170</v>
      </c>
      <c r="E136" s="90">
        <v>8</v>
      </c>
      <c r="F136" s="100">
        <v>15546.25</v>
      </c>
      <c r="G136" s="100">
        <v>124370</v>
      </c>
    </row>
    <row r="137" spans="1:7" x14ac:dyDescent="0.35">
      <c r="A137" s="90">
        <v>4</v>
      </c>
      <c r="B137" s="90" t="s">
        <v>57</v>
      </c>
      <c r="C137" s="90" t="s">
        <v>223</v>
      </c>
      <c r="D137" s="90" t="s">
        <v>224</v>
      </c>
      <c r="E137" s="90">
        <v>8</v>
      </c>
      <c r="F137" s="100">
        <v>1820.73</v>
      </c>
      <c r="G137" s="100">
        <v>14565.84</v>
      </c>
    </row>
    <row r="138" spans="1:7" x14ac:dyDescent="0.35">
      <c r="A138" s="90">
        <v>4</v>
      </c>
      <c r="B138" s="90" t="s">
        <v>57</v>
      </c>
      <c r="C138" s="90" t="s">
        <v>223</v>
      </c>
      <c r="D138" s="90" t="s">
        <v>225</v>
      </c>
      <c r="E138" s="90">
        <v>7</v>
      </c>
      <c r="F138" s="100">
        <v>1820.73</v>
      </c>
      <c r="G138" s="100">
        <v>12745.11</v>
      </c>
    </row>
    <row r="139" spans="1:7" x14ac:dyDescent="0.35">
      <c r="A139" s="90">
        <v>4</v>
      </c>
      <c r="B139" s="90" t="s">
        <v>57</v>
      </c>
      <c r="C139" s="90" t="s">
        <v>223</v>
      </c>
      <c r="D139" s="90" t="s">
        <v>226</v>
      </c>
      <c r="E139" s="90">
        <v>8</v>
      </c>
      <c r="F139" s="100">
        <v>1820.73</v>
      </c>
      <c r="G139" s="100">
        <v>14565.84</v>
      </c>
    </row>
    <row r="140" spans="1:7" x14ac:dyDescent="0.35">
      <c r="A140" s="90">
        <v>4</v>
      </c>
      <c r="B140" s="90" t="s">
        <v>57</v>
      </c>
      <c r="C140" s="90" t="s">
        <v>227</v>
      </c>
      <c r="D140" s="90" t="s">
        <v>228</v>
      </c>
      <c r="E140" s="90">
        <v>6</v>
      </c>
      <c r="F140" s="100">
        <v>2731.09</v>
      </c>
      <c r="G140" s="100">
        <v>16386.54</v>
      </c>
    </row>
    <row r="141" spans="1:7" x14ac:dyDescent="0.35">
      <c r="A141" s="90">
        <v>4</v>
      </c>
      <c r="B141" s="90" t="s">
        <v>57</v>
      </c>
      <c r="C141" s="90" t="s">
        <v>227</v>
      </c>
      <c r="D141" s="90" t="s">
        <v>229</v>
      </c>
      <c r="E141" s="90">
        <v>6</v>
      </c>
      <c r="F141" s="100">
        <v>2731.09</v>
      </c>
      <c r="G141" s="100">
        <v>16386.54</v>
      </c>
    </row>
    <row r="142" spans="1:7" x14ac:dyDescent="0.35">
      <c r="A142" s="90">
        <v>4</v>
      </c>
      <c r="B142" s="90" t="s">
        <v>10</v>
      </c>
      <c r="C142" s="90" t="s">
        <v>55</v>
      </c>
      <c r="D142" s="90" t="s">
        <v>56</v>
      </c>
      <c r="E142" s="90">
        <v>15.9</v>
      </c>
      <c r="F142" s="100">
        <v>19800</v>
      </c>
      <c r="G142" s="100">
        <v>314820</v>
      </c>
    </row>
    <row r="143" spans="1:7" x14ac:dyDescent="0.35">
      <c r="A143" s="90">
        <v>4</v>
      </c>
      <c r="B143" s="90" t="s">
        <v>10</v>
      </c>
      <c r="C143" s="90" t="s">
        <v>230</v>
      </c>
      <c r="D143" s="90" t="s">
        <v>231</v>
      </c>
      <c r="E143" s="90">
        <v>8.75</v>
      </c>
      <c r="F143" s="100">
        <v>45000</v>
      </c>
      <c r="G143" s="100">
        <v>393750</v>
      </c>
    </row>
    <row r="144" spans="1:7" x14ac:dyDescent="0.35">
      <c r="A144" s="90">
        <v>4</v>
      </c>
      <c r="B144" s="90" t="s">
        <v>10</v>
      </c>
      <c r="C144" s="90" t="s">
        <v>68</v>
      </c>
      <c r="D144" s="90" t="s">
        <v>69</v>
      </c>
      <c r="E144" s="90">
        <v>5.43</v>
      </c>
      <c r="F144" s="100">
        <v>23500</v>
      </c>
      <c r="G144" s="100">
        <v>127605</v>
      </c>
    </row>
    <row r="145" spans="1:7" x14ac:dyDescent="0.35">
      <c r="A145" s="90">
        <v>4</v>
      </c>
      <c r="B145" s="90" t="s">
        <v>57</v>
      </c>
      <c r="C145" s="90" t="s">
        <v>209</v>
      </c>
      <c r="D145" s="90" t="s">
        <v>232</v>
      </c>
      <c r="E145" s="90">
        <v>3</v>
      </c>
      <c r="F145" s="100">
        <v>26000</v>
      </c>
      <c r="G145" s="100">
        <v>78000</v>
      </c>
    </row>
    <row r="146" spans="1:7" x14ac:dyDescent="0.35">
      <c r="A146" s="90">
        <v>4</v>
      </c>
      <c r="B146" s="90" t="s">
        <v>10</v>
      </c>
      <c r="C146" s="90" t="s">
        <v>233</v>
      </c>
      <c r="D146" s="90" t="s">
        <v>234</v>
      </c>
      <c r="E146" s="90">
        <v>20.2</v>
      </c>
      <c r="F146" s="100">
        <v>22000</v>
      </c>
      <c r="G146" s="100">
        <v>444400</v>
      </c>
    </row>
    <row r="147" spans="1:7" x14ac:dyDescent="0.35">
      <c r="A147" s="90">
        <v>4</v>
      </c>
      <c r="B147" s="90" t="s">
        <v>10</v>
      </c>
      <c r="C147" s="90" t="s">
        <v>171</v>
      </c>
      <c r="D147" s="90" t="s">
        <v>172</v>
      </c>
      <c r="E147" s="90">
        <v>61.65</v>
      </c>
      <c r="F147" s="100">
        <v>21900</v>
      </c>
      <c r="G147" s="100">
        <v>1350135</v>
      </c>
    </row>
    <row r="148" spans="1:7" x14ac:dyDescent="0.35">
      <c r="A148" s="90">
        <v>4</v>
      </c>
      <c r="B148" s="90" t="s">
        <v>57</v>
      </c>
      <c r="C148" s="90" t="s">
        <v>223</v>
      </c>
      <c r="D148" s="90" t="s">
        <v>226</v>
      </c>
      <c r="E148" s="90">
        <v>7</v>
      </c>
      <c r="F148" s="100">
        <v>1820.73</v>
      </c>
      <c r="G148" s="100">
        <v>12745.11</v>
      </c>
    </row>
    <row r="149" spans="1:7" x14ac:dyDescent="0.35">
      <c r="A149" s="90">
        <v>4</v>
      </c>
      <c r="B149" s="90" t="s">
        <v>57</v>
      </c>
      <c r="C149" s="90" t="s">
        <v>58</v>
      </c>
      <c r="D149" s="90" t="s">
        <v>59</v>
      </c>
      <c r="E149" s="90">
        <v>2</v>
      </c>
      <c r="F149" s="100">
        <v>9500</v>
      </c>
      <c r="G149" s="100">
        <v>19000</v>
      </c>
    </row>
    <row r="150" spans="1:7" x14ac:dyDescent="0.35">
      <c r="A150" s="90">
        <v>4</v>
      </c>
      <c r="B150" s="90" t="s">
        <v>57</v>
      </c>
      <c r="C150" s="90" t="s">
        <v>235</v>
      </c>
      <c r="D150" s="90" t="s">
        <v>236</v>
      </c>
      <c r="E150" s="90">
        <v>30</v>
      </c>
      <c r="F150" s="100">
        <v>1916.67</v>
      </c>
      <c r="G150" s="100">
        <v>57500.1</v>
      </c>
    </row>
    <row r="151" spans="1:7" x14ac:dyDescent="0.35">
      <c r="A151" s="90">
        <v>4</v>
      </c>
      <c r="B151" s="90" t="s">
        <v>57</v>
      </c>
      <c r="C151" s="90" t="s">
        <v>237</v>
      </c>
      <c r="D151" s="90" t="s">
        <v>238</v>
      </c>
      <c r="E151" s="90">
        <v>12</v>
      </c>
      <c r="F151" s="100">
        <v>3151.26</v>
      </c>
      <c r="G151" s="100">
        <v>37815.120000000003</v>
      </c>
    </row>
    <row r="152" spans="1:7" x14ac:dyDescent="0.35">
      <c r="A152" s="90">
        <v>4</v>
      </c>
      <c r="B152" s="90" t="s">
        <v>57</v>
      </c>
      <c r="C152" s="90" t="s">
        <v>227</v>
      </c>
      <c r="D152" s="90" t="s">
        <v>239</v>
      </c>
      <c r="E152" s="90">
        <v>12</v>
      </c>
      <c r="F152" s="100">
        <v>2731.09</v>
      </c>
      <c r="G152" s="100">
        <v>32773.08</v>
      </c>
    </row>
    <row r="153" spans="1:7" x14ac:dyDescent="0.35">
      <c r="A153" s="90">
        <v>4</v>
      </c>
      <c r="B153" s="90" t="s">
        <v>57</v>
      </c>
      <c r="C153" s="90" t="s">
        <v>60</v>
      </c>
      <c r="D153" s="90" t="s">
        <v>61</v>
      </c>
      <c r="E153" s="90">
        <v>2</v>
      </c>
      <c r="F153" s="100">
        <v>5000</v>
      </c>
      <c r="G153" s="100">
        <v>10000</v>
      </c>
    </row>
    <row r="154" spans="1:7" x14ac:dyDescent="0.35">
      <c r="A154" s="90">
        <v>4</v>
      </c>
      <c r="B154" s="90" t="s">
        <v>57</v>
      </c>
      <c r="C154" s="90" t="s">
        <v>240</v>
      </c>
      <c r="D154" s="90" t="s">
        <v>241</v>
      </c>
      <c r="E154" s="90">
        <v>15</v>
      </c>
      <c r="F154" s="100">
        <v>1450.98</v>
      </c>
      <c r="G154" s="100">
        <v>21764.7</v>
      </c>
    </row>
    <row r="155" spans="1:7" x14ac:dyDescent="0.35">
      <c r="A155" s="90">
        <v>4</v>
      </c>
      <c r="B155" s="90" t="s">
        <v>57</v>
      </c>
      <c r="C155" s="90" t="s">
        <v>240</v>
      </c>
      <c r="D155" s="90" t="s">
        <v>242</v>
      </c>
      <c r="E155" s="90">
        <v>15</v>
      </c>
      <c r="F155" s="100">
        <v>1450.98</v>
      </c>
      <c r="G155" s="100">
        <v>21764.7</v>
      </c>
    </row>
    <row r="156" spans="1:7" x14ac:dyDescent="0.35">
      <c r="A156" s="90">
        <v>4</v>
      </c>
      <c r="B156" s="90" t="s">
        <v>57</v>
      </c>
      <c r="C156" s="90" t="s">
        <v>240</v>
      </c>
      <c r="D156" s="90" t="s">
        <v>243</v>
      </c>
      <c r="E156" s="90">
        <v>15</v>
      </c>
      <c r="F156" s="100">
        <v>1450.98</v>
      </c>
      <c r="G156" s="100">
        <v>21764.7</v>
      </c>
    </row>
    <row r="157" spans="1:7" x14ac:dyDescent="0.35">
      <c r="A157" s="90">
        <v>4</v>
      </c>
      <c r="B157" s="90" t="s">
        <v>57</v>
      </c>
      <c r="C157" s="90" t="s">
        <v>244</v>
      </c>
      <c r="D157" s="90" t="s">
        <v>245</v>
      </c>
      <c r="E157" s="90">
        <v>6</v>
      </c>
      <c r="F157" s="100">
        <v>3151.26</v>
      </c>
      <c r="G157" s="100">
        <v>18907.560000000001</v>
      </c>
    </row>
    <row r="158" spans="1:7" x14ac:dyDescent="0.35">
      <c r="A158" s="90">
        <v>4</v>
      </c>
      <c r="B158" s="90" t="s">
        <v>57</v>
      </c>
      <c r="C158" s="90" t="s">
        <v>246</v>
      </c>
      <c r="D158" s="90" t="s">
        <v>247</v>
      </c>
      <c r="E158" s="90">
        <v>15</v>
      </c>
      <c r="F158" s="100">
        <v>1450.98</v>
      </c>
      <c r="G158" s="100">
        <v>21764.7</v>
      </c>
    </row>
    <row r="159" spans="1:7" x14ac:dyDescent="0.35">
      <c r="A159" s="90">
        <v>5</v>
      </c>
      <c r="B159" s="90" t="s">
        <v>57</v>
      </c>
      <c r="C159" s="90" t="s">
        <v>60</v>
      </c>
      <c r="D159" s="90" t="s">
        <v>179</v>
      </c>
      <c r="E159" s="90">
        <v>2</v>
      </c>
      <c r="F159" s="100">
        <v>5000</v>
      </c>
      <c r="G159" s="100">
        <v>10000</v>
      </c>
    </row>
    <row r="160" spans="1:7" x14ac:dyDescent="0.35">
      <c r="A160" s="90">
        <v>5</v>
      </c>
      <c r="B160" s="90" t="s">
        <v>15</v>
      </c>
      <c r="C160" s="90" t="s">
        <v>34</v>
      </c>
      <c r="D160" s="90" t="s">
        <v>34</v>
      </c>
      <c r="E160" s="90">
        <v>1</v>
      </c>
      <c r="F160" s="100">
        <v>20000</v>
      </c>
      <c r="G160" s="100">
        <v>20000</v>
      </c>
    </row>
    <row r="161" spans="1:7" x14ac:dyDescent="0.35">
      <c r="A161" s="90">
        <v>5</v>
      </c>
      <c r="B161" s="90" t="s">
        <v>18</v>
      </c>
      <c r="C161" s="90" t="s">
        <v>248</v>
      </c>
      <c r="D161" s="90" t="s">
        <v>249</v>
      </c>
      <c r="E161" s="90">
        <v>3</v>
      </c>
      <c r="F161" s="100">
        <v>19100</v>
      </c>
      <c r="G161" s="100">
        <v>57300</v>
      </c>
    </row>
    <row r="162" spans="1:7" x14ac:dyDescent="0.35">
      <c r="A162" s="90">
        <v>5</v>
      </c>
      <c r="B162" s="90" t="s">
        <v>18</v>
      </c>
      <c r="C162" s="90" t="s">
        <v>30</v>
      </c>
      <c r="D162" s="90" t="s">
        <v>250</v>
      </c>
      <c r="E162" s="90">
        <v>20</v>
      </c>
      <c r="F162" s="100">
        <v>7000</v>
      </c>
      <c r="G162" s="100">
        <v>140000</v>
      </c>
    </row>
    <row r="163" spans="1:7" x14ac:dyDescent="0.35">
      <c r="A163" s="90">
        <v>5</v>
      </c>
      <c r="B163" s="90" t="s">
        <v>15</v>
      </c>
      <c r="C163" s="90" t="s">
        <v>184</v>
      </c>
      <c r="D163" s="90" t="s">
        <v>251</v>
      </c>
      <c r="E163" s="90">
        <v>1</v>
      </c>
      <c r="F163" s="100">
        <v>300</v>
      </c>
      <c r="G163" s="100">
        <v>300</v>
      </c>
    </row>
    <row r="164" spans="1:7" x14ac:dyDescent="0.35">
      <c r="A164" s="90">
        <v>5</v>
      </c>
      <c r="B164" s="90" t="s">
        <v>10</v>
      </c>
      <c r="C164" s="90" t="s">
        <v>252</v>
      </c>
      <c r="D164" s="90" t="s">
        <v>253</v>
      </c>
      <c r="E164" s="90">
        <v>8.0440000000000005</v>
      </c>
      <c r="F164" s="100">
        <v>9699</v>
      </c>
      <c r="G164" s="100">
        <v>78027</v>
      </c>
    </row>
    <row r="165" spans="1:7" x14ac:dyDescent="0.35">
      <c r="A165" s="90">
        <v>5</v>
      </c>
      <c r="B165" s="90" t="s">
        <v>10</v>
      </c>
      <c r="C165" s="90" t="s">
        <v>55</v>
      </c>
      <c r="D165" s="90" t="s">
        <v>56</v>
      </c>
      <c r="E165" s="90">
        <v>20.6</v>
      </c>
      <c r="F165" s="100">
        <v>19500</v>
      </c>
      <c r="G165" s="100">
        <v>401700</v>
      </c>
    </row>
    <row r="166" spans="1:7" x14ac:dyDescent="0.35">
      <c r="A166" s="90">
        <v>5</v>
      </c>
      <c r="B166" s="90" t="s">
        <v>10</v>
      </c>
      <c r="C166" s="90" t="s">
        <v>254</v>
      </c>
      <c r="D166" s="90" t="s">
        <v>255</v>
      </c>
      <c r="E166" s="90">
        <v>7.65</v>
      </c>
      <c r="F166" s="100">
        <v>18000</v>
      </c>
      <c r="G166" s="100">
        <v>137700</v>
      </c>
    </row>
    <row r="167" spans="1:7" x14ac:dyDescent="0.35">
      <c r="A167" s="90">
        <v>5</v>
      </c>
      <c r="B167" s="90" t="s">
        <v>10</v>
      </c>
      <c r="C167" s="90" t="s">
        <v>256</v>
      </c>
      <c r="D167" s="90" t="s">
        <v>257</v>
      </c>
      <c r="E167" s="90">
        <v>8</v>
      </c>
      <c r="F167" s="100">
        <v>22900</v>
      </c>
      <c r="G167" s="100">
        <v>183200</v>
      </c>
    </row>
    <row r="168" spans="1:7" x14ac:dyDescent="0.35">
      <c r="A168" s="90">
        <v>5</v>
      </c>
      <c r="B168" s="90" t="s">
        <v>10</v>
      </c>
      <c r="C168" s="90" t="s">
        <v>188</v>
      </c>
      <c r="D168" s="90" t="s">
        <v>258</v>
      </c>
      <c r="E168" s="90">
        <v>4</v>
      </c>
      <c r="F168" s="100">
        <v>40250</v>
      </c>
      <c r="G168" s="100">
        <v>161000</v>
      </c>
    </row>
    <row r="169" spans="1:7" x14ac:dyDescent="0.35">
      <c r="A169" s="90">
        <v>6</v>
      </c>
      <c r="B169" s="90" t="s">
        <v>7</v>
      </c>
      <c r="C169" s="90" t="s">
        <v>259</v>
      </c>
      <c r="D169" s="90" t="s">
        <v>259</v>
      </c>
      <c r="E169" s="90">
        <v>15</v>
      </c>
      <c r="F169" s="100">
        <v>12600</v>
      </c>
      <c r="G169" s="100">
        <v>189000</v>
      </c>
    </row>
    <row r="170" spans="1:7" x14ac:dyDescent="0.35">
      <c r="A170" s="90">
        <v>6</v>
      </c>
      <c r="B170" s="90" t="s">
        <v>18</v>
      </c>
      <c r="C170" s="90" t="s">
        <v>85</v>
      </c>
      <c r="D170" s="90" t="s">
        <v>260</v>
      </c>
      <c r="E170" s="90">
        <v>2.0750000000000002</v>
      </c>
      <c r="F170" s="100">
        <v>8800</v>
      </c>
      <c r="G170" s="100">
        <v>18260</v>
      </c>
    </row>
    <row r="171" spans="1:7" x14ac:dyDescent="0.35">
      <c r="A171" s="90">
        <v>6</v>
      </c>
      <c r="B171" s="90" t="s">
        <v>10</v>
      </c>
      <c r="C171" s="90" t="s">
        <v>261</v>
      </c>
      <c r="D171" s="90" t="s">
        <v>262</v>
      </c>
      <c r="E171" s="90">
        <v>3.036</v>
      </c>
      <c r="F171" s="100">
        <v>7350</v>
      </c>
      <c r="G171" s="100">
        <v>22315</v>
      </c>
    </row>
    <row r="172" spans="1:7" x14ac:dyDescent="0.35">
      <c r="A172" s="90">
        <v>6</v>
      </c>
      <c r="B172" s="90" t="s">
        <v>10</v>
      </c>
      <c r="C172" s="90" t="s">
        <v>55</v>
      </c>
      <c r="D172" s="90" t="s">
        <v>263</v>
      </c>
      <c r="E172" s="90">
        <v>1</v>
      </c>
      <c r="F172" s="100">
        <v>139500</v>
      </c>
      <c r="G172" s="100">
        <v>139500</v>
      </c>
    </row>
    <row r="173" spans="1:7" x14ac:dyDescent="0.35">
      <c r="A173" s="97">
        <v>6</v>
      </c>
      <c r="B173" s="97" t="s">
        <v>57</v>
      </c>
      <c r="C173" s="97" t="s">
        <v>158</v>
      </c>
      <c r="D173" s="97" t="s">
        <v>264</v>
      </c>
      <c r="E173" s="97">
        <v>1</v>
      </c>
      <c r="F173" s="101">
        <v>125000</v>
      </c>
      <c r="G173" s="101">
        <v>125000</v>
      </c>
    </row>
    <row r="174" spans="1:7" x14ac:dyDescent="0.35">
      <c r="A174" s="90">
        <v>6</v>
      </c>
      <c r="B174" s="90" t="s">
        <v>57</v>
      </c>
      <c r="C174" s="90" t="s">
        <v>58</v>
      </c>
      <c r="D174" s="90" t="s">
        <v>265</v>
      </c>
      <c r="E174" s="90">
        <v>1</v>
      </c>
      <c r="F174" s="100">
        <v>29000</v>
      </c>
      <c r="G174" s="100">
        <v>29000</v>
      </c>
    </row>
    <row r="175" spans="1:7" x14ac:dyDescent="0.35">
      <c r="A175" s="90">
        <v>6</v>
      </c>
      <c r="B175" s="90" t="s">
        <v>7</v>
      </c>
      <c r="C175" s="90" t="s">
        <v>8</v>
      </c>
      <c r="D175" s="90" t="s">
        <v>96</v>
      </c>
      <c r="E175" s="90">
        <v>1</v>
      </c>
      <c r="F175" s="100">
        <v>132000</v>
      </c>
      <c r="G175" s="100">
        <v>132000</v>
      </c>
    </row>
    <row r="176" spans="1:7" x14ac:dyDescent="0.35">
      <c r="A176" s="90">
        <v>6</v>
      </c>
      <c r="B176" s="90" t="s">
        <v>10</v>
      </c>
      <c r="C176" s="90" t="s">
        <v>188</v>
      </c>
      <c r="D176" s="90" t="s">
        <v>266</v>
      </c>
      <c r="E176" s="90">
        <v>24.9</v>
      </c>
      <c r="F176" s="100">
        <v>18500</v>
      </c>
      <c r="G176" s="100">
        <v>460650</v>
      </c>
    </row>
    <row r="177" spans="1:7" x14ac:dyDescent="0.35">
      <c r="A177" s="90">
        <v>6</v>
      </c>
      <c r="B177" s="90" t="s">
        <v>57</v>
      </c>
      <c r="C177" s="90" t="s">
        <v>267</v>
      </c>
      <c r="D177" s="90" t="s">
        <v>268</v>
      </c>
      <c r="E177" s="90">
        <v>1</v>
      </c>
      <c r="F177" s="100">
        <v>52521</v>
      </c>
      <c r="G177" s="100">
        <v>52521</v>
      </c>
    </row>
    <row r="178" spans="1:7" x14ac:dyDescent="0.35">
      <c r="A178" s="90">
        <v>6</v>
      </c>
      <c r="B178" s="90" t="s">
        <v>57</v>
      </c>
      <c r="C178" s="90" t="s">
        <v>269</v>
      </c>
      <c r="D178" s="90" t="s">
        <v>270</v>
      </c>
      <c r="E178" s="90">
        <v>1</v>
      </c>
      <c r="F178" s="100">
        <v>46521</v>
      </c>
      <c r="G178" s="100">
        <v>46521</v>
      </c>
    </row>
    <row r="179" spans="1:7" x14ac:dyDescent="0.35">
      <c r="A179" s="90">
        <v>6</v>
      </c>
      <c r="B179" s="90" t="s">
        <v>10</v>
      </c>
      <c r="C179" s="90" t="s">
        <v>271</v>
      </c>
      <c r="D179" s="90" t="s">
        <v>272</v>
      </c>
      <c r="E179" s="90">
        <v>20</v>
      </c>
      <c r="F179" s="100">
        <v>19900</v>
      </c>
      <c r="G179" s="100">
        <v>398000</v>
      </c>
    </row>
    <row r="180" spans="1:7" x14ac:dyDescent="0.35">
      <c r="A180" s="90">
        <v>6</v>
      </c>
      <c r="B180" s="90" t="s">
        <v>57</v>
      </c>
      <c r="C180" s="90" t="s">
        <v>60</v>
      </c>
      <c r="D180" s="90" t="s">
        <v>61</v>
      </c>
      <c r="E180" s="90">
        <v>2</v>
      </c>
      <c r="F180" s="100">
        <v>5000</v>
      </c>
      <c r="G180" s="100">
        <v>10000</v>
      </c>
    </row>
    <row r="181" spans="1:7" x14ac:dyDescent="0.35">
      <c r="A181" s="90">
        <v>6</v>
      </c>
      <c r="B181" s="90" t="s">
        <v>10</v>
      </c>
      <c r="C181" s="90" t="s">
        <v>55</v>
      </c>
      <c r="D181" s="90" t="s">
        <v>56</v>
      </c>
      <c r="E181" s="90">
        <v>9.57</v>
      </c>
      <c r="F181" s="100">
        <v>19800</v>
      </c>
      <c r="G181" s="100">
        <v>189486</v>
      </c>
    </row>
    <row r="182" spans="1:7" x14ac:dyDescent="0.35">
      <c r="A182" s="90">
        <v>6</v>
      </c>
      <c r="B182" s="90" t="s">
        <v>57</v>
      </c>
      <c r="C182" s="90" t="s">
        <v>58</v>
      </c>
      <c r="D182" s="90" t="s">
        <v>59</v>
      </c>
      <c r="E182" s="90">
        <v>2</v>
      </c>
      <c r="F182" s="100">
        <v>9500</v>
      </c>
      <c r="G182" s="100">
        <v>19000</v>
      </c>
    </row>
    <row r="183" spans="1:7" x14ac:dyDescent="0.35">
      <c r="A183" s="90">
        <v>7</v>
      </c>
      <c r="B183" s="90" t="s">
        <v>15</v>
      </c>
      <c r="C183" s="90" t="s">
        <v>16</v>
      </c>
      <c r="D183" s="90" t="s">
        <v>273</v>
      </c>
      <c r="E183" s="90">
        <v>7</v>
      </c>
      <c r="F183" s="100">
        <v>10000</v>
      </c>
      <c r="G183" s="100">
        <v>70000</v>
      </c>
    </row>
    <row r="184" spans="1:7" x14ac:dyDescent="0.35">
      <c r="A184" s="90">
        <v>7</v>
      </c>
      <c r="B184" s="90" t="s">
        <v>15</v>
      </c>
      <c r="C184" s="90" t="s">
        <v>16</v>
      </c>
      <c r="D184" s="90" t="s">
        <v>274</v>
      </c>
      <c r="E184" s="90">
        <v>1</v>
      </c>
      <c r="F184" s="100">
        <v>3000</v>
      </c>
      <c r="G184" s="100">
        <v>3000</v>
      </c>
    </row>
    <row r="185" spans="1:7" x14ac:dyDescent="0.35">
      <c r="A185" s="90">
        <v>7</v>
      </c>
      <c r="B185" s="90" t="s">
        <v>7</v>
      </c>
      <c r="C185" s="90" t="s">
        <v>8</v>
      </c>
      <c r="D185" s="90" t="s">
        <v>275</v>
      </c>
      <c r="E185" s="90">
        <v>1</v>
      </c>
      <c r="F185" s="100">
        <v>66000</v>
      </c>
      <c r="G185" s="100">
        <v>66000</v>
      </c>
    </row>
    <row r="186" spans="1:7" x14ac:dyDescent="0.35">
      <c r="A186" s="90">
        <v>7</v>
      </c>
      <c r="B186" s="90" t="s">
        <v>10</v>
      </c>
      <c r="C186" s="90" t="s">
        <v>276</v>
      </c>
      <c r="D186" s="90" t="s">
        <v>277</v>
      </c>
      <c r="E186" s="90">
        <v>3.1760000000000002</v>
      </c>
      <c r="F186" s="100">
        <v>14500</v>
      </c>
      <c r="G186" s="100">
        <v>46052</v>
      </c>
    </row>
    <row r="187" spans="1:7" x14ac:dyDescent="0.35">
      <c r="A187" s="90">
        <v>7</v>
      </c>
      <c r="B187" s="90" t="s">
        <v>15</v>
      </c>
      <c r="C187" s="90" t="s">
        <v>24</v>
      </c>
      <c r="D187" s="90" t="s">
        <v>278</v>
      </c>
      <c r="E187" s="90">
        <v>1</v>
      </c>
      <c r="F187" s="100">
        <v>20100</v>
      </c>
      <c r="G187" s="100">
        <v>20100</v>
      </c>
    </row>
    <row r="188" spans="1:7" x14ac:dyDescent="0.35">
      <c r="A188" s="90">
        <v>7</v>
      </c>
      <c r="B188" s="90" t="s">
        <v>7</v>
      </c>
      <c r="C188" s="90" t="s">
        <v>8</v>
      </c>
      <c r="D188" s="90" t="s">
        <v>279</v>
      </c>
      <c r="E188" s="90">
        <v>1</v>
      </c>
      <c r="F188" s="100">
        <v>138000</v>
      </c>
      <c r="G188" s="100">
        <v>138000</v>
      </c>
    </row>
    <row r="189" spans="1:7" x14ac:dyDescent="0.35">
      <c r="A189" s="90">
        <v>7</v>
      </c>
      <c r="B189" s="90" t="s">
        <v>57</v>
      </c>
      <c r="C189" s="90" t="s">
        <v>58</v>
      </c>
      <c r="D189" s="90" t="s">
        <v>280</v>
      </c>
      <c r="E189" s="90">
        <v>2</v>
      </c>
      <c r="F189" s="100">
        <v>9500</v>
      </c>
      <c r="G189" s="100">
        <v>19000</v>
      </c>
    </row>
    <row r="190" spans="1:7" x14ac:dyDescent="0.35">
      <c r="A190" s="90">
        <v>7</v>
      </c>
      <c r="B190" s="90" t="s">
        <v>57</v>
      </c>
      <c r="C190" s="90" t="s">
        <v>60</v>
      </c>
      <c r="D190" s="90" t="s">
        <v>281</v>
      </c>
      <c r="E190" s="90">
        <v>2</v>
      </c>
      <c r="F190" s="100">
        <v>5000</v>
      </c>
      <c r="G190" s="100">
        <v>10000</v>
      </c>
    </row>
    <row r="191" spans="1:7" x14ac:dyDescent="0.35">
      <c r="A191" s="90">
        <v>7</v>
      </c>
      <c r="B191" s="90" t="s">
        <v>15</v>
      </c>
      <c r="C191" s="90" t="s">
        <v>114</v>
      </c>
      <c r="D191" s="90" t="s">
        <v>282</v>
      </c>
      <c r="E191" s="90">
        <v>3</v>
      </c>
      <c r="F191" s="100">
        <v>6000</v>
      </c>
      <c r="G191" s="100">
        <v>18000</v>
      </c>
    </row>
    <row r="192" spans="1:7" x14ac:dyDescent="0.35">
      <c r="A192" s="90">
        <v>7</v>
      </c>
      <c r="B192" s="90" t="s">
        <v>21</v>
      </c>
      <c r="C192" s="90" t="s">
        <v>22</v>
      </c>
      <c r="D192" s="90" t="s">
        <v>283</v>
      </c>
      <c r="E192" s="90">
        <v>1</v>
      </c>
      <c r="F192" s="100">
        <v>6600</v>
      </c>
      <c r="G192" s="100">
        <v>6600</v>
      </c>
    </row>
    <row r="193" spans="1:7" x14ac:dyDescent="0.35">
      <c r="A193" s="90">
        <v>7</v>
      </c>
      <c r="B193" s="90" t="s">
        <v>15</v>
      </c>
      <c r="C193" s="90" t="s">
        <v>16</v>
      </c>
      <c r="D193" s="90" t="s">
        <v>284</v>
      </c>
      <c r="E193" s="90">
        <v>1</v>
      </c>
      <c r="F193" s="100">
        <v>24500</v>
      </c>
      <c r="G193" s="100">
        <v>24500</v>
      </c>
    </row>
    <row r="194" spans="1:7" x14ac:dyDescent="0.35">
      <c r="A194" s="90">
        <v>7</v>
      </c>
      <c r="B194" s="90" t="s">
        <v>15</v>
      </c>
      <c r="C194" s="90" t="s">
        <v>285</v>
      </c>
      <c r="D194" s="90" t="s">
        <v>286</v>
      </c>
      <c r="E194" s="90">
        <v>2</v>
      </c>
      <c r="F194" s="100">
        <v>27500</v>
      </c>
      <c r="G194" s="100">
        <v>55000</v>
      </c>
    </row>
    <row r="195" spans="1:7" x14ac:dyDescent="0.35">
      <c r="A195" s="90">
        <v>7</v>
      </c>
      <c r="B195" s="90" t="s">
        <v>15</v>
      </c>
      <c r="C195" s="90" t="s">
        <v>126</v>
      </c>
      <c r="D195" s="90" t="s">
        <v>127</v>
      </c>
      <c r="E195" s="90">
        <v>1</v>
      </c>
      <c r="F195" s="100">
        <v>23800</v>
      </c>
      <c r="G195" s="100">
        <v>23800</v>
      </c>
    </row>
    <row r="196" spans="1:7" x14ac:dyDescent="0.35">
      <c r="A196" s="90">
        <v>7</v>
      </c>
      <c r="B196" s="90" t="s">
        <v>15</v>
      </c>
      <c r="C196" s="90" t="s">
        <v>114</v>
      </c>
      <c r="D196" s="90" t="s">
        <v>287</v>
      </c>
      <c r="E196" s="90">
        <v>30</v>
      </c>
      <c r="F196" s="100">
        <v>4250</v>
      </c>
      <c r="G196" s="100">
        <v>127500</v>
      </c>
    </row>
    <row r="197" spans="1:7" x14ac:dyDescent="0.35">
      <c r="A197" s="90">
        <v>7</v>
      </c>
      <c r="B197" s="90" t="s">
        <v>15</v>
      </c>
      <c r="C197" s="90" t="s">
        <v>288</v>
      </c>
      <c r="D197" s="90" t="s">
        <v>289</v>
      </c>
      <c r="E197" s="90">
        <v>4</v>
      </c>
      <c r="F197" s="100">
        <v>7600</v>
      </c>
      <c r="G197" s="100">
        <v>30400</v>
      </c>
    </row>
    <row r="198" spans="1:7" x14ac:dyDescent="0.35">
      <c r="A198" s="90">
        <v>7</v>
      </c>
      <c r="B198" s="90" t="s">
        <v>15</v>
      </c>
      <c r="C198" s="90" t="s">
        <v>156</v>
      </c>
      <c r="D198" s="90" t="s">
        <v>157</v>
      </c>
      <c r="E198" s="90">
        <v>10</v>
      </c>
      <c r="F198" s="100">
        <v>5200</v>
      </c>
      <c r="G198" s="100">
        <v>52000</v>
      </c>
    </row>
    <row r="199" spans="1:7" x14ac:dyDescent="0.35">
      <c r="A199" s="90">
        <v>7</v>
      </c>
      <c r="B199" s="90" t="s">
        <v>15</v>
      </c>
      <c r="C199" s="90" t="s">
        <v>290</v>
      </c>
      <c r="D199" s="90" t="s">
        <v>291</v>
      </c>
      <c r="E199" s="90">
        <v>5</v>
      </c>
      <c r="F199" s="100">
        <v>2600</v>
      </c>
      <c r="G199" s="100">
        <v>13000</v>
      </c>
    </row>
    <row r="200" spans="1:7" x14ac:dyDescent="0.35">
      <c r="A200" s="90">
        <v>7</v>
      </c>
      <c r="B200" s="90" t="s">
        <v>15</v>
      </c>
      <c r="C200" s="90" t="s">
        <v>112</v>
      </c>
      <c r="D200" s="90" t="s">
        <v>113</v>
      </c>
      <c r="E200" s="90">
        <v>10</v>
      </c>
      <c r="F200" s="100">
        <v>4800</v>
      </c>
      <c r="G200" s="100">
        <v>48000</v>
      </c>
    </row>
    <row r="201" spans="1:7" x14ac:dyDescent="0.35">
      <c r="A201" s="90">
        <v>7</v>
      </c>
      <c r="B201" s="90" t="s">
        <v>15</v>
      </c>
      <c r="C201" s="90" t="s">
        <v>116</v>
      </c>
      <c r="D201" s="90" t="s">
        <v>117</v>
      </c>
      <c r="E201" s="90">
        <v>5</v>
      </c>
      <c r="F201" s="100">
        <v>2600</v>
      </c>
      <c r="G201" s="100">
        <v>13000</v>
      </c>
    </row>
    <row r="202" spans="1:7" x14ac:dyDescent="0.35">
      <c r="A202" s="90">
        <v>7</v>
      </c>
      <c r="B202" s="90" t="s">
        <v>15</v>
      </c>
      <c r="C202" s="90" t="s">
        <v>292</v>
      </c>
      <c r="D202" s="90" t="s">
        <v>293</v>
      </c>
      <c r="E202" s="90">
        <v>10</v>
      </c>
      <c r="F202" s="100">
        <v>450</v>
      </c>
      <c r="G202" s="100">
        <v>4500</v>
      </c>
    </row>
    <row r="203" spans="1:7" x14ac:dyDescent="0.35">
      <c r="A203" s="90">
        <v>7</v>
      </c>
      <c r="B203" s="90" t="s">
        <v>15</v>
      </c>
      <c r="C203" s="90" t="s">
        <v>128</v>
      </c>
      <c r="D203" s="90" t="s">
        <v>129</v>
      </c>
      <c r="E203" s="90">
        <v>1</v>
      </c>
      <c r="F203" s="100">
        <v>7200</v>
      </c>
      <c r="G203" s="100">
        <v>7200</v>
      </c>
    </row>
    <row r="204" spans="1:7" x14ac:dyDescent="0.35">
      <c r="A204" s="90">
        <v>7</v>
      </c>
      <c r="B204" s="90" t="s">
        <v>15</v>
      </c>
      <c r="C204" s="90" t="s">
        <v>102</v>
      </c>
      <c r="D204" s="90" t="s">
        <v>103</v>
      </c>
      <c r="E204" s="90">
        <v>10</v>
      </c>
      <c r="F204" s="100">
        <v>900</v>
      </c>
      <c r="G204" s="100">
        <v>9000</v>
      </c>
    </row>
    <row r="205" spans="1:7" x14ac:dyDescent="0.35">
      <c r="A205" s="90">
        <v>7</v>
      </c>
      <c r="B205" s="90" t="s">
        <v>15</v>
      </c>
      <c r="C205" s="90" t="s">
        <v>47</v>
      </c>
      <c r="D205" s="90" t="s">
        <v>294</v>
      </c>
      <c r="E205" s="90">
        <v>10</v>
      </c>
      <c r="F205" s="100">
        <v>450</v>
      </c>
      <c r="G205" s="100">
        <v>4500</v>
      </c>
    </row>
    <row r="206" spans="1:7" x14ac:dyDescent="0.35">
      <c r="A206" s="90">
        <v>7</v>
      </c>
      <c r="B206" s="90" t="s">
        <v>15</v>
      </c>
      <c r="C206" s="90" t="s">
        <v>41</v>
      </c>
      <c r="D206" s="90" t="s">
        <v>42</v>
      </c>
      <c r="E206" s="90">
        <v>6</v>
      </c>
      <c r="F206" s="100">
        <v>2500</v>
      </c>
      <c r="G206" s="100">
        <v>15000</v>
      </c>
    </row>
    <row r="207" spans="1:7" x14ac:dyDescent="0.35">
      <c r="A207" s="90">
        <v>7</v>
      </c>
      <c r="B207" s="90" t="s">
        <v>15</v>
      </c>
      <c r="C207" s="90" t="s">
        <v>53</v>
      </c>
      <c r="D207" s="90" t="s">
        <v>54</v>
      </c>
      <c r="E207" s="90">
        <v>6</v>
      </c>
      <c r="F207" s="100">
        <v>2400</v>
      </c>
      <c r="G207" s="100">
        <v>14400</v>
      </c>
    </row>
    <row r="208" spans="1:7" x14ac:dyDescent="0.35">
      <c r="A208" s="90">
        <v>7</v>
      </c>
      <c r="B208" s="90" t="s">
        <v>15</v>
      </c>
      <c r="C208" s="90" t="s">
        <v>295</v>
      </c>
      <c r="D208" s="90" t="s">
        <v>296</v>
      </c>
      <c r="E208" s="90">
        <v>72</v>
      </c>
      <c r="F208" s="100">
        <v>3600</v>
      </c>
      <c r="G208" s="100">
        <v>259200</v>
      </c>
    </row>
    <row r="209" spans="1:7" x14ac:dyDescent="0.35">
      <c r="A209" s="90">
        <v>7</v>
      </c>
      <c r="B209" s="90" t="s">
        <v>15</v>
      </c>
      <c r="C209" s="90" t="s">
        <v>49</v>
      </c>
      <c r="D209" s="90" t="s">
        <v>50</v>
      </c>
      <c r="E209" s="90">
        <v>2</v>
      </c>
      <c r="F209" s="100">
        <v>16500</v>
      </c>
      <c r="G209" s="100">
        <v>33000</v>
      </c>
    </row>
    <row r="210" spans="1:7" x14ac:dyDescent="0.35">
      <c r="A210" s="90">
        <v>7</v>
      </c>
      <c r="B210" s="90" t="s">
        <v>15</v>
      </c>
      <c r="C210" s="90" t="s">
        <v>297</v>
      </c>
      <c r="D210" s="90" t="s">
        <v>298</v>
      </c>
      <c r="E210" s="90">
        <v>3</v>
      </c>
      <c r="F210" s="100">
        <v>20950</v>
      </c>
      <c r="G210" s="100">
        <v>62850</v>
      </c>
    </row>
    <row r="211" spans="1:7" x14ac:dyDescent="0.35">
      <c r="A211" s="90">
        <v>7</v>
      </c>
      <c r="B211" s="90" t="s">
        <v>15</v>
      </c>
      <c r="C211" s="90" t="s">
        <v>130</v>
      </c>
      <c r="D211" s="90" t="s">
        <v>131</v>
      </c>
      <c r="E211" s="90">
        <v>4</v>
      </c>
      <c r="F211" s="100">
        <v>2750</v>
      </c>
      <c r="G211" s="100">
        <v>11000</v>
      </c>
    </row>
    <row r="212" spans="1:7" x14ac:dyDescent="0.35">
      <c r="A212" s="90">
        <v>7</v>
      </c>
      <c r="B212" s="90" t="s">
        <v>15</v>
      </c>
      <c r="C212" s="90" t="s">
        <v>299</v>
      </c>
      <c r="D212" s="90" t="s">
        <v>300</v>
      </c>
      <c r="E212" s="90">
        <v>8</v>
      </c>
      <c r="F212" s="100">
        <v>5000</v>
      </c>
      <c r="G212" s="100">
        <v>40000</v>
      </c>
    </row>
    <row r="213" spans="1:7" x14ac:dyDescent="0.35">
      <c r="A213" s="90">
        <v>7</v>
      </c>
      <c r="B213" s="90" t="s">
        <v>15</v>
      </c>
      <c r="C213" s="90" t="s">
        <v>301</v>
      </c>
      <c r="D213" s="90" t="s">
        <v>302</v>
      </c>
      <c r="E213" s="90">
        <v>3</v>
      </c>
      <c r="F213" s="100">
        <v>5450</v>
      </c>
      <c r="G213" s="100">
        <v>16350</v>
      </c>
    </row>
    <row r="214" spans="1:7" x14ac:dyDescent="0.35">
      <c r="A214" s="90">
        <v>7</v>
      </c>
      <c r="B214" s="90" t="s">
        <v>15</v>
      </c>
      <c r="C214" s="90" t="s">
        <v>303</v>
      </c>
      <c r="D214" s="90" t="s">
        <v>304</v>
      </c>
      <c r="E214" s="90">
        <v>1</v>
      </c>
      <c r="F214" s="100">
        <v>17500</v>
      </c>
      <c r="G214" s="100">
        <v>17500</v>
      </c>
    </row>
    <row r="215" spans="1:7" x14ac:dyDescent="0.35">
      <c r="A215" s="90">
        <v>7</v>
      </c>
      <c r="B215" s="90" t="s">
        <v>15</v>
      </c>
      <c r="C215" s="90" t="s">
        <v>305</v>
      </c>
      <c r="D215" s="90" t="s">
        <v>306</v>
      </c>
      <c r="E215" s="90">
        <v>4</v>
      </c>
      <c r="F215" s="100">
        <v>15850</v>
      </c>
      <c r="G215" s="100">
        <v>63400</v>
      </c>
    </row>
    <row r="216" spans="1:7" x14ac:dyDescent="0.35">
      <c r="A216" s="90">
        <v>7</v>
      </c>
      <c r="B216" s="90" t="s">
        <v>15</v>
      </c>
      <c r="C216" s="90" t="s">
        <v>100</v>
      </c>
      <c r="D216" s="90" t="s">
        <v>307</v>
      </c>
      <c r="E216" s="90">
        <v>13</v>
      </c>
      <c r="F216" s="100">
        <v>10000</v>
      </c>
      <c r="G216" s="100">
        <v>130000</v>
      </c>
    </row>
    <row r="217" spans="1:7" x14ac:dyDescent="0.35">
      <c r="A217" s="90">
        <v>7</v>
      </c>
      <c r="B217" s="90" t="s">
        <v>15</v>
      </c>
      <c r="C217" s="90" t="s">
        <v>39</v>
      </c>
      <c r="D217" s="90" t="s">
        <v>308</v>
      </c>
      <c r="E217" s="90">
        <v>150</v>
      </c>
      <c r="F217" s="100">
        <v>390</v>
      </c>
      <c r="G217" s="100">
        <v>58500</v>
      </c>
    </row>
    <row r="218" spans="1:7" x14ac:dyDescent="0.35">
      <c r="A218" s="90">
        <v>7</v>
      </c>
      <c r="B218" s="90" t="s">
        <v>15</v>
      </c>
      <c r="C218" s="90" t="s">
        <v>51</v>
      </c>
      <c r="D218" s="90" t="s">
        <v>309</v>
      </c>
      <c r="E218" s="90">
        <v>6</v>
      </c>
      <c r="F218" s="100">
        <v>9600</v>
      </c>
      <c r="G218" s="100">
        <v>57600</v>
      </c>
    </row>
    <row r="219" spans="1:7" x14ac:dyDescent="0.35">
      <c r="A219" s="90">
        <v>7</v>
      </c>
      <c r="B219" s="90" t="s">
        <v>15</v>
      </c>
      <c r="C219" s="90" t="s">
        <v>37</v>
      </c>
      <c r="D219" s="90" t="s">
        <v>38</v>
      </c>
      <c r="E219" s="90">
        <v>5</v>
      </c>
      <c r="F219" s="100">
        <v>10600</v>
      </c>
      <c r="G219" s="100">
        <v>53000</v>
      </c>
    </row>
    <row r="220" spans="1:7" x14ac:dyDescent="0.35">
      <c r="A220" s="90">
        <v>7</v>
      </c>
      <c r="B220" s="90" t="s">
        <v>15</v>
      </c>
      <c r="C220" s="90" t="s">
        <v>124</v>
      </c>
      <c r="D220" s="90" t="s">
        <v>125</v>
      </c>
      <c r="E220" s="90">
        <v>1</v>
      </c>
      <c r="F220" s="100">
        <v>19850</v>
      </c>
      <c r="G220" s="100">
        <v>19850</v>
      </c>
    </row>
    <row r="221" spans="1:7" x14ac:dyDescent="0.35">
      <c r="A221" s="90">
        <v>7</v>
      </c>
      <c r="B221" s="90" t="s">
        <v>15</v>
      </c>
      <c r="C221" s="90" t="s">
        <v>310</v>
      </c>
      <c r="D221" s="90" t="s">
        <v>311</v>
      </c>
      <c r="E221" s="90">
        <v>12</v>
      </c>
      <c r="F221" s="100">
        <v>600</v>
      </c>
      <c r="G221" s="100">
        <v>7200</v>
      </c>
    </row>
    <row r="222" spans="1:7" x14ac:dyDescent="0.35">
      <c r="A222" s="90">
        <v>7</v>
      </c>
      <c r="B222" s="90" t="s">
        <v>15</v>
      </c>
      <c r="C222" s="90" t="s">
        <v>43</v>
      </c>
      <c r="D222" s="90" t="s">
        <v>44</v>
      </c>
      <c r="E222" s="90">
        <v>10</v>
      </c>
      <c r="F222" s="100">
        <v>400</v>
      </c>
      <c r="G222" s="100">
        <v>4000</v>
      </c>
    </row>
    <row r="223" spans="1:7" x14ac:dyDescent="0.35">
      <c r="A223" s="90">
        <v>7</v>
      </c>
      <c r="B223" s="90" t="s">
        <v>15</v>
      </c>
      <c r="C223" s="90" t="s">
        <v>312</v>
      </c>
      <c r="D223" s="90" t="s">
        <v>313</v>
      </c>
      <c r="E223" s="90">
        <v>2</v>
      </c>
      <c r="F223" s="100">
        <v>11400</v>
      </c>
      <c r="G223" s="100">
        <v>22800</v>
      </c>
    </row>
    <row r="224" spans="1:7" x14ac:dyDescent="0.35">
      <c r="A224" s="90">
        <v>7</v>
      </c>
      <c r="B224" s="90" t="s">
        <v>15</v>
      </c>
      <c r="C224" s="90" t="s">
        <v>148</v>
      </c>
      <c r="D224" s="90" t="s">
        <v>149</v>
      </c>
      <c r="E224" s="90">
        <v>200</v>
      </c>
      <c r="F224" s="100">
        <v>440</v>
      </c>
      <c r="G224" s="100">
        <v>88000</v>
      </c>
    </row>
    <row r="225" spans="1:8" x14ac:dyDescent="0.35">
      <c r="A225" s="90">
        <v>7</v>
      </c>
      <c r="B225" s="90" t="s">
        <v>15</v>
      </c>
      <c r="C225" s="90" t="s">
        <v>154</v>
      </c>
      <c r="D225" s="90" t="s">
        <v>155</v>
      </c>
      <c r="E225" s="90">
        <v>200</v>
      </c>
      <c r="F225" s="100">
        <v>270</v>
      </c>
      <c r="G225" s="100">
        <v>54000</v>
      </c>
    </row>
    <row r="226" spans="1:8" x14ac:dyDescent="0.35">
      <c r="A226" s="90">
        <v>7</v>
      </c>
      <c r="B226" s="90" t="s">
        <v>15</v>
      </c>
      <c r="C226" s="90" t="s">
        <v>314</v>
      </c>
      <c r="D226" s="90" t="s">
        <v>315</v>
      </c>
      <c r="E226" s="90">
        <v>100</v>
      </c>
      <c r="F226" s="100">
        <v>270</v>
      </c>
      <c r="G226" s="100">
        <v>27000</v>
      </c>
    </row>
    <row r="227" spans="1:8" x14ac:dyDescent="0.35">
      <c r="A227" s="90">
        <v>7</v>
      </c>
      <c r="B227" s="90" t="s">
        <v>15</v>
      </c>
      <c r="C227" s="90" t="s">
        <v>140</v>
      </c>
      <c r="D227" s="90" t="s">
        <v>141</v>
      </c>
      <c r="E227" s="90">
        <v>100</v>
      </c>
      <c r="F227" s="100">
        <v>950</v>
      </c>
      <c r="G227" s="100">
        <v>95000</v>
      </c>
    </row>
    <row r="228" spans="1:8" x14ac:dyDescent="0.35">
      <c r="A228" s="90">
        <v>7</v>
      </c>
      <c r="B228" s="90" t="s">
        <v>15</v>
      </c>
      <c r="C228" s="90" t="s">
        <v>140</v>
      </c>
      <c r="D228" s="90" t="s">
        <v>141</v>
      </c>
      <c r="E228" s="90">
        <v>1</v>
      </c>
      <c r="F228" s="100">
        <v>30350</v>
      </c>
      <c r="G228" s="100">
        <v>30350</v>
      </c>
    </row>
    <row r="229" spans="1:8" x14ac:dyDescent="0.35">
      <c r="A229" s="90">
        <v>7</v>
      </c>
      <c r="B229" s="90" t="s">
        <v>15</v>
      </c>
      <c r="C229" s="90" t="s">
        <v>152</v>
      </c>
      <c r="D229" s="90" t="s">
        <v>316</v>
      </c>
      <c r="E229" s="90">
        <v>1</v>
      </c>
      <c r="F229" s="100">
        <v>18650</v>
      </c>
      <c r="G229" s="100">
        <v>18650</v>
      </c>
    </row>
    <row r="230" spans="1:8" x14ac:dyDescent="0.35">
      <c r="A230" s="90">
        <v>7</v>
      </c>
      <c r="B230" s="90" t="s">
        <v>15</v>
      </c>
      <c r="C230" s="90" t="s">
        <v>134</v>
      </c>
      <c r="D230" s="90" t="s">
        <v>135</v>
      </c>
      <c r="E230" s="90">
        <v>13</v>
      </c>
      <c r="F230" s="100">
        <v>15800</v>
      </c>
      <c r="G230" s="100">
        <v>205400</v>
      </c>
    </row>
    <row r="231" spans="1:8" x14ac:dyDescent="0.35">
      <c r="A231" s="90">
        <v>7</v>
      </c>
      <c r="B231" s="90" t="s">
        <v>15</v>
      </c>
      <c r="C231" s="90" t="s">
        <v>132</v>
      </c>
      <c r="D231" s="90" t="s">
        <v>317</v>
      </c>
      <c r="E231" s="90">
        <v>4</v>
      </c>
      <c r="F231" s="100">
        <v>4850</v>
      </c>
      <c r="G231" s="100">
        <v>19400</v>
      </c>
    </row>
    <row r="232" spans="1:8" x14ac:dyDescent="0.35">
      <c r="A232" s="90">
        <v>7</v>
      </c>
      <c r="B232" s="90" t="s">
        <v>15</v>
      </c>
      <c r="C232" s="90" t="s">
        <v>148</v>
      </c>
      <c r="D232" s="90" t="s">
        <v>149</v>
      </c>
      <c r="E232" s="90">
        <v>400</v>
      </c>
      <c r="F232" s="100">
        <v>440</v>
      </c>
      <c r="G232" s="100">
        <v>176000</v>
      </c>
    </row>
    <row r="233" spans="1:8" x14ac:dyDescent="0.35">
      <c r="A233" s="90">
        <v>7</v>
      </c>
      <c r="B233" s="90" t="s">
        <v>15</v>
      </c>
      <c r="C233" s="90" t="s">
        <v>104</v>
      </c>
      <c r="D233" s="90" t="s">
        <v>318</v>
      </c>
      <c r="E233" s="90">
        <v>5</v>
      </c>
      <c r="F233" s="100">
        <v>6650</v>
      </c>
      <c r="G233" s="100">
        <v>33250</v>
      </c>
    </row>
    <row r="234" spans="1:8" x14ac:dyDescent="0.35">
      <c r="A234" s="90">
        <v>7</v>
      </c>
      <c r="B234" s="90" t="s">
        <v>15</v>
      </c>
      <c r="C234" s="90" t="s">
        <v>319</v>
      </c>
      <c r="D234" s="90" t="s">
        <v>320</v>
      </c>
      <c r="E234" s="90">
        <v>1</v>
      </c>
      <c r="F234" s="100">
        <v>6800</v>
      </c>
      <c r="G234" s="100">
        <v>6800</v>
      </c>
    </row>
    <row r="235" spans="1:8" x14ac:dyDescent="0.35">
      <c r="A235" s="90">
        <v>7</v>
      </c>
      <c r="B235" s="90" t="s">
        <v>15</v>
      </c>
      <c r="C235" s="90" t="s">
        <v>321</v>
      </c>
      <c r="D235" s="90" t="s">
        <v>322</v>
      </c>
      <c r="E235" s="90">
        <v>1</v>
      </c>
      <c r="F235" s="100">
        <v>2500</v>
      </c>
      <c r="G235" s="100">
        <v>2500</v>
      </c>
    </row>
    <row r="236" spans="1:8" x14ac:dyDescent="0.35">
      <c r="A236" s="90">
        <v>7</v>
      </c>
      <c r="B236" s="90" t="s">
        <v>15</v>
      </c>
      <c r="C236" s="90" t="s">
        <v>45</v>
      </c>
      <c r="D236" s="90" t="s">
        <v>46</v>
      </c>
      <c r="E236" s="90">
        <v>2</v>
      </c>
      <c r="F236" s="100">
        <v>8400</v>
      </c>
      <c r="G236" s="100">
        <v>16800</v>
      </c>
    </row>
    <row r="237" spans="1:8" x14ac:dyDescent="0.35">
      <c r="A237" s="90">
        <v>7</v>
      </c>
      <c r="B237" s="90" t="s">
        <v>15</v>
      </c>
      <c r="C237" s="90" t="s">
        <v>120</v>
      </c>
      <c r="D237" s="90" t="s">
        <v>121</v>
      </c>
      <c r="E237" s="90">
        <v>3</v>
      </c>
      <c r="F237" s="100">
        <v>6200</v>
      </c>
      <c r="G237" s="100">
        <v>18600</v>
      </c>
      <c r="H237" s="93" t="s">
        <v>325</v>
      </c>
    </row>
    <row r="238" spans="1:8" x14ac:dyDescent="0.35">
      <c r="A238" s="90">
        <v>7</v>
      </c>
      <c r="B238" s="90" t="s">
        <v>18</v>
      </c>
      <c r="C238" s="90" t="s">
        <v>323</v>
      </c>
      <c r="D238" s="90" t="s">
        <v>324</v>
      </c>
      <c r="E238" s="90">
        <v>2.2200000000000002</v>
      </c>
      <c r="F238" s="100">
        <v>4500</v>
      </c>
      <c r="G238" s="100">
        <v>9989</v>
      </c>
    </row>
    <row r="239" spans="1:8" x14ac:dyDescent="0.35">
      <c r="A239" s="90">
        <v>7</v>
      </c>
      <c r="B239" s="90" t="s">
        <v>18</v>
      </c>
      <c r="C239" s="90" t="s">
        <v>326</v>
      </c>
      <c r="D239" s="90" t="s">
        <v>327</v>
      </c>
      <c r="E239" s="90">
        <v>1</v>
      </c>
      <c r="F239" s="100">
        <v>23900</v>
      </c>
      <c r="G239" s="100">
        <v>23900</v>
      </c>
    </row>
    <row r="240" spans="1:8" x14ac:dyDescent="0.35">
      <c r="A240" s="90">
        <v>7</v>
      </c>
      <c r="B240" s="90" t="s">
        <v>18</v>
      </c>
      <c r="C240" s="90" t="s">
        <v>328</v>
      </c>
      <c r="D240" s="90" t="s">
        <v>329</v>
      </c>
      <c r="E240" s="90">
        <v>1.72</v>
      </c>
      <c r="F240" s="100">
        <v>6880</v>
      </c>
      <c r="G240" s="100">
        <v>11834</v>
      </c>
    </row>
    <row r="241" spans="1:7" x14ac:dyDescent="0.35">
      <c r="A241" s="90">
        <v>7</v>
      </c>
      <c r="B241" s="90" t="s">
        <v>18</v>
      </c>
      <c r="C241" s="90" t="s">
        <v>330</v>
      </c>
      <c r="D241" s="90" t="s">
        <v>331</v>
      </c>
      <c r="E241" s="90">
        <v>2.71</v>
      </c>
      <c r="F241" s="100">
        <v>2765</v>
      </c>
      <c r="G241" s="100">
        <v>7493</v>
      </c>
    </row>
    <row r="242" spans="1:7" x14ac:dyDescent="0.35">
      <c r="A242" s="90">
        <v>7</v>
      </c>
      <c r="B242" s="90" t="s">
        <v>18</v>
      </c>
      <c r="C242" s="90" t="s">
        <v>332</v>
      </c>
      <c r="D242" s="90" t="s">
        <v>333</v>
      </c>
      <c r="E242" s="90">
        <v>1</v>
      </c>
      <c r="F242" s="100">
        <v>4300</v>
      </c>
      <c r="G242" s="100">
        <v>4300</v>
      </c>
    </row>
    <row r="243" spans="1:7" x14ac:dyDescent="0.35">
      <c r="A243" s="90">
        <v>7</v>
      </c>
      <c r="B243" s="90" t="s">
        <v>18</v>
      </c>
      <c r="C243" s="90" t="s">
        <v>334</v>
      </c>
      <c r="D243" s="90" t="s">
        <v>335</v>
      </c>
      <c r="E243" s="90">
        <v>2.71</v>
      </c>
      <c r="F243" s="100">
        <v>5450</v>
      </c>
      <c r="G243" s="100">
        <v>14769</v>
      </c>
    </row>
    <row r="244" spans="1:7" x14ac:dyDescent="0.35">
      <c r="A244" s="90">
        <v>7</v>
      </c>
      <c r="B244" s="90" t="s">
        <v>18</v>
      </c>
      <c r="C244" s="90" t="s">
        <v>30</v>
      </c>
      <c r="D244" s="90" t="s">
        <v>336</v>
      </c>
      <c r="E244" s="90">
        <v>1.03</v>
      </c>
      <c r="F244" s="100">
        <v>8365</v>
      </c>
      <c r="G244" s="100">
        <v>8616</v>
      </c>
    </row>
    <row r="245" spans="1:7" x14ac:dyDescent="0.35">
      <c r="A245" s="90">
        <v>7</v>
      </c>
      <c r="B245" s="90" t="s">
        <v>18</v>
      </c>
      <c r="C245" s="90" t="s">
        <v>332</v>
      </c>
      <c r="D245" s="90" t="s">
        <v>337</v>
      </c>
      <c r="E245" s="90">
        <v>0.85</v>
      </c>
      <c r="F245" s="100">
        <v>3800</v>
      </c>
      <c r="G245" s="100">
        <v>3230</v>
      </c>
    </row>
    <row r="246" spans="1:7" x14ac:dyDescent="0.35">
      <c r="A246" s="90">
        <v>7</v>
      </c>
      <c r="B246" s="90" t="s">
        <v>57</v>
      </c>
      <c r="C246" s="90" t="s">
        <v>338</v>
      </c>
      <c r="D246" s="90" t="s">
        <v>339</v>
      </c>
      <c r="E246" s="90">
        <v>1.57</v>
      </c>
      <c r="F246" s="100">
        <v>3300</v>
      </c>
      <c r="G246" s="100">
        <v>5181</v>
      </c>
    </row>
    <row r="247" spans="1:7" x14ac:dyDescent="0.35">
      <c r="A247" s="90">
        <v>7</v>
      </c>
      <c r="B247" s="90" t="s">
        <v>18</v>
      </c>
      <c r="C247" s="90" t="s">
        <v>326</v>
      </c>
      <c r="D247" s="90" t="s">
        <v>340</v>
      </c>
      <c r="E247" s="90">
        <v>1</v>
      </c>
      <c r="F247" s="100">
        <v>8640</v>
      </c>
      <c r="G247" s="100">
        <v>8640</v>
      </c>
    </row>
    <row r="248" spans="1:7" x14ac:dyDescent="0.35">
      <c r="A248" s="90">
        <v>7</v>
      </c>
      <c r="B248" s="90" t="s">
        <v>15</v>
      </c>
      <c r="C248" s="90" t="s">
        <v>16</v>
      </c>
      <c r="D248" s="90" t="s">
        <v>341</v>
      </c>
      <c r="E248" s="90">
        <v>1</v>
      </c>
      <c r="F248" s="100">
        <v>8200</v>
      </c>
      <c r="G248" s="100">
        <v>8200</v>
      </c>
    </row>
    <row r="249" spans="1:7" x14ac:dyDescent="0.35">
      <c r="A249" s="90">
        <v>7</v>
      </c>
      <c r="B249" s="90" t="s">
        <v>15</v>
      </c>
      <c r="C249" s="90" t="s">
        <v>24</v>
      </c>
      <c r="D249" s="90" t="s">
        <v>342</v>
      </c>
      <c r="E249" s="90">
        <v>1</v>
      </c>
      <c r="F249" s="100">
        <v>265300</v>
      </c>
      <c r="G249" s="100">
        <v>265300</v>
      </c>
    </row>
    <row r="250" spans="1:7" x14ac:dyDescent="0.35">
      <c r="A250" s="90">
        <v>7</v>
      </c>
      <c r="B250" s="90" t="s">
        <v>15</v>
      </c>
      <c r="C250" s="90" t="s">
        <v>24</v>
      </c>
      <c r="D250" s="90" t="s">
        <v>343</v>
      </c>
      <c r="E250" s="90">
        <v>1</v>
      </c>
      <c r="F250" s="100">
        <v>19900</v>
      </c>
      <c r="G250" s="100">
        <v>19900</v>
      </c>
    </row>
    <row r="251" spans="1:7" x14ac:dyDescent="0.35">
      <c r="A251" s="90">
        <v>7</v>
      </c>
      <c r="B251" s="90" t="s">
        <v>15</v>
      </c>
      <c r="C251" s="90" t="s">
        <v>16</v>
      </c>
      <c r="D251" s="90" t="s">
        <v>344</v>
      </c>
      <c r="E251" s="90">
        <v>2</v>
      </c>
      <c r="F251" s="100">
        <v>19900</v>
      </c>
      <c r="G251" s="100">
        <v>39800</v>
      </c>
    </row>
    <row r="252" spans="1:7" x14ac:dyDescent="0.35">
      <c r="A252" s="90">
        <v>7</v>
      </c>
      <c r="B252" s="90" t="s">
        <v>15</v>
      </c>
      <c r="C252" s="90" t="s">
        <v>16</v>
      </c>
      <c r="D252" s="90" t="s">
        <v>345</v>
      </c>
      <c r="E252" s="90">
        <v>2</v>
      </c>
      <c r="F252" s="100">
        <v>199900</v>
      </c>
      <c r="G252" s="100">
        <v>399800</v>
      </c>
    </row>
    <row r="253" spans="1:7" x14ac:dyDescent="0.35">
      <c r="A253" s="90">
        <v>7</v>
      </c>
      <c r="B253" s="90" t="s">
        <v>15</v>
      </c>
      <c r="C253" s="90" t="s">
        <v>16</v>
      </c>
      <c r="D253" s="90" t="s">
        <v>346</v>
      </c>
      <c r="E253" s="90">
        <v>1</v>
      </c>
      <c r="F253" s="100">
        <v>36900</v>
      </c>
      <c r="G253" s="100">
        <v>36900</v>
      </c>
    </row>
    <row r="254" spans="1:7" x14ac:dyDescent="0.35">
      <c r="A254" s="90">
        <v>7</v>
      </c>
      <c r="B254" s="90" t="s">
        <v>57</v>
      </c>
      <c r="C254" s="90" t="s">
        <v>347</v>
      </c>
      <c r="D254" s="90" t="s">
        <v>348</v>
      </c>
      <c r="E254" s="90">
        <v>1.1499999999999999</v>
      </c>
      <c r="F254" s="100">
        <v>7500</v>
      </c>
      <c r="G254" s="100">
        <v>8625</v>
      </c>
    </row>
    <row r="255" spans="1:7" x14ac:dyDescent="0.35">
      <c r="A255" s="90">
        <v>7</v>
      </c>
      <c r="B255" s="90" t="s">
        <v>18</v>
      </c>
      <c r="C255" s="90" t="s">
        <v>326</v>
      </c>
      <c r="D255" s="90" t="s">
        <v>349</v>
      </c>
      <c r="E255" s="90">
        <v>2</v>
      </c>
      <c r="F255" s="100">
        <v>11450</v>
      </c>
      <c r="G255" s="100">
        <v>22900</v>
      </c>
    </row>
    <row r="256" spans="1:7" x14ac:dyDescent="0.35">
      <c r="A256" s="90">
        <v>7</v>
      </c>
      <c r="B256" s="90" t="s">
        <v>10</v>
      </c>
      <c r="C256" s="90" t="s">
        <v>350</v>
      </c>
      <c r="D256" s="90" t="s">
        <v>351</v>
      </c>
      <c r="E256" s="90">
        <v>28.1</v>
      </c>
      <c r="F256" s="100">
        <v>16700</v>
      </c>
      <c r="G256" s="100">
        <v>469270</v>
      </c>
    </row>
    <row r="257" spans="1:7" x14ac:dyDescent="0.35">
      <c r="A257" s="90">
        <v>7</v>
      </c>
      <c r="B257" s="90" t="s">
        <v>10</v>
      </c>
      <c r="C257" s="90" t="s">
        <v>233</v>
      </c>
      <c r="D257" s="90" t="s">
        <v>234</v>
      </c>
      <c r="E257" s="90">
        <v>48.66</v>
      </c>
      <c r="F257" s="100">
        <v>21900</v>
      </c>
      <c r="G257" s="100">
        <v>1065654</v>
      </c>
    </row>
    <row r="258" spans="1:7" x14ac:dyDescent="0.35">
      <c r="A258" s="90">
        <v>7</v>
      </c>
      <c r="B258" s="90" t="s">
        <v>10</v>
      </c>
      <c r="C258" s="90" t="s">
        <v>352</v>
      </c>
      <c r="D258" s="90" t="s">
        <v>353</v>
      </c>
      <c r="E258" s="90">
        <v>19.55</v>
      </c>
      <c r="F258" s="100">
        <v>26900</v>
      </c>
      <c r="G258" s="100">
        <v>525895</v>
      </c>
    </row>
    <row r="259" spans="1:7" x14ac:dyDescent="0.35">
      <c r="A259" s="90">
        <v>7</v>
      </c>
      <c r="B259" s="90" t="s">
        <v>18</v>
      </c>
      <c r="C259" s="90" t="s">
        <v>169</v>
      </c>
      <c r="D259" s="90" t="s">
        <v>170</v>
      </c>
      <c r="E259" s="90">
        <v>8</v>
      </c>
      <c r="F259" s="100">
        <v>15546.25</v>
      </c>
      <c r="G259" s="100">
        <v>124370</v>
      </c>
    </row>
    <row r="260" spans="1:7" x14ac:dyDescent="0.35">
      <c r="A260" s="90">
        <v>7</v>
      </c>
      <c r="B260" s="90" t="s">
        <v>10</v>
      </c>
      <c r="C260" s="90" t="s">
        <v>70</v>
      </c>
      <c r="D260" s="90" t="s">
        <v>166</v>
      </c>
      <c r="E260" s="90">
        <v>21.8</v>
      </c>
      <c r="F260" s="100">
        <v>34500</v>
      </c>
      <c r="G260" s="100">
        <v>752100</v>
      </c>
    </row>
    <row r="261" spans="1:7" x14ac:dyDescent="0.35">
      <c r="A261" s="90">
        <v>7</v>
      </c>
      <c r="B261" s="90" t="s">
        <v>10</v>
      </c>
      <c r="C261" s="90" t="s">
        <v>354</v>
      </c>
      <c r="D261" s="90" t="s">
        <v>355</v>
      </c>
      <c r="E261" s="90">
        <v>18.260000000000002</v>
      </c>
      <c r="F261" s="100">
        <v>11500</v>
      </c>
      <c r="G261" s="100">
        <v>209990</v>
      </c>
    </row>
    <row r="262" spans="1:7" x14ac:dyDescent="0.35">
      <c r="A262" s="90">
        <v>7</v>
      </c>
      <c r="B262" s="90" t="s">
        <v>10</v>
      </c>
      <c r="C262" s="90" t="s">
        <v>68</v>
      </c>
      <c r="D262" s="90" t="s">
        <v>356</v>
      </c>
      <c r="E262" s="90">
        <v>42.6</v>
      </c>
      <c r="F262" s="100">
        <v>22900</v>
      </c>
      <c r="G262" s="100">
        <v>975540</v>
      </c>
    </row>
    <row r="263" spans="1:7" x14ac:dyDescent="0.35">
      <c r="A263" s="90">
        <v>7</v>
      </c>
      <c r="B263" s="90" t="s">
        <v>57</v>
      </c>
      <c r="C263" s="90" t="s">
        <v>58</v>
      </c>
      <c r="D263" s="90" t="s">
        <v>59</v>
      </c>
      <c r="E263" s="90">
        <v>2</v>
      </c>
      <c r="F263" s="100">
        <v>9500</v>
      </c>
      <c r="G263" s="100">
        <v>19000</v>
      </c>
    </row>
    <row r="264" spans="1:7" x14ac:dyDescent="0.35">
      <c r="A264" s="90">
        <v>7</v>
      </c>
      <c r="B264" s="90" t="s">
        <v>57</v>
      </c>
      <c r="C264" s="90" t="s">
        <v>60</v>
      </c>
      <c r="D264" s="90" t="s">
        <v>61</v>
      </c>
      <c r="E264" s="90">
        <v>2</v>
      </c>
      <c r="F264" s="100">
        <v>5000</v>
      </c>
      <c r="G264" s="100">
        <v>10000</v>
      </c>
    </row>
    <row r="265" spans="1:7" x14ac:dyDescent="0.35">
      <c r="A265" s="90">
        <v>7</v>
      </c>
      <c r="B265" s="90" t="s">
        <v>10</v>
      </c>
      <c r="C265" s="90" t="s">
        <v>171</v>
      </c>
      <c r="D265" s="90" t="s">
        <v>172</v>
      </c>
      <c r="E265" s="90">
        <v>62.7</v>
      </c>
      <c r="F265" s="100">
        <v>21900</v>
      </c>
      <c r="G265" s="100">
        <v>1373130</v>
      </c>
    </row>
    <row r="266" spans="1:7" x14ac:dyDescent="0.35">
      <c r="A266" s="90">
        <v>8</v>
      </c>
      <c r="B266" s="90" t="s">
        <v>10</v>
      </c>
      <c r="C266" s="90" t="s">
        <v>173</v>
      </c>
      <c r="D266" s="90" t="s">
        <v>357</v>
      </c>
      <c r="E266" s="90">
        <v>1</v>
      </c>
      <c r="F266" s="100">
        <v>429000</v>
      </c>
      <c r="G266" s="100">
        <v>429000</v>
      </c>
    </row>
    <row r="267" spans="1:7" x14ac:dyDescent="0.35">
      <c r="A267" s="90">
        <v>8</v>
      </c>
      <c r="B267" s="90" t="s">
        <v>57</v>
      </c>
      <c r="C267" s="90" t="s">
        <v>60</v>
      </c>
      <c r="D267" s="90" t="s">
        <v>179</v>
      </c>
      <c r="E267" s="90">
        <v>2</v>
      </c>
      <c r="F267" s="100">
        <v>5000</v>
      </c>
      <c r="G267" s="100">
        <v>10000</v>
      </c>
    </row>
    <row r="268" spans="1:7" x14ac:dyDescent="0.35">
      <c r="A268" s="90">
        <v>8</v>
      </c>
      <c r="B268" s="90" t="s">
        <v>57</v>
      </c>
      <c r="C268" s="90" t="s">
        <v>58</v>
      </c>
      <c r="D268" s="90" t="s">
        <v>59</v>
      </c>
      <c r="E268" s="90">
        <v>2</v>
      </c>
      <c r="F268" s="100">
        <v>9500</v>
      </c>
      <c r="G268" s="100">
        <v>19000</v>
      </c>
    </row>
    <row r="269" spans="1:7" x14ac:dyDescent="0.35">
      <c r="A269" s="90">
        <v>8</v>
      </c>
      <c r="B269" s="90" t="s">
        <v>7</v>
      </c>
      <c r="C269" s="90" t="s">
        <v>13</v>
      </c>
      <c r="D269" s="90" t="s">
        <v>33</v>
      </c>
      <c r="E269" s="90">
        <v>1</v>
      </c>
      <c r="F269" s="100">
        <v>30000</v>
      </c>
      <c r="G269" s="100">
        <v>30000</v>
      </c>
    </row>
    <row r="270" spans="1:7" x14ac:dyDescent="0.35">
      <c r="A270" s="90">
        <v>8</v>
      </c>
      <c r="B270" s="90" t="s">
        <v>15</v>
      </c>
      <c r="C270" s="90" t="s">
        <v>34</v>
      </c>
      <c r="D270" s="90" t="s">
        <v>35</v>
      </c>
      <c r="E270" s="90">
        <v>1</v>
      </c>
      <c r="F270" s="100">
        <v>25000</v>
      </c>
      <c r="G270" s="100">
        <v>25000</v>
      </c>
    </row>
    <row r="271" spans="1:7" x14ac:dyDescent="0.35">
      <c r="A271" s="90">
        <v>8</v>
      </c>
      <c r="B271" s="90" t="s">
        <v>7</v>
      </c>
      <c r="C271" s="90" t="s">
        <v>8</v>
      </c>
      <c r="D271" s="90" t="s">
        <v>29</v>
      </c>
      <c r="E271" s="90">
        <v>1</v>
      </c>
      <c r="F271" s="100">
        <v>138000</v>
      </c>
      <c r="G271" s="100">
        <v>138000</v>
      </c>
    </row>
    <row r="272" spans="1:7" x14ac:dyDescent="0.35">
      <c r="A272" s="90">
        <v>8</v>
      </c>
      <c r="B272" s="90" t="s">
        <v>15</v>
      </c>
      <c r="C272" s="90" t="s">
        <v>358</v>
      </c>
      <c r="D272" s="90" t="s">
        <v>359</v>
      </c>
      <c r="E272" s="90">
        <v>72</v>
      </c>
      <c r="F272" s="100">
        <v>7500</v>
      </c>
      <c r="G272" s="100">
        <v>540000</v>
      </c>
    </row>
    <row r="273" spans="1:7" x14ac:dyDescent="0.35">
      <c r="A273" s="90">
        <v>8</v>
      </c>
      <c r="B273" s="90" t="s">
        <v>10</v>
      </c>
      <c r="C273" s="90" t="s">
        <v>276</v>
      </c>
      <c r="D273" s="90" t="s">
        <v>360</v>
      </c>
      <c r="E273" s="90">
        <v>3.145</v>
      </c>
      <c r="F273" s="100">
        <v>14500</v>
      </c>
      <c r="G273" s="100">
        <v>45603</v>
      </c>
    </row>
    <row r="274" spans="1:7" x14ac:dyDescent="0.35">
      <c r="A274" s="90">
        <v>8</v>
      </c>
      <c r="B274" s="90" t="s">
        <v>10</v>
      </c>
      <c r="C274" s="90" t="s">
        <v>252</v>
      </c>
      <c r="D274" s="90" t="s">
        <v>253</v>
      </c>
      <c r="E274" s="90">
        <v>6.0650000000000004</v>
      </c>
      <c r="F274" s="100">
        <v>9700</v>
      </c>
      <c r="G274" s="100">
        <v>58831</v>
      </c>
    </row>
    <row r="275" spans="1:7" x14ac:dyDescent="0.35">
      <c r="A275" s="90">
        <v>8</v>
      </c>
      <c r="B275" s="90" t="s">
        <v>10</v>
      </c>
      <c r="C275" s="90" t="s">
        <v>11</v>
      </c>
      <c r="D275" s="90" t="s">
        <v>361</v>
      </c>
      <c r="E275" s="90">
        <v>35.36</v>
      </c>
      <c r="F275" s="100">
        <v>7635.75</v>
      </c>
      <c r="G275" s="100">
        <v>270000</v>
      </c>
    </row>
    <row r="276" spans="1:7" x14ac:dyDescent="0.35">
      <c r="A276" s="90">
        <v>8</v>
      </c>
      <c r="B276" s="90" t="s">
        <v>15</v>
      </c>
      <c r="C276" s="90" t="s">
        <v>184</v>
      </c>
      <c r="D276" s="90" t="s">
        <v>362</v>
      </c>
      <c r="E276" s="90">
        <v>1</v>
      </c>
      <c r="F276" s="100">
        <v>300</v>
      </c>
      <c r="G276" s="100">
        <v>300</v>
      </c>
    </row>
    <row r="277" spans="1:7" x14ac:dyDescent="0.35">
      <c r="A277" s="90">
        <v>8</v>
      </c>
      <c r="B277" s="90" t="s">
        <v>21</v>
      </c>
      <c r="C277" s="90" t="s">
        <v>22</v>
      </c>
      <c r="D277" s="90" t="s">
        <v>363</v>
      </c>
      <c r="E277" s="90">
        <v>1</v>
      </c>
      <c r="F277" s="100">
        <v>6600</v>
      </c>
      <c r="G277" s="100">
        <v>6600</v>
      </c>
    </row>
    <row r="278" spans="1:7" x14ac:dyDescent="0.35">
      <c r="A278" s="90">
        <v>8</v>
      </c>
      <c r="B278" s="90" t="s">
        <v>57</v>
      </c>
      <c r="C278" s="90" t="s">
        <v>60</v>
      </c>
      <c r="D278" s="90" t="s">
        <v>61</v>
      </c>
      <c r="E278" s="90">
        <v>2</v>
      </c>
      <c r="F278" s="100">
        <v>5000</v>
      </c>
      <c r="G278" s="100">
        <v>10000</v>
      </c>
    </row>
    <row r="279" spans="1:7" x14ac:dyDescent="0.35">
      <c r="A279" s="90">
        <v>8</v>
      </c>
      <c r="B279" s="90" t="s">
        <v>57</v>
      </c>
      <c r="C279" s="90" t="s">
        <v>58</v>
      </c>
      <c r="D279" s="90" t="s">
        <v>59</v>
      </c>
      <c r="E279" s="90">
        <v>2</v>
      </c>
      <c r="F279" s="100">
        <v>9500</v>
      </c>
      <c r="G279" s="100">
        <v>19000</v>
      </c>
    </row>
    <row r="280" spans="1:7" x14ac:dyDescent="0.35">
      <c r="A280" s="90">
        <v>8</v>
      </c>
      <c r="B280" s="90" t="s">
        <v>10</v>
      </c>
      <c r="C280" s="90" t="s">
        <v>167</v>
      </c>
      <c r="D280" s="90" t="s">
        <v>168</v>
      </c>
      <c r="E280" s="90">
        <v>4.5</v>
      </c>
      <c r="F280" s="100">
        <v>22000</v>
      </c>
      <c r="G280" s="100">
        <v>99000</v>
      </c>
    </row>
    <row r="281" spans="1:7" x14ac:dyDescent="0.35">
      <c r="A281" s="90">
        <v>8</v>
      </c>
      <c r="B281" s="90" t="s">
        <v>10</v>
      </c>
      <c r="C281" s="90" t="s">
        <v>173</v>
      </c>
      <c r="D281" s="90" t="s">
        <v>174</v>
      </c>
      <c r="E281" s="90">
        <v>20</v>
      </c>
      <c r="F281" s="100">
        <v>16500</v>
      </c>
      <c r="G281" s="100">
        <v>330000</v>
      </c>
    </row>
    <row r="282" spans="1:7" x14ac:dyDescent="0.35">
      <c r="A282" s="90">
        <v>8</v>
      </c>
      <c r="B282" s="90" t="s">
        <v>21</v>
      </c>
      <c r="C282" s="90" t="s">
        <v>64</v>
      </c>
      <c r="D282" s="90" t="s">
        <v>65</v>
      </c>
      <c r="E282" s="90">
        <v>40</v>
      </c>
      <c r="F282" s="100">
        <v>4180</v>
      </c>
      <c r="G282" s="100">
        <v>167200</v>
      </c>
    </row>
    <row r="283" spans="1:7" x14ac:dyDescent="0.35">
      <c r="A283" s="90">
        <v>8</v>
      </c>
      <c r="B283" s="90" t="s">
        <v>15</v>
      </c>
      <c r="C283" s="90" t="s">
        <v>66</v>
      </c>
      <c r="D283" s="90" t="s">
        <v>67</v>
      </c>
      <c r="E283" s="90">
        <v>2</v>
      </c>
      <c r="F283" s="100">
        <v>18200</v>
      </c>
      <c r="G283" s="100">
        <v>36400</v>
      </c>
    </row>
    <row r="284" spans="1:7" x14ac:dyDescent="0.35">
      <c r="A284" s="90">
        <v>9</v>
      </c>
      <c r="B284" s="90" t="s">
        <v>18</v>
      </c>
      <c r="C284" s="90" t="s">
        <v>364</v>
      </c>
      <c r="D284" s="90" t="s">
        <v>365</v>
      </c>
      <c r="E284" s="90">
        <v>35</v>
      </c>
      <c r="F284" s="100">
        <v>1600</v>
      </c>
      <c r="G284" s="100">
        <v>56000</v>
      </c>
    </row>
    <row r="285" spans="1:7" x14ac:dyDescent="0.35">
      <c r="A285" s="90">
        <v>9</v>
      </c>
      <c r="B285" s="90" t="s">
        <v>57</v>
      </c>
      <c r="C285" s="90" t="s">
        <v>60</v>
      </c>
      <c r="D285" s="90" t="s">
        <v>179</v>
      </c>
      <c r="E285" s="90">
        <v>3</v>
      </c>
      <c r="F285" s="100">
        <v>5000</v>
      </c>
      <c r="G285" s="100">
        <v>15000</v>
      </c>
    </row>
    <row r="286" spans="1:7" x14ac:dyDescent="0.35">
      <c r="A286" s="90">
        <v>9</v>
      </c>
      <c r="B286" s="90" t="s">
        <v>57</v>
      </c>
      <c r="C286" s="90" t="s">
        <v>347</v>
      </c>
      <c r="D286" s="90" t="s">
        <v>366</v>
      </c>
      <c r="E286" s="90">
        <v>1</v>
      </c>
      <c r="F286" s="100">
        <v>33000</v>
      </c>
      <c r="G286" s="100">
        <v>33000</v>
      </c>
    </row>
    <row r="287" spans="1:7" x14ac:dyDescent="0.35">
      <c r="A287" s="90">
        <v>9</v>
      </c>
      <c r="B287" s="90" t="s">
        <v>18</v>
      </c>
      <c r="C287" s="90" t="s">
        <v>30</v>
      </c>
      <c r="D287" s="90" t="s">
        <v>367</v>
      </c>
      <c r="E287" s="90">
        <v>15</v>
      </c>
      <c r="F287" s="100">
        <v>6666.67</v>
      </c>
      <c r="G287" s="100">
        <v>100000</v>
      </c>
    </row>
    <row r="288" spans="1:7" x14ac:dyDescent="0.35">
      <c r="A288" s="90">
        <v>9</v>
      </c>
      <c r="B288" s="90" t="s">
        <v>57</v>
      </c>
      <c r="C288" s="90" t="s">
        <v>368</v>
      </c>
      <c r="D288" s="90" t="s">
        <v>369</v>
      </c>
      <c r="E288" s="90">
        <v>1</v>
      </c>
      <c r="F288" s="100">
        <v>8500</v>
      </c>
      <c r="G288" s="100">
        <v>8500</v>
      </c>
    </row>
    <row r="289" spans="1:7" x14ac:dyDescent="0.35">
      <c r="A289" s="90">
        <v>9</v>
      </c>
      <c r="B289" s="90" t="s">
        <v>18</v>
      </c>
      <c r="C289" s="90" t="s">
        <v>76</v>
      </c>
      <c r="D289" s="90" t="s">
        <v>370</v>
      </c>
      <c r="E289" s="90">
        <v>1</v>
      </c>
      <c r="F289" s="100">
        <v>40000</v>
      </c>
      <c r="G289" s="100">
        <v>40000</v>
      </c>
    </row>
    <row r="290" spans="1:7" x14ac:dyDescent="0.35">
      <c r="A290" s="90">
        <v>9</v>
      </c>
      <c r="B290" s="90" t="s">
        <v>18</v>
      </c>
      <c r="C290" s="90" t="s">
        <v>371</v>
      </c>
      <c r="D290" s="90" t="s">
        <v>372</v>
      </c>
      <c r="E290" s="90">
        <v>1</v>
      </c>
      <c r="F290" s="100">
        <v>10000</v>
      </c>
      <c r="G290" s="100">
        <v>10000</v>
      </c>
    </row>
    <row r="291" spans="1:7" x14ac:dyDescent="0.35">
      <c r="A291" s="90">
        <v>9</v>
      </c>
      <c r="B291" s="90" t="s">
        <v>10</v>
      </c>
      <c r="C291" s="90" t="s">
        <v>373</v>
      </c>
      <c r="D291" s="90" t="s">
        <v>374</v>
      </c>
      <c r="E291" s="90">
        <v>1</v>
      </c>
      <c r="F291" s="100">
        <v>17000</v>
      </c>
      <c r="G291" s="100">
        <v>17000</v>
      </c>
    </row>
    <row r="292" spans="1:7" x14ac:dyDescent="0.35">
      <c r="A292" s="90">
        <v>9</v>
      </c>
      <c r="B292" s="90" t="s">
        <v>7</v>
      </c>
      <c r="C292" s="90" t="s">
        <v>375</v>
      </c>
      <c r="D292" s="90" t="s">
        <v>376</v>
      </c>
      <c r="E292" s="90">
        <v>1</v>
      </c>
      <c r="F292" s="100">
        <v>30000</v>
      </c>
      <c r="G292" s="100">
        <v>30000</v>
      </c>
    </row>
    <row r="293" spans="1:7" x14ac:dyDescent="0.35">
      <c r="A293" s="90">
        <v>9</v>
      </c>
      <c r="B293" s="90" t="s">
        <v>7</v>
      </c>
      <c r="C293" s="90" t="s">
        <v>377</v>
      </c>
      <c r="D293" s="90" t="s">
        <v>378</v>
      </c>
      <c r="E293" s="90">
        <v>1</v>
      </c>
      <c r="F293" s="100">
        <v>900000</v>
      </c>
      <c r="G293" s="100">
        <v>900000</v>
      </c>
    </row>
    <row r="294" spans="1:7" x14ac:dyDescent="0.35">
      <c r="A294" s="90">
        <v>9</v>
      </c>
      <c r="B294" s="90" t="s">
        <v>21</v>
      </c>
      <c r="C294" s="90" t="s">
        <v>22</v>
      </c>
      <c r="D294" s="90" t="s">
        <v>379</v>
      </c>
      <c r="E294" s="90">
        <v>1</v>
      </c>
      <c r="F294" s="100">
        <v>6600</v>
      </c>
      <c r="G294" s="100">
        <v>6600</v>
      </c>
    </row>
    <row r="295" spans="1:7" x14ac:dyDescent="0.35">
      <c r="A295" s="90">
        <v>9</v>
      </c>
      <c r="B295" s="90" t="s">
        <v>10</v>
      </c>
      <c r="C295" s="90" t="s">
        <v>167</v>
      </c>
      <c r="D295" s="90" t="s">
        <v>168</v>
      </c>
      <c r="E295" s="90">
        <v>6.2</v>
      </c>
      <c r="F295" s="100">
        <v>22000</v>
      </c>
      <c r="G295" s="100">
        <v>136400</v>
      </c>
    </row>
    <row r="296" spans="1:7" x14ac:dyDescent="0.35">
      <c r="A296" s="90">
        <v>9</v>
      </c>
      <c r="B296" s="90" t="s">
        <v>10</v>
      </c>
      <c r="C296" s="90" t="s">
        <v>380</v>
      </c>
      <c r="D296" s="90" t="s">
        <v>381</v>
      </c>
      <c r="E296" s="90">
        <v>55</v>
      </c>
      <c r="F296" s="100">
        <v>7250</v>
      </c>
      <c r="G296" s="100">
        <v>398750</v>
      </c>
    </row>
    <row r="297" spans="1:7" x14ac:dyDescent="0.35">
      <c r="A297" s="90">
        <v>9</v>
      </c>
      <c r="B297" s="90" t="s">
        <v>10</v>
      </c>
      <c r="C297" s="90" t="s">
        <v>382</v>
      </c>
      <c r="D297" s="90" t="s">
        <v>383</v>
      </c>
      <c r="E297" s="90">
        <v>24</v>
      </c>
      <c r="F297" s="100">
        <v>5000</v>
      </c>
      <c r="G297" s="100">
        <v>120000</v>
      </c>
    </row>
    <row r="298" spans="1:7" x14ac:dyDescent="0.35">
      <c r="A298" s="90">
        <v>9</v>
      </c>
      <c r="B298" s="90" t="s">
        <v>15</v>
      </c>
      <c r="C298" s="90" t="s">
        <v>384</v>
      </c>
      <c r="D298" s="90" t="s">
        <v>385</v>
      </c>
      <c r="E298" s="90">
        <v>1</v>
      </c>
      <c r="F298" s="100">
        <v>29512</v>
      </c>
      <c r="G298" s="100">
        <v>29512</v>
      </c>
    </row>
    <row r="299" spans="1:7" x14ac:dyDescent="0.35">
      <c r="A299" s="90">
        <v>9</v>
      </c>
      <c r="B299" s="90" t="s">
        <v>10</v>
      </c>
      <c r="C299" s="90" t="s">
        <v>164</v>
      </c>
      <c r="D299" s="90" t="s">
        <v>386</v>
      </c>
      <c r="E299" s="90">
        <v>19.8</v>
      </c>
      <c r="F299" s="100">
        <v>17000</v>
      </c>
      <c r="G299" s="100">
        <v>336600</v>
      </c>
    </row>
    <row r="300" spans="1:7" x14ac:dyDescent="0.35">
      <c r="A300" s="90">
        <v>9</v>
      </c>
      <c r="B300" s="90" t="s">
        <v>10</v>
      </c>
      <c r="C300" s="90" t="s">
        <v>175</v>
      </c>
      <c r="D300" s="90" t="s">
        <v>176</v>
      </c>
      <c r="E300" s="90">
        <v>18.100000000000001</v>
      </c>
      <c r="F300" s="100">
        <v>25900</v>
      </c>
      <c r="G300" s="100">
        <v>468790</v>
      </c>
    </row>
    <row r="301" spans="1:7" x14ac:dyDescent="0.35">
      <c r="A301" s="90">
        <v>9</v>
      </c>
      <c r="B301" s="90" t="s">
        <v>57</v>
      </c>
      <c r="C301" s="90" t="s">
        <v>58</v>
      </c>
      <c r="D301" s="90" t="s">
        <v>59</v>
      </c>
      <c r="E301" s="90">
        <v>2</v>
      </c>
      <c r="F301" s="100">
        <v>9500</v>
      </c>
      <c r="G301" s="100">
        <v>19000</v>
      </c>
    </row>
    <row r="302" spans="1:7" x14ac:dyDescent="0.35">
      <c r="A302" s="90">
        <v>9</v>
      </c>
      <c r="B302" s="90" t="s">
        <v>7</v>
      </c>
      <c r="C302" s="90" t="s">
        <v>387</v>
      </c>
      <c r="D302" s="90" t="s">
        <v>388</v>
      </c>
      <c r="E302" s="90">
        <v>1</v>
      </c>
      <c r="F302" s="100">
        <v>106180</v>
      </c>
      <c r="G302" s="100">
        <v>106180</v>
      </c>
    </row>
    <row r="303" spans="1:7" x14ac:dyDescent="0.35">
      <c r="A303" s="90">
        <v>9</v>
      </c>
      <c r="B303" s="90" t="s">
        <v>10</v>
      </c>
      <c r="C303" s="90" t="s">
        <v>271</v>
      </c>
      <c r="D303" s="90" t="s">
        <v>389</v>
      </c>
      <c r="E303" s="90">
        <v>21.15</v>
      </c>
      <c r="F303" s="100">
        <v>20000</v>
      </c>
      <c r="G303" s="100">
        <v>423000</v>
      </c>
    </row>
    <row r="304" spans="1:7" x14ac:dyDescent="0.35">
      <c r="A304" s="90">
        <v>9</v>
      </c>
      <c r="B304" s="90" t="s">
        <v>57</v>
      </c>
      <c r="C304" s="90" t="s">
        <v>60</v>
      </c>
      <c r="D304" s="90" t="s">
        <v>61</v>
      </c>
      <c r="E304" s="90">
        <v>2</v>
      </c>
      <c r="F304" s="100">
        <v>5000</v>
      </c>
      <c r="G304" s="100">
        <v>10000</v>
      </c>
    </row>
    <row r="305" spans="1:7" x14ac:dyDescent="0.35">
      <c r="A305" s="90">
        <v>9</v>
      </c>
      <c r="B305" s="90" t="s">
        <v>10</v>
      </c>
      <c r="C305" s="90" t="s">
        <v>390</v>
      </c>
      <c r="D305" s="90" t="s">
        <v>391</v>
      </c>
      <c r="E305" s="90">
        <v>6.04</v>
      </c>
      <c r="F305" s="100">
        <v>34000</v>
      </c>
      <c r="G305" s="100">
        <v>205360</v>
      </c>
    </row>
    <row r="306" spans="1:7" x14ac:dyDescent="0.35">
      <c r="A306" s="97">
        <v>9</v>
      </c>
      <c r="B306" s="97" t="s">
        <v>57</v>
      </c>
      <c r="C306" s="97" t="s">
        <v>158</v>
      </c>
      <c r="D306" s="97" t="s">
        <v>159</v>
      </c>
      <c r="E306" s="97">
        <v>1</v>
      </c>
      <c r="F306" s="101">
        <v>42269</v>
      </c>
      <c r="G306" s="101">
        <v>42269</v>
      </c>
    </row>
    <row r="307" spans="1:7" x14ac:dyDescent="0.35">
      <c r="A307" s="90">
        <v>9</v>
      </c>
      <c r="B307" s="90" t="s">
        <v>10</v>
      </c>
      <c r="C307" s="90" t="s">
        <v>11</v>
      </c>
      <c r="D307" s="90" t="s">
        <v>392</v>
      </c>
      <c r="E307" s="90">
        <v>6.6</v>
      </c>
      <c r="F307" s="100">
        <v>7700</v>
      </c>
      <c r="G307" s="100">
        <v>50820</v>
      </c>
    </row>
    <row r="308" spans="1:7" x14ac:dyDescent="0.35">
      <c r="A308" s="90">
        <v>10</v>
      </c>
      <c r="B308" s="90" t="s">
        <v>7</v>
      </c>
      <c r="C308" s="90" t="s">
        <v>8</v>
      </c>
      <c r="D308" s="90" t="s">
        <v>96</v>
      </c>
      <c r="E308" s="90">
        <v>1</v>
      </c>
      <c r="F308" s="100">
        <v>138000</v>
      </c>
      <c r="G308" s="100">
        <v>138000</v>
      </c>
    </row>
    <row r="309" spans="1:7" x14ac:dyDescent="0.35">
      <c r="A309" s="90">
        <v>10</v>
      </c>
      <c r="B309" s="90" t="s">
        <v>57</v>
      </c>
      <c r="C309" s="90" t="s">
        <v>58</v>
      </c>
      <c r="D309" s="90" t="s">
        <v>59</v>
      </c>
      <c r="E309" s="90">
        <v>2</v>
      </c>
      <c r="F309" s="100">
        <v>9500</v>
      </c>
      <c r="G309" s="100">
        <v>19000</v>
      </c>
    </row>
    <row r="310" spans="1:7" x14ac:dyDescent="0.35">
      <c r="A310" s="90">
        <v>10</v>
      </c>
      <c r="B310" s="90" t="s">
        <v>57</v>
      </c>
      <c r="C310" s="90" t="s">
        <v>60</v>
      </c>
      <c r="D310" s="90" t="s">
        <v>179</v>
      </c>
      <c r="E310" s="90">
        <v>2</v>
      </c>
      <c r="F310" s="100">
        <v>5000</v>
      </c>
      <c r="G310" s="100">
        <v>10000</v>
      </c>
    </row>
    <row r="311" spans="1:7" x14ac:dyDescent="0.35">
      <c r="A311" s="90">
        <v>10</v>
      </c>
      <c r="B311" s="90" t="s">
        <v>7</v>
      </c>
      <c r="C311" s="90" t="s">
        <v>13</v>
      </c>
      <c r="D311" s="90" t="s">
        <v>97</v>
      </c>
      <c r="E311" s="90">
        <v>1</v>
      </c>
      <c r="F311" s="100">
        <v>30000</v>
      </c>
      <c r="G311" s="100">
        <v>30000</v>
      </c>
    </row>
    <row r="312" spans="1:7" x14ac:dyDescent="0.35">
      <c r="A312" s="90">
        <v>10</v>
      </c>
      <c r="B312" s="90" t="s">
        <v>7</v>
      </c>
      <c r="C312" s="90" t="s">
        <v>8</v>
      </c>
      <c r="D312" s="90" t="s">
        <v>393</v>
      </c>
      <c r="E312" s="90">
        <v>1</v>
      </c>
      <c r="F312" s="100">
        <v>66000</v>
      </c>
      <c r="G312" s="100">
        <v>66000</v>
      </c>
    </row>
    <row r="313" spans="1:7" x14ac:dyDescent="0.35">
      <c r="A313" s="90">
        <v>10</v>
      </c>
      <c r="B313" s="90" t="s">
        <v>7</v>
      </c>
      <c r="C313" s="90" t="s">
        <v>377</v>
      </c>
      <c r="D313" s="90" t="s">
        <v>394</v>
      </c>
      <c r="E313" s="90">
        <v>1</v>
      </c>
      <c r="F313" s="100">
        <v>72000</v>
      </c>
      <c r="G313" s="100">
        <v>72000</v>
      </c>
    </row>
    <row r="314" spans="1:7" x14ac:dyDescent="0.35">
      <c r="A314" s="90">
        <v>10</v>
      </c>
      <c r="B314" s="90" t="s">
        <v>18</v>
      </c>
      <c r="C314" s="90" t="s">
        <v>30</v>
      </c>
      <c r="D314" s="90" t="s">
        <v>181</v>
      </c>
      <c r="E314" s="90">
        <v>2</v>
      </c>
      <c r="F314" s="100">
        <v>6800</v>
      </c>
      <c r="G314" s="100">
        <v>13600</v>
      </c>
    </row>
    <row r="315" spans="1:7" x14ac:dyDescent="0.35">
      <c r="A315" s="90">
        <v>10</v>
      </c>
      <c r="B315" s="90" t="s">
        <v>57</v>
      </c>
      <c r="C315" s="90" t="s">
        <v>194</v>
      </c>
      <c r="D315" s="90" t="s">
        <v>195</v>
      </c>
      <c r="E315" s="90">
        <v>3</v>
      </c>
      <c r="F315" s="100">
        <v>12900</v>
      </c>
      <c r="G315" s="100">
        <v>38700</v>
      </c>
    </row>
    <row r="316" spans="1:7" x14ac:dyDescent="0.35">
      <c r="A316" s="90">
        <v>10</v>
      </c>
      <c r="B316" s="90" t="s">
        <v>57</v>
      </c>
      <c r="C316" s="90" t="s">
        <v>347</v>
      </c>
      <c r="D316" s="90" t="s">
        <v>395</v>
      </c>
      <c r="E316" s="90">
        <v>2</v>
      </c>
      <c r="F316" s="100">
        <v>17950</v>
      </c>
      <c r="G316" s="100">
        <v>35900</v>
      </c>
    </row>
    <row r="317" spans="1:7" x14ac:dyDescent="0.35">
      <c r="A317" s="90">
        <v>10</v>
      </c>
      <c r="B317" s="90" t="s">
        <v>57</v>
      </c>
      <c r="C317" s="90" t="s">
        <v>198</v>
      </c>
      <c r="D317" s="90" t="s">
        <v>199</v>
      </c>
      <c r="E317" s="90">
        <v>2</v>
      </c>
      <c r="F317" s="100">
        <v>15500</v>
      </c>
      <c r="G317" s="100">
        <v>31000</v>
      </c>
    </row>
    <row r="318" spans="1:7" x14ac:dyDescent="0.35">
      <c r="A318" s="90">
        <v>10</v>
      </c>
      <c r="B318" s="90" t="s">
        <v>57</v>
      </c>
      <c r="C318" s="90" t="s">
        <v>396</v>
      </c>
      <c r="D318" s="90" t="s">
        <v>397</v>
      </c>
      <c r="E318" s="90">
        <v>2</v>
      </c>
      <c r="F318" s="100">
        <v>12700</v>
      </c>
      <c r="G318" s="100">
        <v>25400</v>
      </c>
    </row>
    <row r="319" spans="1:7" x14ac:dyDescent="0.35">
      <c r="A319" s="90">
        <v>10</v>
      </c>
      <c r="B319" s="90" t="s">
        <v>7</v>
      </c>
      <c r="C319" s="90" t="s">
        <v>398</v>
      </c>
      <c r="D319" s="90" t="s">
        <v>399</v>
      </c>
      <c r="E319" s="90">
        <v>1</v>
      </c>
      <c r="F319" s="100">
        <v>3000</v>
      </c>
      <c r="G319" s="100">
        <v>3000</v>
      </c>
    </row>
    <row r="320" spans="1:7" x14ac:dyDescent="0.35">
      <c r="A320" s="90">
        <v>10</v>
      </c>
      <c r="B320" s="90" t="s">
        <v>57</v>
      </c>
      <c r="C320" s="90" t="s">
        <v>196</v>
      </c>
      <c r="D320" s="90" t="s">
        <v>400</v>
      </c>
      <c r="E320" s="90">
        <v>3</v>
      </c>
      <c r="F320" s="100">
        <v>12600</v>
      </c>
      <c r="G320" s="100">
        <v>37800</v>
      </c>
    </row>
    <row r="321" spans="1:7" x14ac:dyDescent="0.35">
      <c r="A321" s="90">
        <v>10</v>
      </c>
      <c r="B321" s="90" t="s">
        <v>57</v>
      </c>
      <c r="C321" s="90" t="s">
        <v>194</v>
      </c>
      <c r="D321" s="90" t="s">
        <v>401</v>
      </c>
      <c r="E321" s="90">
        <v>4</v>
      </c>
      <c r="F321" s="100">
        <v>12900</v>
      </c>
      <c r="G321" s="100">
        <v>51600</v>
      </c>
    </row>
    <row r="322" spans="1:7" x14ac:dyDescent="0.35">
      <c r="A322" s="90">
        <v>10</v>
      </c>
      <c r="B322" s="90" t="s">
        <v>57</v>
      </c>
      <c r="C322" s="90" t="s">
        <v>347</v>
      </c>
      <c r="D322" s="90" t="s">
        <v>402</v>
      </c>
      <c r="E322" s="90">
        <v>3</v>
      </c>
      <c r="F322" s="100">
        <v>17950</v>
      </c>
      <c r="G322" s="100">
        <v>53850</v>
      </c>
    </row>
    <row r="323" spans="1:7" x14ac:dyDescent="0.35">
      <c r="A323" s="90">
        <v>10</v>
      </c>
      <c r="B323" s="90" t="s">
        <v>57</v>
      </c>
      <c r="C323" s="90" t="s">
        <v>198</v>
      </c>
      <c r="D323" s="90" t="s">
        <v>403</v>
      </c>
      <c r="E323" s="90">
        <v>1</v>
      </c>
      <c r="F323" s="100">
        <v>15500</v>
      </c>
      <c r="G323" s="100">
        <v>15500</v>
      </c>
    </row>
    <row r="324" spans="1:7" x14ac:dyDescent="0.35">
      <c r="A324" s="90">
        <v>10</v>
      </c>
      <c r="B324" s="90" t="s">
        <v>57</v>
      </c>
      <c r="C324" s="90" t="s">
        <v>200</v>
      </c>
      <c r="D324" s="90" t="s">
        <v>201</v>
      </c>
      <c r="E324" s="90">
        <v>2</v>
      </c>
      <c r="F324" s="100">
        <v>16800</v>
      </c>
      <c r="G324" s="100">
        <v>33600</v>
      </c>
    </row>
    <row r="325" spans="1:7" x14ac:dyDescent="0.35">
      <c r="A325" s="90">
        <v>10</v>
      </c>
      <c r="B325" s="90" t="s">
        <v>7</v>
      </c>
      <c r="C325" s="90" t="s">
        <v>398</v>
      </c>
      <c r="D325" s="90" t="s">
        <v>404</v>
      </c>
      <c r="E325" s="90">
        <v>1</v>
      </c>
      <c r="F325" s="100">
        <v>3000</v>
      </c>
      <c r="G325" s="100">
        <v>3000</v>
      </c>
    </row>
    <row r="326" spans="1:7" x14ac:dyDescent="0.35">
      <c r="A326" s="90">
        <v>10</v>
      </c>
      <c r="B326" s="90" t="s">
        <v>7</v>
      </c>
      <c r="C326" s="90" t="s">
        <v>8</v>
      </c>
      <c r="D326" s="90" t="s">
        <v>405</v>
      </c>
      <c r="E326" s="90">
        <v>1</v>
      </c>
      <c r="F326" s="100">
        <v>66000</v>
      </c>
      <c r="G326" s="100">
        <v>66000</v>
      </c>
    </row>
    <row r="327" spans="1:7" x14ac:dyDescent="0.35">
      <c r="A327" s="90">
        <v>10</v>
      </c>
      <c r="B327" s="90" t="s">
        <v>7</v>
      </c>
      <c r="C327" s="90" t="s">
        <v>406</v>
      </c>
      <c r="D327" s="90" t="s">
        <v>407</v>
      </c>
      <c r="E327" s="90">
        <v>2</v>
      </c>
      <c r="F327" s="100">
        <v>1700</v>
      </c>
      <c r="G327" s="100">
        <v>3400</v>
      </c>
    </row>
    <row r="328" spans="1:7" x14ac:dyDescent="0.35">
      <c r="A328" s="90">
        <v>10</v>
      </c>
      <c r="B328" s="90" t="s">
        <v>10</v>
      </c>
      <c r="C328" s="90" t="s">
        <v>190</v>
      </c>
      <c r="D328" s="90" t="s">
        <v>191</v>
      </c>
      <c r="E328" s="90">
        <v>6</v>
      </c>
      <c r="F328" s="100">
        <v>48000</v>
      </c>
      <c r="G328" s="100">
        <v>288000</v>
      </c>
    </row>
    <row r="329" spans="1:7" x14ac:dyDescent="0.35">
      <c r="A329" s="90">
        <v>10</v>
      </c>
      <c r="B329" s="90" t="s">
        <v>10</v>
      </c>
      <c r="C329" s="90" t="s">
        <v>192</v>
      </c>
      <c r="D329" s="90" t="s">
        <v>193</v>
      </c>
      <c r="E329" s="90">
        <v>2</v>
      </c>
      <c r="F329" s="100">
        <v>46000</v>
      </c>
      <c r="G329" s="100">
        <v>92000</v>
      </c>
    </row>
    <row r="330" spans="1:7" x14ac:dyDescent="0.35">
      <c r="A330" s="90">
        <v>10</v>
      </c>
      <c r="B330" s="90" t="s">
        <v>21</v>
      </c>
      <c r="C330" s="90" t="s">
        <v>408</v>
      </c>
      <c r="D330" s="90" t="s">
        <v>409</v>
      </c>
      <c r="E330" s="90">
        <v>2</v>
      </c>
      <c r="F330" s="100">
        <v>7200</v>
      </c>
      <c r="G330" s="100">
        <v>14400</v>
      </c>
    </row>
    <row r="331" spans="1:7" x14ac:dyDescent="0.35">
      <c r="A331" s="90">
        <v>10</v>
      </c>
      <c r="B331" s="90" t="s">
        <v>7</v>
      </c>
      <c r="C331" s="90" t="s">
        <v>259</v>
      </c>
      <c r="D331" s="90" t="s">
        <v>410</v>
      </c>
      <c r="E331" s="90">
        <v>15</v>
      </c>
      <c r="F331" s="100">
        <v>12600</v>
      </c>
      <c r="G331" s="100">
        <v>189000</v>
      </c>
    </row>
    <row r="332" spans="1:7" x14ac:dyDescent="0.35">
      <c r="A332" s="90">
        <v>10</v>
      </c>
      <c r="B332" s="90" t="s">
        <v>7</v>
      </c>
      <c r="C332" s="90" t="s">
        <v>411</v>
      </c>
      <c r="D332" s="90" t="s">
        <v>412</v>
      </c>
      <c r="E332" s="90">
        <v>1</v>
      </c>
      <c r="F332" s="100">
        <v>15000</v>
      </c>
      <c r="G332" s="100">
        <v>15000</v>
      </c>
    </row>
    <row r="333" spans="1:7" x14ac:dyDescent="0.35">
      <c r="A333" s="90">
        <v>10</v>
      </c>
      <c r="B333" s="90" t="s">
        <v>15</v>
      </c>
      <c r="C333" s="90" t="s">
        <v>98</v>
      </c>
      <c r="D333" s="90" t="s">
        <v>99</v>
      </c>
      <c r="E333" s="90">
        <v>1</v>
      </c>
      <c r="F333" s="100">
        <v>8700</v>
      </c>
      <c r="G333" s="100">
        <v>8700</v>
      </c>
    </row>
    <row r="334" spans="1:7" x14ac:dyDescent="0.35">
      <c r="A334" s="90">
        <v>10</v>
      </c>
      <c r="B334" s="90" t="s">
        <v>15</v>
      </c>
      <c r="C334" s="90" t="s">
        <v>106</v>
      </c>
      <c r="D334" s="90" t="s">
        <v>107</v>
      </c>
      <c r="E334" s="90">
        <v>1</v>
      </c>
      <c r="F334" s="100">
        <v>15950</v>
      </c>
      <c r="G334" s="100">
        <v>15950</v>
      </c>
    </row>
    <row r="335" spans="1:7" x14ac:dyDescent="0.35">
      <c r="A335" s="90">
        <v>10</v>
      </c>
      <c r="B335" s="90" t="s">
        <v>15</v>
      </c>
      <c r="C335" s="90" t="s">
        <v>285</v>
      </c>
      <c r="D335" s="90" t="s">
        <v>286</v>
      </c>
      <c r="E335" s="90">
        <v>1</v>
      </c>
      <c r="F335" s="100">
        <v>27500</v>
      </c>
      <c r="G335" s="100">
        <v>27500</v>
      </c>
    </row>
    <row r="336" spans="1:7" x14ac:dyDescent="0.35">
      <c r="A336" s="90">
        <v>10</v>
      </c>
      <c r="B336" s="90" t="s">
        <v>15</v>
      </c>
      <c r="C336" s="90" t="s">
        <v>100</v>
      </c>
      <c r="D336" s="90" t="s">
        <v>101</v>
      </c>
      <c r="E336" s="90">
        <v>13</v>
      </c>
      <c r="F336" s="100">
        <v>10000</v>
      </c>
      <c r="G336" s="100">
        <v>130000</v>
      </c>
    </row>
    <row r="337" spans="1:7" x14ac:dyDescent="0.35">
      <c r="A337" s="90">
        <v>10</v>
      </c>
      <c r="B337" s="90" t="s">
        <v>15</v>
      </c>
      <c r="C337" s="90" t="s">
        <v>41</v>
      </c>
      <c r="D337" s="90" t="s">
        <v>42</v>
      </c>
      <c r="E337" s="90">
        <v>8</v>
      </c>
      <c r="F337" s="100">
        <v>2500</v>
      </c>
      <c r="G337" s="100">
        <v>20000</v>
      </c>
    </row>
    <row r="338" spans="1:7" x14ac:dyDescent="0.35">
      <c r="A338" s="90">
        <v>10</v>
      </c>
      <c r="B338" s="90" t="s">
        <v>15</v>
      </c>
      <c r="C338" s="90" t="s">
        <v>37</v>
      </c>
      <c r="D338" s="90" t="s">
        <v>38</v>
      </c>
      <c r="E338" s="90">
        <v>5</v>
      </c>
      <c r="F338" s="100">
        <v>10600</v>
      </c>
      <c r="G338" s="100">
        <v>53000</v>
      </c>
    </row>
    <row r="339" spans="1:7" x14ac:dyDescent="0.35">
      <c r="A339" s="90">
        <v>10</v>
      </c>
      <c r="B339" s="90" t="s">
        <v>15</v>
      </c>
      <c r="C339" s="90" t="s">
        <v>136</v>
      </c>
      <c r="D339" s="90" t="s">
        <v>137</v>
      </c>
      <c r="E339" s="90">
        <v>5</v>
      </c>
      <c r="F339" s="100">
        <v>2100</v>
      </c>
      <c r="G339" s="100">
        <v>10500</v>
      </c>
    </row>
    <row r="340" spans="1:7" x14ac:dyDescent="0.35">
      <c r="A340" s="90">
        <v>10</v>
      </c>
      <c r="B340" s="90" t="s">
        <v>15</v>
      </c>
      <c r="C340" s="90" t="s">
        <v>214</v>
      </c>
      <c r="D340" s="90" t="s">
        <v>215</v>
      </c>
      <c r="E340" s="90">
        <v>25</v>
      </c>
      <c r="F340" s="100">
        <v>2100</v>
      </c>
      <c r="G340" s="100">
        <v>52500</v>
      </c>
    </row>
    <row r="341" spans="1:7" x14ac:dyDescent="0.35">
      <c r="A341" s="90">
        <v>10</v>
      </c>
      <c r="B341" s="90" t="s">
        <v>15</v>
      </c>
      <c r="C341" s="90" t="s">
        <v>124</v>
      </c>
      <c r="D341" s="90" t="s">
        <v>125</v>
      </c>
      <c r="E341" s="90">
        <v>2</v>
      </c>
      <c r="F341" s="100">
        <v>19850</v>
      </c>
      <c r="G341" s="100">
        <v>39700</v>
      </c>
    </row>
    <row r="342" spans="1:7" x14ac:dyDescent="0.35">
      <c r="A342" s="90">
        <v>10</v>
      </c>
      <c r="B342" s="90" t="s">
        <v>15</v>
      </c>
      <c r="C342" s="90" t="s">
        <v>312</v>
      </c>
      <c r="D342" s="90" t="s">
        <v>313</v>
      </c>
      <c r="E342" s="90">
        <v>2</v>
      </c>
      <c r="F342" s="100">
        <v>11400</v>
      </c>
      <c r="G342" s="100">
        <v>22800</v>
      </c>
    </row>
    <row r="343" spans="1:7" x14ac:dyDescent="0.35">
      <c r="A343" s="90">
        <v>10</v>
      </c>
      <c r="B343" s="90" t="s">
        <v>15</v>
      </c>
      <c r="C343" s="90" t="s">
        <v>150</v>
      </c>
      <c r="D343" s="90" t="s">
        <v>151</v>
      </c>
      <c r="E343" s="90">
        <v>200</v>
      </c>
      <c r="F343" s="100">
        <v>440</v>
      </c>
      <c r="G343" s="100">
        <v>88000</v>
      </c>
    </row>
    <row r="344" spans="1:7" x14ac:dyDescent="0.35">
      <c r="A344" s="90">
        <v>10</v>
      </c>
      <c r="B344" s="90" t="s">
        <v>15</v>
      </c>
      <c r="C344" s="90" t="s">
        <v>148</v>
      </c>
      <c r="D344" s="90" t="s">
        <v>149</v>
      </c>
      <c r="E344" s="90">
        <v>400</v>
      </c>
      <c r="F344" s="100">
        <v>440</v>
      </c>
      <c r="G344" s="100">
        <v>176000</v>
      </c>
    </row>
    <row r="345" spans="1:7" x14ac:dyDescent="0.35">
      <c r="A345" s="90">
        <v>10</v>
      </c>
      <c r="B345" s="90" t="s">
        <v>15</v>
      </c>
      <c r="C345" s="90" t="s">
        <v>154</v>
      </c>
      <c r="D345" s="90" t="s">
        <v>155</v>
      </c>
      <c r="E345" s="90">
        <v>200</v>
      </c>
      <c r="F345" s="100">
        <v>270</v>
      </c>
      <c r="G345" s="100">
        <v>54000</v>
      </c>
    </row>
    <row r="346" spans="1:7" x14ac:dyDescent="0.35">
      <c r="A346" s="90">
        <v>10</v>
      </c>
      <c r="B346" s="90" t="s">
        <v>15</v>
      </c>
      <c r="C346" s="90" t="s">
        <v>140</v>
      </c>
      <c r="D346" s="90" t="s">
        <v>413</v>
      </c>
      <c r="E346" s="90">
        <v>1</v>
      </c>
      <c r="F346" s="100">
        <v>30350</v>
      </c>
      <c r="G346" s="100">
        <v>30350</v>
      </c>
    </row>
    <row r="347" spans="1:7" x14ac:dyDescent="0.35">
      <c r="A347" s="90">
        <v>10</v>
      </c>
      <c r="B347" s="90" t="s">
        <v>15</v>
      </c>
      <c r="C347" s="90" t="s">
        <v>152</v>
      </c>
      <c r="D347" s="90" t="s">
        <v>153</v>
      </c>
      <c r="E347" s="90">
        <v>1</v>
      </c>
      <c r="F347" s="100">
        <v>18650</v>
      </c>
      <c r="G347" s="100">
        <v>18650</v>
      </c>
    </row>
    <row r="348" spans="1:7" x14ac:dyDescent="0.35">
      <c r="A348" s="90">
        <v>10</v>
      </c>
      <c r="B348" s="90" t="s">
        <v>15</v>
      </c>
      <c r="C348" s="90" t="s">
        <v>138</v>
      </c>
      <c r="D348" s="90" t="s">
        <v>139</v>
      </c>
      <c r="E348" s="90">
        <v>1</v>
      </c>
      <c r="F348" s="100">
        <v>14600</v>
      </c>
      <c r="G348" s="100">
        <v>14600</v>
      </c>
    </row>
    <row r="349" spans="1:7" x14ac:dyDescent="0.35">
      <c r="A349" s="90">
        <v>10</v>
      </c>
      <c r="B349" s="90" t="s">
        <v>15</v>
      </c>
      <c r="C349" s="90" t="s">
        <v>134</v>
      </c>
      <c r="D349" s="90" t="s">
        <v>135</v>
      </c>
      <c r="E349" s="90">
        <v>13</v>
      </c>
      <c r="F349" s="100">
        <v>15800</v>
      </c>
      <c r="G349" s="100">
        <v>205400</v>
      </c>
    </row>
    <row r="350" spans="1:7" x14ac:dyDescent="0.35">
      <c r="A350" s="90">
        <v>10</v>
      </c>
      <c r="B350" s="90" t="s">
        <v>15</v>
      </c>
      <c r="C350" s="90" t="s">
        <v>132</v>
      </c>
      <c r="D350" s="90" t="s">
        <v>133</v>
      </c>
      <c r="E350" s="90">
        <v>3</v>
      </c>
      <c r="F350" s="100">
        <v>4850</v>
      </c>
      <c r="G350" s="100">
        <v>14550</v>
      </c>
    </row>
    <row r="351" spans="1:7" x14ac:dyDescent="0.35">
      <c r="A351" s="90">
        <v>10</v>
      </c>
      <c r="B351" s="90" t="s">
        <v>15</v>
      </c>
      <c r="C351" s="90" t="s">
        <v>53</v>
      </c>
      <c r="D351" s="90" t="s">
        <v>54</v>
      </c>
      <c r="E351" s="90">
        <v>8</v>
      </c>
      <c r="F351" s="100">
        <v>2400</v>
      </c>
      <c r="G351" s="100">
        <v>19200</v>
      </c>
    </row>
    <row r="352" spans="1:7" x14ac:dyDescent="0.35">
      <c r="A352" s="90">
        <v>10</v>
      </c>
      <c r="B352" s="90" t="s">
        <v>15</v>
      </c>
      <c r="C352" s="90" t="s">
        <v>301</v>
      </c>
      <c r="D352" s="90" t="s">
        <v>302</v>
      </c>
      <c r="E352" s="90">
        <v>3</v>
      </c>
      <c r="F352" s="100">
        <v>5450</v>
      </c>
      <c r="G352" s="100">
        <v>16350</v>
      </c>
    </row>
    <row r="353" spans="1:7" x14ac:dyDescent="0.35">
      <c r="A353" s="90">
        <v>10</v>
      </c>
      <c r="B353" s="90" t="s">
        <v>15</v>
      </c>
      <c r="C353" s="90" t="s">
        <v>299</v>
      </c>
      <c r="D353" s="90" t="s">
        <v>300</v>
      </c>
      <c r="E353" s="90">
        <v>6</v>
      </c>
      <c r="F353" s="100">
        <v>5000</v>
      </c>
      <c r="G353" s="100">
        <v>30000</v>
      </c>
    </row>
    <row r="354" spans="1:7" x14ac:dyDescent="0.35">
      <c r="A354" s="90">
        <v>10</v>
      </c>
      <c r="B354" s="90" t="s">
        <v>15</v>
      </c>
      <c r="C354" s="90" t="s">
        <v>130</v>
      </c>
      <c r="D354" s="90" t="s">
        <v>131</v>
      </c>
      <c r="E354" s="90">
        <v>3</v>
      </c>
      <c r="F354" s="100">
        <v>2750</v>
      </c>
      <c r="G354" s="100">
        <v>8250</v>
      </c>
    </row>
    <row r="355" spans="1:7" x14ac:dyDescent="0.35">
      <c r="A355" s="90">
        <v>10</v>
      </c>
      <c r="B355" s="90" t="s">
        <v>15</v>
      </c>
      <c r="C355" s="90" t="s">
        <v>128</v>
      </c>
      <c r="D355" s="90" t="s">
        <v>129</v>
      </c>
      <c r="E355" s="90">
        <v>1</v>
      </c>
      <c r="F355" s="100">
        <v>7200</v>
      </c>
      <c r="G355" s="100">
        <v>7200</v>
      </c>
    </row>
    <row r="356" spans="1:7" x14ac:dyDescent="0.35">
      <c r="A356" s="90">
        <v>10</v>
      </c>
      <c r="B356" s="90" t="s">
        <v>15</v>
      </c>
      <c r="C356" s="90" t="s">
        <v>120</v>
      </c>
      <c r="D356" s="90" t="s">
        <v>121</v>
      </c>
      <c r="E356" s="90">
        <v>2</v>
      </c>
      <c r="F356" s="100">
        <v>6200</v>
      </c>
      <c r="G356" s="100">
        <v>12400</v>
      </c>
    </row>
    <row r="357" spans="1:7" x14ac:dyDescent="0.35">
      <c r="A357" s="90">
        <v>10</v>
      </c>
      <c r="B357" s="90" t="s">
        <v>15</v>
      </c>
      <c r="C357" s="90" t="s">
        <v>414</v>
      </c>
      <c r="D357" s="90" t="s">
        <v>415</v>
      </c>
      <c r="E357" s="90">
        <v>24</v>
      </c>
      <c r="F357" s="100">
        <v>1400</v>
      </c>
      <c r="G357" s="100">
        <v>33600</v>
      </c>
    </row>
    <row r="358" spans="1:7" x14ac:dyDescent="0.35">
      <c r="A358" s="90">
        <v>10</v>
      </c>
      <c r="B358" s="90" t="s">
        <v>15</v>
      </c>
      <c r="C358" s="90" t="s">
        <v>416</v>
      </c>
      <c r="D358" s="90" t="s">
        <v>417</v>
      </c>
      <c r="E358" s="90">
        <v>1</v>
      </c>
      <c r="F358" s="100">
        <v>34300</v>
      </c>
      <c r="G358" s="100">
        <v>34300</v>
      </c>
    </row>
    <row r="359" spans="1:7" x14ac:dyDescent="0.35">
      <c r="A359" s="90">
        <v>10</v>
      </c>
      <c r="B359" s="90" t="s">
        <v>15</v>
      </c>
      <c r="C359" s="90" t="s">
        <v>122</v>
      </c>
      <c r="D359" s="90" t="s">
        <v>123</v>
      </c>
      <c r="E359" s="90">
        <v>1</v>
      </c>
      <c r="F359" s="100">
        <v>8100</v>
      </c>
      <c r="G359" s="100">
        <v>8100</v>
      </c>
    </row>
    <row r="360" spans="1:7" x14ac:dyDescent="0.35">
      <c r="A360" s="90">
        <v>10</v>
      </c>
      <c r="B360" s="90" t="s">
        <v>15</v>
      </c>
      <c r="C360" s="90" t="s">
        <v>108</v>
      </c>
      <c r="D360" s="90" t="s">
        <v>109</v>
      </c>
      <c r="E360" s="90">
        <v>2</v>
      </c>
      <c r="F360" s="100">
        <v>17250</v>
      </c>
      <c r="G360" s="100">
        <v>34500</v>
      </c>
    </row>
    <row r="361" spans="1:7" x14ac:dyDescent="0.35">
      <c r="A361" s="90">
        <v>10</v>
      </c>
      <c r="B361" s="90" t="s">
        <v>15</v>
      </c>
      <c r="C361" s="90" t="s">
        <v>418</v>
      </c>
      <c r="D361" s="90" t="s">
        <v>419</v>
      </c>
      <c r="E361" s="90">
        <v>80</v>
      </c>
      <c r="F361" s="100">
        <v>1400</v>
      </c>
      <c r="G361" s="100">
        <v>112000</v>
      </c>
    </row>
    <row r="362" spans="1:7" x14ac:dyDescent="0.35">
      <c r="A362" s="90">
        <v>10</v>
      </c>
      <c r="B362" s="90" t="s">
        <v>15</v>
      </c>
      <c r="C362" s="90" t="s">
        <v>186</v>
      </c>
      <c r="D362" s="90" t="s">
        <v>420</v>
      </c>
      <c r="E362" s="90">
        <v>1</v>
      </c>
      <c r="F362" s="100">
        <v>19400</v>
      </c>
      <c r="G362" s="100">
        <v>19400</v>
      </c>
    </row>
    <row r="363" spans="1:7" x14ac:dyDescent="0.35">
      <c r="A363" s="90">
        <v>10</v>
      </c>
      <c r="B363" s="90" t="s">
        <v>15</v>
      </c>
      <c r="C363" s="90" t="s">
        <v>110</v>
      </c>
      <c r="D363" s="90" t="s">
        <v>111</v>
      </c>
      <c r="E363" s="90">
        <v>1</v>
      </c>
      <c r="F363" s="100">
        <v>17500</v>
      </c>
      <c r="G363" s="100">
        <v>17500</v>
      </c>
    </row>
    <row r="364" spans="1:7" x14ac:dyDescent="0.35">
      <c r="A364" s="90">
        <v>10</v>
      </c>
      <c r="B364" s="90" t="s">
        <v>15</v>
      </c>
      <c r="C364" s="90" t="s">
        <v>116</v>
      </c>
      <c r="D364" s="90" t="s">
        <v>117</v>
      </c>
      <c r="E364" s="90">
        <v>5</v>
      </c>
      <c r="F364" s="100">
        <v>2600</v>
      </c>
      <c r="G364" s="100">
        <v>13000</v>
      </c>
    </row>
    <row r="365" spans="1:7" x14ac:dyDescent="0.35">
      <c r="A365" s="90">
        <v>10</v>
      </c>
      <c r="B365" s="90" t="s">
        <v>15</v>
      </c>
      <c r="C365" s="90" t="s">
        <v>421</v>
      </c>
      <c r="D365" s="90" t="s">
        <v>422</v>
      </c>
      <c r="E365" s="90">
        <v>1</v>
      </c>
      <c r="F365" s="100">
        <v>4900</v>
      </c>
      <c r="G365" s="100">
        <v>4900</v>
      </c>
    </row>
    <row r="366" spans="1:7" x14ac:dyDescent="0.35">
      <c r="A366" s="90">
        <v>10</v>
      </c>
      <c r="B366" s="90" t="s">
        <v>15</v>
      </c>
      <c r="C366" s="90" t="s">
        <v>146</v>
      </c>
      <c r="D366" s="90" t="s">
        <v>147</v>
      </c>
      <c r="E366" s="90">
        <v>60</v>
      </c>
      <c r="F366" s="100">
        <v>2000</v>
      </c>
      <c r="G366" s="100">
        <v>120000</v>
      </c>
    </row>
    <row r="367" spans="1:7" x14ac:dyDescent="0.35">
      <c r="A367" s="90">
        <v>10</v>
      </c>
      <c r="B367" s="90" t="s">
        <v>10</v>
      </c>
      <c r="C367" s="90" t="s">
        <v>188</v>
      </c>
      <c r="D367" s="90" t="s">
        <v>266</v>
      </c>
      <c r="E367" s="90">
        <v>24.7</v>
      </c>
      <c r="F367" s="100">
        <v>18500</v>
      </c>
      <c r="G367" s="100">
        <v>456950</v>
      </c>
    </row>
    <row r="368" spans="1:7" x14ac:dyDescent="0.35">
      <c r="A368" s="90">
        <v>10</v>
      </c>
      <c r="B368" s="90" t="s">
        <v>7</v>
      </c>
      <c r="C368" s="90" t="s">
        <v>423</v>
      </c>
      <c r="D368" s="90" t="s">
        <v>424</v>
      </c>
      <c r="E368" s="90">
        <v>1</v>
      </c>
      <c r="F368" s="100">
        <v>72000</v>
      </c>
      <c r="G368" s="100">
        <v>72000</v>
      </c>
    </row>
    <row r="369" spans="1:7" x14ac:dyDescent="0.35">
      <c r="A369" s="90">
        <v>10</v>
      </c>
      <c r="B369" s="90" t="s">
        <v>18</v>
      </c>
      <c r="C369" s="90" t="s">
        <v>169</v>
      </c>
      <c r="D369" s="90" t="s">
        <v>170</v>
      </c>
      <c r="E369" s="90">
        <v>8</v>
      </c>
      <c r="F369" s="100">
        <v>15546.25</v>
      </c>
      <c r="G369" s="100">
        <v>124370</v>
      </c>
    </row>
    <row r="370" spans="1:7" x14ac:dyDescent="0.35">
      <c r="A370" s="90">
        <v>10</v>
      </c>
      <c r="B370" s="90" t="s">
        <v>10</v>
      </c>
      <c r="C370" s="90" t="s">
        <v>171</v>
      </c>
      <c r="D370" s="90" t="s">
        <v>172</v>
      </c>
      <c r="E370" s="90">
        <v>151.94999999999999</v>
      </c>
      <c r="F370" s="100">
        <v>21900</v>
      </c>
      <c r="G370" s="100">
        <v>3327705</v>
      </c>
    </row>
    <row r="371" spans="1:7" x14ac:dyDescent="0.35">
      <c r="A371" s="90">
        <v>10</v>
      </c>
      <c r="B371" s="90" t="s">
        <v>10</v>
      </c>
      <c r="C371" s="90" t="s">
        <v>352</v>
      </c>
      <c r="D371" s="90" t="s">
        <v>353</v>
      </c>
      <c r="E371" s="90">
        <v>27.1</v>
      </c>
      <c r="F371" s="100">
        <v>26900</v>
      </c>
      <c r="G371" s="100">
        <v>728990</v>
      </c>
    </row>
    <row r="372" spans="1:7" x14ac:dyDescent="0.35">
      <c r="A372" s="90">
        <v>10</v>
      </c>
      <c r="B372" s="90" t="s">
        <v>10</v>
      </c>
      <c r="C372" s="90" t="s">
        <v>162</v>
      </c>
      <c r="D372" s="90" t="s">
        <v>425</v>
      </c>
      <c r="E372" s="90">
        <v>20.2</v>
      </c>
      <c r="F372" s="100">
        <v>22900</v>
      </c>
      <c r="G372" s="100">
        <v>462580</v>
      </c>
    </row>
    <row r="373" spans="1:7" x14ac:dyDescent="0.35">
      <c r="A373" s="90">
        <v>10</v>
      </c>
      <c r="B373" s="90" t="s">
        <v>10</v>
      </c>
      <c r="C373" s="90" t="s">
        <v>426</v>
      </c>
      <c r="D373" s="90" t="s">
        <v>427</v>
      </c>
      <c r="E373" s="90">
        <v>15.5</v>
      </c>
      <c r="F373" s="100">
        <v>44000</v>
      </c>
      <c r="G373" s="100">
        <v>682000</v>
      </c>
    </row>
    <row r="374" spans="1:7" x14ac:dyDescent="0.35">
      <c r="A374" s="90">
        <v>10</v>
      </c>
      <c r="B374" s="90" t="s">
        <v>57</v>
      </c>
      <c r="C374" s="90" t="s">
        <v>60</v>
      </c>
      <c r="D374" s="90" t="s">
        <v>61</v>
      </c>
      <c r="E374" s="90">
        <v>3</v>
      </c>
      <c r="F374" s="100">
        <v>5000</v>
      </c>
      <c r="G374" s="100">
        <v>15000</v>
      </c>
    </row>
    <row r="375" spans="1:7" x14ac:dyDescent="0.35">
      <c r="A375" s="90">
        <v>10</v>
      </c>
      <c r="B375" s="90" t="s">
        <v>10</v>
      </c>
      <c r="C375" s="90" t="s">
        <v>428</v>
      </c>
      <c r="D375" s="90" t="s">
        <v>429</v>
      </c>
      <c r="E375" s="90">
        <v>14.5</v>
      </c>
      <c r="F375" s="100">
        <v>44000</v>
      </c>
      <c r="G375" s="100">
        <v>638000</v>
      </c>
    </row>
    <row r="376" spans="1:7" x14ac:dyDescent="0.35">
      <c r="A376" s="97">
        <v>10</v>
      </c>
      <c r="B376" s="97" t="s">
        <v>57</v>
      </c>
      <c r="C376" s="97" t="s">
        <v>158</v>
      </c>
      <c r="D376" s="97" t="s">
        <v>430</v>
      </c>
      <c r="E376" s="97">
        <v>1</v>
      </c>
      <c r="F376" s="101">
        <v>-42269</v>
      </c>
      <c r="G376" s="101">
        <v>-42269</v>
      </c>
    </row>
    <row r="377" spans="1:7" x14ac:dyDescent="0.35">
      <c r="A377" s="90">
        <v>11</v>
      </c>
      <c r="B377" s="90" t="s">
        <v>57</v>
      </c>
      <c r="C377" s="90" t="s">
        <v>431</v>
      </c>
      <c r="D377" s="90" t="s">
        <v>432</v>
      </c>
      <c r="E377" s="90">
        <v>1</v>
      </c>
      <c r="F377" s="100">
        <v>74500</v>
      </c>
      <c r="G377" s="100">
        <v>74500</v>
      </c>
    </row>
    <row r="378" spans="1:7" x14ac:dyDescent="0.35">
      <c r="A378" s="90">
        <v>11</v>
      </c>
      <c r="B378" s="90" t="s">
        <v>57</v>
      </c>
      <c r="C378" s="90" t="s">
        <v>433</v>
      </c>
      <c r="D378" s="90" t="s">
        <v>434</v>
      </c>
      <c r="E378" s="90">
        <v>1</v>
      </c>
      <c r="F378" s="100">
        <v>75500</v>
      </c>
      <c r="G378" s="100">
        <v>75500</v>
      </c>
    </row>
    <row r="379" spans="1:7" x14ac:dyDescent="0.35">
      <c r="A379" s="90">
        <v>11</v>
      </c>
      <c r="B379" s="90" t="s">
        <v>57</v>
      </c>
      <c r="C379" s="90" t="s">
        <v>435</v>
      </c>
      <c r="D379" s="90" t="s">
        <v>436</v>
      </c>
      <c r="E379" s="90">
        <v>1</v>
      </c>
      <c r="F379" s="100">
        <v>77500</v>
      </c>
      <c r="G379" s="100">
        <v>77500</v>
      </c>
    </row>
    <row r="380" spans="1:7" x14ac:dyDescent="0.35">
      <c r="A380" s="90">
        <v>11</v>
      </c>
      <c r="B380" s="90" t="s">
        <v>57</v>
      </c>
      <c r="C380" s="90" t="s">
        <v>437</v>
      </c>
      <c r="D380" s="90" t="s">
        <v>438</v>
      </c>
      <c r="E380" s="90">
        <v>1</v>
      </c>
      <c r="F380" s="100">
        <v>93000</v>
      </c>
      <c r="G380" s="100">
        <v>93000</v>
      </c>
    </row>
    <row r="381" spans="1:7" x14ac:dyDescent="0.35">
      <c r="A381" s="90">
        <v>11</v>
      </c>
      <c r="B381" s="90" t="s">
        <v>57</v>
      </c>
      <c r="C381" s="90" t="s">
        <v>439</v>
      </c>
      <c r="D381" s="90" t="s">
        <v>440</v>
      </c>
      <c r="E381" s="90">
        <v>1</v>
      </c>
      <c r="F381" s="100">
        <v>92200</v>
      </c>
      <c r="G381" s="100">
        <v>92200</v>
      </c>
    </row>
    <row r="382" spans="1:7" x14ac:dyDescent="0.35">
      <c r="A382" s="90">
        <v>11</v>
      </c>
      <c r="B382" s="90" t="s">
        <v>57</v>
      </c>
      <c r="C382" s="90" t="s">
        <v>437</v>
      </c>
      <c r="D382" s="90" t="s">
        <v>441</v>
      </c>
      <c r="E382" s="90">
        <v>1</v>
      </c>
      <c r="F382" s="100">
        <v>74500</v>
      </c>
      <c r="G382" s="100">
        <v>74500</v>
      </c>
    </row>
    <row r="383" spans="1:7" x14ac:dyDescent="0.35">
      <c r="A383" s="90">
        <v>11</v>
      </c>
      <c r="B383" s="90" t="s">
        <v>57</v>
      </c>
      <c r="C383" s="90" t="s">
        <v>442</v>
      </c>
      <c r="D383" s="90" t="s">
        <v>443</v>
      </c>
      <c r="E383" s="90">
        <v>1</v>
      </c>
      <c r="F383" s="100">
        <v>69700</v>
      </c>
      <c r="G383" s="100">
        <v>69700</v>
      </c>
    </row>
    <row r="384" spans="1:7" x14ac:dyDescent="0.35">
      <c r="A384" s="90">
        <v>11</v>
      </c>
      <c r="B384" s="90" t="s">
        <v>57</v>
      </c>
      <c r="C384" s="90" t="s">
        <v>444</v>
      </c>
      <c r="D384" s="90" t="s">
        <v>445</v>
      </c>
      <c r="E384" s="90">
        <v>1</v>
      </c>
      <c r="F384" s="100">
        <v>60900</v>
      </c>
      <c r="G384" s="100">
        <v>60900</v>
      </c>
    </row>
    <row r="385" spans="1:7" x14ac:dyDescent="0.35">
      <c r="A385" s="90">
        <v>11</v>
      </c>
      <c r="B385" s="90" t="s">
        <v>18</v>
      </c>
      <c r="C385" s="90" t="s">
        <v>30</v>
      </c>
      <c r="D385" s="90" t="s">
        <v>181</v>
      </c>
      <c r="E385" s="90">
        <v>13</v>
      </c>
      <c r="F385" s="100">
        <v>6800</v>
      </c>
      <c r="G385" s="100">
        <v>88400</v>
      </c>
    </row>
    <row r="386" spans="1:7" x14ac:dyDescent="0.35">
      <c r="A386" s="90">
        <v>11</v>
      </c>
      <c r="B386" s="90" t="s">
        <v>57</v>
      </c>
      <c r="C386" s="90" t="s">
        <v>446</v>
      </c>
      <c r="D386" s="90" t="s">
        <v>447</v>
      </c>
      <c r="E386" s="90">
        <v>2</v>
      </c>
      <c r="F386" s="100">
        <v>5000</v>
      </c>
      <c r="G386" s="100">
        <v>10000</v>
      </c>
    </row>
    <row r="387" spans="1:7" x14ac:dyDescent="0.35">
      <c r="A387" s="90">
        <v>11</v>
      </c>
      <c r="B387" s="90" t="s">
        <v>57</v>
      </c>
      <c r="C387" s="90" t="s">
        <v>60</v>
      </c>
      <c r="D387" s="90" t="s">
        <v>179</v>
      </c>
      <c r="E387" s="90">
        <v>2</v>
      </c>
      <c r="F387" s="100">
        <v>9500</v>
      </c>
      <c r="G387" s="100">
        <v>19000</v>
      </c>
    </row>
    <row r="388" spans="1:7" x14ac:dyDescent="0.35">
      <c r="A388" s="90">
        <v>11</v>
      </c>
      <c r="B388" s="90" t="s">
        <v>15</v>
      </c>
      <c r="C388" s="90" t="s">
        <v>34</v>
      </c>
      <c r="D388" s="90" t="s">
        <v>34</v>
      </c>
      <c r="E388" s="90">
        <v>1</v>
      </c>
      <c r="F388" s="100">
        <v>25000</v>
      </c>
      <c r="G388" s="100">
        <v>25000</v>
      </c>
    </row>
    <row r="389" spans="1:7" x14ac:dyDescent="0.35">
      <c r="A389" s="90">
        <v>11</v>
      </c>
      <c r="B389" s="90" t="s">
        <v>21</v>
      </c>
      <c r="C389" s="90" t="s">
        <v>202</v>
      </c>
      <c r="D389" s="90" t="s">
        <v>448</v>
      </c>
      <c r="E389" s="90">
        <v>1200</v>
      </c>
      <c r="F389" s="100">
        <v>150</v>
      </c>
      <c r="G389" s="100">
        <v>180000</v>
      </c>
    </row>
    <row r="390" spans="1:7" x14ac:dyDescent="0.35">
      <c r="A390" s="90">
        <v>11</v>
      </c>
      <c r="B390" s="90" t="s">
        <v>10</v>
      </c>
      <c r="C390" s="90" t="s">
        <v>449</v>
      </c>
      <c r="D390" s="90" t="s">
        <v>450</v>
      </c>
      <c r="E390" s="90">
        <v>5</v>
      </c>
      <c r="F390" s="100">
        <v>20000</v>
      </c>
      <c r="G390" s="100">
        <v>100000</v>
      </c>
    </row>
    <row r="391" spans="1:7" x14ac:dyDescent="0.35">
      <c r="A391" s="90">
        <v>11</v>
      </c>
      <c r="B391" s="90" t="s">
        <v>10</v>
      </c>
      <c r="C391" s="90" t="s">
        <v>451</v>
      </c>
      <c r="D391" s="90" t="s">
        <v>452</v>
      </c>
      <c r="E391" s="90">
        <v>8.07</v>
      </c>
      <c r="F391" s="100">
        <v>34000</v>
      </c>
      <c r="G391" s="100">
        <v>274380</v>
      </c>
    </row>
    <row r="392" spans="1:7" x14ac:dyDescent="0.35">
      <c r="A392" s="90">
        <v>11</v>
      </c>
      <c r="B392" s="90" t="s">
        <v>57</v>
      </c>
      <c r="C392" s="90" t="s">
        <v>58</v>
      </c>
      <c r="D392" s="90" t="s">
        <v>59</v>
      </c>
      <c r="E392" s="90">
        <v>2</v>
      </c>
      <c r="F392" s="100">
        <v>9500</v>
      </c>
      <c r="G392" s="100">
        <v>19000</v>
      </c>
    </row>
    <row r="393" spans="1:7" x14ac:dyDescent="0.35">
      <c r="A393" s="90">
        <v>11</v>
      </c>
      <c r="B393" s="90" t="s">
        <v>57</v>
      </c>
      <c r="C393" s="90" t="s">
        <v>60</v>
      </c>
      <c r="D393" s="90" t="s">
        <v>61</v>
      </c>
      <c r="E393" s="90">
        <v>2</v>
      </c>
      <c r="F393" s="100">
        <v>5000</v>
      </c>
      <c r="G393" s="100">
        <v>10000</v>
      </c>
    </row>
    <row r="394" spans="1:7" x14ac:dyDescent="0.35">
      <c r="A394" s="90">
        <v>11</v>
      </c>
      <c r="B394" s="90" t="s">
        <v>10</v>
      </c>
      <c r="C394" s="90" t="s">
        <v>271</v>
      </c>
      <c r="D394" s="90" t="s">
        <v>389</v>
      </c>
      <c r="E394" s="90">
        <v>20.85</v>
      </c>
      <c r="F394" s="100">
        <v>20000</v>
      </c>
      <c r="G394" s="100">
        <v>417000</v>
      </c>
    </row>
    <row r="395" spans="1:7" x14ac:dyDescent="0.35">
      <c r="A395" s="90">
        <v>11</v>
      </c>
      <c r="B395" s="90" t="s">
        <v>57</v>
      </c>
      <c r="C395" s="90" t="s">
        <v>240</v>
      </c>
      <c r="D395" s="90" t="s">
        <v>242</v>
      </c>
      <c r="E395" s="90">
        <v>15</v>
      </c>
      <c r="F395" s="100">
        <v>1450.98</v>
      </c>
      <c r="G395" s="100">
        <v>21764.7</v>
      </c>
    </row>
    <row r="396" spans="1:7" x14ac:dyDescent="0.35">
      <c r="A396" s="90">
        <v>11</v>
      </c>
      <c r="B396" s="90" t="s">
        <v>57</v>
      </c>
      <c r="C396" s="90" t="s">
        <v>246</v>
      </c>
      <c r="D396" s="90" t="s">
        <v>453</v>
      </c>
      <c r="E396" s="90">
        <v>15</v>
      </c>
      <c r="F396" s="100">
        <v>1450.98</v>
      </c>
      <c r="G396" s="100">
        <v>21764.7</v>
      </c>
    </row>
    <row r="397" spans="1:7" x14ac:dyDescent="0.35">
      <c r="A397" s="90">
        <v>11</v>
      </c>
      <c r="B397" s="90" t="s">
        <v>57</v>
      </c>
      <c r="C397" s="90" t="s">
        <v>227</v>
      </c>
      <c r="D397" s="90" t="s">
        <v>228</v>
      </c>
      <c r="E397" s="90">
        <v>6</v>
      </c>
      <c r="F397" s="100">
        <v>2731.09</v>
      </c>
      <c r="G397" s="100">
        <v>16386.54</v>
      </c>
    </row>
    <row r="398" spans="1:7" x14ac:dyDescent="0.35">
      <c r="A398" s="90">
        <v>11</v>
      </c>
      <c r="B398" s="90" t="s">
        <v>57</v>
      </c>
      <c r="C398" s="90" t="s">
        <v>227</v>
      </c>
      <c r="D398" s="90" t="s">
        <v>239</v>
      </c>
      <c r="E398" s="90">
        <v>12</v>
      </c>
      <c r="F398" s="100">
        <v>2731.09</v>
      </c>
      <c r="G398" s="100">
        <v>32773.08</v>
      </c>
    </row>
    <row r="399" spans="1:7" x14ac:dyDescent="0.35">
      <c r="A399" s="90">
        <v>11</v>
      </c>
      <c r="B399" s="90" t="s">
        <v>21</v>
      </c>
      <c r="C399" s="90" t="s">
        <v>217</v>
      </c>
      <c r="D399" s="90" t="s">
        <v>218</v>
      </c>
      <c r="E399" s="90">
        <v>3</v>
      </c>
      <c r="F399" s="100">
        <v>252000</v>
      </c>
      <c r="G399" s="100">
        <v>756000</v>
      </c>
    </row>
    <row r="400" spans="1:7" x14ac:dyDescent="0.35">
      <c r="A400" s="90">
        <v>11</v>
      </c>
      <c r="B400" s="90" t="s">
        <v>21</v>
      </c>
      <c r="C400" s="90" t="s">
        <v>454</v>
      </c>
      <c r="D400" s="90" t="s">
        <v>455</v>
      </c>
      <c r="E400" s="90">
        <v>1</v>
      </c>
      <c r="F400" s="100">
        <v>160000</v>
      </c>
      <c r="G400" s="100">
        <v>160000</v>
      </c>
    </row>
    <row r="401" spans="1:7" x14ac:dyDescent="0.35">
      <c r="A401" s="90">
        <v>11</v>
      </c>
      <c r="B401" s="90" t="s">
        <v>21</v>
      </c>
      <c r="C401" s="90" t="s">
        <v>221</v>
      </c>
      <c r="D401" s="90" t="s">
        <v>456</v>
      </c>
      <c r="E401" s="90">
        <v>3</v>
      </c>
      <c r="F401" s="100">
        <v>102000</v>
      </c>
      <c r="G401" s="100">
        <v>306000</v>
      </c>
    </row>
    <row r="402" spans="1:7" x14ac:dyDescent="0.35">
      <c r="A402" s="90">
        <v>11</v>
      </c>
      <c r="B402" s="90" t="s">
        <v>57</v>
      </c>
      <c r="C402" s="90" t="s">
        <v>223</v>
      </c>
      <c r="D402" s="90" t="s">
        <v>457</v>
      </c>
      <c r="E402" s="90">
        <v>8</v>
      </c>
      <c r="F402" s="100">
        <v>1820.73</v>
      </c>
      <c r="G402" s="100">
        <v>14565.84</v>
      </c>
    </row>
    <row r="403" spans="1:7" x14ac:dyDescent="0.35">
      <c r="A403" s="90">
        <v>11</v>
      </c>
      <c r="B403" s="90" t="s">
        <v>57</v>
      </c>
      <c r="C403" s="90" t="s">
        <v>223</v>
      </c>
      <c r="D403" s="90" t="s">
        <v>225</v>
      </c>
      <c r="E403" s="90">
        <v>7</v>
      </c>
      <c r="F403" s="100">
        <v>1820.73</v>
      </c>
      <c r="G403" s="100">
        <v>12745.11</v>
      </c>
    </row>
    <row r="404" spans="1:7" x14ac:dyDescent="0.35">
      <c r="A404" s="90">
        <v>11</v>
      </c>
      <c r="B404" s="90" t="s">
        <v>57</v>
      </c>
      <c r="C404" s="90" t="s">
        <v>235</v>
      </c>
      <c r="D404" s="90" t="s">
        <v>458</v>
      </c>
      <c r="E404" s="90">
        <v>60</v>
      </c>
      <c r="F404" s="100">
        <v>1916.67</v>
      </c>
      <c r="G404" s="100">
        <v>115000.2</v>
      </c>
    </row>
    <row r="405" spans="1:7" x14ac:dyDescent="0.35">
      <c r="A405" s="90">
        <v>11</v>
      </c>
      <c r="B405" s="90" t="s">
        <v>10</v>
      </c>
      <c r="C405" s="90" t="s">
        <v>271</v>
      </c>
      <c r="D405" s="90" t="s">
        <v>459</v>
      </c>
      <c r="E405" s="90">
        <v>20</v>
      </c>
      <c r="F405" s="100">
        <v>19900</v>
      </c>
      <c r="G405" s="100">
        <v>398000</v>
      </c>
    </row>
    <row r="406" spans="1:7" x14ac:dyDescent="0.35">
      <c r="A406" s="90">
        <v>11</v>
      </c>
      <c r="B406" s="90" t="s">
        <v>57</v>
      </c>
      <c r="C406" s="90" t="s">
        <v>227</v>
      </c>
      <c r="D406" s="90" t="s">
        <v>229</v>
      </c>
      <c r="E406" s="90">
        <v>6</v>
      </c>
      <c r="F406" s="100">
        <v>2731.09</v>
      </c>
      <c r="G406" s="100">
        <v>16386.54</v>
      </c>
    </row>
    <row r="407" spans="1:7" x14ac:dyDescent="0.35">
      <c r="A407" s="90">
        <v>11</v>
      </c>
      <c r="B407" s="90" t="s">
        <v>57</v>
      </c>
      <c r="C407" s="90" t="s">
        <v>223</v>
      </c>
      <c r="D407" s="90" t="s">
        <v>226</v>
      </c>
      <c r="E407" s="90">
        <v>15</v>
      </c>
      <c r="F407" s="100">
        <v>1820.73</v>
      </c>
      <c r="G407" s="100">
        <v>27310.95</v>
      </c>
    </row>
    <row r="408" spans="1:7" x14ac:dyDescent="0.35">
      <c r="A408" s="90">
        <v>12</v>
      </c>
      <c r="B408" s="90" t="s">
        <v>18</v>
      </c>
      <c r="C408" s="90" t="s">
        <v>30</v>
      </c>
      <c r="D408" s="90" t="s">
        <v>460</v>
      </c>
      <c r="E408" s="90">
        <v>1</v>
      </c>
      <c r="F408" s="100">
        <v>160000</v>
      </c>
      <c r="G408" s="100">
        <v>160000</v>
      </c>
    </row>
    <row r="409" spans="1:7" x14ac:dyDescent="0.35">
      <c r="A409" s="90">
        <v>12</v>
      </c>
      <c r="B409" s="90" t="s">
        <v>57</v>
      </c>
      <c r="C409" s="90" t="s">
        <v>58</v>
      </c>
      <c r="D409" s="90" t="s">
        <v>59</v>
      </c>
      <c r="E409" s="90">
        <v>2</v>
      </c>
      <c r="F409" s="100">
        <v>9500</v>
      </c>
      <c r="G409" s="100">
        <v>19000</v>
      </c>
    </row>
    <row r="410" spans="1:7" x14ac:dyDescent="0.35">
      <c r="A410" s="90">
        <v>12</v>
      </c>
      <c r="B410" s="90" t="s">
        <v>57</v>
      </c>
      <c r="C410" s="90" t="s">
        <v>60</v>
      </c>
      <c r="D410" s="90" t="s">
        <v>179</v>
      </c>
      <c r="E410" s="90">
        <v>3</v>
      </c>
      <c r="F410" s="100">
        <v>5000</v>
      </c>
      <c r="G410" s="100">
        <v>15000</v>
      </c>
    </row>
    <row r="411" spans="1:7" x14ac:dyDescent="0.35">
      <c r="A411" s="90">
        <v>12</v>
      </c>
      <c r="B411" s="90" t="s">
        <v>7</v>
      </c>
      <c r="C411" s="90" t="s">
        <v>259</v>
      </c>
      <c r="D411" s="90" t="s">
        <v>461</v>
      </c>
      <c r="E411" s="90">
        <v>15</v>
      </c>
      <c r="F411" s="100">
        <v>12900</v>
      </c>
      <c r="G411" s="100">
        <v>193500</v>
      </c>
    </row>
    <row r="412" spans="1:7" x14ac:dyDescent="0.35">
      <c r="A412" s="90">
        <v>12</v>
      </c>
      <c r="B412" s="90" t="s">
        <v>10</v>
      </c>
      <c r="C412" s="90" t="s">
        <v>252</v>
      </c>
      <c r="D412" s="90" t="s">
        <v>462</v>
      </c>
      <c r="E412" s="90">
        <v>7.77</v>
      </c>
      <c r="F412" s="100">
        <v>9700</v>
      </c>
      <c r="G412" s="100">
        <v>75370</v>
      </c>
    </row>
    <row r="413" spans="1:7" x14ac:dyDescent="0.35">
      <c r="A413" s="90">
        <v>12</v>
      </c>
      <c r="B413" s="90" t="s">
        <v>10</v>
      </c>
      <c r="C413" s="90" t="s">
        <v>252</v>
      </c>
      <c r="D413" s="90" t="s">
        <v>462</v>
      </c>
      <c r="E413" s="90">
        <v>4.0419999999999998</v>
      </c>
      <c r="F413" s="100">
        <v>9700</v>
      </c>
      <c r="G413" s="100">
        <v>39207</v>
      </c>
    </row>
    <row r="414" spans="1:7" x14ac:dyDescent="0.35">
      <c r="A414" s="90">
        <v>12</v>
      </c>
      <c r="B414" s="90" t="s">
        <v>18</v>
      </c>
      <c r="C414" s="90" t="s">
        <v>30</v>
      </c>
      <c r="D414" s="90" t="s">
        <v>463</v>
      </c>
      <c r="E414" s="90">
        <v>2</v>
      </c>
      <c r="F414" s="100">
        <v>7950</v>
      </c>
      <c r="G414" s="100">
        <v>15900</v>
      </c>
    </row>
    <row r="415" spans="1:7" x14ac:dyDescent="0.35">
      <c r="A415" s="90">
        <v>12</v>
      </c>
      <c r="B415" s="90" t="s">
        <v>57</v>
      </c>
      <c r="C415" s="90" t="s">
        <v>58</v>
      </c>
      <c r="D415" s="90" t="s">
        <v>59</v>
      </c>
      <c r="E415" s="90">
        <v>2</v>
      </c>
      <c r="F415" s="100">
        <v>9500</v>
      </c>
      <c r="G415" s="100">
        <v>19000</v>
      </c>
    </row>
    <row r="416" spans="1:7" x14ac:dyDescent="0.35">
      <c r="A416" s="90">
        <v>12</v>
      </c>
      <c r="B416" s="90" t="s">
        <v>57</v>
      </c>
      <c r="C416" s="90" t="s">
        <v>60</v>
      </c>
      <c r="D416" s="90" t="s">
        <v>61</v>
      </c>
      <c r="E416" s="90">
        <v>2</v>
      </c>
      <c r="F416" s="100">
        <v>5000</v>
      </c>
      <c r="G416" s="100">
        <v>10000</v>
      </c>
    </row>
    <row r="417" spans="1:7" x14ac:dyDescent="0.35">
      <c r="A417" s="90">
        <v>13</v>
      </c>
      <c r="B417" s="90" t="s">
        <v>7</v>
      </c>
      <c r="C417" s="90" t="s">
        <v>8</v>
      </c>
      <c r="D417" s="90" t="s">
        <v>464</v>
      </c>
      <c r="E417" s="90">
        <v>1</v>
      </c>
      <c r="F417" s="100">
        <v>33000</v>
      </c>
      <c r="G417" s="100">
        <v>33000</v>
      </c>
    </row>
    <row r="418" spans="1:7" x14ac:dyDescent="0.35">
      <c r="A418" s="90">
        <v>13</v>
      </c>
      <c r="B418" s="90" t="s">
        <v>18</v>
      </c>
      <c r="C418" s="90" t="s">
        <v>207</v>
      </c>
      <c r="D418" s="90" t="s">
        <v>208</v>
      </c>
      <c r="E418" s="90">
        <v>10</v>
      </c>
      <c r="F418" s="100">
        <v>4500</v>
      </c>
      <c r="G418" s="100">
        <v>45000</v>
      </c>
    </row>
    <row r="419" spans="1:7" x14ac:dyDescent="0.35">
      <c r="A419" s="90">
        <v>13</v>
      </c>
      <c r="B419" s="90" t="s">
        <v>15</v>
      </c>
      <c r="C419" s="90" t="s">
        <v>34</v>
      </c>
      <c r="D419" s="90" t="s">
        <v>465</v>
      </c>
      <c r="E419" s="90">
        <v>1</v>
      </c>
      <c r="F419" s="100">
        <v>25000</v>
      </c>
      <c r="G419" s="100">
        <v>25000</v>
      </c>
    </row>
    <row r="420" spans="1:7" x14ac:dyDescent="0.35">
      <c r="A420" s="90">
        <v>13</v>
      </c>
      <c r="B420" s="90" t="s">
        <v>18</v>
      </c>
      <c r="C420" s="90" t="s">
        <v>30</v>
      </c>
      <c r="D420" s="90" t="s">
        <v>460</v>
      </c>
      <c r="E420" s="90">
        <v>1</v>
      </c>
      <c r="F420" s="100">
        <v>160000</v>
      </c>
      <c r="G420" s="100">
        <v>160000</v>
      </c>
    </row>
    <row r="421" spans="1:7" x14ac:dyDescent="0.35">
      <c r="A421" s="90">
        <v>13</v>
      </c>
      <c r="B421" s="90" t="s">
        <v>21</v>
      </c>
      <c r="C421" s="90" t="s">
        <v>27</v>
      </c>
      <c r="D421" s="90" t="s">
        <v>28</v>
      </c>
      <c r="E421" s="90">
        <v>1</v>
      </c>
      <c r="F421" s="100">
        <v>13500</v>
      </c>
      <c r="G421" s="100">
        <v>13500</v>
      </c>
    </row>
    <row r="422" spans="1:7" x14ac:dyDescent="0.35">
      <c r="A422" s="90">
        <v>13</v>
      </c>
      <c r="B422" s="90" t="s">
        <v>7</v>
      </c>
      <c r="C422" s="90" t="s">
        <v>8</v>
      </c>
      <c r="D422" s="90" t="s">
        <v>466</v>
      </c>
      <c r="E422" s="90">
        <v>2</v>
      </c>
      <c r="F422" s="100">
        <v>66000</v>
      </c>
      <c r="G422" s="100">
        <v>132000</v>
      </c>
    </row>
    <row r="423" spans="1:7" x14ac:dyDescent="0.35">
      <c r="A423" s="90">
        <v>13</v>
      </c>
      <c r="B423" s="90" t="s">
        <v>18</v>
      </c>
      <c r="C423" s="90" t="s">
        <v>330</v>
      </c>
      <c r="D423" s="90" t="s">
        <v>467</v>
      </c>
      <c r="E423" s="90">
        <v>70</v>
      </c>
      <c r="F423" s="100">
        <v>2000</v>
      </c>
      <c r="G423" s="100">
        <v>140000</v>
      </c>
    </row>
    <row r="424" spans="1:7" x14ac:dyDescent="0.35">
      <c r="A424" s="90">
        <v>13</v>
      </c>
      <c r="B424" s="90" t="s">
        <v>18</v>
      </c>
      <c r="C424" s="90" t="s">
        <v>468</v>
      </c>
      <c r="D424" s="90" t="s">
        <v>469</v>
      </c>
      <c r="E424" s="90">
        <v>2.9</v>
      </c>
      <c r="F424" s="100">
        <v>3500</v>
      </c>
      <c r="G424" s="100">
        <v>10150</v>
      </c>
    </row>
    <row r="425" spans="1:7" x14ac:dyDescent="0.35">
      <c r="A425" s="90">
        <v>13</v>
      </c>
      <c r="B425" s="90" t="s">
        <v>18</v>
      </c>
      <c r="C425" s="90" t="s">
        <v>470</v>
      </c>
      <c r="D425" s="90" t="s">
        <v>471</v>
      </c>
      <c r="E425" s="90">
        <v>2.8</v>
      </c>
      <c r="F425" s="100">
        <v>14000</v>
      </c>
      <c r="G425" s="100">
        <v>39200</v>
      </c>
    </row>
    <row r="426" spans="1:7" x14ac:dyDescent="0.35">
      <c r="A426" s="90">
        <v>13</v>
      </c>
      <c r="B426" s="90" t="s">
        <v>18</v>
      </c>
      <c r="C426" s="90" t="s">
        <v>472</v>
      </c>
      <c r="D426" s="90" t="s">
        <v>473</v>
      </c>
      <c r="E426" s="90">
        <v>1.4</v>
      </c>
      <c r="F426" s="100">
        <v>2500</v>
      </c>
      <c r="G426" s="100">
        <v>3500</v>
      </c>
    </row>
    <row r="427" spans="1:7" x14ac:dyDescent="0.35">
      <c r="A427" s="90">
        <v>13</v>
      </c>
      <c r="B427" s="90" t="s">
        <v>18</v>
      </c>
      <c r="C427" s="90" t="s">
        <v>328</v>
      </c>
      <c r="D427" s="90" t="s">
        <v>474</v>
      </c>
      <c r="E427" s="90">
        <v>5.8</v>
      </c>
      <c r="F427" s="100">
        <v>3500</v>
      </c>
      <c r="G427" s="100">
        <v>20300</v>
      </c>
    </row>
    <row r="428" spans="1:7" x14ac:dyDescent="0.35">
      <c r="A428" s="90">
        <v>13</v>
      </c>
      <c r="B428" s="90" t="s">
        <v>18</v>
      </c>
      <c r="C428" s="90" t="s">
        <v>334</v>
      </c>
      <c r="D428" s="90" t="s">
        <v>475</v>
      </c>
      <c r="E428" s="90">
        <v>4.9000000000000004</v>
      </c>
      <c r="F428" s="100">
        <v>3500</v>
      </c>
      <c r="G428" s="100">
        <v>17150</v>
      </c>
    </row>
    <row r="429" spans="1:7" x14ac:dyDescent="0.35">
      <c r="A429" s="90">
        <v>13</v>
      </c>
      <c r="B429" s="90" t="s">
        <v>18</v>
      </c>
      <c r="C429" s="90" t="s">
        <v>476</v>
      </c>
      <c r="D429" s="90" t="s">
        <v>477</v>
      </c>
      <c r="E429" s="90">
        <v>4.8</v>
      </c>
      <c r="F429" s="100">
        <v>9000</v>
      </c>
      <c r="G429" s="100">
        <v>43200</v>
      </c>
    </row>
    <row r="430" spans="1:7" x14ac:dyDescent="0.35">
      <c r="A430" s="90">
        <v>13</v>
      </c>
      <c r="B430" s="90" t="s">
        <v>18</v>
      </c>
      <c r="C430" s="90" t="s">
        <v>478</v>
      </c>
      <c r="D430" s="90" t="s">
        <v>479</v>
      </c>
      <c r="E430" s="90">
        <v>3.1</v>
      </c>
      <c r="F430" s="100">
        <v>3800</v>
      </c>
      <c r="G430" s="100">
        <v>11780</v>
      </c>
    </row>
    <row r="431" spans="1:7" x14ac:dyDescent="0.35">
      <c r="A431" s="90">
        <v>13</v>
      </c>
      <c r="B431" s="90" t="s">
        <v>18</v>
      </c>
      <c r="C431" s="90" t="s">
        <v>480</v>
      </c>
      <c r="D431" s="90" t="s">
        <v>481</v>
      </c>
      <c r="E431" s="90">
        <v>5.4</v>
      </c>
      <c r="F431" s="100">
        <v>1500</v>
      </c>
      <c r="G431" s="100">
        <v>8100</v>
      </c>
    </row>
    <row r="432" spans="1:7" x14ac:dyDescent="0.35">
      <c r="A432" s="90">
        <v>13</v>
      </c>
      <c r="B432" s="90" t="s">
        <v>18</v>
      </c>
      <c r="C432" s="90" t="s">
        <v>482</v>
      </c>
      <c r="D432" s="90" t="s">
        <v>483</v>
      </c>
      <c r="E432" s="90">
        <v>5.8</v>
      </c>
      <c r="F432" s="100">
        <v>2500</v>
      </c>
      <c r="G432" s="100">
        <v>14500</v>
      </c>
    </row>
    <row r="433" spans="1:7" x14ac:dyDescent="0.35">
      <c r="A433" s="90">
        <v>13</v>
      </c>
      <c r="B433" s="90" t="s">
        <v>18</v>
      </c>
      <c r="C433" s="90" t="s">
        <v>484</v>
      </c>
      <c r="D433" s="90" t="s">
        <v>485</v>
      </c>
      <c r="E433" s="90">
        <v>39.700000000000003</v>
      </c>
      <c r="F433" s="100">
        <v>1800</v>
      </c>
      <c r="G433" s="100">
        <v>71460</v>
      </c>
    </row>
    <row r="434" spans="1:7" x14ac:dyDescent="0.35">
      <c r="A434" s="90">
        <v>13</v>
      </c>
      <c r="B434" s="90" t="s">
        <v>18</v>
      </c>
      <c r="C434" s="90" t="s">
        <v>80</v>
      </c>
      <c r="D434" s="90" t="s">
        <v>486</v>
      </c>
      <c r="E434" s="90">
        <v>52</v>
      </c>
      <c r="F434" s="100">
        <v>1800</v>
      </c>
      <c r="G434" s="100">
        <v>93600</v>
      </c>
    </row>
    <row r="435" spans="1:7" x14ac:dyDescent="0.35">
      <c r="A435" s="90">
        <v>13</v>
      </c>
      <c r="B435" s="90" t="s">
        <v>18</v>
      </c>
      <c r="C435" s="90" t="s">
        <v>332</v>
      </c>
      <c r="D435" s="90" t="s">
        <v>487</v>
      </c>
      <c r="E435" s="90">
        <v>21.4</v>
      </c>
      <c r="F435" s="100">
        <v>2800</v>
      </c>
      <c r="G435" s="100">
        <v>59920</v>
      </c>
    </row>
    <row r="436" spans="1:7" x14ac:dyDescent="0.35">
      <c r="A436" s="90">
        <v>13</v>
      </c>
      <c r="B436" s="90" t="s">
        <v>18</v>
      </c>
      <c r="C436" s="90" t="s">
        <v>488</v>
      </c>
      <c r="D436" s="90" t="s">
        <v>489</v>
      </c>
      <c r="E436" s="90">
        <v>1</v>
      </c>
      <c r="F436" s="100">
        <v>10000</v>
      </c>
      <c r="G436" s="100">
        <v>10000</v>
      </c>
    </row>
    <row r="437" spans="1:7" x14ac:dyDescent="0.35">
      <c r="A437" s="90">
        <v>13</v>
      </c>
      <c r="B437" s="90" t="s">
        <v>18</v>
      </c>
      <c r="C437" s="90" t="s">
        <v>490</v>
      </c>
      <c r="D437" s="90" t="s">
        <v>491</v>
      </c>
      <c r="E437" s="90">
        <v>4</v>
      </c>
      <c r="F437" s="100">
        <v>2000</v>
      </c>
      <c r="G437" s="100">
        <v>8000</v>
      </c>
    </row>
    <row r="438" spans="1:7" x14ac:dyDescent="0.35">
      <c r="A438" s="90">
        <v>13</v>
      </c>
      <c r="B438" s="90" t="s">
        <v>18</v>
      </c>
      <c r="C438" s="90" t="s">
        <v>492</v>
      </c>
      <c r="D438" s="90" t="s">
        <v>493</v>
      </c>
      <c r="E438" s="90">
        <v>2</v>
      </c>
      <c r="F438" s="100">
        <v>8000</v>
      </c>
      <c r="G438" s="100">
        <v>16000</v>
      </c>
    </row>
    <row r="439" spans="1:7" x14ac:dyDescent="0.35">
      <c r="A439" s="90">
        <v>13</v>
      </c>
      <c r="B439" s="90" t="s">
        <v>18</v>
      </c>
      <c r="C439" s="90" t="s">
        <v>494</v>
      </c>
      <c r="D439" s="90" t="s">
        <v>495</v>
      </c>
      <c r="E439" s="90">
        <v>1</v>
      </c>
      <c r="F439" s="100">
        <v>7000</v>
      </c>
      <c r="G439" s="100">
        <v>7000</v>
      </c>
    </row>
    <row r="440" spans="1:7" x14ac:dyDescent="0.35">
      <c r="A440" s="90">
        <v>13</v>
      </c>
      <c r="B440" s="90" t="s">
        <v>18</v>
      </c>
      <c r="C440" s="90" t="s">
        <v>496</v>
      </c>
      <c r="D440" s="90" t="s">
        <v>497</v>
      </c>
      <c r="E440" s="90">
        <v>1</v>
      </c>
      <c r="F440" s="100">
        <v>90000</v>
      </c>
      <c r="G440" s="100">
        <v>90000</v>
      </c>
    </row>
    <row r="441" spans="1:7" x14ac:dyDescent="0.35">
      <c r="A441" s="90">
        <v>13</v>
      </c>
      <c r="B441" s="90" t="s">
        <v>18</v>
      </c>
      <c r="C441" s="90" t="s">
        <v>19</v>
      </c>
      <c r="D441" s="90" t="s">
        <v>498</v>
      </c>
      <c r="E441" s="90">
        <v>30</v>
      </c>
      <c r="F441" s="100">
        <v>1000</v>
      </c>
      <c r="G441" s="100">
        <v>30000</v>
      </c>
    </row>
    <row r="442" spans="1:7" x14ac:dyDescent="0.35">
      <c r="A442" s="90">
        <v>13</v>
      </c>
      <c r="B442" s="90" t="s">
        <v>18</v>
      </c>
      <c r="C442" s="90" t="s">
        <v>468</v>
      </c>
      <c r="D442" s="90" t="s">
        <v>469</v>
      </c>
      <c r="E442" s="90">
        <v>8</v>
      </c>
      <c r="F442" s="100">
        <v>3000</v>
      </c>
      <c r="G442" s="100">
        <v>24000</v>
      </c>
    </row>
    <row r="443" spans="1:7" x14ac:dyDescent="0.35">
      <c r="A443" s="90">
        <v>13</v>
      </c>
      <c r="B443" s="90" t="s">
        <v>18</v>
      </c>
      <c r="C443" s="90" t="s">
        <v>332</v>
      </c>
      <c r="D443" s="90" t="s">
        <v>487</v>
      </c>
      <c r="E443" s="90">
        <v>51.6</v>
      </c>
      <c r="F443" s="100">
        <v>2800</v>
      </c>
      <c r="G443" s="100">
        <v>144480</v>
      </c>
    </row>
    <row r="444" spans="1:7" x14ac:dyDescent="0.35">
      <c r="A444" s="90">
        <v>13</v>
      </c>
      <c r="B444" s="90" t="s">
        <v>18</v>
      </c>
      <c r="C444" s="90" t="s">
        <v>80</v>
      </c>
      <c r="D444" s="90" t="s">
        <v>486</v>
      </c>
      <c r="E444" s="90">
        <v>130.6</v>
      </c>
      <c r="F444" s="100">
        <v>1800</v>
      </c>
      <c r="G444" s="100">
        <v>235080</v>
      </c>
    </row>
    <row r="445" spans="1:7" x14ac:dyDescent="0.35">
      <c r="A445" s="90">
        <v>13</v>
      </c>
      <c r="B445" s="90" t="s">
        <v>18</v>
      </c>
      <c r="C445" s="90" t="s">
        <v>334</v>
      </c>
      <c r="D445" s="90" t="s">
        <v>475</v>
      </c>
      <c r="E445" s="90">
        <v>9.5</v>
      </c>
      <c r="F445" s="100">
        <v>4000</v>
      </c>
      <c r="G445" s="100">
        <v>38000</v>
      </c>
    </row>
    <row r="446" spans="1:7" x14ac:dyDescent="0.35">
      <c r="A446" s="90">
        <v>13</v>
      </c>
      <c r="B446" s="90" t="s">
        <v>18</v>
      </c>
      <c r="C446" s="90" t="s">
        <v>482</v>
      </c>
      <c r="D446" s="90" t="s">
        <v>499</v>
      </c>
      <c r="E446" s="90">
        <v>10.7</v>
      </c>
      <c r="F446" s="100">
        <v>2800</v>
      </c>
      <c r="G446" s="100">
        <v>29960</v>
      </c>
    </row>
    <row r="447" spans="1:7" x14ac:dyDescent="0.35">
      <c r="A447" s="90">
        <v>13</v>
      </c>
      <c r="B447" s="90" t="s">
        <v>18</v>
      </c>
      <c r="C447" s="90" t="s">
        <v>500</v>
      </c>
      <c r="D447" s="90" t="s">
        <v>501</v>
      </c>
      <c r="E447" s="90">
        <v>1</v>
      </c>
      <c r="F447" s="100">
        <v>90000</v>
      </c>
      <c r="G447" s="100">
        <v>90000</v>
      </c>
    </row>
    <row r="448" spans="1:7" x14ac:dyDescent="0.35">
      <c r="A448" s="90">
        <v>13</v>
      </c>
      <c r="B448" s="90" t="s">
        <v>18</v>
      </c>
      <c r="C448" s="90" t="s">
        <v>328</v>
      </c>
      <c r="D448" s="90" t="s">
        <v>474</v>
      </c>
      <c r="E448" s="90">
        <v>9.4</v>
      </c>
      <c r="F448" s="100">
        <v>3500</v>
      </c>
      <c r="G448" s="100">
        <v>32900</v>
      </c>
    </row>
    <row r="449" spans="1:7" x14ac:dyDescent="0.35">
      <c r="A449" s="90">
        <v>13</v>
      </c>
      <c r="B449" s="90" t="s">
        <v>18</v>
      </c>
      <c r="C449" s="90" t="s">
        <v>480</v>
      </c>
      <c r="D449" s="90" t="s">
        <v>481</v>
      </c>
      <c r="E449" s="90">
        <v>3.5</v>
      </c>
      <c r="F449" s="100">
        <v>1800</v>
      </c>
      <c r="G449" s="100">
        <v>6300</v>
      </c>
    </row>
    <row r="450" spans="1:7" x14ac:dyDescent="0.35">
      <c r="A450" s="90">
        <v>13</v>
      </c>
      <c r="B450" s="90" t="s">
        <v>18</v>
      </c>
      <c r="C450" s="90" t="s">
        <v>502</v>
      </c>
      <c r="D450" s="90" t="s">
        <v>503</v>
      </c>
      <c r="E450" s="90">
        <v>3.4</v>
      </c>
      <c r="F450" s="100">
        <v>2500</v>
      </c>
      <c r="G450" s="100">
        <v>8500</v>
      </c>
    </row>
    <row r="451" spans="1:7" x14ac:dyDescent="0.35">
      <c r="A451" s="90">
        <v>13</v>
      </c>
      <c r="B451" s="90" t="s">
        <v>18</v>
      </c>
      <c r="C451" s="90" t="s">
        <v>478</v>
      </c>
      <c r="D451" s="90" t="s">
        <v>479</v>
      </c>
      <c r="E451" s="90">
        <v>3</v>
      </c>
      <c r="F451" s="100">
        <v>3000</v>
      </c>
      <c r="G451" s="100">
        <v>9000</v>
      </c>
    </row>
    <row r="452" spans="1:7" x14ac:dyDescent="0.35">
      <c r="A452" s="90">
        <v>13</v>
      </c>
      <c r="B452" s="90" t="s">
        <v>18</v>
      </c>
      <c r="C452" s="90" t="s">
        <v>85</v>
      </c>
      <c r="D452" s="90" t="s">
        <v>504</v>
      </c>
      <c r="E452" s="90">
        <v>4.3</v>
      </c>
      <c r="F452" s="100">
        <v>5500</v>
      </c>
      <c r="G452" s="100">
        <v>23650</v>
      </c>
    </row>
    <row r="453" spans="1:7" x14ac:dyDescent="0.35">
      <c r="A453" s="90">
        <v>13</v>
      </c>
      <c r="B453" s="90" t="s">
        <v>18</v>
      </c>
      <c r="C453" s="90" t="s">
        <v>494</v>
      </c>
      <c r="D453" s="90" t="s">
        <v>495</v>
      </c>
      <c r="E453" s="90">
        <v>3</v>
      </c>
      <c r="F453" s="100">
        <v>8000</v>
      </c>
      <c r="G453" s="100">
        <v>24000</v>
      </c>
    </row>
    <row r="454" spans="1:7" x14ac:dyDescent="0.35">
      <c r="A454" s="90">
        <v>13</v>
      </c>
      <c r="B454" s="90" t="s">
        <v>18</v>
      </c>
      <c r="C454" s="90" t="s">
        <v>496</v>
      </c>
      <c r="D454" s="90" t="s">
        <v>497</v>
      </c>
      <c r="E454" s="90">
        <v>1</v>
      </c>
      <c r="F454" s="100">
        <v>100000</v>
      </c>
      <c r="G454" s="100">
        <v>100000</v>
      </c>
    </row>
    <row r="455" spans="1:7" x14ac:dyDescent="0.35">
      <c r="A455" s="90">
        <v>13</v>
      </c>
      <c r="B455" s="90" t="s">
        <v>18</v>
      </c>
      <c r="C455" s="90" t="s">
        <v>78</v>
      </c>
      <c r="D455" s="90" t="s">
        <v>505</v>
      </c>
      <c r="E455" s="90">
        <v>3.8</v>
      </c>
      <c r="F455" s="100">
        <v>5000</v>
      </c>
      <c r="G455" s="100">
        <v>19000</v>
      </c>
    </row>
    <row r="456" spans="1:7" x14ac:dyDescent="0.35">
      <c r="A456" s="90">
        <v>13</v>
      </c>
      <c r="B456" s="90" t="s">
        <v>18</v>
      </c>
      <c r="C456" s="90" t="s">
        <v>500</v>
      </c>
      <c r="D456" s="90" t="s">
        <v>506</v>
      </c>
      <c r="E456" s="90">
        <v>0.5</v>
      </c>
      <c r="F456" s="100">
        <v>100000</v>
      </c>
      <c r="G456" s="100">
        <v>50000</v>
      </c>
    </row>
    <row r="457" spans="1:7" x14ac:dyDescent="0.35">
      <c r="A457" s="90">
        <v>13</v>
      </c>
      <c r="B457" s="90" t="s">
        <v>18</v>
      </c>
      <c r="C457" s="90" t="s">
        <v>80</v>
      </c>
      <c r="D457" s="90" t="s">
        <v>507</v>
      </c>
      <c r="E457" s="90">
        <v>55</v>
      </c>
      <c r="F457" s="100">
        <v>1800</v>
      </c>
      <c r="G457" s="100">
        <v>99000</v>
      </c>
    </row>
    <row r="458" spans="1:7" x14ac:dyDescent="0.35">
      <c r="A458" s="90">
        <v>13</v>
      </c>
      <c r="B458" s="90" t="s">
        <v>18</v>
      </c>
      <c r="C458" s="90" t="s">
        <v>484</v>
      </c>
      <c r="D458" s="90" t="s">
        <v>485</v>
      </c>
      <c r="E458" s="90">
        <v>47</v>
      </c>
      <c r="F458" s="100">
        <v>1800</v>
      </c>
      <c r="G458" s="100">
        <v>84600</v>
      </c>
    </row>
    <row r="459" spans="1:7" x14ac:dyDescent="0.35">
      <c r="A459" s="90">
        <v>13</v>
      </c>
      <c r="B459" s="90" t="s">
        <v>18</v>
      </c>
      <c r="C459" s="90" t="s">
        <v>508</v>
      </c>
      <c r="D459" s="90" t="s">
        <v>509</v>
      </c>
      <c r="E459" s="90">
        <v>26.3</v>
      </c>
      <c r="F459" s="100">
        <v>2000</v>
      </c>
      <c r="G459" s="100">
        <v>52600</v>
      </c>
    </row>
    <row r="460" spans="1:7" x14ac:dyDescent="0.35">
      <c r="A460" s="90">
        <v>13</v>
      </c>
      <c r="B460" s="90" t="s">
        <v>18</v>
      </c>
      <c r="C460" s="90" t="s">
        <v>330</v>
      </c>
      <c r="D460" s="90" t="s">
        <v>467</v>
      </c>
      <c r="E460" s="90">
        <v>61</v>
      </c>
      <c r="F460" s="100">
        <v>2000</v>
      </c>
      <c r="G460" s="100">
        <v>122000</v>
      </c>
    </row>
    <row r="461" spans="1:7" x14ac:dyDescent="0.35">
      <c r="A461" s="90">
        <v>13</v>
      </c>
      <c r="B461" s="90" t="s">
        <v>10</v>
      </c>
      <c r="C461" s="90" t="s">
        <v>230</v>
      </c>
      <c r="D461" s="90" t="s">
        <v>231</v>
      </c>
      <c r="E461" s="90">
        <v>5.75</v>
      </c>
      <c r="F461" s="100">
        <v>46000</v>
      </c>
      <c r="G461" s="100">
        <v>264500</v>
      </c>
    </row>
    <row r="462" spans="1:7" x14ac:dyDescent="0.35">
      <c r="A462" s="90">
        <v>13</v>
      </c>
      <c r="B462" s="90" t="s">
        <v>57</v>
      </c>
      <c r="C462" s="90" t="s">
        <v>510</v>
      </c>
      <c r="D462" s="90" t="s">
        <v>511</v>
      </c>
      <c r="E462" s="90">
        <v>4</v>
      </c>
      <c r="F462" s="100">
        <v>19412</v>
      </c>
      <c r="G462" s="100">
        <v>77647</v>
      </c>
    </row>
    <row r="463" spans="1:7" x14ac:dyDescent="0.35">
      <c r="A463" s="90">
        <v>14</v>
      </c>
      <c r="B463" s="90" t="s">
        <v>7</v>
      </c>
      <c r="C463" s="90" t="s">
        <v>512</v>
      </c>
      <c r="D463" s="90" t="s">
        <v>513</v>
      </c>
      <c r="E463" s="90">
        <v>1</v>
      </c>
      <c r="F463" s="100">
        <v>69900</v>
      </c>
      <c r="G463" s="100">
        <v>69900</v>
      </c>
    </row>
    <row r="464" spans="1:7" x14ac:dyDescent="0.35">
      <c r="A464" s="90">
        <v>14</v>
      </c>
      <c r="B464" s="90" t="s">
        <v>57</v>
      </c>
      <c r="C464" s="90" t="s">
        <v>58</v>
      </c>
      <c r="D464" s="90" t="s">
        <v>59</v>
      </c>
      <c r="E464" s="90">
        <v>2</v>
      </c>
      <c r="F464" s="100">
        <v>9500</v>
      </c>
      <c r="G464" s="100">
        <v>19000</v>
      </c>
    </row>
    <row r="465" spans="1:7" x14ac:dyDescent="0.35">
      <c r="A465" s="90">
        <v>14</v>
      </c>
      <c r="B465" s="90" t="s">
        <v>57</v>
      </c>
      <c r="C465" s="90" t="s">
        <v>60</v>
      </c>
      <c r="D465" s="90" t="s">
        <v>179</v>
      </c>
      <c r="E465" s="90">
        <v>2</v>
      </c>
      <c r="F465" s="100">
        <v>5000</v>
      </c>
      <c r="G465" s="100">
        <v>10000</v>
      </c>
    </row>
    <row r="466" spans="1:7" x14ac:dyDescent="0.35">
      <c r="A466" s="90">
        <v>14</v>
      </c>
      <c r="B466" s="90" t="s">
        <v>15</v>
      </c>
      <c r="C466" s="90" t="s">
        <v>514</v>
      </c>
      <c r="D466" s="90" t="s">
        <v>515</v>
      </c>
      <c r="E466" s="90">
        <v>4</v>
      </c>
      <c r="F466" s="100">
        <v>2600</v>
      </c>
      <c r="G466" s="100">
        <v>10400</v>
      </c>
    </row>
    <row r="467" spans="1:7" x14ac:dyDescent="0.35">
      <c r="A467" s="90">
        <v>14</v>
      </c>
      <c r="B467" s="90" t="s">
        <v>7</v>
      </c>
      <c r="C467" s="90" t="s">
        <v>13</v>
      </c>
      <c r="D467" s="90" t="s">
        <v>13</v>
      </c>
      <c r="E467" s="90">
        <v>1</v>
      </c>
      <c r="F467" s="100">
        <v>30000</v>
      </c>
      <c r="G467" s="100">
        <v>30000</v>
      </c>
    </row>
    <row r="468" spans="1:7" x14ac:dyDescent="0.35">
      <c r="A468" s="90">
        <v>14</v>
      </c>
      <c r="B468" s="90" t="s">
        <v>15</v>
      </c>
      <c r="C468" s="90" t="s">
        <v>24</v>
      </c>
      <c r="D468" s="90" t="s">
        <v>516</v>
      </c>
      <c r="E468" s="90">
        <v>1</v>
      </c>
      <c r="F468" s="100">
        <v>21200</v>
      </c>
      <c r="G468" s="100">
        <v>21200</v>
      </c>
    </row>
    <row r="469" spans="1:7" x14ac:dyDescent="0.35">
      <c r="A469" s="90">
        <v>14</v>
      </c>
      <c r="B469" s="90" t="s">
        <v>15</v>
      </c>
      <c r="C469" s="90" t="s">
        <v>37</v>
      </c>
      <c r="D469" s="90" t="s">
        <v>517</v>
      </c>
      <c r="E469" s="90">
        <v>1</v>
      </c>
      <c r="F469" s="100">
        <v>11100</v>
      </c>
      <c r="G469" s="100">
        <v>11100</v>
      </c>
    </row>
    <row r="470" spans="1:7" x14ac:dyDescent="0.35">
      <c r="A470" s="90">
        <v>14</v>
      </c>
      <c r="B470" s="90" t="s">
        <v>7</v>
      </c>
      <c r="C470" s="90" t="s">
        <v>88</v>
      </c>
      <c r="D470" s="90" t="s">
        <v>518</v>
      </c>
      <c r="E470" s="90">
        <v>10</v>
      </c>
      <c r="F470" s="100">
        <v>13500</v>
      </c>
      <c r="G470" s="100">
        <v>135000</v>
      </c>
    </row>
    <row r="471" spans="1:7" x14ac:dyDescent="0.35">
      <c r="A471" s="90">
        <v>14</v>
      </c>
      <c r="B471" s="90" t="s">
        <v>7</v>
      </c>
      <c r="C471" s="90" t="s">
        <v>387</v>
      </c>
      <c r="D471" s="90" t="s">
        <v>519</v>
      </c>
      <c r="E471" s="90">
        <v>1</v>
      </c>
      <c r="F471" s="100">
        <v>5241200</v>
      </c>
      <c r="G471" s="100">
        <v>5241200</v>
      </c>
    </row>
    <row r="472" spans="1:7" x14ac:dyDescent="0.35">
      <c r="A472" s="90">
        <v>14</v>
      </c>
      <c r="B472" s="90" t="s">
        <v>21</v>
      </c>
      <c r="C472" s="90" t="s">
        <v>520</v>
      </c>
      <c r="D472" s="90" t="s">
        <v>521</v>
      </c>
      <c r="E472" s="90">
        <v>7</v>
      </c>
      <c r="F472" s="100">
        <v>21428</v>
      </c>
      <c r="G472" s="100">
        <v>150000</v>
      </c>
    </row>
    <row r="473" spans="1:7" x14ac:dyDescent="0.35">
      <c r="A473" s="90">
        <v>14</v>
      </c>
      <c r="B473" s="90" t="s">
        <v>15</v>
      </c>
      <c r="C473" s="90" t="s">
        <v>16</v>
      </c>
      <c r="D473" s="90" t="s">
        <v>522</v>
      </c>
      <c r="E473" s="90">
        <v>1</v>
      </c>
      <c r="F473" s="100">
        <v>32000</v>
      </c>
      <c r="G473" s="100">
        <v>32000</v>
      </c>
    </row>
    <row r="474" spans="1:7" x14ac:dyDescent="0.35">
      <c r="A474" s="90">
        <v>14</v>
      </c>
      <c r="B474" s="90" t="s">
        <v>7</v>
      </c>
      <c r="C474" s="90" t="s">
        <v>88</v>
      </c>
      <c r="D474" s="90" t="s">
        <v>523</v>
      </c>
      <c r="E474" s="90">
        <v>1</v>
      </c>
      <c r="F474" s="100">
        <v>18200</v>
      </c>
      <c r="G474" s="100">
        <v>18200</v>
      </c>
    </row>
    <row r="475" spans="1:7" x14ac:dyDescent="0.35">
      <c r="A475" s="90">
        <v>14</v>
      </c>
      <c r="B475" s="90" t="s">
        <v>10</v>
      </c>
      <c r="C475" s="90" t="s">
        <v>188</v>
      </c>
      <c r="D475" s="90" t="s">
        <v>266</v>
      </c>
      <c r="E475" s="90">
        <v>10.6</v>
      </c>
      <c r="F475" s="100">
        <v>18500</v>
      </c>
      <c r="G475" s="100">
        <v>196100</v>
      </c>
    </row>
    <row r="476" spans="1:7" x14ac:dyDescent="0.35">
      <c r="A476" s="90">
        <v>14</v>
      </c>
      <c r="B476" s="90" t="s">
        <v>18</v>
      </c>
      <c r="C476" s="90" t="s">
        <v>330</v>
      </c>
      <c r="D476" s="90" t="s">
        <v>524</v>
      </c>
      <c r="E476" s="90">
        <v>68</v>
      </c>
      <c r="F476" s="100">
        <v>2500</v>
      </c>
      <c r="G476" s="100">
        <v>170000</v>
      </c>
    </row>
    <row r="477" spans="1:7" x14ac:dyDescent="0.35">
      <c r="A477" s="90">
        <v>14</v>
      </c>
      <c r="B477" s="90" t="s">
        <v>18</v>
      </c>
      <c r="C477" s="90" t="s">
        <v>85</v>
      </c>
      <c r="D477" s="90" t="s">
        <v>504</v>
      </c>
      <c r="E477" s="90">
        <v>4.4000000000000004</v>
      </c>
      <c r="F477" s="100">
        <v>5500</v>
      </c>
      <c r="G477" s="100">
        <v>24200</v>
      </c>
    </row>
    <row r="478" spans="1:7" x14ac:dyDescent="0.35">
      <c r="A478" s="90">
        <v>14</v>
      </c>
      <c r="B478" s="90" t="s">
        <v>18</v>
      </c>
      <c r="C478" s="90" t="s">
        <v>484</v>
      </c>
      <c r="D478" s="90" t="s">
        <v>485</v>
      </c>
      <c r="E478" s="90">
        <v>43.7</v>
      </c>
      <c r="F478" s="100">
        <v>1600</v>
      </c>
      <c r="G478" s="100">
        <v>69920</v>
      </c>
    </row>
    <row r="479" spans="1:7" x14ac:dyDescent="0.35">
      <c r="A479" s="90">
        <v>14</v>
      </c>
      <c r="B479" s="90" t="s">
        <v>15</v>
      </c>
      <c r="C479" s="90" t="s">
        <v>82</v>
      </c>
      <c r="D479" s="90" t="s">
        <v>525</v>
      </c>
      <c r="E479" s="90">
        <v>2</v>
      </c>
      <c r="F479" s="100">
        <v>4700</v>
      </c>
      <c r="G479" s="100">
        <v>9400</v>
      </c>
    </row>
    <row r="480" spans="1:7" x14ac:dyDescent="0.35">
      <c r="A480" s="90">
        <v>14</v>
      </c>
      <c r="B480" s="90" t="s">
        <v>18</v>
      </c>
      <c r="C480" s="90" t="s">
        <v>80</v>
      </c>
      <c r="D480" s="90" t="s">
        <v>486</v>
      </c>
      <c r="E480" s="90">
        <v>75.2</v>
      </c>
      <c r="F480" s="100">
        <v>1600</v>
      </c>
      <c r="G480" s="100">
        <v>120320</v>
      </c>
    </row>
    <row r="481" spans="1:7" x14ac:dyDescent="0.35">
      <c r="A481" s="90">
        <v>14</v>
      </c>
      <c r="B481" s="90" t="s">
        <v>18</v>
      </c>
      <c r="C481" s="90" t="s">
        <v>334</v>
      </c>
      <c r="D481" s="90" t="s">
        <v>526</v>
      </c>
      <c r="E481" s="90">
        <v>6</v>
      </c>
      <c r="F481" s="100">
        <v>3800</v>
      </c>
      <c r="G481" s="100">
        <v>22800</v>
      </c>
    </row>
    <row r="482" spans="1:7" x14ac:dyDescent="0.35">
      <c r="A482" s="90">
        <v>14</v>
      </c>
      <c r="B482" s="90" t="s">
        <v>18</v>
      </c>
      <c r="C482" s="90" t="s">
        <v>78</v>
      </c>
      <c r="D482" s="90" t="s">
        <v>505</v>
      </c>
      <c r="E482" s="90">
        <v>4</v>
      </c>
      <c r="F482" s="100">
        <v>4500</v>
      </c>
      <c r="G482" s="100">
        <v>18000</v>
      </c>
    </row>
    <row r="483" spans="1:7" x14ac:dyDescent="0.35">
      <c r="A483" s="90">
        <v>14</v>
      </c>
      <c r="B483" s="90" t="s">
        <v>18</v>
      </c>
      <c r="C483" s="90" t="s">
        <v>328</v>
      </c>
      <c r="D483" s="90" t="s">
        <v>527</v>
      </c>
      <c r="E483" s="90">
        <v>6.8</v>
      </c>
      <c r="F483" s="100">
        <v>3800</v>
      </c>
      <c r="G483" s="100">
        <v>25840</v>
      </c>
    </row>
    <row r="484" spans="1:7" x14ac:dyDescent="0.35">
      <c r="A484" s="90">
        <v>14</v>
      </c>
      <c r="B484" s="90" t="s">
        <v>18</v>
      </c>
      <c r="C484" s="90" t="s">
        <v>492</v>
      </c>
      <c r="D484" s="90" t="s">
        <v>493</v>
      </c>
      <c r="E484" s="90">
        <v>2</v>
      </c>
      <c r="F484" s="100">
        <v>8000</v>
      </c>
      <c r="G484" s="100">
        <v>16000</v>
      </c>
    </row>
    <row r="485" spans="1:7" x14ac:dyDescent="0.35">
      <c r="A485" s="90">
        <v>14</v>
      </c>
      <c r="B485" s="90" t="s">
        <v>18</v>
      </c>
      <c r="C485" s="90" t="s">
        <v>490</v>
      </c>
      <c r="D485" s="90" t="s">
        <v>491</v>
      </c>
      <c r="E485" s="90">
        <v>3</v>
      </c>
      <c r="F485" s="100">
        <v>2000</v>
      </c>
      <c r="G485" s="100">
        <v>6000</v>
      </c>
    </row>
    <row r="486" spans="1:7" x14ac:dyDescent="0.35">
      <c r="A486" s="90">
        <v>14</v>
      </c>
      <c r="B486" s="90" t="s">
        <v>18</v>
      </c>
      <c r="C486" s="90" t="s">
        <v>494</v>
      </c>
      <c r="D486" s="90" t="s">
        <v>495</v>
      </c>
      <c r="E486" s="90">
        <v>3</v>
      </c>
      <c r="F486" s="100">
        <v>6000</v>
      </c>
      <c r="G486" s="100">
        <v>18000</v>
      </c>
    </row>
    <row r="487" spans="1:7" x14ac:dyDescent="0.35">
      <c r="A487" s="90">
        <v>14</v>
      </c>
      <c r="B487" s="90" t="s">
        <v>18</v>
      </c>
      <c r="C487" s="90" t="s">
        <v>496</v>
      </c>
      <c r="D487" s="90" t="s">
        <v>497</v>
      </c>
      <c r="E487" s="90">
        <v>1</v>
      </c>
      <c r="F487" s="100">
        <v>90000</v>
      </c>
      <c r="G487" s="100">
        <v>90000</v>
      </c>
    </row>
    <row r="488" spans="1:7" x14ac:dyDescent="0.35">
      <c r="A488" s="90">
        <v>14</v>
      </c>
      <c r="B488" s="90" t="s">
        <v>18</v>
      </c>
      <c r="C488" s="90" t="s">
        <v>500</v>
      </c>
      <c r="D488" s="90" t="s">
        <v>501</v>
      </c>
      <c r="E488" s="90">
        <v>0.5</v>
      </c>
      <c r="F488" s="100">
        <v>100000</v>
      </c>
      <c r="G488" s="100">
        <v>50000</v>
      </c>
    </row>
    <row r="489" spans="1:7" x14ac:dyDescent="0.35">
      <c r="A489" s="90">
        <v>14</v>
      </c>
      <c r="B489" s="90" t="s">
        <v>18</v>
      </c>
      <c r="C489" s="90" t="s">
        <v>19</v>
      </c>
      <c r="D489" s="90" t="s">
        <v>498</v>
      </c>
      <c r="E489" s="90">
        <v>30</v>
      </c>
      <c r="F489" s="100">
        <v>1000</v>
      </c>
      <c r="G489" s="100">
        <v>30000</v>
      </c>
    </row>
    <row r="490" spans="1:7" x14ac:dyDescent="0.35">
      <c r="A490" s="90">
        <v>14</v>
      </c>
      <c r="B490" s="90" t="s">
        <v>18</v>
      </c>
      <c r="C490" s="90" t="s">
        <v>332</v>
      </c>
      <c r="D490" s="90" t="s">
        <v>487</v>
      </c>
      <c r="E490" s="90">
        <v>17</v>
      </c>
      <c r="F490" s="100">
        <v>2800</v>
      </c>
      <c r="G490" s="100">
        <v>47600</v>
      </c>
    </row>
    <row r="491" spans="1:7" x14ac:dyDescent="0.35">
      <c r="A491" s="90">
        <v>14</v>
      </c>
      <c r="B491" s="90" t="s">
        <v>18</v>
      </c>
      <c r="C491" s="90" t="s">
        <v>332</v>
      </c>
      <c r="D491" s="90" t="s">
        <v>487</v>
      </c>
      <c r="E491" s="90">
        <v>30</v>
      </c>
      <c r="F491" s="100">
        <v>2800</v>
      </c>
      <c r="G491" s="100">
        <v>84000</v>
      </c>
    </row>
    <row r="492" spans="1:7" x14ac:dyDescent="0.35">
      <c r="A492" s="90">
        <v>14</v>
      </c>
      <c r="B492" s="90" t="s">
        <v>18</v>
      </c>
      <c r="C492" s="90" t="s">
        <v>488</v>
      </c>
      <c r="D492" s="90" t="s">
        <v>489</v>
      </c>
      <c r="E492" s="90">
        <v>1</v>
      </c>
      <c r="F492" s="100">
        <v>10000</v>
      </c>
      <c r="G492" s="100">
        <v>10000</v>
      </c>
    </row>
    <row r="493" spans="1:7" x14ac:dyDescent="0.35">
      <c r="A493" s="90">
        <v>14</v>
      </c>
      <c r="B493" s="90" t="s">
        <v>18</v>
      </c>
      <c r="C493" s="90" t="s">
        <v>492</v>
      </c>
      <c r="D493" s="90" t="s">
        <v>493</v>
      </c>
      <c r="E493" s="90">
        <v>1</v>
      </c>
      <c r="F493" s="100">
        <v>8000</v>
      </c>
      <c r="G493" s="100">
        <v>8000</v>
      </c>
    </row>
    <row r="494" spans="1:7" x14ac:dyDescent="0.35">
      <c r="A494" s="90">
        <v>14</v>
      </c>
      <c r="B494" s="90" t="s">
        <v>18</v>
      </c>
      <c r="C494" s="90" t="s">
        <v>494</v>
      </c>
      <c r="D494" s="90" t="s">
        <v>495</v>
      </c>
      <c r="E494" s="90">
        <v>3</v>
      </c>
      <c r="F494" s="100">
        <v>8000</v>
      </c>
      <c r="G494" s="100">
        <v>24000</v>
      </c>
    </row>
    <row r="495" spans="1:7" x14ac:dyDescent="0.35">
      <c r="A495" s="90">
        <v>14</v>
      </c>
      <c r="B495" s="90" t="s">
        <v>18</v>
      </c>
      <c r="C495" s="90" t="s">
        <v>502</v>
      </c>
      <c r="D495" s="90" t="s">
        <v>503</v>
      </c>
      <c r="E495" s="90">
        <v>2.2000000000000002</v>
      </c>
      <c r="F495" s="100">
        <v>2500</v>
      </c>
      <c r="G495" s="100">
        <v>5500</v>
      </c>
    </row>
    <row r="496" spans="1:7" x14ac:dyDescent="0.35">
      <c r="A496" s="90">
        <v>14</v>
      </c>
      <c r="B496" s="90" t="s">
        <v>18</v>
      </c>
      <c r="C496" s="90" t="s">
        <v>500</v>
      </c>
      <c r="D496" s="90" t="s">
        <v>501</v>
      </c>
      <c r="E496" s="90">
        <v>0.5</v>
      </c>
      <c r="F496" s="100">
        <v>110000</v>
      </c>
      <c r="G496" s="100">
        <v>55000</v>
      </c>
    </row>
    <row r="497" spans="1:7" x14ac:dyDescent="0.35">
      <c r="A497" s="90">
        <v>14</v>
      </c>
      <c r="B497" s="90" t="s">
        <v>18</v>
      </c>
      <c r="C497" s="90" t="s">
        <v>85</v>
      </c>
      <c r="D497" s="90" t="s">
        <v>528</v>
      </c>
      <c r="E497" s="90">
        <v>3.6</v>
      </c>
      <c r="F497" s="100">
        <v>5800</v>
      </c>
      <c r="G497" s="100">
        <v>20880</v>
      </c>
    </row>
    <row r="498" spans="1:7" x14ac:dyDescent="0.35">
      <c r="A498" s="90">
        <v>14</v>
      </c>
      <c r="B498" s="90" t="s">
        <v>18</v>
      </c>
      <c r="C498" s="90" t="s">
        <v>472</v>
      </c>
      <c r="D498" s="90" t="s">
        <v>473</v>
      </c>
      <c r="E498" s="90">
        <v>4.2</v>
      </c>
      <c r="F498" s="100">
        <v>2500</v>
      </c>
      <c r="G498" s="100">
        <v>10500</v>
      </c>
    </row>
    <row r="499" spans="1:7" x14ac:dyDescent="0.35">
      <c r="A499" s="90">
        <v>14</v>
      </c>
      <c r="B499" s="90" t="s">
        <v>18</v>
      </c>
      <c r="C499" s="90" t="s">
        <v>328</v>
      </c>
      <c r="D499" s="90" t="s">
        <v>474</v>
      </c>
      <c r="E499" s="90">
        <v>6.9</v>
      </c>
      <c r="F499" s="100">
        <v>3800</v>
      </c>
      <c r="G499" s="100">
        <v>26220</v>
      </c>
    </row>
    <row r="500" spans="1:7" x14ac:dyDescent="0.35">
      <c r="A500" s="90">
        <v>14</v>
      </c>
      <c r="B500" s="90" t="s">
        <v>18</v>
      </c>
      <c r="C500" s="90" t="s">
        <v>334</v>
      </c>
      <c r="D500" s="90" t="s">
        <v>475</v>
      </c>
      <c r="E500" s="90">
        <v>8.5</v>
      </c>
      <c r="F500" s="100">
        <v>3800</v>
      </c>
      <c r="G500" s="100">
        <v>32300</v>
      </c>
    </row>
    <row r="501" spans="1:7" x14ac:dyDescent="0.35">
      <c r="A501" s="90">
        <v>14</v>
      </c>
      <c r="B501" s="90" t="s">
        <v>18</v>
      </c>
      <c r="C501" s="90" t="s">
        <v>480</v>
      </c>
      <c r="D501" s="90" t="s">
        <v>481</v>
      </c>
      <c r="E501" s="90">
        <v>5.5</v>
      </c>
      <c r="F501" s="100">
        <v>1800</v>
      </c>
      <c r="G501" s="100">
        <v>9900</v>
      </c>
    </row>
    <row r="502" spans="1:7" x14ac:dyDescent="0.35">
      <c r="A502" s="90">
        <v>14</v>
      </c>
      <c r="B502" s="90" t="s">
        <v>18</v>
      </c>
      <c r="C502" s="90" t="s">
        <v>508</v>
      </c>
      <c r="D502" s="90" t="s">
        <v>509</v>
      </c>
      <c r="E502" s="90">
        <v>30</v>
      </c>
      <c r="F502" s="100">
        <v>2000</v>
      </c>
      <c r="G502" s="100">
        <v>60000</v>
      </c>
    </row>
    <row r="503" spans="1:7" x14ac:dyDescent="0.35">
      <c r="A503" s="90">
        <v>14</v>
      </c>
      <c r="B503" s="90" t="s">
        <v>18</v>
      </c>
      <c r="C503" s="90" t="s">
        <v>468</v>
      </c>
      <c r="D503" s="90" t="s">
        <v>529</v>
      </c>
      <c r="E503" s="90">
        <v>1</v>
      </c>
      <c r="F503" s="100">
        <v>35000</v>
      </c>
      <c r="G503" s="100">
        <v>35000</v>
      </c>
    </row>
    <row r="504" spans="1:7" x14ac:dyDescent="0.35">
      <c r="A504" s="90">
        <v>14</v>
      </c>
      <c r="B504" s="90" t="s">
        <v>18</v>
      </c>
      <c r="C504" s="90" t="s">
        <v>482</v>
      </c>
      <c r="D504" s="90" t="s">
        <v>483</v>
      </c>
      <c r="E504" s="90">
        <v>9.1</v>
      </c>
      <c r="F504" s="100">
        <v>2000</v>
      </c>
      <c r="G504" s="100">
        <v>18200</v>
      </c>
    </row>
    <row r="505" spans="1:7" x14ac:dyDescent="0.35">
      <c r="A505" s="90">
        <v>14</v>
      </c>
      <c r="B505" s="90" t="s">
        <v>18</v>
      </c>
      <c r="C505" s="90" t="s">
        <v>476</v>
      </c>
      <c r="D505" s="90" t="s">
        <v>530</v>
      </c>
      <c r="E505" s="90">
        <v>5</v>
      </c>
      <c r="F505" s="100">
        <v>10000</v>
      </c>
      <c r="G505" s="100">
        <v>50000</v>
      </c>
    </row>
    <row r="506" spans="1:7" x14ac:dyDescent="0.35">
      <c r="A506" s="90">
        <v>14</v>
      </c>
      <c r="B506" s="90" t="s">
        <v>57</v>
      </c>
      <c r="C506" s="90" t="s">
        <v>58</v>
      </c>
      <c r="D506" s="90" t="s">
        <v>59</v>
      </c>
      <c r="E506" s="90">
        <v>2</v>
      </c>
      <c r="F506" s="100">
        <v>9500</v>
      </c>
      <c r="G506" s="100">
        <v>19000</v>
      </c>
    </row>
    <row r="507" spans="1:7" x14ac:dyDescent="0.35">
      <c r="A507" s="90">
        <v>14</v>
      </c>
      <c r="B507" s="90" t="s">
        <v>10</v>
      </c>
      <c r="C507" s="90" t="s">
        <v>271</v>
      </c>
      <c r="D507" s="90" t="s">
        <v>531</v>
      </c>
      <c r="E507" s="90">
        <v>10</v>
      </c>
      <c r="F507" s="100">
        <v>19900</v>
      </c>
      <c r="G507" s="100">
        <v>199000</v>
      </c>
    </row>
    <row r="508" spans="1:7" x14ac:dyDescent="0.35">
      <c r="A508" s="90">
        <v>14</v>
      </c>
      <c r="B508" s="90" t="s">
        <v>57</v>
      </c>
      <c r="C508" s="90" t="s">
        <v>209</v>
      </c>
      <c r="D508" s="90" t="s">
        <v>232</v>
      </c>
      <c r="E508" s="90">
        <v>3</v>
      </c>
      <c r="F508" s="100">
        <v>26000</v>
      </c>
      <c r="G508" s="100">
        <v>78000</v>
      </c>
    </row>
    <row r="509" spans="1:7" x14ac:dyDescent="0.35">
      <c r="A509" s="90">
        <v>14</v>
      </c>
      <c r="B509" s="90" t="s">
        <v>57</v>
      </c>
      <c r="C509" s="90" t="s">
        <v>60</v>
      </c>
      <c r="D509" s="90" t="s">
        <v>61</v>
      </c>
      <c r="E509" s="90">
        <v>3</v>
      </c>
      <c r="F509" s="100">
        <v>5000</v>
      </c>
      <c r="G509" s="100">
        <v>15000</v>
      </c>
    </row>
    <row r="510" spans="1:7" x14ac:dyDescent="0.35">
      <c r="A510" s="90">
        <v>15</v>
      </c>
      <c r="B510" s="90" t="s">
        <v>18</v>
      </c>
      <c r="C510" s="90" t="s">
        <v>532</v>
      </c>
      <c r="D510" s="90" t="s">
        <v>533</v>
      </c>
      <c r="E510" s="90">
        <v>18</v>
      </c>
      <c r="F510" s="100">
        <v>1500</v>
      </c>
      <c r="G510" s="100">
        <v>27000</v>
      </c>
    </row>
    <row r="511" spans="1:7" x14ac:dyDescent="0.35">
      <c r="A511" s="90">
        <v>15</v>
      </c>
      <c r="B511" s="90" t="s">
        <v>21</v>
      </c>
      <c r="C511" s="90" t="s">
        <v>202</v>
      </c>
      <c r="D511" s="90" t="s">
        <v>534</v>
      </c>
      <c r="E511" s="90">
        <v>150</v>
      </c>
      <c r="F511" s="100">
        <v>163.33000000000001</v>
      </c>
      <c r="G511" s="100">
        <v>24500</v>
      </c>
    </row>
    <row r="512" spans="1:7" x14ac:dyDescent="0.35">
      <c r="A512" s="90">
        <v>15</v>
      </c>
      <c r="B512" s="90" t="s">
        <v>10</v>
      </c>
      <c r="C512" s="90" t="s">
        <v>190</v>
      </c>
      <c r="D512" s="90" t="s">
        <v>535</v>
      </c>
      <c r="E512" s="90">
        <v>3</v>
      </c>
      <c r="F512" s="100">
        <v>48000</v>
      </c>
      <c r="G512" s="100">
        <v>144000</v>
      </c>
    </row>
    <row r="513" spans="1:7" x14ac:dyDescent="0.35">
      <c r="A513" s="90">
        <v>15</v>
      </c>
      <c r="B513" s="90" t="s">
        <v>10</v>
      </c>
      <c r="C513" s="90" t="s">
        <v>192</v>
      </c>
      <c r="D513" s="90" t="s">
        <v>536</v>
      </c>
      <c r="E513" s="90">
        <v>2</v>
      </c>
      <c r="F513" s="100">
        <v>46000</v>
      </c>
      <c r="G513" s="100">
        <v>92000</v>
      </c>
    </row>
    <row r="514" spans="1:7" x14ac:dyDescent="0.35">
      <c r="A514" s="90">
        <v>15</v>
      </c>
      <c r="B514" s="90" t="s">
        <v>7</v>
      </c>
      <c r="C514" s="90" t="s">
        <v>537</v>
      </c>
      <c r="D514" s="90" t="s">
        <v>538</v>
      </c>
      <c r="E514" s="90">
        <v>1</v>
      </c>
      <c r="F514" s="100">
        <v>173249.72</v>
      </c>
      <c r="G514" s="100">
        <v>173249.72</v>
      </c>
    </row>
    <row r="515" spans="1:7" x14ac:dyDescent="0.35">
      <c r="A515" s="90">
        <v>15</v>
      </c>
      <c r="B515" s="90" t="s">
        <v>7</v>
      </c>
      <c r="C515" s="90" t="s">
        <v>537</v>
      </c>
      <c r="D515" s="90" t="s">
        <v>538</v>
      </c>
      <c r="E515" s="90">
        <v>1</v>
      </c>
      <c r="F515" s="100">
        <v>213280.13</v>
      </c>
      <c r="G515" s="100">
        <v>213280.13</v>
      </c>
    </row>
    <row r="516" spans="1:7" x14ac:dyDescent="0.35">
      <c r="A516" s="90">
        <v>15</v>
      </c>
      <c r="B516" s="90" t="s">
        <v>7</v>
      </c>
      <c r="C516" s="90" t="s">
        <v>377</v>
      </c>
      <c r="D516" s="90" t="s">
        <v>539</v>
      </c>
      <c r="E516" s="90">
        <v>1</v>
      </c>
      <c r="F516" s="100">
        <v>1825287.45</v>
      </c>
      <c r="G516" s="100">
        <v>1825287.45</v>
      </c>
    </row>
    <row r="517" spans="1:7" x14ac:dyDescent="0.35">
      <c r="A517" s="90">
        <v>15</v>
      </c>
      <c r="B517" s="90" t="s">
        <v>7</v>
      </c>
      <c r="C517" s="90" t="s">
        <v>377</v>
      </c>
      <c r="D517" s="90" t="s">
        <v>540</v>
      </c>
      <c r="E517" s="90">
        <v>1</v>
      </c>
      <c r="F517" s="100">
        <v>13804696</v>
      </c>
      <c r="G517" s="100">
        <v>13804696</v>
      </c>
    </row>
    <row r="518" spans="1:7" x14ac:dyDescent="0.35">
      <c r="A518" s="90">
        <v>15</v>
      </c>
      <c r="B518" s="90" t="s">
        <v>10</v>
      </c>
      <c r="C518" s="90" t="s">
        <v>390</v>
      </c>
      <c r="D518" s="90" t="s">
        <v>391</v>
      </c>
      <c r="E518" s="90">
        <v>10.1</v>
      </c>
      <c r="F518" s="100">
        <v>33000</v>
      </c>
      <c r="G518" s="100">
        <v>333300</v>
      </c>
    </row>
    <row r="519" spans="1:7" x14ac:dyDescent="0.35">
      <c r="A519" s="90">
        <v>15</v>
      </c>
      <c r="B519" s="90" t="s">
        <v>10</v>
      </c>
      <c r="C519" s="90" t="s">
        <v>62</v>
      </c>
      <c r="D519" s="90" t="s">
        <v>541</v>
      </c>
      <c r="E519" s="90">
        <v>8.1999999999999993</v>
      </c>
      <c r="F519" s="100">
        <v>21500</v>
      </c>
      <c r="G519" s="100">
        <v>176300</v>
      </c>
    </row>
    <row r="520" spans="1:7" x14ac:dyDescent="0.35">
      <c r="A520" s="90">
        <v>15</v>
      </c>
      <c r="B520" s="90" t="s">
        <v>10</v>
      </c>
      <c r="C520" s="90" t="s">
        <v>11</v>
      </c>
      <c r="D520" s="90" t="s">
        <v>392</v>
      </c>
      <c r="E520" s="90">
        <v>44</v>
      </c>
      <c r="F520" s="100">
        <v>7700</v>
      </c>
      <c r="G520" s="100">
        <v>338800</v>
      </c>
    </row>
    <row r="521" spans="1:7" x14ac:dyDescent="0.35">
      <c r="A521" s="90">
        <v>15</v>
      </c>
      <c r="B521" s="90" t="s">
        <v>10</v>
      </c>
      <c r="C521" s="90" t="s">
        <v>164</v>
      </c>
      <c r="D521" s="90" t="s">
        <v>542</v>
      </c>
      <c r="E521" s="90">
        <v>8.5</v>
      </c>
      <c r="F521" s="100">
        <v>17000</v>
      </c>
      <c r="G521" s="100">
        <v>144500</v>
      </c>
    </row>
    <row r="522" spans="1:7" x14ac:dyDescent="0.35">
      <c r="A522" s="90">
        <v>15</v>
      </c>
      <c r="B522" s="90" t="s">
        <v>57</v>
      </c>
      <c r="C522" s="90" t="s">
        <v>60</v>
      </c>
      <c r="D522" s="90" t="s">
        <v>61</v>
      </c>
      <c r="E522" s="90">
        <v>2</v>
      </c>
      <c r="F522" s="100">
        <v>5000</v>
      </c>
      <c r="G522" s="100">
        <v>10000</v>
      </c>
    </row>
    <row r="523" spans="1:7" x14ac:dyDescent="0.35">
      <c r="A523" s="90">
        <v>15</v>
      </c>
      <c r="B523" s="90" t="s">
        <v>57</v>
      </c>
      <c r="C523" s="90" t="s">
        <v>58</v>
      </c>
      <c r="D523" s="90" t="s">
        <v>59</v>
      </c>
      <c r="E523" s="90">
        <v>2</v>
      </c>
      <c r="F523" s="100">
        <v>9500</v>
      </c>
      <c r="G523" s="100">
        <v>19000</v>
      </c>
    </row>
    <row r="524" spans="1:7" x14ac:dyDescent="0.35">
      <c r="A524" s="90">
        <v>15</v>
      </c>
      <c r="B524" s="90" t="s">
        <v>10</v>
      </c>
      <c r="C524" s="90" t="s">
        <v>173</v>
      </c>
      <c r="D524" s="90" t="s">
        <v>174</v>
      </c>
      <c r="E524" s="90">
        <v>26</v>
      </c>
      <c r="F524" s="100">
        <v>16500</v>
      </c>
      <c r="G524" s="100">
        <v>429000</v>
      </c>
    </row>
    <row r="525" spans="1:7" x14ac:dyDescent="0.35">
      <c r="A525" s="90">
        <v>15</v>
      </c>
      <c r="B525" s="90" t="s">
        <v>10</v>
      </c>
      <c r="C525" s="90" t="s">
        <v>171</v>
      </c>
      <c r="D525" s="90" t="s">
        <v>172</v>
      </c>
      <c r="E525" s="90">
        <v>48.7</v>
      </c>
      <c r="F525" s="100">
        <v>21900</v>
      </c>
      <c r="G525" s="100">
        <v>1066530</v>
      </c>
    </row>
    <row r="526" spans="1:7" x14ac:dyDescent="0.35">
      <c r="A526" s="90">
        <v>15</v>
      </c>
      <c r="B526" s="90" t="s">
        <v>10</v>
      </c>
      <c r="C526" s="90" t="s">
        <v>352</v>
      </c>
      <c r="D526" s="90" t="s">
        <v>353</v>
      </c>
      <c r="E526" s="90">
        <v>23.2</v>
      </c>
      <c r="F526" s="100">
        <v>26900</v>
      </c>
      <c r="G526" s="100">
        <v>624080</v>
      </c>
    </row>
    <row r="527" spans="1:7" x14ac:dyDescent="0.35">
      <c r="A527" s="90">
        <v>15</v>
      </c>
      <c r="B527" s="90" t="s">
        <v>18</v>
      </c>
      <c r="C527" s="90" t="s">
        <v>169</v>
      </c>
      <c r="D527" s="90" t="s">
        <v>170</v>
      </c>
      <c r="E527" s="90">
        <v>12</v>
      </c>
      <c r="F527" s="100">
        <v>16386.580000000002</v>
      </c>
      <c r="G527" s="100">
        <v>196639</v>
      </c>
    </row>
    <row r="528" spans="1:7" x14ac:dyDescent="0.35">
      <c r="A528" s="90">
        <v>15</v>
      </c>
      <c r="B528" s="90" t="s">
        <v>10</v>
      </c>
      <c r="C528" s="90" t="s">
        <v>354</v>
      </c>
      <c r="D528" s="90" t="s">
        <v>355</v>
      </c>
      <c r="E528" s="90">
        <v>18.260000000000002</v>
      </c>
      <c r="F528" s="100">
        <v>11500</v>
      </c>
      <c r="G528" s="100">
        <v>209990</v>
      </c>
    </row>
    <row r="529" spans="1:7" x14ac:dyDescent="0.35">
      <c r="A529" s="90">
        <v>15</v>
      </c>
      <c r="B529" s="90" t="s">
        <v>10</v>
      </c>
      <c r="C529" s="90" t="s">
        <v>350</v>
      </c>
      <c r="D529" s="90" t="s">
        <v>351</v>
      </c>
      <c r="E529" s="90">
        <v>28.1</v>
      </c>
      <c r="F529" s="100">
        <v>15900</v>
      </c>
      <c r="G529" s="100">
        <v>446790</v>
      </c>
    </row>
    <row r="530" spans="1:7" x14ac:dyDescent="0.35">
      <c r="A530" s="90">
        <v>15</v>
      </c>
      <c r="B530" s="90" t="s">
        <v>18</v>
      </c>
      <c r="C530" s="90" t="s">
        <v>543</v>
      </c>
      <c r="D530" s="90" t="s">
        <v>544</v>
      </c>
      <c r="E530" s="90">
        <v>10</v>
      </c>
      <c r="F530" s="100">
        <v>11900</v>
      </c>
      <c r="G530" s="100">
        <v>119000</v>
      </c>
    </row>
    <row r="531" spans="1:7" x14ac:dyDescent="0.35">
      <c r="A531" s="116">
        <v>15</v>
      </c>
      <c r="B531" s="127" t="s">
        <v>15</v>
      </c>
      <c r="C531" s="127" t="s">
        <v>150</v>
      </c>
      <c r="D531" s="127" t="s">
        <v>151</v>
      </c>
      <c r="E531" s="132">
        <v>200</v>
      </c>
      <c r="F531" s="141">
        <v>440</v>
      </c>
      <c r="G531" s="141">
        <v>88000</v>
      </c>
    </row>
    <row r="532" spans="1:7" x14ac:dyDescent="0.35">
      <c r="A532" s="116">
        <v>15</v>
      </c>
      <c r="B532" s="127" t="s">
        <v>15</v>
      </c>
      <c r="C532" s="127" t="s">
        <v>120</v>
      </c>
      <c r="D532" s="127" t="s">
        <v>121</v>
      </c>
      <c r="E532" s="132">
        <v>2</v>
      </c>
      <c r="F532" s="141">
        <v>6200</v>
      </c>
      <c r="G532" s="141">
        <v>12400</v>
      </c>
    </row>
    <row r="533" spans="1:7" x14ac:dyDescent="0.35">
      <c r="A533" s="116">
        <v>15</v>
      </c>
      <c r="B533" s="127" t="s">
        <v>15</v>
      </c>
      <c r="C533" s="127" t="s">
        <v>321</v>
      </c>
      <c r="D533" s="127" t="s">
        <v>322</v>
      </c>
      <c r="E533" s="132">
        <v>2</v>
      </c>
      <c r="F533" s="141">
        <v>2500</v>
      </c>
      <c r="G533" s="141">
        <v>5000</v>
      </c>
    </row>
    <row r="534" spans="1:7" x14ac:dyDescent="0.35">
      <c r="A534" s="116">
        <v>15</v>
      </c>
      <c r="B534" s="127" t="s">
        <v>15</v>
      </c>
      <c r="C534" s="127" t="s">
        <v>43</v>
      </c>
      <c r="D534" s="127" t="s">
        <v>44</v>
      </c>
      <c r="E534" s="132">
        <v>10</v>
      </c>
      <c r="F534" s="141">
        <v>400</v>
      </c>
      <c r="G534" s="141">
        <v>4000</v>
      </c>
    </row>
    <row r="535" spans="1:7" x14ac:dyDescent="0.35">
      <c r="A535" s="116">
        <v>15</v>
      </c>
      <c r="B535" s="127" t="s">
        <v>15</v>
      </c>
      <c r="C535" s="127" t="s">
        <v>102</v>
      </c>
      <c r="D535" s="127" t="s">
        <v>103</v>
      </c>
      <c r="E535" s="132">
        <v>20</v>
      </c>
      <c r="F535" s="141">
        <v>900</v>
      </c>
      <c r="G535" s="141">
        <v>18000</v>
      </c>
    </row>
    <row r="536" spans="1:7" x14ac:dyDescent="0.35">
      <c r="A536" s="116">
        <v>15</v>
      </c>
      <c r="B536" s="127" t="s">
        <v>15</v>
      </c>
      <c r="C536" s="127" t="s">
        <v>809</v>
      </c>
      <c r="D536" s="127" t="s">
        <v>286</v>
      </c>
      <c r="E536" s="132">
        <v>2</v>
      </c>
      <c r="F536" s="141">
        <v>27500</v>
      </c>
      <c r="G536" s="141">
        <v>55000</v>
      </c>
    </row>
    <row r="537" spans="1:7" x14ac:dyDescent="0.35">
      <c r="A537" s="116">
        <v>15</v>
      </c>
      <c r="B537" s="127" t="s">
        <v>15</v>
      </c>
      <c r="C537" s="127" t="s">
        <v>305</v>
      </c>
      <c r="D537" s="127" t="s">
        <v>822</v>
      </c>
      <c r="E537" s="132">
        <v>5</v>
      </c>
      <c r="F537" s="141">
        <v>15850</v>
      </c>
      <c r="G537" s="141">
        <v>79250</v>
      </c>
    </row>
    <row r="538" spans="1:7" x14ac:dyDescent="0.35">
      <c r="A538" s="116">
        <v>15</v>
      </c>
      <c r="B538" s="127" t="s">
        <v>15</v>
      </c>
      <c r="C538" s="127" t="s">
        <v>41</v>
      </c>
      <c r="D538" s="127" t="s">
        <v>42</v>
      </c>
      <c r="E538" s="132">
        <v>6</v>
      </c>
      <c r="F538" s="141">
        <v>2500</v>
      </c>
      <c r="G538" s="141">
        <v>15000</v>
      </c>
    </row>
    <row r="539" spans="1:7" x14ac:dyDescent="0.35">
      <c r="A539" s="116">
        <v>15</v>
      </c>
      <c r="B539" s="127" t="s">
        <v>15</v>
      </c>
      <c r="C539" s="127" t="s">
        <v>39</v>
      </c>
      <c r="D539" s="127" t="s">
        <v>308</v>
      </c>
      <c r="E539" s="132">
        <v>150</v>
      </c>
      <c r="F539" s="141">
        <v>390</v>
      </c>
      <c r="G539" s="141">
        <v>58500</v>
      </c>
    </row>
    <row r="540" spans="1:7" x14ac:dyDescent="0.35">
      <c r="A540" s="116">
        <v>15</v>
      </c>
      <c r="B540" s="127" t="s">
        <v>15</v>
      </c>
      <c r="C540" s="127" t="s">
        <v>51</v>
      </c>
      <c r="D540" s="127" t="s">
        <v>52</v>
      </c>
      <c r="E540" s="132">
        <v>5</v>
      </c>
      <c r="F540" s="141">
        <v>9600</v>
      </c>
      <c r="G540" s="141">
        <v>48000</v>
      </c>
    </row>
    <row r="541" spans="1:7" x14ac:dyDescent="0.35">
      <c r="A541" s="116">
        <v>15</v>
      </c>
      <c r="B541" s="127" t="s">
        <v>15</v>
      </c>
      <c r="C541" s="127" t="s">
        <v>37</v>
      </c>
      <c r="D541" s="127" t="s">
        <v>38</v>
      </c>
      <c r="E541" s="132">
        <v>5</v>
      </c>
      <c r="F541" s="141">
        <v>10600</v>
      </c>
      <c r="G541" s="141">
        <v>53000</v>
      </c>
    </row>
    <row r="542" spans="1:7" x14ac:dyDescent="0.35">
      <c r="A542" s="116">
        <v>15</v>
      </c>
      <c r="B542" s="127" t="s">
        <v>15</v>
      </c>
      <c r="C542" s="127" t="s">
        <v>136</v>
      </c>
      <c r="D542" s="127" t="s">
        <v>137</v>
      </c>
      <c r="E542" s="132">
        <v>5</v>
      </c>
      <c r="F542" s="141">
        <v>2100</v>
      </c>
      <c r="G542" s="141">
        <v>10500</v>
      </c>
    </row>
    <row r="543" spans="1:7" x14ac:dyDescent="0.35">
      <c r="A543" s="116">
        <v>15</v>
      </c>
      <c r="B543" s="127" t="s">
        <v>15</v>
      </c>
      <c r="C543" s="127" t="s">
        <v>124</v>
      </c>
      <c r="D543" s="127" t="s">
        <v>125</v>
      </c>
      <c r="E543" s="132">
        <v>1</v>
      </c>
      <c r="F543" s="141">
        <v>19850</v>
      </c>
      <c r="G543" s="141">
        <v>19850</v>
      </c>
    </row>
    <row r="544" spans="1:7" x14ac:dyDescent="0.35">
      <c r="A544" s="116">
        <v>15</v>
      </c>
      <c r="B544" s="127" t="s">
        <v>15</v>
      </c>
      <c r="C544" s="127" t="s">
        <v>150</v>
      </c>
      <c r="D544" s="127" t="s">
        <v>151</v>
      </c>
      <c r="E544" s="132">
        <v>200</v>
      </c>
      <c r="F544" s="141">
        <v>440</v>
      </c>
      <c r="G544" s="141">
        <v>88000</v>
      </c>
    </row>
    <row r="545" spans="1:7" x14ac:dyDescent="0.35">
      <c r="A545" s="116">
        <v>15</v>
      </c>
      <c r="B545" s="127" t="s">
        <v>15</v>
      </c>
      <c r="C545" s="127" t="s">
        <v>140</v>
      </c>
      <c r="D545" s="127" t="s">
        <v>141</v>
      </c>
      <c r="E545" s="132">
        <v>1</v>
      </c>
      <c r="F545" s="141">
        <v>30350</v>
      </c>
      <c r="G545" s="141">
        <v>30350</v>
      </c>
    </row>
    <row r="546" spans="1:7" x14ac:dyDescent="0.35">
      <c r="A546" s="116">
        <v>15</v>
      </c>
      <c r="B546" s="127" t="s">
        <v>15</v>
      </c>
      <c r="C546" s="127" t="s">
        <v>152</v>
      </c>
      <c r="D546" s="127" t="s">
        <v>153</v>
      </c>
      <c r="E546" s="132">
        <v>1</v>
      </c>
      <c r="F546" s="141">
        <v>18650</v>
      </c>
      <c r="G546" s="141">
        <v>18650</v>
      </c>
    </row>
    <row r="547" spans="1:7" x14ac:dyDescent="0.35">
      <c r="A547" s="116">
        <v>15</v>
      </c>
      <c r="B547" s="127" t="s">
        <v>15</v>
      </c>
      <c r="C547" s="127" t="s">
        <v>134</v>
      </c>
      <c r="D547" s="127" t="s">
        <v>135</v>
      </c>
      <c r="E547" s="132">
        <v>10</v>
      </c>
      <c r="F547" s="141">
        <v>15800</v>
      </c>
      <c r="G547" s="141">
        <v>158000</v>
      </c>
    </row>
    <row r="548" spans="1:7" x14ac:dyDescent="0.35">
      <c r="A548" s="116">
        <v>15</v>
      </c>
      <c r="B548" s="127" t="s">
        <v>15</v>
      </c>
      <c r="C548" s="127" t="s">
        <v>132</v>
      </c>
      <c r="D548" s="127" t="s">
        <v>133</v>
      </c>
      <c r="E548" s="132">
        <v>3</v>
      </c>
      <c r="F548" s="141">
        <v>4850</v>
      </c>
      <c r="G548" s="141">
        <v>14550</v>
      </c>
    </row>
    <row r="549" spans="1:7" x14ac:dyDescent="0.35">
      <c r="A549" s="116">
        <v>15</v>
      </c>
      <c r="B549" s="127" t="s">
        <v>15</v>
      </c>
      <c r="C549" s="127" t="s">
        <v>53</v>
      </c>
      <c r="D549" s="127" t="s">
        <v>54</v>
      </c>
      <c r="E549" s="132">
        <v>6</v>
      </c>
      <c r="F549" s="141">
        <v>2400</v>
      </c>
      <c r="G549" s="141">
        <v>14400</v>
      </c>
    </row>
    <row r="550" spans="1:7" x14ac:dyDescent="0.35">
      <c r="A550" s="116">
        <v>15</v>
      </c>
      <c r="B550" s="127" t="s">
        <v>15</v>
      </c>
      <c r="C550" s="127" t="s">
        <v>130</v>
      </c>
      <c r="D550" s="127" t="s">
        <v>131</v>
      </c>
      <c r="E550" s="132">
        <v>3</v>
      </c>
      <c r="F550" s="141">
        <v>2750</v>
      </c>
      <c r="G550" s="141">
        <v>8250</v>
      </c>
    </row>
    <row r="551" spans="1:7" x14ac:dyDescent="0.35">
      <c r="A551" s="116">
        <v>15</v>
      </c>
      <c r="B551" s="127" t="s">
        <v>15</v>
      </c>
      <c r="C551" s="127" t="s">
        <v>128</v>
      </c>
      <c r="D551" s="127" t="s">
        <v>129</v>
      </c>
      <c r="E551" s="132">
        <v>2</v>
      </c>
      <c r="F551" s="141">
        <v>7200</v>
      </c>
      <c r="G551" s="141">
        <v>14400</v>
      </c>
    </row>
    <row r="552" spans="1:7" x14ac:dyDescent="0.35">
      <c r="A552" s="116">
        <v>15</v>
      </c>
      <c r="B552" s="127" t="s">
        <v>15</v>
      </c>
      <c r="C552" s="127" t="s">
        <v>126</v>
      </c>
      <c r="D552" s="127" t="s">
        <v>127</v>
      </c>
      <c r="E552" s="132">
        <v>1</v>
      </c>
      <c r="F552" s="141">
        <v>23800</v>
      </c>
      <c r="G552" s="141">
        <v>23800</v>
      </c>
    </row>
    <row r="553" spans="1:7" x14ac:dyDescent="0.35">
      <c r="A553" s="116">
        <v>15</v>
      </c>
      <c r="B553" s="127" t="s">
        <v>15</v>
      </c>
      <c r="C553" s="127" t="s">
        <v>98</v>
      </c>
      <c r="D553" s="127" t="s">
        <v>99</v>
      </c>
      <c r="E553" s="132">
        <v>1</v>
      </c>
      <c r="F553" s="141">
        <v>8700</v>
      </c>
      <c r="G553" s="141">
        <v>8700</v>
      </c>
    </row>
    <row r="554" spans="1:7" x14ac:dyDescent="0.35">
      <c r="A554" s="116">
        <v>15</v>
      </c>
      <c r="B554" s="127" t="s">
        <v>15</v>
      </c>
      <c r="C554" s="127" t="s">
        <v>122</v>
      </c>
      <c r="D554" s="127" t="s">
        <v>123</v>
      </c>
      <c r="E554" s="132">
        <v>1</v>
      </c>
      <c r="F554" s="141">
        <v>8100</v>
      </c>
      <c r="G554" s="141">
        <v>8100</v>
      </c>
    </row>
    <row r="555" spans="1:7" x14ac:dyDescent="0.35">
      <c r="A555" s="116">
        <v>15</v>
      </c>
      <c r="B555" s="127" t="s">
        <v>15</v>
      </c>
      <c r="C555" s="127" t="s">
        <v>812</v>
      </c>
      <c r="D555" s="127" t="s">
        <v>813</v>
      </c>
      <c r="E555" s="132">
        <v>1</v>
      </c>
      <c r="F555" s="141">
        <v>21700</v>
      </c>
      <c r="G555" s="141">
        <v>21700</v>
      </c>
    </row>
    <row r="556" spans="1:7" x14ac:dyDescent="0.35">
      <c r="A556" s="116">
        <v>15</v>
      </c>
      <c r="B556" s="127" t="s">
        <v>15</v>
      </c>
      <c r="C556" s="127" t="s">
        <v>815</v>
      </c>
      <c r="D556" s="127" t="s">
        <v>287</v>
      </c>
      <c r="E556" s="132">
        <v>100</v>
      </c>
      <c r="F556" s="141">
        <v>4250</v>
      </c>
      <c r="G556" s="141">
        <v>425000</v>
      </c>
    </row>
    <row r="557" spans="1:7" x14ac:dyDescent="0.35">
      <c r="A557" s="116">
        <v>15</v>
      </c>
      <c r="B557" s="127" t="s">
        <v>15</v>
      </c>
      <c r="C557" s="127" t="s">
        <v>186</v>
      </c>
      <c r="D557" s="127" t="s">
        <v>823</v>
      </c>
      <c r="E557" s="132">
        <v>1</v>
      </c>
      <c r="F557" s="141">
        <v>22500</v>
      </c>
      <c r="G557" s="141">
        <v>22500</v>
      </c>
    </row>
    <row r="558" spans="1:7" x14ac:dyDescent="0.35">
      <c r="A558" s="116">
        <v>15</v>
      </c>
      <c r="B558" s="127" t="s">
        <v>15</v>
      </c>
      <c r="C558" s="127" t="s">
        <v>156</v>
      </c>
      <c r="D558" s="127" t="s">
        <v>157</v>
      </c>
      <c r="E558" s="132">
        <v>6</v>
      </c>
      <c r="F558" s="141">
        <v>5200</v>
      </c>
      <c r="G558" s="141">
        <v>31200</v>
      </c>
    </row>
    <row r="559" spans="1:7" x14ac:dyDescent="0.35">
      <c r="A559" s="116">
        <v>15</v>
      </c>
      <c r="B559" s="127" t="s">
        <v>15</v>
      </c>
      <c r="C559" s="127" t="s">
        <v>110</v>
      </c>
      <c r="D559" s="127" t="s">
        <v>111</v>
      </c>
      <c r="E559" s="132">
        <v>1</v>
      </c>
      <c r="F559" s="141">
        <v>17500</v>
      </c>
      <c r="G559" s="141">
        <v>17500</v>
      </c>
    </row>
    <row r="560" spans="1:7" x14ac:dyDescent="0.35">
      <c r="A560" s="116">
        <v>15</v>
      </c>
      <c r="B560" s="127" t="s">
        <v>15</v>
      </c>
      <c r="C560" s="127" t="s">
        <v>290</v>
      </c>
      <c r="D560" s="127" t="s">
        <v>291</v>
      </c>
      <c r="E560" s="132">
        <v>5</v>
      </c>
      <c r="F560" s="141">
        <v>2600</v>
      </c>
      <c r="G560" s="141">
        <v>13000</v>
      </c>
    </row>
    <row r="561" spans="1:7" x14ac:dyDescent="0.35">
      <c r="A561" s="116">
        <v>15</v>
      </c>
      <c r="B561" s="127" t="s">
        <v>15</v>
      </c>
      <c r="C561" s="127" t="s">
        <v>112</v>
      </c>
      <c r="D561" s="127" t="s">
        <v>113</v>
      </c>
      <c r="E561" s="132">
        <v>5</v>
      </c>
      <c r="F561" s="141">
        <v>4800</v>
      </c>
      <c r="G561" s="141">
        <v>24000</v>
      </c>
    </row>
    <row r="562" spans="1:7" x14ac:dyDescent="0.35">
      <c r="A562" s="116">
        <v>15</v>
      </c>
      <c r="B562" s="127" t="s">
        <v>15</v>
      </c>
      <c r="C562" s="127" t="s">
        <v>116</v>
      </c>
      <c r="D562" s="127" t="s">
        <v>117</v>
      </c>
      <c r="E562" s="132">
        <v>5</v>
      </c>
      <c r="F562" s="141">
        <v>2600</v>
      </c>
      <c r="G562" s="141">
        <v>13000</v>
      </c>
    </row>
    <row r="563" spans="1:7" x14ac:dyDescent="0.35">
      <c r="A563" s="116">
        <v>15</v>
      </c>
      <c r="B563" s="127" t="s">
        <v>15</v>
      </c>
      <c r="C563" s="127" t="s">
        <v>421</v>
      </c>
      <c r="D563" s="127" t="s">
        <v>422</v>
      </c>
      <c r="E563" s="132">
        <v>1</v>
      </c>
      <c r="F563" s="141">
        <v>4900</v>
      </c>
      <c r="G563" s="141">
        <v>4900</v>
      </c>
    </row>
    <row r="564" spans="1:7" x14ac:dyDescent="0.35">
      <c r="A564" s="116">
        <v>15</v>
      </c>
      <c r="B564" s="127" t="s">
        <v>15</v>
      </c>
      <c r="C564" s="127" t="s">
        <v>292</v>
      </c>
      <c r="D564" s="127" t="s">
        <v>293</v>
      </c>
      <c r="E564" s="132">
        <v>10</v>
      </c>
      <c r="F564" s="141">
        <v>450</v>
      </c>
      <c r="G564" s="141">
        <v>4500</v>
      </c>
    </row>
    <row r="565" spans="1:7" x14ac:dyDescent="0.35">
      <c r="A565" s="116">
        <v>15</v>
      </c>
      <c r="B565" s="127" t="s">
        <v>15</v>
      </c>
      <c r="C565" s="127" t="s">
        <v>47</v>
      </c>
      <c r="D565" s="127" t="s">
        <v>294</v>
      </c>
      <c r="E565" s="132">
        <v>10</v>
      </c>
      <c r="F565" s="141">
        <v>450</v>
      </c>
      <c r="G565" s="141">
        <v>4500</v>
      </c>
    </row>
    <row r="566" spans="1:7" x14ac:dyDescent="0.35">
      <c r="A566" s="116">
        <v>15</v>
      </c>
      <c r="B566" s="127" t="s">
        <v>15</v>
      </c>
      <c r="C566" s="127" t="s">
        <v>118</v>
      </c>
      <c r="D566" s="127" t="s">
        <v>119</v>
      </c>
      <c r="E566" s="132">
        <v>1</v>
      </c>
      <c r="F566" s="141">
        <v>15100</v>
      </c>
      <c r="G566" s="141">
        <v>15100</v>
      </c>
    </row>
    <row r="567" spans="1:7" x14ac:dyDescent="0.35">
      <c r="A567" s="90">
        <v>16</v>
      </c>
      <c r="B567" s="90" t="s">
        <v>21</v>
      </c>
      <c r="C567" s="90" t="s">
        <v>545</v>
      </c>
      <c r="D567" s="90" t="s">
        <v>546</v>
      </c>
      <c r="E567" s="90">
        <v>1</v>
      </c>
      <c r="F567" s="100">
        <v>3650</v>
      </c>
      <c r="G567" s="100">
        <v>3650</v>
      </c>
    </row>
    <row r="568" spans="1:7" x14ac:dyDescent="0.35">
      <c r="A568" s="90">
        <v>16</v>
      </c>
      <c r="B568" s="90" t="s">
        <v>21</v>
      </c>
      <c r="C568" s="90" t="s">
        <v>22</v>
      </c>
      <c r="D568" s="90" t="s">
        <v>547</v>
      </c>
      <c r="E568" s="90">
        <v>7</v>
      </c>
      <c r="F568" s="100">
        <v>1912</v>
      </c>
      <c r="G568" s="100">
        <v>13384</v>
      </c>
    </row>
    <row r="569" spans="1:7" x14ac:dyDescent="0.35">
      <c r="A569" s="90">
        <v>16</v>
      </c>
      <c r="B569" s="90" t="s">
        <v>7</v>
      </c>
      <c r="C569" s="90" t="s">
        <v>548</v>
      </c>
      <c r="D569" s="90" t="s">
        <v>549</v>
      </c>
      <c r="E569" s="90">
        <v>1</v>
      </c>
      <c r="F569" s="100">
        <v>1250000</v>
      </c>
      <c r="G569" s="100">
        <v>1250000</v>
      </c>
    </row>
    <row r="570" spans="1:7" x14ac:dyDescent="0.35">
      <c r="A570" s="90">
        <v>16</v>
      </c>
      <c r="B570" s="90" t="s">
        <v>18</v>
      </c>
      <c r="C570" s="90" t="s">
        <v>30</v>
      </c>
      <c r="D570" s="90" t="s">
        <v>550</v>
      </c>
      <c r="E570" s="90">
        <v>20</v>
      </c>
      <c r="F570" s="100">
        <v>6000</v>
      </c>
      <c r="G570" s="100">
        <v>120000</v>
      </c>
    </row>
    <row r="571" spans="1:7" x14ac:dyDescent="0.35">
      <c r="A571" s="90">
        <v>16</v>
      </c>
      <c r="B571" s="90" t="s">
        <v>21</v>
      </c>
      <c r="C571" s="90" t="s">
        <v>202</v>
      </c>
      <c r="D571" s="90" t="s">
        <v>534</v>
      </c>
      <c r="E571" s="90">
        <v>150</v>
      </c>
      <c r="F571" s="100">
        <v>150</v>
      </c>
      <c r="G571" s="100">
        <v>22500</v>
      </c>
    </row>
    <row r="572" spans="1:7" x14ac:dyDescent="0.35">
      <c r="A572" s="90">
        <v>16</v>
      </c>
      <c r="B572" s="90" t="s">
        <v>18</v>
      </c>
      <c r="C572" s="90" t="s">
        <v>207</v>
      </c>
      <c r="D572" s="90" t="s">
        <v>208</v>
      </c>
      <c r="E572" s="90">
        <v>20</v>
      </c>
      <c r="F572" s="100">
        <v>4500</v>
      </c>
      <c r="G572" s="100">
        <v>90000</v>
      </c>
    </row>
    <row r="573" spans="1:7" x14ac:dyDescent="0.35">
      <c r="A573" s="90">
        <v>16</v>
      </c>
      <c r="B573" s="90" t="s">
        <v>18</v>
      </c>
      <c r="C573" s="90" t="s">
        <v>207</v>
      </c>
      <c r="D573" s="90" t="s">
        <v>551</v>
      </c>
      <c r="E573" s="90">
        <v>22</v>
      </c>
      <c r="F573" s="100">
        <v>4500</v>
      </c>
      <c r="G573" s="100">
        <v>99000</v>
      </c>
    </row>
    <row r="574" spans="1:7" x14ac:dyDescent="0.35">
      <c r="A574" s="90">
        <v>16</v>
      </c>
      <c r="B574" s="90" t="s">
        <v>7</v>
      </c>
      <c r="C574" s="90" t="s">
        <v>411</v>
      </c>
      <c r="D574" s="90" t="s">
        <v>552</v>
      </c>
      <c r="E574" s="90">
        <v>1</v>
      </c>
      <c r="F574" s="100">
        <v>10000</v>
      </c>
      <c r="G574" s="100">
        <v>10000</v>
      </c>
    </row>
    <row r="575" spans="1:7" x14ac:dyDescent="0.35">
      <c r="A575" s="90">
        <v>16</v>
      </c>
      <c r="B575" s="90" t="s">
        <v>7</v>
      </c>
      <c r="C575" s="90" t="s">
        <v>8</v>
      </c>
      <c r="D575" s="90" t="s">
        <v>553</v>
      </c>
      <c r="E575" s="90">
        <v>1</v>
      </c>
      <c r="F575" s="100">
        <v>66000</v>
      </c>
      <c r="G575" s="100">
        <v>66000</v>
      </c>
    </row>
    <row r="576" spans="1:7" x14ac:dyDescent="0.35">
      <c r="A576" s="90">
        <v>16</v>
      </c>
      <c r="B576" s="90" t="s">
        <v>7</v>
      </c>
      <c r="C576" s="90" t="s">
        <v>554</v>
      </c>
      <c r="D576" s="90" t="s">
        <v>555</v>
      </c>
      <c r="E576" s="90">
        <v>1</v>
      </c>
      <c r="F576" s="100">
        <v>160500</v>
      </c>
      <c r="G576" s="100">
        <v>160500</v>
      </c>
    </row>
    <row r="577" spans="1:7" x14ac:dyDescent="0.35">
      <c r="A577" s="90">
        <v>16</v>
      </c>
      <c r="B577" s="90" t="s">
        <v>21</v>
      </c>
      <c r="C577" s="90" t="s">
        <v>556</v>
      </c>
      <c r="D577" s="90" t="s">
        <v>557</v>
      </c>
      <c r="E577" s="90">
        <v>1</v>
      </c>
      <c r="F577" s="100">
        <v>47700</v>
      </c>
      <c r="G577" s="100">
        <v>47700</v>
      </c>
    </row>
    <row r="578" spans="1:7" x14ac:dyDescent="0.35">
      <c r="A578" s="90">
        <v>16</v>
      </c>
      <c r="B578" s="90" t="s">
        <v>57</v>
      </c>
      <c r="C578" s="90" t="s">
        <v>558</v>
      </c>
      <c r="D578" s="90" t="s">
        <v>559</v>
      </c>
      <c r="E578" s="90">
        <v>1</v>
      </c>
      <c r="F578" s="100">
        <v>25600</v>
      </c>
      <c r="G578" s="100">
        <v>25600</v>
      </c>
    </row>
    <row r="579" spans="1:7" x14ac:dyDescent="0.35">
      <c r="A579" s="90">
        <v>16</v>
      </c>
      <c r="B579" s="90" t="s">
        <v>57</v>
      </c>
      <c r="C579" s="90" t="s">
        <v>269</v>
      </c>
      <c r="D579" s="90" t="s">
        <v>270</v>
      </c>
      <c r="E579" s="90">
        <v>1</v>
      </c>
      <c r="F579" s="100">
        <v>53661</v>
      </c>
      <c r="G579" s="100">
        <v>53661</v>
      </c>
    </row>
    <row r="580" spans="1:7" x14ac:dyDescent="0.35">
      <c r="A580" s="90">
        <v>16</v>
      </c>
      <c r="B580" s="90" t="s">
        <v>7</v>
      </c>
      <c r="C580" s="90" t="s">
        <v>387</v>
      </c>
      <c r="D580" s="90" t="s">
        <v>560</v>
      </c>
      <c r="E580" s="90">
        <v>1</v>
      </c>
      <c r="F580" s="100">
        <v>5024323</v>
      </c>
      <c r="G580" s="100">
        <v>5024323</v>
      </c>
    </row>
    <row r="581" spans="1:7" x14ac:dyDescent="0.35">
      <c r="A581" s="90">
        <v>16</v>
      </c>
      <c r="B581" s="90" t="s">
        <v>7</v>
      </c>
      <c r="C581" s="90" t="s">
        <v>423</v>
      </c>
      <c r="D581" s="90" t="s">
        <v>561</v>
      </c>
      <c r="E581" s="90">
        <v>1</v>
      </c>
      <c r="F581" s="100">
        <v>72000</v>
      </c>
      <c r="G581" s="100">
        <v>72000</v>
      </c>
    </row>
    <row r="582" spans="1:7" x14ac:dyDescent="0.35">
      <c r="A582" s="90">
        <v>16</v>
      </c>
      <c r="B582" s="90" t="s">
        <v>57</v>
      </c>
      <c r="C582" s="90" t="s">
        <v>562</v>
      </c>
      <c r="D582" s="90" t="s">
        <v>563</v>
      </c>
      <c r="E582" s="90">
        <v>2</v>
      </c>
      <c r="F582" s="100">
        <v>5000</v>
      </c>
      <c r="G582" s="100">
        <v>10000</v>
      </c>
    </row>
    <row r="583" spans="1:7" x14ac:dyDescent="0.35">
      <c r="A583" s="90">
        <v>16</v>
      </c>
      <c r="B583" s="90" t="s">
        <v>57</v>
      </c>
      <c r="C583" s="90" t="s">
        <v>58</v>
      </c>
      <c r="D583" s="90" t="s">
        <v>59</v>
      </c>
      <c r="E583" s="90">
        <v>2</v>
      </c>
      <c r="F583" s="100">
        <v>9500</v>
      </c>
      <c r="G583" s="100">
        <v>19000</v>
      </c>
    </row>
    <row r="584" spans="1:7" x14ac:dyDescent="0.35">
      <c r="A584" s="90">
        <v>17</v>
      </c>
      <c r="B584" s="90" t="s">
        <v>7</v>
      </c>
      <c r="C584" s="90" t="s">
        <v>564</v>
      </c>
      <c r="D584" s="90" t="s">
        <v>565</v>
      </c>
      <c r="E584" s="90">
        <v>1</v>
      </c>
      <c r="F584" s="100">
        <v>1000000</v>
      </c>
      <c r="G584" s="100">
        <v>1000000</v>
      </c>
    </row>
    <row r="585" spans="1:7" x14ac:dyDescent="0.35">
      <c r="A585" s="90">
        <v>17</v>
      </c>
      <c r="B585" s="90" t="s">
        <v>21</v>
      </c>
      <c r="C585" s="90" t="s">
        <v>217</v>
      </c>
      <c r="D585" s="90" t="s">
        <v>566</v>
      </c>
      <c r="E585" s="90">
        <v>2</v>
      </c>
      <c r="F585" s="100">
        <v>340000</v>
      </c>
      <c r="G585" s="100">
        <v>680000</v>
      </c>
    </row>
    <row r="586" spans="1:7" x14ac:dyDescent="0.35">
      <c r="A586" s="90">
        <v>17</v>
      </c>
      <c r="B586" s="90" t="s">
        <v>21</v>
      </c>
      <c r="C586" s="90" t="s">
        <v>202</v>
      </c>
      <c r="D586" s="90" t="s">
        <v>534</v>
      </c>
      <c r="E586" s="90">
        <v>150</v>
      </c>
      <c r="F586" s="100">
        <v>150</v>
      </c>
      <c r="G586" s="100">
        <v>22500</v>
      </c>
    </row>
    <row r="587" spans="1:7" x14ac:dyDescent="0.35">
      <c r="A587" s="90">
        <v>17</v>
      </c>
      <c r="B587" s="90" t="s">
        <v>7</v>
      </c>
      <c r="C587" s="90" t="s">
        <v>8</v>
      </c>
      <c r="D587" s="90" t="s">
        <v>567</v>
      </c>
      <c r="E587" s="90">
        <v>1</v>
      </c>
      <c r="F587" s="100">
        <v>218000</v>
      </c>
      <c r="G587" s="100">
        <v>218000</v>
      </c>
    </row>
    <row r="588" spans="1:7" x14ac:dyDescent="0.35">
      <c r="A588" s="90">
        <v>17</v>
      </c>
      <c r="B588" s="90" t="s">
        <v>21</v>
      </c>
      <c r="C588" s="90" t="s">
        <v>568</v>
      </c>
      <c r="D588" s="90" t="s">
        <v>569</v>
      </c>
      <c r="E588" s="90">
        <v>1</v>
      </c>
      <c r="F588" s="100">
        <v>19000</v>
      </c>
      <c r="G588" s="100">
        <v>19000</v>
      </c>
    </row>
    <row r="589" spans="1:7" x14ac:dyDescent="0.35">
      <c r="A589" s="90">
        <v>17</v>
      </c>
      <c r="B589" s="90" t="s">
        <v>57</v>
      </c>
      <c r="C589" s="90" t="s">
        <v>58</v>
      </c>
      <c r="D589" s="90" t="s">
        <v>570</v>
      </c>
      <c r="E589" s="90">
        <v>2</v>
      </c>
      <c r="F589" s="100">
        <v>9500</v>
      </c>
      <c r="G589" s="100">
        <v>19000</v>
      </c>
    </row>
    <row r="590" spans="1:7" x14ac:dyDescent="0.35">
      <c r="A590" s="90">
        <v>17</v>
      </c>
      <c r="B590" s="90" t="s">
        <v>57</v>
      </c>
      <c r="C590" s="90" t="s">
        <v>442</v>
      </c>
      <c r="D590" s="90" t="s">
        <v>571</v>
      </c>
      <c r="E590" s="90">
        <v>1</v>
      </c>
      <c r="F590" s="100">
        <v>69700</v>
      </c>
      <c r="G590" s="100">
        <v>69700</v>
      </c>
    </row>
    <row r="591" spans="1:7" x14ac:dyDescent="0.35">
      <c r="A591" s="90">
        <v>17</v>
      </c>
      <c r="B591" s="90" t="s">
        <v>57</v>
      </c>
      <c r="C591" s="90" t="s">
        <v>437</v>
      </c>
      <c r="D591" s="90" t="s">
        <v>572</v>
      </c>
      <c r="E591" s="90">
        <v>1</v>
      </c>
      <c r="F591" s="100">
        <v>74500</v>
      </c>
      <c r="G591" s="100">
        <v>74500</v>
      </c>
    </row>
    <row r="592" spans="1:7" x14ac:dyDescent="0.35">
      <c r="A592" s="90">
        <v>17</v>
      </c>
      <c r="B592" s="90" t="s">
        <v>57</v>
      </c>
      <c r="C592" s="90" t="s">
        <v>444</v>
      </c>
      <c r="D592" s="90" t="s">
        <v>573</v>
      </c>
      <c r="E592" s="90">
        <v>1</v>
      </c>
      <c r="F592" s="100">
        <v>60900</v>
      </c>
      <c r="G592" s="100">
        <v>60900</v>
      </c>
    </row>
    <row r="593" spans="1:7" x14ac:dyDescent="0.35">
      <c r="A593" s="90">
        <v>17</v>
      </c>
      <c r="B593" s="90" t="s">
        <v>57</v>
      </c>
      <c r="C593" s="90" t="s">
        <v>435</v>
      </c>
      <c r="D593" s="90" t="s">
        <v>574</v>
      </c>
      <c r="E593" s="90">
        <v>1</v>
      </c>
      <c r="F593" s="100">
        <v>90500</v>
      </c>
      <c r="G593" s="100">
        <v>90500</v>
      </c>
    </row>
    <row r="594" spans="1:7" x14ac:dyDescent="0.35">
      <c r="A594" s="90">
        <v>17</v>
      </c>
      <c r="B594" s="90" t="s">
        <v>15</v>
      </c>
      <c r="C594" s="90" t="s">
        <v>34</v>
      </c>
      <c r="D594" s="90" t="s">
        <v>575</v>
      </c>
      <c r="E594" s="90">
        <v>1</v>
      </c>
      <c r="F594" s="100">
        <v>70000</v>
      </c>
      <c r="G594" s="100">
        <v>70000</v>
      </c>
    </row>
    <row r="595" spans="1:7" x14ac:dyDescent="0.35">
      <c r="A595" s="90">
        <v>17</v>
      </c>
      <c r="B595" s="90" t="s">
        <v>10</v>
      </c>
      <c r="C595" s="90" t="s">
        <v>352</v>
      </c>
      <c r="D595" s="90" t="s">
        <v>353</v>
      </c>
      <c r="E595" s="90">
        <v>24.2</v>
      </c>
      <c r="F595" s="100">
        <v>26900</v>
      </c>
      <c r="G595" s="100">
        <v>650980</v>
      </c>
    </row>
    <row r="596" spans="1:7" x14ac:dyDescent="0.35">
      <c r="A596" s="90">
        <v>17</v>
      </c>
      <c r="B596" s="90" t="s">
        <v>10</v>
      </c>
      <c r="C596" s="90" t="s">
        <v>68</v>
      </c>
      <c r="D596" s="90" t="s">
        <v>576</v>
      </c>
      <c r="E596" s="90">
        <v>40.1</v>
      </c>
      <c r="F596" s="100">
        <v>22900</v>
      </c>
      <c r="G596" s="100">
        <v>918290</v>
      </c>
    </row>
    <row r="597" spans="1:7" x14ac:dyDescent="0.35">
      <c r="A597" s="90">
        <v>17</v>
      </c>
      <c r="B597" s="90" t="s">
        <v>10</v>
      </c>
      <c r="C597" s="90" t="s">
        <v>426</v>
      </c>
      <c r="D597" s="90" t="s">
        <v>427</v>
      </c>
      <c r="E597" s="90">
        <v>32.5</v>
      </c>
      <c r="F597" s="100">
        <v>44000</v>
      </c>
      <c r="G597" s="100">
        <v>1430000</v>
      </c>
    </row>
    <row r="598" spans="1:7" x14ac:dyDescent="0.35">
      <c r="A598" s="90">
        <v>17</v>
      </c>
      <c r="B598" s="90" t="s">
        <v>18</v>
      </c>
      <c r="C598" s="90" t="s">
        <v>169</v>
      </c>
      <c r="D598" s="90" t="s">
        <v>170</v>
      </c>
      <c r="E598" s="90">
        <v>12</v>
      </c>
      <c r="F598" s="100">
        <v>16386.580000000002</v>
      </c>
      <c r="G598" s="100">
        <v>196639</v>
      </c>
    </row>
    <row r="599" spans="1:7" x14ac:dyDescent="0.35">
      <c r="A599" s="90">
        <v>17</v>
      </c>
      <c r="B599" s="90" t="s">
        <v>10</v>
      </c>
      <c r="C599" s="90" t="s">
        <v>160</v>
      </c>
      <c r="D599" s="90" t="s">
        <v>161</v>
      </c>
      <c r="E599" s="90">
        <v>10</v>
      </c>
      <c r="F599" s="100">
        <v>8487.4</v>
      </c>
      <c r="G599" s="100">
        <v>84874</v>
      </c>
    </row>
    <row r="600" spans="1:7" x14ac:dyDescent="0.35">
      <c r="A600" s="90">
        <v>17</v>
      </c>
      <c r="B600" s="90" t="s">
        <v>10</v>
      </c>
      <c r="C600" s="90" t="s">
        <v>70</v>
      </c>
      <c r="D600" s="90" t="s">
        <v>166</v>
      </c>
      <c r="E600" s="90">
        <v>30.6</v>
      </c>
      <c r="F600" s="100">
        <v>34500</v>
      </c>
      <c r="G600" s="100">
        <v>1055700</v>
      </c>
    </row>
    <row r="601" spans="1:7" x14ac:dyDescent="0.35">
      <c r="A601" s="90">
        <v>17</v>
      </c>
      <c r="B601" s="90" t="s">
        <v>10</v>
      </c>
      <c r="C601" s="90" t="s">
        <v>162</v>
      </c>
      <c r="D601" s="90" t="s">
        <v>425</v>
      </c>
      <c r="E601" s="90">
        <v>20.2</v>
      </c>
      <c r="F601" s="100">
        <v>22900</v>
      </c>
      <c r="G601" s="100">
        <v>462580</v>
      </c>
    </row>
    <row r="602" spans="1:7" x14ac:dyDescent="0.35">
      <c r="A602" s="90">
        <v>17</v>
      </c>
      <c r="B602" s="90" t="s">
        <v>10</v>
      </c>
      <c r="C602" s="90" t="s">
        <v>171</v>
      </c>
      <c r="D602" s="90" t="s">
        <v>172</v>
      </c>
      <c r="E602" s="90">
        <v>106.45</v>
      </c>
      <c r="F602" s="100">
        <v>21900</v>
      </c>
      <c r="G602" s="100">
        <v>2331255</v>
      </c>
    </row>
    <row r="603" spans="1:7" x14ac:dyDescent="0.35">
      <c r="A603" s="116">
        <v>17</v>
      </c>
      <c r="B603" s="127" t="s">
        <v>57</v>
      </c>
      <c r="C603" s="127" t="s">
        <v>58</v>
      </c>
      <c r="D603" s="127" t="s">
        <v>59</v>
      </c>
      <c r="E603" s="132">
        <v>2</v>
      </c>
      <c r="F603" s="132">
        <v>9500</v>
      </c>
      <c r="G603" s="132">
        <v>19000</v>
      </c>
    </row>
    <row r="604" spans="1:7" x14ac:dyDescent="0.35">
      <c r="A604" s="116">
        <v>17</v>
      </c>
      <c r="B604" s="127" t="s">
        <v>57</v>
      </c>
      <c r="C604" s="127" t="s">
        <v>60</v>
      </c>
      <c r="D604" s="127" t="s">
        <v>61</v>
      </c>
      <c r="E604" s="132">
        <v>2</v>
      </c>
      <c r="F604" s="132">
        <v>5000</v>
      </c>
      <c r="G604" s="132">
        <v>10000</v>
      </c>
    </row>
    <row r="605" spans="1:7" x14ac:dyDescent="0.35">
      <c r="A605" s="90">
        <v>18</v>
      </c>
      <c r="B605" s="90" t="s">
        <v>18</v>
      </c>
      <c r="C605" s="90" t="s">
        <v>207</v>
      </c>
      <c r="D605" s="90" t="s">
        <v>577</v>
      </c>
      <c r="E605" s="90">
        <v>5.0650000000000004</v>
      </c>
      <c r="F605" s="100">
        <v>3700</v>
      </c>
      <c r="G605" s="100">
        <v>18741</v>
      </c>
    </row>
    <row r="606" spans="1:7" x14ac:dyDescent="0.35">
      <c r="A606" s="90">
        <v>18</v>
      </c>
      <c r="B606" s="90" t="s">
        <v>21</v>
      </c>
      <c r="C606" s="90" t="s">
        <v>578</v>
      </c>
      <c r="D606" s="90" t="s">
        <v>579</v>
      </c>
      <c r="E606" s="90">
        <v>1</v>
      </c>
      <c r="F606" s="100">
        <v>4377</v>
      </c>
      <c r="G606" s="100">
        <v>4377</v>
      </c>
    </row>
    <row r="607" spans="1:7" x14ac:dyDescent="0.35">
      <c r="A607" s="90">
        <v>18</v>
      </c>
      <c r="B607" s="90" t="s">
        <v>15</v>
      </c>
      <c r="C607" s="90" t="s">
        <v>184</v>
      </c>
      <c r="D607" s="90" t="s">
        <v>185</v>
      </c>
      <c r="E607" s="90">
        <v>1</v>
      </c>
      <c r="F607" s="100">
        <v>300</v>
      </c>
      <c r="G607" s="100">
        <v>300</v>
      </c>
    </row>
    <row r="608" spans="1:7" x14ac:dyDescent="0.35">
      <c r="A608" s="90">
        <v>18</v>
      </c>
      <c r="B608" s="90" t="s">
        <v>15</v>
      </c>
      <c r="C608" s="90" t="s">
        <v>16</v>
      </c>
      <c r="D608" s="90" t="s">
        <v>580</v>
      </c>
      <c r="E608" s="90">
        <v>2</v>
      </c>
      <c r="F608" s="100">
        <v>5300</v>
      </c>
      <c r="G608" s="100">
        <v>10600</v>
      </c>
    </row>
    <row r="609" spans="1:7" x14ac:dyDescent="0.35">
      <c r="A609" s="90">
        <v>18</v>
      </c>
      <c r="B609" s="90" t="s">
        <v>57</v>
      </c>
      <c r="C609" s="90" t="s">
        <v>58</v>
      </c>
      <c r="D609" s="90" t="s">
        <v>59</v>
      </c>
      <c r="E609" s="90">
        <v>2</v>
      </c>
      <c r="F609" s="100">
        <v>9500</v>
      </c>
      <c r="G609" s="100">
        <v>19000</v>
      </c>
    </row>
    <row r="610" spans="1:7" x14ac:dyDescent="0.35">
      <c r="A610" s="90">
        <v>18</v>
      </c>
      <c r="B610" s="90" t="s">
        <v>57</v>
      </c>
      <c r="C610" s="90" t="s">
        <v>347</v>
      </c>
      <c r="D610" s="90" t="s">
        <v>395</v>
      </c>
      <c r="E610" s="90">
        <v>3</v>
      </c>
      <c r="F610" s="100">
        <v>17950</v>
      </c>
      <c r="G610" s="100">
        <v>53850</v>
      </c>
    </row>
    <row r="611" spans="1:7" x14ac:dyDescent="0.35">
      <c r="A611" s="90">
        <v>18</v>
      </c>
      <c r="B611" s="90" t="s">
        <v>57</v>
      </c>
      <c r="C611" s="90" t="s">
        <v>194</v>
      </c>
      <c r="D611" s="90" t="s">
        <v>195</v>
      </c>
      <c r="E611" s="90">
        <v>3</v>
      </c>
      <c r="F611" s="100">
        <v>12900</v>
      </c>
      <c r="G611" s="100">
        <v>38700</v>
      </c>
    </row>
    <row r="612" spans="1:7" x14ac:dyDescent="0.35">
      <c r="A612" s="90">
        <v>18</v>
      </c>
      <c r="B612" s="90" t="s">
        <v>57</v>
      </c>
      <c r="C612" s="90" t="s">
        <v>198</v>
      </c>
      <c r="D612" s="90" t="s">
        <v>199</v>
      </c>
      <c r="E612" s="90">
        <v>1</v>
      </c>
      <c r="F612" s="100">
        <v>15500</v>
      </c>
      <c r="G612" s="100">
        <v>15500</v>
      </c>
    </row>
    <row r="613" spans="1:7" x14ac:dyDescent="0.35">
      <c r="A613" s="90">
        <v>18</v>
      </c>
      <c r="B613" s="90" t="s">
        <v>21</v>
      </c>
      <c r="C613" s="90" t="s">
        <v>202</v>
      </c>
      <c r="D613" s="90" t="s">
        <v>581</v>
      </c>
      <c r="E613" s="90">
        <v>600</v>
      </c>
      <c r="F613" s="100">
        <v>150</v>
      </c>
      <c r="G613" s="100">
        <v>90000</v>
      </c>
    </row>
    <row r="614" spans="1:7" x14ac:dyDescent="0.35">
      <c r="A614" s="90">
        <v>18</v>
      </c>
      <c r="B614" s="90" t="s">
        <v>57</v>
      </c>
      <c r="C614" s="90" t="s">
        <v>396</v>
      </c>
      <c r="D614" s="90" t="s">
        <v>397</v>
      </c>
      <c r="E614" s="90">
        <v>1</v>
      </c>
      <c r="F614" s="100">
        <v>12700</v>
      </c>
      <c r="G614" s="100">
        <v>12700</v>
      </c>
    </row>
    <row r="615" spans="1:7" x14ac:dyDescent="0.35">
      <c r="A615" s="90">
        <v>18</v>
      </c>
      <c r="B615" s="90" t="s">
        <v>21</v>
      </c>
      <c r="C615" s="90" t="s">
        <v>202</v>
      </c>
      <c r="D615" s="90" t="s">
        <v>582</v>
      </c>
      <c r="E615" s="90">
        <v>1150</v>
      </c>
      <c r="F615" s="100">
        <v>150</v>
      </c>
      <c r="G615" s="100">
        <v>172500</v>
      </c>
    </row>
    <row r="616" spans="1:7" x14ac:dyDescent="0.35">
      <c r="A616" s="90">
        <v>18</v>
      </c>
      <c r="B616" s="90" t="s">
        <v>7</v>
      </c>
      <c r="C616" s="90" t="s">
        <v>8</v>
      </c>
      <c r="D616" s="90" t="s">
        <v>583</v>
      </c>
      <c r="E616" s="90">
        <v>2</v>
      </c>
      <c r="F616" s="100">
        <v>66000</v>
      </c>
      <c r="G616" s="100">
        <v>132000</v>
      </c>
    </row>
    <row r="617" spans="1:7" x14ac:dyDescent="0.35">
      <c r="A617" s="90">
        <v>18</v>
      </c>
      <c r="B617" s="90" t="s">
        <v>7</v>
      </c>
      <c r="C617" s="90" t="s">
        <v>8</v>
      </c>
      <c r="D617" s="90" t="s">
        <v>584</v>
      </c>
      <c r="E617" s="90">
        <v>2</v>
      </c>
      <c r="F617" s="100">
        <v>66000</v>
      </c>
      <c r="G617" s="100">
        <v>132000</v>
      </c>
    </row>
    <row r="618" spans="1:7" x14ac:dyDescent="0.35">
      <c r="A618" s="90">
        <v>18</v>
      </c>
      <c r="B618" s="90" t="s">
        <v>15</v>
      </c>
      <c r="C618" s="90" t="s">
        <v>34</v>
      </c>
      <c r="D618" s="90" t="s">
        <v>34</v>
      </c>
      <c r="E618" s="90">
        <v>1</v>
      </c>
      <c r="F618" s="100">
        <v>25000</v>
      </c>
      <c r="G618" s="100">
        <v>25000</v>
      </c>
    </row>
    <row r="619" spans="1:7" x14ac:dyDescent="0.35">
      <c r="A619" s="90">
        <v>18</v>
      </c>
      <c r="B619" s="90" t="s">
        <v>10</v>
      </c>
      <c r="C619" s="90" t="s">
        <v>585</v>
      </c>
      <c r="D619" s="90" t="s">
        <v>586</v>
      </c>
      <c r="E619" s="90">
        <v>3</v>
      </c>
      <c r="F619" s="100">
        <v>20000</v>
      </c>
      <c r="G619" s="100">
        <v>60000</v>
      </c>
    </row>
    <row r="620" spans="1:7" x14ac:dyDescent="0.35">
      <c r="A620" s="90">
        <v>18</v>
      </c>
      <c r="B620" s="90" t="s">
        <v>21</v>
      </c>
      <c r="C620" s="90" t="s">
        <v>219</v>
      </c>
      <c r="D620" s="90" t="s">
        <v>587</v>
      </c>
      <c r="E620" s="90">
        <v>1</v>
      </c>
      <c r="F620" s="100">
        <v>4900</v>
      </c>
      <c r="G620" s="100">
        <v>4900</v>
      </c>
    </row>
    <row r="621" spans="1:7" x14ac:dyDescent="0.35">
      <c r="A621" s="90">
        <v>18</v>
      </c>
      <c r="B621" s="90" t="s">
        <v>21</v>
      </c>
      <c r="C621" s="90" t="s">
        <v>578</v>
      </c>
      <c r="D621" s="90" t="s">
        <v>588</v>
      </c>
      <c r="E621" s="90">
        <v>1</v>
      </c>
      <c r="F621" s="100">
        <v>4377</v>
      </c>
      <c r="G621" s="100">
        <v>4377</v>
      </c>
    </row>
    <row r="622" spans="1:7" x14ac:dyDescent="0.35">
      <c r="A622" s="90">
        <v>18</v>
      </c>
      <c r="B622" s="90" t="s">
        <v>57</v>
      </c>
      <c r="C622" s="90" t="s">
        <v>60</v>
      </c>
      <c r="D622" s="90" t="s">
        <v>179</v>
      </c>
      <c r="E622" s="90">
        <v>3</v>
      </c>
      <c r="F622" s="100">
        <v>5000</v>
      </c>
      <c r="G622" s="100">
        <v>15000</v>
      </c>
    </row>
    <row r="623" spans="1:7" x14ac:dyDescent="0.35">
      <c r="A623" s="90">
        <v>18</v>
      </c>
      <c r="B623" s="90" t="s">
        <v>7</v>
      </c>
      <c r="C623" s="90" t="s">
        <v>8</v>
      </c>
      <c r="D623" s="90" t="s">
        <v>589</v>
      </c>
      <c r="E623" s="90">
        <v>2</v>
      </c>
      <c r="F623" s="100">
        <v>66000</v>
      </c>
      <c r="G623" s="100">
        <v>132000</v>
      </c>
    </row>
    <row r="624" spans="1:7" x14ac:dyDescent="0.35">
      <c r="A624" s="90">
        <v>18</v>
      </c>
      <c r="B624" s="90" t="s">
        <v>57</v>
      </c>
      <c r="C624" s="90" t="s">
        <v>196</v>
      </c>
      <c r="D624" s="90" t="s">
        <v>197</v>
      </c>
      <c r="E624" s="90">
        <v>4</v>
      </c>
      <c r="F624" s="100">
        <v>12600</v>
      </c>
      <c r="G624" s="100">
        <v>50400</v>
      </c>
    </row>
    <row r="625" spans="1:7" x14ac:dyDescent="0.35">
      <c r="A625" s="90">
        <v>18</v>
      </c>
      <c r="B625" s="90" t="s">
        <v>15</v>
      </c>
      <c r="C625" s="90" t="s">
        <v>53</v>
      </c>
      <c r="D625" s="90" t="s">
        <v>54</v>
      </c>
      <c r="E625" s="90">
        <v>8</v>
      </c>
      <c r="F625" s="100">
        <v>2400</v>
      </c>
      <c r="G625" s="100">
        <v>19200</v>
      </c>
    </row>
    <row r="626" spans="1:7" x14ac:dyDescent="0.35">
      <c r="A626" s="90">
        <v>18</v>
      </c>
      <c r="B626" s="90" t="s">
        <v>15</v>
      </c>
      <c r="C626" s="90" t="s">
        <v>51</v>
      </c>
      <c r="D626" s="90" t="s">
        <v>52</v>
      </c>
      <c r="E626" s="90">
        <v>3</v>
      </c>
      <c r="F626" s="100">
        <v>9600</v>
      </c>
      <c r="G626" s="100">
        <v>28800</v>
      </c>
    </row>
    <row r="627" spans="1:7" x14ac:dyDescent="0.35">
      <c r="A627" s="90">
        <v>18</v>
      </c>
      <c r="B627" s="90" t="s">
        <v>15</v>
      </c>
      <c r="C627" s="90" t="s">
        <v>39</v>
      </c>
      <c r="D627" s="90" t="s">
        <v>40</v>
      </c>
      <c r="E627" s="90">
        <v>200</v>
      </c>
      <c r="F627" s="100">
        <v>390</v>
      </c>
      <c r="G627" s="100">
        <v>78000</v>
      </c>
    </row>
    <row r="628" spans="1:7" x14ac:dyDescent="0.35">
      <c r="A628" s="90">
        <v>18</v>
      </c>
      <c r="B628" s="90" t="s">
        <v>15</v>
      </c>
      <c r="C628" s="90" t="s">
        <v>41</v>
      </c>
      <c r="D628" s="90" t="s">
        <v>590</v>
      </c>
      <c r="E628" s="90">
        <v>8</v>
      </c>
      <c r="F628" s="100">
        <v>2500</v>
      </c>
      <c r="G628" s="100">
        <v>20000</v>
      </c>
    </row>
    <row r="629" spans="1:7" x14ac:dyDescent="0.35">
      <c r="A629" s="90">
        <v>18</v>
      </c>
      <c r="B629" s="90" t="s">
        <v>15</v>
      </c>
      <c r="C629" s="90" t="s">
        <v>102</v>
      </c>
      <c r="D629" s="90" t="s">
        <v>103</v>
      </c>
      <c r="E629" s="90">
        <v>20</v>
      </c>
      <c r="F629" s="100">
        <v>900</v>
      </c>
      <c r="G629" s="100">
        <v>18000</v>
      </c>
    </row>
    <row r="630" spans="1:7" x14ac:dyDescent="0.35">
      <c r="A630" s="90">
        <v>18</v>
      </c>
      <c r="B630" s="90" t="s">
        <v>15</v>
      </c>
      <c r="C630" s="90" t="s">
        <v>120</v>
      </c>
      <c r="D630" s="90" t="s">
        <v>121</v>
      </c>
      <c r="E630" s="90">
        <v>2</v>
      </c>
      <c r="F630" s="100">
        <v>6200</v>
      </c>
      <c r="G630" s="100">
        <v>12400</v>
      </c>
    </row>
    <row r="631" spans="1:7" x14ac:dyDescent="0.35">
      <c r="A631" s="90">
        <v>18</v>
      </c>
      <c r="B631" s="90" t="s">
        <v>15</v>
      </c>
      <c r="C631" s="90" t="s">
        <v>45</v>
      </c>
      <c r="D631" s="90" t="s">
        <v>46</v>
      </c>
      <c r="E631" s="90">
        <v>2</v>
      </c>
      <c r="F631" s="100">
        <v>8400</v>
      </c>
      <c r="G631" s="100">
        <v>16800</v>
      </c>
    </row>
    <row r="632" spans="1:7" x14ac:dyDescent="0.35">
      <c r="A632" s="90">
        <v>18</v>
      </c>
      <c r="B632" s="90" t="s">
        <v>15</v>
      </c>
      <c r="C632" s="90" t="s">
        <v>106</v>
      </c>
      <c r="D632" s="90" t="s">
        <v>107</v>
      </c>
      <c r="E632" s="90">
        <v>1</v>
      </c>
      <c r="F632" s="100">
        <v>15950</v>
      </c>
      <c r="G632" s="100">
        <v>15950</v>
      </c>
    </row>
    <row r="633" spans="1:7" x14ac:dyDescent="0.35">
      <c r="A633" s="90">
        <v>18</v>
      </c>
      <c r="B633" s="90" t="s">
        <v>15</v>
      </c>
      <c r="C633" s="90" t="s">
        <v>37</v>
      </c>
      <c r="D633" s="90" t="s">
        <v>38</v>
      </c>
      <c r="E633" s="90">
        <v>2</v>
      </c>
      <c r="F633" s="100">
        <v>10600</v>
      </c>
      <c r="G633" s="100">
        <v>21200</v>
      </c>
    </row>
    <row r="634" spans="1:7" x14ac:dyDescent="0.35">
      <c r="A634" s="90">
        <v>18</v>
      </c>
      <c r="B634" s="90" t="s">
        <v>15</v>
      </c>
      <c r="C634" s="90" t="s">
        <v>43</v>
      </c>
      <c r="D634" s="90" t="s">
        <v>44</v>
      </c>
      <c r="E634" s="90">
        <v>10</v>
      </c>
      <c r="F634" s="100">
        <v>400</v>
      </c>
      <c r="G634" s="100">
        <v>4000</v>
      </c>
    </row>
    <row r="635" spans="1:7" x14ac:dyDescent="0.35">
      <c r="A635" s="90">
        <v>18</v>
      </c>
      <c r="B635" s="90" t="s">
        <v>15</v>
      </c>
      <c r="C635" s="90" t="s">
        <v>132</v>
      </c>
      <c r="D635" s="90" t="s">
        <v>133</v>
      </c>
      <c r="E635" s="90">
        <v>3</v>
      </c>
      <c r="F635" s="100">
        <v>4850</v>
      </c>
      <c r="G635" s="100">
        <v>14550</v>
      </c>
    </row>
    <row r="636" spans="1:7" x14ac:dyDescent="0.35">
      <c r="A636" s="90">
        <v>18</v>
      </c>
      <c r="B636" s="90" t="s">
        <v>15</v>
      </c>
      <c r="C636" s="90" t="s">
        <v>214</v>
      </c>
      <c r="D636" s="90" t="s">
        <v>215</v>
      </c>
      <c r="E636" s="90">
        <v>25</v>
      </c>
      <c r="F636" s="100">
        <v>2100</v>
      </c>
      <c r="G636" s="100">
        <v>52500</v>
      </c>
    </row>
    <row r="637" spans="1:7" x14ac:dyDescent="0.35">
      <c r="A637" s="90">
        <v>18</v>
      </c>
      <c r="B637" s="90" t="s">
        <v>15</v>
      </c>
      <c r="C637" s="90" t="s">
        <v>312</v>
      </c>
      <c r="D637" s="90" t="s">
        <v>313</v>
      </c>
      <c r="E637" s="90">
        <v>4</v>
      </c>
      <c r="F637" s="100">
        <v>11400</v>
      </c>
      <c r="G637" s="100">
        <v>45600</v>
      </c>
    </row>
    <row r="638" spans="1:7" x14ac:dyDescent="0.35">
      <c r="A638" s="90">
        <v>18</v>
      </c>
      <c r="B638" s="90" t="s">
        <v>15</v>
      </c>
      <c r="C638" s="90" t="s">
        <v>301</v>
      </c>
      <c r="D638" s="90" t="s">
        <v>302</v>
      </c>
      <c r="E638" s="90">
        <v>5</v>
      </c>
      <c r="F638" s="100">
        <v>5450</v>
      </c>
      <c r="G638" s="100">
        <v>27250</v>
      </c>
    </row>
    <row r="639" spans="1:7" x14ac:dyDescent="0.35">
      <c r="A639" s="90">
        <v>18</v>
      </c>
      <c r="B639" s="90" t="s">
        <v>15</v>
      </c>
      <c r="C639" s="90" t="s">
        <v>299</v>
      </c>
      <c r="D639" s="90" t="s">
        <v>300</v>
      </c>
      <c r="E639" s="90">
        <v>10</v>
      </c>
      <c r="F639" s="100">
        <v>5000</v>
      </c>
      <c r="G639" s="100">
        <v>50000</v>
      </c>
    </row>
    <row r="640" spans="1:7" x14ac:dyDescent="0.35">
      <c r="A640" s="90">
        <v>18</v>
      </c>
      <c r="B640" s="90" t="s">
        <v>15</v>
      </c>
      <c r="C640" s="90" t="s">
        <v>130</v>
      </c>
      <c r="D640" s="90" t="s">
        <v>131</v>
      </c>
      <c r="E640" s="90">
        <v>3</v>
      </c>
      <c r="F640" s="100">
        <v>2750</v>
      </c>
      <c r="G640" s="100">
        <v>8250</v>
      </c>
    </row>
    <row r="641" spans="1:7" x14ac:dyDescent="0.35">
      <c r="A641" s="90">
        <v>18</v>
      </c>
      <c r="B641" s="90" t="s">
        <v>15</v>
      </c>
      <c r="C641" s="90" t="s">
        <v>138</v>
      </c>
      <c r="D641" s="90" t="s">
        <v>139</v>
      </c>
      <c r="E641" s="90">
        <v>1</v>
      </c>
      <c r="F641" s="100">
        <v>14600</v>
      </c>
      <c r="G641" s="100">
        <v>14600</v>
      </c>
    </row>
    <row r="642" spans="1:7" x14ac:dyDescent="0.35">
      <c r="A642" s="90">
        <v>18</v>
      </c>
      <c r="B642" s="90" t="s">
        <v>15</v>
      </c>
      <c r="C642" s="90" t="s">
        <v>146</v>
      </c>
      <c r="D642" s="90" t="s">
        <v>147</v>
      </c>
      <c r="E642" s="90">
        <v>60</v>
      </c>
      <c r="F642" s="100">
        <v>2000</v>
      </c>
      <c r="G642" s="100">
        <v>120000</v>
      </c>
    </row>
    <row r="643" spans="1:7" x14ac:dyDescent="0.35">
      <c r="A643" s="90">
        <v>18</v>
      </c>
      <c r="B643" s="90" t="s">
        <v>15</v>
      </c>
      <c r="C643" s="90" t="s">
        <v>108</v>
      </c>
      <c r="D643" s="90" t="s">
        <v>109</v>
      </c>
      <c r="E643" s="90">
        <v>3</v>
      </c>
      <c r="F643" s="100">
        <v>17250</v>
      </c>
      <c r="G643" s="100">
        <v>51750</v>
      </c>
    </row>
    <row r="644" spans="1:7" x14ac:dyDescent="0.35">
      <c r="A644" s="90">
        <v>18</v>
      </c>
      <c r="B644" s="90" t="s">
        <v>15</v>
      </c>
      <c r="C644" s="90" t="s">
        <v>288</v>
      </c>
      <c r="D644" s="90" t="s">
        <v>289</v>
      </c>
      <c r="E644" s="90">
        <v>5</v>
      </c>
      <c r="F644" s="100">
        <v>7600</v>
      </c>
      <c r="G644" s="100">
        <v>38000</v>
      </c>
    </row>
    <row r="645" spans="1:7" x14ac:dyDescent="0.35">
      <c r="A645" s="90">
        <v>18</v>
      </c>
      <c r="B645" s="90" t="s">
        <v>15</v>
      </c>
      <c r="C645" s="90" t="s">
        <v>124</v>
      </c>
      <c r="D645" s="90" t="s">
        <v>125</v>
      </c>
      <c r="E645" s="90">
        <v>1</v>
      </c>
      <c r="F645" s="100">
        <v>19850</v>
      </c>
      <c r="G645" s="100">
        <v>19850</v>
      </c>
    </row>
    <row r="646" spans="1:7" x14ac:dyDescent="0.35">
      <c r="A646" s="90">
        <v>18</v>
      </c>
      <c r="B646" s="90" t="s">
        <v>15</v>
      </c>
      <c r="C646" s="90" t="s">
        <v>186</v>
      </c>
      <c r="D646" s="90" t="s">
        <v>420</v>
      </c>
      <c r="E646" s="90">
        <v>1</v>
      </c>
      <c r="F646" s="100">
        <v>22500</v>
      </c>
      <c r="G646" s="100">
        <v>22500</v>
      </c>
    </row>
    <row r="647" spans="1:7" x14ac:dyDescent="0.35">
      <c r="A647" s="90">
        <v>18</v>
      </c>
      <c r="B647" s="90" t="s">
        <v>15</v>
      </c>
      <c r="C647" s="90" t="s">
        <v>112</v>
      </c>
      <c r="D647" s="90" t="s">
        <v>113</v>
      </c>
      <c r="E647" s="90">
        <v>6</v>
      </c>
      <c r="F647" s="100">
        <v>4800</v>
      </c>
      <c r="G647" s="100">
        <v>28800</v>
      </c>
    </row>
    <row r="648" spans="1:7" x14ac:dyDescent="0.35">
      <c r="A648" s="90">
        <v>18</v>
      </c>
      <c r="B648" s="90" t="s">
        <v>15</v>
      </c>
      <c r="C648" s="90" t="s">
        <v>297</v>
      </c>
      <c r="D648" s="90" t="s">
        <v>298</v>
      </c>
      <c r="E648" s="90">
        <v>3</v>
      </c>
      <c r="F648" s="100">
        <v>20950</v>
      </c>
      <c r="G648" s="100">
        <v>62850</v>
      </c>
    </row>
    <row r="649" spans="1:7" x14ac:dyDescent="0.35">
      <c r="A649" s="90">
        <v>18</v>
      </c>
      <c r="B649" s="90" t="s">
        <v>15</v>
      </c>
      <c r="C649" s="90" t="s">
        <v>591</v>
      </c>
      <c r="D649" s="90" t="s">
        <v>592</v>
      </c>
      <c r="E649" s="90">
        <v>4</v>
      </c>
      <c r="F649" s="100">
        <v>5000</v>
      </c>
      <c r="G649" s="100">
        <v>20000</v>
      </c>
    </row>
    <row r="650" spans="1:7" x14ac:dyDescent="0.35">
      <c r="A650" s="90">
        <v>18</v>
      </c>
      <c r="B650" s="90" t="s">
        <v>15</v>
      </c>
      <c r="C650" s="90" t="s">
        <v>593</v>
      </c>
      <c r="D650" s="90" t="s">
        <v>594</v>
      </c>
      <c r="E650" s="90">
        <v>4</v>
      </c>
      <c r="F650" s="100">
        <v>9950</v>
      </c>
      <c r="G650" s="100">
        <v>39800</v>
      </c>
    </row>
    <row r="651" spans="1:7" x14ac:dyDescent="0.35">
      <c r="A651" s="90">
        <v>18</v>
      </c>
      <c r="B651" s="90" t="s">
        <v>15</v>
      </c>
      <c r="C651" s="90" t="s">
        <v>314</v>
      </c>
      <c r="D651" s="90" t="s">
        <v>595</v>
      </c>
      <c r="E651" s="90">
        <v>100</v>
      </c>
      <c r="F651" s="100">
        <v>950</v>
      </c>
      <c r="G651" s="100">
        <v>95000</v>
      </c>
    </row>
    <row r="652" spans="1:7" x14ac:dyDescent="0.35">
      <c r="A652" s="90">
        <v>18</v>
      </c>
      <c r="B652" s="90" t="s">
        <v>15</v>
      </c>
      <c r="C652" s="90" t="s">
        <v>154</v>
      </c>
      <c r="D652" s="90" t="s">
        <v>155</v>
      </c>
      <c r="E652" s="90">
        <v>200</v>
      </c>
      <c r="F652" s="100">
        <v>270</v>
      </c>
      <c r="G652" s="100">
        <v>54000</v>
      </c>
    </row>
    <row r="653" spans="1:7" x14ac:dyDescent="0.35">
      <c r="A653" s="90">
        <v>18</v>
      </c>
      <c r="B653" s="90" t="s">
        <v>15</v>
      </c>
      <c r="C653" s="90" t="s">
        <v>148</v>
      </c>
      <c r="D653" s="90" t="s">
        <v>596</v>
      </c>
      <c r="E653" s="90">
        <v>400</v>
      </c>
      <c r="F653" s="100">
        <v>440</v>
      </c>
      <c r="G653" s="100">
        <v>176000</v>
      </c>
    </row>
    <row r="654" spans="1:7" x14ac:dyDescent="0.35">
      <c r="A654" s="90">
        <v>18</v>
      </c>
      <c r="B654" s="90" t="s">
        <v>15</v>
      </c>
      <c r="C654" s="90" t="s">
        <v>156</v>
      </c>
      <c r="D654" s="90" t="s">
        <v>157</v>
      </c>
      <c r="E654" s="90">
        <v>10</v>
      </c>
      <c r="F654" s="100">
        <v>5200</v>
      </c>
      <c r="G654" s="100">
        <v>52000</v>
      </c>
    </row>
    <row r="655" spans="1:7" x14ac:dyDescent="0.35">
      <c r="A655" s="90">
        <v>18</v>
      </c>
      <c r="B655" s="90" t="s">
        <v>15</v>
      </c>
      <c r="C655" s="90" t="s">
        <v>126</v>
      </c>
      <c r="D655" s="90" t="s">
        <v>127</v>
      </c>
      <c r="E655" s="90">
        <v>1</v>
      </c>
      <c r="F655" s="100">
        <v>23800</v>
      </c>
      <c r="G655" s="100">
        <v>23800</v>
      </c>
    </row>
    <row r="656" spans="1:7" x14ac:dyDescent="0.35">
      <c r="A656" s="90">
        <v>18</v>
      </c>
      <c r="B656" s="90" t="s">
        <v>15</v>
      </c>
      <c r="C656" s="90" t="s">
        <v>47</v>
      </c>
      <c r="D656" s="90" t="s">
        <v>294</v>
      </c>
      <c r="E656" s="90">
        <v>10</v>
      </c>
      <c r="F656" s="100">
        <v>450</v>
      </c>
      <c r="G656" s="100">
        <v>4500</v>
      </c>
    </row>
    <row r="657" spans="1:7" x14ac:dyDescent="0.35">
      <c r="A657" s="90">
        <v>18</v>
      </c>
      <c r="B657" s="90" t="s">
        <v>15</v>
      </c>
      <c r="C657" s="90" t="s">
        <v>597</v>
      </c>
      <c r="D657" s="90" t="s">
        <v>598</v>
      </c>
      <c r="E657" s="90">
        <v>1</v>
      </c>
      <c r="F657" s="100">
        <v>65800</v>
      </c>
      <c r="G657" s="100">
        <v>65800</v>
      </c>
    </row>
    <row r="658" spans="1:7" x14ac:dyDescent="0.35">
      <c r="A658" s="90">
        <v>18</v>
      </c>
      <c r="B658" s="90" t="s">
        <v>10</v>
      </c>
      <c r="C658" s="90" t="s">
        <v>350</v>
      </c>
      <c r="D658" s="90" t="s">
        <v>599</v>
      </c>
      <c r="E658" s="90">
        <v>20</v>
      </c>
      <c r="F658" s="100">
        <v>18200</v>
      </c>
      <c r="G658" s="100">
        <v>364000</v>
      </c>
    </row>
    <row r="659" spans="1:7" x14ac:dyDescent="0.35">
      <c r="A659" s="90">
        <v>18</v>
      </c>
      <c r="B659" s="90" t="s">
        <v>10</v>
      </c>
      <c r="C659" s="90" t="s">
        <v>188</v>
      </c>
      <c r="D659" s="90" t="s">
        <v>266</v>
      </c>
      <c r="E659" s="90">
        <v>24.3</v>
      </c>
      <c r="F659" s="100">
        <v>18500</v>
      </c>
      <c r="G659" s="100">
        <v>449550</v>
      </c>
    </row>
    <row r="660" spans="1:7" x14ac:dyDescent="0.35">
      <c r="A660" s="90">
        <v>18</v>
      </c>
      <c r="B660" s="90" t="s">
        <v>57</v>
      </c>
      <c r="C660" s="90" t="s">
        <v>209</v>
      </c>
      <c r="D660" s="90" t="s">
        <v>232</v>
      </c>
      <c r="E660" s="90">
        <v>3</v>
      </c>
      <c r="F660" s="100">
        <v>26000</v>
      </c>
      <c r="G660" s="100">
        <v>78000</v>
      </c>
    </row>
    <row r="661" spans="1:7" x14ac:dyDescent="0.35">
      <c r="A661" s="116">
        <v>18</v>
      </c>
      <c r="B661" s="127" t="s">
        <v>57</v>
      </c>
      <c r="C661" s="127" t="s">
        <v>58</v>
      </c>
      <c r="D661" s="127" t="s">
        <v>59</v>
      </c>
      <c r="E661" s="132">
        <v>2</v>
      </c>
      <c r="F661" s="132">
        <v>9500</v>
      </c>
      <c r="G661" s="132">
        <v>19000</v>
      </c>
    </row>
    <row r="662" spans="1:7" x14ac:dyDescent="0.35">
      <c r="A662" s="116">
        <v>18</v>
      </c>
      <c r="B662" s="127" t="s">
        <v>10</v>
      </c>
      <c r="C662" s="127" t="s">
        <v>188</v>
      </c>
      <c r="D662" s="127" t="s">
        <v>266</v>
      </c>
      <c r="E662" s="140">
        <v>24.3</v>
      </c>
      <c r="F662" s="141">
        <v>18500</v>
      </c>
      <c r="G662" s="141">
        <v>449550</v>
      </c>
    </row>
    <row r="663" spans="1:7" x14ac:dyDescent="0.35">
      <c r="A663" s="90">
        <v>19</v>
      </c>
      <c r="B663" s="90" t="s">
        <v>21</v>
      </c>
      <c r="C663" s="90" t="s">
        <v>600</v>
      </c>
      <c r="D663" s="90" t="s">
        <v>601</v>
      </c>
      <c r="E663" s="90">
        <v>6</v>
      </c>
      <c r="F663" s="100">
        <v>22990</v>
      </c>
      <c r="G663" s="100">
        <v>137940</v>
      </c>
    </row>
    <row r="664" spans="1:7" x14ac:dyDescent="0.35">
      <c r="A664" s="90">
        <v>19</v>
      </c>
      <c r="B664" s="90" t="s">
        <v>18</v>
      </c>
      <c r="C664" s="90" t="s">
        <v>30</v>
      </c>
      <c r="D664" s="90" t="s">
        <v>460</v>
      </c>
      <c r="E664" s="90">
        <v>15</v>
      </c>
      <c r="F664" s="100">
        <v>7000</v>
      </c>
      <c r="G664" s="100">
        <v>105000</v>
      </c>
    </row>
    <row r="665" spans="1:7" x14ac:dyDescent="0.35">
      <c r="A665" s="90">
        <v>19</v>
      </c>
      <c r="B665" s="90" t="s">
        <v>15</v>
      </c>
      <c r="C665" s="90" t="s">
        <v>16</v>
      </c>
      <c r="D665" s="90" t="s">
        <v>602</v>
      </c>
      <c r="E665" s="90">
        <v>1</v>
      </c>
      <c r="F665" s="100">
        <v>9000</v>
      </c>
      <c r="G665" s="100">
        <v>9000</v>
      </c>
    </row>
    <row r="666" spans="1:7" x14ac:dyDescent="0.35">
      <c r="A666" s="90">
        <v>19</v>
      </c>
      <c r="B666" s="90" t="s">
        <v>15</v>
      </c>
      <c r="C666" s="90" t="s">
        <v>34</v>
      </c>
      <c r="D666" s="90" t="s">
        <v>34</v>
      </c>
      <c r="E666" s="90">
        <v>1</v>
      </c>
      <c r="F666" s="100">
        <v>25000</v>
      </c>
      <c r="G666" s="100">
        <v>25000</v>
      </c>
    </row>
    <row r="667" spans="1:7" x14ac:dyDescent="0.35">
      <c r="A667" s="90">
        <v>19</v>
      </c>
      <c r="B667" s="90" t="s">
        <v>57</v>
      </c>
      <c r="C667" s="90" t="s">
        <v>60</v>
      </c>
      <c r="D667" s="90" t="s">
        <v>179</v>
      </c>
      <c r="E667" s="90">
        <v>4</v>
      </c>
      <c r="F667" s="100">
        <v>5000</v>
      </c>
      <c r="G667" s="100">
        <v>20000</v>
      </c>
    </row>
    <row r="668" spans="1:7" x14ac:dyDescent="0.35">
      <c r="A668" s="90">
        <v>19</v>
      </c>
      <c r="B668" s="90" t="s">
        <v>57</v>
      </c>
      <c r="C668" s="90" t="s">
        <v>57</v>
      </c>
      <c r="D668" s="90" t="s">
        <v>603</v>
      </c>
      <c r="E668" s="90">
        <v>2</v>
      </c>
      <c r="F668" s="100">
        <v>24800</v>
      </c>
      <c r="G668" s="100">
        <v>49600</v>
      </c>
    </row>
    <row r="669" spans="1:7" x14ac:dyDescent="0.35">
      <c r="A669" s="90">
        <v>19</v>
      </c>
      <c r="B669" s="90" t="s">
        <v>7</v>
      </c>
      <c r="C669" s="90" t="s">
        <v>406</v>
      </c>
      <c r="D669" s="90" t="s">
        <v>604</v>
      </c>
      <c r="E669" s="90">
        <v>1</v>
      </c>
      <c r="F669" s="100">
        <v>32950</v>
      </c>
      <c r="G669" s="100">
        <v>32950</v>
      </c>
    </row>
    <row r="670" spans="1:7" x14ac:dyDescent="0.35">
      <c r="A670" s="90">
        <v>19</v>
      </c>
      <c r="B670" s="90" t="s">
        <v>21</v>
      </c>
      <c r="C670" s="90" t="s">
        <v>202</v>
      </c>
      <c r="D670" s="90" t="s">
        <v>605</v>
      </c>
      <c r="E670" s="90">
        <v>100</v>
      </c>
      <c r="F670" s="100">
        <v>190</v>
      </c>
      <c r="G670" s="100">
        <v>19000</v>
      </c>
    </row>
    <row r="671" spans="1:7" x14ac:dyDescent="0.35">
      <c r="A671" s="116">
        <v>19</v>
      </c>
      <c r="B671" s="127" t="s">
        <v>57</v>
      </c>
      <c r="C671" s="127" t="s">
        <v>58</v>
      </c>
      <c r="D671" s="127" t="s">
        <v>59</v>
      </c>
      <c r="E671" s="132">
        <v>2</v>
      </c>
      <c r="F671" s="132">
        <v>9500</v>
      </c>
      <c r="G671" s="132">
        <v>19000</v>
      </c>
    </row>
    <row r="672" spans="1:7" x14ac:dyDescent="0.35">
      <c r="A672" s="116">
        <v>19</v>
      </c>
      <c r="B672" s="127" t="s">
        <v>57</v>
      </c>
      <c r="C672" s="127" t="s">
        <v>60</v>
      </c>
      <c r="D672" s="127" t="s">
        <v>61</v>
      </c>
      <c r="E672" s="132">
        <v>3</v>
      </c>
      <c r="F672" s="132">
        <v>5000</v>
      </c>
      <c r="G672" s="132">
        <v>15000</v>
      </c>
    </row>
    <row r="673" spans="1:7" x14ac:dyDescent="0.35">
      <c r="A673" s="116">
        <v>19</v>
      </c>
      <c r="B673" s="127" t="s">
        <v>21</v>
      </c>
      <c r="C673" s="127" t="s">
        <v>408</v>
      </c>
      <c r="D673" s="127" t="s">
        <v>827</v>
      </c>
      <c r="E673" s="132">
        <v>1</v>
      </c>
      <c r="F673" s="141">
        <v>1800</v>
      </c>
      <c r="G673" s="141">
        <v>1800</v>
      </c>
    </row>
    <row r="674" spans="1:7" x14ac:dyDescent="0.35">
      <c r="A674" s="90">
        <v>20</v>
      </c>
      <c r="B674" s="90" t="s">
        <v>18</v>
      </c>
      <c r="C674" s="90" t="s">
        <v>182</v>
      </c>
      <c r="D674" s="90" t="s">
        <v>606</v>
      </c>
      <c r="E674" s="90">
        <v>1</v>
      </c>
      <c r="F674" s="100">
        <v>70000</v>
      </c>
      <c r="G674" s="100">
        <v>70000</v>
      </c>
    </row>
    <row r="675" spans="1:7" x14ac:dyDescent="0.35">
      <c r="A675" s="90">
        <v>20</v>
      </c>
      <c r="B675" s="90" t="s">
        <v>18</v>
      </c>
      <c r="C675" s="90" t="s">
        <v>30</v>
      </c>
      <c r="D675" s="90" t="s">
        <v>607</v>
      </c>
      <c r="E675" s="90">
        <v>20</v>
      </c>
      <c r="F675" s="100">
        <v>8000</v>
      </c>
      <c r="G675" s="100">
        <v>160000</v>
      </c>
    </row>
    <row r="676" spans="1:7" x14ac:dyDescent="0.35">
      <c r="A676" s="90">
        <v>20</v>
      </c>
      <c r="B676" s="90" t="s">
        <v>15</v>
      </c>
      <c r="C676" s="90" t="s">
        <v>514</v>
      </c>
      <c r="D676" s="90" t="s">
        <v>608</v>
      </c>
      <c r="E676" s="90">
        <v>10</v>
      </c>
      <c r="F676" s="100">
        <v>1000</v>
      </c>
      <c r="G676" s="100">
        <v>10000</v>
      </c>
    </row>
    <row r="677" spans="1:7" x14ac:dyDescent="0.35">
      <c r="A677" s="90">
        <v>20</v>
      </c>
      <c r="B677" s="90" t="s">
        <v>10</v>
      </c>
      <c r="C677" s="90" t="s">
        <v>192</v>
      </c>
      <c r="D677" s="90" t="s">
        <v>609</v>
      </c>
      <c r="E677" s="90">
        <v>5</v>
      </c>
      <c r="F677" s="100">
        <v>46000</v>
      </c>
      <c r="G677" s="100">
        <v>230000</v>
      </c>
    </row>
    <row r="678" spans="1:7" x14ac:dyDescent="0.35">
      <c r="A678" s="90">
        <v>20</v>
      </c>
      <c r="B678" s="90" t="s">
        <v>21</v>
      </c>
      <c r="C678" s="90" t="s">
        <v>610</v>
      </c>
      <c r="D678" s="90" t="s">
        <v>611</v>
      </c>
      <c r="E678" s="90">
        <v>5</v>
      </c>
      <c r="F678" s="100">
        <v>45000</v>
      </c>
      <c r="G678" s="100">
        <v>225000</v>
      </c>
    </row>
    <row r="679" spans="1:7" x14ac:dyDescent="0.35">
      <c r="A679" s="90">
        <v>20</v>
      </c>
      <c r="B679" s="90" t="s">
        <v>10</v>
      </c>
      <c r="C679" s="90" t="s">
        <v>190</v>
      </c>
      <c r="D679" s="90" t="s">
        <v>612</v>
      </c>
      <c r="E679" s="90">
        <v>5</v>
      </c>
      <c r="F679" s="100">
        <v>48000</v>
      </c>
      <c r="G679" s="100">
        <v>240000</v>
      </c>
    </row>
    <row r="680" spans="1:7" x14ac:dyDescent="0.35">
      <c r="A680" s="90">
        <v>20</v>
      </c>
      <c r="B680" s="90" t="s">
        <v>18</v>
      </c>
      <c r="C680" s="90" t="s">
        <v>613</v>
      </c>
      <c r="D680" s="90" t="s">
        <v>614</v>
      </c>
      <c r="E680" s="90">
        <v>1</v>
      </c>
      <c r="F680" s="100">
        <v>2311</v>
      </c>
      <c r="G680" s="100">
        <v>2311</v>
      </c>
    </row>
    <row r="681" spans="1:7" x14ac:dyDescent="0.35">
      <c r="A681" s="90">
        <v>20</v>
      </c>
      <c r="B681" s="90" t="s">
        <v>15</v>
      </c>
      <c r="C681" s="90" t="s">
        <v>184</v>
      </c>
      <c r="D681" s="90" t="s">
        <v>615</v>
      </c>
      <c r="E681" s="90">
        <v>2</v>
      </c>
      <c r="F681" s="100">
        <v>300</v>
      </c>
      <c r="G681" s="100">
        <v>600</v>
      </c>
    </row>
    <row r="682" spans="1:7" x14ac:dyDescent="0.35">
      <c r="A682" s="90">
        <v>20</v>
      </c>
      <c r="B682" s="90" t="s">
        <v>18</v>
      </c>
      <c r="C682" s="90" t="s">
        <v>30</v>
      </c>
      <c r="D682" s="90" t="s">
        <v>616</v>
      </c>
      <c r="E682" s="90">
        <v>4</v>
      </c>
      <c r="F682" s="100">
        <v>6360</v>
      </c>
      <c r="G682" s="100">
        <v>25440</v>
      </c>
    </row>
    <row r="683" spans="1:7" x14ac:dyDescent="0.35">
      <c r="A683" s="90">
        <v>20</v>
      </c>
      <c r="B683" s="90" t="s">
        <v>15</v>
      </c>
      <c r="C683" s="90" t="s">
        <v>37</v>
      </c>
      <c r="D683" s="90" t="s">
        <v>617</v>
      </c>
      <c r="E683" s="90">
        <v>2</v>
      </c>
      <c r="F683" s="100">
        <v>10400</v>
      </c>
      <c r="G683" s="100">
        <v>20800</v>
      </c>
    </row>
    <row r="684" spans="1:7" x14ac:dyDescent="0.35">
      <c r="A684" s="90">
        <v>20</v>
      </c>
      <c r="B684" s="90" t="s">
        <v>10</v>
      </c>
      <c r="C684" s="90" t="s">
        <v>618</v>
      </c>
      <c r="D684" s="90" t="s">
        <v>619</v>
      </c>
      <c r="E684" s="90">
        <v>1</v>
      </c>
      <c r="F684" s="100">
        <v>10600</v>
      </c>
      <c r="G684" s="100">
        <v>10600</v>
      </c>
    </row>
    <row r="685" spans="1:7" x14ac:dyDescent="0.35">
      <c r="A685" s="90">
        <v>20</v>
      </c>
      <c r="B685" s="90" t="s">
        <v>15</v>
      </c>
      <c r="C685" s="90" t="s">
        <v>620</v>
      </c>
      <c r="D685" s="90" t="s">
        <v>621</v>
      </c>
      <c r="E685" s="90">
        <v>1</v>
      </c>
      <c r="F685" s="100">
        <v>2480</v>
      </c>
      <c r="G685" s="100">
        <v>2480</v>
      </c>
    </row>
    <row r="686" spans="1:7" x14ac:dyDescent="0.35">
      <c r="A686" s="90">
        <v>20</v>
      </c>
      <c r="B686" s="90" t="s">
        <v>7</v>
      </c>
      <c r="C686" s="90" t="s">
        <v>8</v>
      </c>
      <c r="D686" s="90" t="s">
        <v>622</v>
      </c>
      <c r="E686" s="90">
        <v>1</v>
      </c>
      <c r="F686" s="100">
        <v>134000</v>
      </c>
      <c r="G686" s="100">
        <v>134000</v>
      </c>
    </row>
    <row r="687" spans="1:7" x14ac:dyDescent="0.35">
      <c r="A687" s="90">
        <v>20</v>
      </c>
      <c r="B687" s="90" t="s">
        <v>7</v>
      </c>
      <c r="C687" s="90" t="s">
        <v>13</v>
      </c>
      <c r="D687" s="90" t="s">
        <v>623</v>
      </c>
      <c r="E687" s="90">
        <v>1</v>
      </c>
      <c r="F687" s="100">
        <v>30000</v>
      </c>
      <c r="G687" s="100">
        <v>30000</v>
      </c>
    </row>
    <row r="688" spans="1:7" x14ac:dyDescent="0.35">
      <c r="A688" s="90">
        <v>20</v>
      </c>
      <c r="B688" s="90" t="s">
        <v>57</v>
      </c>
      <c r="C688" s="90" t="s">
        <v>60</v>
      </c>
      <c r="D688" s="90" t="s">
        <v>624</v>
      </c>
      <c r="E688" s="90">
        <v>3</v>
      </c>
      <c r="F688" s="100">
        <v>5000</v>
      </c>
      <c r="G688" s="100">
        <v>15000</v>
      </c>
    </row>
    <row r="689" spans="1:7" x14ac:dyDescent="0.35">
      <c r="A689" s="90">
        <v>20</v>
      </c>
      <c r="B689" s="90" t="s">
        <v>57</v>
      </c>
      <c r="C689" s="90" t="s">
        <v>347</v>
      </c>
      <c r="D689" s="90" t="s">
        <v>625</v>
      </c>
      <c r="E689" s="90">
        <v>2</v>
      </c>
      <c r="F689" s="100">
        <v>16950</v>
      </c>
      <c r="G689" s="100">
        <v>33900</v>
      </c>
    </row>
    <row r="690" spans="1:7" x14ac:dyDescent="0.35">
      <c r="A690" s="90">
        <v>20</v>
      </c>
      <c r="B690" s="90" t="s">
        <v>57</v>
      </c>
      <c r="C690" s="90" t="s">
        <v>198</v>
      </c>
      <c r="D690" s="90" t="s">
        <v>626</v>
      </c>
      <c r="E690" s="90">
        <v>1</v>
      </c>
      <c r="F690" s="100">
        <v>15500</v>
      </c>
      <c r="G690" s="100">
        <v>15500</v>
      </c>
    </row>
    <row r="691" spans="1:7" x14ac:dyDescent="0.35">
      <c r="A691" s="90">
        <v>20</v>
      </c>
      <c r="B691" s="90" t="s">
        <v>57</v>
      </c>
      <c r="C691" s="90" t="s">
        <v>194</v>
      </c>
      <c r="D691" s="90" t="s">
        <v>627</v>
      </c>
      <c r="E691" s="90">
        <v>2</v>
      </c>
      <c r="F691" s="100">
        <v>12900</v>
      </c>
      <c r="G691" s="100">
        <v>25800</v>
      </c>
    </row>
    <row r="692" spans="1:7" x14ac:dyDescent="0.35">
      <c r="A692" s="90">
        <v>20</v>
      </c>
      <c r="B692" s="90" t="s">
        <v>57</v>
      </c>
      <c r="C692" s="90" t="s">
        <v>196</v>
      </c>
      <c r="D692" s="90" t="s">
        <v>628</v>
      </c>
      <c r="E692" s="90">
        <v>2</v>
      </c>
      <c r="F692" s="100">
        <v>12600</v>
      </c>
      <c r="G692" s="100">
        <v>25200</v>
      </c>
    </row>
    <row r="693" spans="1:7" x14ac:dyDescent="0.35">
      <c r="A693" s="116">
        <v>20</v>
      </c>
      <c r="B693" s="127" t="s">
        <v>57</v>
      </c>
      <c r="C693" s="127" t="s">
        <v>60</v>
      </c>
      <c r="D693" s="127" t="s">
        <v>61</v>
      </c>
      <c r="E693" s="132">
        <v>4</v>
      </c>
      <c r="F693" s="132">
        <v>5000</v>
      </c>
      <c r="G693" s="132">
        <v>20000</v>
      </c>
    </row>
    <row r="694" spans="1:7" x14ac:dyDescent="0.35">
      <c r="A694" s="90">
        <v>21</v>
      </c>
      <c r="B694" s="90" t="s">
        <v>15</v>
      </c>
      <c r="C694" s="90" t="s">
        <v>66</v>
      </c>
      <c r="D694" s="90" t="s">
        <v>67</v>
      </c>
      <c r="E694" s="90">
        <v>2</v>
      </c>
      <c r="F694" s="100">
        <v>18200</v>
      </c>
      <c r="G694" s="100">
        <v>36400</v>
      </c>
    </row>
    <row r="695" spans="1:7" x14ac:dyDescent="0.35">
      <c r="A695" s="90">
        <v>21</v>
      </c>
      <c r="B695" s="90" t="s">
        <v>21</v>
      </c>
      <c r="C695" s="90" t="s">
        <v>64</v>
      </c>
      <c r="D695" s="90" t="s">
        <v>629</v>
      </c>
      <c r="E695" s="90">
        <v>60</v>
      </c>
      <c r="F695" s="100">
        <v>4180</v>
      </c>
      <c r="G695" s="100">
        <v>250800</v>
      </c>
    </row>
    <row r="696" spans="1:7" x14ac:dyDescent="0.35">
      <c r="A696" s="90">
        <v>21</v>
      </c>
      <c r="B696" s="90" t="s">
        <v>57</v>
      </c>
      <c r="C696" s="90" t="s">
        <v>240</v>
      </c>
      <c r="D696" s="90" t="s">
        <v>630</v>
      </c>
      <c r="E696" s="90">
        <v>15</v>
      </c>
      <c r="F696" s="100">
        <v>1450.98</v>
      </c>
      <c r="G696" s="100">
        <v>21764.7</v>
      </c>
    </row>
    <row r="697" spans="1:7" x14ac:dyDescent="0.35">
      <c r="A697" s="90">
        <v>21</v>
      </c>
      <c r="B697" s="90" t="s">
        <v>18</v>
      </c>
      <c r="C697" s="90" t="s">
        <v>631</v>
      </c>
      <c r="D697" s="90" t="s">
        <v>632</v>
      </c>
      <c r="E697" s="90">
        <v>6.7</v>
      </c>
      <c r="F697" s="100">
        <v>3500</v>
      </c>
      <c r="G697" s="100">
        <v>23450</v>
      </c>
    </row>
    <row r="698" spans="1:7" x14ac:dyDescent="0.35">
      <c r="A698" s="90">
        <v>21</v>
      </c>
      <c r="B698" s="90" t="s">
        <v>57</v>
      </c>
      <c r="C698" s="90" t="s">
        <v>558</v>
      </c>
      <c r="D698" s="90" t="s">
        <v>633</v>
      </c>
      <c r="E698" s="90">
        <v>24</v>
      </c>
      <c r="F698" s="100">
        <v>1333.33</v>
      </c>
      <c r="G698" s="100">
        <v>31999.919999999998</v>
      </c>
    </row>
    <row r="699" spans="1:7" x14ac:dyDescent="0.35">
      <c r="A699" s="90">
        <v>21</v>
      </c>
      <c r="B699" s="90" t="s">
        <v>57</v>
      </c>
      <c r="C699" s="90" t="s">
        <v>244</v>
      </c>
      <c r="D699" s="90" t="s">
        <v>634</v>
      </c>
      <c r="E699" s="90">
        <v>12</v>
      </c>
      <c r="F699" s="100">
        <v>3151.26</v>
      </c>
      <c r="G699" s="100">
        <v>37815.120000000003</v>
      </c>
    </row>
    <row r="700" spans="1:7" x14ac:dyDescent="0.35">
      <c r="A700" s="90">
        <v>21</v>
      </c>
      <c r="B700" s="90" t="s">
        <v>57</v>
      </c>
      <c r="C700" s="90" t="s">
        <v>235</v>
      </c>
      <c r="D700" s="90" t="s">
        <v>458</v>
      </c>
      <c r="E700" s="90">
        <v>30</v>
      </c>
      <c r="F700" s="100">
        <v>1916.67</v>
      </c>
      <c r="G700" s="100">
        <v>57500.1</v>
      </c>
    </row>
    <row r="701" spans="1:7" x14ac:dyDescent="0.35">
      <c r="A701" s="90">
        <v>21</v>
      </c>
      <c r="B701" s="90" t="s">
        <v>57</v>
      </c>
      <c r="C701" s="90" t="s">
        <v>635</v>
      </c>
      <c r="D701" s="90" t="s">
        <v>636</v>
      </c>
      <c r="E701" s="90">
        <v>15</v>
      </c>
      <c r="F701" s="100">
        <v>1260.5</v>
      </c>
      <c r="G701" s="100">
        <v>18907.5</v>
      </c>
    </row>
    <row r="702" spans="1:7" x14ac:dyDescent="0.35">
      <c r="A702" s="90">
        <v>21</v>
      </c>
      <c r="B702" s="90" t="s">
        <v>18</v>
      </c>
      <c r="C702" s="90" t="s">
        <v>496</v>
      </c>
      <c r="D702" s="90" t="s">
        <v>497</v>
      </c>
      <c r="E702" s="90">
        <v>1</v>
      </c>
      <c r="F702" s="100">
        <v>60000</v>
      </c>
      <c r="G702" s="100">
        <v>60000</v>
      </c>
    </row>
    <row r="703" spans="1:7" x14ac:dyDescent="0.35">
      <c r="A703" s="90">
        <v>21</v>
      </c>
      <c r="B703" s="90" t="s">
        <v>18</v>
      </c>
      <c r="C703" s="90" t="s">
        <v>470</v>
      </c>
      <c r="D703" s="90" t="s">
        <v>637</v>
      </c>
      <c r="E703" s="90">
        <v>3.4</v>
      </c>
      <c r="F703" s="100">
        <v>15000</v>
      </c>
      <c r="G703" s="100">
        <v>51000</v>
      </c>
    </row>
    <row r="704" spans="1:7" x14ac:dyDescent="0.35">
      <c r="A704" s="90">
        <v>21</v>
      </c>
      <c r="B704" s="90" t="s">
        <v>18</v>
      </c>
      <c r="C704" s="90" t="s">
        <v>480</v>
      </c>
      <c r="D704" s="90" t="s">
        <v>638</v>
      </c>
      <c r="E704" s="90">
        <v>3.5</v>
      </c>
      <c r="F704" s="100">
        <v>1800</v>
      </c>
      <c r="G704" s="100">
        <v>6300</v>
      </c>
    </row>
    <row r="705" spans="1:7" x14ac:dyDescent="0.35">
      <c r="A705" s="90">
        <v>21</v>
      </c>
      <c r="B705" s="90" t="s">
        <v>21</v>
      </c>
      <c r="C705" s="90" t="s">
        <v>217</v>
      </c>
      <c r="D705" s="90" t="s">
        <v>218</v>
      </c>
      <c r="E705" s="90">
        <v>2</v>
      </c>
      <c r="F705" s="100">
        <v>252000</v>
      </c>
      <c r="G705" s="100">
        <v>504000</v>
      </c>
    </row>
    <row r="706" spans="1:7" x14ac:dyDescent="0.35">
      <c r="A706" s="90">
        <v>21</v>
      </c>
      <c r="B706" s="90" t="s">
        <v>10</v>
      </c>
      <c r="C706" s="90" t="s">
        <v>70</v>
      </c>
      <c r="D706" s="90" t="s">
        <v>639</v>
      </c>
      <c r="E706" s="90">
        <v>10</v>
      </c>
      <c r="F706" s="100">
        <v>30000</v>
      </c>
      <c r="G706" s="100">
        <v>300000</v>
      </c>
    </row>
    <row r="707" spans="1:7" x14ac:dyDescent="0.35">
      <c r="A707" s="90">
        <v>21</v>
      </c>
      <c r="B707" s="90" t="s">
        <v>10</v>
      </c>
      <c r="C707" s="90" t="s">
        <v>640</v>
      </c>
      <c r="D707" s="90" t="s">
        <v>641</v>
      </c>
      <c r="E707" s="90">
        <v>20.55</v>
      </c>
      <c r="F707" s="100">
        <v>22000</v>
      </c>
      <c r="G707" s="100">
        <v>452100</v>
      </c>
    </row>
    <row r="708" spans="1:7" x14ac:dyDescent="0.35">
      <c r="A708" s="90">
        <v>21</v>
      </c>
      <c r="B708" s="90" t="s">
        <v>18</v>
      </c>
      <c r="C708" s="90" t="s">
        <v>85</v>
      </c>
      <c r="D708" s="90" t="s">
        <v>642</v>
      </c>
      <c r="E708" s="90">
        <v>3</v>
      </c>
      <c r="F708" s="100">
        <v>5800</v>
      </c>
      <c r="G708" s="100">
        <v>17400</v>
      </c>
    </row>
    <row r="709" spans="1:7" x14ac:dyDescent="0.35">
      <c r="A709" s="90">
        <v>21</v>
      </c>
      <c r="B709" s="90" t="s">
        <v>18</v>
      </c>
      <c r="C709" s="90" t="s">
        <v>494</v>
      </c>
      <c r="D709" s="90" t="s">
        <v>495</v>
      </c>
      <c r="E709" s="90">
        <v>2</v>
      </c>
      <c r="F709" s="100">
        <v>8000</v>
      </c>
      <c r="G709" s="100">
        <v>16000</v>
      </c>
    </row>
    <row r="710" spans="1:7" x14ac:dyDescent="0.35">
      <c r="A710" s="90">
        <v>21</v>
      </c>
      <c r="B710" s="90" t="s">
        <v>18</v>
      </c>
      <c r="C710" s="90" t="s">
        <v>490</v>
      </c>
      <c r="D710" s="90" t="s">
        <v>491</v>
      </c>
      <c r="E710" s="90">
        <v>1</v>
      </c>
      <c r="F710" s="100">
        <v>2000</v>
      </c>
      <c r="G710" s="100">
        <v>2000</v>
      </c>
    </row>
    <row r="711" spans="1:7" x14ac:dyDescent="0.35">
      <c r="A711" s="90">
        <v>21</v>
      </c>
      <c r="B711" s="90" t="s">
        <v>18</v>
      </c>
      <c r="C711" s="90" t="s">
        <v>328</v>
      </c>
      <c r="D711" s="90" t="s">
        <v>643</v>
      </c>
      <c r="E711" s="90">
        <v>6.8</v>
      </c>
      <c r="F711" s="100">
        <v>3600</v>
      </c>
      <c r="G711" s="100">
        <v>24480</v>
      </c>
    </row>
    <row r="712" spans="1:7" x14ac:dyDescent="0.35">
      <c r="A712" s="90">
        <v>21</v>
      </c>
      <c r="B712" s="90" t="s">
        <v>18</v>
      </c>
      <c r="C712" s="90" t="s">
        <v>468</v>
      </c>
      <c r="D712" s="90" t="s">
        <v>644</v>
      </c>
      <c r="E712" s="90">
        <v>5.5</v>
      </c>
      <c r="F712" s="100">
        <v>3500</v>
      </c>
      <c r="G712" s="100">
        <v>19250</v>
      </c>
    </row>
    <row r="713" spans="1:7" x14ac:dyDescent="0.35">
      <c r="A713" s="90">
        <v>21</v>
      </c>
      <c r="B713" s="90" t="s">
        <v>18</v>
      </c>
      <c r="C713" s="90" t="s">
        <v>478</v>
      </c>
      <c r="D713" s="90" t="s">
        <v>645</v>
      </c>
      <c r="E713" s="90">
        <v>3.1</v>
      </c>
      <c r="F713" s="100">
        <v>4000</v>
      </c>
      <c r="G713" s="100">
        <v>12400</v>
      </c>
    </row>
    <row r="714" spans="1:7" x14ac:dyDescent="0.35">
      <c r="A714" s="90">
        <v>21</v>
      </c>
      <c r="B714" s="90" t="s">
        <v>18</v>
      </c>
      <c r="C714" s="90" t="s">
        <v>496</v>
      </c>
      <c r="D714" s="90" t="s">
        <v>497</v>
      </c>
      <c r="E714" s="90">
        <v>0.5</v>
      </c>
      <c r="F714" s="100">
        <v>90000</v>
      </c>
      <c r="G714" s="100">
        <v>45000</v>
      </c>
    </row>
    <row r="715" spans="1:7" x14ac:dyDescent="0.35">
      <c r="A715" s="90">
        <v>21</v>
      </c>
      <c r="B715" s="90" t="s">
        <v>18</v>
      </c>
      <c r="C715" s="90" t="s">
        <v>80</v>
      </c>
      <c r="D715" s="90" t="s">
        <v>646</v>
      </c>
      <c r="E715" s="90">
        <v>50.8</v>
      </c>
      <c r="F715" s="100">
        <v>1800</v>
      </c>
      <c r="G715" s="100">
        <v>91440</v>
      </c>
    </row>
    <row r="716" spans="1:7" x14ac:dyDescent="0.35">
      <c r="A716" s="90">
        <v>21</v>
      </c>
      <c r="B716" s="90" t="s">
        <v>18</v>
      </c>
      <c r="C716" s="90" t="s">
        <v>334</v>
      </c>
      <c r="D716" s="90" t="s">
        <v>647</v>
      </c>
      <c r="E716" s="90">
        <v>7</v>
      </c>
      <c r="F716" s="100">
        <v>3800</v>
      </c>
      <c r="G716" s="100">
        <v>26600</v>
      </c>
    </row>
    <row r="717" spans="1:7" x14ac:dyDescent="0.35">
      <c r="A717" s="90">
        <v>21</v>
      </c>
      <c r="B717" s="90" t="s">
        <v>18</v>
      </c>
      <c r="C717" s="90" t="s">
        <v>330</v>
      </c>
      <c r="D717" s="90" t="s">
        <v>648</v>
      </c>
      <c r="E717" s="90">
        <v>68.7</v>
      </c>
      <c r="F717" s="100">
        <v>2000</v>
      </c>
      <c r="G717" s="100">
        <v>137400</v>
      </c>
    </row>
    <row r="718" spans="1:7" x14ac:dyDescent="0.35">
      <c r="A718" s="90">
        <v>21</v>
      </c>
      <c r="B718" s="90" t="s">
        <v>18</v>
      </c>
      <c r="C718" s="90" t="s">
        <v>330</v>
      </c>
      <c r="D718" s="90" t="s">
        <v>648</v>
      </c>
      <c r="E718" s="90">
        <v>49.6</v>
      </c>
      <c r="F718" s="100">
        <v>2000</v>
      </c>
      <c r="G718" s="100">
        <v>99200</v>
      </c>
    </row>
    <row r="719" spans="1:7" x14ac:dyDescent="0.35">
      <c r="A719" s="90">
        <v>21</v>
      </c>
      <c r="B719" s="90" t="s">
        <v>18</v>
      </c>
      <c r="C719" s="90" t="s">
        <v>500</v>
      </c>
      <c r="D719" s="90" t="s">
        <v>649</v>
      </c>
      <c r="E719" s="90">
        <v>0.5</v>
      </c>
      <c r="F719" s="100">
        <v>100000</v>
      </c>
      <c r="G719" s="100">
        <v>50000</v>
      </c>
    </row>
    <row r="720" spans="1:7" x14ac:dyDescent="0.35">
      <c r="A720" s="90">
        <v>21</v>
      </c>
      <c r="B720" s="90" t="s">
        <v>18</v>
      </c>
      <c r="C720" s="90" t="s">
        <v>482</v>
      </c>
      <c r="D720" s="90" t="s">
        <v>650</v>
      </c>
      <c r="E720" s="90">
        <v>6.3</v>
      </c>
      <c r="F720" s="100">
        <v>3000</v>
      </c>
      <c r="G720" s="100">
        <v>18900</v>
      </c>
    </row>
    <row r="721" spans="1:7" x14ac:dyDescent="0.35">
      <c r="A721" s="90">
        <v>21</v>
      </c>
      <c r="B721" s="90" t="s">
        <v>18</v>
      </c>
      <c r="C721" s="90" t="s">
        <v>651</v>
      </c>
      <c r="D721" s="90" t="s">
        <v>652</v>
      </c>
      <c r="E721" s="90">
        <v>3.1</v>
      </c>
      <c r="F721" s="100">
        <v>6500</v>
      </c>
      <c r="G721" s="100">
        <v>20150</v>
      </c>
    </row>
    <row r="722" spans="1:7" x14ac:dyDescent="0.35">
      <c r="A722" s="90">
        <v>21</v>
      </c>
      <c r="B722" s="90" t="s">
        <v>18</v>
      </c>
      <c r="C722" s="90" t="s">
        <v>653</v>
      </c>
      <c r="D722" s="90" t="s">
        <v>654</v>
      </c>
      <c r="E722" s="90">
        <v>4</v>
      </c>
      <c r="F722" s="100">
        <v>1500</v>
      </c>
      <c r="G722" s="100">
        <v>6000</v>
      </c>
    </row>
    <row r="723" spans="1:7" x14ac:dyDescent="0.35">
      <c r="A723" s="90">
        <v>21</v>
      </c>
      <c r="B723" s="90" t="s">
        <v>18</v>
      </c>
      <c r="C723" s="90" t="s">
        <v>328</v>
      </c>
      <c r="D723" s="90" t="s">
        <v>643</v>
      </c>
      <c r="E723" s="90">
        <v>6</v>
      </c>
      <c r="F723" s="100">
        <v>3800</v>
      </c>
      <c r="G723" s="100">
        <v>22800</v>
      </c>
    </row>
    <row r="724" spans="1:7" x14ac:dyDescent="0.35">
      <c r="A724" s="90">
        <v>21</v>
      </c>
      <c r="B724" s="90" t="s">
        <v>18</v>
      </c>
      <c r="C724" s="90" t="s">
        <v>19</v>
      </c>
      <c r="D724" s="90" t="s">
        <v>20</v>
      </c>
      <c r="E724" s="90">
        <v>30</v>
      </c>
      <c r="F724" s="100">
        <v>1000</v>
      </c>
      <c r="G724" s="100">
        <v>30000</v>
      </c>
    </row>
    <row r="725" spans="1:7" x14ac:dyDescent="0.35">
      <c r="A725" s="90">
        <v>21</v>
      </c>
      <c r="B725" s="90" t="s">
        <v>18</v>
      </c>
      <c r="C725" s="90" t="s">
        <v>334</v>
      </c>
      <c r="D725" s="90" t="s">
        <v>647</v>
      </c>
      <c r="E725" s="90">
        <v>12</v>
      </c>
      <c r="F725" s="100">
        <v>3800</v>
      </c>
      <c r="G725" s="100">
        <v>45600</v>
      </c>
    </row>
    <row r="726" spans="1:7" x14ac:dyDescent="0.35">
      <c r="A726" s="90">
        <v>21</v>
      </c>
      <c r="B726" s="90" t="s">
        <v>18</v>
      </c>
      <c r="C726" s="90" t="s">
        <v>332</v>
      </c>
      <c r="D726" s="90" t="s">
        <v>655</v>
      </c>
      <c r="E726" s="90">
        <v>1</v>
      </c>
      <c r="F726" s="100">
        <v>30000</v>
      </c>
      <c r="G726" s="100">
        <v>30000</v>
      </c>
    </row>
    <row r="727" spans="1:7" x14ac:dyDescent="0.35">
      <c r="A727" s="90">
        <v>21</v>
      </c>
      <c r="B727" s="90" t="s">
        <v>18</v>
      </c>
      <c r="C727" s="90" t="s">
        <v>80</v>
      </c>
      <c r="D727" s="90" t="s">
        <v>646</v>
      </c>
      <c r="E727" s="90">
        <v>36.799999999999997</v>
      </c>
      <c r="F727" s="100">
        <v>1500</v>
      </c>
      <c r="G727" s="100">
        <v>55200</v>
      </c>
    </row>
    <row r="728" spans="1:7" x14ac:dyDescent="0.35">
      <c r="A728" s="90">
        <v>21</v>
      </c>
      <c r="B728" s="90" t="s">
        <v>18</v>
      </c>
      <c r="C728" s="90" t="s">
        <v>85</v>
      </c>
      <c r="D728" s="90" t="s">
        <v>642</v>
      </c>
      <c r="E728" s="90">
        <v>10.4</v>
      </c>
      <c r="F728" s="100">
        <v>5500</v>
      </c>
      <c r="G728" s="100">
        <v>57200</v>
      </c>
    </row>
    <row r="729" spans="1:7" x14ac:dyDescent="0.35">
      <c r="A729" s="90">
        <v>21</v>
      </c>
      <c r="B729" s="90" t="s">
        <v>18</v>
      </c>
      <c r="C729" s="90" t="s">
        <v>482</v>
      </c>
      <c r="D729" s="90" t="s">
        <v>650</v>
      </c>
      <c r="E729" s="90">
        <v>8.9</v>
      </c>
      <c r="F729" s="100">
        <v>2000</v>
      </c>
      <c r="G729" s="100">
        <v>17800</v>
      </c>
    </row>
    <row r="730" spans="1:7" x14ac:dyDescent="0.35">
      <c r="A730" s="90">
        <v>21</v>
      </c>
      <c r="B730" s="90" t="s">
        <v>18</v>
      </c>
      <c r="C730" s="90" t="s">
        <v>78</v>
      </c>
      <c r="D730" s="90" t="s">
        <v>656</v>
      </c>
      <c r="E730" s="90">
        <v>3.2</v>
      </c>
      <c r="F730" s="100">
        <v>5000</v>
      </c>
      <c r="G730" s="100">
        <v>16000</v>
      </c>
    </row>
    <row r="731" spans="1:7" x14ac:dyDescent="0.35">
      <c r="A731" s="90">
        <v>21</v>
      </c>
      <c r="B731" s="90" t="s">
        <v>15</v>
      </c>
      <c r="C731" s="90" t="s">
        <v>82</v>
      </c>
      <c r="D731" s="90" t="s">
        <v>657</v>
      </c>
      <c r="E731" s="90">
        <v>3</v>
      </c>
      <c r="F731" s="100">
        <v>3000</v>
      </c>
      <c r="G731" s="100">
        <v>9000</v>
      </c>
    </row>
    <row r="732" spans="1:7" x14ac:dyDescent="0.35">
      <c r="A732" s="90">
        <v>21</v>
      </c>
      <c r="B732" s="90" t="s">
        <v>10</v>
      </c>
      <c r="C732" s="90" t="s">
        <v>55</v>
      </c>
      <c r="D732" s="90" t="s">
        <v>56</v>
      </c>
      <c r="E732" s="90">
        <v>9.15</v>
      </c>
      <c r="F732" s="100">
        <v>19500</v>
      </c>
      <c r="G732" s="100">
        <v>178425</v>
      </c>
    </row>
    <row r="733" spans="1:7" x14ac:dyDescent="0.35">
      <c r="A733" s="125">
        <v>21</v>
      </c>
      <c r="B733" s="127" t="s">
        <v>21</v>
      </c>
      <c r="C733" s="127" t="s">
        <v>775</v>
      </c>
      <c r="D733" s="127" t="s">
        <v>777</v>
      </c>
      <c r="E733" s="132">
        <v>50</v>
      </c>
      <c r="F733" s="141">
        <v>150</v>
      </c>
      <c r="G733" s="141">
        <v>7500</v>
      </c>
    </row>
    <row r="734" spans="1:7" x14ac:dyDescent="0.35">
      <c r="A734" s="90">
        <v>22</v>
      </c>
      <c r="B734" s="90" t="s">
        <v>10</v>
      </c>
      <c r="C734" s="90" t="s">
        <v>261</v>
      </c>
      <c r="D734" s="90" t="s">
        <v>262</v>
      </c>
      <c r="E734" s="90">
        <v>3.0579999999999998</v>
      </c>
      <c r="F734" s="100">
        <v>9799</v>
      </c>
      <c r="G734" s="100">
        <v>30066</v>
      </c>
    </row>
    <row r="735" spans="1:7" x14ac:dyDescent="0.35">
      <c r="A735" s="90">
        <v>22</v>
      </c>
      <c r="B735" s="90" t="s">
        <v>15</v>
      </c>
      <c r="C735" s="90" t="s">
        <v>37</v>
      </c>
      <c r="D735" s="90" t="s">
        <v>658</v>
      </c>
      <c r="E735" s="90">
        <v>1</v>
      </c>
      <c r="F735" s="100">
        <v>11100</v>
      </c>
      <c r="G735" s="100">
        <v>11100</v>
      </c>
    </row>
    <row r="736" spans="1:7" x14ac:dyDescent="0.35">
      <c r="A736" s="90">
        <v>22</v>
      </c>
      <c r="B736" s="90" t="s">
        <v>18</v>
      </c>
      <c r="C736" s="90" t="s">
        <v>659</v>
      </c>
      <c r="D736" s="90" t="s">
        <v>660</v>
      </c>
      <c r="E736" s="90">
        <v>1.19</v>
      </c>
      <c r="F736" s="100">
        <v>7280</v>
      </c>
      <c r="G736" s="100">
        <v>8664</v>
      </c>
    </row>
    <row r="737" spans="1:7" x14ac:dyDescent="0.35">
      <c r="A737" s="90">
        <v>22</v>
      </c>
      <c r="B737" s="90" t="s">
        <v>18</v>
      </c>
      <c r="C737" s="90" t="s">
        <v>502</v>
      </c>
      <c r="D737" s="90" t="s">
        <v>661</v>
      </c>
      <c r="E737" s="90">
        <v>2.3250000000000002</v>
      </c>
      <c r="F737" s="100">
        <v>2800</v>
      </c>
      <c r="G737" s="100">
        <v>6510</v>
      </c>
    </row>
    <row r="738" spans="1:7" x14ac:dyDescent="0.35">
      <c r="A738" s="90">
        <v>22</v>
      </c>
      <c r="B738" s="90" t="s">
        <v>18</v>
      </c>
      <c r="C738" s="90" t="s">
        <v>662</v>
      </c>
      <c r="D738" s="90" t="s">
        <v>663</v>
      </c>
      <c r="E738" s="90">
        <v>0.69499999999999995</v>
      </c>
      <c r="F738" s="100">
        <v>7280</v>
      </c>
      <c r="G738" s="100">
        <v>5060</v>
      </c>
    </row>
    <row r="739" spans="1:7" x14ac:dyDescent="0.35">
      <c r="A739" s="90">
        <v>22</v>
      </c>
      <c r="B739" s="90" t="s">
        <v>15</v>
      </c>
      <c r="C739" s="90" t="s">
        <v>184</v>
      </c>
      <c r="D739" s="90" t="s">
        <v>251</v>
      </c>
      <c r="E739" s="90">
        <v>1</v>
      </c>
      <c r="F739" s="100">
        <v>300</v>
      </c>
      <c r="G739" s="100">
        <v>300</v>
      </c>
    </row>
    <row r="740" spans="1:7" x14ac:dyDescent="0.35">
      <c r="A740" s="90">
        <v>22</v>
      </c>
      <c r="B740" s="90" t="s">
        <v>18</v>
      </c>
      <c r="C740" s="90" t="s">
        <v>30</v>
      </c>
      <c r="D740" s="90" t="s">
        <v>460</v>
      </c>
      <c r="E740" s="90">
        <v>10</v>
      </c>
      <c r="F740" s="100">
        <v>6000</v>
      </c>
      <c r="G740" s="100">
        <v>60000</v>
      </c>
    </row>
    <row r="741" spans="1:7" x14ac:dyDescent="0.35">
      <c r="A741" s="90">
        <v>22</v>
      </c>
      <c r="B741" s="90" t="s">
        <v>7</v>
      </c>
      <c r="C741" s="90" t="s">
        <v>13</v>
      </c>
      <c r="D741" s="90" t="s">
        <v>13</v>
      </c>
      <c r="E741" s="90">
        <v>1</v>
      </c>
      <c r="F741" s="100">
        <v>30000</v>
      </c>
      <c r="G741" s="100">
        <v>30000</v>
      </c>
    </row>
    <row r="742" spans="1:7" x14ac:dyDescent="0.35">
      <c r="A742" s="90">
        <v>22</v>
      </c>
      <c r="B742" s="90" t="s">
        <v>18</v>
      </c>
      <c r="C742" s="90" t="s">
        <v>248</v>
      </c>
      <c r="D742" s="90" t="s">
        <v>664</v>
      </c>
      <c r="E742" s="90">
        <v>12</v>
      </c>
      <c r="F742" s="100">
        <v>12000</v>
      </c>
      <c r="G742" s="100">
        <v>144000</v>
      </c>
    </row>
    <row r="743" spans="1:7" x14ac:dyDescent="0.35">
      <c r="A743" s="90">
        <v>22</v>
      </c>
      <c r="B743" s="90" t="s">
        <v>15</v>
      </c>
      <c r="C743" s="90" t="s">
        <v>148</v>
      </c>
      <c r="D743" s="90" t="s">
        <v>149</v>
      </c>
      <c r="E743" s="90">
        <v>200</v>
      </c>
      <c r="F743" s="100">
        <v>440</v>
      </c>
      <c r="G743" s="100">
        <v>88000</v>
      </c>
    </row>
    <row r="744" spans="1:7" x14ac:dyDescent="0.35">
      <c r="A744" s="90">
        <v>22</v>
      </c>
      <c r="B744" s="90" t="s">
        <v>15</v>
      </c>
      <c r="C744" s="90" t="s">
        <v>150</v>
      </c>
      <c r="D744" s="90" t="s">
        <v>151</v>
      </c>
      <c r="E744" s="90">
        <v>200</v>
      </c>
      <c r="F744" s="100">
        <v>440</v>
      </c>
      <c r="G744" s="100">
        <v>88000</v>
      </c>
    </row>
    <row r="745" spans="1:7" x14ac:dyDescent="0.35">
      <c r="A745" s="90">
        <v>22</v>
      </c>
      <c r="B745" s="90" t="s">
        <v>15</v>
      </c>
      <c r="C745" s="90" t="s">
        <v>124</v>
      </c>
      <c r="D745" s="90" t="s">
        <v>125</v>
      </c>
      <c r="E745" s="90">
        <v>1</v>
      </c>
      <c r="F745" s="100">
        <v>19850</v>
      </c>
      <c r="G745" s="100">
        <v>19850</v>
      </c>
    </row>
    <row r="746" spans="1:7" x14ac:dyDescent="0.35">
      <c r="A746" s="90">
        <v>22</v>
      </c>
      <c r="B746" s="90" t="s">
        <v>15</v>
      </c>
      <c r="C746" s="90" t="s">
        <v>214</v>
      </c>
      <c r="D746" s="90" t="s">
        <v>215</v>
      </c>
      <c r="E746" s="90">
        <v>25</v>
      </c>
      <c r="F746" s="100">
        <v>2100</v>
      </c>
      <c r="G746" s="100">
        <v>52500</v>
      </c>
    </row>
    <row r="747" spans="1:7" x14ac:dyDescent="0.35">
      <c r="A747" s="90">
        <v>22</v>
      </c>
      <c r="B747" s="90" t="s">
        <v>15</v>
      </c>
      <c r="C747" s="90" t="s">
        <v>136</v>
      </c>
      <c r="D747" s="90" t="s">
        <v>137</v>
      </c>
      <c r="E747" s="90">
        <v>7</v>
      </c>
      <c r="F747" s="100">
        <v>2100</v>
      </c>
      <c r="G747" s="100">
        <v>14700</v>
      </c>
    </row>
    <row r="748" spans="1:7" x14ac:dyDescent="0.35">
      <c r="A748" s="90">
        <v>22</v>
      </c>
      <c r="B748" s="90" t="s">
        <v>15</v>
      </c>
      <c r="C748" s="90" t="s">
        <v>665</v>
      </c>
      <c r="D748" s="90" t="s">
        <v>666</v>
      </c>
      <c r="E748" s="90">
        <v>1</v>
      </c>
      <c r="F748" s="100">
        <v>8200</v>
      </c>
      <c r="G748" s="100">
        <v>8200</v>
      </c>
    </row>
    <row r="749" spans="1:7" x14ac:dyDescent="0.35">
      <c r="A749" s="90">
        <v>22</v>
      </c>
      <c r="B749" s="90" t="s">
        <v>15</v>
      </c>
      <c r="C749" s="90" t="s">
        <v>37</v>
      </c>
      <c r="D749" s="90" t="s">
        <v>38</v>
      </c>
      <c r="E749" s="90">
        <v>5</v>
      </c>
      <c r="F749" s="100">
        <v>10600</v>
      </c>
      <c r="G749" s="100">
        <v>53000</v>
      </c>
    </row>
    <row r="750" spans="1:7" x14ac:dyDescent="0.35">
      <c r="A750" s="90">
        <v>22</v>
      </c>
      <c r="B750" s="90" t="s">
        <v>15</v>
      </c>
      <c r="C750" s="90" t="s">
        <v>154</v>
      </c>
      <c r="D750" s="90" t="s">
        <v>155</v>
      </c>
      <c r="E750" s="90">
        <v>200</v>
      </c>
      <c r="F750" s="100">
        <v>270</v>
      </c>
      <c r="G750" s="100">
        <v>54000</v>
      </c>
    </row>
    <row r="751" spans="1:7" x14ac:dyDescent="0.35">
      <c r="A751" s="90">
        <v>22</v>
      </c>
      <c r="B751" s="90" t="s">
        <v>15</v>
      </c>
      <c r="C751" s="90" t="s">
        <v>297</v>
      </c>
      <c r="D751" s="90" t="s">
        <v>298</v>
      </c>
      <c r="E751" s="90">
        <v>5</v>
      </c>
      <c r="F751" s="100">
        <v>20950</v>
      </c>
      <c r="G751" s="100">
        <v>104750</v>
      </c>
    </row>
    <row r="752" spans="1:7" x14ac:dyDescent="0.35">
      <c r="A752" s="90">
        <v>22</v>
      </c>
      <c r="B752" s="90" t="s">
        <v>15</v>
      </c>
      <c r="C752" s="90" t="s">
        <v>100</v>
      </c>
      <c r="D752" s="90" t="s">
        <v>101</v>
      </c>
      <c r="E752" s="90">
        <v>20</v>
      </c>
      <c r="F752" s="100">
        <v>10000</v>
      </c>
      <c r="G752" s="100">
        <v>200000</v>
      </c>
    </row>
    <row r="753" spans="1:8" x14ac:dyDescent="0.35">
      <c r="A753" s="90">
        <v>22</v>
      </c>
      <c r="B753" s="90" t="s">
        <v>15</v>
      </c>
      <c r="C753" s="90" t="s">
        <v>305</v>
      </c>
      <c r="D753" s="90" t="s">
        <v>667</v>
      </c>
      <c r="E753" s="90">
        <v>5</v>
      </c>
      <c r="F753" s="100">
        <v>15850</v>
      </c>
      <c r="G753" s="100">
        <v>79250</v>
      </c>
    </row>
    <row r="754" spans="1:8" x14ac:dyDescent="0.35">
      <c r="A754" s="90">
        <v>22</v>
      </c>
      <c r="B754" s="90" t="s">
        <v>15</v>
      </c>
      <c r="C754" s="90" t="s">
        <v>285</v>
      </c>
      <c r="D754" s="90" t="s">
        <v>286</v>
      </c>
      <c r="E754" s="90">
        <v>2</v>
      </c>
      <c r="F754" s="100">
        <v>27500</v>
      </c>
      <c r="G754" s="100">
        <v>55000</v>
      </c>
    </row>
    <row r="755" spans="1:8" x14ac:dyDescent="0.35">
      <c r="A755" s="90">
        <v>22</v>
      </c>
      <c r="B755" s="90" t="s">
        <v>15</v>
      </c>
      <c r="C755" s="90" t="s">
        <v>102</v>
      </c>
      <c r="D755" s="90" t="s">
        <v>103</v>
      </c>
      <c r="E755" s="90">
        <v>10</v>
      </c>
      <c r="F755" s="100">
        <v>900</v>
      </c>
      <c r="G755" s="100">
        <v>9000</v>
      </c>
    </row>
    <row r="756" spans="1:8" x14ac:dyDescent="0.35">
      <c r="A756" s="90">
        <v>22</v>
      </c>
      <c r="B756" s="90" t="s">
        <v>15</v>
      </c>
      <c r="C756" s="90" t="s">
        <v>43</v>
      </c>
      <c r="D756" s="90" t="s">
        <v>44</v>
      </c>
      <c r="E756" s="90">
        <v>10</v>
      </c>
      <c r="F756" s="100">
        <v>440</v>
      </c>
      <c r="G756" s="100">
        <v>4400</v>
      </c>
    </row>
    <row r="757" spans="1:8" x14ac:dyDescent="0.35">
      <c r="A757" s="90">
        <v>22</v>
      </c>
      <c r="B757" s="90" t="s">
        <v>15</v>
      </c>
      <c r="C757" s="90" t="s">
        <v>104</v>
      </c>
      <c r="D757" s="90" t="s">
        <v>318</v>
      </c>
      <c r="E757" s="90">
        <v>5</v>
      </c>
      <c r="F757" s="100">
        <v>6650</v>
      </c>
      <c r="G757" s="100">
        <v>33250</v>
      </c>
    </row>
    <row r="758" spans="1:8" x14ac:dyDescent="0.35">
      <c r="A758" s="90">
        <v>22</v>
      </c>
      <c r="B758" s="90" t="s">
        <v>15</v>
      </c>
      <c r="C758" s="90" t="s">
        <v>45</v>
      </c>
      <c r="D758" s="90" t="s">
        <v>46</v>
      </c>
      <c r="E758" s="90">
        <v>2</v>
      </c>
      <c r="F758" s="100">
        <v>8400</v>
      </c>
      <c r="G758" s="100">
        <v>16800</v>
      </c>
    </row>
    <row r="759" spans="1:8" x14ac:dyDescent="0.35">
      <c r="A759" s="90">
        <v>22</v>
      </c>
      <c r="B759" s="90" t="s">
        <v>15</v>
      </c>
      <c r="C759" s="90" t="s">
        <v>41</v>
      </c>
      <c r="D759" s="90" t="s">
        <v>42</v>
      </c>
      <c r="E759" s="90">
        <v>10</v>
      </c>
      <c r="F759" s="100">
        <v>2500</v>
      </c>
      <c r="G759" s="100">
        <v>25000</v>
      </c>
    </row>
    <row r="760" spans="1:8" x14ac:dyDescent="0.35">
      <c r="A760" s="90">
        <v>22</v>
      </c>
      <c r="B760" s="90" t="s">
        <v>15</v>
      </c>
      <c r="C760" s="90" t="s">
        <v>51</v>
      </c>
      <c r="D760" s="90" t="s">
        <v>52</v>
      </c>
      <c r="E760" s="90">
        <v>5</v>
      </c>
      <c r="F760" s="100">
        <v>9600</v>
      </c>
      <c r="G760" s="100">
        <v>48000</v>
      </c>
    </row>
    <row r="761" spans="1:8" x14ac:dyDescent="0.35">
      <c r="A761" s="90">
        <v>22</v>
      </c>
      <c r="B761" s="90" t="s">
        <v>15</v>
      </c>
      <c r="C761" s="90" t="s">
        <v>142</v>
      </c>
      <c r="D761" s="90" t="s">
        <v>143</v>
      </c>
      <c r="E761" s="90">
        <v>1</v>
      </c>
      <c r="F761" s="100">
        <v>30700</v>
      </c>
      <c r="G761" s="100">
        <v>30700</v>
      </c>
    </row>
    <row r="762" spans="1:8" x14ac:dyDescent="0.35">
      <c r="A762" s="90">
        <v>22</v>
      </c>
      <c r="B762" s="90" t="s">
        <v>15</v>
      </c>
      <c r="C762" s="90" t="s">
        <v>152</v>
      </c>
      <c r="D762" s="90" t="s">
        <v>153</v>
      </c>
      <c r="E762" s="90">
        <v>1</v>
      </c>
      <c r="F762" s="100">
        <v>18650</v>
      </c>
      <c r="G762" s="100">
        <v>18650</v>
      </c>
    </row>
    <row r="763" spans="1:8" x14ac:dyDescent="0.35">
      <c r="A763" s="90">
        <v>22</v>
      </c>
      <c r="B763" s="90" t="s">
        <v>15</v>
      </c>
      <c r="C763" s="90" t="s">
        <v>116</v>
      </c>
      <c r="D763" s="90" t="s">
        <v>117</v>
      </c>
      <c r="E763" s="90">
        <v>24</v>
      </c>
      <c r="F763" s="100">
        <v>2600</v>
      </c>
      <c r="G763" s="100">
        <v>62400</v>
      </c>
    </row>
    <row r="764" spans="1:8" x14ac:dyDescent="0.35">
      <c r="A764" s="90">
        <v>22</v>
      </c>
      <c r="B764" s="90" t="s">
        <v>15</v>
      </c>
      <c r="C764" s="90" t="s">
        <v>112</v>
      </c>
      <c r="D764" s="90" t="s">
        <v>113</v>
      </c>
      <c r="E764" s="90">
        <v>6</v>
      </c>
      <c r="F764" s="100">
        <v>4800</v>
      </c>
      <c r="G764" s="100">
        <v>28800</v>
      </c>
    </row>
    <row r="765" spans="1:8" x14ac:dyDescent="0.35">
      <c r="A765" s="90">
        <v>22</v>
      </c>
      <c r="B765" s="90" t="s">
        <v>15</v>
      </c>
      <c r="C765" s="90" t="s">
        <v>290</v>
      </c>
      <c r="D765" s="90" t="s">
        <v>291</v>
      </c>
      <c r="E765" s="90">
        <v>3</v>
      </c>
      <c r="F765" s="100">
        <v>2600</v>
      </c>
      <c r="G765" s="100">
        <v>7800</v>
      </c>
    </row>
    <row r="766" spans="1:8" x14ac:dyDescent="0.35">
      <c r="A766" s="90">
        <v>22</v>
      </c>
      <c r="B766" s="90" t="s">
        <v>15</v>
      </c>
      <c r="C766" s="90" t="s">
        <v>110</v>
      </c>
      <c r="D766" s="90" t="s">
        <v>111</v>
      </c>
      <c r="E766" s="90">
        <v>1</v>
      </c>
      <c r="F766" s="100">
        <v>17500</v>
      </c>
      <c r="G766" s="100">
        <v>17500</v>
      </c>
    </row>
    <row r="767" spans="1:8" x14ac:dyDescent="0.35">
      <c r="A767" s="90">
        <v>22</v>
      </c>
      <c r="B767" s="90" t="s">
        <v>15</v>
      </c>
      <c r="C767" s="90" t="s">
        <v>186</v>
      </c>
      <c r="D767" s="90" t="s">
        <v>420</v>
      </c>
      <c r="E767" s="90">
        <v>1</v>
      </c>
      <c r="F767" s="100">
        <v>22500</v>
      </c>
      <c r="G767" s="100">
        <v>22500</v>
      </c>
    </row>
    <row r="768" spans="1:8" x14ac:dyDescent="0.35">
      <c r="A768" s="90">
        <v>22</v>
      </c>
      <c r="B768" s="90" t="s">
        <v>15</v>
      </c>
      <c r="C768" s="90" t="s">
        <v>108</v>
      </c>
      <c r="D768" s="90" t="s">
        <v>668</v>
      </c>
      <c r="E768" s="90">
        <v>2</v>
      </c>
      <c r="F768" s="100">
        <v>17250</v>
      </c>
      <c r="G768" s="100">
        <v>34500</v>
      </c>
      <c r="H768" s="98"/>
    </row>
    <row r="769" spans="1:8" x14ac:dyDescent="0.35">
      <c r="A769" s="90">
        <v>22</v>
      </c>
      <c r="B769" s="90" t="s">
        <v>15</v>
      </c>
      <c r="C769" s="90" t="s">
        <v>669</v>
      </c>
      <c r="D769" s="90" t="s">
        <v>670</v>
      </c>
      <c r="E769" s="90">
        <v>1</v>
      </c>
      <c r="F769" s="100">
        <v>27450</v>
      </c>
      <c r="G769" s="100">
        <v>27450</v>
      </c>
    </row>
    <row r="770" spans="1:8" x14ac:dyDescent="0.35">
      <c r="A770" s="90">
        <v>22</v>
      </c>
      <c r="B770" s="90" t="s">
        <v>15</v>
      </c>
      <c r="C770" s="90" t="s">
        <v>140</v>
      </c>
      <c r="D770" s="90" t="s">
        <v>413</v>
      </c>
      <c r="E770" s="90">
        <v>1</v>
      </c>
      <c r="F770" s="100">
        <v>30350</v>
      </c>
      <c r="G770" s="100">
        <v>30350</v>
      </c>
    </row>
    <row r="771" spans="1:8" x14ac:dyDescent="0.35">
      <c r="A771" s="90">
        <v>22</v>
      </c>
      <c r="B771" s="90" t="s">
        <v>15</v>
      </c>
      <c r="C771" s="90" t="s">
        <v>416</v>
      </c>
      <c r="D771" s="90" t="s">
        <v>671</v>
      </c>
      <c r="E771" s="90">
        <v>1</v>
      </c>
      <c r="F771" s="100">
        <v>34300</v>
      </c>
      <c r="G771" s="100">
        <v>34300</v>
      </c>
    </row>
    <row r="772" spans="1:8" x14ac:dyDescent="0.35">
      <c r="A772" s="90">
        <v>22</v>
      </c>
      <c r="B772" s="90" t="s">
        <v>15</v>
      </c>
      <c r="C772" s="90" t="s">
        <v>128</v>
      </c>
      <c r="D772" s="90" t="s">
        <v>129</v>
      </c>
      <c r="E772" s="90">
        <v>2</v>
      </c>
      <c r="F772" s="100">
        <v>7200</v>
      </c>
      <c r="G772" s="100">
        <v>14400</v>
      </c>
    </row>
    <row r="773" spans="1:8" x14ac:dyDescent="0.35">
      <c r="A773" s="90">
        <v>22</v>
      </c>
      <c r="B773" s="90" t="s">
        <v>15</v>
      </c>
      <c r="C773" s="90" t="s">
        <v>130</v>
      </c>
      <c r="D773" s="90" t="s">
        <v>131</v>
      </c>
      <c r="E773" s="90">
        <v>4</v>
      </c>
      <c r="F773" s="100">
        <v>2750</v>
      </c>
      <c r="G773" s="100">
        <v>11000</v>
      </c>
      <c r="H773" s="98"/>
    </row>
    <row r="774" spans="1:8" x14ac:dyDescent="0.35">
      <c r="A774" s="90">
        <v>22</v>
      </c>
      <c r="B774" s="90" t="s">
        <v>15</v>
      </c>
      <c r="C774" s="90" t="s">
        <v>53</v>
      </c>
      <c r="D774" s="90" t="s">
        <v>672</v>
      </c>
      <c r="E774" s="90">
        <v>10</v>
      </c>
      <c r="F774" s="100">
        <v>2400</v>
      </c>
      <c r="G774" s="100">
        <v>24000</v>
      </c>
    </row>
    <row r="775" spans="1:8" x14ac:dyDescent="0.35">
      <c r="A775" s="90">
        <v>22</v>
      </c>
      <c r="B775" s="90" t="s">
        <v>15</v>
      </c>
      <c r="C775" s="90" t="s">
        <v>673</v>
      </c>
      <c r="D775" s="90" t="s">
        <v>674</v>
      </c>
      <c r="E775" s="90">
        <v>1</v>
      </c>
      <c r="F775" s="100">
        <v>8200</v>
      </c>
      <c r="G775" s="100">
        <v>8200</v>
      </c>
    </row>
    <row r="776" spans="1:8" x14ac:dyDescent="0.35">
      <c r="A776" s="90">
        <v>22</v>
      </c>
      <c r="B776" s="90" t="s">
        <v>15</v>
      </c>
      <c r="C776" s="90" t="s">
        <v>132</v>
      </c>
      <c r="D776" s="90" t="s">
        <v>133</v>
      </c>
      <c r="E776" s="90">
        <v>4</v>
      </c>
      <c r="F776" s="100">
        <v>4850</v>
      </c>
      <c r="G776" s="100">
        <v>19400</v>
      </c>
    </row>
    <row r="777" spans="1:8" x14ac:dyDescent="0.35">
      <c r="A777" s="90">
        <v>22</v>
      </c>
      <c r="B777" s="90" t="s">
        <v>15</v>
      </c>
      <c r="C777" s="90" t="s">
        <v>134</v>
      </c>
      <c r="D777" s="90" t="s">
        <v>135</v>
      </c>
      <c r="E777" s="90">
        <v>20</v>
      </c>
      <c r="F777" s="100">
        <v>15800</v>
      </c>
      <c r="G777" s="100">
        <v>316000</v>
      </c>
    </row>
    <row r="778" spans="1:8" x14ac:dyDescent="0.35">
      <c r="A778" s="90">
        <v>22</v>
      </c>
      <c r="B778" s="90" t="s">
        <v>15</v>
      </c>
      <c r="C778" s="90" t="s">
        <v>138</v>
      </c>
      <c r="D778" s="90" t="s">
        <v>139</v>
      </c>
      <c r="E778" s="90">
        <v>1</v>
      </c>
      <c r="F778" s="100">
        <v>14600</v>
      </c>
      <c r="G778" s="100">
        <v>14600</v>
      </c>
    </row>
    <row r="779" spans="1:8" x14ac:dyDescent="0.35">
      <c r="A779" s="90">
        <v>22</v>
      </c>
      <c r="B779" s="90" t="s">
        <v>15</v>
      </c>
      <c r="C779" s="90" t="s">
        <v>126</v>
      </c>
      <c r="D779" s="90" t="s">
        <v>127</v>
      </c>
      <c r="E779" s="90">
        <v>2</v>
      </c>
      <c r="F779" s="100">
        <v>23800</v>
      </c>
      <c r="G779" s="100">
        <v>47600</v>
      </c>
    </row>
    <row r="780" spans="1:8" x14ac:dyDescent="0.35">
      <c r="A780" s="90">
        <v>22</v>
      </c>
      <c r="B780" s="90" t="s">
        <v>15</v>
      </c>
      <c r="C780" s="90" t="s">
        <v>120</v>
      </c>
      <c r="D780" s="90" t="s">
        <v>121</v>
      </c>
      <c r="E780" s="90">
        <v>4</v>
      </c>
      <c r="F780" s="100">
        <v>6200</v>
      </c>
      <c r="G780" s="100">
        <v>24800</v>
      </c>
    </row>
    <row r="781" spans="1:8" x14ac:dyDescent="0.35">
      <c r="A781" s="90">
        <v>22</v>
      </c>
      <c r="B781" s="90" t="s">
        <v>21</v>
      </c>
      <c r="C781" s="90" t="s">
        <v>64</v>
      </c>
      <c r="D781" s="90" t="s">
        <v>65</v>
      </c>
      <c r="E781" s="90">
        <v>60</v>
      </c>
      <c r="F781" s="100">
        <v>4180</v>
      </c>
      <c r="G781" s="100">
        <v>250800</v>
      </c>
    </row>
    <row r="782" spans="1:8" x14ac:dyDescent="0.35">
      <c r="A782" s="90">
        <v>22</v>
      </c>
      <c r="B782" s="90" t="s">
        <v>15</v>
      </c>
      <c r="C782" s="90" t="s">
        <v>66</v>
      </c>
      <c r="D782" s="90" t="s">
        <v>67</v>
      </c>
      <c r="E782" s="90">
        <v>4</v>
      </c>
      <c r="F782" s="100">
        <v>18200</v>
      </c>
      <c r="G782" s="100">
        <v>72800</v>
      </c>
    </row>
    <row r="783" spans="1:8" x14ac:dyDescent="0.35">
      <c r="A783" s="90">
        <v>22</v>
      </c>
      <c r="B783" s="90" t="s">
        <v>10</v>
      </c>
      <c r="C783" s="90" t="s">
        <v>55</v>
      </c>
      <c r="D783" s="90" t="s">
        <v>56</v>
      </c>
      <c r="E783" s="90">
        <v>18.309999999999999</v>
      </c>
      <c r="F783" s="100">
        <v>19500</v>
      </c>
      <c r="G783" s="100">
        <v>357045</v>
      </c>
    </row>
    <row r="784" spans="1:8" x14ac:dyDescent="0.35">
      <c r="A784" s="90">
        <v>22</v>
      </c>
      <c r="B784" s="90" t="s">
        <v>57</v>
      </c>
      <c r="C784" s="90" t="s">
        <v>60</v>
      </c>
      <c r="D784" s="90" t="s">
        <v>61</v>
      </c>
      <c r="E784" s="90">
        <v>3</v>
      </c>
      <c r="F784" s="100">
        <v>5000</v>
      </c>
      <c r="G784" s="100">
        <v>15000</v>
      </c>
    </row>
    <row r="785" spans="1:7" x14ac:dyDescent="0.35">
      <c r="A785" s="90">
        <v>22</v>
      </c>
      <c r="B785" s="90" t="s">
        <v>57</v>
      </c>
      <c r="C785" s="90" t="s">
        <v>58</v>
      </c>
      <c r="D785" s="90" t="s">
        <v>59</v>
      </c>
      <c r="E785" s="90">
        <v>2</v>
      </c>
      <c r="F785" s="100">
        <v>9500</v>
      </c>
      <c r="G785" s="100">
        <v>19000</v>
      </c>
    </row>
    <row r="786" spans="1:7" x14ac:dyDescent="0.35">
      <c r="A786" s="125">
        <v>22</v>
      </c>
      <c r="B786" s="127" t="s">
        <v>21</v>
      </c>
      <c r="C786" s="127" t="s">
        <v>775</v>
      </c>
      <c r="D786" s="127" t="s">
        <v>534</v>
      </c>
      <c r="E786" s="132">
        <v>150</v>
      </c>
      <c r="F786" s="141">
        <v>150</v>
      </c>
      <c r="G786" s="141">
        <v>22500</v>
      </c>
    </row>
    <row r="787" spans="1:7" x14ac:dyDescent="0.35">
      <c r="A787" s="125">
        <v>22</v>
      </c>
      <c r="B787" s="127" t="s">
        <v>10</v>
      </c>
      <c r="C787" s="127" t="s">
        <v>188</v>
      </c>
      <c r="D787" s="127" t="s">
        <v>266</v>
      </c>
      <c r="E787" s="138">
        <v>10.4</v>
      </c>
      <c r="F787" s="141">
        <v>18500</v>
      </c>
      <c r="G787" s="141">
        <v>192400</v>
      </c>
    </row>
    <row r="788" spans="1:7" x14ac:dyDescent="0.35">
      <c r="A788" s="116">
        <v>22</v>
      </c>
      <c r="B788" s="127" t="s">
        <v>10</v>
      </c>
      <c r="C788" s="127" t="s">
        <v>802</v>
      </c>
      <c r="D788" s="127" t="s">
        <v>803</v>
      </c>
      <c r="E788" s="139">
        <v>14.5</v>
      </c>
      <c r="F788" s="132">
        <v>21900</v>
      </c>
      <c r="G788" s="132">
        <v>317550</v>
      </c>
    </row>
    <row r="789" spans="1:7" x14ac:dyDescent="0.35">
      <c r="A789" s="116">
        <v>22</v>
      </c>
      <c r="B789" s="127" t="s">
        <v>57</v>
      </c>
      <c r="C789" s="127" t="s">
        <v>437</v>
      </c>
      <c r="D789" s="127" t="s">
        <v>438</v>
      </c>
      <c r="E789" s="132">
        <v>1</v>
      </c>
      <c r="F789" s="141">
        <v>93000</v>
      </c>
      <c r="G789" s="141">
        <v>93000</v>
      </c>
    </row>
    <row r="790" spans="1:7" x14ac:dyDescent="0.35">
      <c r="A790" s="116">
        <v>22</v>
      </c>
      <c r="B790" s="127" t="s">
        <v>57</v>
      </c>
      <c r="C790" s="127" t="s">
        <v>437</v>
      </c>
      <c r="D790" s="127" t="s">
        <v>441</v>
      </c>
      <c r="E790" s="132">
        <v>1</v>
      </c>
      <c r="F790" s="141">
        <v>74500</v>
      </c>
      <c r="G790" s="141">
        <v>74500</v>
      </c>
    </row>
    <row r="791" spans="1:7" x14ac:dyDescent="0.35">
      <c r="A791" s="90">
        <v>23</v>
      </c>
      <c r="B791" s="90" t="s">
        <v>10</v>
      </c>
      <c r="C791" s="90" t="s">
        <v>171</v>
      </c>
      <c r="D791" s="90" t="s">
        <v>172</v>
      </c>
      <c r="E791" s="90">
        <v>64.099999999999994</v>
      </c>
      <c r="F791" s="100">
        <v>21900</v>
      </c>
      <c r="G791" s="100">
        <v>1403790</v>
      </c>
    </row>
    <row r="792" spans="1:7" x14ac:dyDescent="0.35">
      <c r="A792" s="90">
        <v>23</v>
      </c>
      <c r="B792" s="90" t="s">
        <v>10</v>
      </c>
      <c r="C792" s="90" t="s">
        <v>352</v>
      </c>
      <c r="D792" s="90" t="s">
        <v>353</v>
      </c>
      <c r="E792" s="90">
        <v>21.5</v>
      </c>
      <c r="F792" s="100">
        <v>26900</v>
      </c>
      <c r="G792" s="100">
        <v>578350</v>
      </c>
    </row>
    <row r="793" spans="1:7" x14ac:dyDescent="0.35">
      <c r="A793" s="90">
        <v>23</v>
      </c>
      <c r="B793" s="90" t="s">
        <v>10</v>
      </c>
      <c r="C793" s="90" t="s">
        <v>70</v>
      </c>
      <c r="D793" s="90" t="s">
        <v>166</v>
      </c>
      <c r="E793" s="90">
        <v>17.05</v>
      </c>
      <c r="F793" s="100">
        <v>34500</v>
      </c>
      <c r="G793" s="100">
        <v>588225</v>
      </c>
    </row>
    <row r="794" spans="1:7" x14ac:dyDescent="0.35">
      <c r="A794" s="90">
        <v>23</v>
      </c>
      <c r="B794" s="90" t="s">
        <v>10</v>
      </c>
      <c r="C794" s="90" t="s">
        <v>350</v>
      </c>
      <c r="D794" s="90" t="s">
        <v>675</v>
      </c>
      <c r="E794" s="90">
        <v>26.1</v>
      </c>
      <c r="F794" s="100">
        <v>15400</v>
      </c>
      <c r="G794" s="100">
        <v>401940</v>
      </c>
    </row>
    <row r="795" spans="1:7" x14ac:dyDescent="0.35">
      <c r="A795" s="90">
        <v>23</v>
      </c>
      <c r="B795" s="90" t="s">
        <v>10</v>
      </c>
      <c r="C795" s="90" t="s">
        <v>230</v>
      </c>
      <c r="D795" s="90" t="s">
        <v>676</v>
      </c>
      <c r="E795" s="90">
        <v>4.2</v>
      </c>
      <c r="F795" s="100">
        <v>65900</v>
      </c>
      <c r="G795" s="100">
        <v>276780</v>
      </c>
    </row>
    <row r="796" spans="1:7" x14ac:dyDescent="0.35">
      <c r="A796" s="90">
        <v>23</v>
      </c>
      <c r="B796" s="90" t="s">
        <v>10</v>
      </c>
      <c r="C796" s="90" t="s">
        <v>428</v>
      </c>
      <c r="D796" s="90" t="s">
        <v>677</v>
      </c>
      <c r="E796" s="90">
        <v>6.71</v>
      </c>
      <c r="F796" s="100">
        <v>50900</v>
      </c>
      <c r="G796" s="100">
        <v>341539</v>
      </c>
    </row>
    <row r="797" spans="1:7" x14ac:dyDescent="0.35">
      <c r="A797" s="90">
        <v>23</v>
      </c>
      <c r="B797" s="90" t="s">
        <v>10</v>
      </c>
      <c r="C797" s="90" t="s">
        <v>426</v>
      </c>
      <c r="D797" s="90" t="s">
        <v>678</v>
      </c>
      <c r="E797" s="90">
        <v>6.3550000000000004</v>
      </c>
      <c r="F797" s="100">
        <v>57900</v>
      </c>
      <c r="G797" s="100">
        <v>367955</v>
      </c>
    </row>
    <row r="798" spans="1:7" x14ac:dyDescent="0.35">
      <c r="A798" s="90">
        <v>23</v>
      </c>
      <c r="B798" s="90" t="s">
        <v>10</v>
      </c>
      <c r="C798" s="90" t="s">
        <v>11</v>
      </c>
      <c r="D798" s="90" t="s">
        <v>392</v>
      </c>
      <c r="E798" s="90">
        <v>37</v>
      </c>
      <c r="F798" s="100">
        <v>7700</v>
      </c>
      <c r="G798" s="100">
        <v>284900</v>
      </c>
    </row>
    <row r="799" spans="1:7" x14ac:dyDescent="0.35">
      <c r="A799" s="90">
        <v>23</v>
      </c>
      <c r="B799" s="90" t="s">
        <v>10</v>
      </c>
      <c r="C799" s="90" t="s">
        <v>173</v>
      </c>
      <c r="D799" s="90" t="s">
        <v>174</v>
      </c>
      <c r="E799" s="90">
        <v>22.12</v>
      </c>
      <c r="F799" s="100">
        <v>17000</v>
      </c>
      <c r="G799" s="100">
        <v>376040</v>
      </c>
    </row>
    <row r="800" spans="1:7" x14ac:dyDescent="0.35">
      <c r="A800" s="90">
        <v>23</v>
      </c>
      <c r="B800" s="90" t="s">
        <v>57</v>
      </c>
      <c r="C800" s="90" t="s">
        <v>439</v>
      </c>
      <c r="D800" s="90" t="s">
        <v>679</v>
      </c>
      <c r="E800" s="90">
        <v>1</v>
      </c>
      <c r="F800" s="100">
        <v>92200</v>
      </c>
      <c r="G800" s="100">
        <v>92200</v>
      </c>
    </row>
    <row r="801" spans="1:7" x14ac:dyDescent="0.35">
      <c r="A801" s="90">
        <v>23</v>
      </c>
      <c r="B801" s="90" t="s">
        <v>57</v>
      </c>
      <c r="C801" s="90" t="s">
        <v>442</v>
      </c>
      <c r="D801" s="90" t="s">
        <v>443</v>
      </c>
      <c r="E801" s="90">
        <v>2</v>
      </c>
      <c r="F801" s="100">
        <v>69700</v>
      </c>
      <c r="G801" s="100">
        <v>139400</v>
      </c>
    </row>
    <row r="802" spans="1:7" x14ac:dyDescent="0.35">
      <c r="A802" s="103">
        <v>23</v>
      </c>
      <c r="B802" s="103" t="s">
        <v>57</v>
      </c>
      <c r="C802" s="103" t="s">
        <v>58</v>
      </c>
      <c r="D802" s="103" t="s">
        <v>697</v>
      </c>
      <c r="E802" s="103">
        <v>2</v>
      </c>
      <c r="F802" s="104">
        <v>9500</v>
      </c>
      <c r="G802" s="104">
        <v>19000</v>
      </c>
    </row>
    <row r="803" spans="1:7" x14ac:dyDescent="0.35">
      <c r="A803" s="103">
        <v>23</v>
      </c>
      <c r="B803" s="103" t="s">
        <v>18</v>
      </c>
      <c r="C803" s="103" t="s">
        <v>707</v>
      </c>
      <c r="D803" s="103" t="s">
        <v>708</v>
      </c>
      <c r="E803" s="103">
        <v>35</v>
      </c>
      <c r="F803" s="104">
        <v>2500</v>
      </c>
      <c r="G803" s="104">
        <v>87500</v>
      </c>
    </row>
    <row r="804" spans="1:7" x14ac:dyDescent="0.35">
      <c r="A804" s="103">
        <v>23</v>
      </c>
      <c r="B804" s="103" t="s">
        <v>18</v>
      </c>
      <c r="C804" s="103" t="s">
        <v>709</v>
      </c>
      <c r="D804" s="103" t="s">
        <v>710</v>
      </c>
      <c r="E804" s="103">
        <v>8</v>
      </c>
      <c r="F804" s="104">
        <v>3500</v>
      </c>
      <c r="G804" s="104">
        <v>28000</v>
      </c>
    </row>
    <row r="805" spans="1:7" x14ac:dyDescent="0.35">
      <c r="A805" s="103">
        <v>23</v>
      </c>
      <c r="B805" s="103" t="s">
        <v>18</v>
      </c>
      <c r="C805" s="103" t="s">
        <v>74</v>
      </c>
      <c r="D805" s="103" t="s">
        <v>711</v>
      </c>
      <c r="E805" s="103">
        <v>5</v>
      </c>
      <c r="F805" s="104">
        <v>8000</v>
      </c>
      <c r="G805" s="104">
        <v>40000</v>
      </c>
    </row>
    <row r="806" spans="1:7" x14ac:dyDescent="0.35">
      <c r="A806" s="103">
        <v>23</v>
      </c>
      <c r="B806" s="103" t="s">
        <v>18</v>
      </c>
      <c r="C806" s="103" t="s">
        <v>371</v>
      </c>
      <c r="D806" s="103" t="s">
        <v>371</v>
      </c>
      <c r="E806" s="103">
        <v>1</v>
      </c>
      <c r="F806" s="104">
        <v>4000</v>
      </c>
      <c r="G806" s="104">
        <v>4000</v>
      </c>
    </row>
    <row r="807" spans="1:7" x14ac:dyDescent="0.35">
      <c r="A807" s="103">
        <v>23</v>
      </c>
      <c r="B807" s="103" t="s">
        <v>18</v>
      </c>
      <c r="C807" s="103" t="s">
        <v>490</v>
      </c>
      <c r="D807" s="103" t="s">
        <v>712</v>
      </c>
      <c r="E807" s="103">
        <v>1</v>
      </c>
      <c r="F807" s="104">
        <v>7000</v>
      </c>
      <c r="G807" s="104">
        <v>7000</v>
      </c>
    </row>
    <row r="808" spans="1:7" x14ac:dyDescent="0.35">
      <c r="A808" s="103">
        <v>23</v>
      </c>
      <c r="B808" s="103" t="s">
        <v>15</v>
      </c>
      <c r="C808" s="103" t="s">
        <v>713</v>
      </c>
      <c r="D808" s="103" t="s">
        <v>714</v>
      </c>
      <c r="E808" s="103">
        <v>3</v>
      </c>
      <c r="F808" s="104">
        <v>15000</v>
      </c>
      <c r="G808" s="104">
        <v>45000</v>
      </c>
    </row>
    <row r="809" spans="1:7" x14ac:dyDescent="0.35">
      <c r="A809" s="103">
        <v>23</v>
      </c>
      <c r="B809" s="103" t="s">
        <v>7</v>
      </c>
      <c r="C809" s="103" t="s">
        <v>8</v>
      </c>
      <c r="D809" s="103" t="s">
        <v>715</v>
      </c>
      <c r="E809" s="103">
        <v>3</v>
      </c>
      <c r="F809" s="104">
        <v>66000</v>
      </c>
      <c r="G809" s="104">
        <v>198000</v>
      </c>
    </row>
    <row r="810" spans="1:7" x14ac:dyDescent="0.35">
      <c r="A810" s="103">
        <v>23</v>
      </c>
      <c r="B810" s="103" t="s">
        <v>7</v>
      </c>
      <c r="C810" s="103" t="s">
        <v>13</v>
      </c>
      <c r="D810" s="103" t="s">
        <v>13</v>
      </c>
      <c r="E810" s="103">
        <v>1</v>
      </c>
      <c r="F810" s="104">
        <v>30000</v>
      </c>
      <c r="G810" s="104">
        <v>30000</v>
      </c>
    </row>
    <row r="811" spans="1:7" x14ac:dyDescent="0.35">
      <c r="A811" s="103">
        <v>23</v>
      </c>
      <c r="B811" s="103" t="s">
        <v>15</v>
      </c>
      <c r="C811" s="103" t="s">
        <v>34</v>
      </c>
      <c r="D811" s="103" t="s">
        <v>34</v>
      </c>
      <c r="E811" s="103">
        <v>1</v>
      </c>
      <c r="F811" s="104">
        <v>20000</v>
      </c>
      <c r="G811" s="104">
        <v>20000</v>
      </c>
    </row>
    <row r="812" spans="1:7" x14ac:dyDescent="0.35">
      <c r="A812" s="103">
        <v>23</v>
      </c>
      <c r="B812" s="103" t="s">
        <v>21</v>
      </c>
      <c r="C812" s="103" t="s">
        <v>202</v>
      </c>
      <c r="D812" s="103" t="s">
        <v>716</v>
      </c>
      <c r="E812" s="103">
        <v>2</v>
      </c>
      <c r="F812" s="104">
        <v>5800</v>
      </c>
      <c r="G812" s="104">
        <v>11600</v>
      </c>
    </row>
    <row r="813" spans="1:7" x14ac:dyDescent="0.35">
      <c r="A813" s="120">
        <v>23</v>
      </c>
      <c r="B813" s="129" t="s">
        <v>57</v>
      </c>
      <c r="C813" s="129" t="s">
        <v>269</v>
      </c>
      <c r="D813" s="129" t="s">
        <v>270</v>
      </c>
      <c r="E813" s="134">
        <v>1</v>
      </c>
      <c r="F813" s="145">
        <v>46521</v>
      </c>
      <c r="G813" s="145">
        <v>46521</v>
      </c>
    </row>
    <row r="814" spans="1:7" x14ac:dyDescent="0.35">
      <c r="A814" s="120">
        <v>23</v>
      </c>
      <c r="B814" s="129" t="s">
        <v>57</v>
      </c>
      <c r="C814" s="129" t="s">
        <v>558</v>
      </c>
      <c r="D814" s="129" t="s">
        <v>559</v>
      </c>
      <c r="E814" s="134">
        <v>2</v>
      </c>
      <c r="F814" s="145">
        <v>25600</v>
      </c>
      <c r="G814" s="145">
        <v>51200</v>
      </c>
    </row>
    <row r="815" spans="1:7" x14ac:dyDescent="0.35">
      <c r="A815" s="120">
        <v>23</v>
      </c>
      <c r="B815" s="129" t="s">
        <v>57</v>
      </c>
      <c r="C815" s="129" t="s">
        <v>731</v>
      </c>
      <c r="D815" s="129" t="s">
        <v>732</v>
      </c>
      <c r="E815" s="134">
        <v>1</v>
      </c>
      <c r="F815" s="145">
        <v>25600</v>
      </c>
      <c r="G815" s="145">
        <v>25600</v>
      </c>
    </row>
    <row r="816" spans="1:7" x14ac:dyDescent="0.35">
      <c r="A816" s="120">
        <v>23</v>
      </c>
      <c r="B816" s="129" t="s">
        <v>57</v>
      </c>
      <c r="C816" s="129" t="s">
        <v>510</v>
      </c>
      <c r="D816" s="129" t="s">
        <v>511</v>
      </c>
      <c r="E816" s="134">
        <v>2</v>
      </c>
      <c r="F816" s="145">
        <v>19412</v>
      </c>
      <c r="G816" s="145">
        <v>38823</v>
      </c>
    </row>
    <row r="817" spans="1:7" x14ac:dyDescent="0.35">
      <c r="A817" s="120">
        <v>23</v>
      </c>
      <c r="B817" s="129" t="s">
        <v>21</v>
      </c>
      <c r="C817" s="129" t="s">
        <v>742</v>
      </c>
      <c r="D817" s="129" t="s">
        <v>743</v>
      </c>
      <c r="E817" s="134">
        <v>2</v>
      </c>
      <c r="F817" s="134">
        <v>10245</v>
      </c>
      <c r="G817" s="134">
        <v>20490</v>
      </c>
    </row>
    <row r="818" spans="1:7" x14ac:dyDescent="0.35">
      <c r="A818" s="120">
        <v>23</v>
      </c>
      <c r="B818" s="129" t="s">
        <v>15</v>
      </c>
      <c r="C818" s="129" t="s">
        <v>285</v>
      </c>
      <c r="D818" s="129" t="s">
        <v>744</v>
      </c>
      <c r="E818" s="134">
        <v>1</v>
      </c>
      <c r="F818" s="134">
        <v>20950</v>
      </c>
      <c r="G818" s="134">
        <v>20950</v>
      </c>
    </row>
    <row r="819" spans="1:7" x14ac:dyDescent="0.35">
      <c r="A819" s="120">
        <v>23</v>
      </c>
      <c r="B819" s="129" t="s">
        <v>18</v>
      </c>
      <c r="C819" s="129" t="s">
        <v>745</v>
      </c>
      <c r="D819" s="129" t="s">
        <v>746</v>
      </c>
      <c r="E819" s="134">
        <v>1</v>
      </c>
      <c r="F819" s="134">
        <v>10300</v>
      </c>
      <c r="G819" s="134">
        <v>10300</v>
      </c>
    </row>
    <row r="820" spans="1:7" x14ac:dyDescent="0.35">
      <c r="A820" s="120">
        <v>23</v>
      </c>
      <c r="B820" s="129" t="s">
        <v>10</v>
      </c>
      <c r="C820" s="129" t="s">
        <v>276</v>
      </c>
      <c r="D820" s="129" t="s">
        <v>747</v>
      </c>
      <c r="E820" s="134">
        <v>1.998</v>
      </c>
      <c r="F820" s="134">
        <v>14849</v>
      </c>
      <c r="G820" s="134">
        <v>29670</v>
      </c>
    </row>
    <row r="821" spans="1:7" x14ac:dyDescent="0.35">
      <c r="A821" s="120">
        <v>23</v>
      </c>
      <c r="B821" s="129" t="s">
        <v>21</v>
      </c>
      <c r="C821" s="129" t="s">
        <v>22</v>
      </c>
      <c r="D821" s="129" t="s">
        <v>748</v>
      </c>
      <c r="E821" s="134">
        <v>1</v>
      </c>
      <c r="F821" s="134">
        <v>3900</v>
      </c>
      <c r="G821" s="134">
        <v>3900</v>
      </c>
    </row>
    <row r="822" spans="1:7" x14ac:dyDescent="0.35">
      <c r="A822" s="120">
        <v>23</v>
      </c>
      <c r="B822" s="129" t="s">
        <v>21</v>
      </c>
      <c r="C822" s="129" t="s">
        <v>22</v>
      </c>
      <c r="D822" s="129" t="s">
        <v>748</v>
      </c>
      <c r="E822" s="134">
        <v>1</v>
      </c>
      <c r="F822" s="134">
        <v>3900</v>
      </c>
      <c r="G822" s="134">
        <v>3900</v>
      </c>
    </row>
    <row r="823" spans="1:7" x14ac:dyDescent="0.35">
      <c r="A823" s="120">
        <v>23</v>
      </c>
      <c r="B823" s="129" t="s">
        <v>21</v>
      </c>
      <c r="C823" s="129" t="s">
        <v>22</v>
      </c>
      <c r="D823" s="129" t="s">
        <v>749</v>
      </c>
      <c r="E823" s="134">
        <v>1</v>
      </c>
      <c r="F823" s="134">
        <v>3900</v>
      </c>
      <c r="G823" s="134">
        <v>3900</v>
      </c>
    </row>
    <row r="824" spans="1:7" x14ac:dyDescent="0.35">
      <c r="A824" s="120">
        <v>23</v>
      </c>
      <c r="B824" s="129" t="s">
        <v>7</v>
      </c>
      <c r="C824" s="129" t="s">
        <v>259</v>
      </c>
      <c r="D824" s="129" t="s">
        <v>752</v>
      </c>
      <c r="E824" s="134">
        <v>15</v>
      </c>
      <c r="F824" s="134">
        <v>13000</v>
      </c>
      <c r="G824" s="134">
        <v>195000</v>
      </c>
    </row>
    <row r="825" spans="1:7" x14ac:dyDescent="0.35">
      <c r="A825" s="125">
        <v>23</v>
      </c>
      <c r="B825" s="127" t="s">
        <v>21</v>
      </c>
      <c r="C825" s="127" t="s">
        <v>775</v>
      </c>
      <c r="D825" s="127" t="s">
        <v>605</v>
      </c>
      <c r="E825" s="132">
        <v>100</v>
      </c>
      <c r="F825" s="141">
        <v>150</v>
      </c>
      <c r="G825" s="141">
        <v>15000</v>
      </c>
    </row>
    <row r="826" spans="1:7" x14ac:dyDescent="0.35">
      <c r="A826" s="116">
        <v>23</v>
      </c>
      <c r="B826" s="127" t="s">
        <v>57</v>
      </c>
      <c r="C826" s="127" t="s">
        <v>60</v>
      </c>
      <c r="D826" s="127" t="s">
        <v>61</v>
      </c>
      <c r="E826" s="132">
        <v>2</v>
      </c>
      <c r="F826" s="132">
        <v>5000</v>
      </c>
      <c r="G826" s="132">
        <v>10000</v>
      </c>
    </row>
    <row r="827" spans="1:7" x14ac:dyDescent="0.35">
      <c r="A827" s="90">
        <v>24</v>
      </c>
      <c r="B827" s="90" t="s">
        <v>15</v>
      </c>
      <c r="C827" s="90" t="s">
        <v>16</v>
      </c>
      <c r="D827" s="90" t="s">
        <v>680</v>
      </c>
      <c r="E827" s="90">
        <v>1</v>
      </c>
      <c r="F827" s="100">
        <v>8400</v>
      </c>
      <c r="G827" s="100">
        <v>8400</v>
      </c>
    </row>
    <row r="828" spans="1:7" x14ac:dyDescent="0.35">
      <c r="A828" s="90">
        <v>24</v>
      </c>
      <c r="B828" s="90" t="s">
        <v>21</v>
      </c>
      <c r="C828" s="90" t="s">
        <v>681</v>
      </c>
      <c r="D828" s="90" t="s">
        <v>682</v>
      </c>
      <c r="E828" s="90">
        <v>1</v>
      </c>
      <c r="F828" s="100">
        <v>23000</v>
      </c>
      <c r="G828" s="100">
        <v>23000</v>
      </c>
    </row>
    <row r="829" spans="1:7" x14ac:dyDescent="0.35">
      <c r="A829" s="90">
        <v>24</v>
      </c>
      <c r="B829" s="90" t="s">
        <v>15</v>
      </c>
      <c r="C829" s="90" t="s">
        <v>90</v>
      </c>
      <c r="D829" s="90" t="s">
        <v>683</v>
      </c>
      <c r="E829" s="90">
        <v>1</v>
      </c>
      <c r="F829" s="100">
        <v>32900</v>
      </c>
      <c r="G829" s="100">
        <v>32900</v>
      </c>
    </row>
    <row r="830" spans="1:7" x14ac:dyDescent="0.35">
      <c r="A830" s="90">
        <v>24</v>
      </c>
      <c r="B830" s="90" t="s">
        <v>18</v>
      </c>
      <c r="C830" s="90" t="s">
        <v>73</v>
      </c>
      <c r="D830" s="90" t="s">
        <v>684</v>
      </c>
      <c r="E830" s="90">
        <v>15</v>
      </c>
      <c r="F830" s="100">
        <v>6666.67</v>
      </c>
      <c r="G830" s="100">
        <v>100000</v>
      </c>
    </row>
    <row r="831" spans="1:7" x14ac:dyDescent="0.35">
      <c r="A831" s="90">
        <v>24</v>
      </c>
      <c r="B831" s="90" t="s">
        <v>15</v>
      </c>
      <c r="C831" s="90" t="s">
        <v>685</v>
      </c>
      <c r="D831" s="90" t="s">
        <v>686</v>
      </c>
      <c r="E831" s="90">
        <v>12</v>
      </c>
      <c r="F831" s="100">
        <v>2000</v>
      </c>
      <c r="G831" s="100">
        <v>24000</v>
      </c>
    </row>
    <row r="832" spans="1:7" x14ac:dyDescent="0.35">
      <c r="A832" s="90">
        <v>24</v>
      </c>
      <c r="B832" s="90" t="s">
        <v>10</v>
      </c>
      <c r="C832" s="90" t="s">
        <v>687</v>
      </c>
      <c r="D832" s="90" t="s">
        <v>688</v>
      </c>
      <c r="E832" s="90">
        <v>6</v>
      </c>
      <c r="F832" s="100">
        <v>3666.67</v>
      </c>
      <c r="G832" s="100">
        <v>22000</v>
      </c>
    </row>
    <row r="833" spans="1:7" x14ac:dyDescent="0.35">
      <c r="A833" s="90">
        <v>24</v>
      </c>
      <c r="B833" s="90" t="s">
        <v>18</v>
      </c>
      <c r="C833" s="90" t="s">
        <v>468</v>
      </c>
      <c r="D833" s="90" t="s">
        <v>689</v>
      </c>
      <c r="E833" s="90">
        <v>1</v>
      </c>
      <c r="F833" s="100">
        <v>40000</v>
      </c>
      <c r="G833" s="100">
        <v>40000</v>
      </c>
    </row>
    <row r="834" spans="1:7" x14ac:dyDescent="0.35">
      <c r="A834" s="90">
        <v>24</v>
      </c>
      <c r="B834" s="90" t="s">
        <v>10</v>
      </c>
      <c r="C834" s="90" t="s">
        <v>276</v>
      </c>
      <c r="D834" s="90" t="s">
        <v>690</v>
      </c>
      <c r="E834" s="90">
        <v>10</v>
      </c>
      <c r="F834" s="100">
        <v>5000</v>
      </c>
      <c r="G834" s="100">
        <v>50000</v>
      </c>
    </row>
    <row r="835" spans="1:7" x14ac:dyDescent="0.35">
      <c r="A835" s="121">
        <v>24</v>
      </c>
      <c r="B835" s="121" t="s">
        <v>18</v>
      </c>
      <c r="C835" s="121" t="s">
        <v>74</v>
      </c>
      <c r="D835" s="121" t="s">
        <v>691</v>
      </c>
      <c r="E835" s="121">
        <v>5</v>
      </c>
      <c r="F835" s="146">
        <v>8000</v>
      </c>
      <c r="G835" s="146">
        <v>40000</v>
      </c>
    </row>
    <row r="836" spans="1:7" x14ac:dyDescent="0.35">
      <c r="A836" s="121">
        <v>24</v>
      </c>
      <c r="B836" s="121" t="s">
        <v>18</v>
      </c>
      <c r="C836" s="121" t="s">
        <v>30</v>
      </c>
      <c r="D836" s="121" t="s">
        <v>692</v>
      </c>
      <c r="E836" s="121">
        <v>15</v>
      </c>
      <c r="F836" s="146">
        <v>7000</v>
      </c>
      <c r="G836" s="146">
        <v>105000</v>
      </c>
    </row>
    <row r="837" spans="1:7" x14ac:dyDescent="0.35">
      <c r="A837" s="121">
        <v>24</v>
      </c>
      <c r="B837" s="121" t="s">
        <v>10</v>
      </c>
      <c r="C837" s="121" t="s">
        <v>252</v>
      </c>
      <c r="D837" s="121" t="s">
        <v>693</v>
      </c>
      <c r="E837" s="121">
        <v>8.9719999999999995</v>
      </c>
      <c r="F837" s="146">
        <v>9700</v>
      </c>
      <c r="G837" s="146">
        <v>87028</v>
      </c>
    </row>
    <row r="838" spans="1:7" x14ac:dyDescent="0.35">
      <c r="A838" s="121">
        <v>24</v>
      </c>
      <c r="B838" s="121" t="s">
        <v>15</v>
      </c>
      <c r="C838" s="121" t="s">
        <v>34</v>
      </c>
      <c r="D838" s="121" t="s">
        <v>694</v>
      </c>
      <c r="E838" s="121">
        <v>1</v>
      </c>
      <c r="F838" s="146">
        <v>20000</v>
      </c>
      <c r="G838" s="146">
        <v>20000</v>
      </c>
    </row>
    <row r="839" spans="1:7" x14ac:dyDescent="0.35">
      <c r="A839" s="121">
        <v>24</v>
      </c>
      <c r="B839" s="121" t="s">
        <v>18</v>
      </c>
      <c r="C839" s="121" t="s">
        <v>248</v>
      </c>
      <c r="D839" s="121" t="s">
        <v>695</v>
      </c>
      <c r="E839" s="121">
        <v>3</v>
      </c>
      <c r="F839" s="146">
        <v>19100</v>
      </c>
      <c r="G839" s="146">
        <v>57300</v>
      </c>
    </row>
    <row r="840" spans="1:7" x14ac:dyDescent="0.35">
      <c r="A840" s="119">
        <v>24</v>
      </c>
      <c r="B840" s="119" t="s">
        <v>57</v>
      </c>
      <c r="C840" s="119" t="s">
        <v>58</v>
      </c>
      <c r="D840" s="119" t="s">
        <v>59</v>
      </c>
      <c r="E840" s="119">
        <v>2</v>
      </c>
      <c r="F840" s="144">
        <v>9500</v>
      </c>
      <c r="G840" s="144">
        <v>19000</v>
      </c>
    </row>
    <row r="841" spans="1:7" x14ac:dyDescent="0.35">
      <c r="A841" s="119">
        <v>24</v>
      </c>
      <c r="B841" s="119" t="s">
        <v>21</v>
      </c>
      <c r="C841" s="119" t="s">
        <v>217</v>
      </c>
      <c r="D841" s="119" t="s">
        <v>218</v>
      </c>
      <c r="E841" s="119">
        <v>2</v>
      </c>
      <c r="F841" s="144">
        <v>252000</v>
      </c>
      <c r="G841" s="144">
        <v>504000</v>
      </c>
    </row>
    <row r="842" spans="1:7" x14ac:dyDescent="0.35">
      <c r="A842" s="119">
        <v>24</v>
      </c>
      <c r="B842" s="119" t="s">
        <v>21</v>
      </c>
      <c r="C842" s="119" t="s">
        <v>454</v>
      </c>
      <c r="D842" s="119" t="s">
        <v>455</v>
      </c>
      <c r="E842" s="119">
        <v>1</v>
      </c>
      <c r="F842" s="144">
        <v>162000</v>
      </c>
      <c r="G842" s="144">
        <v>162000</v>
      </c>
    </row>
    <row r="843" spans="1:7" x14ac:dyDescent="0.35">
      <c r="A843" s="119">
        <v>24</v>
      </c>
      <c r="B843" s="119" t="s">
        <v>21</v>
      </c>
      <c r="C843" s="119" t="s">
        <v>219</v>
      </c>
      <c r="D843" s="119" t="s">
        <v>220</v>
      </c>
      <c r="E843" s="119">
        <v>1</v>
      </c>
      <c r="F843" s="144">
        <v>69000</v>
      </c>
      <c r="G843" s="144">
        <v>69000</v>
      </c>
    </row>
    <row r="844" spans="1:7" x14ac:dyDescent="0.35">
      <c r="A844" s="119">
        <v>24</v>
      </c>
      <c r="B844" s="119" t="s">
        <v>21</v>
      </c>
      <c r="C844" s="119" t="s">
        <v>717</v>
      </c>
      <c r="D844" s="119" t="s">
        <v>718</v>
      </c>
      <c r="E844" s="119">
        <v>3</v>
      </c>
      <c r="F844" s="144">
        <v>2300</v>
      </c>
      <c r="G844" s="144">
        <v>6900</v>
      </c>
    </row>
    <row r="845" spans="1:7" x14ac:dyDescent="0.35">
      <c r="A845" s="119">
        <v>24</v>
      </c>
      <c r="B845" s="119" t="s">
        <v>15</v>
      </c>
      <c r="C845" s="119" t="s">
        <v>16</v>
      </c>
      <c r="D845" s="119" t="s">
        <v>216</v>
      </c>
      <c r="E845" s="119">
        <v>1</v>
      </c>
      <c r="F845" s="144">
        <v>21000</v>
      </c>
      <c r="G845" s="144">
        <v>21000</v>
      </c>
    </row>
    <row r="846" spans="1:7" x14ac:dyDescent="0.35">
      <c r="A846" s="119">
        <v>24</v>
      </c>
      <c r="B846" s="119" t="s">
        <v>21</v>
      </c>
      <c r="C846" s="119" t="s">
        <v>568</v>
      </c>
      <c r="D846" s="119" t="s">
        <v>719</v>
      </c>
      <c r="E846" s="119">
        <v>1</v>
      </c>
      <c r="F846" s="144">
        <v>38000</v>
      </c>
      <c r="G846" s="144">
        <v>38000</v>
      </c>
    </row>
    <row r="847" spans="1:7" x14ac:dyDescent="0.35">
      <c r="A847" s="119">
        <v>24</v>
      </c>
      <c r="B847" s="119" t="s">
        <v>18</v>
      </c>
      <c r="C847" s="119" t="s">
        <v>508</v>
      </c>
      <c r="D847" s="119" t="s">
        <v>509</v>
      </c>
      <c r="E847" s="119">
        <v>20.3</v>
      </c>
      <c r="F847" s="144">
        <v>2000</v>
      </c>
      <c r="G847" s="144">
        <v>40600</v>
      </c>
    </row>
    <row r="848" spans="1:7" x14ac:dyDescent="0.35">
      <c r="A848" s="119">
        <v>24</v>
      </c>
      <c r="B848" s="119" t="s">
        <v>18</v>
      </c>
      <c r="C848" s="119" t="s">
        <v>468</v>
      </c>
      <c r="D848" s="119" t="s">
        <v>720</v>
      </c>
      <c r="E848" s="119">
        <v>4.0999999999999996</v>
      </c>
      <c r="F848" s="144">
        <v>3000</v>
      </c>
      <c r="G848" s="144">
        <v>12300</v>
      </c>
    </row>
    <row r="849" spans="1:7" x14ac:dyDescent="0.35">
      <c r="A849" s="119">
        <v>24</v>
      </c>
      <c r="B849" s="119" t="s">
        <v>18</v>
      </c>
      <c r="C849" s="119" t="s">
        <v>478</v>
      </c>
      <c r="D849" s="119" t="s">
        <v>721</v>
      </c>
      <c r="E849" s="119">
        <v>2.1</v>
      </c>
      <c r="F849" s="144">
        <v>5000</v>
      </c>
      <c r="G849" s="144">
        <v>10500</v>
      </c>
    </row>
    <row r="850" spans="1:7" x14ac:dyDescent="0.35">
      <c r="A850" s="119">
        <v>24</v>
      </c>
      <c r="B850" s="119" t="s">
        <v>18</v>
      </c>
      <c r="C850" s="119" t="s">
        <v>334</v>
      </c>
      <c r="D850" s="119" t="s">
        <v>526</v>
      </c>
      <c r="E850" s="119">
        <v>10.3</v>
      </c>
      <c r="F850" s="144">
        <v>4500</v>
      </c>
      <c r="G850" s="144">
        <v>46350</v>
      </c>
    </row>
    <row r="851" spans="1:7" x14ac:dyDescent="0.35">
      <c r="A851" s="119">
        <v>24</v>
      </c>
      <c r="B851" s="119" t="s">
        <v>18</v>
      </c>
      <c r="C851" s="119" t="s">
        <v>653</v>
      </c>
      <c r="D851" s="119" t="s">
        <v>722</v>
      </c>
      <c r="E851" s="119">
        <v>9.6</v>
      </c>
      <c r="F851" s="144">
        <v>2000</v>
      </c>
      <c r="G851" s="144">
        <v>19200</v>
      </c>
    </row>
    <row r="852" spans="1:7" x14ac:dyDescent="0.35">
      <c r="A852" s="119">
        <v>24</v>
      </c>
      <c r="B852" s="119" t="s">
        <v>18</v>
      </c>
      <c r="C852" s="119" t="s">
        <v>500</v>
      </c>
      <c r="D852" s="119" t="s">
        <v>506</v>
      </c>
      <c r="E852" s="119">
        <v>1</v>
      </c>
      <c r="F852" s="144">
        <v>95000</v>
      </c>
      <c r="G852" s="144">
        <v>95000</v>
      </c>
    </row>
    <row r="853" spans="1:7" x14ac:dyDescent="0.35">
      <c r="A853" s="119">
        <v>24</v>
      </c>
      <c r="B853" s="119" t="s">
        <v>18</v>
      </c>
      <c r="C853" s="119" t="s">
        <v>328</v>
      </c>
      <c r="D853" s="119" t="s">
        <v>527</v>
      </c>
      <c r="E853" s="119">
        <v>5.9</v>
      </c>
      <c r="F853" s="144">
        <v>3500</v>
      </c>
      <c r="G853" s="144">
        <v>20650</v>
      </c>
    </row>
    <row r="854" spans="1:7" x14ac:dyDescent="0.35">
      <c r="A854" s="119">
        <v>24</v>
      </c>
      <c r="B854" s="119" t="s">
        <v>18</v>
      </c>
      <c r="C854" s="119" t="s">
        <v>482</v>
      </c>
      <c r="D854" s="119" t="s">
        <v>499</v>
      </c>
      <c r="E854" s="119">
        <v>7.1</v>
      </c>
      <c r="F854" s="144">
        <v>2500</v>
      </c>
      <c r="G854" s="144">
        <v>17750</v>
      </c>
    </row>
    <row r="855" spans="1:7" x14ac:dyDescent="0.35">
      <c r="A855" s="119">
        <v>24</v>
      </c>
      <c r="B855" s="119" t="s">
        <v>18</v>
      </c>
      <c r="C855" s="119" t="s">
        <v>496</v>
      </c>
      <c r="D855" s="119" t="s">
        <v>497</v>
      </c>
      <c r="E855" s="119">
        <v>0.5</v>
      </c>
      <c r="F855" s="144">
        <v>90000</v>
      </c>
      <c r="G855" s="144">
        <v>45000</v>
      </c>
    </row>
    <row r="856" spans="1:7" x14ac:dyDescent="0.35">
      <c r="A856" s="119">
        <v>24</v>
      </c>
      <c r="B856" s="119" t="s">
        <v>18</v>
      </c>
      <c r="C856" s="119" t="s">
        <v>494</v>
      </c>
      <c r="D856" s="119" t="s">
        <v>495</v>
      </c>
      <c r="E856" s="119">
        <v>2</v>
      </c>
      <c r="F856" s="144">
        <v>8000</v>
      </c>
      <c r="G856" s="144">
        <v>16000</v>
      </c>
    </row>
    <row r="857" spans="1:7" x14ac:dyDescent="0.35">
      <c r="A857" s="119">
        <v>24</v>
      </c>
      <c r="B857" s="119" t="s">
        <v>18</v>
      </c>
      <c r="C857" s="119" t="s">
        <v>330</v>
      </c>
      <c r="D857" s="119" t="s">
        <v>524</v>
      </c>
      <c r="E857" s="119">
        <v>48.3</v>
      </c>
      <c r="F857" s="144">
        <v>2500</v>
      </c>
      <c r="G857" s="144">
        <v>120750</v>
      </c>
    </row>
    <row r="858" spans="1:7" x14ac:dyDescent="0.35">
      <c r="A858" s="119">
        <v>24</v>
      </c>
      <c r="B858" s="119" t="s">
        <v>18</v>
      </c>
      <c r="C858" s="119" t="s">
        <v>332</v>
      </c>
      <c r="D858" s="119" t="s">
        <v>723</v>
      </c>
      <c r="E858" s="119">
        <v>26.8</v>
      </c>
      <c r="F858" s="144">
        <v>2500</v>
      </c>
      <c r="G858" s="144">
        <v>67000</v>
      </c>
    </row>
    <row r="859" spans="1:7" x14ac:dyDescent="0.35">
      <c r="A859" s="119">
        <v>24</v>
      </c>
      <c r="B859" s="119" t="s">
        <v>18</v>
      </c>
      <c r="C859" s="119" t="s">
        <v>80</v>
      </c>
      <c r="D859" s="119" t="s">
        <v>507</v>
      </c>
      <c r="E859" s="119">
        <v>61.6</v>
      </c>
      <c r="F859" s="144">
        <v>1800</v>
      </c>
      <c r="G859" s="144">
        <v>110880</v>
      </c>
    </row>
    <row r="860" spans="1:7" x14ac:dyDescent="0.35">
      <c r="A860" s="119">
        <v>24</v>
      </c>
      <c r="B860" s="119" t="s">
        <v>18</v>
      </c>
      <c r="C860" s="119" t="s">
        <v>496</v>
      </c>
      <c r="D860" s="119" t="s">
        <v>497</v>
      </c>
      <c r="E860" s="119">
        <v>0.5</v>
      </c>
      <c r="F860" s="144">
        <v>80000</v>
      </c>
      <c r="G860" s="144">
        <v>40000</v>
      </c>
    </row>
    <row r="861" spans="1:7" x14ac:dyDescent="0.35">
      <c r="A861" s="119">
        <v>24</v>
      </c>
      <c r="B861" s="119" t="s">
        <v>18</v>
      </c>
      <c r="C861" s="119" t="s">
        <v>725</v>
      </c>
      <c r="D861" s="119" t="s">
        <v>726</v>
      </c>
      <c r="E861" s="119">
        <v>1</v>
      </c>
      <c r="F861" s="144">
        <v>40000</v>
      </c>
      <c r="G861" s="144">
        <v>40000</v>
      </c>
    </row>
    <row r="862" spans="1:7" x14ac:dyDescent="0.35">
      <c r="A862" s="119">
        <v>24</v>
      </c>
      <c r="B862" s="119" t="s">
        <v>18</v>
      </c>
      <c r="C862" s="119" t="s">
        <v>500</v>
      </c>
      <c r="D862" s="119" t="s">
        <v>506</v>
      </c>
      <c r="E862" s="119">
        <v>1</v>
      </c>
      <c r="F862" s="144">
        <v>100000</v>
      </c>
      <c r="G862" s="144">
        <v>100000</v>
      </c>
    </row>
    <row r="863" spans="1:7" x14ac:dyDescent="0.35">
      <c r="A863" s="119">
        <v>24</v>
      </c>
      <c r="B863" s="119" t="s">
        <v>15</v>
      </c>
      <c r="C863" s="119" t="s">
        <v>82</v>
      </c>
      <c r="D863" s="119" t="s">
        <v>525</v>
      </c>
      <c r="E863" s="119">
        <v>2</v>
      </c>
      <c r="F863" s="144">
        <v>3000</v>
      </c>
      <c r="G863" s="144">
        <v>6000</v>
      </c>
    </row>
    <row r="864" spans="1:7" x14ac:dyDescent="0.35">
      <c r="A864" s="119">
        <v>24</v>
      </c>
      <c r="B864" s="119" t="s">
        <v>18</v>
      </c>
      <c r="C864" s="119" t="s">
        <v>330</v>
      </c>
      <c r="D864" s="119" t="s">
        <v>524</v>
      </c>
      <c r="E864" s="119">
        <v>42.6</v>
      </c>
      <c r="F864" s="144">
        <v>2500</v>
      </c>
      <c r="G864" s="144">
        <v>106500</v>
      </c>
    </row>
    <row r="865" spans="1:7" x14ac:dyDescent="0.35">
      <c r="A865" s="122">
        <v>24</v>
      </c>
      <c r="B865" s="122" t="s">
        <v>18</v>
      </c>
      <c r="C865" s="122" t="s">
        <v>488</v>
      </c>
      <c r="D865" s="122" t="s">
        <v>489</v>
      </c>
      <c r="E865" s="122">
        <v>1</v>
      </c>
      <c r="F865" s="149">
        <v>10000</v>
      </c>
      <c r="G865" s="149">
        <v>10000</v>
      </c>
    </row>
    <row r="866" spans="1:7" x14ac:dyDescent="0.35">
      <c r="A866" s="122">
        <v>24</v>
      </c>
      <c r="B866" s="122" t="s">
        <v>18</v>
      </c>
      <c r="C866" s="122" t="s">
        <v>651</v>
      </c>
      <c r="D866" s="122" t="s">
        <v>727</v>
      </c>
      <c r="E866" s="122">
        <v>3.5</v>
      </c>
      <c r="F866" s="149">
        <v>6800</v>
      </c>
      <c r="G866" s="149">
        <v>23800</v>
      </c>
    </row>
    <row r="867" spans="1:7" x14ac:dyDescent="0.35">
      <c r="A867" s="122">
        <v>24</v>
      </c>
      <c r="B867" s="122" t="s">
        <v>18</v>
      </c>
      <c r="C867" s="122" t="s">
        <v>508</v>
      </c>
      <c r="D867" s="122" t="s">
        <v>509</v>
      </c>
      <c r="E867" s="122">
        <v>8.4</v>
      </c>
      <c r="F867" s="149">
        <v>1600</v>
      </c>
      <c r="G867" s="149">
        <v>13440</v>
      </c>
    </row>
    <row r="868" spans="1:7" x14ac:dyDescent="0.35">
      <c r="A868" s="122">
        <v>24</v>
      </c>
      <c r="B868" s="122" t="s">
        <v>18</v>
      </c>
      <c r="C868" s="122" t="s">
        <v>468</v>
      </c>
      <c r="D868" s="122" t="s">
        <v>720</v>
      </c>
      <c r="E868" s="122">
        <v>6</v>
      </c>
      <c r="F868" s="149">
        <v>3000</v>
      </c>
      <c r="G868" s="149">
        <v>18000</v>
      </c>
    </row>
    <row r="869" spans="1:7" x14ac:dyDescent="0.35">
      <c r="A869" s="122">
        <v>24</v>
      </c>
      <c r="B869" s="122" t="s">
        <v>18</v>
      </c>
      <c r="C869" s="122" t="s">
        <v>480</v>
      </c>
      <c r="D869" s="122" t="s">
        <v>728</v>
      </c>
      <c r="E869" s="122">
        <v>3.3</v>
      </c>
      <c r="F869" s="149">
        <v>1500</v>
      </c>
      <c r="G869" s="149">
        <v>4950</v>
      </c>
    </row>
    <row r="870" spans="1:7" x14ac:dyDescent="0.35">
      <c r="A870" s="122">
        <v>24</v>
      </c>
      <c r="B870" s="122" t="s">
        <v>18</v>
      </c>
      <c r="C870" s="122" t="s">
        <v>494</v>
      </c>
      <c r="D870" s="122" t="s">
        <v>495</v>
      </c>
      <c r="E870" s="122">
        <v>3</v>
      </c>
      <c r="F870" s="149">
        <v>7000</v>
      </c>
      <c r="G870" s="149">
        <v>21000</v>
      </c>
    </row>
    <row r="871" spans="1:7" x14ac:dyDescent="0.35">
      <c r="A871" s="122">
        <v>24</v>
      </c>
      <c r="B871" s="122" t="s">
        <v>18</v>
      </c>
      <c r="C871" s="122" t="s">
        <v>490</v>
      </c>
      <c r="D871" s="122" t="s">
        <v>491</v>
      </c>
      <c r="E871" s="122">
        <v>1</v>
      </c>
      <c r="F871" s="149">
        <v>2000</v>
      </c>
      <c r="G871" s="149">
        <v>2000</v>
      </c>
    </row>
    <row r="872" spans="1:7" x14ac:dyDescent="0.35">
      <c r="A872" s="122">
        <v>24</v>
      </c>
      <c r="B872" s="122" t="s">
        <v>18</v>
      </c>
      <c r="C872" s="122" t="s">
        <v>334</v>
      </c>
      <c r="D872" s="122" t="s">
        <v>526</v>
      </c>
      <c r="E872" s="122">
        <v>11.4</v>
      </c>
      <c r="F872" s="149">
        <v>4000</v>
      </c>
      <c r="G872" s="149">
        <v>45600</v>
      </c>
    </row>
    <row r="873" spans="1:7" x14ac:dyDescent="0.35">
      <c r="A873" s="122">
        <v>24</v>
      </c>
      <c r="B873" s="122" t="s">
        <v>18</v>
      </c>
      <c r="C873" s="122" t="s">
        <v>78</v>
      </c>
      <c r="D873" s="122" t="s">
        <v>729</v>
      </c>
      <c r="E873" s="122">
        <v>3.6</v>
      </c>
      <c r="F873" s="149">
        <v>4800</v>
      </c>
      <c r="G873" s="149">
        <v>17280</v>
      </c>
    </row>
    <row r="874" spans="1:7" x14ac:dyDescent="0.35">
      <c r="A874" s="122">
        <v>24</v>
      </c>
      <c r="B874" s="122" t="s">
        <v>18</v>
      </c>
      <c r="C874" s="122" t="s">
        <v>328</v>
      </c>
      <c r="D874" s="122" t="s">
        <v>527</v>
      </c>
      <c r="E874" s="122">
        <v>9.8000000000000007</v>
      </c>
      <c r="F874" s="149">
        <v>3800</v>
      </c>
      <c r="G874" s="149">
        <v>37240</v>
      </c>
    </row>
    <row r="875" spans="1:7" x14ac:dyDescent="0.35">
      <c r="A875" s="122">
        <v>24</v>
      </c>
      <c r="B875" s="122" t="s">
        <v>18</v>
      </c>
      <c r="C875" s="122" t="s">
        <v>85</v>
      </c>
      <c r="D875" s="122" t="s">
        <v>528</v>
      </c>
      <c r="E875" s="122">
        <v>3.4</v>
      </c>
      <c r="F875" s="149">
        <v>5000</v>
      </c>
      <c r="G875" s="149">
        <v>17000</v>
      </c>
    </row>
    <row r="876" spans="1:7" x14ac:dyDescent="0.35">
      <c r="A876" s="122">
        <v>24</v>
      </c>
      <c r="B876" s="122" t="s">
        <v>18</v>
      </c>
      <c r="C876" s="122" t="s">
        <v>482</v>
      </c>
      <c r="D876" s="122" t="s">
        <v>499</v>
      </c>
      <c r="E876" s="122">
        <v>9.6999999999999993</v>
      </c>
      <c r="F876" s="149">
        <v>2000</v>
      </c>
      <c r="G876" s="149">
        <v>19400</v>
      </c>
    </row>
    <row r="877" spans="1:7" x14ac:dyDescent="0.35">
      <c r="A877" s="122">
        <v>24</v>
      </c>
      <c r="B877" s="122" t="s">
        <v>18</v>
      </c>
      <c r="C877" s="122" t="s">
        <v>332</v>
      </c>
      <c r="D877" s="122" t="s">
        <v>723</v>
      </c>
      <c r="E877" s="122">
        <v>19.399999999999999</v>
      </c>
      <c r="F877" s="149">
        <v>2800</v>
      </c>
      <c r="G877" s="149">
        <v>54320</v>
      </c>
    </row>
    <row r="878" spans="1:7" x14ac:dyDescent="0.35">
      <c r="A878" s="122">
        <v>24</v>
      </c>
      <c r="B878" s="122" t="s">
        <v>18</v>
      </c>
      <c r="C878" s="122" t="s">
        <v>484</v>
      </c>
      <c r="D878" s="122" t="s">
        <v>730</v>
      </c>
      <c r="E878" s="122">
        <v>70</v>
      </c>
      <c r="F878" s="149">
        <v>1600</v>
      </c>
      <c r="G878" s="149">
        <v>112000</v>
      </c>
    </row>
    <row r="879" spans="1:7" x14ac:dyDescent="0.35">
      <c r="A879" s="122">
        <v>24</v>
      </c>
      <c r="B879" s="122" t="s">
        <v>18</v>
      </c>
      <c r="C879" s="122" t="s">
        <v>80</v>
      </c>
      <c r="D879" s="122" t="s">
        <v>507</v>
      </c>
      <c r="E879" s="122">
        <v>66</v>
      </c>
      <c r="F879" s="149">
        <v>1600</v>
      </c>
      <c r="G879" s="149">
        <v>105600</v>
      </c>
    </row>
    <row r="880" spans="1:7" x14ac:dyDescent="0.35">
      <c r="A880" s="105">
        <v>24</v>
      </c>
      <c r="B880" s="106" t="s">
        <v>7</v>
      </c>
      <c r="C880" s="106" t="s">
        <v>406</v>
      </c>
      <c r="D880" s="106" t="s">
        <v>406</v>
      </c>
      <c r="E880" s="107">
        <v>1</v>
      </c>
      <c r="F880" s="148">
        <v>506000</v>
      </c>
      <c r="G880" s="148">
        <v>506000</v>
      </c>
    </row>
    <row r="881" spans="1:7" x14ac:dyDescent="0.35">
      <c r="A881" s="105">
        <v>24</v>
      </c>
      <c r="B881" s="106" t="s">
        <v>18</v>
      </c>
      <c r="C881" s="106" t="s">
        <v>496</v>
      </c>
      <c r="D881" s="106" t="s">
        <v>497</v>
      </c>
      <c r="E881" s="107">
        <v>1</v>
      </c>
      <c r="F881" s="148">
        <v>70000</v>
      </c>
      <c r="G881" s="148">
        <v>70000</v>
      </c>
    </row>
    <row r="882" spans="1:7" x14ac:dyDescent="0.35">
      <c r="A882" s="105">
        <v>24</v>
      </c>
      <c r="B882" s="106" t="s">
        <v>18</v>
      </c>
      <c r="C882" s="106" t="s">
        <v>490</v>
      </c>
      <c r="D882" s="106" t="s">
        <v>491</v>
      </c>
      <c r="E882" s="107">
        <v>2</v>
      </c>
      <c r="F882" s="148">
        <v>2000</v>
      </c>
      <c r="G882" s="148">
        <v>4000</v>
      </c>
    </row>
    <row r="883" spans="1:7" x14ac:dyDescent="0.35">
      <c r="A883" s="105">
        <v>24</v>
      </c>
      <c r="B883" s="106" t="s">
        <v>18</v>
      </c>
      <c r="C883" s="106" t="s">
        <v>502</v>
      </c>
      <c r="D883" s="106" t="s">
        <v>736</v>
      </c>
      <c r="E883" s="107">
        <v>2.6</v>
      </c>
      <c r="F883" s="148">
        <v>2500</v>
      </c>
      <c r="G883" s="148">
        <v>6500</v>
      </c>
    </row>
    <row r="884" spans="1:7" x14ac:dyDescent="0.35">
      <c r="A884" s="105">
        <v>24</v>
      </c>
      <c r="B884" s="106" t="s">
        <v>18</v>
      </c>
      <c r="C884" s="106" t="s">
        <v>478</v>
      </c>
      <c r="D884" s="106" t="s">
        <v>721</v>
      </c>
      <c r="E884" s="107">
        <v>3.8</v>
      </c>
      <c r="F884" s="148">
        <v>4000</v>
      </c>
      <c r="G884" s="148">
        <v>15200</v>
      </c>
    </row>
    <row r="885" spans="1:7" x14ac:dyDescent="0.35">
      <c r="A885" s="105">
        <v>24</v>
      </c>
      <c r="B885" s="106" t="s">
        <v>18</v>
      </c>
      <c r="C885" s="106" t="s">
        <v>334</v>
      </c>
      <c r="D885" s="106" t="s">
        <v>526</v>
      </c>
      <c r="E885" s="107">
        <v>8.4</v>
      </c>
      <c r="F885" s="148">
        <v>3500</v>
      </c>
      <c r="G885" s="148">
        <v>29400</v>
      </c>
    </row>
    <row r="886" spans="1:7" x14ac:dyDescent="0.35">
      <c r="A886" s="105">
        <v>24</v>
      </c>
      <c r="B886" s="106" t="s">
        <v>18</v>
      </c>
      <c r="C886" s="106" t="s">
        <v>631</v>
      </c>
      <c r="D886" s="106" t="s">
        <v>737</v>
      </c>
      <c r="E886" s="107">
        <v>8.4</v>
      </c>
      <c r="F886" s="148">
        <v>3500</v>
      </c>
      <c r="G886" s="148">
        <v>29400</v>
      </c>
    </row>
    <row r="887" spans="1:7" x14ac:dyDescent="0.35">
      <c r="A887" s="105">
        <v>24</v>
      </c>
      <c r="B887" s="106" t="s">
        <v>18</v>
      </c>
      <c r="C887" s="106" t="s">
        <v>85</v>
      </c>
      <c r="D887" s="106" t="s">
        <v>528</v>
      </c>
      <c r="E887" s="107">
        <v>8</v>
      </c>
      <c r="F887" s="148">
        <v>5000</v>
      </c>
      <c r="G887" s="148">
        <v>40000</v>
      </c>
    </row>
    <row r="888" spans="1:7" x14ac:dyDescent="0.35">
      <c r="A888" s="105">
        <v>24</v>
      </c>
      <c r="B888" s="106" t="s">
        <v>18</v>
      </c>
      <c r="C888" s="106" t="s">
        <v>482</v>
      </c>
      <c r="D888" s="106" t="s">
        <v>499</v>
      </c>
      <c r="E888" s="107">
        <v>7.6</v>
      </c>
      <c r="F888" s="148">
        <v>2000</v>
      </c>
      <c r="G888" s="148">
        <v>15200</v>
      </c>
    </row>
    <row r="889" spans="1:7" x14ac:dyDescent="0.35">
      <c r="A889" s="105">
        <v>24</v>
      </c>
      <c r="B889" s="106" t="s">
        <v>18</v>
      </c>
      <c r="C889" s="106" t="s">
        <v>470</v>
      </c>
      <c r="D889" s="106" t="s">
        <v>738</v>
      </c>
      <c r="E889" s="107">
        <v>3</v>
      </c>
      <c r="F889" s="148">
        <v>15000</v>
      </c>
      <c r="G889" s="148">
        <v>45000</v>
      </c>
    </row>
    <row r="890" spans="1:7" x14ac:dyDescent="0.35">
      <c r="A890" s="105">
        <v>24</v>
      </c>
      <c r="B890" s="106" t="s">
        <v>18</v>
      </c>
      <c r="C890" s="106" t="s">
        <v>332</v>
      </c>
      <c r="D890" s="106" t="s">
        <v>723</v>
      </c>
      <c r="E890" s="107">
        <v>13</v>
      </c>
      <c r="F890" s="148">
        <v>2800</v>
      </c>
      <c r="G890" s="148">
        <v>36400</v>
      </c>
    </row>
    <row r="891" spans="1:7" x14ac:dyDescent="0.35">
      <c r="A891" s="105">
        <v>24</v>
      </c>
      <c r="B891" s="106" t="s">
        <v>18</v>
      </c>
      <c r="C891" s="106" t="s">
        <v>328</v>
      </c>
      <c r="D891" s="106" t="s">
        <v>527</v>
      </c>
      <c r="E891" s="107">
        <v>6</v>
      </c>
      <c r="F891" s="148">
        <v>3800</v>
      </c>
      <c r="G891" s="148">
        <v>22800</v>
      </c>
    </row>
    <row r="892" spans="1:7" x14ac:dyDescent="0.35">
      <c r="A892" s="105">
        <v>24</v>
      </c>
      <c r="B892" s="106" t="s">
        <v>18</v>
      </c>
      <c r="C892" s="106" t="s">
        <v>480</v>
      </c>
      <c r="D892" s="106" t="s">
        <v>728</v>
      </c>
      <c r="E892" s="107">
        <v>4.8</v>
      </c>
      <c r="F892" s="148">
        <v>1800</v>
      </c>
      <c r="G892" s="148">
        <v>8640</v>
      </c>
    </row>
    <row r="893" spans="1:7" x14ac:dyDescent="0.35">
      <c r="A893" s="105">
        <v>24</v>
      </c>
      <c r="B893" s="106" t="s">
        <v>18</v>
      </c>
      <c r="C893" s="106" t="s">
        <v>80</v>
      </c>
      <c r="D893" s="106" t="s">
        <v>507</v>
      </c>
      <c r="E893" s="107">
        <v>45.4</v>
      </c>
      <c r="F893" s="148">
        <v>1800</v>
      </c>
      <c r="G893" s="148">
        <v>81720</v>
      </c>
    </row>
    <row r="894" spans="1:7" x14ac:dyDescent="0.35">
      <c r="A894" s="124">
        <v>24</v>
      </c>
      <c r="B894" s="131" t="s">
        <v>18</v>
      </c>
      <c r="C894" s="131" t="s">
        <v>19</v>
      </c>
      <c r="D894" s="131" t="s">
        <v>739</v>
      </c>
      <c r="E894" s="137">
        <v>30</v>
      </c>
      <c r="F894" s="151">
        <v>1000</v>
      </c>
      <c r="G894" s="151">
        <v>30000</v>
      </c>
    </row>
    <row r="895" spans="1:7" x14ac:dyDescent="0.35">
      <c r="A895" s="124">
        <v>24</v>
      </c>
      <c r="B895" s="131" t="s">
        <v>18</v>
      </c>
      <c r="C895" s="131" t="s">
        <v>330</v>
      </c>
      <c r="D895" s="131" t="s">
        <v>524</v>
      </c>
      <c r="E895" s="137">
        <v>63</v>
      </c>
      <c r="F895" s="151">
        <v>2400</v>
      </c>
      <c r="G895" s="151">
        <v>151200</v>
      </c>
    </row>
    <row r="896" spans="1:7" x14ac:dyDescent="0.35">
      <c r="A896" s="124">
        <v>24</v>
      </c>
      <c r="B896" s="131" t="s">
        <v>18</v>
      </c>
      <c r="C896" s="131" t="s">
        <v>740</v>
      </c>
      <c r="D896" s="131" t="s">
        <v>741</v>
      </c>
      <c r="E896" s="137">
        <v>0.5</v>
      </c>
      <c r="F896" s="151">
        <v>100000</v>
      </c>
      <c r="G896" s="151">
        <v>50000</v>
      </c>
    </row>
    <row r="897" spans="1:7" x14ac:dyDescent="0.35">
      <c r="A897" s="124">
        <v>24</v>
      </c>
      <c r="B897" s="131" t="s">
        <v>7</v>
      </c>
      <c r="C897" s="131" t="s">
        <v>750</v>
      </c>
      <c r="D897" s="131" t="s">
        <v>751</v>
      </c>
      <c r="E897" s="137">
        <v>1</v>
      </c>
      <c r="F897" s="137">
        <v>280000</v>
      </c>
      <c r="G897" s="137">
        <v>280000</v>
      </c>
    </row>
    <row r="898" spans="1:7" x14ac:dyDescent="0.35">
      <c r="A898" s="124">
        <v>24</v>
      </c>
      <c r="B898" s="131" t="s">
        <v>21</v>
      </c>
      <c r="C898" s="131" t="s">
        <v>568</v>
      </c>
      <c r="D898" s="131" t="s">
        <v>753</v>
      </c>
      <c r="E898" s="137">
        <v>1</v>
      </c>
      <c r="F898" s="137">
        <v>19000</v>
      </c>
      <c r="G898" s="137">
        <v>19000</v>
      </c>
    </row>
    <row r="899" spans="1:7" x14ac:dyDescent="0.35">
      <c r="A899" s="108">
        <v>24</v>
      </c>
      <c r="B899" s="109" t="s">
        <v>21</v>
      </c>
      <c r="C899" s="109" t="s">
        <v>775</v>
      </c>
      <c r="D899" s="109" t="s">
        <v>534</v>
      </c>
      <c r="E899" s="110">
        <v>150</v>
      </c>
      <c r="F899" s="111">
        <v>150</v>
      </c>
      <c r="G899" s="111">
        <v>22500</v>
      </c>
    </row>
    <row r="900" spans="1:7" x14ac:dyDescent="0.35">
      <c r="A900" s="108">
        <v>24</v>
      </c>
      <c r="B900" s="109" t="s">
        <v>10</v>
      </c>
      <c r="C900" s="109" t="s">
        <v>188</v>
      </c>
      <c r="D900" s="109" t="s">
        <v>266</v>
      </c>
      <c r="E900" s="112">
        <v>21.5</v>
      </c>
      <c r="F900" s="111">
        <v>18500</v>
      </c>
      <c r="G900" s="111">
        <v>397750</v>
      </c>
    </row>
    <row r="901" spans="1:7" x14ac:dyDescent="0.35">
      <c r="A901" s="114">
        <v>24</v>
      </c>
      <c r="B901" s="109" t="s">
        <v>7</v>
      </c>
      <c r="C901" s="109" t="s">
        <v>387</v>
      </c>
      <c r="D901" s="109" t="s">
        <v>801</v>
      </c>
      <c r="E901" s="110">
        <v>1</v>
      </c>
      <c r="F901" s="110">
        <v>6380027</v>
      </c>
      <c r="G901" s="110">
        <v>6380027</v>
      </c>
    </row>
    <row r="902" spans="1:7" x14ac:dyDescent="0.35">
      <c r="A902" s="114">
        <v>24</v>
      </c>
      <c r="B902" s="109" t="s">
        <v>10</v>
      </c>
      <c r="C902" s="109" t="s">
        <v>55</v>
      </c>
      <c r="D902" s="109" t="s">
        <v>56</v>
      </c>
      <c r="E902" s="110">
        <v>20</v>
      </c>
      <c r="F902" s="110">
        <v>19500</v>
      </c>
      <c r="G902" s="110">
        <v>390000</v>
      </c>
    </row>
    <row r="903" spans="1:7" x14ac:dyDescent="0.35">
      <c r="A903" s="114">
        <v>24</v>
      </c>
      <c r="B903" s="109" t="s">
        <v>15</v>
      </c>
      <c r="C903" s="109" t="s">
        <v>816</v>
      </c>
      <c r="D903" s="109" t="s">
        <v>817</v>
      </c>
      <c r="E903" s="110">
        <v>2</v>
      </c>
      <c r="F903" s="111">
        <v>8500</v>
      </c>
      <c r="G903" s="111">
        <v>17000</v>
      </c>
    </row>
    <row r="904" spans="1:7" x14ac:dyDescent="0.35">
      <c r="A904" s="114">
        <v>24</v>
      </c>
      <c r="B904" s="109" t="s">
        <v>15</v>
      </c>
      <c r="C904" s="109" t="s">
        <v>818</v>
      </c>
      <c r="D904" s="109" t="s">
        <v>819</v>
      </c>
      <c r="E904" s="110">
        <v>2</v>
      </c>
      <c r="F904" s="111">
        <v>4800</v>
      </c>
      <c r="G904" s="111">
        <v>9600</v>
      </c>
    </row>
    <row r="905" spans="1:7" x14ac:dyDescent="0.35">
      <c r="A905" s="114">
        <v>24</v>
      </c>
      <c r="B905" s="109" t="s">
        <v>15</v>
      </c>
      <c r="C905" s="109" t="s">
        <v>820</v>
      </c>
      <c r="D905" s="109" t="s">
        <v>821</v>
      </c>
      <c r="E905" s="110">
        <v>1</v>
      </c>
      <c r="F905" s="111">
        <v>12500</v>
      </c>
      <c r="G905" s="111">
        <v>12500</v>
      </c>
    </row>
    <row r="906" spans="1:7" x14ac:dyDescent="0.35">
      <c r="A906" s="114">
        <v>24</v>
      </c>
      <c r="B906" s="109" t="s">
        <v>15</v>
      </c>
      <c r="C906" s="109" t="s">
        <v>156</v>
      </c>
      <c r="D906" s="109" t="s">
        <v>157</v>
      </c>
      <c r="E906" s="110">
        <v>8</v>
      </c>
      <c r="F906" s="111">
        <v>5200</v>
      </c>
      <c r="G906" s="111">
        <v>41600</v>
      </c>
    </row>
    <row r="907" spans="1:7" x14ac:dyDescent="0.35">
      <c r="A907" s="114">
        <v>24</v>
      </c>
      <c r="B907" s="109" t="s">
        <v>15</v>
      </c>
      <c r="C907" s="109" t="s">
        <v>34</v>
      </c>
      <c r="D907" s="109" t="s">
        <v>825</v>
      </c>
      <c r="E907" s="110">
        <v>1</v>
      </c>
      <c r="F907" s="111">
        <v>70000</v>
      </c>
      <c r="G907" s="111">
        <v>70000</v>
      </c>
    </row>
    <row r="908" spans="1:7" x14ac:dyDescent="0.35">
      <c r="A908" s="114">
        <v>24</v>
      </c>
      <c r="B908" s="109" t="s">
        <v>57</v>
      </c>
      <c r="C908" s="109" t="s">
        <v>58</v>
      </c>
      <c r="D908" s="109" t="s">
        <v>697</v>
      </c>
      <c r="E908" s="110">
        <v>2</v>
      </c>
      <c r="F908" s="111">
        <v>9500</v>
      </c>
      <c r="G908" s="111">
        <v>19000</v>
      </c>
    </row>
    <row r="909" spans="1:7" x14ac:dyDescent="0.35">
      <c r="A909" s="114">
        <v>24</v>
      </c>
      <c r="B909" s="109" t="s">
        <v>57</v>
      </c>
      <c r="C909" s="109" t="s">
        <v>60</v>
      </c>
      <c r="D909" s="109" t="s">
        <v>826</v>
      </c>
      <c r="E909" s="110">
        <v>2</v>
      </c>
      <c r="F909" s="111">
        <v>5000</v>
      </c>
      <c r="G909" s="111">
        <v>10000</v>
      </c>
    </row>
    <row r="910" spans="1:7" x14ac:dyDescent="0.35">
      <c r="A910" s="114">
        <v>24</v>
      </c>
      <c r="B910" s="109" t="s">
        <v>18</v>
      </c>
      <c r="C910" s="109" t="s">
        <v>30</v>
      </c>
      <c r="D910" s="109" t="s">
        <v>181</v>
      </c>
      <c r="E910" s="110">
        <v>3</v>
      </c>
      <c r="F910" s="111">
        <v>6800</v>
      </c>
      <c r="G910" s="111">
        <v>20400</v>
      </c>
    </row>
    <row r="911" spans="1:7" x14ac:dyDescent="0.35">
      <c r="A911" s="114">
        <v>24</v>
      </c>
      <c r="B911" s="109" t="s">
        <v>57</v>
      </c>
      <c r="C911" s="109" t="s">
        <v>194</v>
      </c>
      <c r="D911" s="109" t="s">
        <v>195</v>
      </c>
      <c r="E911" s="110">
        <v>5</v>
      </c>
      <c r="F911" s="111">
        <v>12900</v>
      </c>
      <c r="G911" s="111">
        <v>64500</v>
      </c>
    </row>
    <row r="912" spans="1:7" x14ac:dyDescent="0.35">
      <c r="A912" s="114">
        <v>24</v>
      </c>
      <c r="B912" s="109" t="s">
        <v>57</v>
      </c>
      <c r="C912" s="109" t="s">
        <v>347</v>
      </c>
      <c r="D912" s="109" t="s">
        <v>395</v>
      </c>
      <c r="E912" s="110">
        <v>4</v>
      </c>
      <c r="F912" s="111">
        <v>17950</v>
      </c>
      <c r="G912" s="111">
        <v>71800</v>
      </c>
    </row>
    <row r="913" spans="1:7" x14ac:dyDescent="0.35">
      <c r="A913" s="114">
        <v>24</v>
      </c>
      <c r="B913" s="109" t="s">
        <v>57</v>
      </c>
      <c r="C913" s="109" t="s">
        <v>196</v>
      </c>
      <c r="D913" s="109" t="s">
        <v>197</v>
      </c>
      <c r="E913" s="110">
        <v>1</v>
      </c>
      <c r="F913" s="111">
        <v>12600</v>
      </c>
      <c r="G913" s="111">
        <v>12600</v>
      </c>
    </row>
    <row r="914" spans="1:7" x14ac:dyDescent="0.35">
      <c r="A914" s="114">
        <v>24</v>
      </c>
      <c r="B914" s="109" t="s">
        <v>57</v>
      </c>
      <c r="C914" s="109" t="s">
        <v>198</v>
      </c>
      <c r="D914" s="109" t="s">
        <v>199</v>
      </c>
      <c r="E914" s="110">
        <v>2</v>
      </c>
      <c r="F914" s="111">
        <v>15500</v>
      </c>
      <c r="G914" s="111">
        <v>31000</v>
      </c>
    </row>
    <row r="915" spans="1:7" x14ac:dyDescent="0.35">
      <c r="A915" s="114">
        <v>24</v>
      </c>
      <c r="B915" s="109" t="s">
        <v>57</v>
      </c>
      <c r="C915" s="109" t="s">
        <v>396</v>
      </c>
      <c r="D915" s="109" t="s">
        <v>397</v>
      </c>
      <c r="E915" s="110">
        <v>2</v>
      </c>
      <c r="F915" s="111">
        <v>12700</v>
      </c>
      <c r="G915" s="111">
        <v>25400</v>
      </c>
    </row>
    <row r="916" spans="1:7" x14ac:dyDescent="0.35">
      <c r="A916" s="117">
        <v>25</v>
      </c>
      <c r="B916" s="117" t="s">
        <v>57</v>
      </c>
      <c r="C916" s="117" t="s">
        <v>58</v>
      </c>
      <c r="D916" s="117" t="s">
        <v>59</v>
      </c>
      <c r="E916" s="117">
        <v>2</v>
      </c>
      <c r="F916" s="142">
        <v>9500</v>
      </c>
      <c r="G916" s="142">
        <v>19000</v>
      </c>
    </row>
    <row r="917" spans="1:7" x14ac:dyDescent="0.35">
      <c r="A917" s="117">
        <v>25</v>
      </c>
      <c r="B917" s="117" t="s">
        <v>57</v>
      </c>
      <c r="C917" s="117" t="s">
        <v>60</v>
      </c>
      <c r="D917" s="117" t="s">
        <v>61</v>
      </c>
      <c r="E917" s="117">
        <v>2</v>
      </c>
      <c r="F917" s="142">
        <v>5000</v>
      </c>
      <c r="G917" s="142">
        <v>10000</v>
      </c>
    </row>
    <row r="918" spans="1:7" x14ac:dyDescent="0.35">
      <c r="A918" s="117">
        <v>25</v>
      </c>
      <c r="B918" s="117" t="s">
        <v>21</v>
      </c>
      <c r="C918" s="117" t="s">
        <v>221</v>
      </c>
      <c r="D918" s="117" t="s">
        <v>724</v>
      </c>
      <c r="E918" s="117">
        <v>3</v>
      </c>
      <c r="F918" s="142">
        <v>102000</v>
      </c>
      <c r="G918" s="142">
        <v>306000</v>
      </c>
    </row>
    <row r="919" spans="1:7" x14ac:dyDescent="0.35">
      <c r="A919" s="108">
        <v>25</v>
      </c>
      <c r="B919" s="109" t="s">
        <v>21</v>
      </c>
      <c r="C919" s="109" t="s">
        <v>775</v>
      </c>
      <c r="D919" s="109" t="s">
        <v>776</v>
      </c>
      <c r="E919" s="110">
        <v>850</v>
      </c>
      <c r="F919" s="111">
        <v>150</v>
      </c>
      <c r="G919" s="111">
        <v>127500</v>
      </c>
    </row>
    <row r="920" spans="1:7" x14ac:dyDescent="0.35">
      <c r="A920" s="108">
        <v>25</v>
      </c>
      <c r="B920" s="109" t="s">
        <v>21</v>
      </c>
      <c r="C920" s="109" t="s">
        <v>775</v>
      </c>
      <c r="D920" s="109" t="s">
        <v>204</v>
      </c>
      <c r="E920" s="110">
        <v>400</v>
      </c>
      <c r="F920" s="111">
        <v>150</v>
      </c>
      <c r="G920" s="111">
        <v>60000</v>
      </c>
    </row>
    <row r="921" spans="1:7" x14ac:dyDescent="0.35">
      <c r="A921" s="108">
        <v>25</v>
      </c>
      <c r="B921" s="109" t="s">
        <v>15</v>
      </c>
      <c r="C921" s="109" t="s">
        <v>778</v>
      </c>
      <c r="D921" s="109" t="s">
        <v>779</v>
      </c>
      <c r="E921" s="110">
        <v>1</v>
      </c>
      <c r="F921" s="111">
        <v>4500</v>
      </c>
      <c r="G921" s="111">
        <v>4500</v>
      </c>
    </row>
    <row r="922" spans="1:7" x14ac:dyDescent="0.35">
      <c r="A922" s="108">
        <v>25</v>
      </c>
      <c r="B922" s="109" t="s">
        <v>15</v>
      </c>
      <c r="C922" s="109" t="s">
        <v>98</v>
      </c>
      <c r="D922" s="109" t="s">
        <v>780</v>
      </c>
      <c r="E922" s="110">
        <v>1</v>
      </c>
      <c r="F922" s="111">
        <v>11900</v>
      </c>
      <c r="G922" s="111">
        <v>11900</v>
      </c>
    </row>
    <row r="923" spans="1:7" x14ac:dyDescent="0.35">
      <c r="A923" s="108">
        <v>25</v>
      </c>
      <c r="B923" s="109" t="s">
        <v>57</v>
      </c>
      <c r="C923" s="109" t="s">
        <v>781</v>
      </c>
      <c r="D923" s="109" t="s">
        <v>782</v>
      </c>
      <c r="E923" s="110">
        <v>3</v>
      </c>
      <c r="F923" s="111">
        <v>5500</v>
      </c>
      <c r="G923" s="111">
        <v>16500</v>
      </c>
    </row>
    <row r="924" spans="1:7" x14ac:dyDescent="0.35">
      <c r="A924" s="108">
        <v>25</v>
      </c>
      <c r="B924" s="109" t="s">
        <v>7</v>
      </c>
      <c r="C924" s="109" t="s">
        <v>398</v>
      </c>
      <c r="D924" s="109" t="s">
        <v>783</v>
      </c>
      <c r="E924" s="110">
        <v>1</v>
      </c>
      <c r="F924" s="111">
        <v>7000</v>
      </c>
      <c r="G924" s="111">
        <v>7000</v>
      </c>
    </row>
    <row r="925" spans="1:7" x14ac:dyDescent="0.35">
      <c r="A925" s="108">
        <v>25</v>
      </c>
      <c r="B925" s="109" t="s">
        <v>15</v>
      </c>
      <c r="C925" s="109" t="s">
        <v>34</v>
      </c>
      <c r="D925" s="109" t="s">
        <v>34</v>
      </c>
      <c r="E925" s="110">
        <v>1</v>
      </c>
      <c r="F925" s="111">
        <v>25000</v>
      </c>
      <c r="G925" s="111">
        <v>25000</v>
      </c>
    </row>
    <row r="926" spans="1:7" x14ac:dyDescent="0.35">
      <c r="A926" s="108">
        <v>25</v>
      </c>
      <c r="B926" s="109" t="s">
        <v>21</v>
      </c>
      <c r="C926" s="109" t="s">
        <v>27</v>
      </c>
      <c r="D926" s="109" t="s">
        <v>784</v>
      </c>
      <c r="E926" s="110">
        <v>1</v>
      </c>
      <c r="F926" s="111">
        <v>13900</v>
      </c>
      <c r="G926" s="111">
        <v>13900</v>
      </c>
    </row>
    <row r="927" spans="1:7" x14ac:dyDescent="0.35">
      <c r="A927" s="108">
        <v>25</v>
      </c>
      <c r="B927" s="109" t="s">
        <v>57</v>
      </c>
      <c r="C927" s="109" t="s">
        <v>60</v>
      </c>
      <c r="D927" s="109" t="s">
        <v>61</v>
      </c>
      <c r="E927" s="110">
        <v>2</v>
      </c>
      <c r="F927" s="111">
        <v>5000</v>
      </c>
      <c r="G927" s="111">
        <v>10000</v>
      </c>
    </row>
    <row r="928" spans="1:7" x14ac:dyDescent="0.35">
      <c r="A928" s="108">
        <v>25</v>
      </c>
      <c r="B928" s="109" t="s">
        <v>21</v>
      </c>
      <c r="C928" s="109" t="s">
        <v>600</v>
      </c>
      <c r="D928" s="109" t="s">
        <v>601</v>
      </c>
      <c r="E928" s="110">
        <v>2</v>
      </c>
      <c r="F928" s="111">
        <v>22990</v>
      </c>
      <c r="G928" s="111">
        <v>45980</v>
      </c>
    </row>
    <row r="929" spans="1:7" x14ac:dyDescent="0.35">
      <c r="A929" s="108">
        <v>25</v>
      </c>
      <c r="B929" s="109" t="s">
        <v>10</v>
      </c>
      <c r="C929" s="109" t="s">
        <v>230</v>
      </c>
      <c r="D929" s="109" t="s">
        <v>785</v>
      </c>
      <c r="E929" s="112">
        <v>7.2</v>
      </c>
      <c r="F929" s="111">
        <v>59000</v>
      </c>
      <c r="G929" s="111">
        <v>424800</v>
      </c>
    </row>
    <row r="930" spans="1:7" x14ac:dyDescent="0.35">
      <c r="A930" s="108">
        <v>25</v>
      </c>
      <c r="B930" s="109" t="s">
        <v>57</v>
      </c>
      <c r="C930" s="109" t="s">
        <v>235</v>
      </c>
      <c r="D930" s="109" t="s">
        <v>786</v>
      </c>
      <c r="E930" s="110">
        <v>60</v>
      </c>
      <c r="F930" s="113">
        <v>1916.67</v>
      </c>
      <c r="G930" s="113">
        <v>115000.2</v>
      </c>
    </row>
    <row r="931" spans="1:7" x14ac:dyDescent="0.35">
      <c r="A931" s="108">
        <v>25</v>
      </c>
      <c r="B931" s="109" t="s">
        <v>57</v>
      </c>
      <c r="C931" s="109" t="s">
        <v>240</v>
      </c>
      <c r="D931" s="109" t="s">
        <v>787</v>
      </c>
      <c r="E931" s="110">
        <v>15</v>
      </c>
      <c r="F931" s="113">
        <v>1450.98</v>
      </c>
      <c r="G931" s="113">
        <v>21764.7</v>
      </c>
    </row>
    <row r="932" spans="1:7" x14ac:dyDescent="0.35">
      <c r="A932" s="108">
        <v>25</v>
      </c>
      <c r="B932" s="109" t="s">
        <v>57</v>
      </c>
      <c r="C932" s="109" t="s">
        <v>240</v>
      </c>
      <c r="D932" s="109" t="s">
        <v>788</v>
      </c>
      <c r="E932" s="110">
        <v>15</v>
      </c>
      <c r="F932" s="113">
        <v>1450.98</v>
      </c>
      <c r="G932" s="113">
        <v>21764.7</v>
      </c>
    </row>
    <row r="933" spans="1:7" x14ac:dyDescent="0.35">
      <c r="A933" s="108">
        <v>25</v>
      </c>
      <c r="B933" s="109" t="s">
        <v>57</v>
      </c>
      <c r="C933" s="109" t="s">
        <v>223</v>
      </c>
      <c r="D933" s="109" t="s">
        <v>789</v>
      </c>
      <c r="E933" s="110">
        <v>15</v>
      </c>
      <c r="F933" s="113">
        <v>1820.73</v>
      </c>
      <c r="G933" s="113">
        <v>27310.95</v>
      </c>
    </row>
    <row r="934" spans="1:7" x14ac:dyDescent="0.35">
      <c r="A934" s="108">
        <v>25</v>
      </c>
      <c r="B934" s="109" t="s">
        <v>57</v>
      </c>
      <c r="C934" s="109" t="s">
        <v>223</v>
      </c>
      <c r="D934" s="109" t="s">
        <v>790</v>
      </c>
      <c r="E934" s="110">
        <v>15</v>
      </c>
      <c r="F934" s="113">
        <v>1820.73</v>
      </c>
      <c r="G934" s="113">
        <v>27310.95</v>
      </c>
    </row>
    <row r="935" spans="1:7" x14ac:dyDescent="0.35">
      <c r="A935" s="108">
        <v>25</v>
      </c>
      <c r="B935" s="109" t="s">
        <v>57</v>
      </c>
      <c r="C935" s="109" t="s">
        <v>237</v>
      </c>
      <c r="D935" s="109" t="s">
        <v>791</v>
      </c>
      <c r="E935" s="110">
        <v>12</v>
      </c>
      <c r="F935" s="113">
        <v>2625.9450000000002</v>
      </c>
      <c r="G935" s="113">
        <v>31511.34</v>
      </c>
    </row>
    <row r="936" spans="1:7" x14ac:dyDescent="0.35">
      <c r="A936" s="108">
        <v>25</v>
      </c>
      <c r="B936" s="109" t="s">
        <v>57</v>
      </c>
      <c r="C936" s="109" t="s">
        <v>237</v>
      </c>
      <c r="D936" s="109" t="s">
        <v>792</v>
      </c>
      <c r="E936" s="110">
        <v>12</v>
      </c>
      <c r="F936" s="113">
        <v>2625.9450000000002</v>
      </c>
      <c r="G936" s="113">
        <v>31511.34</v>
      </c>
    </row>
    <row r="937" spans="1:7" x14ac:dyDescent="0.35">
      <c r="A937" s="108">
        <v>25</v>
      </c>
      <c r="B937" s="109" t="s">
        <v>57</v>
      </c>
      <c r="C937" s="109" t="s">
        <v>558</v>
      </c>
      <c r="D937" s="109" t="s">
        <v>793</v>
      </c>
      <c r="E937" s="110">
        <v>24</v>
      </c>
      <c r="F937" s="113">
        <v>1333.33</v>
      </c>
      <c r="G937" s="113">
        <v>31999.919999999998</v>
      </c>
    </row>
    <row r="938" spans="1:7" x14ac:dyDescent="0.35">
      <c r="A938" s="108">
        <v>25</v>
      </c>
      <c r="B938" s="109" t="s">
        <v>57</v>
      </c>
      <c r="C938" s="109" t="s">
        <v>227</v>
      </c>
      <c r="D938" s="109" t="s">
        <v>794</v>
      </c>
      <c r="E938" s="110">
        <v>12</v>
      </c>
      <c r="F938" s="113">
        <v>2731.09</v>
      </c>
      <c r="G938" s="113">
        <v>32773.08</v>
      </c>
    </row>
    <row r="939" spans="1:7" x14ac:dyDescent="0.35">
      <c r="A939" s="108">
        <v>25</v>
      </c>
      <c r="B939" s="109" t="s">
        <v>57</v>
      </c>
      <c r="C939" s="109" t="s">
        <v>227</v>
      </c>
      <c r="D939" s="109" t="s">
        <v>795</v>
      </c>
      <c r="E939" s="110">
        <v>12</v>
      </c>
      <c r="F939" s="113">
        <v>2731.09</v>
      </c>
      <c r="G939" s="113">
        <v>32773.08</v>
      </c>
    </row>
    <row r="940" spans="1:7" x14ac:dyDescent="0.35">
      <c r="A940" s="108">
        <v>25</v>
      </c>
      <c r="B940" s="109" t="s">
        <v>57</v>
      </c>
      <c r="C940" s="109" t="s">
        <v>237</v>
      </c>
      <c r="D940" s="109" t="s">
        <v>791</v>
      </c>
      <c r="E940" s="110">
        <v>2</v>
      </c>
      <c r="F940" s="113">
        <v>3151.26</v>
      </c>
      <c r="G940" s="113">
        <v>6302.52</v>
      </c>
    </row>
    <row r="941" spans="1:7" x14ac:dyDescent="0.35">
      <c r="A941" s="108">
        <v>25</v>
      </c>
      <c r="B941" s="109" t="s">
        <v>57</v>
      </c>
      <c r="C941" s="109" t="s">
        <v>237</v>
      </c>
      <c r="D941" s="109" t="s">
        <v>792</v>
      </c>
      <c r="E941" s="110">
        <v>2</v>
      </c>
      <c r="F941" s="113">
        <v>3151.26</v>
      </c>
      <c r="G941" s="113">
        <v>6302.52</v>
      </c>
    </row>
    <row r="942" spans="1:7" x14ac:dyDescent="0.35">
      <c r="A942" s="108">
        <v>25</v>
      </c>
      <c r="B942" s="109" t="s">
        <v>10</v>
      </c>
      <c r="C942" s="109" t="s">
        <v>164</v>
      </c>
      <c r="D942" s="109" t="s">
        <v>798</v>
      </c>
      <c r="E942" s="112">
        <v>7.8</v>
      </c>
      <c r="F942" s="111">
        <v>17000</v>
      </c>
      <c r="G942" s="111">
        <v>132600</v>
      </c>
    </row>
    <row r="943" spans="1:7" x14ac:dyDescent="0.35">
      <c r="A943" s="108">
        <v>25</v>
      </c>
      <c r="B943" s="109" t="s">
        <v>10</v>
      </c>
      <c r="C943" s="109" t="s">
        <v>167</v>
      </c>
      <c r="D943" s="109" t="s">
        <v>168</v>
      </c>
      <c r="E943" s="112">
        <v>7.6</v>
      </c>
      <c r="F943" s="111">
        <v>22000</v>
      </c>
      <c r="G943" s="111">
        <v>167200</v>
      </c>
    </row>
    <row r="944" spans="1:7" x14ac:dyDescent="0.35">
      <c r="A944" s="114">
        <v>25</v>
      </c>
      <c r="B944" s="109" t="s">
        <v>57</v>
      </c>
      <c r="C944" s="109" t="s">
        <v>209</v>
      </c>
      <c r="D944" s="109" t="s">
        <v>232</v>
      </c>
      <c r="E944" s="110">
        <v>3</v>
      </c>
      <c r="F944" s="110">
        <v>26000</v>
      </c>
      <c r="G944" s="110">
        <v>78000</v>
      </c>
    </row>
    <row r="945" spans="1:7" x14ac:dyDescent="0.35">
      <c r="A945" s="114">
        <v>25</v>
      </c>
      <c r="B945" s="109" t="s">
        <v>18</v>
      </c>
      <c r="C945" s="109" t="s">
        <v>30</v>
      </c>
      <c r="D945" s="109" t="s">
        <v>181</v>
      </c>
      <c r="E945" s="110">
        <v>10</v>
      </c>
      <c r="F945" s="110">
        <v>6800</v>
      </c>
      <c r="G945" s="110">
        <v>68000</v>
      </c>
    </row>
    <row r="946" spans="1:7" x14ac:dyDescent="0.35">
      <c r="A946" s="114">
        <v>25</v>
      </c>
      <c r="B946" s="109" t="s">
        <v>10</v>
      </c>
      <c r="C946" s="109" t="s">
        <v>70</v>
      </c>
      <c r="D946" s="109" t="s">
        <v>166</v>
      </c>
      <c r="E946" s="115">
        <v>17.05</v>
      </c>
      <c r="F946" s="110">
        <v>34500</v>
      </c>
      <c r="G946" s="110">
        <v>588225</v>
      </c>
    </row>
    <row r="947" spans="1:7" x14ac:dyDescent="0.35">
      <c r="A947" s="114">
        <v>25</v>
      </c>
      <c r="B947" s="109" t="s">
        <v>10</v>
      </c>
      <c r="C947" s="109" t="s">
        <v>68</v>
      </c>
      <c r="D947" s="109" t="s">
        <v>356</v>
      </c>
      <c r="E947" s="115">
        <v>15.55</v>
      </c>
      <c r="F947" s="110">
        <v>22900</v>
      </c>
      <c r="G947" s="110">
        <v>356095</v>
      </c>
    </row>
    <row r="948" spans="1:7" x14ac:dyDescent="0.35">
      <c r="A948" s="114">
        <v>25</v>
      </c>
      <c r="B948" s="109" t="s">
        <v>10</v>
      </c>
      <c r="C948" s="109" t="s">
        <v>171</v>
      </c>
      <c r="D948" s="109" t="s">
        <v>172</v>
      </c>
      <c r="E948" s="115">
        <v>92.3</v>
      </c>
      <c r="F948" s="110">
        <v>21900</v>
      </c>
      <c r="G948" s="110">
        <v>2021370</v>
      </c>
    </row>
    <row r="949" spans="1:7" x14ac:dyDescent="0.35">
      <c r="A949" s="114">
        <v>25</v>
      </c>
      <c r="B949" s="109" t="s">
        <v>10</v>
      </c>
      <c r="C949" s="109" t="s">
        <v>352</v>
      </c>
      <c r="D949" s="109" t="s">
        <v>353</v>
      </c>
      <c r="E949" s="115">
        <v>17</v>
      </c>
      <c r="F949" s="110">
        <v>26900</v>
      </c>
      <c r="G949" s="110">
        <v>457300</v>
      </c>
    </row>
    <row r="950" spans="1:7" x14ac:dyDescent="0.35">
      <c r="A950" s="114">
        <v>25</v>
      </c>
      <c r="B950" s="109" t="s">
        <v>10</v>
      </c>
      <c r="C950" s="109" t="s">
        <v>162</v>
      </c>
      <c r="D950" s="109" t="s">
        <v>804</v>
      </c>
      <c r="E950" s="115">
        <v>19.7</v>
      </c>
      <c r="F950" s="110">
        <v>22900</v>
      </c>
      <c r="G950" s="110">
        <v>451130</v>
      </c>
    </row>
    <row r="951" spans="1:7" x14ac:dyDescent="0.35">
      <c r="A951" s="114">
        <v>25</v>
      </c>
      <c r="B951" s="109" t="s">
        <v>18</v>
      </c>
      <c r="C951" s="109" t="s">
        <v>169</v>
      </c>
      <c r="D951" s="109" t="s">
        <v>170</v>
      </c>
      <c r="E951" s="110">
        <v>16</v>
      </c>
      <c r="F951" s="110">
        <v>19500</v>
      </c>
      <c r="G951" s="110">
        <v>312000</v>
      </c>
    </row>
    <row r="952" spans="1:7" x14ac:dyDescent="0.35">
      <c r="A952" s="114">
        <v>25</v>
      </c>
      <c r="B952" s="109" t="s">
        <v>10</v>
      </c>
      <c r="C952" s="109" t="s">
        <v>426</v>
      </c>
      <c r="D952" s="109" t="s">
        <v>427</v>
      </c>
      <c r="E952" s="115">
        <v>38.5</v>
      </c>
      <c r="F952" s="110">
        <v>44000</v>
      </c>
      <c r="G952" s="110">
        <v>1694000</v>
      </c>
    </row>
    <row r="953" spans="1:7" x14ac:dyDescent="0.35">
      <c r="A953" s="114">
        <v>25</v>
      </c>
      <c r="B953" s="109" t="s">
        <v>10</v>
      </c>
      <c r="C953" s="109" t="s">
        <v>805</v>
      </c>
      <c r="D953" s="109" t="s">
        <v>806</v>
      </c>
      <c r="E953" s="115">
        <v>24.55</v>
      </c>
      <c r="F953" s="110">
        <v>26900</v>
      </c>
      <c r="G953" s="110">
        <v>660395</v>
      </c>
    </row>
    <row r="954" spans="1:7" x14ac:dyDescent="0.35">
      <c r="A954" s="114">
        <v>25</v>
      </c>
      <c r="B954" s="109" t="s">
        <v>18</v>
      </c>
      <c r="C954" s="109" t="s">
        <v>169</v>
      </c>
      <c r="D954" s="109" t="s">
        <v>170</v>
      </c>
      <c r="E954" s="110">
        <v>4</v>
      </c>
      <c r="F954" s="110">
        <v>19500</v>
      </c>
      <c r="G954" s="110">
        <v>78000</v>
      </c>
    </row>
    <row r="955" spans="1:7" x14ac:dyDescent="0.35">
      <c r="A955" s="114">
        <v>25</v>
      </c>
      <c r="B955" s="109" t="s">
        <v>15</v>
      </c>
      <c r="C955" s="109" t="s">
        <v>98</v>
      </c>
      <c r="D955" s="109" t="s">
        <v>99</v>
      </c>
      <c r="E955" s="110">
        <v>1</v>
      </c>
      <c r="F955" s="111">
        <v>8700</v>
      </c>
      <c r="G955" s="111">
        <v>8700</v>
      </c>
    </row>
    <row r="956" spans="1:7" x14ac:dyDescent="0.35">
      <c r="A956" s="114">
        <v>25</v>
      </c>
      <c r="B956" s="109" t="s">
        <v>15</v>
      </c>
      <c r="C956" s="109" t="s">
        <v>122</v>
      </c>
      <c r="D956" s="109" t="s">
        <v>123</v>
      </c>
      <c r="E956" s="110">
        <v>1</v>
      </c>
      <c r="F956" s="111">
        <v>8100</v>
      </c>
      <c r="G956" s="111">
        <v>8100</v>
      </c>
    </row>
    <row r="957" spans="1:7" x14ac:dyDescent="0.35">
      <c r="A957" s="126">
        <v>26</v>
      </c>
      <c r="B957" s="126" t="s">
        <v>21</v>
      </c>
      <c r="C957" s="126" t="s">
        <v>217</v>
      </c>
      <c r="D957" s="126" t="s">
        <v>566</v>
      </c>
      <c r="E957" s="126">
        <v>2</v>
      </c>
      <c r="F957" s="152">
        <v>340000</v>
      </c>
      <c r="G957" s="152">
        <v>680000</v>
      </c>
    </row>
    <row r="958" spans="1:7" x14ac:dyDescent="0.35">
      <c r="A958" s="118">
        <v>26</v>
      </c>
      <c r="B958" s="128" t="s">
        <v>7</v>
      </c>
      <c r="C958" s="128" t="s">
        <v>750</v>
      </c>
      <c r="D958" s="128" t="s">
        <v>754</v>
      </c>
      <c r="E958" s="133">
        <v>20</v>
      </c>
      <c r="F958" s="133">
        <v>6000</v>
      </c>
      <c r="G958" s="133">
        <v>120000</v>
      </c>
    </row>
    <row r="959" spans="1:7" x14ac:dyDescent="0.35">
      <c r="A959" s="118">
        <v>26</v>
      </c>
      <c r="B959" s="128" t="s">
        <v>15</v>
      </c>
      <c r="C959" s="128" t="s">
        <v>755</v>
      </c>
      <c r="D959" s="128" t="s">
        <v>756</v>
      </c>
      <c r="E959" s="133">
        <v>1</v>
      </c>
      <c r="F959" s="133">
        <v>25000</v>
      </c>
      <c r="G959" s="133">
        <v>25000</v>
      </c>
    </row>
    <row r="960" spans="1:7" x14ac:dyDescent="0.35">
      <c r="A960" s="118">
        <v>26</v>
      </c>
      <c r="B960" s="128" t="s">
        <v>15</v>
      </c>
      <c r="C960" s="128" t="s">
        <v>16</v>
      </c>
      <c r="D960" s="128" t="s">
        <v>757</v>
      </c>
      <c r="E960" s="133">
        <v>2</v>
      </c>
      <c r="F960" s="133">
        <v>5000</v>
      </c>
      <c r="G960" s="133">
        <v>10000</v>
      </c>
    </row>
    <row r="961" spans="1:7" x14ac:dyDescent="0.35">
      <c r="A961" s="123">
        <v>26</v>
      </c>
      <c r="B961" s="130" t="s">
        <v>57</v>
      </c>
      <c r="C961" s="130" t="s">
        <v>58</v>
      </c>
      <c r="D961" s="130" t="s">
        <v>59</v>
      </c>
      <c r="E961" s="136">
        <v>2</v>
      </c>
      <c r="F961" s="150">
        <v>9500</v>
      </c>
      <c r="G961" s="150">
        <v>19000</v>
      </c>
    </row>
    <row r="962" spans="1:7" x14ac:dyDescent="0.35">
      <c r="A962" s="123">
        <v>26</v>
      </c>
      <c r="B962" s="130" t="s">
        <v>57</v>
      </c>
      <c r="C962" s="130" t="s">
        <v>60</v>
      </c>
      <c r="D962" s="130" t="s">
        <v>61</v>
      </c>
      <c r="E962" s="136">
        <v>3</v>
      </c>
      <c r="F962" s="150">
        <v>5000</v>
      </c>
      <c r="G962" s="150">
        <v>15000</v>
      </c>
    </row>
    <row r="963" spans="1:7" x14ac:dyDescent="0.35">
      <c r="A963" s="123">
        <v>26</v>
      </c>
      <c r="B963" s="130" t="s">
        <v>15</v>
      </c>
      <c r="C963" s="130" t="s">
        <v>34</v>
      </c>
      <c r="D963" s="130" t="s">
        <v>34</v>
      </c>
      <c r="E963" s="136">
        <v>1</v>
      </c>
      <c r="F963" s="150">
        <v>20000</v>
      </c>
      <c r="G963" s="150">
        <v>20000</v>
      </c>
    </row>
    <row r="964" spans="1:7" x14ac:dyDescent="0.35">
      <c r="A964" s="123">
        <v>26</v>
      </c>
      <c r="B964" s="130" t="s">
        <v>7</v>
      </c>
      <c r="C964" s="130" t="s">
        <v>8</v>
      </c>
      <c r="D964" s="130" t="s">
        <v>772</v>
      </c>
      <c r="E964" s="136">
        <v>3</v>
      </c>
      <c r="F964" s="150">
        <v>66000</v>
      </c>
      <c r="G964" s="150">
        <v>198000</v>
      </c>
    </row>
    <row r="965" spans="1:7" x14ac:dyDescent="0.35">
      <c r="A965" s="123">
        <v>26</v>
      </c>
      <c r="B965" s="130" t="s">
        <v>21</v>
      </c>
      <c r="C965" s="130" t="s">
        <v>520</v>
      </c>
      <c r="D965" s="130" t="s">
        <v>773</v>
      </c>
      <c r="E965" s="136">
        <v>5</v>
      </c>
      <c r="F965" s="150">
        <v>24400</v>
      </c>
      <c r="G965" s="150">
        <v>122000</v>
      </c>
    </row>
    <row r="966" spans="1:7" x14ac:dyDescent="0.35">
      <c r="A966" s="118">
        <v>27</v>
      </c>
      <c r="B966" s="128" t="s">
        <v>21</v>
      </c>
      <c r="C966" s="128" t="s">
        <v>520</v>
      </c>
      <c r="D966" s="128" t="s">
        <v>735</v>
      </c>
      <c r="E966" s="133">
        <v>5</v>
      </c>
      <c r="F966" s="143">
        <v>24395</v>
      </c>
      <c r="G966" s="143">
        <v>121975</v>
      </c>
    </row>
    <row r="967" spans="1:7" x14ac:dyDescent="0.35">
      <c r="A967" s="118">
        <v>27</v>
      </c>
      <c r="B967" s="128" t="s">
        <v>57</v>
      </c>
      <c r="C967" s="128" t="s">
        <v>60</v>
      </c>
      <c r="D967" s="128" t="s">
        <v>61</v>
      </c>
      <c r="E967" s="135">
        <v>3</v>
      </c>
      <c r="F967" s="147">
        <v>5000</v>
      </c>
      <c r="G967" s="147">
        <v>15000</v>
      </c>
    </row>
    <row r="968" spans="1:7" x14ac:dyDescent="0.35">
      <c r="A968" s="118">
        <v>27</v>
      </c>
      <c r="B968" s="128" t="s">
        <v>15</v>
      </c>
      <c r="C968" s="128" t="s">
        <v>24</v>
      </c>
      <c r="D968" s="128" t="s">
        <v>758</v>
      </c>
      <c r="E968" s="135">
        <v>1</v>
      </c>
      <c r="F968" s="147">
        <v>15900</v>
      </c>
      <c r="G968" s="147">
        <v>15900</v>
      </c>
    </row>
    <row r="969" spans="1:7" x14ac:dyDescent="0.35">
      <c r="A969" s="118">
        <v>27</v>
      </c>
      <c r="B969" s="128" t="s">
        <v>15</v>
      </c>
      <c r="C969" s="128" t="s">
        <v>24</v>
      </c>
      <c r="D969" s="128" t="s">
        <v>758</v>
      </c>
      <c r="E969" s="135">
        <v>1</v>
      </c>
      <c r="F969" s="147">
        <v>15900</v>
      </c>
      <c r="G969" s="147">
        <v>15900</v>
      </c>
    </row>
    <row r="970" spans="1:7" x14ac:dyDescent="0.35">
      <c r="A970" s="118">
        <v>27</v>
      </c>
      <c r="B970" s="128" t="s">
        <v>15</v>
      </c>
      <c r="C970" s="128" t="s">
        <v>138</v>
      </c>
      <c r="D970" s="128" t="s">
        <v>759</v>
      </c>
      <c r="E970" s="135">
        <v>1</v>
      </c>
      <c r="F970" s="147">
        <v>14900</v>
      </c>
      <c r="G970" s="147">
        <v>14900</v>
      </c>
    </row>
    <row r="971" spans="1:7" x14ac:dyDescent="0.35">
      <c r="A971" s="118">
        <v>27</v>
      </c>
      <c r="B971" s="128" t="s">
        <v>7</v>
      </c>
      <c r="C971" s="128" t="s">
        <v>13</v>
      </c>
      <c r="D971" s="128" t="s">
        <v>13</v>
      </c>
      <c r="E971" s="135">
        <v>1</v>
      </c>
      <c r="F971" s="147">
        <v>30000</v>
      </c>
      <c r="G971" s="147">
        <v>30000</v>
      </c>
    </row>
    <row r="972" spans="1:7" x14ac:dyDescent="0.35">
      <c r="A972" s="118">
        <v>27</v>
      </c>
      <c r="B972" s="128" t="s">
        <v>18</v>
      </c>
      <c r="C972" s="128" t="s">
        <v>30</v>
      </c>
      <c r="D972" s="128" t="s">
        <v>760</v>
      </c>
      <c r="E972" s="135">
        <v>4</v>
      </c>
      <c r="F972" s="147">
        <v>6000</v>
      </c>
      <c r="G972" s="147">
        <v>24000</v>
      </c>
    </row>
    <row r="973" spans="1:7" x14ac:dyDescent="0.35">
      <c r="A973" s="118">
        <v>27</v>
      </c>
      <c r="B973" s="128" t="s">
        <v>18</v>
      </c>
      <c r="C973" s="128" t="s">
        <v>761</v>
      </c>
      <c r="D973" s="128" t="s">
        <v>762</v>
      </c>
      <c r="E973" s="135">
        <v>5</v>
      </c>
      <c r="F973" s="147">
        <v>5000</v>
      </c>
      <c r="G973" s="147">
        <v>25000</v>
      </c>
    </row>
    <row r="974" spans="1:7" x14ac:dyDescent="0.35">
      <c r="A974" s="118">
        <v>27</v>
      </c>
      <c r="B974" s="128" t="s">
        <v>15</v>
      </c>
      <c r="C974" s="128" t="s">
        <v>82</v>
      </c>
      <c r="D974" s="128" t="s">
        <v>763</v>
      </c>
      <c r="E974" s="135">
        <v>1</v>
      </c>
      <c r="F974" s="147">
        <v>2500</v>
      </c>
      <c r="G974" s="147">
        <v>2500</v>
      </c>
    </row>
    <row r="975" spans="1:7" x14ac:dyDescent="0.35">
      <c r="A975" s="118">
        <v>27</v>
      </c>
      <c r="B975" s="128" t="s">
        <v>15</v>
      </c>
      <c r="C975" s="128" t="s">
        <v>764</v>
      </c>
      <c r="D975" s="128" t="s">
        <v>765</v>
      </c>
      <c r="E975" s="135">
        <v>1</v>
      </c>
      <c r="F975" s="147">
        <v>10000</v>
      </c>
      <c r="G975" s="147">
        <v>10000</v>
      </c>
    </row>
    <row r="976" spans="1:7" x14ac:dyDescent="0.35">
      <c r="A976" s="118">
        <v>27</v>
      </c>
      <c r="B976" s="128" t="s">
        <v>15</v>
      </c>
      <c r="C976" s="128" t="s">
        <v>186</v>
      </c>
      <c r="D976" s="128" t="s">
        <v>766</v>
      </c>
      <c r="E976" s="135">
        <v>1</v>
      </c>
      <c r="F976" s="147">
        <v>26000</v>
      </c>
      <c r="G976" s="147">
        <v>26000</v>
      </c>
    </row>
    <row r="977" spans="1:7" x14ac:dyDescent="0.35">
      <c r="A977" s="118">
        <v>27</v>
      </c>
      <c r="B977" s="128" t="s">
        <v>21</v>
      </c>
      <c r="C977" s="128" t="s">
        <v>600</v>
      </c>
      <c r="D977" s="128" t="s">
        <v>601</v>
      </c>
      <c r="E977" s="135">
        <v>2</v>
      </c>
      <c r="F977" s="147">
        <v>22990</v>
      </c>
      <c r="G977" s="147">
        <v>45980</v>
      </c>
    </row>
    <row r="978" spans="1:7" x14ac:dyDescent="0.35">
      <c r="A978" s="118">
        <v>27</v>
      </c>
      <c r="B978" s="128" t="s">
        <v>57</v>
      </c>
      <c r="C978" s="128" t="s">
        <v>194</v>
      </c>
      <c r="D978" s="128" t="s">
        <v>767</v>
      </c>
      <c r="E978" s="135">
        <v>3</v>
      </c>
      <c r="F978" s="147">
        <v>12900</v>
      </c>
      <c r="G978" s="147">
        <v>38700</v>
      </c>
    </row>
    <row r="979" spans="1:7" x14ac:dyDescent="0.35">
      <c r="A979" s="118">
        <v>27</v>
      </c>
      <c r="B979" s="128" t="s">
        <v>57</v>
      </c>
      <c r="C979" s="128" t="s">
        <v>347</v>
      </c>
      <c r="D979" s="128" t="s">
        <v>768</v>
      </c>
      <c r="E979" s="135">
        <v>3</v>
      </c>
      <c r="F979" s="147">
        <v>17950</v>
      </c>
      <c r="G979" s="147">
        <v>53850</v>
      </c>
    </row>
    <row r="980" spans="1:7" x14ac:dyDescent="0.35">
      <c r="A980" s="118">
        <v>27</v>
      </c>
      <c r="B980" s="128" t="s">
        <v>57</v>
      </c>
      <c r="C980" s="128" t="s">
        <v>198</v>
      </c>
      <c r="D980" s="128" t="s">
        <v>769</v>
      </c>
      <c r="E980" s="135">
        <v>2</v>
      </c>
      <c r="F980" s="147">
        <v>15500</v>
      </c>
      <c r="G980" s="147">
        <v>31000</v>
      </c>
    </row>
    <row r="981" spans="1:7" x14ac:dyDescent="0.35">
      <c r="A981" s="118">
        <v>27</v>
      </c>
      <c r="B981" s="128" t="s">
        <v>57</v>
      </c>
      <c r="C981" s="128" t="s">
        <v>396</v>
      </c>
      <c r="D981" s="128" t="s">
        <v>770</v>
      </c>
      <c r="E981" s="135">
        <v>2</v>
      </c>
      <c r="F981" s="147">
        <v>12700</v>
      </c>
      <c r="G981" s="147">
        <v>25400</v>
      </c>
    </row>
    <row r="982" spans="1:7" x14ac:dyDescent="0.35">
      <c r="A982" s="118">
        <v>27</v>
      </c>
      <c r="B982" s="128" t="s">
        <v>57</v>
      </c>
      <c r="C982" s="128" t="s">
        <v>196</v>
      </c>
      <c r="D982" s="128" t="s">
        <v>771</v>
      </c>
      <c r="E982" s="135">
        <v>3</v>
      </c>
      <c r="F982" s="147">
        <v>12600</v>
      </c>
      <c r="G982" s="147">
        <v>37800</v>
      </c>
    </row>
    <row r="983" spans="1:7" x14ac:dyDescent="0.35">
      <c r="A983" s="108">
        <v>27</v>
      </c>
      <c r="B983" s="109" t="s">
        <v>10</v>
      </c>
      <c r="C983" s="109" t="s">
        <v>350</v>
      </c>
      <c r="D983" s="109" t="s">
        <v>599</v>
      </c>
      <c r="E983" s="110">
        <v>20</v>
      </c>
      <c r="F983" s="111">
        <v>18200</v>
      </c>
      <c r="G983" s="111">
        <v>364000</v>
      </c>
    </row>
    <row r="984" spans="1:7" x14ac:dyDescent="0.35">
      <c r="A984" s="108">
        <v>27</v>
      </c>
      <c r="B984" s="109" t="s">
        <v>57</v>
      </c>
      <c r="C984" s="109" t="s">
        <v>158</v>
      </c>
      <c r="D984" s="109" t="s">
        <v>159</v>
      </c>
      <c r="E984" s="110">
        <v>1</v>
      </c>
      <c r="F984" s="111">
        <v>42269</v>
      </c>
      <c r="G984" s="111">
        <v>42269</v>
      </c>
    </row>
    <row r="985" spans="1:7" x14ac:dyDescent="0.35">
      <c r="A985" s="108">
        <v>27</v>
      </c>
      <c r="B985" s="109" t="s">
        <v>57</v>
      </c>
      <c r="C985" s="109" t="s">
        <v>799</v>
      </c>
      <c r="D985" s="109" t="s">
        <v>800</v>
      </c>
      <c r="E985" s="110">
        <v>1</v>
      </c>
      <c r="F985" s="111">
        <v>48572</v>
      </c>
      <c r="G985" s="111">
        <v>48572</v>
      </c>
    </row>
    <row r="986" spans="1:7" x14ac:dyDescent="0.35">
      <c r="A986" s="108">
        <v>27</v>
      </c>
      <c r="B986" s="109" t="s">
        <v>57</v>
      </c>
      <c r="C986" s="109" t="s">
        <v>510</v>
      </c>
      <c r="D986" s="109" t="s">
        <v>511</v>
      </c>
      <c r="E986" s="110">
        <v>2</v>
      </c>
      <c r="F986" s="113">
        <v>19411.5</v>
      </c>
      <c r="G986" s="111">
        <v>38823</v>
      </c>
    </row>
    <row r="987" spans="1:7" x14ac:dyDescent="0.35">
      <c r="A987" s="108">
        <v>27</v>
      </c>
      <c r="B987" s="109" t="s">
        <v>57</v>
      </c>
      <c r="C987" s="109" t="s">
        <v>731</v>
      </c>
      <c r="D987" s="109" t="s">
        <v>732</v>
      </c>
      <c r="E987" s="110">
        <v>2</v>
      </c>
      <c r="F987" s="111">
        <v>25600</v>
      </c>
      <c r="G987" s="111">
        <v>51200</v>
      </c>
    </row>
    <row r="988" spans="1:7" x14ac:dyDescent="0.35">
      <c r="A988" s="108">
        <v>27</v>
      </c>
      <c r="B988" s="109" t="s">
        <v>57</v>
      </c>
      <c r="C988" s="109" t="s">
        <v>558</v>
      </c>
      <c r="D988" s="109" t="s">
        <v>559</v>
      </c>
      <c r="E988" s="110">
        <v>3</v>
      </c>
      <c r="F988" s="111">
        <v>25600</v>
      </c>
      <c r="G988" s="111">
        <v>76800</v>
      </c>
    </row>
    <row r="989" spans="1:7" x14ac:dyDescent="0.35">
      <c r="A989" s="114">
        <v>27</v>
      </c>
      <c r="B989" s="109" t="s">
        <v>57</v>
      </c>
      <c r="C989" s="109" t="s">
        <v>60</v>
      </c>
      <c r="D989" s="109" t="s">
        <v>61</v>
      </c>
      <c r="E989" s="110">
        <v>2</v>
      </c>
      <c r="F989" s="110">
        <v>5000</v>
      </c>
      <c r="G989" s="110">
        <v>10000</v>
      </c>
    </row>
    <row r="990" spans="1:7" x14ac:dyDescent="0.35">
      <c r="A990" s="114">
        <v>27</v>
      </c>
      <c r="B990" s="109" t="s">
        <v>57</v>
      </c>
      <c r="C990" s="109" t="s">
        <v>58</v>
      </c>
      <c r="D990" s="109" t="s">
        <v>59</v>
      </c>
      <c r="E990" s="110">
        <v>2</v>
      </c>
      <c r="F990" s="110">
        <v>9500</v>
      </c>
      <c r="G990" s="110">
        <v>19000</v>
      </c>
    </row>
    <row r="991" spans="1:7" x14ac:dyDescent="0.35">
      <c r="A991" s="114">
        <v>27</v>
      </c>
      <c r="B991" s="109" t="s">
        <v>57</v>
      </c>
      <c r="C991" s="109" t="s">
        <v>60</v>
      </c>
      <c r="D991" s="109" t="s">
        <v>61</v>
      </c>
      <c r="E991" s="110">
        <v>3</v>
      </c>
      <c r="F991" s="110">
        <v>5000</v>
      </c>
      <c r="G991" s="110">
        <v>15000</v>
      </c>
    </row>
    <row r="992" spans="1:7" x14ac:dyDescent="0.35">
      <c r="A992" s="126">
        <v>28</v>
      </c>
      <c r="B992" s="126" t="s">
        <v>7</v>
      </c>
      <c r="C992" s="126" t="s">
        <v>387</v>
      </c>
      <c r="D992" s="126" t="s">
        <v>696</v>
      </c>
      <c r="E992" s="126">
        <v>1</v>
      </c>
      <c r="F992" s="152">
        <v>648000</v>
      </c>
      <c r="G992" s="152">
        <v>648000</v>
      </c>
    </row>
    <row r="993" spans="1:7" x14ac:dyDescent="0.35">
      <c r="A993" s="126">
        <v>28</v>
      </c>
      <c r="B993" s="126" t="s">
        <v>10</v>
      </c>
      <c r="C993" s="126" t="s">
        <v>55</v>
      </c>
      <c r="D993" s="126" t="s">
        <v>56</v>
      </c>
      <c r="E993" s="126">
        <v>9.15</v>
      </c>
      <c r="F993" s="152">
        <v>19500</v>
      </c>
      <c r="G993" s="152">
        <v>178425</v>
      </c>
    </row>
    <row r="994" spans="1:7" x14ac:dyDescent="0.35">
      <c r="A994" s="117">
        <v>28</v>
      </c>
      <c r="B994" s="117" t="s">
        <v>57</v>
      </c>
      <c r="C994" s="117" t="s">
        <v>58</v>
      </c>
      <c r="D994" s="117" t="s">
        <v>697</v>
      </c>
      <c r="E994" s="117">
        <v>2</v>
      </c>
      <c r="F994" s="142">
        <v>9500</v>
      </c>
      <c r="G994" s="142">
        <v>19000</v>
      </c>
    </row>
    <row r="995" spans="1:7" x14ac:dyDescent="0.35">
      <c r="A995" s="117">
        <v>28</v>
      </c>
      <c r="B995" s="117" t="s">
        <v>7</v>
      </c>
      <c r="C995" s="117" t="s">
        <v>13</v>
      </c>
      <c r="D995" s="117" t="s">
        <v>706</v>
      </c>
      <c r="E995" s="117">
        <v>1</v>
      </c>
      <c r="F995" s="142">
        <v>30000</v>
      </c>
      <c r="G995" s="142">
        <v>30000</v>
      </c>
    </row>
    <row r="996" spans="1:7" x14ac:dyDescent="0.35">
      <c r="A996" s="117">
        <v>28</v>
      </c>
      <c r="B996" s="117" t="s">
        <v>18</v>
      </c>
      <c r="C996" s="117" t="s">
        <v>30</v>
      </c>
      <c r="D996" s="117" t="s">
        <v>460</v>
      </c>
      <c r="E996" s="117">
        <v>1</v>
      </c>
      <c r="F996" s="142">
        <v>70000</v>
      </c>
      <c r="G996" s="142">
        <v>70000</v>
      </c>
    </row>
    <row r="997" spans="1:7" x14ac:dyDescent="0.35">
      <c r="A997" s="117">
        <v>28</v>
      </c>
      <c r="B997" s="117" t="s">
        <v>10</v>
      </c>
      <c r="C997" s="117" t="s">
        <v>252</v>
      </c>
      <c r="D997" s="117" t="s">
        <v>253</v>
      </c>
      <c r="E997" s="117">
        <v>7.55</v>
      </c>
      <c r="F997" s="142">
        <v>9700</v>
      </c>
      <c r="G997" s="142">
        <v>73235</v>
      </c>
    </row>
    <row r="998" spans="1:7" x14ac:dyDescent="0.35">
      <c r="A998" s="118">
        <v>28</v>
      </c>
      <c r="B998" s="128" t="s">
        <v>10</v>
      </c>
      <c r="C998" s="128" t="s">
        <v>271</v>
      </c>
      <c r="D998" s="128" t="s">
        <v>389</v>
      </c>
      <c r="E998" s="133">
        <v>15.33</v>
      </c>
      <c r="F998" s="143">
        <v>22000</v>
      </c>
      <c r="G998" s="143">
        <v>337260</v>
      </c>
    </row>
    <row r="999" spans="1:7" x14ac:dyDescent="0.35">
      <c r="A999" s="118">
        <v>28</v>
      </c>
      <c r="B999" s="128" t="s">
        <v>10</v>
      </c>
      <c r="C999" s="128" t="s">
        <v>254</v>
      </c>
      <c r="D999" s="128" t="s">
        <v>255</v>
      </c>
      <c r="E999" s="133">
        <v>5.67</v>
      </c>
      <c r="F999" s="143">
        <v>18000</v>
      </c>
      <c r="G999" s="143">
        <v>102060</v>
      </c>
    </row>
    <row r="1000" spans="1:7" x14ac:dyDescent="0.35">
      <c r="A1000" s="118">
        <v>28</v>
      </c>
      <c r="B1000" s="128" t="s">
        <v>10</v>
      </c>
      <c r="C1000" s="128" t="s">
        <v>390</v>
      </c>
      <c r="D1000" s="128" t="s">
        <v>391</v>
      </c>
      <c r="E1000" s="133">
        <v>3.11</v>
      </c>
      <c r="F1000" s="143">
        <v>33000</v>
      </c>
      <c r="G1000" s="143">
        <v>102630</v>
      </c>
    </row>
    <row r="1001" spans="1:7" x14ac:dyDescent="0.35">
      <c r="A1001" s="118">
        <v>28</v>
      </c>
      <c r="B1001" s="128" t="s">
        <v>57</v>
      </c>
      <c r="C1001" s="128" t="s">
        <v>60</v>
      </c>
      <c r="D1001" s="128" t="s">
        <v>61</v>
      </c>
      <c r="E1001" s="133">
        <v>3</v>
      </c>
      <c r="F1001" s="143">
        <v>5000</v>
      </c>
      <c r="G1001" s="143">
        <v>15000</v>
      </c>
    </row>
    <row r="1002" spans="1:7" x14ac:dyDescent="0.35">
      <c r="A1002" s="118">
        <v>28</v>
      </c>
      <c r="B1002" s="128" t="s">
        <v>10</v>
      </c>
      <c r="C1002" s="128" t="s">
        <v>55</v>
      </c>
      <c r="D1002" s="128" t="s">
        <v>56</v>
      </c>
      <c r="E1002" s="133">
        <v>13.95</v>
      </c>
      <c r="F1002" s="143">
        <v>19500</v>
      </c>
      <c r="G1002" s="143">
        <v>272025</v>
      </c>
    </row>
    <row r="1003" spans="1:7" x14ac:dyDescent="0.35">
      <c r="A1003" s="118">
        <v>28</v>
      </c>
      <c r="B1003" s="128" t="s">
        <v>10</v>
      </c>
      <c r="C1003" s="128" t="s">
        <v>188</v>
      </c>
      <c r="D1003" s="128" t="s">
        <v>266</v>
      </c>
      <c r="E1003" s="133">
        <v>14.5</v>
      </c>
      <c r="F1003" s="143">
        <v>18500</v>
      </c>
      <c r="G1003" s="143">
        <v>268250</v>
      </c>
    </row>
    <row r="1004" spans="1:7" x14ac:dyDescent="0.35">
      <c r="A1004" s="108">
        <v>28</v>
      </c>
      <c r="B1004" s="109" t="s">
        <v>18</v>
      </c>
      <c r="C1004" s="109" t="s">
        <v>207</v>
      </c>
      <c r="D1004" s="109" t="s">
        <v>774</v>
      </c>
      <c r="E1004" s="110">
        <v>13</v>
      </c>
      <c r="F1004" s="111">
        <v>4500</v>
      </c>
      <c r="G1004" s="111">
        <v>58500</v>
      </c>
    </row>
    <row r="1005" spans="1:7" x14ac:dyDescent="0.35">
      <c r="A1005" s="108">
        <v>28</v>
      </c>
      <c r="B1005" s="109" t="s">
        <v>10</v>
      </c>
      <c r="C1005" s="109" t="s">
        <v>173</v>
      </c>
      <c r="D1005" s="109" t="s">
        <v>174</v>
      </c>
      <c r="E1005" s="110">
        <v>22</v>
      </c>
      <c r="F1005" s="111">
        <v>16800</v>
      </c>
      <c r="G1005" s="111">
        <v>369600</v>
      </c>
    </row>
    <row r="1006" spans="1:7" x14ac:dyDescent="0.35">
      <c r="A1006" s="108">
        <v>28</v>
      </c>
      <c r="B1006" s="109" t="s">
        <v>10</v>
      </c>
      <c r="C1006" s="109" t="s">
        <v>796</v>
      </c>
      <c r="D1006" s="109" t="s">
        <v>797</v>
      </c>
      <c r="E1006" s="110">
        <v>10</v>
      </c>
      <c r="F1006" s="111">
        <v>12500</v>
      </c>
      <c r="G1006" s="111">
        <v>125000</v>
      </c>
    </row>
    <row r="1007" spans="1:7" x14ac:dyDescent="0.35">
      <c r="A1007" s="108">
        <v>28</v>
      </c>
      <c r="B1007" s="109" t="s">
        <v>10</v>
      </c>
      <c r="C1007" s="109" t="s">
        <v>11</v>
      </c>
      <c r="D1007" s="109" t="s">
        <v>392</v>
      </c>
      <c r="E1007" s="112">
        <v>38.9</v>
      </c>
      <c r="F1007" s="111">
        <v>7700</v>
      </c>
      <c r="G1007" s="111">
        <v>299530</v>
      </c>
    </row>
    <row r="1008" spans="1:7" x14ac:dyDescent="0.35">
      <c r="A1008" s="114">
        <v>28</v>
      </c>
      <c r="B1008" s="109" t="s">
        <v>15</v>
      </c>
      <c r="C1008" s="109" t="s">
        <v>120</v>
      </c>
      <c r="D1008" s="109" t="s">
        <v>121</v>
      </c>
      <c r="E1008" s="110">
        <v>3</v>
      </c>
      <c r="F1008" s="111">
        <v>6200</v>
      </c>
      <c r="G1008" s="111">
        <v>18600</v>
      </c>
    </row>
    <row r="1009" spans="1:7" x14ac:dyDescent="0.35">
      <c r="A1009" s="114">
        <v>28</v>
      </c>
      <c r="B1009" s="109" t="s">
        <v>15</v>
      </c>
      <c r="C1009" s="109" t="s">
        <v>807</v>
      </c>
      <c r="D1009" s="109" t="s">
        <v>808</v>
      </c>
      <c r="E1009" s="110">
        <v>3</v>
      </c>
      <c r="F1009" s="111">
        <v>3000</v>
      </c>
      <c r="G1009" s="111">
        <v>9000</v>
      </c>
    </row>
    <row r="1010" spans="1:7" x14ac:dyDescent="0.35">
      <c r="A1010" s="114">
        <v>28</v>
      </c>
      <c r="B1010" s="109" t="s">
        <v>15</v>
      </c>
      <c r="C1010" s="109" t="s">
        <v>104</v>
      </c>
      <c r="D1010" s="109" t="s">
        <v>318</v>
      </c>
      <c r="E1010" s="110">
        <v>5</v>
      </c>
      <c r="F1010" s="111">
        <v>6650</v>
      </c>
      <c r="G1010" s="111">
        <v>33250</v>
      </c>
    </row>
    <row r="1011" spans="1:7" x14ac:dyDescent="0.35">
      <c r="A1011" s="114">
        <v>28</v>
      </c>
      <c r="B1011" s="109" t="s">
        <v>15</v>
      </c>
      <c r="C1011" s="109" t="s">
        <v>809</v>
      </c>
      <c r="D1011" s="109" t="s">
        <v>286</v>
      </c>
      <c r="E1011" s="110">
        <v>2</v>
      </c>
      <c r="F1011" s="111">
        <v>27500</v>
      </c>
      <c r="G1011" s="111">
        <v>55000</v>
      </c>
    </row>
    <row r="1012" spans="1:7" x14ac:dyDescent="0.35">
      <c r="A1012" s="114">
        <v>28</v>
      </c>
      <c r="B1012" s="109" t="s">
        <v>15</v>
      </c>
      <c r="C1012" s="109" t="s">
        <v>41</v>
      </c>
      <c r="D1012" s="109" t="s">
        <v>42</v>
      </c>
      <c r="E1012" s="110">
        <v>8</v>
      </c>
      <c r="F1012" s="111">
        <v>2500</v>
      </c>
      <c r="G1012" s="111">
        <v>20000</v>
      </c>
    </row>
    <row r="1013" spans="1:7" x14ac:dyDescent="0.35">
      <c r="A1013" s="114">
        <v>28</v>
      </c>
      <c r="B1013" s="109" t="s">
        <v>15</v>
      </c>
      <c r="C1013" s="109" t="s">
        <v>39</v>
      </c>
      <c r="D1013" s="109" t="s">
        <v>40</v>
      </c>
      <c r="E1013" s="110">
        <v>150</v>
      </c>
      <c r="F1013" s="111">
        <v>390</v>
      </c>
      <c r="G1013" s="111">
        <v>58500</v>
      </c>
    </row>
    <row r="1014" spans="1:7" x14ac:dyDescent="0.35">
      <c r="A1014" s="114">
        <v>28</v>
      </c>
      <c r="B1014" s="109" t="s">
        <v>15</v>
      </c>
      <c r="C1014" s="109" t="s">
        <v>51</v>
      </c>
      <c r="D1014" s="109" t="s">
        <v>52</v>
      </c>
      <c r="E1014" s="110">
        <v>3</v>
      </c>
      <c r="F1014" s="111">
        <v>9600</v>
      </c>
      <c r="G1014" s="111">
        <v>28800</v>
      </c>
    </row>
    <row r="1015" spans="1:7" x14ac:dyDescent="0.35">
      <c r="A1015" s="114">
        <v>28</v>
      </c>
      <c r="B1015" s="109" t="s">
        <v>15</v>
      </c>
      <c r="C1015" s="109" t="s">
        <v>319</v>
      </c>
      <c r="D1015" s="109" t="s">
        <v>320</v>
      </c>
      <c r="E1015" s="110">
        <v>1</v>
      </c>
      <c r="F1015" s="111">
        <v>6800</v>
      </c>
      <c r="G1015" s="111">
        <v>6800</v>
      </c>
    </row>
    <row r="1016" spans="1:7" x14ac:dyDescent="0.35">
      <c r="A1016" s="114">
        <v>28</v>
      </c>
      <c r="B1016" s="109" t="s">
        <v>15</v>
      </c>
      <c r="C1016" s="109" t="s">
        <v>37</v>
      </c>
      <c r="D1016" s="109" t="s">
        <v>38</v>
      </c>
      <c r="E1016" s="110">
        <v>3</v>
      </c>
      <c r="F1016" s="111">
        <v>10600</v>
      </c>
      <c r="G1016" s="111">
        <v>31800</v>
      </c>
    </row>
    <row r="1017" spans="1:7" x14ac:dyDescent="0.35">
      <c r="A1017" s="114">
        <v>28</v>
      </c>
      <c r="B1017" s="109" t="s">
        <v>15</v>
      </c>
      <c r="C1017" s="109" t="s">
        <v>136</v>
      </c>
      <c r="D1017" s="109" t="s">
        <v>137</v>
      </c>
      <c r="E1017" s="110">
        <v>5</v>
      </c>
      <c r="F1017" s="111">
        <v>2100</v>
      </c>
      <c r="G1017" s="111">
        <v>10500</v>
      </c>
    </row>
    <row r="1018" spans="1:7" x14ac:dyDescent="0.35">
      <c r="A1018" s="114">
        <v>28</v>
      </c>
      <c r="B1018" s="109" t="s">
        <v>15</v>
      </c>
      <c r="C1018" s="109" t="s">
        <v>124</v>
      </c>
      <c r="D1018" s="109" t="s">
        <v>125</v>
      </c>
      <c r="E1018" s="110">
        <v>1</v>
      </c>
      <c r="F1018" s="111">
        <v>19850</v>
      </c>
      <c r="G1018" s="111">
        <v>19850</v>
      </c>
    </row>
    <row r="1019" spans="1:7" x14ac:dyDescent="0.35">
      <c r="A1019" s="114">
        <v>28</v>
      </c>
      <c r="B1019" s="109" t="s">
        <v>15</v>
      </c>
      <c r="C1019" s="109" t="s">
        <v>148</v>
      </c>
      <c r="D1019" s="109" t="s">
        <v>149</v>
      </c>
      <c r="E1019" s="110">
        <v>200</v>
      </c>
      <c r="F1019" s="111">
        <v>440</v>
      </c>
      <c r="G1019" s="111">
        <v>88000</v>
      </c>
    </row>
    <row r="1020" spans="1:7" x14ac:dyDescent="0.35">
      <c r="A1020" s="114">
        <v>28</v>
      </c>
      <c r="B1020" s="109" t="s">
        <v>15</v>
      </c>
      <c r="C1020" s="109" t="s">
        <v>314</v>
      </c>
      <c r="D1020" s="109" t="s">
        <v>595</v>
      </c>
      <c r="E1020" s="110">
        <v>100</v>
      </c>
      <c r="F1020" s="111">
        <v>950</v>
      </c>
      <c r="G1020" s="111">
        <v>95000</v>
      </c>
    </row>
    <row r="1021" spans="1:7" x14ac:dyDescent="0.35">
      <c r="A1021" s="114">
        <v>28</v>
      </c>
      <c r="B1021" s="109" t="s">
        <v>15</v>
      </c>
      <c r="C1021" s="109" t="s">
        <v>140</v>
      </c>
      <c r="D1021" s="109" t="s">
        <v>141</v>
      </c>
      <c r="E1021" s="110">
        <v>1</v>
      </c>
      <c r="F1021" s="111">
        <v>30350</v>
      </c>
      <c r="G1021" s="111">
        <v>30350</v>
      </c>
    </row>
    <row r="1022" spans="1:7" x14ac:dyDescent="0.35">
      <c r="A1022" s="114">
        <v>28</v>
      </c>
      <c r="B1022" s="109" t="s">
        <v>15</v>
      </c>
      <c r="C1022" s="109" t="s">
        <v>152</v>
      </c>
      <c r="D1022" s="109" t="s">
        <v>153</v>
      </c>
      <c r="E1022" s="110">
        <v>1</v>
      </c>
      <c r="F1022" s="111">
        <v>18650</v>
      </c>
      <c r="G1022" s="111">
        <v>18650</v>
      </c>
    </row>
    <row r="1023" spans="1:7" x14ac:dyDescent="0.35">
      <c r="A1023" s="114">
        <v>28</v>
      </c>
      <c r="B1023" s="109" t="s">
        <v>15</v>
      </c>
      <c r="C1023" s="109" t="s">
        <v>138</v>
      </c>
      <c r="D1023" s="109" t="s">
        <v>139</v>
      </c>
      <c r="E1023" s="110">
        <v>1</v>
      </c>
      <c r="F1023" s="111">
        <v>14600</v>
      </c>
      <c r="G1023" s="111">
        <v>14600</v>
      </c>
    </row>
    <row r="1024" spans="1:7" x14ac:dyDescent="0.35">
      <c r="A1024" s="114">
        <v>28</v>
      </c>
      <c r="B1024" s="109" t="s">
        <v>15</v>
      </c>
      <c r="C1024" s="109" t="s">
        <v>134</v>
      </c>
      <c r="D1024" s="109" t="s">
        <v>135</v>
      </c>
      <c r="E1024" s="110">
        <v>13</v>
      </c>
      <c r="F1024" s="111">
        <v>11200</v>
      </c>
      <c r="G1024" s="111">
        <v>145600</v>
      </c>
    </row>
    <row r="1025" spans="1:7" x14ac:dyDescent="0.35">
      <c r="A1025" s="114">
        <v>28</v>
      </c>
      <c r="B1025" s="109" t="s">
        <v>15</v>
      </c>
      <c r="C1025" s="109" t="s">
        <v>132</v>
      </c>
      <c r="D1025" s="109" t="s">
        <v>133</v>
      </c>
      <c r="E1025" s="110">
        <v>4</v>
      </c>
      <c r="F1025" s="111">
        <v>4850</v>
      </c>
      <c r="G1025" s="111">
        <v>19400</v>
      </c>
    </row>
    <row r="1026" spans="1:7" x14ac:dyDescent="0.35">
      <c r="A1026" s="114">
        <v>28</v>
      </c>
      <c r="B1026" s="109" t="s">
        <v>15</v>
      </c>
      <c r="C1026" s="109" t="s">
        <v>53</v>
      </c>
      <c r="D1026" s="109" t="s">
        <v>54</v>
      </c>
      <c r="E1026" s="110">
        <v>8</v>
      </c>
      <c r="F1026" s="111">
        <v>2400</v>
      </c>
      <c r="G1026" s="111">
        <v>19200</v>
      </c>
    </row>
    <row r="1027" spans="1:7" x14ac:dyDescent="0.35">
      <c r="A1027" s="114">
        <v>28</v>
      </c>
      <c r="B1027" s="109" t="s">
        <v>15</v>
      </c>
      <c r="C1027" s="109" t="s">
        <v>301</v>
      </c>
      <c r="D1027" s="109" t="s">
        <v>302</v>
      </c>
      <c r="E1027" s="110">
        <v>2</v>
      </c>
      <c r="F1027" s="111">
        <v>5450</v>
      </c>
      <c r="G1027" s="111">
        <v>10900</v>
      </c>
    </row>
    <row r="1028" spans="1:7" x14ac:dyDescent="0.35">
      <c r="A1028" s="114">
        <v>28</v>
      </c>
      <c r="B1028" s="109" t="s">
        <v>15</v>
      </c>
      <c r="C1028" s="109" t="s">
        <v>810</v>
      </c>
      <c r="D1028" s="109" t="s">
        <v>811</v>
      </c>
      <c r="E1028" s="110">
        <v>10</v>
      </c>
      <c r="F1028" s="111">
        <v>5700</v>
      </c>
      <c r="G1028" s="111">
        <v>57000</v>
      </c>
    </row>
    <row r="1029" spans="1:7" x14ac:dyDescent="0.35">
      <c r="A1029" s="114">
        <v>28</v>
      </c>
      <c r="B1029" s="109" t="s">
        <v>15</v>
      </c>
      <c r="C1029" s="109" t="s">
        <v>299</v>
      </c>
      <c r="D1029" s="109" t="s">
        <v>300</v>
      </c>
      <c r="E1029" s="110">
        <v>4</v>
      </c>
      <c r="F1029" s="111">
        <v>5000</v>
      </c>
      <c r="G1029" s="111">
        <v>20000</v>
      </c>
    </row>
    <row r="1030" spans="1:7" x14ac:dyDescent="0.35">
      <c r="A1030" s="114">
        <v>28</v>
      </c>
      <c r="B1030" s="109" t="s">
        <v>15</v>
      </c>
      <c r="C1030" s="109" t="s">
        <v>130</v>
      </c>
      <c r="D1030" s="109" t="s">
        <v>131</v>
      </c>
      <c r="E1030" s="110">
        <v>4</v>
      </c>
      <c r="F1030" s="111">
        <v>2750</v>
      </c>
      <c r="G1030" s="111">
        <v>11000</v>
      </c>
    </row>
    <row r="1031" spans="1:7" x14ac:dyDescent="0.35">
      <c r="A1031" s="114">
        <v>28</v>
      </c>
      <c r="B1031" s="109" t="s">
        <v>15</v>
      </c>
      <c r="C1031" s="109" t="s">
        <v>126</v>
      </c>
      <c r="D1031" s="109" t="s">
        <v>127</v>
      </c>
      <c r="E1031" s="110">
        <v>1</v>
      </c>
      <c r="F1031" s="111">
        <v>23800</v>
      </c>
      <c r="G1031" s="111">
        <v>23800</v>
      </c>
    </row>
    <row r="1032" spans="1:7" x14ac:dyDescent="0.35">
      <c r="A1032" s="114">
        <v>28</v>
      </c>
      <c r="B1032" s="109" t="s">
        <v>15</v>
      </c>
      <c r="C1032" s="109" t="s">
        <v>812</v>
      </c>
      <c r="D1032" s="109" t="s">
        <v>813</v>
      </c>
      <c r="E1032" s="110">
        <v>1</v>
      </c>
      <c r="F1032" s="111">
        <v>21700</v>
      </c>
      <c r="G1032" s="111">
        <v>21700</v>
      </c>
    </row>
    <row r="1033" spans="1:7" x14ac:dyDescent="0.35">
      <c r="A1033" s="114">
        <v>28</v>
      </c>
      <c r="B1033" s="109" t="s">
        <v>15</v>
      </c>
      <c r="C1033" s="109" t="s">
        <v>146</v>
      </c>
      <c r="D1033" s="109" t="s">
        <v>814</v>
      </c>
      <c r="E1033" s="110">
        <v>60</v>
      </c>
      <c r="F1033" s="111">
        <v>2000</v>
      </c>
      <c r="G1033" s="111">
        <v>120000</v>
      </c>
    </row>
    <row r="1034" spans="1:7" x14ac:dyDescent="0.35">
      <c r="A1034" s="114">
        <v>28</v>
      </c>
      <c r="B1034" s="109" t="s">
        <v>15</v>
      </c>
      <c r="C1034" s="109" t="s">
        <v>108</v>
      </c>
      <c r="D1034" s="109" t="s">
        <v>109</v>
      </c>
      <c r="E1034" s="110">
        <v>1</v>
      </c>
      <c r="F1034" s="111">
        <v>17250</v>
      </c>
      <c r="G1034" s="111">
        <v>17250</v>
      </c>
    </row>
    <row r="1035" spans="1:7" x14ac:dyDescent="0.35">
      <c r="A1035" s="114">
        <v>28</v>
      </c>
      <c r="B1035" s="109" t="s">
        <v>15</v>
      </c>
      <c r="C1035" s="109" t="s">
        <v>815</v>
      </c>
      <c r="D1035" s="109" t="s">
        <v>287</v>
      </c>
      <c r="E1035" s="110">
        <v>30</v>
      </c>
      <c r="F1035" s="111">
        <v>4250</v>
      </c>
      <c r="G1035" s="111">
        <v>127500</v>
      </c>
    </row>
    <row r="1036" spans="1:7" x14ac:dyDescent="0.35">
      <c r="A1036" s="114">
        <v>28</v>
      </c>
      <c r="B1036" s="109" t="s">
        <v>15</v>
      </c>
      <c r="C1036" s="109" t="s">
        <v>110</v>
      </c>
      <c r="D1036" s="109" t="s">
        <v>111</v>
      </c>
      <c r="E1036" s="110">
        <v>1</v>
      </c>
      <c r="F1036" s="111">
        <v>17500</v>
      </c>
      <c r="G1036" s="111">
        <v>17500</v>
      </c>
    </row>
    <row r="1037" spans="1:7" x14ac:dyDescent="0.35">
      <c r="A1037" s="114">
        <v>28</v>
      </c>
      <c r="B1037" s="109" t="s">
        <v>15</v>
      </c>
      <c r="C1037" s="109" t="s">
        <v>112</v>
      </c>
      <c r="D1037" s="109" t="s">
        <v>113</v>
      </c>
      <c r="E1037" s="110">
        <v>5</v>
      </c>
      <c r="F1037" s="111">
        <v>4800</v>
      </c>
      <c r="G1037" s="111">
        <v>24000</v>
      </c>
    </row>
    <row r="1038" spans="1:7" x14ac:dyDescent="0.35">
      <c r="A1038" s="114">
        <v>28</v>
      </c>
      <c r="B1038" s="109" t="s">
        <v>7</v>
      </c>
      <c r="C1038" s="109" t="s">
        <v>13</v>
      </c>
      <c r="D1038" s="109" t="s">
        <v>13</v>
      </c>
      <c r="E1038" s="110">
        <v>1</v>
      </c>
      <c r="F1038" s="111">
        <v>30000</v>
      </c>
      <c r="G1038" s="111">
        <v>30000</v>
      </c>
    </row>
    <row r="1039" spans="1:7" x14ac:dyDescent="0.35">
      <c r="A1039" s="117">
        <v>29</v>
      </c>
      <c r="B1039" s="117" t="s">
        <v>57</v>
      </c>
      <c r="C1039" s="117" t="s">
        <v>58</v>
      </c>
      <c r="D1039" s="117" t="s">
        <v>697</v>
      </c>
      <c r="E1039" s="117">
        <v>1</v>
      </c>
      <c r="F1039" s="142">
        <v>9500</v>
      </c>
      <c r="G1039" s="142">
        <v>9500</v>
      </c>
    </row>
    <row r="1040" spans="1:7" x14ac:dyDescent="0.35">
      <c r="A1040" s="117">
        <v>29</v>
      </c>
      <c r="B1040" s="117" t="s">
        <v>18</v>
      </c>
      <c r="C1040" s="117" t="s">
        <v>326</v>
      </c>
      <c r="D1040" s="117" t="s">
        <v>698</v>
      </c>
      <c r="E1040" s="117">
        <v>4</v>
      </c>
      <c r="F1040" s="142">
        <v>10700</v>
      </c>
      <c r="G1040" s="142">
        <v>42800</v>
      </c>
    </row>
    <row r="1041" spans="1:7" x14ac:dyDescent="0.35">
      <c r="A1041" s="117">
        <v>29</v>
      </c>
      <c r="B1041" s="117" t="s">
        <v>10</v>
      </c>
      <c r="C1041" s="117" t="s">
        <v>618</v>
      </c>
      <c r="D1041" s="117" t="s">
        <v>699</v>
      </c>
      <c r="E1041" s="117">
        <v>2</v>
      </c>
      <c r="F1041" s="142">
        <v>8950</v>
      </c>
      <c r="G1041" s="142">
        <v>17900</v>
      </c>
    </row>
    <row r="1042" spans="1:7" x14ac:dyDescent="0.35">
      <c r="A1042" s="117">
        <v>29</v>
      </c>
      <c r="B1042" s="117" t="s">
        <v>21</v>
      </c>
      <c r="C1042" s="117" t="s">
        <v>700</v>
      </c>
      <c r="D1042" s="117" t="s">
        <v>701</v>
      </c>
      <c r="E1042" s="117">
        <v>3</v>
      </c>
      <c r="F1042" s="142">
        <v>4850</v>
      </c>
      <c r="G1042" s="142">
        <v>14550</v>
      </c>
    </row>
    <row r="1043" spans="1:7" x14ac:dyDescent="0.35">
      <c r="A1043" s="117">
        <v>29</v>
      </c>
      <c r="B1043" s="117" t="s">
        <v>15</v>
      </c>
      <c r="C1043" s="117" t="s">
        <v>184</v>
      </c>
      <c r="D1043" s="117" t="s">
        <v>702</v>
      </c>
      <c r="E1043" s="117">
        <v>1</v>
      </c>
      <c r="F1043" s="142">
        <v>300</v>
      </c>
      <c r="G1043" s="142">
        <v>300</v>
      </c>
    </row>
    <row r="1044" spans="1:7" x14ac:dyDescent="0.35">
      <c r="A1044" s="117">
        <v>29</v>
      </c>
      <c r="B1044" s="117" t="s">
        <v>21</v>
      </c>
      <c r="C1044" s="117" t="s">
        <v>600</v>
      </c>
      <c r="D1044" s="117" t="s">
        <v>703</v>
      </c>
      <c r="E1044" s="117">
        <v>3</v>
      </c>
      <c r="F1044" s="142">
        <v>22990</v>
      </c>
      <c r="G1044" s="142">
        <v>68970</v>
      </c>
    </row>
    <row r="1045" spans="1:7" x14ac:dyDescent="0.35">
      <c r="A1045" s="117">
        <v>29</v>
      </c>
      <c r="B1045" s="117" t="s">
        <v>10</v>
      </c>
      <c r="C1045" s="117" t="s">
        <v>276</v>
      </c>
      <c r="D1045" s="117" t="s">
        <v>704</v>
      </c>
      <c r="E1045" s="117">
        <v>2.6680000000000001</v>
      </c>
      <c r="F1045" s="142">
        <v>17500</v>
      </c>
      <c r="G1045" s="142">
        <v>46690</v>
      </c>
    </row>
    <row r="1046" spans="1:7" x14ac:dyDescent="0.35">
      <c r="A1046" s="117">
        <v>29</v>
      </c>
      <c r="B1046" s="117" t="s">
        <v>7</v>
      </c>
      <c r="C1046" s="117" t="s">
        <v>13</v>
      </c>
      <c r="D1046" s="117" t="s">
        <v>705</v>
      </c>
      <c r="E1046" s="117">
        <v>1</v>
      </c>
      <c r="F1046" s="142">
        <v>30000</v>
      </c>
      <c r="G1046" s="142">
        <v>30000</v>
      </c>
    </row>
    <row r="1047" spans="1:7" x14ac:dyDescent="0.35">
      <c r="A1047" s="117">
        <v>29</v>
      </c>
      <c r="B1047" s="117" t="s">
        <v>10</v>
      </c>
      <c r="C1047" s="117" t="s">
        <v>261</v>
      </c>
      <c r="D1047" s="117" t="s">
        <v>262</v>
      </c>
      <c r="E1047" s="117">
        <v>3.0259999999999998</v>
      </c>
      <c r="F1047" s="142">
        <v>7199</v>
      </c>
      <c r="G1047" s="142">
        <v>21787</v>
      </c>
    </row>
    <row r="1048" spans="1:7" x14ac:dyDescent="0.35">
      <c r="A1048" s="117">
        <v>29</v>
      </c>
      <c r="B1048" s="117" t="s">
        <v>18</v>
      </c>
      <c r="C1048" s="117" t="s">
        <v>30</v>
      </c>
      <c r="D1048" s="117" t="s">
        <v>181</v>
      </c>
      <c r="E1048" s="117">
        <v>6</v>
      </c>
      <c r="F1048" s="142">
        <v>5440</v>
      </c>
      <c r="G1048" s="142">
        <v>32640</v>
      </c>
    </row>
    <row r="1049" spans="1:7" x14ac:dyDescent="0.35">
      <c r="A1049" s="118">
        <v>29</v>
      </c>
      <c r="B1049" s="128" t="s">
        <v>57</v>
      </c>
      <c r="C1049" s="128" t="s">
        <v>58</v>
      </c>
      <c r="D1049" s="128" t="s">
        <v>59</v>
      </c>
      <c r="E1049" s="133">
        <v>2</v>
      </c>
      <c r="F1049" s="143">
        <v>9500</v>
      </c>
      <c r="G1049" s="143">
        <v>19000</v>
      </c>
    </row>
    <row r="1050" spans="1:7" x14ac:dyDescent="0.35">
      <c r="A1050" s="118">
        <v>29</v>
      </c>
      <c r="B1050" s="128" t="s">
        <v>10</v>
      </c>
      <c r="C1050" s="128" t="s">
        <v>733</v>
      </c>
      <c r="D1050" s="128" t="s">
        <v>734</v>
      </c>
      <c r="E1050" s="133">
        <v>4</v>
      </c>
      <c r="F1050" s="143">
        <v>27600</v>
      </c>
      <c r="G1050" s="143">
        <v>110400</v>
      </c>
    </row>
    <row r="1051" spans="1:7" x14ac:dyDescent="0.35">
      <c r="A1051" s="114">
        <v>29</v>
      </c>
      <c r="B1051" s="109" t="s">
        <v>18</v>
      </c>
      <c r="C1051" s="109" t="s">
        <v>169</v>
      </c>
      <c r="D1051" s="109" t="s">
        <v>170</v>
      </c>
      <c r="E1051" s="110">
        <v>12</v>
      </c>
      <c r="F1051" s="111">
        <v>19500</v>
      </c>
      <c r="G1051" s="111">
        <v>234000</v>
      </c>
    </row>
  </sheetData>
  <autoFilter ref="A1:G1051" xr:uid="{00000000-0009-0000-0000-000007000000}">
    <sortState xmlns:xlrd2="http://schemas.microsoft.com/office/spreadsheetml/2017/richdata2" ref="A2:G1051">
      <sortCondition ref="A1:A834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Carnes</vt:lpstr>
      <vt:lpstr>Verduras</vt:lpstr>
      <vt:lpstr>Grano</vt:lpstr>
      <vt:lpstr>Servicios</vt:lpstr>
      <vt:lpstr>Desechables</vt:lpstr>
      <vt:lpstr>Bebidas</vt:lpstr>
      <vt:lpstr>resumen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</dc:creator>
  <cp:lastModifiedBy>César Arango</cp:lastModifiedBy>
  <cp:revision>0</cp:revision>
  <cp:lastPrinted>2025-12-04T16:02:23Z</cp:lastPrinted>
  <dcterms:created xsi:type="dcterms:W3CDTF">2025-12-01T20:32:20Z</dcterms:created>
  <dcterms:modified xsi:type="dcterms:W3CDTF">2026-09-04T03:42:22Z</dcterms:modified>
  <dc:language>en-US</dc:language>
</cp:coreProperties>
</file>