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s\Costos_Finca\SEPTIEMBRE 2026\"/>
    </mc:Choice>
  </mc:AlternateContent>
  <xr:revisionPtr revIDLastSave="0" documentId="13_ncr:1_{BF97D8CD-CD1E-4816-9752-A2743E2A405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shboard" sheetId="1" r:id="rId1"/>
    <sheet name="Auditoría Cuaderno vs Excel" sheetId="2" r:id="rId2"/>
    <sheet name="Dashboard Carnes" sheetId="3" r:id="rId3"/>
    <sheet name="Dashboard Bebidas" sheetId="4" r:id="rId4"/>
    <sheet name="Detalle Compras Septiembre 2026" sheetId="5" r:id="rId5"/>
    <sheet name="Agosto 2026" sheetId="6" state="hidden" r:id="rId6"/>
    <sheet name="Transacciones Repetidas" sheetId="7" state="hidden" r:id="rId7"/>
  </sheets>
  <definedNames>
    <definedName name="_xlnm._FilterDatabase" localSheetId="5" hidden="1">'Agosto 2026'!$A$1:$G$1</definedName>
    <definedName name="_xlnm._FilterDatabase" localSheetId="1" hidden="1">'Auditoría Cuaderno vs Excel'!$B$10:$J$47</definedName>
    <definedName name="_xlnm._FilterDatabase" localSheetId="4" hidden="1">'Detalle Compras Septiembre 2026'!$A$1:$G$884</definedName>
    <definedName name="_xlnm._FilterDatabase" localSheetId="6" hidden="1">'Transacciones Repetidas'!$A$1:$H$1</definedName>
    <definedName name="Print_Area" localSheetId="0">Dashboard!$B$2:$N$78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00" i="5" l="1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J58" i="1" s="1"/>
  <c r="E21" i="1" s="1"/>
  <c r="G328" i="5"/>
  <c r="G327" i="5"/>
  <c r="G326" i="5"/>
  <c r="G325" i="5"/>
  <c r="B6" i="3" s="1"/>
  <c r="F6" i="3" s="1"/>
  <c r="G324" i="5"/>
  <c r="G323" i="5"/>
  <c r="G322" i="5"/>
  <c r="G321" i="5"/>
  <c r="M58" i="1" s="1"/>
  <c r="E18" i="1" s="1"/>
  <c r="R43" i="4"/>
  <c r="M43" i="4"/>
  <c r="N43" i="4" s="1"/>
  <c r="P42" i="4"/>
  <c r="Q42" i="4" s="1"/>
  <c r="P41" i="4"/>
  <c r="Q41" i="4" s="1"/>
  <c r="P40" i="4"/>
  <c r="Q40" i="4" s="1"/>
  <c r="P39" i="4"/>
  <c r="Q39" i="4" s="1"/>
  <c r="G39" i="4"/>
  <c r="D39" i="4"/>
  <c r="E39" i="4" s="1"/>
  <c r="C39" i="4"/>
  <c r="P38" i="4"/>
  <c r="Q38" i="4" s="1"/>
  <c r="G38" i="4"/>
  <c r="D38" i="4"/>
  <c r="E38" i="4" s="1"/>
  <c r="C38" i="4"/>
  <c r="Q37" i="4"/>
  <c r="P37" i="4"/>
  <c r="G37" i="4"/>
  <c r="D37" i="4"/>
  <c r="E37" i="4" s="1"/>
  <c r="C37" i="4"/>
  <c r="P36" i="4"/>
  <c r="Q36" i="4" s="1"/>
  <c r="G36" i="4"/>
  <c r="D36" i="4"/>
  <c r="E36" i="4" s="1"/>
  <c r="C36" i="4"/>
  <c r="P35" i="4"/>
  <c r="Q35" i="4" s="1"/>
  <c r="G35" i="4"/>
  <c r="D35" i="4"/>
  <c r="E35" i="4" s="1"/>
  <c r="C35" i="4"/>
  <c r="P34" i="4"/>
  <c r="Q34" i="4" s="1"/>
  <c r="G34" i="4"/>
  <c r="D34" i="4"/>
  <c r="E34" i="4" s="1"/>
  <c r="C34" i="4"/>
  <c r="P33" i="4"/>
  <c r="Q33" i="4" s="1"/>
  <c r="G33" i="4"/>
  <c r="D33" i="4"/>
  <c r="E33" i="4" s="1"/>
  <c r="C33" i="4"/>
  <c r="P32" i="4"/>
  <c r="Q32" i="4" s="1"/>
  <c r="G32" i="4"/>
  <c r="D32" i="4"/>
  <c r="E32" i="4" s="1"/>
  <c r="C32" i="4"/>
  <c r="P31" i="4"/>
  <c r="Q31" i="4" s="1"/>
  <c r="G31" i="4"/>
  <c r="E31" i="4"/>
  <c r="D31" i="4"/>
  <c r="C31" i="4"/>
  <c r="Q30" i="4"/>
  <c r="G30" i="4"/>
  <c r="D30" i="4"/>
  <c r="E30" i="4" s="1"/>
  <c r="C30" i="4"/>
  <c r="Q29" i="4"/>
  <c r="G29" i="4"/>
  <c r="D29" i="4"/>
  <c r="E29" i="4" s="1"/>
  <c r="C29" i="4"/>
  <c r="P28" i="4"/>
  <c r="Q28" i="4" s="1"/>
  <c r="G28" i="4"/>
  <c r="D28" i="4"/>
  <c r="E28" i="4" s="1"/>
  <c r="C28" i="4"/>
  <c r="R27" i="4"/>
  <c r="M27" i="4"/>
  <c r="G27" i="4"/>
  <c r="D27" i="4"/>
  <c r="E27" i="4" s="1"/>
  <c r="C27" i="4"/>
  <c r="P26" i="4"/>
  <c r="Q26" i="4" s="1"/>
  <c r="G26" i="4"/>
  <c r="D26" i="4"/>
  <c r="E26" i="4" s="1"/>
  <c r="C26" i="4"/>
  <c r="P25" i="4"/>
  <c r="Q25" i="4" s="1"/>
  <c r="G25" i="4"/>
  <c r="D25" i="4"/>
  <c r="E25" i="4" s="1"/>
  <c r="C25" i="4"/>
  <c r="Q24" i="4"/>
  <c r="P24" i="4"/>
  <c r="G24" i="4"/>
  <c r="D24" i="4"/>
  <c r="E24" i="4" s="1"/>
  <c r="C24" i="4"/>
  <c r="P23" i="4"/>
  <c r="Q23" i="4" s="1"/>
  <c r="G23" i="4"/>
  <c r="D23" i="4"/>
  <c r="E23" i="4" s="1"/>
  <c r="C23" i="4"/>
  <c r="P22" i="4"/>
  <c r="Q22" i="4" s="1"/>
  <c r="G22" i="4"/>
  <c r="D22" i="4"/>
  <c r="E22" i="4" s="1"/>
  <c r="C22" i="4"/>
  <c r="P21" i="4"/>
  <c r="Q21" i="4" s="1"/>
  <c r="G21" i="4"/>
  <c r="D21" i="4"/>
  <c r="E21" i="4" s="1"/>
  <c r="C21" i="4"/>
  <c r="Q20" i="4"/>
  <c r="P20" i="4"/>
  <c r="G20" i="4"/>
  <c r="D20" i="4"/>
  <c r="E20" i="4" s="1"/>
  <c r="C20" i="4"/>
  <c r="P19" i="4"/>
  <c r="G19" i="4"/>
  <c r="D19" i="4"/>
  <c r="E19" i="4" s="1"/>
  <c r="C19" i="4"/>
  <c r="R18" i="4"/>
  <c r="M18" i="4"/>
  <c r="N18" i="4" s="1"/>
  <c r="G18" i="4"/>
  <c r="D18" i="4"/>
  <c r="C18" i="4"/>
  <c r="P17" i="4"/>
  <c r="Q17" i="4" s="1"/>
  <c r="G17" i="4"/>
  <c r="D17" i="4"/>
  <c r="E17" i="4" s="1"/>
  <c r="C17" i="4"/>
  <c r="P16" i="4"/>
  <c r="Q16" i="4" s="1"/>
  <c r="G16" i="4"/>
  <c r="D16" i="4"/>
  <c r="E16" i="4" s="1"/>
  <c r="C16" i="4"/>
  <c r="P15" i="4"/>
  <c r="Q15" i="4" s="1"/>
  <c r="G15" i="4"/>
  <c r="E15" i="4"/>
  <c r="D15" i="4"/>
  <c r="C15" i="4"/>
  <c r="R14" i="4"/>
  <c r="N14" i="4"/>
  <c r="M14" i="4"/>
  <c r="G14" i="4"/>
  <c r="D14" i="4"/>
  <c r="E14" i="4" s="1"/>
  <c r="C14" i="4"/>
  <c r="P13" i="4"/>
  <c r="Q13" i="4" s="1"/>
  <c r="G13" i="4"/>
  <c r="D13" i="4"/>
  <c r="E13" i="4" s="1"/>
  <c r="C13" i="4"/>
  <c r="P12" i="4"/>
  <c r="Q12" i="4" s="1"/>
  <c r="G12" i="4"/>
  <c r="D12" i="4"/>
  <c r="C12" i="4"/>
  <c r="P11" i="4"/>
  <c r="Q11" i="4" s="1"/>
  <c r="G11" i="4"/>
  <c r="D11" i="4"/>
  <c r="E11" i="4" s="1"/>
  <c r="C11" i="4"/>
  <c r="P10" i="4"/>
  <c r="P14" i="4" s="1"/>
  <c r="G10" i="4"/>
  <c r="D10" i="4"/>
  <c r="E10" i="4" s="1"/>
  <c r="C10" i="4"/>
  <c r="C40" i="4" s="1"/>
  <c r="G6" i="4"/>
  <c r="D6" i="4"/>
  <c r="B6" i="4"/>
  <c r="O91" i="3"/>
  <c r="M91" i="3"/>
  <c r="N91" i="3" s="1"/>
  <c r="O86" i="3"/>
  <c r="M86" i="3"/>
  <c r="O79" i="3"/>
  <c r="M79" i="3"/>
  <c r="N79" i="3" s="1"/>
  <c r="O67" i="3"/>
  <c r="M67" i="3"/>
  <c r="O61" i="3"/>
  <c r="N61" i="3"/>
  <c r="M61" i="3"/>
  <c r="O51" i="3"/>
  <c r="M51" i="3"/>
  <c r="O42" i="3"/>
  <c r="N42" i="3" s="1"/>
  <c r="M42" i="3"/>
  <c r="G39" i="3"/>
  <c r="D39" i="3"/>
  <c r="E39" i="3" s="1"/>
  <c r="C39" i="3"/>
  <c r="G38" i="3"/>
  <c r="E38" i="3"/>
  <c r="D38" i="3"/>
  <c r="C38" i="3"/>
  <c r="O37" i="3"/>
  <c r="N37" i="3"/>
  <c r="M37" i="3"/>
  <c r="G37" i="3"/>
  <c r="D37" i="3"/>
  <c r="E37" i="3" s="1"/>
  <c r="C37" i="3"/>
  <c r="G36" i="3"/>
  <c r="D36" i="3"/>
  <c r="E36" i="3" s="1"/>
  <c r="C36" i="3"/>
  <c r="G35" i="3"/>
  <c r="D35" i="3"/>
  <c r="E35" i="3" s="1"/>
  <c r="C35" i="3"/>
  <c r="G34" i="3"/>
  <c r="D34" i="3"/>
  <c r="E34" i="3" s="1"/>
  <c r="C34" i="3"/>
  <c r="G33" i="3"/>
  <c r="D33" i="3"/>
  <c r="E33" i="3" s="1"/>
  <c r="C33" i="3"/>
  <c r="G32" i="3"/>
  <c r="D32" i="3"/>
  <c r="E32" i="3" s="1"/>
  <c r="C32" i="3"/>
  <c r="G31" i="3"/>
  <c r="D31" i="3"/>
  <c r="E31" i="3" s="1"/>
  <c r="C31" i="3"/>
  <c r="G30" i="3"/>
  <c r="D30" i="3"/>
  <c r="E30" i="3" s="1"/>
  <c r="C30" i="3"/>
  <c r="G29" i="3"/>
  <c r="E29" i="3"/>
  <c r="D29" i="3"/>
  <c r="C29" i="3"/>
  <c r="O28" i="3"/>
  <c r="N28" i="3"/>
  <c r="M28" i="3"/>
  <c r="G28" i="3"/>
  <c r="D28" i="3"/>
  <c r="E28" i="3" s="1"/>
  <c r="C28" i="3"/>
  <c r="G27" i="3"/>
  <c r="D27" i="3"/>
  <c r="E27" i="3" s="1"/>
  <c r="C27" i="3"/>
  <c r="G26" i="3"/>
  <c r="D26" i="3"/>
  <c r="E26" i="3" s="1"/>
  <c r="C26" i="3"/>
  <c r="G25" i="3"/>
  <c r="D25" i="3"/>
  <c r="E25" i="3" s="1"/>
  <c r="C25" i="3"/>
  <c r="G24" i="3"/>
  <c r="D24" i="3"/>
  <c r="E24" i="3" s="1"/>
  <c r="C24" i="3"/>
  <c r="O23" i="3"/>
  <c r="O92" i="3" s="1"/>
  <c r="M23" i="3"/>
  <c r="N23" i="3" s="1"/>
  <c r="G23" i="3"/>
  <c r="E23" i="3"/>
  <c r="D23" i="3"/>
  <c r="C23" i="3"/>
  <c r="G22" i="3"/>
  <c r="D22" i="3"/>
  <c r="E22" i="3" s="1"/>
  <c r="C22" i="3"/>
  <c r="G21" i="3"/>
  <c r="D21" i="3"/>
  <c r="E21" i="3" s="1"/>
  <c r="C21" i="3"/>
  <c r="G20" i="3"/>
  <c r="D20" i="3"/>
  <c r="C20" i="3"/>
  <c r="G19" i="3"/>
  <c r="D19" i="3"/>
  <c r="E19" i="3" s="1"/>
  <c r="C19" i="3"/>
  <c r="G18" i="3"/>
  <c r="D18" i="3"/>
  <c r="C18" i="3"/>
  <c r="G17" i="3"/>
  <c r="D17" i="3"/>
  <c r="C17" i="3"/>
  <c r="E17" i="3" s="1"/>
  <c r="G16" i="3"/>
  <c r="D16" i="3"/>
  <c r="E16" i="3" s="1"/>
  <c r="C16" i="3"/>
  <c r="G15" i="3"/>
  <c r="D15" i="3"/>
  <c r="E15" i="3" s="1"/>
  <c r="C15" i="3"/>
  <c r="G14" i="3"/>
  <c r="D14" i="3"/>
  <c r="E14" i="3" s="1"/>
  <c r="C14" i="3"/>
  <c r="G13" i="3"/>
  <c r="D13" i="3"/>
  <c r="C13" i="3"/>
  <c r="E13" i="3" s="1"/>
  <c r="G12" i="3"/>
  <c r="D12" i="3"/>
  <c r="C12" i="3"/>
  <c r="G11" i="3"/>
  <c r="D11" i="3"/>
  <c r="E11" i="3" s="1"/>
  <c r="C11" i="3"/>
  <c r="C40" i="3" s="1"/>
  <c r="G10" i="3"/>
  <c r="D10" i="3"/>
  <c r="C10" i="3"/>
  <c r="G6" i="3"/>
  <c r="D6" i="3"/>
  <c r="D67" i="2"/>
  <c r="F47" i="2"/>
  <c r="D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M78" i="1"/>
  <c r="L78" i="1"/>
  <c r="F78" i="1"/>
  <c r="E78" i="1"/>
  <c r="M77" i="1"/>
  <c r="L77" i="1"/>
  <c r="F77" i="1"/>
  <c r="E77" i="1"/>
  <c r="M76" i="1"/>
  <c r="L76" i="1"/>
  <c r="F76" i="1"/>
  <c r="E76" i="1"/>
  <c r="M75" i="1"/>
  <c r="L75" i="1"/>
  <c r="F75" i="1"/>
  <c r="E75" i="1"/>
  <c r="M74" i="1"/>
  <c r="L74" i="1"/>
  <c r="F74" i="1"/>
  <c r="E74" i="1"/>
  <c r="M73" i="1"/>
  <c r="L73" i="1"/>
  <c r="F73" i="1"/>
  <c r="E73" i="1"/>
  <c r="M72" i="1"/>
  <c r="L72" i="1"/>
  <c r="F72" i="1"/>
  <c r="E72" i="1"/>
  <c r="M71" i="1"/>
  <c r="L71" i="1"/>
  <c r="F71" i="1"/>
  <c r="E71" i="1"/>
  <c r="M70" i="1"/>
  <c r="L70" i="1"/>
  <c r="F70" i="1"/>
  <c r="E70" i="1"/>
  <c r="M69" i="1"/>
  <c r="L69" i="1"/>
  <c r="F69" i="1"/>
  <c r="E69" i="1"/>
  <c r="N58" i="1"/>
  <c r="L58" i="1"/>
  <c r="K58" i="1"/>
  <c r="E22" i="1" s="1"/>
  <c r="I58" i="1"/>
  <c r="D58" i="1"/>
  <c r="N69" i="1" s="1"/>
  <c r="N57" i="1"/>
  <c r="M57" i="1"/>
  <c r="L57" i="1"/>
  <c r="K57" i="1"/>
  <c r="J57" i="1"/>
  <c r="I57" i="1"/>
  <c r="H57" i="1"/>
  <c r="D57" i="1"/>
  <c r="C57" i="1"/>
  <c r="N56" i="1"/>
  <c r="M56" i="1"/>
  <c r="L56" i="1"/>
  <c r="K56" i="1"/>
  <c r="J56" i="1"/>
  <c r="I56" i="1"/>
  <c r="H56" i="1"/>
  <c r="D56" i="1"/>
  <c r="C56" i="1"/>
  <c r="E56" i="1" s="1"/>
  <c r="N55" i="1"/>
  <c r="M55" i="1"/>
  <c r="L55" i="1"/>
  <c r="K55" i="1"/>
  <c r="J55" i="1"/>
  <c r="I55" i="1"/>
  <c r="H55" i="1"/>
  <c r="E55" i="1"/>
  <c r="F55" i="1" s="1"/>
  <c r="D55" i="1"/>
  <c r="C55" i="1"/>
  <c r="N54" i="1"/>
  <c r="M54" i="1"/>
  <c r="L54" i="1"/>
  <c r="K54" i="1"/>
  <c r="J54" i="1"/>
  <c r="I54" i="1"/>
  <c r="H54" i="1"/>
  <c r="D54" i="1"/>
  <c r="C54" i="1"/>
  <c r="E54" i="1" s="1"/>
  <c r="N53" i="1"/>
  <c r="M53" i="1"/>
  <c r="L53" i="1"/>
  <c r="K53" i="1"/>
  <c r="J53" i="1"/>
  <c r="I53" i="1"/>
  <c r="H53" i="1"/>
  <c r="D53" i="1"/>
  <c r="C53" i="1"/>
  <c r="E53" i="1" s="1"/>
  <c r="N52" i="1"/>
  <c r="M52" i="1"/>
  <c r="L52" i="1"/>
  <c r="K52" i="1"/>
  <c r="J52" i="1"/>
  <c r="I52" i="1"/>
  <c r="H52" i="1"/>
  <c r="D52" i="1"/>
  <c r="C52" i="1"/>
  <c r="N51" i="1"/>
  <c r="M51" i="1"/>
  <c r="L51" i="1"/>
  <c r="K51" i="1"/>
  <c r="J51" i="1"/>
  <c r="I51" i="1"/>
  <c r="H51" i="1"/>
  <c r="D51" i="1"/>
  <c r="C51" i="1"/>
  <c r="E51" i="1" s="1"/>
  <c r="N50" i="1"/>
  <c r="M50" i="1"/>
  <c r="L50" i="1"/>
  <c r="K50" i="1"/>
  <c r="J50" i="1"/>
  <c r="I50" i="1"/>
  <c r="H50" i="1"/>
  <c r="D50" i="1"/>
  <c r="C50" i="1"/>
  <c r="N49" i="1"/>
  <c r="M49" i="1"/>
  <c r="L49" i="1"/>
  <c r="K49" i="1"/>
  <c r="J49" i="1"/>
  <c r="I49" i="1"/>
  <c r="H49" i="1"/>
  <c r="D49" i="1"/>
  <c r="C49" i="1"/>
  <c r="N48" i="1"/>
  <c r="M48" i="1"/>
  <c r="L48" i="1"/>
  <c r="K48" i="1"/>
  <c r="J48" i="1"/>
  <c r="I48" i="1"/>
  <c r="H48" i="1"/>
  <c r="D48" i="1"/>
  <c r="C48" i="1"/>
  <c r="E48" i="1" s="1"/>
  <c r="N47" i="1"/>
  <c r="M47" i="1"/>
  <c r="L47" i="1"/>
  <c r="K47" i="1"/>
  <c r="J47" i="1"/>
  <c r="I47" i="1"/>
  <c r="H47" i="1"/>
  <c r="E47" i="1"/>
  <c r="F47" i="1" s="1"/>
  <c r="D47" i="1"/>
  <c r="C47" i="1"/>
  <c r="N46" i="1"/>
  <c r="M46" i="1"/>
  <c r="L46" i="1"/>
  <c r="K46" i="1"/>
  <c r="J46" i="1"/>
  <c r="I46" i="1"/>
  <c r="H46" i="1"/>
  <c r="D46" i="1"/>
  <c r="C46" i="1"/>
  <c r="E46" i="1" s="1"/>
  <c r="F46" i="1" s="1"/>
  <c r="N45" i="1"/>
  <c r="M45" i="1"/>
  <c r="L45" i="1"/>
  <c r="K45" i="1"/>
  <c r="J45" i="1"/>
  <c r="I45" i="1"/>
  <c r="H45" i="1"/>
  <c r="D45" i="1"/>
  <c r="C45" i="1"/>
  <c r="N44" i="1"/>
  <c r="M44" i="1"/>
  <c r="L44" i="1"/>
  <c r="K44" i="1"/>
  <c r="J44" i="1"/>
  <c r="I44" i="1"/>
  <c r="H44" i="1"/>
  <c r="D44" i="1"/>
  <c r="C44" i="1"/>
  <c r="N43" i="1"/>
  <c r="M43" i="1"/>
  <c r="L43" i="1"/>
  <c r="K43" i="1"/>
  <c r="J43" i="1"/>
  <c r="I43" i="1"/>
  <c r="H43" i="1"/>
  <c r="D43" i="1"/>
  <c r="C43" i="1"/>
  <c r="N42" i="1"/>
  <c r="M42" i="1"/>
  <c r="L42" i="1"/>
  <c r="K42" i="1"/>
  <c r="J42" i="1"/>
  <c r="I42" i="1"/>
  <c r="H42" i="1"/>
  <c r="D42" i="1"/>
  <c r="C42" i="1"/>
  <c r="E42" i="1" s="1"/>
  <c r="F42" i="1" s="1"/>
  <c r="N41" i="1"/>
  <c r="M41" i="1"/>
  <c r="L41" i="1"/>
  <c r="K41" i="1"/>
  <c r="J41" i="1"/>
  <c r="I41" i="1"/>
  <c r="H41" i="1"/>
  <c r="D41" i="1"/>
  <c r="C41" i="1"/>
  <c r="N40" i="1"/>
  <c r="M40" i="1"/>
  <c r="L40" i="1"/>
  <c r="K40" i="1"/>
  <c r="J40" i="1"/>
  <c r="I40" i="1"/>
  <c r="H40" i="1"/>
  <c r="D40" i="1"/>
  <c r="C40" i="1"/>
  <c r="E40" i="1" s="1"/>
  <c r="N39" i="1"/>
  <c r="M39" i="1"/>
  <c r="L39" i="1"/>
  <c r="K39" i="1"/>
  <c r="J39" i="1"/>
  <c r="I39" i="1"/>
  <c r="H39" i="1"/>
  <c r="D39" i="1"/>
  <c r="C39" i="1"/>
  <c r="N38" i="1"/>
  <c r="L38" i="1"/>
  <c r="K38" i="1"/>
  <c r="J38" i="1"/>
  <c r="I38" i="1"/>
  <c r="D38" i="1"/>
  <c r="N37" i="1"/>
  <c r="M37" i="1"/>
  <c r="L37" i="1"/>
  <c r="K37" i="1"/>
  <c r="J37" i="1"/>
  <c r="I37" i="1"/>
  <c r="H37" i="1"/>
  <c r="D37" i="1"/>
  <c r="C37" i="1"/>
  <c r="E37" i="1" s="1"/>
  <c r="N36" i="1"/>
  <c r="M36" i="1"/>
  <c r="L36" i="1"/>
  <c r="K36" i="1"/>
  <c r="J36" i="1"/>
  <c r="I36" i="1"/>
  <c r="H36" i="1"/>
  <c r="D36" i="1"/>
  <c r="C36" i="1"/>
  <c r="E36" i="1" s="1"/>
  <c r="N35" i="1"/>
  <c r="M35" i="1"/>
  <c r="L35" i="1"/>
  <c r="K35" i="1"/>
  <c r="J35" i="1"/>
  <c r="I35" i="1"/>
  <c r="H35" i="1"/>
  <c r="D35" i="1"/>
  <c r="E35" i="1" s="1"/>
  <c r="C35" i="1"/>
  <c r="N34" i="1"/>
  <c r="M34" i="1"/>
  <c r="L34" i="1"/>
  <c r="K34" i="1"/>
  <c r="J34" i="1"/>
  <c r="I34" i="1"/>
  <c r="H34" i="1"/>
  <c r="E34" i="1"/>
  <c r="F34" i="1" s="1"/>
  <c r="D34" i="1"/>
  <c r="C34" i="1"/>
  <c r="N33" i="1"/>
  <c r="M33" i="1"/>
  <c r="L33" i="1"/>
  <c r="K33" i="1"/>
  <c r="J33" i="1"/>
  <c r="I33" i="1"/>
  <c r="H33" i="1"/>
  <c r="D33" i="1"/>
  <c r="C33" i="1"/>
  <c r="E33" i="1" s="1"/>
  <c r="N32" i="1"/>
  <c r="M32" i="1"/>
  <c r="L32" i="1"/>
  <c r="K32" i="1"/>
  <c r="J32" i="1"/>
  <c r="I32" i="1"/>
  <c r="H32" i="1"/>
  <c r="D32" i="1"/>
  <c r="C32" i="1"/>
  <c r="N31" i="1"/>
  <c r="M31" i="1"/>
  <c r="L31" i="1"/>
  <c r="K31" i="1"/>
  <c r="J31" i="1"/>
  <c r="I31" i="1"/>
  <c r="H31" i="1"/>
  <c r="D31" i="1"/>
  <c r="C31" i="1"/>
  <c r="N30" i="1"/>
  <c r="M30" i="1"/>
  <c r="L30" i="1"/>
  <c r="K30" i="1"/>
  <c r="J30" i="1"/>
  <c r="I30" i="1"/>
  <c r="H30" i="1"/>
  <c r="D30" i="1"/>
  <c r="C30" i="1"/>
  <c r="E30" i="1" s="1"/>
  <c r="N29" i="1"/>
  <c r="M29" i="1"/>
  <c r="L29" i="1"/>
  <c r="K29" i="1"/>
  <c r="J29" i="1"/>
  <c r="I29" i="1"/>
  <c r="H29" i="1"/>
  <c r="D29" i="1"/>
  <c r="C29" i="1"/>
  <c r="E29" i="1" s="1"/>
  <c r="N28" i="1"/>
  <c r="M28" i="1"/>
  <c r="L28" i="1"/>
  <c r="K28" i="1"/>
  <c r="K60" i="1" s="1"/>
  <c r="J28" i="1"/>
  <c r="I28" i="1"/>
  <c r="H28" i="1"/>
  <c r="D28" i="1"/>
  <c r="D61" i="1" s="1"/>
  <c r="C28" i="1"/>
  <c r="D22" i="1"/>
  <c r="D21" i="1"/>
  <c r="E20" i="1"/>
  <c r="D20" i="1"/>
  <c r="E19" i="1"/>
  <c r="D19" i="1"/>
  <c r="D18" i="1"/>
  <c r="D17" i="1"/>
  <c r="D23" i="1" s="1"/>
  <c r="D12" i="1"/>
  <c r="D11" i="1"/>
  <c r="D13" i="1" s="1"/>
  <c r="G47" i="2" l="1"/>
  <c r="F51" i="1"/>
  <c r="G51" i="1"/>
  <c r="F36" i="3"/>
  <c r="F14" i="3"/>
  <c r="L60" i="1"/>
  <c r="H38" i="1"/>
  <c r="H60" i="1" s="1"/>
  <c r="E39" i="1"/>
  <c r="G47" i="1"/>
  <c r="G55" i="1"/>
  <c r="H58" i="1"/>
  <c r="E17" i="1" s="1"/>
  <c r="E23" i="1" s="1"/>
  <c r="F20" i="1" s="1"/>
  <c r="E20" i="3"/>
  <c r="Q10" i="4"/>
  <c r="H6" i="1"/>
  <c r="E12" i="1"/>
  <c r="I61" i="1"/>
  <c r="E31" i="1"/>
  <c r="G31" i="1" s="1"/>
  <c r="C38" i="1"/>
  <c r="E38" i="1" s="1"/>
  <c r="F38" i="1" s="1"/>
  <c r="M38" i="1"/>
  <c r="M61" i="1" s="1"/>
  <c r="E41" i="1"/>
  <c r="E43" i="1"/>
  <c r="F43" i="1" s="1"/>
  <c r="E44" i="1"/>
  <c r="E49" i="1"/>
  <c r="F49" i="1" s="1"/>
  <c r="E57" i="1"/>
  <c r="E12" i="3"/>
  <c r="G40" i="3"/>
  <c r="E18" i="3"/>
  <c r="F6" i="4"/>
  <c r="E12" i="4"/>
  <c r="C61" i="1"/>
  <c r="J61" i="1"/>
  <c r="N61" i="1"/>
  <c r="E32" i="1"/>
  <c r="G32" i="1" s="1"/>
  <c r="E45" i="1"/>
  <c r="E50" i="1"/>
  <c r="F50" i="1" s="1"/>
  <c r="E52" i="1"/>
  <c r="C58" i="1"/>
  <c r="G70" i="1" s="1"/>
  <c r="E10" i="3"/>
  <c r="N86" i="3"/>
  <c r="M44" i="4"/>
  <c r="E18" i="4"/>
  <c r="F19" i="1"/>
  <c r="G29" i="1"/>
  <c r="F29" i="1"/>
  <c r="F33" i="1"/>
  <c r="G33" i="1"/>
  <c r="F35" i="1"/>
  <c r="G35" i="1"/>
  <c r="F36" i="1"/>
  <c r="G36" i="1"/>
  <c r="F53" i="1"/>
  <c r="G53" i="1"/>
  <c r="G30" i="1"/>
  <c r="F30" i="1"/>
  <c r="F37" i="1"/>
  <c r="G37" i="1"/>
  <c r="F39" i="1"/>
  <c r="G39" i="1"/>
  <c r="F40" i="1"/>
  <c r="G40" i="1"/>
  <c r="F48" i="1"/>
  <c r="G48" i="1"/>
  <c r="F54" i="1"/>
  <c r="G54" i="1"/>
  <c r="F56" i="1"/>
  <c r="G56" i="1"/>
  <c r="F31" i="1"/>
  <c r="F41" i="1"/>
  <c r="G41" i="1"/>
  <c r="G43" i="1"/>
  <c r="F44" i="1"/>
  <c r="G44" i="1"/>
  <c r="G49" i="1"/>
  <c r="F57" i="1"/>
  <c r="G57" i="1"/>
  <c r="F32" i="1"/>
  <c r="F45" i="1"/>
  <c r="G45" i="1"/>
  <c r="G50" i="1"/>
  <c r="F52" i="1"/>
  <c r="G52" i="1"/>
  <c r="M60" i="1"/>
  <c r="H61" i="1"/>
  <c r="F40" i="3"/>
  <c r="F35" i="3"/>
  <c r="F31" i="3"/>
  <c r="F26" i="3"/>
  <c r="F21" i="3"/>
  <c r="F17" i="3"/>
  <c r="F13" i="3"/>
  <c r="F39" i="3"/>
  <c r="F34" i="3"/>
  <c r="F30" i="3"/>
  <c r="F25" i="3"/>
  <c r="F20" i="3"/>
  <c r="F16" i="3"/>
  <c r="F12" i="3"/>
  <c r="F38" i="3"/>
  <c r="F37" i="3"/>
  <c r="F33" i="3"/>
  <c r="F29" i="3"/>
  <c r="F28" i="3"/>
  <c r="F24" i="3"/>
  <c r="F23" i="3"/>
  <c r="F19" i="3"/>
  <c r="F15" i="3"/>
  <c r="F11" i="3"/>
  <c r="F39" i="4"/>
  <c r="F35" i="4"/>
  <c r="F31" i="4"/>
  <c r="F29" i="4"/>
  <c r="F26" i="4"/>
  <c r="F22" i="4"/>
  <c r="F15" i="4"/>
  <c r="F12" i="4"/>
  <c r="F40" i="4"/>
  <c r="F36" i="4"/>
  <c r="F32" i="4"/>
  <c r="F27" i="4"/>
  <c r="F23" i="4"/>
  <c r="F19" i="4"/>
  <c r="F16" i="4"/>
  <c r="F13" i="4"/>
  <c r="F37" i="4"/>
  <c r="F33" i="4"/>
  <c r="F30" i="4"/>
  <c r="F24" i="4"/>
  <c r="F20" i="4"/>
  <c r="F17" i="4"/>
  <c r="F14" i="4"/>
  <c r="F10" i="4"/>
  <c r="Q14" i="4"/>
  <c r="F11" i="4"/>
  <c r="P18" i="4"/>
  <c r="Q18" i="4" s="1"/>
  <c r="G34" i="1"/>
  <c r="G38" i="1"/>
  <c r="G42" i="1"/>
  <c r="G46" i="1"/>
  <c r="I60" i="1"/>
  <c r="N60" i="1"/>
  <c r="N71" i="1"/>
  <c r="F22" i="3"/>
  <c r="F32" i="3"/>
  <c r="M92" i="3"/>
  <c r="N92" i="3" s="1"/>
  <c r="N51" i="3"/>
  <c r="D40" i="4"/>
  <c r="E40" i="4" s="1"/>
  <c r="F18" i="4"/>
  <c r="P27" i="4"/>
  <c r="Q27" i="4" s="1"/>
  <c r="Q19" i="4"/>
  <c r="E28" i="1"/>
  <c r="C60" i="1"/>
  <c r="J60" i="1"/>
  <c r="K61" i="1"/>
  <c r="F10" i="3"/>
  <c r="F18" i="3"/>
  <c r="N67" i="3"/>
  <c r="R44" i="4"/>
  <c r="N44" i="4" s="1"/>
  <c r="F21" i="4"/>
  <c r="F34" i="4"/>
  <c r="F38" i="4"/>
  <c r="N78" i="1"/>
  <c r="N76" i="1"/>
  <c r="N74" i="1"/>
  <c r="N72" i="1"/>
  <c r="N70" i="1"/>
  <c r="N77" i="1"/>
  <c r="N75" i="1"/>
  <c r="N73" i="1"/>
  <c r="D60" i="1"/>
  <c r="L61" i="1"/>
  <c r="F27" i="3"/>
  <c r="G40" i="4"/>
  <c r="F25" i="4"/>
  <c r="N27" i="4"/>
  <c r="F28" i="4"/>
  <c r="P43" i="4"/>
  <c r="Q43" i="4" s="1"/>
  <c r="D40" i="3"/>
  <c r="E40" i="3" s="1"/>
  <c r="G77" i="1" l="1"/>
  <c r="G74" i="1"/>
  <c r="G72" i="1"/>
  <c r="F17" i="1"/>
  <c r="F21" i="1"/>
  <c r="G69" i="1"/>
  <c r="G71" i="1"/>
  <c r="F18" i="1"/>
  <c r="F22" i="1"/>
  <c r="G75" i="1"/>
  <c r="E6" i="1"/>
  <c r="E11" i="1"/>
  <c r="G78" i="1"/>
  <c r="G73" i="1"/>
  <c r="G76" i="1"/>
  <c r="E58" i="1"/>
  <c r="N59" i="1"/>
  <c r="J59" i="1"/>
  <c r="G21" i="1" s="1"/>
  <c r="E61" i="1"/>
  <c r="K59" i="1"/>
  <c r="G22" i="1" s="1"/>
  <c r="E59" i="1"/>
  <c r="G28" i="1"/>
  <c r="I59" i="1"/>
  <c r="G20" i="1" s="1"/>
  <c r="D59" i="1"/>
  <c r="G12" i="1" s="1"/>
  <c r="F28" i="1"/>
  <c r="M59" i="1"/>
  <c r="G18" i="1" s="1"/>
  <c r="H59" i="1"/>
  <c r="G17" i="1" s="1"/>
  <c r="C59" i="1"/>
  <c r="E60" i="1"/>
  <c r="L59" i="1"/>
  <c r="G19" i="1" s="1"/>
  <c r="F58" i="1"/>
  <c r="H6" i="4"/>
  <c r="H6" i="3"/>
  <c r="F12" i="1"/>
  <c r="F11" i="1"/>
  <c r="H7" i="1"/>
  <c r="E13" i="1"/>
  <c r="F13" i="1" s="1"/>
  <c r="E7" i="1"/>
  <c r="B6" i="1"/>
  <c r="G58" i="1"/>
  <c r="F23" i="1"/>
  <c r="P44" i="4"/>
  <c r="Q44" i="4" s="1"/>
  <c r="G11" i="1" l="1"/>
  <c r="K7" i="1"/>
  <c r="G23" i="1"/>
  <c r="F59" i="1"/>
  <c r="G13" i="1"/>
  <c r="K6" i="1"/>
  <c r="G59" i="1"/>
</calcChain>
</file>

<file path=xl/sharedStrings.xml><?xml version="1.0" encoding="utf-8"?>
<sst xmlns="http://schemas.openxmlformats.org/spreadsheetml/2006/main" count="2404" uniqueCount="1023">
  <si>
    <t>RESTAURANTE CHOCLOS Y ASADOS LA FINCA</t>
  </si>
  <si>
    <t>DASHBOARD GERENCIAL DE COSTOS Y GASTOS - INFORME MENSUAL Y DIARIO SEPTIEMBRE 2026</t>
  </si>
  <si>
    <t>TOTAL COMPRAS Y EGRESOS</t>
  </si>
  <si>
    <t>TOTAL COSTOS DIRECTOS</t>
  </si>
  <si>
    <t>TOTAL GASTOS OPERACIONALES</t>
  </si>
  <si>
    <t>PROMEDIO DIARIO TOTAL</t>
  </si>
  <si>
    <t>100% Consolidado del Mes</t>
  </si>
  <si>
    <t>1. CLASIFICACIÓN GERENCIAL: COSTOS DIRECTOS VS GASTOS OPERACIONALES</t>
  </si>
  <si>
    <t>Tipo</t>
  </si>
  <si>
    <t>Naturaleza / Componentes</t>
  </si>
  <si>
    <t>Registros</t>
  </si>
  <si>
    <t>Total Mes ($)</t>
  </si>
  <si>
    <t>% Total</t>
  </si>
  <si>
    <t>Promedio Diario</t>
  </si>
  <si>
    <t>Costos Directos (COGS)</t>
  </si>
  <si>
    <t>Materia Prima (Carnes, Verduras, Grano, Bebidas, Desechables)</t>
  </si>
  <si>
    <t>Gastos Operacionales</t>
  </si>
  <si>
    <t>Servicios Públicos, Nómina, Turnos, Mantenimiento, Taxis</t>
  </si>
  <si>
    <t>TOTAL CONSOLIDADO MES</t>
  </si>
  <si>
    <t>100% Egresos Registrados en Septiembre</t>
  </si>
  <si>
    <t>2. ESTRUCTURA DE COSTOS Y GASTOS POR CATEGORÍA</t>
  </si>
  <si>
    <t>Categoría</t>
  </si>
  <si>
    <t>Tipo Contable</t>
  </si>
  <si>
    <t>N° Compras</t>
  </si>
  <si>
    <t>Carnes</t>
  </si>
  <si>
    <t>Costo Directo</t>
  </si>
  <si>
    <t>Servicios</t>
  </si>
  <si>
    <t>Gasto Operacional</t>
  </si>
  <si>
    <t>Desechables</t>
  </si>
  <si>
    <t>Verduras</t>
  </si>
  <si>
    <t>Grano</t>
  </si>
  <si>
    <t>Bebidas</t>
  </si>
  <si>
    <t>TOTAL CATEGORÍAS</t>
  </si>
  <si>
    <t>Consolidado General</t>
  </si>
  <si>
    <t>3. TOTALIZACIÓN DIARIA: COSTOS Y GASTOS DÍA A DÍA (SEPTIEMBRE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</si>
  <si>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</si>
  <si>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</si>
  <si>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</si>
  <si>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</si>
  <si>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</si>
  <si>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</si>
  <si>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</si>
  <si>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</si>
  <si>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</si>
  <si>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</si>
  <si>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</si>
  <si>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</si>
  <si>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</si>
  <si>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</si>
  <si>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</si>
  <si>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-</t>
  </si>
  <si>
    <t>MÍNIMO DIARIO</t>
  </si>
  <si>
    <t>4. TOP 10 INSUMOS DE MAYOR COSTO (MATERIA PRIMA)</t>
  </si>
  <si>
    <t>5. TOP 10 GASTOS OPERACIONALES CLAVE (SERVICIOS Y NÓMINA)</t>
  </si>
  <si>
    <t>#</t>
  </si>
  <si>
    <t>Ítem / Insumo</t>
  </si>
  <si>
    <t>Total Inversión ($)</t>
  </si>
  <si>
    <t>% de Costos</t>
  </si>
  <si>
    <t>Concepto de Gasto</t>
  </si>
  <si>
    <t>N° Pagos</t>
  </si>
  <si>
    <t>Total Gasto ($)</t>
  </si>
  <si>
    <t>% de Gastos</t>
  </si>
  <si>
    <t>Tocineta barril</t>
  </si>
  <si>
    <t>Arriendo local</t>
  </si>
  <si>
    <t>Sobaco</t>
  </si>
  <si>
    <t>Tv chall y base kalley</t>
  </si>
  <si>
    <t>Tocino barril</t>
  </si>
  <si>
    <t>Recibo de Caja</t>
  </si>
  <si>
    <t>Sobrebarriga delgada</t>
  </si>
  <si>
    <t>Acopi</t>
  </si>
  <si>
    <t>Lomo de cerdo</t>
  </si>
  <si>
    <t>Transporte</t>
  </si>
  <si>
    <t>Pernil de pollo</t>
  </si>
  <si>
    <t>Software nube</t>
  </si>
  <si>
    <t>Lengua de res</t>
  </si>
  <si>
    <t>Turno marlene</t>
  </si>
  <si>
    <t>Filete de pollo x 350</t>
  </si>
  <si>
    <t>Broca espada</t>
  </si>
  <si>
    <t>Camaron precocido</t>
  </si>
  <si>
    <t>Repuesto pulidora</t>
  </si>
  <si>
    <t>Lomo de caracho</t>
  </si>
  <si>
    <t>Taxi</t>
  </si>
  <si>
    <t>AUDITORÍA Y CONCILIACIÓN INTEGRAL: CUADERNO DE CONTROL MANUAL (PÁG. 159) VS EXCEL</t>
  </si>
  <si>
    <t>Conciliación al 100%: 332 Compras Oficiales ($58.206.795) | Especial Día 11 ($16.106.430) | Cuadratura Cuaderno ($55.081.550)</t>
  </si>
  <si>
    <t>TOTAL CUADERNO (PÁG. 159)</t>
  </si>
  <si>
    <t>SUMA 36 ÍTEMS CUADERNO</t>
  </si>
  <si>
    <t>SUMA 36 ÍTEMS EN EXCEL</t>
  </si>
  <si>
    <t>DIFERENCIA 36 ÍTEMS</t>
  </si>
  <si>
    <t>TOTAL OFICIAL EN EXCEL</t>
  </si>
  <si>
    <t>FALTANTES POR REGISTRAR</t>
  </si>
  <si>
    <t>Saldo acumulado manuscrito</t>
  </si>
  <si>
    <t>Gasto registrado en la página</t>
  </si>
  <si>
    <t>100% de los 36 ingresados</t>
  </si>
  <si>
    <t>Ajuste neto por factura real</t>
  </si>
  <si>
    <t>332 compras registradas</t>
  </si>
  <si>
    <t>¡0 ítems pendientes!</t>
  </si>
  <si>
    <t>1. MATRIZ DE CONCILIACIÓN LÍNEA POR LÍNEA: LOS 36 REGISTROS DEL CUADERNO EN EXCEL</t>
  </si>
  <si>
    <t>Ítem en Cuaderno (Pág. 159)</t>
  </si>
  <si>
    <t>Valor Cuaderno ($)</t>
  </si>
  <si>
    <t>Estado Conciliación</t>
  </si>
  <si>
    <t>Valor en Excel ($)</t>
  </si>
  <si>
    <t>Diferencia ($)</t>
  </si>
  <si>
    <t>Fila Excel</t>
  </si>
  <si>
    <t>Soporte / Comprobante en Excel</t>
  </si>
  <si>
    <t>Observaciones y Dictamen de Auditoría</t>
  </si>
  <si>
    <t>Pago Arrendamiento</t>
  </si>
  <si>
    <t>COINCIDE EXACTO</t>
  </si>
  <si>
    <t>Fila 319 (Día 11)</t>
  </si>
  <si>
    <t>RCM-11-Sep-2026</t>
  </si>
  <si>
    <t>Recibo Caja Menor Taydem - Arrendamiento Ayde Guevara. Coincidencia plena.</t>
  </si>
  <si>
    <t>dos cajas costilla</t>
  </si>
  <si>
    <t>INGRESADO MANUAL (CUADERNO)</t>
  </si>
  <si>
    <t>Fila 333 (Día 11)</t>
  </si>
  <si>
    <t>FALTANTE EN EXCEL</t>
  </si>
  <si>
    <t>2 cajas de costilla ahumada x $364.000 registradas en Excel a solicitud.</t>
  </si>
  <si>
    <t>El Los Monos</t>
  </si>
  <si>
    <t>DIFERENCIA FACTURA REAL</t>
  </si>
  <si>
    <t>Fila 10 (Día 1)</t>
  </si>
  <si>
    <t>Factura YP24152</t>
  </si>
  <si>
    <t>Tocineta barril Los Monos. Diferencia de $15.535 a favor de Excel por valor real factura.</t>
  </si>
  <si>
    <t>Gpt Organizacional</t>
  </si>
  <si>
    <t>Fila 322 (Día 11)</t>
  </si>
  <si>
    <t>Gasto ingresado por el usuario en Detalle Compras. Conciliado.</t>
  </si>
  <si>
    <t>Verduras chucho</t>
  </si>
  <si>
    <t>Fila 323 (Día 11)</t>
  </si>
  <si>
    <t>Compra de verduras Chucho ingresada por el usuario en Detalle Compras. Conciliado.</t>
  </si>
  <si>
    <t>Pulpas frutas</t>
  </si>
  <si>
    <t>Filas 142-146 (Día 5)</t>
  </si>
  <si>
    <t>FAC-0001-00021543</t>
  </si>
  <si>
    <t>Fruitty Frezze desglosada en Excel en 5 pulpas (Maracuyá, Mango, Lulo, Guanábana, Cerezada).</t>
  </si>
  <si>
    <t>Panales de Huevo</t>
  </si>
  <si>
    <t>Fila 221 (Día 8)</t>
  </si>
  <si>
    <t>CC-08-Sep-2026</t>
  </si>
  <si>
    <t>Cuenta de Cobro 08-Sep (15 panales AA x $14.500 + $10.000 saldo anterior).</t>
  </si>
  <si>
    <t>Aguacates</t>
  </si>
  <si>
    <t>LEGALIZADO FACTURA REAL</t>
  </si>
  <si>
    <t>Fila 173 (Día 6)</t>
  </si>
  <si>
    <t>RCM-06-Sep-2026</t>
  </si>
  <si>
    <t>Vale de anticipo $200k legalizado en compras con recibo real por $204.000 (+$4.000 en Excel).</t>
  </si>
  <si>
    <t>Fila 332 (Día 11)</t>
  </si>
  <si>
    <t>Cuaderno Pág. 159</t>
  </si>
  <si>
    <t>Segundo registro de aguacates del cuaderno incorporado con éxito en Excel.</t>
  </si>
  <si>
    <t>Gallinas 02.09</t>
  </si>
  <si>
    <t>Fila 191 (Día 7)</t>
  </si>
  <si>
    <t>REM-07-Sep-2026</t>
  </si>
  <si>
    <t>Remisión 07-Sep, 9 gallinas gigantes (38.6 kg @ $11.500).</t>
  </si>
  <si>
    <t>Panales de Huevos</t>
  </si>
  <si>
    <t>Fila 80 (Día 3)</t>
  </si>
  <si>
    <t>CC-03-Sep-2026</t>
  </si>
  <si>
    <t>Cuenta de Cobro 03-Sep (15 panales AA x $13.500).</t>
  </si>
  <si>
    <t>Chorizos</t>
  </si>
  <si>
    <t>Filas 92-93 (Día 3)</t>
  </si>
  <si>
    <t>Factura 0000006666</t>
  </si>
  <si>
    <t>Cárnicos Montero (Chorizo coctelero 4 paq $192k + Premium 1 paq $46k).</t>
  </si>
  <si>
    <t>Aceite galon</t>
  </si>
  <si>
    <t>Fila 88 (Día 3)</t>
  </si>
  <si>
    <t>D1 Factura G9F9313177</t>
  </si>
  <si>
    <t>4 Aceites soya 3000ml D1 SAS.</t>
  </si>
  <si>
    <t>Pechugas de Pollo</t>
  </si>
  <si>
    <t>Fila 120 (Día 4)</t>
  </si>
  <si>
    <t>Cañaveral 05FZ91332</t>
  </si>
  <si>
    <t>Pechuga Macpollo 3.095 kg (anotado en cuaderno como 43.250 / 43.270, valor factura $43.269).</t>
  </si>
  <si>
    <t>Lentejas</t>
  </si>
  <si>
    <t>Fila 125 (Día 4)</t>
  </si>
  <si>
    <t>Cañaveral 06FZ46512</t>
  </si>
  <si>
    <t>3 Lentejas La Floresta Supertiendas Cañaveral.</t>
  </si>
  <si>
    <t>Costilla ahumada</t>
  </si>
  <si>
    <t>Fila 324 (Día 11)</t>
  </si>
  <si>
    <t>Costilla ahumada caja 1 ingresada por el usuario en Detalle Compras. Conciliado.</t>
  </si>
  <si>
    <t>Granero Piamonte</t>
  </si>
  <si>
    <t>Fila 91 (Día 3)</t>
  </si>
  <si>
    <t>Factura DP-4833</t>
  </si>
  <si>
    <t>Arroz Proarroz 50kg, aceite, etc. Granero Piamonte.</t>
  </si>
  <si>
    <t>Fila 325 (Día 11)</t>
  </si>
  <si>
    <t>Costilla ahumada caja 2 ingresada por el usuario en Detalle Compras. Conciliado.</t>
  </si>
  <si>
    <t>Mariscos</t>
  </si>
  <si>
    <t>Fila 326 (Día 11)</t>
  </si>
  <si>
    <t>Mariscos ingresados por el usuario en Detalle Compras. Conciliado.</t>
  </si>
  <si>
    <t>1/2 chocolate</t>
  </si>
  <si>
    <t>Fila 297 (Día 10)</t>
  </si>
  <si>
    <t>REM-10-Sep-2026-ZAF</t>
  </si>
  <si>
    <t>1/2 lb chocolate en polvo Licores Zafiro.</t>
  </si>
  <si>
    <t>Galeria para tamal</t>
  </si>
  <si>
    <t>Filas 310-316 (Día 10)</t>
  </si>
  <si>
    <t>RCM-10-Sep-2026-6</t>
  </si>
  <si>
    <t>Recibo Caja Menor desglosado en Excel: aguacates 100k, papa 33k, hojas 108k, masa 27k, etc.</t>
  </si>
  <si>
    <t>Gallinas semana 09</t>
  </si>
  <si>
    <t>Fila 287 (Día 9)</t>
  </si>
  <si>
    <t>REM-09-Sep-2026</t>
  </si>
  <si>
    <t>Remisión 09.09.2026, 9 gallinas gigantes (38.4 kg @ $11.000).</t>
  </si>
  <si>
    <t>Turnos Marlene</t>
  </si>
  <si>
    <t>Fila 308 (Día 10)</t>
  </si>
  <si>
    <t>RCM-10-Sep-2026-5</t>
  </si>
  <si>
    <t>Recibo Caja Menor Marlene 7 horas de trabajo.</t>
  </si>
  <si>
    <t>Antonio transporte</t>
  </si>
  <si>
    <t>Fila 307 (Día 10)</t>
  </si>
  <si>
    <t>RCM-10-Sep-2026-4</t>
  </si>
  <si>
    <t>Recibo Caja Menor Antonio L. Díaz Taxi.</t>
  </si>
  <si>
    <t>Transporte Danilo</t>
  </si>
  <si>
    <t>Fila 327 (Día 11)</t>
  </si>
  <si>
    <t>Transporte Danilo ingresado por el usuario en Detalle Compras. Conciliado.</t>
  </si>
  <si>
    <t>Harina de trigo</t>
  </si>
  <si>
    <t>Fila 318 (Día 10)</t>
  </si>
  <si>
    <t>D1 Factura G9F9316392</t>
  </si>
  <si>
    <t>10 Harinas de trigo D1 SAS.</t>
  </si>
  <si>
    <t>Fila 317 (Día 10)</t>
  </si>
  <si>
    <t>RCM-10-Sep-2026-7</t>
  </si>
  <si>
    <t>Recibo Caja Menor Marleny Transporte Mañana.</t>
  </si>
  <si>
    <t>Filete de Pollo</t>
  </si>
  <si>
    <t>Fila 11 (Día 1)</t>
  </si>
  <si>
    <t>Alexis Valencia FAC-916</t>
  </si>
  <si>
    <t>Filete de pollo 350g (15.1 kg @ $18.500).</t>
  </si>
  <si>
    <t>Fila 123 (Día 4)</t>
  </si>
  <si>
    <t>Alexis Valencia FAC-920</t>
  </si>
  <si>
    <t>Filete de pollo 350g (23.5 kg @ $18.500).</t>
  </si>
  <si>
    <t>Fila 42 (Día 2)</t>
  </si>
  <si>
    <t>Alexis Valencia FAC-917</t>
  </si>
  <si>
    <t>Pernil pollo campo (34.7 kg @ $7.500) registrado bajo proveedor Alexis Valencia.</t>
  </si>
  <si>
    <t>Contadora</t>
  </si>
  <si>
    <t>Fila 328 (Día 11)</t>
  </si>
  <si>
    <t>Honorarios Contadora ingresados por el usuario en Detalle Compras. Conciliado.</t>
  </si>
  <si>
    <t>Fila 329 (Día 11)</t>
  </si>
  <si>
    <t>Segunda compra Granero Piamonte ingresada por el usuario en Detalle Compras. Conciliado.</t>
  </si>
  <si>
    <t>Leche alqueria</t>
  </si>
  <si>
    <t>Fila 35 (Día 2)</t>
  </si>
  <si>
    <t>Alquería FEPL-3167991</t>
  </si>
  <si>
    <t>Factura Electrónica real de Alquería suma $438.415. Diferencia de $8.615 por IVA/precio real.</t>
  </si>
  <si>
    <t>Televisor Alkosto</t>
  </si>
  <si>
    <t>Filas 189-190 (Día 7)</t>
  </si>
  <si>
    <t>Alkosto X7484003215</t>
  </si>
  <si>
    <t>TV CHALL 32' ($569.900) + Base Kalley ($79.900).</t>
  </si>
  <si>
    <t>Pintura para mesas</t>
  </si>
  <si>
    <t>Fila 330 (Día 11)</t>
  </si>
  <si>
    <t>Pintura mesas ingresada por el usuario en Detalle Compras. Conciliado.</t>
  </si>
  <si>
    <t>Cuchillos y cucharas</t>
  </si>
  <si>
    <t>Fila 331 (Día 11)</t>
  </si>
  <si>
    <t>Cuchillos y cucharas ingresados por el usuario en Detalle Compras. Conciliado.</t>
  </si>
  <si>
    <t>TOTAL</t>
  </si>
  <si>
    <t>TOTAL 36 REGISTROS CUADERNO</t>
  </si>
  <si>
    <t>100% REGISTRADO EN EXCEL</t>
  </si>
  <si>
    <t>Diferencia mínima de $2.920 generada exclusivamente por ajustes de facturas reales.</t>
  </si>
  <si>
    <t>2. ANÁLISIS ESPECIAL: REGISTROS DEL DÍA 11 (15 COMPRAS EN EXCEL = $16.106.430)</t>
  </si>
  <si>
    <t>Concepto / Insumo en Excel (Día 11)</t>
  </si>
  <si>
    <t>¿Aparece en Cuaderno?</t>
  </si>
  <si>
    <t>Estado y Diagnóstico de Auditoría</t>
  </si>
  <si>
    <t>Arriendo local (Ayde Guevara)</t>
  </si>
  <si>
    <t>SÍ (Renglón 1)</t>
  </si>
  <si>
    <t>Coincide exactamente con 'Pago Arrendamiento' del cuaderno.</t>
  </si>
  <si>
    <t>Software nube Dataico SAS</t>
  </si>
  <si>
    <t>NO (FALTA EN CUADERNO)</t>
  </si>
  <si>
    <t>Factura E-412886</t>
  </si>
  <si>
    <t>Compra con Factura Electrónica legal. Está en Excel pero no en el PDF del cuaderno.</t>
  </si>
  <si>
    <t>Pago de Servicios Eliana</t>
  </si>
  <si>
    <t>Cuenta de Cobro</t>
  </si>
  <si>
    <t>Cuenta de cobro legalizada en Excel. Está en Excel pero no en el PDF del cuaderno.</t>
  </si>
  <si>
    <t>SÍ (Renglón 4)</t>
  </si>
  <si>
    <t>Ingresado en Excel desde el cuaderno.</t>
  </si>
  <si>
    <t>SÍ (Renglón 5)</t>
  </si>
  <si>
    <t>Costilla ahumada (caja 1)</t>
  </si>
  <si>
    <t>SÍ (Renglón 16)</t>
  </si>
  <si>
    <t>Costilla ahumada (caja 2)</t>
  </si>
  <si>
    <t>SÍ (Renglón 18)</t>
  </si>
  <si>
    <t>SÍ (Renglón 19)</t>
  </si>
  <si>
    <t>SÍ (Renglón 25)</t>
  </si>
  <si>
    <t>SÍ (Renglón 31)</t>
  </si>
  <si>
    <t>SÍ (Renglón 32)</t>
  </si>
  <si>
    <t>SÍ (Renglón 35)</t>
  </si>
  <si>
    <t>SÍ (Renglón 36)</t>
  </si>
  <si>
    <t>Aguacates (2do registro)</t>
  </si>
  <si>
    <t>SÍ (Renglón 9)</t>
  </si>
  <si>
    <t>Segundo registro del cuaderno incorporado en fila 332.</t>
  </si>
  <si>
    <t>SÍ (Renglón 2)</t>
  </si>
  <si>
    <t>Reincorporado en fila 333 a solicitud del usuario.</t>
  </si>
  <si>
    <t>TOTAL COMPRAS DÍA 11 EN EXCEL</t>
  </si>
  <si>
    <t>15 ÍTEMS</t>
  </si>
  <si>
    <t>Incluye $1.221.000 de 2 gastos legales en Excel que NO están en el cuaderno (Software y Eliana).</t>
  </si>
  <si>
    <t>3. PUENTE DE CONCILIACIÓN MATEMÁTICA: SALDO CUADERNO ($55.081.550) VS TOTAL EXCEL ($58.206.795)</t>
  </si>
  <si>
    <t>Concepto de Conciliación</t>
  </si>
  <si>
    <t>Valor ($)</t>
  </si>
  <si>
    <t>Impacto en Saldo</t>
  </si>
  <si>
    <t>Explicación y Justificación Técnica de Auditoría</t>
  </si>
  <si>
    <t>TOTAL ACUMULADO CUADERNO (PÁG. 159)</t>
  </si>
  <si>
    <t>PUNTO DE PARTIDA</t>
  </si>
  <si>
    <t>Saldo final manuscrito al cierre de la página 159 del cuaderno.</t>
  </si>
  <si>
    <t>(-) Saldo acumulado anterior (Págs. anteriores)</t>
  </si>
  <si>
    <t>ARRASTRE PREVIO</t>
  </si>
  <si>
    <t>Gastos acumulados de páginas previas e inventario inicial ($12.243.950).</t>
  </si>
  <si>
    <t>(=) TOTAL 36 ÍTEMS DE LA PÁGINA 159</t>
  </si>
  <si>
    <t>SUBTOTAL CUADERNO</t>
  </si>
  <si>
    <t>Suma aritmética real de los 36 registros manuscritos de la página 159.</t>
  </si>
  <si>
    <t>(-) Ajuste neto por facturas electrónicas reales</t>
  </si>
  <si>
    <t>AJUSTE FACTURA</t>
  </si>
  <si>
    <t>Diferencia neta por valores reales facturados (Los Monos -$15.535, Alquería +$8.615, Aguacates +$4.000).</t>
  </si>
  <si>
    <t>(=) TOTAL DE LOS 36 ÍTEMS INGRESADOS EN EXCEL</t>
  </si>
  <si>
    <t>CONCILIACIÓN 100%</t>
  </si>
  <si>
    <t>El 100% de los 36 ítems del cuaderno están registrados en el archivo de Excel.</t>
  </si>
  <si>
    <t>(+) Facturas físicas en Excel NO escritas en Pág. 159</t>
  </si>
  <si>
    <t>COMPRAS OFICIALES</t>
  </si>
  <si>
    <t>Facturas legales no escritas en esta página (Postobón, FEMSA, Doña Mary, Los Monos grandes, Dataico, Eliana).</t>
  </si>
  <si>
    <t>(=) TOTAL OFICIAL EN EXCEL (DETALLE COMPRAS)</t>
  </si>
  <si>
    <t>SALDO CONCILIADO</t>
  </si>
  <si>
    <t>Total oficial registrado en el libro Excel (332 compras). Conciliado con éxito al peso.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</si>
  <si>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</si>
  <si>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</si>
  <si>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</si>
  <si>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</si>
  <si>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</si>
  <si>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</si>
  <si>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</si>
  <si>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</si>
  <si>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SEGUIMIENTO DETALLADO DÍA A DÍA - REGISTRO CRONOLÓGICO DE COMPRAS DE CARNES</t>
  </si>
  <si>
    <t>Total Comprado ($)</t>
  </si>
  <si>
    <t>Kilogramos (Kg)</t>
  </si>
  <si>
    <t>Costo Prom. ($/Kg)</t>
  </si>
  <si>
    <t>% del Mes</t>
  </si>
  <si>
    <t>N° Comprobante / Factura</t>
  </si>
  <si>
    <t>Ítem / Corte (Nombre Exacto)</t>
  </si>
  <si>
    <t>Descripción Original / Proveedor</t>
  </si>
  <si>
    <t>Cantidad (kg)</t>
  </si>
  <si>
    <t>Costo Unitario</t>
  </si>
  <si>
    <t>Vr. Total Compra</t>
  </si>
  <si>
    <t>FAC-188</t>
  </si>
  <si>
    <t>Bagre de mar</t>
  </si>
  <si>
    <t>BAGRE DE MAR (Gabriel Ramirez Cubillos - FAC-188)</t>
  </si>
  <si>
    <t>YP24140</t>
  </si>
  <si>
    <t>Costilla de cerdo especial</t>
  </si>
  <si>
    <t>COSTILLA DE CERDO IBP 244M (Carnes Los Monos - YP24140)</t>
  </si>
  <si>
    <t>FAC-916</t>
  </si>
  <si>
    <t>Filete de pollo x 120</t>
  </si>
  <si>
    <t>Filete pollo 110g (Alexis Valencia - Factura 916)</t>
  </si>
  <si>
    <t>Filete pollo 350g (Alexis Valencia - Factura 916)</t>
  </si>
  <si>
    <t>LENGUA DE RES IMP X KL (Carnes Los Monos - YP24140)</t>
  </si>
  <si>
    <t>FVE-121</t>
  </si>
  <si>
    <t>Salmon</t>
  </si>
  <si>
    <t>Filete de Salmon Grande (Frio Sabor FVE-121)</t>
  </si>
  <si>
    <t>SOBACO (Carnes Los Monos - YP24140)</t>
  </si>
  <si>
    <t>SOBREBARRIGA DELGADA (Carnes Los Monos - YP24140)</t>
  </si>
  <si>
    <t>Tilapia y truchas</t>
  </si>
  <si>
    <t>Tilapia Roja (Frio Sabor FVE-121)</t>
  </si>
  <si>
    <t>RCM-01-Sep-2026</t>
  </si>
  <si>
    <t>6 lbs cabeza Tilapia (Recibo Caja Menor 01-Sep-2026)</t>
  </si>
  <si>
    <t>YP24152</t>
  </si>
  <si>
    <t>TOCINETA BARRIL (Carnes Los Monos - YP24152)</t>
  </si>
  <si>
    <t>01FZ70896</t>
  </si>
  <si>
    <t>Pezuña</t>
  </si>
  <si>
    <t>PEZUÑA CERDO A GRANEL (Supertiendas Cañaveral - 01FZ70896)</t>
  </si>
  <si>
    <t>SUBTOTAL DÍA 1 (13 compras)</t>
  </si>
  <si>
    <t>DESP-0444</t>
  </si>
  <si>
    <t>Higado</t>
  </si>
  <si>
    <t>HIGADO DE RES (Poblado Despacho 0444)</t>
  </si>
  <si>
    <t>FAC-917</t>
  </si>
  <si>
    <t>Pernil pollo campo (Alexis Valencia - Factura 917)</t>
  </si>
  <si>
    <t>03FH104321</t>
  </si>
  <si>
    <t>Alas de pollo</t>
  </si>
  <si>
    <t>ALAS POLLO MACPOLLO CONGELADO (Supertiendas Cañaveral - 03FH104321)</t>
  </si>
  <si>
    <t>SUBTOTAL DÍA 2 (4 compras)</t>
  </si>
  <si>
    <t>FE01569</t>
  </si>
  <si>
    <t>Caderita</t>
  </si>
  <si>
    <t>CADERITA DE RES (MYC - FE01569)</t>
  </si>
  <si>
    <t>FE01576</t>
  </si>
  <si>
    <t>CADERITA DE RES (MYC - FE01576)</t>
  </si>
  <si>
    <t>Callo</t>
  </si>
  <si>
    <t>CALLO DE RES (MYC - FE01576)</t>
  </si>
  <si>
    <t>Costilla Especial</t>
  </si>
  <si>
    <t>COSTILLA ESPECIAL DE RES (MYC - FE01569)</t>
  </si>
  <si>
    <t>FE01570</t>
  </si>
  <si>
    <t>HIGADO DE RES (MYC - FE01570)</t>
  </si>
  <si>
    <t>Lomo viche</t>
  </si>
  <si>
    <t>LOMO VICHE ESPECIAL DE RES (MYC - FE01570)</t>
  </si>
  <si>
    <t>0000006666</t>
  </si>
  <si>
    <t>Chorizo</t>
  </si>
  <si>
    <t>CHORIZO COCTELERO 4 PAQ (Carnicos Montero FAC-0000006666)</t>
  </si>
  <si>
    <t>CHORIZO PREMIUM 1 PAQ (Carnicos Montero FAC-0000006666)</t>
  </si>
  <si>
    <t>SUBTOTAL DÍA 3 (8 compras)</t>
  </si>
  <si>
    <t>FAC-920</t>
  </si>
  <si>
    <t>Filete pollo 350g (Alexis Valencia - Factura 920)</t>
  </si>
  <si>
    <t>FEBF-33</t>
  </si>
  <si>
    <t>LOMO DE CERDO (Fabian Bonilla - FEBF-33)</t>
  </si>
  <si>
    <t>FAC-8118</t>
  </si>
  <si>
    <t>Morcilla</t>
  </si>
  <si>
    <t>10 lb Libra de morcilla (La Morcilla Jamundeña Factura 8118)</t>
  </si>
  <si>
    <t>05FZ91332</t>
  </si>
  <si>
    <t>Pechuga macpollo</t>
  </si>
  <si>
    <t>PECHUGA MACPOLLO BLANCO REFRI MARIN GK (Supertiendas Canaveral 05FZ91332)</t>
  </si>
  <si>
    <t>SUBTOTAL DÍA 4 (4 compras)</t>
  </si>
  <si>
    <t>YP24244</t>
  </si>
  <si>
    <t>CAMARON DE CULTIVO PRECOCIDO 91-110P (Carnes Los Monos - YP24244)</t>
  </si>
  <si>
    <t>Costilla de res</t>
  </si>
  <si>
    <t>COSTILLA DE RES DELANTERA (Carnes Los Monos - YP24244)</t>
  </si>
  <si>
    <t>Costilla san luis jr</t>
  </si>
  <si>
    <t>COSTILLA SAN LUIS JUNIOR T/M (Carnes Los Monos - YP24244)</t>
  </si>
  <si>
    <t>LOMO CARACHO PORCIONADO PARRILLA (Carnes Los Monos - YP24244)</t>
  </si>
  <si>
    <t>Punta de anca</t>
  </si>
  <si>
    <t>PUNTA DE ANCA IMP PORC. PARRILLA (Carnes Los Monos - YP24244)</t>
  </si>
  <si>
    <t>SOBACO (Carnes Los Monos - YP24244)</t>
  </si>
  <si>
    <t>SOBREBARRIGA DELGADA (Carnes Los Monos - YP24244)</t>
  </si>
  <si>
    <t>TOCINETA BARRIL (Carnes Los Monos - YP24244)</t>
  </si>
  <si>
    <t>SUBTOTAL DÍA 5 (8 compras)</t>
  </si>
  <si>
    <t>11FH128829</t>
  </si>
  <si>
    <t>ALAS MACPOLLO CAMPO C/COS MARIN A GRAN (Supertiendas Cañaveral 11FH128829)</t>
  </si>
  <si>
    <t>SEV-07SEP</t>
  </si>
  <si>
    <t>Espinazo de cerdo</t>
  </si>
  <si>
    <t>ESPINAZO DE CERDO A GRANEL (Agropecuaria La Sevillana SAS)</t>
  </si>
  <si>
    <t>REM-07-09-2026</t>
  </si>
  <si>
    <t>Combo Morcilla CL (Remision 07-09-2026)</t>
  </si>
  <si>
    <t>MY8683</t>
  </si>
  <si>
    <t>Morrillo</t>
  </si>
  <si>
    <t>MORRILLO DE RES (Carnes Los Monos - MY8683)</t>
  </si>
  <si>
    <t>Mortadela</t>
  </si>
  <si>
    <t>2 MORTADELA RICA*450g (Supertiendas Cañaveral 11FH128829)</t>
  </si>
  <si>
    <t>PEZUNA GRANEL (Agropecuaria La Sevillana SAS)</t>
  </si>
  <si>
    <t>SOBACO (Carnes Los Monos - MY8683)</t>
  </si>
  <si>
    <t>SOBREBARRIGA DELGADA (Carnes Los Monos - MY8683)</t>
  </si>
  <si>
    <t>Gallina</t>
  </si>
  <si>
    <t>GALLINAS GIGANTES 9 UND (Remision s/n 07-09-2026)</t>
  </si>
  <si>
    <t>SUBTOTAL DÍA 7 (9 compras)</t>
  </si>
  <si>
    <t>DESP-0493</t>
  </si>
  <si>
    <t>Caderita (Poblado Despacho 0493)</t>
  </si>
  <si>
    <t>REM-08-09-2026</t>
  </si>
  <si>
    <t>Filete x 350g - 40 und (Alexis Valencia Remision 08-09-2026)</t>
  </si>
  <si>
    <t>Lomo cerdo (Pappyer Remision 08-09-2026)</t>
  </si>
  <si>
    <t>Perniles Campo - 25 und (Alexis Valencia Remision 08-09-2026)</t>
  </si>
  <si>
    <t>Pezuña (Poblado Despacho 0493)</t>
  </si>
  <si>
    <t>SUBTOTAL DÍA 8 (5 compras)</t>
  </si>
  <si>
    <t>FAC191</t>
  </si>
  <si>
    <t>BAGRE DE MAR (Acuatica Factura FAC 191)</t>
  </si>
  <si>
    <t>YP24314</t>
  </si>
  <si>
    <t>CAMARON DE CULTIVO PRECOCIDO 91-110P (Carnes Los Monos - YP24314)</t>
  </si>
  <si>
    <t>COSTILLA DE CERDO IBP 244L (Carnes Los Monos - YP24314)</t>
  </si>
  <si>
    <t>REM-09-09-2026</t>
  </si>
  <si>
    <t>Filete x 350g - 40 und (Alexis Valencia Remision 09-09-2026)</t>
  </si>
  <si>
    <t>LENGUA DE RES IMP X KL (Carnes Los Monos - YP24314)</t>
  </si>
  <si>
    <t>FAC-2860</t>
  </si>
  <si>
    <t>Lomo de Cerdo (Carnes de Res y Cerdo Factura 2860)</t>
  </si>
  <si>
    <t>Pernil Camp. (Alexis Valencia Remision 09-09-2026)</t>
  </si>
  <si>
    <t>SOBACO (Carnes Los Monos - YP24314)</t>
  </si>
  <si>
    <t>TOCINETA BARRIL (Carnes Los Monos - YP24314)</t>
  </si>
  <si>
    <t>Trozos e pechuga</t>
  </si>
  <si>
    <t>TROZOS DE PECHUGA (Carnes Los Monos - YP24314)</t>
  </si>
  <si>
    <t>GALLINAS GIGANTES 9 UND (Remision s/n 09.09.2026)</t>
  </si>
  <si>
    <t>SUBTOTAL DÍA 9 (11 compras)</t>
  </si>
  <si>
    <t>REM-10-Sep-2026</t>
  </si>
  <si>
    <t>PERNIL POLLO (Alexis Valencia Remision 10-09-2026)</t>
  </si>
  <si>
    <t>0515</t>
  </si>
  <si>
    <t>LOMO CERDO (Carnes El Poblado Despacho 0515)</t>
  </si>
  <si>
    <t>LOMO VICHE (Carnes El Poblado Despacho 0515)</t>
  </si>
  <si>
    <t>06FZ47115</t>
  </si>
  <si>
    <t>MORTADELA RICA 1 UN (Supertiendas Canaveral 06FZ47115)</t>
  </si>
  <si>
    <t>CHORIZOS (Recibo Caja Menor 10/09/26)</t>
  </si>
  <si>
    <t>Costilla</t>
  </si>
  <si>
    <t>COSTILLA (Recibo Caja Menor 10/09/26)</t>
  </si>
  <si>
    <t>SUBTOTAL DÍA 10 (6 compras)</t>
  </si>
  <si>
    <t>Costilla ahumada (Cuaderno Pág. 159 Renglón 16)</t>
  </si>
  <si>
    <t>Costilla ahumada (Cuaderno Pág. 159 Renglón 18)</t>
  </si>
  <si>
    <t>Mariscos (Cuaderno Pág. 159 Renglón 19)</t>
  </si>
  <si>
    <t>dos cajas costilla (Cuaderno Pág. 159 Renglón 2)</t>
  </si>
  <si>
    <t>SUBTOTAL DÍA 11 (4 compras)</t>
  </si>
  <si>
    <t>TOTAL CONSOLIDADO CARNES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</si>
  <si>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</si>
  <si>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</si>
  <si>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</si>
  <si>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</si>
  <si>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</si>
  <si>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</si>
  <si>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</si>
  <si>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SEGUIMIENTO DETALLADO DÍA A DÍA - REGISTRO CRONOLÓGICO DE COMPRAS DE BEBIDAS</t>
  </si>
  <si>
    <t>Cantidad (Caj/Und)</t>
  </si>
  <si>
    <t>Costo Prom. ($)</t>
  </si>
  <si>
    <t>N° Pedidos</t>
  </si>
  <si>
    <t>Ítem / Bebida (Nombre Exacto)</t>
  </si>
  <si>
    <t>Descripción Original (PDF)</t>
  </si>
  <si>
    <t>Cajas Compradas</t>
  </si>
  <si>
    <t>Costo Unitario Caja ($)</t>
  </si>
  <si>
    <t>Unid. x Caja</t>
  </si>
  <si>
    <t>Total Botellas / Unid.</t>
  </si>
  <si>
    <t>Costo Unit. Botella ($)</t>
  </si>
  <si>
    <t>Vr. Total Compra ($)</t>
  </si>
  <si>
    <t>VC242247</t>
  </si>
  <si>
    <t>Cerv Stel Artois</t>
  </si>
  <si>
    <t>CERV.STEL ARTOIS*300ml BOT (Global Liquors VC242247)</t>
  </si>
  <si>
    <t>Club colombia</t>
  </si>
  <si>
    <t>CERV.CLUB DOR LATA*330 (Global Liquors VC242247)</t>
  </si>
  <si>
    <t>Corona</t>
  </si>
  <si>
    <t>CERV.CORONA*330ml (Global Liquors VC242247)</t>
  </si>
  <si>
    <t>Poker</t>
  </si>
  <si>
    <t>CERV.POKER*330 LATA (Global Liquors VC242247)</t>
  </si>
  <si>
    <t>SUBTOTAL DÍA 1 (4 compras)</t>
  </si>
  <si>
    <t>VC242401</t>
  </si>
  <si>
    <t>Gatorade</t>
  </si>
  <si>
    <t>BEB.GATORADE*500ml SURT. (Global Liquors - VC242401)</t>
  </si>
  <si>
    <t>H2o</t>
  </si>
  <si>
    <t>AGUA H2O*600ml SURTIDA (Global Liquors VC242401 c/ NC NX8465)</t>
  </si>
  <si>
    <t>Vive 100</t>
  </si>
  <si>
    <t>BEB.EN.*380 VIVE100 (Global Liquors - VC242401)</t>
  </si>
  <si>
    <t>SUBTOTAL DÍA 2 (3 compras)</t>
  </si>
  <si>
    <t>FEMSA-3390</t>
  </si>
  <si>
    <t>Brisa 600 ml</t>
  </si>
  <si>
    <t>AGUA BRISA PET 600ML (24) (Coca-Cola FEMSA - 5571323390)</t>
  </si>
  <si>
    <t>Coca cola 1,5 lt pet (12) nvo</t>
  </si>
  <si>
    <t>COCA COLA 1.5LT PET(12) Nvo (Coca-Cola FEMSA - 5571323390)</t>
  </si>
  <si>
    <t>Coca cola zero 1,5 ltrs</t>
  </si>
  <si>
    <t>COCA COLA ZERO 1.5LT PET(12)KZ (Coca-Cola FEMSA - 5571323390)</t>
  </si>
  <si>
    <t>Coca cola zero 400ml pet(12)kz</t>
  </si>
  <si>
    <t>COCA COLA ZERO 400ML PET(12)KZ (Coca-Cola FEMSA - 5571323390)</t>
  </si>
  <si>
    <t>Coca-cola 400 ml pet (24)</t>
  </si>
  <si>
    <t>COCA-COLA 400ML PET (12) (Coca-Cola FEMSA - 5571323390)</t>
  </si>
  <si>
    <t>FEMSA-3389</t>
  </si>
  <si>
    <t>Gaseosa 400 ml</t>
  </si>
  <si>
    <t>QUATRO CHOICE 400ML NR (12) (Coca-Cola FEMSA - 5571323389)</t>
  </si>
  <si>
    <t>PREMIO ROJO FNT 400 ML PET(12) (Coca-Cola FEMSA - 5571323389)</t>
  </si>
  <si>
    <t>SPRITE 400 ML NR (12) (Coca-Cola FEMSA - 5571323389)</t>
  </si>
  <si>
    <t>REM-38763</t>
  </si>
  <si>
    <t>Jug del valle</t>
  </si>
  <si>
    <t>JUGO NUTIVA EN CAJA X 200ML (Doña Mary Remision 38763)</t>
  </si>
  <si>
    <t>JM071024895</t>
  </si>
  <si>
    <t>Manzana H2Oh</t>
  </si>
  <si>
    <t>MANZANA H2OH 600 ML PET X 15 (Postobon S.A. JM071024895)</t>
  </si>
  <si>
    <t>Limonada H2Oh</t>
  </si>
  <si>
    <t>LIMONADA H2OH! 600 ML PET X 15 (Postobon S.A. JM071024895)</t>
  </si>
  <si>
    <t>Maracuya H2Oh</t>
  </si>
  <si>
    <t>MARACUYA H2OH! 600 ML PET X 15 (Postobon S.A. JM071024895)</t>
  </si>
  <si>
    <t>Agua cristal con gas</t>
  </si>
  <si>
    <t>AGUA CRISTAL CON GAS 600 ML PET X 24 (Postobon S.A. JM071024895)</t>
  </si>
  <si>
    <t>Agua cristal</t>
  </si>
  <si>
    <t>AGUA CRISTAL 600 ML PET X 24 (Postobon S.A. JM071024895)</t>
  </si>
  <si>
    <t>Bretaña</t>
  </si>
  <si>
    <t>BRETANA 350 ML VIDRIO R X 30 (Postobon S.A. JM071024895)</t>
  </si>
  <si>
    <t>Colombiana vidrio</t>
  </si>
  <si>
    <t>COLOMBIANA NACIONAL 350 ML VIDRIO R X 30 (Postobon S.A. JM071024895)</t>
  </si>
  <si>
    <t>Popular vidrio</t>
  </si>
  <si>
    <t>POPULAR 350 ML VIDRIO R X 30 (Postobon S.A. JM071024895)</t>
  </si>
  <si>
    <t>Uva vidrio</t>
  </si>
  <si>
    <t>UVA POSTOBON 350 ML VIDRIO R X 30 (Postobon S.A. JM071024895)</t>
  </si>
  <si>
    <t>Manzana vidrio</t>
  </si>
  <si>
    <t>MANZANA POSTOBON 350 ML VIDRIO R X 30 (Postobon S.A. JM071024895)</t>
  </si>
  <si>
    <t>Tamarindo vidrio</t>
  </si>
  <si>
    <t>TAMARINDO POSTOBON 350 ML VIDRIO R X 30 (Postobon S.A. JM071024895)</t>
  </si>
  <si>
    <t>Manzana 1.75l</t>
  </si>
  <si>
    <t>MANZANA POSTOBON 1.750 ML PET X 12 PM (Postobon S.A. JM071024895)</t>
  </si>
  <si>
    <t>Colombiana 1.75l</t>
  </si>
  <si>
    <t>COLOMBIANA NACIONAL 1.750 ML PET X 12 PM (Postobon S.A. JM071024895)</t>
  </si>
  <si>
    <t>Uva 1.75l</t>
  </si>
  <si>
    <t>UVA POSTOBON PET 1.750 ML PET X 12 PM (Postobon S.A. JM071024895)</t>
  </si>
  <si>
    <t>SUBTOTAL DÍA 9 (15 compras)</t>
  </si>
  <si>
    <t>TOTAL CONSOLIDADO BEBIDAS (30 COMPRAS)</t>
  </si>
  <si>
    <t>Ítem</t>
  </si>
  <si>
    <t>Cantidad</t>
  </si>
  <si>
    <t>Vr. Compra</t>
  </si>
  <si>
    <t>Aguacate</t>
  </si>
  <si>
    <t>8 AGUACATE COMUN*und (Supertiendas Cañaveral - 05FH119923)</t>
  </si>
  <si>
    <t>05FH119923</t>
  </si>
  <si>
    <t>Papa a la francesa paq 2.5 kl</t>
  </si>
  <si>
    <t>PAPA A LA FRANCESA PAQ 2.5 KL (Carnes Los Monos - YP24140)</t>
  </si>
  <si>
    <t>Arepas</t>
  </si>
  <si>
    <t>100 arepas (Cuenta de Cobro 01-Sep-2026 Neftaly Ocampo)</t>
  </si>
  <si>
    <t>CC-01-Sep-2026</t>
  </si>
  <si>
    <t>Bloque media</t>
  </si>
  <si>
    <t>BLOQUE MEDIA (Hielo El Nevado NV202121)</t>
  </si>
  <si>
    <t>NV202121</t>
  </si>
  <si>
    <t>Bolsa 5kl tubular</t>
  </si>
  <si>
    <t>BOLSA X 5 KL TUBULAR (Hielo El Nevado NV202121)</t>
  </si>
  <si>
    <t>Taxi - Acopi (Recibo Caja Menor 01-Sep-2026)</t>
  </si>
  <si>
    <t>Vale Lucero Londoño (Recibo Caja Menor 01-Sep-2026)</t>
  </si>
  <si>
    <t>Pilas</t>
  </si>
  <si>
    <t>PILA ALCALINA ENERGIZER (Supertiendas Cañaveral - 01FZ70896)</t>
  </si>
  <si>
    <t>19 Aguacates (Recibo Caja Menor 02-Sep-2026)</t>
  </si>
  <si>
    <t>RCM-02-Sep-2026</t>
  </si>
  <si>
    <t>150 arepas (Cuenta de Cobro 02-Sep-2026)</t>
  </si>
  <si>
    <t>CC-02-Sep-2026</t>
  </si>
  <si>
    <t>Leche entera</t>
  </si>
  <si>
    <t>AVENA PRO CUBANA VASO 220G (Alquería - FEPL-3167991)</t>
  </si>
  <si>
    <t>FEPL-3167991</t>
  </si>
  <si>
    <t>AVENA PRO AUTENTICA VASO 220G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</si>
  <si>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</si>
  <si>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</si>
  <si>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</si>
  <si>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</si>
  <si>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Sabor original</t>
  </si>
  <si>
    <t>SABOR ORIGINAL INSTITUCIONAL 1100ML (Alquería - FEPL-3167991)</t>
  </si>
  <si>
    <t>BLOQUE MEDIA (Hielo El Nevado - NV202202)</t>
  </si>
  <si>
    <t>NV202202</t>
  </si>
  <si>
    <t>BOLSA X 5 KL TUBULAR (Hielo El Nevado - NV202202)</t>
  </si>
  <si>
    <t>Crema de leche</t>
  </si>
  <si>
    <t>CREMA DE LECHE 1000G (Alquería - FEPL-3167991)</t>
  </si>
  <si>
    <t>Taxi - Acopi (Recibo Caja Menor 02-Sep-2026)</t>
  </si>
  <si>
    <t>Mazamorra</t>
  </si>
  <si>
    <t>Mazamorra (Franco Bravo - Recibo Caja Menor 02-Sep-2026)</t>
  </si>
  <si>
    <t>Espagueti</t>
  </si>
  <si>
    <t>PASTA LA MUÑECA ESPAGUETI (Supertiendas Cañaveral - 03FH104321)</t>
  </si>
  <si>
    <t>Bolsa</t>
  </si>
  <si>
    <t>BOLSA BIODEGRADABLE MEDIANA (Supertiendas Cañaveral - 03FH104321)</t>
  </si>
  <si>
    <t>Arveja</t>
  </si>
  <si>
    <t>ARVEJA VERDE LA FLORESTA 500G (Supertiendas Cañaveral - 05FH120130)</t>
  </si>
  <si>
    <t>05FH120130</t>
  </si>
  <si>
    <t>BLOQUE MEDIA (Hielo El Nevado SF44886)</t>
  </si>
  <si>
    <t>SF44886</t>
  </si>
  <si>
    <t>3 AGUACATE COMUN*und (Supertiendas Cañaveral - 05FH120117)</t>
  </si>
  <si>
    <t>05FH120117</t>
  </si>
  <si>
    <t>Limonada coco</t>
  </si>
  <si>
    <t>LIMONADA DE COCO FUSIONADA X 10 (Henry Castaño - FEC 2928)</t>
  </si>
  <si>
    <t>FEC 2928</t>
  </si>
  <si>
    <t>100 arepas (Cuenta de Cobro 03-Sep-2026)</t>
  </si>
  <si>
    <t>Arroz</t>
  </si>
  <si>
    <t>ARROZ PROARROZ X 50 KL (Factura DP-4833)</t>
  </si>
  <si>
    <t>DP-4833</t>
  </si>
  <si>
    <t>Azucar</t>
  </si>
  <si>
    <t>AZUCAR INCAUCA X 50 KL (Factura DP-4833)</t>
  </si>
  <si>
    <t>Sal</t>
  </si>
  <si>
    <t>SAL NATUSAL X 50 KL (Factura DP-4833)</t>
  </si>
  <si>
    <t>BLOQUE MEDIA (Hielo El Nevado - NV202360)</t>
  </si>
  <si>
    <t>NV202360</t>
  </si>
  <si>
    <t>SAL REFISAL MARINA CRISTAL FINO X 800 G (Rapi'Caldas TC_5160_1_113294)</t>
  </si>
  <si>
    <t>TC_5160_1_113294</t>
  </si>
  <si>
    <t>BLOQUE MEDIA (Hielo El Nevado SF44906)</t>
  </si>
  <si>
    <t>SF44906</t>
  </si>
  <si>
    <t>Taxi - Acopi (Recibo Caja Menor 03-Sep-2026)</t>
  </si>
  <si>
    <t>RCM-03-Sep-2026</t>
  </si>
  <si>
    <t>1 Broca Espada (Recibo Caja Menor 03-Sep-2026)</t>
  </si>
  <si>
    <t>1 Repuesto pulidora (Recibo Caja Menor 03-Sep-2026)</t>
  </si>
  <si>
    <t>Cosedora</t>
  </si>
  <si>
    <t>1 Cosedora (Recibo Caja Menor 03-Sep-2026)</t>
  </si>
  <si>
    <t>Atados hojas</t>
  </si>
  <si>
    <t>35 Atados Hojas (Recibo Caja Menor 03-Sep-2026)</t>
  </si>
  <si>
    <t>Masa t</t>
  </si>
  <si>
    <t>8 Kls Masa T (Recibo Caja Menor 03-Sep-2026)</t>
  </si>
  <si>
    <t>Cocos</t>
  </si>
  <si>
    <t>5 Cocos (Recibo Caja Menor 03-Sep-2026)</t>
  </si>
  <si>
    <t>Papa manbera</t>
  </si>
  <si>
    <t>16 lbs Mambaco (Recibo Caja Menor 03-Sep-2026)</t>
  </si>
  <si>
    <t>Papa amarilla</t>
  </si>
  <si>
    <t>15 lbs Amarilla (Recibo Caja Menor 03-Sep-2026)</t>
  </si>
  <si>
    <t>Guasca y laurel</t>
  </si>
  <si>
    <t>Guasca y Laurel (Recibo Caja Menor 03-Sep-2026)</t>
  </si>
  <si>
    <t>Tortillas</t>
  </si>
  <si>
    <t>10 Tortillas (Recibo Caja Menor 03-Sep-2026)</t>
  </si>
  <si>
    <t>Acarreo e Insumos Cocina (Recibo Caja Menor 03-Sep-2026)</t>
  </si>
  <si>
    <t>Curry</t>
  </si>
  <si>
    <t>CURRY LIBERTY*20G (Supertiendas Cañaveral - 12FH172636)</t>
  </si>
  <si>
    <t>12FH172636</t>
  </si>
  <si>
    <t>Aceite soya</t>
  </si>
  <si>
    <t>ACEITE DE SOYA 3000 ML (D1 SAS - G9F9313177)</t>
  </si>
  <si>
    <t>G9F9313177</t>
  </si>
  <si>
    <t>Huevo aa</t>
  </si>
  <si>
    <t>15 PANAL AA (Cuenta de cobro Sept 3)</t>
  </si>
  <si>
    <t>100 arepas (Cuenta de Cobro 04-Sep-2026)</t>
  </si>
  <si>
    <t>CC-04-Sep-2026</t>
  </si>
  <si>
    <t>Zumo limon polvo</t>
  </si>
  <si>
    <t>Polvo de limon (Recibo Caja Menor 04-Sep-2026)</t>
  </si>
  <si>
    <t>RCM-04-Sep-2026</t>
  </si>
  <si>
    <t>Acento x 500</t>
  </si>
  <si>
    <t>ACENTO X 500 LB (Doña Mary Remision 38634)</t>
  </si>
  <si>
    <t>REM-38634</t>
  </si>
  <si>
    <t>Aji pequeño x 40</t>
  </si>
  <si>
    <t>AJI DIFFER PEQUEÑO X40 (Doña Mary Remision 38634)</t>
  </si>
  <si>
    <t>Azucar sobre x 200</t>
  </si>
  <si>
    <t>AZUCAR EN SOBRE X 200 X 10 (Doña Mary Remision 38634)</t>
  </si>
  <si>
    <t>Bananas x 24</t>
  </si>
  <si>
    <t>BANANAMORITAS X 24 (Doña Mary Remision 38634)</t>
  </si>
  <si>
    <t>Base 3 div bops negro</t>
  </si>
  <si>
    <t>BASE 3 DIV BOPS NEGRO CT (Doña Mary Remision 38634)</t>
  </si>
  <si>
    <t>BLOQUE MEDIA (Hielo El Nevado SF44936)</t>
  </si>
  <si>
    <t>SF44936</t>
  </si>
  <si>
    <t>BOLSA X 5 KL TUBULAR (Hielo El Nevado SF44936)</t>
  </si>
  <si>
    <t>Bolsa basura 65 x 90 # 2</t>
  </si>
  <si>
    <t>BOLSA BASURA 65 X 90 #2 (Doña Mary Remision 38634)</t>
  </si>
  <si>
    <t>Bolsa basura industrial gruesa 90 x 120</t>
  </si>
  <si>
    <t>BOLSA BASURA INDUSTRIAL GRUESA 90 X 120 (Doña Mary Remision 38634)</t>
  </si>
  <si>
    <t>Bolsa manigueta t25</t>
  </si>
  <si>
    <t>BOLSA MANIGUETA T25 ECON (Doña Mary Remision 38634)</t>
  </si>
  <si>
    <t>Bolsa maniguetat40</t>
  </si>
  <si>
    <t>BOLSA MANIGUETA T40 BLANCA ECON (Doña Mary Remision 38634)</t>
  </si>
  <si>
    <t>Café</t>
  </si>
  <si>
    <t>CAFE X 1 LB X 25 (Doña Mary Remision 38634)</t>
  </si>
  <si>
    <t>Color azafran</t>
  </si>
  <si>
    <t>COLOR AZAFRAN 1/4 ARROBA (Doña Mary Remision 38634)</t>
  </si>
  <si>
    <t>Copa troforma 1/2</t>
  </si>
  <si>
    <t>COPA TROFORMA 1/2 ONZ X 50 X 90 (Doña Mary Remision 38634)</t>
  </si>
  <si>
    <t>Cubierto grande x 3 cja x 28pq x 50un</t>
  </si>
  <si>
    <t>CUBIERTO GRANDE X 3 CJAX 28PQ X 50UN (Doña Mary Remision 38634)</t>
  </si>
  <si>
    <t>Desengrasante</t>
  </si>
  <si>
    <t>DESENGRASANTE TAK TAX X 3800 (Doña Mary Remision 38634)</t>
  </si>
  <si>
    <t>Detergente dersax 1000</t>
  </si>
  <si>
    <t>DETERGENTE DERSA LIMON X 1000X20 (Doña Mary Remision 38634)</t>
  </si>
  <si>
    <t>Guante nitrilo</t>
  </si>
  <si>
    <t>GUANTE NITRILO M NEGRO HOUSE CJX10 (Doña Mary Remision 38634)</t>
  </si>
  <si>
    <t>Harina de trigo x 25</t>
  </si>
  <si>
    <t>HARINA DE TRIGO X 25 (Doña Mary Remision 38634)</t>
  </si>
  <si>
    <t>Harina para apanar</t>
  </si>
  <si>
    <t>HARINA PARA APANAR LB (Doña Mary Remision 38634)</t>
  </si>
  <si>
    <t>Humo</t>
  </si>
  <si>
    <t>HUMO LIQUIDO GALON (Doña Mary Remision 38634)</t>
  </si>
  <si>
    <t>Insecticida</t>
  </si>
  <si>
    <t>5 Venenos Ratas (Recibo Caja Menor 04-Sep-2026)</t>
  </si>
  <si>
    <t>Limpido</t>
  </si>
  <si>
    <t>LIMPIDO CUÑETE (Doña Mary Remision 38634)</t>
  </si>
  <si>
    <t>Mercancias Varias Excentas</t>
  </si>
  <si>
    <t>Gafas de Proteccion (Recibo Caja Menor 04-Sep-2026)</t>
  </si>
  <si>
    <t>Pitillo forrado bio 25cm x 500</t>
  </si>
  <si>
    <t>PITILLO FORRADO BIO 25cm X 500 HOUSE X 20 (Doña Mary Remision 38634)</t>
  </si>
  <si>
    <t>Porta comida c-1</t>
  </si>
  <si>
    <t>PORTACOMIDA C1 X 200 WAU (Doña Mary Remision 38634)</t>
  </si>
  <si>
    <t>Porta comida darnel t1</t>
  </si>
  <si>
    <t>PORTACOMIDA DARNEL T1 X 200 (Doña Mary Remision 38634)</t>
  </si>
  <si>
    <t>Porta comida j-1</t>
  </si>
  <si>
    <t>PORTACOMIDA DARNEL J1 X 200 (Doña Mary Remision 38634)</t>
  </si>
  <si>
    <t>Porta comida j-2</t>
  </si>
  <si>
    <t>PORTACOMIDA DARNEL J2 X 200 (Doña Mary Remision 38634)</t>
  </si>
  <si>
    <t>Salsa mayonezax4000</t>
  </si>
  <si>
    <t>SALSA MAYONESA DIFFER X 4000 X 3 (Doña Mary Remision 38634)</t>
  </si>
  <si>
    <t>Salsa mostaza differ x 4000</t>
  </si>
  <si>
    <t>SALSA MOSTAZA DIFFER BOLSA X 4000 X 3 (Doña Mary Remision 38634)</t>
  </si>
  <si>
    <t>Salsa negra differ galon x 3000 x 6</t>
  </si>
  <si>
    <t>SALSA NEGRA DIFFER GALON X 3000 X 6 (Doña Mary Remision 38634)</t>
  </si>
  <si>
    <t>Salsa tomate sobre zafran x120</t>
  </si>
  <si>
    <t>SALSA TOMATE SOBRE ZAFRAN X120 CJ X7 (Doña Mary Remision 38634)</t>
  </si>
  <si>
    <t>Salsa tomate x 4000</t>
  </si>
  <si>
    <t>SALSA TOMATE DIFFER X 4000 X3 (Doña Mary Remision 38634)</t>
  </si>
  <si>
    <t>Servilletas</t>
  </si>
  <si>
    <t>SERVILLETA NUBE 1 A 1 X 60PQ X 100UND (Doña Mary Remision 38634)</t>
  </si>
  <si>
    <t>Tapa copa troforma 1 1/2</t>
  </si>
  <si>
    <t>TAPA COPA TROFORMA 1 Y 1/2 ONZX 50 X 2000 X 6 (Doña Mary Remision 38634)</t>
  </si>
  <si>
    <t>Tapa vaso 12 onz. tami</t>
  </si>
  <si>
    <t>TAPA VASO 12 ONZ TAMI X 50 UND X 20 PQ (Doña Mary Remision 38634)</t>
  </si>
  <si>
    <t>Tapa vaso 3.5</t>
  </si>
  <si>
    <t>TAPA VASO 3,5 Y 7 ONZ WAU X 50 X 90 (Doña Mary Remision 38634)</t>
  </si>
  <si>
    <t>Tarrina 14 x 25 unid</t>
  </si>
  <si>
    <t>TARRINA 14 ONZ X 25UND X 20PQ PRODUCT (Doña Mary Remision 38634)</t>
  </si>
  <si>
    <t>Tarrina 14onz wau</t>
  </si>
  <si>
    <t>TARRINA 14ONZ WAU CJX15 X25UDS (Doña Mary Remision 38634)</t>
  </si>
  <si>
    <t>Toalla z 24pqx150</t>
  </si>
  <si>
    <t>TOALLA MANO Z NATURAL GARDEN X150UDS (Doña Mary Remision 38634)</t>
  </si>
  <si>
    <t>Trapero industrial</t>
  </si>
  <si>
    <t>TRAPERO INDUSTRIAL (Doña Mary Remision 38634)</t>
  </si>
  <si>
    <t>Vaso cartón 9.0 onz x 50</t>
  </si>
  <si>
    <t>VASO VACAN 9 OZ CJX40 PQT X50UDS (Doña Mary Remision 38634)</t>
  </si>
  <si>
    <t>Vaso tami 12x25</t>
  </si>
  <si>
    <t>VASO TAMI 12 X 25 TRANSP X 126 PQ (Doña Mary Remision 38634)</t>
  </si>
  <si>
    <t>Vasote 3.5 tansl x 50 x 60</t>
  </si>
  <si>
    <t>VASOTE 3,5 TANSL X 50 X 60 PQ (Doña Mary Remision 38634)</t>
  </si>
  <si>
    <t>Vinagre differ galon 3000</t>
  </si>
  <si>
    <t>VINAGRE DIFFER GALON X 3000 X 6 (Doña Mary Remision 38634)</t>
  </si>
  <si>
    <t>Acopi (Recibo Caja Menor 04-Sep-2026)</t>
  </si>
  <si>
    <t>Lenteja</t>
  </si>
  <si>
    <t>LENTEJA LA FLORESTA*500G (Supertiendas Canaveral 06FZ46512)</t>
  </si>
  <si>
    <t>06FZ46512</t>
  </si>
  <si>
    <t>PAPA A LA FRANCESA PAQ 2.5 KL (Carnes Los Monos - YP24244)</t>
  </si>
  <si>
    <t>Yuca pelada</t>
  </si>
  <si>
    <t>8 kl YUCA PELADA (Asados la Fina Pasoancho 05-Sep-2026)</t>
  </si>
  <si>
    <t>FINA-05SEP</t>
  </si>
  <si>
    <t>1150 arepas (Ventas 0806 Lucía/Darío)</t>
  </si>
  <si>
    <t>VTA-0806</t>
  </si>
  <si>
    <t>500 arepas (Cuenta de Cobro 05-Sep-2026)</t>
  </si>
  <si>
    <t>CC-05-Sep-2026</t>
  </si>
  <si>
    <t>BLOQUE MEDIA (Hielo El Nevado - NV202582)</t>
  </si>
  <si>
    <t>NV202582</t>
  </si>
  <si>
    <t>BLOQUE MEDIA (Hielo El Nevado SF44955)</t>
  </si>
  <si>
    <t>SF44955</t>
  </si>
  <si>
    <t>BOLSA X 5 KL TUBULAR (Hielo El Nevado - NV202582)</t>
  </si>
  <si>
    <t>BOLSA X 5 KL TUBULAR (Hielo El Nevado SF44955)</t>
  </si>
  <si>
    <t>Pulpa maracuya</t>
  </si>
  <si>
    <t>PULPA DE MARACUYA (Fruitty Frezze FAC-A 0001-00021543)</t>
  </si>
  <si>
    <t>0001-00021543</t>
  </si>
  <si>
    <t>Pulpa mango</t>
  </si>
  <si>
    <t>PULPA DE MANGO (Fruitty Frezze FAC-A 0001-00021543)</t>
  </si>
  <si>
    <t>Pulpa lulo</t>
  </si>
  <si>
    <t>PULPA DE LULO (Fruitty Frezze FAC-A 0001-00021543)</t>
  </si>
  <si>
    <t>Pulpa guanabana</t>
  </si>
  <si>
    <t>PULPA DE GUANABANA (Fruitty Frezze FAC-A 0001-00021543)</t>
  </si>
  <si>
    <t>Limonada cerezada</t>
  </si>
  <si>
    <t>LIMONADA CEREZADA (Fruitty Frezze FAC-A 0001-00021543)</t>
  </si>
  <si>
    <t>Ulluco Limpio</t>
  </si>
  <si>
    <t>9 lbs Uyucos (Recibo Caja Menor 06-Sep-2026)</t>
  </si>
  <si>
    <t>BLOQUE MEDIA (Hielo El Nevado SF44996)</t>
  </si>
  <si>
    <t>SF44996</t>
  </si>
  <si>
    <t>BOLSA X 5 KL TUBULAR (Hielo El Nevado SF44996)</t>
  </si>
  <si>
    <t>Mazamorra (Franco Bravo - Recibo Caja Menor 06-Sep-2026)</t>
  </si>
  <si>
    <t>10 Portacazuelas (Recibo Caja Menor 06-Sep-2026)</t>
  </si>
  <si>
    <t>Encomienda Sr Arturo (Recibo Caja Menor 06-Sep-2026)</t>
  </si>
  <si>
    <t>AGUACATES 34 UND (Recibo Caja Menor Marfil 06/09/26)</t>
  </si>
  <si>
    <t>Ajo pelado</t>
  </si>
  <si>
    <t>AJO PELADO X 1KG (Carnes Los Monos - MY8683)</t>
  </si>
  <si>
    <t>Pulpas de frutas</t>
  </si>
  <si>
    <t>PITAHAYA ROJA A GRANEL 0.505 kg (Supertiendas Cañaveral 11FH128831)</t>
  </si>
  <si>
    <t>11FH128831</t>
  </si>
  <si>
    <t>Raices  chinas</t>
  </si>
  <si>
    <t>4 RAICES CHINAS VIVA MEJOR*250g (Supertiendas Cañaveral 11FH128829)</t>
  </si>
  <si>
    <t>BLOQUE MEDIA (Hielo El Nevado SF45024)</t>
  </si>
  <si>
    <t>SF45024</t>
  </si>
  <si>
    <t>BOLSA X 5 KL TUBULAR (Hielo El Nevado SF45023)</t>
  </si>
  <si>
    <t>SF45023</t>
  </si>
  <si>
    <t>BOLSA ECOLOGICA BIODEGRADABLE GRANDE + IMPTO (Agropecuaria La Sevillana SAS)</t>
  </si>
  <si>
    <t>Acopi Almuerzo (German - Recibo Caja Menor 07-Sep-2026)</t>
  </si>
  <si>
    <t>RCM-07-Sep-2026</t>
  </si>
  <si>
    <t>Encomienda Arturo (Recibo Caja Menor 07-Sep-2026)</t>
  </si>
  <si>
    <t>TV CHALL 32 + BASE KALLEY 32-55 (Alkosto X7484003215)</t>
  </si>
  <si>
    <t>X7484003215</t>
  </si>
  <si>
    <t>Arracacha</t>
  </si>
  <si>
    <t>Arracacha (Fruver Los Monos Remision A 0672)</t>
  </si>
  <si>
    <t>REM-A 0672</t>
  </si>
  <si>
    <t>Arveja (Fruver Los Monos Remision A 0672)</t>
  </si>
  <si>
    <t>Cebolla Larga Atado</t>
  </si>
  <si>
    <t>Ata Larga (Fruver Los Monos Remision A 0672)</t>
  </si>
  <si>
    <t>Cebolla cabezona</t>
  </si>
  <si>
    <t>Cebolla Cabezona (Fruver Los Monos Remision A 0672)</t>
  </si>
  <si>
    <t>Lechuga batavia</t>
  </si>
  <si>
    <t>L. Batavia (Fruver Los Monos Remision A 0672)</t>
  </si>
  <si>
    <t>Limon tahiti</t>
  </si>
  <si>
    <t>Limon T (Fruver Los Monos Remision A 0672)</t>
  </si>
  <si>
    <t>Papa Capira bulto</t>
  </si>
  <si>
    <t>Capira bulto (Fruver Los Monos Remision A 0672)</t>
  </si>
  <si>
    <t>Papa Amarilla (Fruver Los Monos Remision A 0672)</t>
  </si>
  <si>
    <t>Papa Mambera (Fruver Los Monos Remision A 0672)</t>
  </si>
  <si>
    <t>Pepino comun</t>
  </si>
  <si>
    <t>Pepino (Fruver Los Monos Remision A 0672)</t>
  </si>
  <si>
    <t>Perejil</t>
  </si>
  <si>
    <t>Perejil por atado (Fruver Los Monos Remision A 0672)</t>
  </si>
  <si>
    <t>Pimenton</t>
  </si>
  <si>
    <t>Pimenton (Fruver Los Monos Remision A 0672)</t>
  </si>
  <si>
    <t>Platano maduro</t>
  </si>
  <si>
    <t>Platano M (Fruver Los Monos Remision A 0672)</t>
  </si>
  <si>
    <t>Platano verde</t>
  </si>
  <si>
    <t>Platano verde (Fruver Los Monos Remision A 0672)</t>
  </si>
  <si>
    <t>Remolacha</t>
  </si>
  <si>
    <t>Remolacha (Fruver Los Monos Remision A 0672)</t>
  </si>
  <si>
    <t>Tomate chonto</t>
  </si>
  <si>
    <t>Tomate chonto (Fruver Los Monos Remision A 0672)</t>
  </si>
  <si>
    <t>Tomate milano</t>
  </si>
  <si>
    <t>Tomate Milano (Fruver Los Monos Remision A 0672)</t>
  </si>
  <si>
    <t>Zanahoria</t>
  </si>
  <si>
    <t>Zanahoria (Fruver Los Monos Remision A 0672)</t>
  </si>
  <si>
    <t>Leche de coco</t>
  </si>
  <si>
    <t>7 lts Leche Coco (Recibo Caja Menor 08-09-26)</t>
  </si>
  <si>
    <t>RCM-08-09-26</t>
  </si>
  <si>
    <t>ACENTO X 500 LB (Doña Mary Remision 38730)</t>
  </si>
  <si>
    <t>REM-38730</t>
  </si>
  <si>
    <t>AJI DIFFER PEQUEÑO X40 (Doña Mary Remision 38730)</t>
  </si>
  <si>
    <t>Aromaticasx 20</t>
  </si>
  <si>
    <t>AROMATICAS X 20 X 24CJ (Doña Mary Remision 38730)</t>
  </si>
  <si>
    <t>BOLSA X 5 KL TUBULAR (Hielo El Nevado SF45044)</t>
  </si>
  <si>
    <t>SF45044</t>
  </si>
  <si>
    <t>BOLSA MANIGUETA T25 ECON (Doña Mary Remision 38730)</t>
  </si>
  <si>
    <t>BOLSA MANIGUETA T40 BLANCA ECON (Doña Mary Remision 38730)</t>
  </si>
  <si>
    <t>Bolsa tina</t>
  </si>
  <si>
    <t>BOLSA TINA X 100 (Doña Mary Remision 38730)</t>
  </si>
  <si>
    <t>CAFE X 1 LB X 25 (Doña Mary Remision 38730)</t>
  </si>
  <si>
    <t>Cintas</t>
  </si>
  <si>
    <t>Cinta Antiadherente (Recibo Caja Menor 08-09-26)</t>
  </si>
  <si>
    <t>Contenedor 16 onz. darnel 20x20</t>
  </si>
  <si>
    <t>CONTENEDOR 16 ONZ DARNEL X 20X20 PAQ (Doña Mary Remision 38730)</t>
  </si>
  <si>
    <t>Contenedor darnel 8 onz. x 20 x 25</t>
  </si>
  <si>
    <t>CONTENEDOR DARNEL 8 ONZ T X 20X25 (Doña Mary Remision 38730)</t>
  </si>
  <si>
    <t>Cuchara grande suraplas x 100</t>
  </si>
  <si>
    <t>CUCHARA GRANDE SURAPLAS X 100X60 (Doña Mary Remision 38730)</t>
  </si>
  <si>
    <t>DETERGENTE DERSA LIMON X 1000X20 (Doña Mary Remision 38730)</t>
  </si>
  <si>
    <t>HARINA DE TRIGO X 25 (Doña Mary Remision 38730)</t>
  </si>
  <si>
    <t>HUMO LIQUIDO GALON (Doña Mary Remision 38730)</t>
  </si>
  <si>
    <t>Mezclador</t>
  </si>
  <si>
    <t>MEZCLADOR COLOMBIANITO X 500UDS APROX PCX30 (Doña Mary Remision 38730)</t>
  </si>
  <si>
    <t>Pato tanque azul</t>
  </si>
  <si>
    <t>PATO TANQUE AZUL (Doña Mary Remision 38730)</t>
  </si>
  <si>
    <t>PORTACOMIDA DARNEL J2 X 200 (Doña Mary Remision 38730)</t>
  </si>
  <si>
    <t>Sabras</t>
  </si>
  <si>
    <t>SABRAS COLORES X36UDS X9PQT (Doña Mary Remision 38730)</t>
  </si>
  <si>
    <t>SALSA NEGRA DIFFER GALON X 3000 X 6 (Doña Mary Remision 38730)</t>
  </si>
  <si>
    <t>SALSA TOMATE DIFFER X 4000 X3 (Doña Mary Remision 38730)</t>
  </si>
  <si>
    <t>TAPA VASO 3,5 Y 7 ONZ WAU X 50 X 90 (Doña Mary Remision 38730)</t>
  </si>
  <si>
    <t>TARRINA 14 ONZ X 25UND X 20PQ PRODUCT (Doña Mary Remision 38730)</t>
  </si>
  <si>
    <t>TOALLA MANO Z NATURAL GARDEN X150UDS (Doña Mary Remision 38730)</t>
  </si>
  <si>
    <t>VASO VACAN 9 OZ CJX40 PQT X50UDS (Doña Mary Remision 38730)</t>
  </si>
  <si>
    <t>VASOTE 3,5 TANSL X 50 X 60 PQ (Doña Mary Remision 38730)</t>
  </si>
  <si>
    <t>15 PANAL AA X 14.500 + PENDIENTE 10.000 (Cuenta de cobro Sept 8)</t>
  </si>
  <si>
    <t>PAPA A LA FRANCESA PAQ 2.5 KL (Carnes Los Monos - YP24314)</t>
  </si>
  <si>
    <t>Galleta</t>
  </si>
  <si>
    <t>GALLETA MUUU 14 UN (D1 Factura G1G0285471)</t>
  </si>
  <si>
    <t>G1G0285471</t>
  </si>
  <si>
    <t>LENTEJA EL ES 25 UN (D1 Factura G6G0471810)</t>
  </si>
  <si>
    <t>G6G0471810</t>
  </si>
  <si>
    <t>BOLSA MANIGUETA T25 ECON (Doña Mary Remision 38763)</t>
  </si>
  <si>
    <t>BOLSA MANIGUETA T30 BLNCA ECONM (Doña Mary Remision 38763)</t>
  </si>
  <si>
    <t>Cinta impronta 24x80mm</t>
  </si>
  <si>
    <t>CINTA IMPRONTA (Doña Mary Remision 38763)</t>
  </si>
  <si>
    <t>CONTENEDOR 16 ONZ DARNEL X 20X20 PAQ (Doña Mary Remision 38763)</t>
  </si>
  <si>
    <t>CONTENEDOR DARNEL 8 ONZ T X 20X25 (Doña Mary Remision 38763)</t>
  </si>
  <si>
    <t>CUBIERTO GRANDE X 3 CJAX 28PQ X 50UN (Doña Mary Remision 38763)</t>
  </si>
  <si>
    <t>Disco Flap</t>
  </si>
  <si>
    <t>1 Disco Flaper (Remision 09-Sep-2026)</t>
  </si>
  <si>
    <t>Mazamorra (Franco Bravo - Recibo Caja Menor 09-Sep-2026)</t>
  </si>
  <si>
    <t>RCM-09-Sep-2026</t>
  </si>
  <si>
    <t>PORTACOMIDA DARNEL J2 X 200 (Doña Mary Remision 38763)</t>
  </si>
  <si>
    <t>TAPA VASO 3,5 Y 7 ONZ WAU X 50 X 90 (Doña Mary Remision 38763)</t>
  </si>
  <si>
    <t>VASOTE 3,5 TANSL X 50 X 60 PQ (Doña Mary Remision 38763)</t>
  </si>
  <si>
    <t>Acopi (German - Recibo Caja Menor 09-Sep-2026)</t>
  </si>
  <si>
    <t>PULPA DE MARACUYA (Fruitty Frezze FAC-A 0001-00021624)</t>
  </si>
  <si>
    <t>0001-00021624</t>
  </si>
  <si>
    <t>PULPA DE MANGO (Fruitty Frezze FAC-A 0001-00021624)</t>
  </si>
  <si>
    <t>PULPA DE LULO (Fruitty Frezze FAC-A 0001-00021624)</t>
  </si>
  <si>
    <t>Pulpa mora</t>
  </si>
  <si>
    <t>PULPA DE MORA (Fruitty Frezze FAC-A 0001-00021624)</t>
  </si>
  <si>
    <t>PULPA DE GUANABANA (Fruitty Frezze FAC-A 0001-00021624)</t>
  </si>
  <si>
    <t>LIMONADA CEREZADA (Fruitty Frezze FAC-A 0001-00021624)</t>
  </si>
  <si>
    <t>Manzana h2oh</t>
  </si>
  <si>
    <t>Limonada h2oh</t>
  </si>
  <si>
    <t>Maracuya h2oh</t>
  </si>
  <si>
    <t>Galleta wafer capri</t>
  </si>
  <si>
    <t>GALLETA WAFER CAPRI X 24 (Distribuciones Dona Mary Remision 38798)</t>
  </si>
  <si>
    <t>38798</t>
  </si>
  <si>
    <t>Harina apanar</t>
  </si>
  <si>
    <t>HARINA APANAR RICA X 10 UND (Distribuciones Dona Mary Remision 38798)</t>
  </si>
  <si>
    <t>Mayonesa</t>
  </si>
  <si>
    <t>MAYONESA X 4000 (Distribuciones Dona Mary Remision 38798)</t>
  </si>
  <si>
    <t>Mostaza</t>
  </si>
  <si>
    <t>MOSTAZA X 4000 (Distribuciones Dona Mary Remision 38798)</t>
  </si>
  <si>
    <t>Harina trigo</t>
  </si>
  <si>
    <t>HARINA TRIGO 10 UN (D1 SAS G9F9316392)</t>
  </si>
  <si>
    <t>G9F9316392</t>
  </si>
  <si>
    <t>ACEITE SOYA 4 UN (D1 SAS G9F9316392)</t>
  </si>
  <si>
    <t>TRANSPORTE EDITH (Recibo Caja Menor Marfil 10/09/26)</t>
  </si>
  <si>
    <t>RCM-10-Sep-2026-1</t>
  </si>
  <si>
    <t>Mezcla liquida limon</t>
  </si>
  <si>
    <t>MEZCLA LIQUIDA LIMON 2000ML X 6 (AM Letrascore Remision 0305)</t>
  </si>
  <si>
    <t>0305</t>
  </si>
  <si>
    <t>Hielo bloque</t>
  </si>
  <si>
    <t>BLOQUE MEDIA X 2 (Distribuciones Hielo El Nevado Remision SF45104)</t>
  </si>
  <si>
    <t>SF45104</t>
  </si>
  <si>
    <t>Hielo tubular</t>
  </si>
  <si>
    <t>BOLSA 5KL TUBULAR X 3 (Distribuciones Hielo El Nevado Remision SF45104)</t>
  </si>
  <si>
    <t>MAZAMORRA FRANCO BRAVO (Recibo Caja Menor Marfil 10/09/26)</t>
  </si>
  <si>
    <t>RCM-10-Sep-2026-2</t>
  </si>
  <si>
    <t>ACOPI GERMAN (Recibo Caja Menor Marfil 10/09/26)</t>
  </si>
  <si>
    <t>RCM-10-Sep-2026-3</t>
  </si>
  <si>
    <t>Pasta tornillo</t>
  </si>
  <si>
    <t>PASTA TORNILLO 16 UN (Supertiendas Canaveral 06FZ47115)</t>
  </si>
  <si>
    <t>Chocolate</t>
  </si>
  <si>
    <t>1/2 LB CHOCOLATE (Licores Zafiro Remision Sept 10/2026)</t>
  </si>
  <si>
    <t>ANTONIO L. DIAZ - TAXI (Recibo Caja Menor 10/09/2026)</t>
  </si>
  <si>
    <t>MARLENE - 7 HORAS (Recibo Caja Menor 10/09/2026)</t>
  </si>
  <si>
    <t>AGUACATES 20 UND (Recibo Caja Menor 10/09/26)</t>
  </si>
  <si>
    <t>Papa</t>
  </si>
  <si>
    <t>PAPA 11 UND (Recibo Caja Menor 10/09/26)</t>
  </si>
  <si>
    <t>Hojas platano</t>
  </si>
  <si>
    <t>HOJAS PLATANO 40 UND (Recibo Caja Menor 10/09/26)</t>
  </si>
  <si>
    <t>Masa</t>
  </si>
  <si>
    <t>MASA 9 UND (Recibo Caja Menor 10/09/26)</t>
  </si>
  <si>
    <t>Color</t>
  </si>
  <si>
    <t>COLOR 5 UND (Recibo Caja Menor 10/09/26)</t>
  </si>
  <si>
    <t>MARLENY - TRANSPORTE MANANA (Recibo Caja Menor 10/09/26)</t>
  </si>
  <si>
    <t>10 HARINA FARALLONES*500G TRIGO (Supertiendas Canaveral 10FH63324)</t>
  </si>
  <si>
    <t>10FH63324</t>
  </si>
  <si>
    <t>AYDE GUEVARA - ARRENDAMIENTO LOCAL (Recibo Caja Menor Taydem 11/09/2026)</t>
  </si>
  <si>
    <t>COMPUTACION EN LA NUBE PLAN EMPRESARIAL (Dataico SAS E-412886)</t>
  </si>
  <si>
    <t>E-412886</t>
  </si>
  <si>
    <t>Pago Eliana</t>
  </si>
  <si>
    <t>Aguacates (Segundo registro Cuaderno Pág. 159 Renglón 9)</t>
  </si>
  <si>
    <t>DUPLICADO EN CUADERNO</t>
  </si>
  <si>
    <t>Categoría (Pestaña)</t>
  </si>
  <si>
    <t>Ítem (Exacto en tu Excel)</t>
  </si>
  <si>
    <t>Vr. Compra (Total)</t>
  </si>
  <si>
    <t>[REPETIDA - Agosto R794] CADERITA DE RES (MYC - FE01533 23-Ago-2026)</t>
  </si>
  <si>
    <t xml:space="preserve">Higado </t>
  </si>
  <si>
    <t>[REPETIDA - Agosto R795] HIGADO DE RES (MYC - FE01533 23-Ago-2026)</t>
  </si>
  <si>
    <t>LOMO VICHE ESPECIAL DE RES (MYC - FE01516 14-Ago-2026)</t>
  </si>
  <si>
    <t>SOBREBARRIGA DE RES (MYC - FE01529 20-Ago-2026)</t>
  </si>
  <si>
    <t>LOMO VICHE ESPECIAL (MYC - FE01529 20-Ago-2026)</t>
  </si>
  <si>
    <t>MORRILLO (MYC - FE01529 20-Ago-2026)</t>
  </si>
  <si>
    <t>[REPETIDA - Factura FV2507 física duplicada de FE01529] Lomo viche Especial de Res (Alonso Orozco - Factura 2507 20-Ago-2026)</t>
  </si>
  <si>
    <t>[REPETIDA - Factura FV2507 física duplicada de FE01529] Sobrebarriga Gruesa de Res (Alonso Orozco - Factura 2507 20-Ago-2026)</t>
  </si>
  <si>
    <t>[REPETIDA - Factura FV2507 física duplicada de FE01529] Morrillo de Res (Alonso Orozco - Factura 2507 20-Ago-2026)</t>
  </si>
  <si>
    <t>CADERITA DE RES (MYC - FE01523 19-Ago-2026)</t>
  </si>
  <si>
    <t>COSTILLA DE RES (MYC - FE01522 19-Ago-2026)</t>
  </si>
  <si>
    <t>SOBREBARRIGA DE RES (MYC - FE01522 19-Ago-2026)</t>
  </si>
  <si>
    <t>[REPETIDA - Agosto R775] SOBREBARRIGA DE RES (MYC - FE01534 24-Ago-2026)</t>
  </si>
  <si>
    <t>[REPETIDA - Agosto R776] CADERITA DE RES (MYC - FE01534 24-Ago-2026)</t>
  </si>
  <si>
    <t>[REPETIDA - Agosto R796] SOBREBARRIGA DE RES (MYC - FE01532 22-Ago-2026)</t>
  </si>
  <si>
    <t>200 arepas (Cuenta de Cobro 31-Ago-2026)</t>
  </si>
  <si>
    <t>Descripción Original (PDF / Motivo Duplicado)</t>
  </si>
  <si>
    <t>[REPETIDA - Factura VC242247 ya en filas 20-23] CERV.STEL ARTOIS*300ml BOT (Global Liquors)</t>
  </si>
  <si>
    <t>[REPETIDA - Factura VC242247 ya en filas 20-23] CERV.CLUB DOR LATA*330 (Global Liquors)</t>
  </si>
  <si>
    <t>[REPETIDA - Factura VC242247 ya en filas 20-23] CERV.CORONA*330ml (Global Liquors)</t>
  </si>
  <si>
    <t>[REPETIDA - Factura VC242247 ya en filas 20-23] CERV.POKER*330 LATA (Global Liquors)</t>
  </si>
  <si>
    <t>[REPETIDA - Factura FAC-188 ya en fila 24] BAGRE DE MAR (Gabriel Ramirez Cubillos)</t>
  </si>
  <si>
    <t>[REPETIDA - Factura VC242401 ya en filas 31-33] BEB.GATORADE*500ml SURT. (Global Liquors)</t>
  </si>
  <si>
    <t>[REPETIDA - Factura VC242401 ya en filas 31-33] AGUA H2O*600ml SURTIDA (Global Liquors)</t>
  </si>
  <si>
    <t>[REPETIDA - Factura VC242401 ya en filas 31-33] BEB.EN.*380 VIVE100 (Global Liquors)</t>
  </si>
  <si>
    <t>[REPETIDA - Factura FEPL-3167991 ya en filas 12-19] CREMA DE LECHE 1000G (Alquería)</t>
  </si>
  <si>
    <t>[REPETIDA - Factura FEPL-3167991 ya en filas 12-19] AVENA PRO CUBANA VASO 220G (Alquería)</t>
  </si>
  <si>
    <t>[REPETIDA - Factura FEPL-3167991 ya en filas 12-19] AVENA PRO AUTENTICA VASO 220G (Alquería)</t>
  </si>
  <si>
    <t>[REPETIDA - Factura FEPL-3167991 ya en filas 12-19] TANGELO BOTELLA 400 ML (Alquería)</t>
  </si>
  <si>
    <t>[REPETIDA - Factura FEPL-3167991 ya en filas 12-19] ACTIGEST VAS 140G PIT CCB TT (Alquería)</t>
  </si>
  <si>
    <t>[REPETIDA - Factura FEPL-3167991 ya en filas 12-19] ALQUERIA CER 170G FLIPS (Alquería)</t>
  </si>
  <si>
    <t>[REPETIDA - Factura FEPL-3167991 ya en filas 12-19] ALQUERÍA HOJUELAS 170GR (Alquería)</t>
  </si>
  <si>
    <t>[REPETIDA - Factura FEPL-3167991 ya en filas 12-19] SABOR ORIGINAL INSTITUCIONAL 1100ML (Alquería)</t>
  </si>
  <si>
    <t>[REPETIDA - Factura FVCL 5289980 ya en filas 36-40] AGUA BRISA PET 600ML (24) (Coca-Cola FEMSA)</t>
  </si>
  <si>
    <t>COMP-D3</t>
  </si>
  <si>
    <t>[REPETIDA - Factura FVCL 5289980 ya en filas 36-40] COCA COLA 1.5LT PET(12) Nvo (Coca-Cola FEMSA)</t>
  </si>
  <si>
    <t>[REPETIDA - Factura FVCL 5289980 ya en filas 36-40] COCA COLA ZERO 1.5LT PET(12)KZ (Coca-Cola FEMSA)</t>
  </si>
  <si>
    <t>[REPETIDA - Factura FVCL 5289980 ya en filas 36-40] COCA COLA ZERO 400ML PET(12)KZ (Coca-Cola FEMSA)</t>
  </si>
  <si>
    <t>[REPETIDA - Factura FVCL 5289980 ya en filas 36-40] COCA-COLA 400ML PET (12) (Coca-Cola FEMSA)</t>
  </si>
  <si>
    <t>[REPETIDA - Factura FVCL 5289979 ya en filas 41-43] QUATRO CHOICE 400ML NR (12) (Coca-Cola FEMSA)</t>
  </si>
  <si>
    <t>[REPETIDA - Factura FVCL 5289979 ya en filas 41-43] PREMIO ROJO FNT 400 ML PET(12) (Coca-Cola FEMSA)</t>
  </si>
  <si>
    <t>[REPETIDA - Factura FVCL 5289979 ya en filas 41-43] SPRITE 400 ML NR (12) (Coca-Cola FEMSA)</t>
  </si>
  <si>
    <t>[REPETIDA - Factura FEC 2928 ya en fila 30] LIMONADA DE COCO FUSIONADA X 10 (Henry Castaño)</t>
  </si>
  <si>
    <t>[REPETIDA - Factura FEBF-33 ya en fila 49] LOMO DE CERDO (Fabian Bonilla)</t>
  </si>
  <si>
    <t>[REPETIDA - Factura YP24244 ya en filas 50-58] CAMARON DE CULTIVO PRECOCIDO 91-110P (Carnes Los Monos)</t>
  </si>
  <si>
    <t>[REPETIDA - Factura YP24244 ya en filas 50-58] COSTILLA DE RES DELANTERA (Carnes Los Monos)</t>
  </si>
  <si>
    <t>[REPETIDA - Factura YP24244 ya en filas 50-58] COSTILLA SAN LUIS JUNIOR T/M (Carnes Los Monos)</t>
  </si>
  <si>
    <t>[REPETIDA - Factura YP24244 ya en filas 50-58] LOMO CARACHO PORCIONADO PARRILLA (Carnes Los Monos)</t>
  </si>
  <si>
    <t>[REPETIDA - Factura YP24244 ya en filas 50-58] PUNTA DE ANCA IMP PORC. PARRILLA (Carnes Los Monos)</t>
  </si>
  <si>
    <t>[REPETIDA - Factura YP24244 ya en filas 50-58] SOBACO (Carnes Los Monos)</t>
  </si>
  <si>
    <t>[REPETIDA - Factura YP24244 ya en filas 50-58] SOBREBARRIGA DELGADA (Carnes Los Monos)</t>
  </si>
  <si>
    <t>[REPETIDA - Factura YP24244 ya en filas 50-58] TOCINETA BARRIL (Carnes Los Monos)</t>
  </si>
  <si>
    <t>[REPETIDA - Factura YP24244 ya en filas 50-58] PAPA A LA FRANCESA PAQ 2.5 KL (Carnes Los Monos)</t>
  </si>
  <si>
    <t>[REPETIDA - Factura MY8683 ya en filas 61-64] MORRILLO DE RES (Carnes Los Monos)</t>
  </si>
  <si>
    <t>[REPETIDA - Factura MY8683 ya en filas 61-64] SOBACO (Carnes Los Monos)</t>
  </si>
  <si>
    <t>[REPETIDA - Factura MY8683 ya en filas 61-64] SOBREBARRIGA DELGADA (Carnes Los Monos)</t>
  </si>
  <si>
    <t>[REPETIDA - Factura MY8683 ya en filas 61-64] AJO PELADO X 1KG (Carnes Los Monos)</t>
  </si>
  <si>
    <t>FE01529</t>
  </si>
  <si>
    <t>FE01532</t>
  </si>
  <si>
    <t>FE01533</t>
  </si>
  <si>
    <t>FE01534</t>
  </si>
  <si>
    <t>[REPETIDA - Doc 1 Pág 2 ya en fila 112] Taxi - Acopi (Recibo Caja Menor 04-Sep-2026)</t>
  </si>
  <si>
    <t>[REPETIDA - Factura 0000006666 ya registrada (Doc 3 Pág 4 y 5 escaneada duplicada)] CHORIZO COCTELERO Y PREMIUM (Cárnicos Montero)</t>
  </si>
  <si>
    <t>[REPETIDA - Anticipo compra de aguacates legalizada en RCM 06/09/26 de $204.000] ANTICIPO ALEJANDRO COMPRA AGUACATES (Recibo Caja Menor)</t>
  </si>
  <si>
    <t>ANTICIPO-AGUACATES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</si>
</sst>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#,##0.0"/>
    <numFmt numFmtId="167" formatCode="_-&quot;$&quot;\ * #,##0_-;\-&quot;$&quot;\ * #,##0_-;_-&quot;$&quot;\ * &quot;-&quot;??_-;_-@_-"/>
    <numFmt numFmtId="168" formatCode="0\ &quot;Reg&quot;"/>
    <numFmt numFmtId="169" formatCode="#,##0.##"/>
    <numFmt numFmtId="170" formatCode="_-&quot;$&quot;* #,##0_-;\-&quot;$&quot;* #,##0_-;_-&quot;$&quot;* &quot;-&quot;??_-;_-@_-"/>
    <numFmt numFmtId="171" formatCode="#,##0.00\ &quot;Kg&quot;"/>
    <numFmt numFmtId="172" formatCode="#,##0\ &quot;Und/Caj&quot;"/>
  </numFmts>
  <fonts count="4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9"/>
      <color rgb="FF595959"/>
      <name val="Calibri"/>
    </font>
    <font>
      <b/>
      <sz val="18"/>
      <color rgb="FF1B365D"/>
      <name val="Calibri"/>
    </font>
    <font>
      <i/>
      <sz val="9"/>
      <color rgb="FF7F7F7F"/>
      <name val="Calibri"/>
    </font>
    <font>
      <b/>
      <sz val="18"/>
      <color rgb="FF2E75B6"/>
      <name val="Calibri"/>
    </font>
    <font>
      <b/>
      <sz val="18"/>
      <color rgb="FFC00000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9"/>
      <name val="Calibri"/>
    </font>
    <font>
      <b/>
      <sz val="9"/>
      <name val="Calibri"/>
    </font>
    <font>
      <b/>
      <sz val="10"/>
      <color rgb="FF1F4E78"/>
      <name val="Calibri"/>
    </font>
    <font>
      <b/>
      <sz val="9"/>
      <color rgb="FF1E4E79"/>
      <name val="Calibri"/>
    </font>
    <font>
      <b/>
      <sz val="10"/>
      <color rgb="FF002060"/>
      <name val="Calibri"/>
    </font>
    <font>
      <b/>
      <sz val="9"/>
      <color rgb="FFFFFFFF"/>
      <name val="Calibri"/>
    </font>
    <font>
      <b/>
      <sz val="14"/>
      <color rgb="FFFFFFFF"/>
      <name val="Calibri"/>
    </font>
    <font>
      <b/>
      <sz val="13"/>
      <color rgb="FF1F4E78"/>
      <name val="Calibri"/>
    </font>
    <font>
      <i/>
      <sz val="8"/>
      <color rgb="FF7F7F7F"/>
      <name val="Calibri"/>
    </font>
    <font>
      <b/>
      <sz val="13"/>
      <color rgb="FF2F5597"/>
      <name val="Calibri"/>
    </font>
    <font>
      <b/>
      <sz val="13"/>
      <color rgb="FF1E4E79"/>
      <name val="Calibri"/>
    </font>
    <font>
      <b/>
      <sz val="13"/>
      <color rgb="FF375623"/>
      <name val="Calibri"/>
    </font>
    <font>
      <b/>
      <sz val="9"/>
      <color rgb="FF375623"/>
      <name val="Calibri"/>
    </font>
    <font>
      <b/>
      <sz val="9"/>
      <color rgb="FF7F6000"/>
      <name val="Calibri"/>
    </font>
    <font>
      <b/>
      <sz val="9"/>
      <color rgb="FFC65911"/>
      <name val="Calibri"/>
    </font>
    <font>
      <b/>
      <sz val="9"/>
      <color rgb="FF1F4E78"/>
      <name val="Calibri"/>
    </font>
    <font>
      <b/>
      <sz val="13"/>
      <color rgb="FF7F6000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AEEF3"/>
        <bgColor rgb="FFEAEEF3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D4E6F1"/>
        <bgColor rgb="FFD4E6F1"/>
      </patternFill>
    </fill>
    <fill>
      <patternFill patternType="solid">
        <fgColor rgb="FF78281F"/>
        <bgColor rgb="FF78281F"/>
      </patternFill>
    </fill>
    <fill>
      <patternFill patternType="solid">
        <fgColor rgb="FFD9E1F2"/>
        <bgColor rgb="FFD9E1F2"/>
      </patternFill>
    </fill>
    <fill>
      <patternFill patternType="solid">
        <fgColor rgb="FFB4C6E7"/>
        <bgColor rgb="FFB4C6E7"/>
      </patternFill>
    </fill>
    <fill>
      <patternFill patternType="solid">
        <fgColor rgb="FF2F5597"/>
        <bgColor rgb="FF2F5597"/>
      </patternFill>
    </fill>
    <fill>
      <patternFill patternType="solid">
        <fgColor rgb="FF305496"/>
        <bgColor rgb="FF30549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EBF1F5"/>
        <bgColor rgb="FFEBF1F5"/>
      </patternFill>
    </fill>
  </fills>
  <borders count="2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B365D"/>
      </top>
      <bottom style="double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4E6F1"/>
      </left>
      <right style="thin">
        <color rgb="FFD4E6F1"/>
      </right>
      <top style="thin">
        <color rgb="FFD4E6F1"/>
      </top>
      <bottom style="thin">
        <color rgb="FFD4E6F1"/>
      </bottom>
      <diagonal/>
    </border>
    <border>
      <left/>
      <right/>
      <top style="thin">
        <color rgb="FFD4E6F1"/>
      </top>
      <bottom style="thin">
        <color rgb="FFD4E6F1"/>
      </bottom>
      <diagonal/>
    </border>
    <border>
      <left/>
      <right style="thin">
        <color rgb="FFD4E6F1"/>
      </right>
      <top style="thin">
        <color rgb="FFD4E6F1"/>
      </top>
      <bottom style="thin">
        <color rgb="FFD4E6F1"/>
      </bottom>
      <diagonal/>
    </border>
    <border>
      <left style="medium">
        <color rgb="FF1F4E78"/>
      </left>
      <right style="medium">
        <color rgb="FF1F4E78"/>
      </right>
      <top style="thin">
        <color rgb="FF1F4E78"/>
      </top>
      <bottom style="double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 style="medium">
        <color rgb="FF1F4E78"/>
      </right>
      <top style="thin">
        <color rgb="FF1F4E78"/>
      </top>
      <bottom style="double">
        <color rgb="FF1F4E78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E4E79"/>
      </left>
      <right style="thin">
        <color rgb="FF1E4E79"/>
      </right>
      <top style="thin">
        <color rgb="FF1E4E79"/>
      </top>
      <bottom style="thin">
        <color rgb="FF1E4E79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double">
        <color rgb="FF002060"/>
      </bottom>
      <diagonal/>
    </border>
  </borders>
  <cellStyleXfs count="2">
    <xf numFmtId="0" fontId="0" fillId="0" borderId="22"/>
    <xf numFmtId="44" fontId="1" fillId="0" borderId="22"/>
  </cellStyleXfs>
  <cellXfs count="263">
    <xf numFmtId="0" fontId="0" fillId="0" borderId="0" xfId="0" applyBorder="1"/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1" fillId="5" borderId="1" xfId="0" applyFont="1" applyFill="1" applyBorder="1"/>
    <xf numFmtId="0" fontId="12" fillId="0" borderId="1" xfId="0" applyFont="1" applyBorder="1"/>
    <xf numFmtId="3" fontId="13" fillId="0" borderId="1" xfId="0" applyNumberFormat="1" applyFont="1" applyBorder="1" applyAlignment="1">
      <alignment horizontal="center"/>
    </xf>
    <xf numFmtId="164" fontId="11" fillId="5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0" fontId="14" fillId="6" borderId="1" xfId="0" applyFont="1" applyFill="1" applyBorder="1"/>
    <xf numFmtId="164" fontId="14" fillId="6" borderId="1" xfId="0" applyNumberFormat="1" applyFont="1" applyFill="1" applyBorder="1" applyAlignment="1">
      <alignment horizontal="right"/>
    </xf>
    <xf numFmtId="165" fontId="14" fillId="6" borderId="1" xfId="0" applyNumberFormat="1" applyFont="1" applyFill="1" applyBorder="1" applyAlignment="1">
      <alignment horizontal="right"/>
    </xf>
    <xf numFmtId="0" fontId="13" fillId="7" borderId="2" xfId="0" applyFont="1" applyFill="1" applyBorder="1"/>
    <xf numFmtId="0" fontId="6" fillId="7" borderId="2" xfId="0" applyFont="1" applyFill="1" applyBorder="1"/>
    <xf numFmtId="3" fontId="13" fillId="7" borderId="2" xfId="0" applyNumberFormat="1" applyFont="1" applyFill="1" applyBorder="1" applyAlignment="1">
      <alignment horizontal="center"/>
    </xf>
    <xf numFmtId="164" fontId="13" fillId="7" borderId="2" xfId="0" applyNumberFormat="1" applyFont="1" applyFill="1" applyBorder="1" applyAlignment="1">
      <alignment horizontal="right"/>
    </xf>
    <xf numFmtId="165" fontId="13" fillId="7" borderId="2" xfId="0" applyNumberFormat="1" applyFont="1" applyFill="1" applyBorder="1" applyAlignment="1">
      <alignment horizontal="right"/>
    </xf>
    <xf numFmtId="0" fontId="13" fillId="8" borderId="1" xfId="0" applyFont="1" applyFill="1" applyBorder="1"/>
    <xf numFmtId="0" fontId="11" fillId="8" borderId="1" xfId="0" applyFont="1" applyFill="1" applyBorder="1"/>
    <xf numFmtId="3" fontId="12" fillId="8" borderId="1" xfId="0" applyNumberFormat="1" applyFont="1" applyFill="1" applyBorder="1" applyAlignment="1">
      <alignment horizontal="center"/>
    </xf>
    <xf numFmtId="164" fontId="13" fillId="8" borderId="1" xfId="0" applyNumberFormat="1" applyFont="1" applyFill="1" applyBorder="1" applyAlignment="1">
      <alignment horizontal="right"/>
    </xf>
    <xf numFmtId="165" fontId="13" fillId="8" borderId="1" xfId="0" applyNumberFormat="1" applyFont="1" applyFill="1" applyBorder="1" applyAlignment="1">
      <alignment horizontal="right"/>
    </xf>
    <xf numFmtId="164" fontId="12" fillId="8" borderId="1" xfId="0" applyNumberFormat="1" applyFont="1" applyFill="1" applyBorder="1" applyAlignment="1">
      <alignment horizontal="right"/>
    </xf>
    <xf numFmtId="0" fontId="13" fillId="6" borderId="1" xfId="0" applyFont="1" applyFill="1" applyBorder="1"/>
    <xf numFmtId="3" fontId="12" fillId="6" borderId="1" xfId="0" applyNumberFormat="1" applyFont="1" applyFill="1" applyBorder="1" applyAlignment="1">
      <alignment horizontal="center"/>
    </xf>
    <xf numFmtId="164" fontId="13" fillId="6" borderId="1" xfId="0" applyNumberFormat="1" applyFont="1" applyFill="1" applyBorder="1" applyAlignment="1">
      <alignment horizontal="right"/>
    </xf>
    <xf numFmtId="165" fontId="13" fillId="6" borderId="1" xfId="0" applyNumberFormat="1" applyFont="1" applyFill="1" applyBorder="1" applyAlignment="1">
      <alignment horizontal="right"/>
    </xf>
    <xf numFmtId="164" fontId="12" fillId="6" borderId="1" xfId="0" applyNumberFormat="1" applyFont="1" applyFill="1" applyBorder="1" applyAlignment="1">
      <alignment horizontal="right"/>
    </xf>
    <xf numFmtId="0" fontId="12" fillId="8" borderId="1" xfId="0" applyFont="1" applyFill="1" applyBorder="1"/>
    <xf numFmtId="165" fontId="12" fillId="8" borderId="1" xfId="0" applyNumberFormat="1" applyFont="1" applyFill="1" applyBorder="1" applyAlignment="1">
      <alignment horizontal="right"/>
    </xf>
    <xf numFmtId="0" fontId="11" fillId="0" borderId="1" xfId="0" applyFont="1" applyBorder="1"/>
    <xf numFmtId="3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right"/>
    </xf>
    <xf numFmtId="0" fontId="10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164" fontId="12" fillId="5" borderId="1" xfId="0" applyNumberFormat="1" applyFont="1" applyFill="1" applyBorder="1" applyAlignment="1">
      <alignment horizontal="right"/>
    </xf>
    <xf numFmtId="164" fontId="13" fillId="4" borderId="1" xfId="0" applyNumberFormat="1" applyFont="1" applyFill="1" applyBorder="1" applyAlignment="1">
      <alignment horizontal="right"/>
    </xf>
    <xf numFmtId="0" fontId="13" fillId="8" borderId="1" xfId="0" applyFont="1" applyFill="1" applyBorder="1" applyAlignment="1">
      <alignment horizontal="center"/>
    </xf>
    <xf numFmtId="164" fontId="11" fillId="7" borderId="2" xfId="0" applyNumberFormat="1" applyFont="1" applyFill="1" applyBorder="1" applyAlignment="1">
      <alignment horizontal="right"/>
    </xf>
    <xf numFmtId="164" fontId="14" fillId="7" borderId="2" xfId="0" applyNumberFormat="1" applyFont="1" applyFill="1" applyBorder="1" applyAlignment="1">
      <alignment horizontal="right"/>
    </xf>
    <xf numFmtId="165" fontId="11" fillId="7" borderId="2" xfId="0" applyNumberFormat="1" applyFont="1" applyFill="1" applyBorder="1" applyAlignment="1">
      <alignment horizontal="right"/>
    </xf>
    <xf numFmtId="165" fontId="14" fillId="7" borderId="2" xfId="0" applyNumberFormat="1" applyFont="1" applyFill="1" applyBorder="1" applyAlignment="1">
      <alignment horizontal="right"/>
    </xf>
    <xf numFmtId="0" fontId="13" fillId="4" borderId="1" xfId="0" applyFont="1" applyFill="1" applyBorder="1" applyAlignment="1">
      <alignment horizontal="center"/>
    </xf>
    <xf numFmtId="165" fontId="13" fillId="4" borderId="1" xfId="0" applyNumberFormat="1" applyFont="1" applyFill="1" applyBorder="1" applyAlignment="1">
      <alignment horizontal="right"/>
    </xf>
    <xf numFmtId="164" fontId="12" fillId="4" borderId="1" xfId="0" applyNumberFormat="1" applyFont="1" applyFill="1" applyBorder="1" applyAlignment="1">
      <alignment horizontal="right"/>
    </xf>
    <xf numFmtId="166" fontId="12" fillId="4" borderId="1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164" fontId="13" fillId="9" borderId="1" xfId="0" applyNumberFormat="1" applyFont="1" applyFill="1" applyBorder="1" applyAlignment="1">
      <alignment horizontal="right"/>
    </xf>
    <xf numFmtId="0" fontId="0" fillId="9" borderId="1" xfId="0" applyFill="1" applyBorder="1" applyAlignment="1">
      <alignment horizontal="center"/>
    </xf>
    <xf numFmtId="164" fontId="12" fillId="9" borderId="1" xfId="0" applyNumberFormat="1" applyFont="1" applyFill="1" applyBorder="1" applyAlignment="1">
      <alignment horizontal="right"/>
    </xf>
    <xf numFmtId="3" fontId="12" fillId="9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/>
    </xf>
    <xf numFmtId="0" fontId="12" fillId="8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left"/>
    </xf>
    <xf numFmtId="0" fontId="15" fillId="10" borderId="0" xfId="0" applyFont="1" applyFill="1" applyBorder="1" applyAlignment="1">
      <alignment horizontal="center" vertical="center"/>
    </xf>
    <xf numFmtId="2" fontId="15" fillId="10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167" fontId="0" fillId="0" borderId="0" xfId="1" applyNumberFormat="1" applyFont="1" applyBorder="1" applyAlignment="1">
      <alignment horizontal="center" vertical="center"/>
    </xf>
    <xf numFmtId="0" fontId="9" fillId="10" borderId="0" xfId="0" applyFont="1" applyFill="1" applyBorder="1" applyAlignment="1">
      <alignment horizontal="center" vertical="center"/>
    </xf>
    <xf numFmtId="165" fontId="19" fillId="12" borderId="4" xfId="0" applyNumberFormat="1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/>
    </xf>
    <xf numFmtId="164" fontId="12" fillId="0" borderId="4" xfId="0" applyNumberFormat="1" applyFont="1" applyBorder="1"/>
    <xf numFmtId="4" fontId="12" fillId="0" borderId="4" xfId="0" applyNumberFormat="1" applyFont="1" applyBorder="1"/>
    <xf numFmtId="165" fontId="12" fillId="0" borderId="4" xfId="0" applyNumberFormat="1" applyFont="1" applyBorder="1"/>
    <xf numFmtId="1" fontId="12" fillId="0" borderId="4" xfId="0" applyNumberFormat="1" applyFont="1" applyBorder="1" applyAlignment="1">
      <alignment horizontal="center"/>
    </xf>
    <xf numFmtId="0" fontId="12" fillId="13" borderId="4" xfId="0" applyFont="1" applyFill="1" applyBorder="1" applyAlignment="1">
      <alignment horizontal="center"/>
    </xf>
    <xf numFmtId="164" fontId="12" fillId="13" borderId="4" xfId="0" applyNumberFormat="1" applyFont="1" applyFill="1" applyBorder="1"/>
    <xf numFmtId="4" fontId="12" fillId="13" borderId="4" xfId="0" applyNumberFormat="1" applyFont="1" applyFill="1" applyBorder="1"/>
    <xf numFmtId="165" fontId="12" fillId="13" borderId="4" xfId="0" applyNumberFormat="1" applyFont="1" applyFill="1" applyBorder="1"/>
    <xf numFmtId="1" fontId="12" fillId="13" borderId="4" xfId="0" applyNumberFormat="1" applyFont="1" applyFill="1" applyBorder="1" applyAlignment="1">
      <alignment horizontal="center"/>
    </xf>
    <xf numFmtId="164" fontId="13" fillId="14" borderId="5" xfId="0" applyNumberFormat="1" applyFont="1" applyFill="1" applyBorder="1"/>
    <xf numFmtId="4" fontId="13" fillId="14" borderId="5" xfId="0" applyNumberFormat="1" applyFont="1" applyFill="1" applyBorder="1"/>
    <xf numFmtId="165" fontId="13" fillId="14" borderId="5" xfId="0" applyNumberFormat="1" applyFont="1" applyFill="1" applyBorder="1"/>
    <xf numFmtId="1" fontId="13" fillId="14" borderId="5" xfId="0" applyNumberFormat="1" applyFont="1" applyFill="1" applyBorder="1" applyAlignment="1">
      <alignment horizontal="center"/>
    </xf>
    <xf numFmtId="165" fontId="23" fillId="16" borderId="4" xfId="0" applyNumberFormat="1" applyFont="1" applyFill="1" applyBorder="1" applyAlignment="1">
      <alignment horizontal="center" vertical="center"/>
    </xf>
    <xf numFmtId="0" fontId="21" fillId="15" borderId="4" xfId="0" applyFont="1" applyFill="1" applyBorder="1" applyAlignment="1">
      <alignment horizontal="center" vertical="center"/>
    </xf>
    <xf numFmtId="3" fontId="12" fillId="0" borderId="4" xfId="0" applyNumberFormat="1" applyFont="1" applyBorder="1" applyAlignment="1">
      <alignment horizontal="center"/>
    </xf>
    <xf numFmtId="0" fontId="12" fillId="17" borderId="4" xfId="0" applyFont="1" applyFill="1" applyBorder="1" applyAlignment="1">
      <alignment horizontal="center"/>
    </xf>
    <xf numFmtId="164" fontId="12" fillId="17" borderId="4" xfId="0" applyNumberFormat="1" applyFont="1" applyFill="1" applyBorder="1"/>
    <xf numFmtId="3" fontId="12" fillId="17" borderId="4" xfId="0" applyNumberFormat="1" applyFont="1" applyFill="1" applyBorder="1" applyAlignment="1">
      <alignment horizontal="center"/>
    </xf>
    <xf numFmtId="165" fontId="12" fillId="17" borderId="4" xfId="0" applyNumberFormat="1" applyFont="1" applyFill="1" applyBorder="1"/>
    <xf numFmtId="1" fontId="12" fillId="17" borderId="4" xfId="0" applyNumberFormat="1" applyFont="1" applyFill="1" applyBorder="1" applyAlignment="1">
      <alignment horizontal="center"/>
    </xf>
    <xf numFmtId="164" fontId="13" fillId="18" borderId="5" xfId="0" applyNumberFormat="1" applyFont="1" applyFill="1" applyBorder="1"/>
    <xf numFmtId="3" fontId="13" fillId="18" borderId="5" xfId="0" applyNumberFormat="1" applyFont="1" applyFill="1" applyBorder="1" applyAlignment="1">
      <alignment horizontal="center"/>
    </xf>
    <xf numFmtId="165" fontId="13" fillId="18" borderId="5" xfId="0" applyNumberFormat="1" applyFont="1" applyFill="1" applyBorder="1"/>
    <xf numFmtId="1" fontId="13" fillId="18" borderId="5" xfId="0" applyNumberFormat="1" applyFont="1" applyFill="1" applyBorder="1" applyAlignment="1">
      <alignment horizontal="center"/>
    </xf>
    <xf numFmtId="168" fontId="19" fillId="12" borderId="4" xfId="0" applyNumberFormat="1" applyFont="1" applyFill="1" applyBorder="1" applyAlignment="1">
      <alignment horizontal="center" vertical="center"/>
    </xf>
    <xf numFmtId="168" fontId="23" fillId="16" borderId="4" xfId="0" applyNumberFormat="1" applyFont="1" applyFill="1" applyBorder="1" applyAlignment="1">
      <alignment horizontal="center" vertical="center"/>
    </xf>
    <xf numFmtId="0" fontId="13" fillId="14" borderId="5" xfId="0" applyFont="1" applyFill="1" applyBorder="1" applyAlignment="1">
      <alignment horizontal="center"/>
    </xf>
    <xf numFmtId="0" fontId="13" fillId="18" borderId="5" xfId="0" applyFont="1" applyFill="1" applyBorder="1" applyAlignment="1">
      <alignment horizontal="center"/>
    </xf>
    <xf numFmtId="0" fontId="0" fillId="0" borderId="8" xfId="0" applyBorder="1"/>
    <xf numFmtId="0" fontId="27" fillId="0" borderId="8" xfId="0" applyFont="1" applyBorder="1" applyAlignment="1">
      <alignment horizontal="left" vertical="center"/>
    </xf>
    <xf numFmtId="0" fontId="25" fillId="20" borderId="7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/>
    </xf>
    <xf numFmtId="0" fontId="12" fillId="0" borderId="7" xfId="0" applyFont="1" applyBorder="1" applyAlignment="1">
      <alignment horizontal="left"/>
    </xf>
    <xf numFmtId="4" fontId="12" fillId="0" borderId="7" xfId="0" applyNumberFormat="1" applyFont="1" applyBorder="1" applyAlignment="1">
      <alignment horizontal="right"/>
    </xf>
    <xf numFmtId="164" fontId="12" fillId="0" borderId="7" xfId="0" applyNumberFormat="1" applyFont="1" applyBorder="1" applyAlignment="1">
      <alignment horizontal="right"/>
    </xf>
    <xf numFmtId="0" fontId="25" fillId="21" borderId="7" xfId="0" applyFont="1" applyFill="1" applyBorder="1" applyAlignment="1">
      <alignment horizontal="center" vertical="center" wrapText="1"/>
    </xf>
    <xf numFmtId="3" fontId="12" fillId="0" borderId="7" xfId="0" applyNumberFormat="1" applyFont="1" applyBorder="1" applyAlignment="1">
      <alignment horizontal="right"/>
    </xf>
    <xf numFmtId="0" fontId="25" fillId="19" borderId="7" xfId="0" applyFont="1" applyFill="1" applyBorder="1" applyAlignment="1">
      <alignment horizontal="center" vertical="center"/>
    </xf>
    <xf numFmtId="1" fontId="12" fillId="0" borderId="7" xfId="0" applyNumberFormat="1" applyFont="1" applyBorder="1" applyAlignment="1">
      <alignment horizontal="center"/>
    </xf>
    <xf numFmtId="0" fontId="25" fillId="24" borderId="7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1" fontId="12" fillId="0" borderId="8" xfId="0" applyNumberFormat="1" applyFont="1" applyBorder="1" applyAlignment="1">
      <alignment horizontal="center"/>
    </xf>
    <xf numFmtId="1" fontId="13" fillId="0" borderId="8" xfId="0" applyNumberFormat="1" applyFont="1" applyBorder="1" applyAlignment="1">
      <alignment horizontal="center"/>
    </xf>
    <xf numFmtId="0" fontId="26" fillId="0" borderId="8" xfId="0" applyFont="1" applyBorder="1" applyAlignment="1">
      <alignment horizontal="left" vertical="center" indent="1"/>
    </xf>
    <xf numFmtId="0" fontId="25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0" fontId="12" fillId="0" borderId="8" xfId="0" applyFont="1" applyBorder="1" applyAlignment="1">
      <alignment horizontal="left"/>
    </xf>
    <xf numFmtId="4" fontId="12" fillId="0" borderId="8" xfId="0" applyNumberFormat="1" applyFont="1" applyBorder="1" applyAlignment="1">
      <alignment horizontal="right"/>
    </xf>
    <xf numFmtId="164" fontId="12" fillId="0" borderId="8" xfId="0" applyNumberFormat="1" applyFont="1" applyBorder="1" applyAlignment="1">
      <alignment horizontal="right"/>
    </xf>
    <xf numFmtId="0" fontId="13" fillId="0" borderId="8" xfId="0" applyFont="1" applyBorder="1" applyAlignment="1">
      <alignment horizontal="right" vertical="center"/>
    </xf>
    <xf numFmtId="4" fontId="13" fillId="0" borderId="8" xfId="0" applyNumberFormat="1" applyFont="1" applyBorder="1" applyAlignment="1">
      <alignment horizontal="right"/>
    </xf>
    <xf numFmtId="164" fontId="13" fillId="0" borderId="8" xfId="0" applyNumberFormat="1" applyFont="1" applyBorder="1" applyAlignment="1">
      <alignment horizontal="right"/>
    </xf>
    <xf numFmtId="0" fontId="29" fillId="0" borderId="10" xfId="0" applyFont="1" applyBorder="1" applyAlignment="1">
      <alignment horizontal="center"/>
    </xf>
    <xf numFmtId="0" fontId="29" fillId="0" borderId="10" xfId="0" applyFont="1" applyBorder="1" applyAlignment="1">
      <alignment horizontal="left"/>
    </xf>
    <xf numFmtId="2" fontId="29" fillId="0" borderId="10" xfId="0" applyNumberFormat="1" applyFont="1" applyBorder="1" applyAlignment="1">
      <alignment horizontal="right"/>
    </xf>
    <xf numFmtId="1" fontId="29" fillId="0" borderId="10" xfId="0" applyNumberFormat="1" applyFont="1" applyBorder="1" applyAlignment="1">
      <alignment horizontal="center"/>
    </xf>
    <xf numFmtId="0" fontId="29" fillId="0" borderId="10" xfId="0" applyFont="1" applyBorder="1"/>
    <xf numFmtId="0" fontId="29" fillId="0" borderId="12" xfId="0" applyFont="1" applyBorder="1" applyAlignment="1">
      <alignment horizontal="center"/>
    </xf>
    <xf numFmtId="0" fontId="29" fillId="0" borderId="12" xfId="0" applyFont="1" applyBorder="1" applyAlignment="1">
      <alignment horizontal="left"/>
    </xf>
    <xf numFmtId="4" fontId="29" fillId="0" borderId="12" xfId="0" applyNumberFormat="1" applyFont="1" applyBorder="1" applyAlignment="1">
      <alignment horizontal="left"/>
    </xf>
    <xf numFmtId="2" fontId="29" fillId="0" borderId="12" xfId="0" applyNumberFormat="1" applyFont="1" applyBorder="1" applyAlignment="1">
      <alignment horizontal="right"/>
    </xf>
    <xf numFmtId="2" fontId="32" fillId="25" borderId="13" xfId="0" applyNumberFormat="1" applyFont="1" applyFill="1" applyBorder="1" applyAlignment="1">
      <alignment horizontal="right"/>
    </xf>
    <xf numFmtId="0" fontId="0" fillId="0" borderId="11" xfId="0" applyBorder="1"/>
    <xf numFmtId="3" fontId="29" fillId="0" borderId="12" xfId="0" applyNumberFormat="1" applyFont="1" applyBorder="1" applyAlignment="1">
      <alignment horizontal="right"/>
    </xf>
    <xf numFmtId="1" fontId="29" fillId="0" borderId="12" xfId="0" applyNumberFormat="1" applyFont="1" applyBorder="1" applyAlignment="1">
      <alignment horizontal="center"/>
    </xf>
    <xf numFmtId="2" fontId="30" fillId="22" borderId="16" xfId="0" applyNumberFormat="1" applyFont="1" applyFill="1" applyBorder="1" applyAlignment="1">
      <alignment horizontal="right"/>
    </xf>
    <xf numFmtId="3" fontId="30" fillId="22" borderId="16" xfId="0" applyNumberFormat="1" applyFont="1" applyFill="1" applyBorder="1" applyAlignment="1">
      <alignment horizontal="center"/>
    </xf>
    <xf numFmtId="3" fontId="30" fillId="22" borderId="16" xfId="0" applyNumberFormat="1" applyFont="1" applyFill="1" applyBorder="1" applyAlignment="1">
      <alignment horizontal="right"/>
    </xf>
    <xf numFmtId="0" fontId="30" fillId="22" borderId="16" xfId="0" applyFont="1" applyFill="1" applyBorder="1" applyAlignment="1">
      <alignment horizontal="center"/>
    </xf>
    <xf numFmtId="2" fontId="31" fillId="23" borderId="19" xfId="0" applyNumberFormat="1" applyFont="1" applyFill="1" applyBorder="1" applyAlignment="1">
      <alignment horizontal="right"/>
    </xf>
    <xf numFmtId="0" fontId="31" fillId="23" borderId="19" xfId="0" applyFont="1" applyFill="1" applyBorder="1" applyAlignment="1">
      <alignment horizontal="center"/>
    </xf>
    <xf numFmtId="3" fontId="31" fillId="23" borderId="19" xfId="0" applyNumberFormat="1" applyFont="1" applyFill="1" applyBorder="1" applyAlignment="1">
      <alignment horizontal="right"/>
    </xf>
    <xf numFmtId="1" fontId="29" fillId="0" borderId="0" xfId="0" applyNumberFormat="1" applyFont="1" applyBorder="1" applyAlignment="1">
      <alignment horizontal="center"/>
    </xf>
    <xf numFmtId="0" fontId="29" fillId="0" borderId="0" xfId="0" applyFont="1" applyBorder="1" applyAlignment="1">
      <alignment horizontal="left"/>
    </xf>
    <xf numFmtId="2" fontId="29" fillId="0" borderId="0" xfId="0" applyNumberFormat="1" applyFont="1" applyBorder="1" applyAlignment="1">
      <alignment horizontal="right"/>
    </xf>
    <xf numFmtId="1" fontId="12" fillId="0" borderId="0" xfId="0" applyNumberFormat="1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0" fontId="12" fillId="0" borderId="0" xfId="0" applyFont="1" applyBorder="1" applyAlignment="1">
      <alignment horizontal="left"/>
    </xf>
    <xf numFmtId="3" fontId="12" fillId="0" borderId="0" xfId="0" applyNumberFormat="1" applyFont="1" applyBorder="1" applyAlignment="1">
      <alignment horizontal="right"/>
    </xf>
    <xf numFmtId="164" fontId="12" fillId="0" borderId="0" xfId="0" applyNumberFormat="1" applyFont="1" applyBorder="1" applyAlignment="1">
      <alignment horizontal="right"/>
    </xf>
    <xf numFmtId="0" fontId="34" fillId="3" borderId="1" xfId="0" applyFont="1" applyFill="1" applyBorder="1" applyAlignment="1">
      <alignment horizontal="center"/>
    </xf>
    <xf numFmtId="0" fontId="34" fillId="3" borderId="1" xfId="0" applyFont="1" applyFill="1" applyBorder="1" applyAlignment="1">
      <alignment horizontal="left"/>
    </xf>
    <xf numFmtId="0" fontId="34" fillId="3" borderId="1" xfId="0" applyFont="1" applyFill="1" applyBorder="1" applyAlignment="1">
      <alignment horizontal="right"/>
    </xf>
    <xf numFmtId="169" fontId="29" fillId="0" borderId="12" xfId="0" applyNumberFormat="1" applyFont="1" applyBorder="1" applyAlignment="1">
      <alignment horizontal="right"/>
    </xf>
    <xf numFmtId="170" fontId="29" fillId="0" borderId="12" xfId="0" applyNumberFormat="1" applyFont="1" applyBorder="1" applyAlignment="1">
      <alignment horizontal="right"/>
    </xf>
    <xf numFmtId="170" fontId="32" fillId="25" borderId="13" xfId="0" applyNumberFormat="1" applyFont="1" applyFill="1" applyBorder="1" applyAlignment="1">
      <alignment horizontal="right"/>
    </xf>
    <xf numFmtId="170" fontId="30" fillId="22" borderId="16" xfId="0" applyNumberFormat="1" applyFont="1" applyFill="1" applyBorder="1" applyAlignment="1">
      <alignment horizontal="right"/>
    </xf>
    <xf numFmtId="170" fontId="31" fillId="23" borderId="19" xfId="0" applyNumberFormat="1" applyFont="1" applyFill="1" applyBorder="1" applyAlignment="1">
      <alignment horizontal="right"/>
    </xf>
    <xf numFmtId="170" fontId="29" fillId="0" borderId="10" xfId="0" applyNumberFormat="1" applyFont="1" applyBorder="1" applyAlignment="1">
      <alignment horizontal="right"/>
    </xf>
    <xf numFmtId="170" fontId="29" fillId="0" borderId="0" xfId="0" applyNumberFormat="1" applyFont="1" applyBorder="1" applyAlignment="1">
      <alignment horizontal="right"/>
    </xf>
    <xf numFmtId="170" fontId="29" fillId="0" borderId="23" xfId="0" applyNumberFormat="1" applyFont="1" applyBorder="1" applyAlignment="1">
      <alignment horizontal="right"/>
    </xf>
    <xf numFmtId="0" fontId="43" fillId="6" borderId="23" xfId="0" applyFont="1" applyFill="1" applyBorder="1" applyAlignment="1">
      <alignment horizontal="center"/>
    </xf>
    <xf numFmtId="0" fontId="29" fillId="0" borderId="23" xfId="0" applyFont="1" applyBorder="1" applyAlignment="1">
      <alignment horizontal="left"/>
    </xf>
    <xf numFmtId="0" fontId="29" fillId="0" borderId="24" xfId="0" applyFont="1" applyBorder="1" applyAlignment="1">
      <alignment horizontal="center"/>
    </xf>
    <xf numFmtId="0" fontId="29" fillId="0" borderId="24" xfId="0" applyFont="1" applyBorder="1" applyAlignment="1">
      <alignment horizontal="left"/>
    </xf>
    <xf numFmtId="170" fontId="29" fillId="0" borderId="24" xfId="0" applyNumberFormat="1" applyFont="1" applyBorder="1" applyAlignment="1">
      <alignment horizontal="right"/>
    </xf>
    <xf numFmtId="1" fontId="29" fillId="0" borderId="24" xfId="0" applyNumberFormat="1" applyFont="1" applyBorder="1" applyAlignment="1">
      <alignment horizontal="center"/>
    </xf>
    <xf numFmtId="2" fontId="29" fillId="0" borderId="24" xfId="0" applyNumberFormat="1" applyFont="1" applyBorder="1" applyAlignment="1">
      <alignment horizontal="right"/>
    </xf>
    <xf numFmtId="0" fontId="29" fillId="0" borderId="24" xfId="0" applyFont="1" applyBorder="1"/>
    <xf numFmtId="0" fontId="0" fillId="0" borderId="22" xfId="0"/>
    <xf numFmtId="0" fontId="0" fillId="0" borderId="0" xfId="0" applyBorder="1"/>
    <xf numFmtId="164" fontId="19" fillId="12" borderId="4" xfId="0" applyNumberFormat="1" applyFont="1" applyFill="1" applyBorder="1" applyAlignment="1">
      <alignment horizontal="center" vertical="center"/>
    </xf>
    <xf numFmtId="0" fontId="18" fillId="12" borderId="4" xfId="0" applyFont="1" applyFill="1" applyBorder="1" applyAlignment="1">
      <alignment horizontal="center" vertical="center"/>
    </xf>
    <xf numFmtId="164" fontId="23" fillId="16" borderId="4" xfId="0" applyNumberFormat="1" applyFont="1" applyFill="1" applyBorder="1" applyAlignment="1">
      <alignment horizontal="center" vertical="center"/>
    </xf>
    <xf numFmtId="0" fontId="22" fillId="16" borderId="4" xfId="0" applyFont="1" applyFill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/>
    </xf>
    <xf numFmtId="170" fontId="38" fillId="4" borderId="26" xfId="0" applyNumberFormat="1" applyFont="1" applyFill="1" applyBorder="1" applyAlignment="1">
      <alignment horizontal="center" vertical="center"/>
    </xf>
    <xf numFmtId="170" fontId="40" fillId="4" borderId="26" xfId="0" applyNumberFormat="1" applyFont="1" applyFill="1" applyBorder="1" applyAlignment="1">
      <alignment horizontal="center" vertical="center"/>
    </xf>
    <xf numFmtId="170" fontId="45" fillId="4" borderId="26" xfId="0" applyNumberFormat="1" applyFont="1" applyFill="1" applyBorder="1" applyAlignment="1">
      <alignment horizontal="center" vertical="center"/>
    </xf>
    <xf numFmtId="0" fontId="37" fillId="4" borderId="26" xfId="0" applyFont="1" applyFill="1" applyBorder="1" applyAlignment="1">
      <alignment horizontal="center" vertical="center"/>
    </xf>
    <xf numFmtId="0" fontId="34" fillId="28" borderId="26" xfId="0" applyFont="1" applyFill="1" applyBorder="1" applyAlignment="1">
      <alignment horizontal="center" vertical="center" wrapText="1"/>
    </xf>
    <xf numFmtId="0" fontId="34" fillId="28" borderId="26" xfId="0" applyFont="1" applyFill="1" applyBorder="1" applyAlignment="1">
      <alignment horizontal="left" vertical="center" wrapText="1"/>
    </xf>
    <xf numFmtId="0" fontId="34" fillId="28" borderId="26" xfId="0" applyFont="1" applyFill="1" applyBorder="1" applyAlignment="1">
      <alignment horizontal="right" vertical="center" wrapText="1"/>
    </xf>
    <xf numFmtId="0" fontId="29" fillId="0" borderId="26" xfId="0" applyFont="1" applyBorder="1" applyAlignment="1">
      <alignment horizontal="center"/>
    </xf>
    <xf numFmtId="0" fontId="29" fillId="0" borderId="26" xfId="0" applyFont="1" applyBorder="1" applyAlignment="1">
      <alignment horizontal="left"/>
    </xf>
    <xf numFmtId="170" fontId="29" fillId="0" borderId="26" xfId="0" applyNumberFormat="1" applyFont="1" applyBorder="1" applyAlignment="1">
      <alignment horizontal="right"/>
    </xf>
    <xf numFmtId="0" fontId="41" fillId="29" borderId="26" xfId="0" applyFont="1" applyFill="1" applyBorder="1" applyAlignment="1">
      <alignment horizontal="center"/>
    </xf>
    <xf numFmtId="0" fontId="44" fillId="5" borderId="26" xfId="0" applyFont="1" applyFill="1" applyBorder="1" applyAlignment="1">
      <alignment horizontal="center"/>
    </xf>
    <xf numFmtId="0" fontId="42" fillId="30" borderId="26" xfId="0" applyFont="1" applyFill="1" applyBorder="1" applyAlignment="1">
      <alignment horizontal="center"/>
    </xf>
    <xf numFmtId="0" fontId="31" fillId="25" borderId="28" xfId="0" applyFont="1" applyFill="1" applyBorder="1" applyAlignment="1">
      <alignment horizontal="center"/>
    </xf>
    <xf numFmtId="0" fontId="31" fillId="25" borderId="28" xfId="0" applyFont="1" applyFill="1" applyBorder="1" applyAlignment="1">
      <alignment horizontal="left"/>
    </xf>
    <xf numFmtId="170" fontId="31" fillId="25" borderId="28" xfId="0" applyNumberFormat="1" applyFont="1" applyFill="1" applyBorder="1" applyAlignment="1">
      <alignment horizontal="right"/>
    </xf>
    <xf numFmtId="0" fontId="43" fillId="6" borderId="26" xfId="0" applyFont="1" applyFill="1" applyBorder="1" applyAlignment="1">
      <alignment horizontal="center"/>
    </xf>
    <xf numFmtId="0" fontId="34" fillId="28" borderId="26" xfId="0" applyFont="1" applyFill="1" applyBorder="1" applyAlignment="1">
      <alignment horizontal="center"/>
    </xf>
    <xf numFmtId="0" fontId="34" fillId="28" borderId="26" xfId="0" applyFont="1" applyFill="1" applyBorder="1" applyAlignment="1">
      <alignment horizontal="left"/>
    </xf>
    <xf numFmtId="0" fontId="34" fillId="28" borderId="26" xfId="0" applyFont="1" applyFill="1" applyBorder="1" applyAlignment="1">
      <alignment horizontal="right"/>
    </xf>
    <xf numFmtId="0" fontId="30" fillId="0" borderId="26" xfId="0" applyFont="1" applyBorder="1" applyAlignment="1">
      <alignment horizontal="center"/>
    </xf>
    <xf numFmtId="0" fontId="30" fillId="0" borderId="26" xfId="0" applyFont="1" applyBorder="1" applyAlignment="1">
      <alignment horizontal="left"/>
    </xf>
    <xf numFmtId="170" fontId="30" fillId="0" borderId="26" xfId="0" applyNumberFormat="1" applyFont="1" applyBorder="1" applyAlignment="1">
      <alignment horizontal="right"/>
    </xf>
    <xf numFmtId="0" fontId="30" fillId="31" borderId="26" xfId="0" applyFont="1" applyFill="1" applyBorder="1" applyAlignment="1">
      <alignment horizontal="center"/>
    </xf>
    <xf numFmtId="0" fontId="30" fillId="31" borderId="26" xfId="0" applyFont="1" applyFill="1" applyBorder="1" applyAlignment="1">
      <alignment horizontal="left"/>
    </xf>
    <xf numFmtId="170" fontId="30" fillId="31" borderId="26" xfId="0" applyNumberFormat="1" applyFont="1" applyFill="1" applyBorder="1" applyAlignment="1">
      <alignment horizontal="right"/>
    </xf>
    <xf numFmtId="0" fontId="29" fillId="26" borderId="26" xfId="0" applyFont="1" applyFill="1" applyBorder="1" applyAlignment="1">
      <alignment horizontal="center"/>
    </xf>
    <xf numFmtId="169" fontId="29" fillId="26" borderId="26" xfId="0" applyNumberFormat="1" applyFont="1" applyFill="1" applyBorder="1" applyAlignment="1">
      <alignment horizontal="right"/>
    </xf>
    <xf numFmtId="170" fontId="29" fillId="26" borderId="26" xfId="0" applyNumberFormat="1" applyFont="1" applyFill="1" applyBorder="1" applyAlignment="1">
      <alignment horizontal="right"/>
    </xf>
    <xf numFmtId="169" fontId="29" fillId="0" borderId="26" xfId="0" applyNumberFormat="1" applyFont="1" applyBorder="1" applyAlignment="1">
      <alignment horizontal="right"/>
    </xf>
    <xf numFmtId="0" fontId="29" fillId="25" borderId="26" xfId="0" applyFont="1" applyFill="1" applyBorder="1" applyAlignment="1">
      <alignment horizontal="center"/>
    </xf>
    <xf numFmtId="169" fontId="29" fillId="25" borderId="26" xfId="0" applyNumberFormat="1" applyFont="1" applyFill="1" applyBorder="1" applyAlignment="1">
      <alignment horizontal="right"/>
    </xf>
    <xf numFmtId="170" fontId="29" fillId="25" borderId="26" xfId="0" applyNumberFormat="1" applyFont="1" applyFill="1" applyBorder="1" applyAlignment="1">
      <alignment horizontal="right"/>
    </xf>
    <xf numFmtId="2" fontId="32" fillId="25" borderId="27" xfId="0" applyNumberFormat="1" applyFont="1" applyFill="1" applyBorder="1" applyAlignment="1">
      <alignment horizontal="right"/>
    </xf>
    <xf numFmtId="170" fontId="32" fillId="25" borderId="27" xfId="0" applyNumberFormat="1" applyFont="1" applyFill="1" applyBorder="1" applyAlignment="1">
      <alignment horizontal="right"/>
    </xf>
    <xf numFmtId="2" fontId="33" fillId="26" borderId="28" xfId="0" applyNumberFormat="1" applyFont="1" applyFill="1" applyBorder="1" applyAlignment="1">
      <alignment horizontal="right"/>
    </xf>
    <xf numFmtId="170" fontId="33" fillId="26" borderId="28" xfId="0" applyNumberFormat="1" applyFont="1" applyFill="1" applyBorder="1" applyAlignment="1">
      <alignment horizontal="right"/>
    </xf>
    <xf numFmtId="1" fontId="29" fillId="0" borderId="26" xfId="0" applyNumberFormat="1" applyFont="1" applyBorder="1" applyAlignment="1">
      <alignment horizontal="center"/>
    </xf>
    <xf numFmtId="2" fontId="29" fillId="0" borderId="26" xfId="0" applyNumberFormat="1" applyFont="1" applyBorder="1" applyAlignment="1">
      <alignment horizontal="right"/>
    </xf>
    <xf numFmtId="0" fontId="29" fillId="0" borderId="26" xfId="0" applyFont="1" applyBorder="1"/>
    <xf numFmtId="0" fontId="2" fillId="2" borderId="22" xfId="0" applyFont="1" applyFill="1" applyAlignment="1">
      <alignment horizontal="center" vertical="center"/>
    </xf>
    <xf numFmtId="0" fontId="0" fillId="0" borderId="0" xfId="0" applyBorder="1"/>
    <xf numFmtId="0" fontId="4" fillId="5" borderId="25" xfId="0" applyFont="1" applyFill="1" applyBorder="1" applyAlignment="1">
      <alignment horizontal="center" vertical="center"/>
    </xf>
    <xf numFmtId="0" fontId="0" fillId="0" borderId="9" xfId="0" applyBorder="1"/>
    <xf numFmtId="0" fontId="0" fillId="0" borderId="3" xfId="0" applyBorder="1"/>
    <xf numFmtId="164" fontId="8" fillId="6" borderId="25" xfId="0" applyNumberFormat="1" applyFont="1" applyFill="1" applyBorder="1" applyAlignment="1">
      <alignment horizontal="center" vertical="center"/>
    </xf>
    <xf numFmtId="0" fontId="3" fillId="3" borderId="22" xfId="0" applyFont="1" applyFill="1" applyAlignment="1">
      <alignment horizontal="center" vertical="center"/>
    </xf>
    <xf numFmtId="164" fontId="5" fillId="4" borderId="25" xfId="0" applyNumberFormat="1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9" fillId="2" borderId="22" xfId="0" applyFont="1" applyFill="1" applyAlignment="1">
      <alignment horizontal="left" vertical="center" indent="1"/>
    </xf>
    <xf numFmtId="0" fontId="4" fillId="6" borderId="25" xfId="0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6" fillId="6" borderId="25" xfId="0" applyFont="1" applyFill="1" applyBorder="1" applyAlignment="1">
      <alignment horizontal="center" vertical="center"/>
    </xf>
    <xf numFmtId="164" fontId="7" fillId="5" borderId="25" xfId="0" applyNumberFormat="1" applyFont="1" applyFill="1" applyBorder="1" applyAlignment="1">
      <alignment horizontal="center" vertical="center"/>
    </xf>
    <xf numFmtId="0" fontId="28" fillId="27" borderId="0" xfId="0" applyFont="1" applyFill="1" applyBorder="1" applyAlignment="1">
      <alignment horizontal="left" vertical="center" indent="1"/>
    </xf>
    <xf numFmtId="0" fontId="35" fillId="21" borderId="0" xfId="0" applyFont="1" applyFill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/>
    </xf>
    <xf numFmtId="0" fontId="0" fillId="4" borderId="26" xfId="0" applyFill="1" applyBorder="1"/>
    <xf numFmtId="170" fontId="39" fillId="4" borderId="26" xfId="0" applyNumberFormat="1" applyFont="1" applyFill="1" applyBorder="1" applyAlignment="1">
      <alignment horizontal="center" vertical="center"/>
    </xf>
    <xf numFmtId="170" fontId="36" fillId="4" borderId="26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0" fontId="40" fillId="4" borderId="26" xfId="0" applyNumberFormat="1" applyFont="1" applyFill="1" applyBorder="1" applyAlignment="1">
      <alignment horizontal="center" vertical="center"/>
    </xf>
    <xf numFmtId="0" fontId="37" fillId="4" borderId="26" xfId="0" applyFont="1" applyFill="1" applyBorder="1" applyAlignment="1">
      <alignment horizontal="center" vertical="center"/>
    </xf>
    <xf numFmtId="0" fontId="33" fillId="26" borderId="28" xfId="0" applyFont="1" applyFill="1" applyBorder="1" applyAlignment="1">
      <alignment horizontal="left" vertical="center" indent="1"/>
    </xf>
    <xf numFmtId="0" fontId="33" fillId="26" borderId="28" xfId="0" applyFont="1" applyFill="1" applyBorder="1"/>
    <xf numFmtId="0" fontId="32" fillId="25" borderId="13" xfId="0" applyFont="1" applyFill="1" applyBorder="1" applyAlignment="1">
      <alignment horizontal="left"/>
    </xf>
    <xf numFmtId="0" fontId="0" fillId="0" borderId="14" xfId="0" applyBorder="1"/>
    <xf numFmtId="0" fontId="0" fillId="0" borderId="15" xfId="0" applyBorder="1"/>
    <xf numFmtId="0" fontId="17" fillId="11" borderId="22" xfId="0" applyFont="1" applyFill="1" applyAlignment="1">
      <alignment horizontal="center" vertical="center"/>
    </xf>
    <xf numFmtId="0" fontId="32" fillId="25" borderId="27" xfId="0" applyFont="1" applyFill="1" applyBorder="1" applyAlignment="1">
      <alignment horizontal="left" vertical="center" indent="1"/>
    </xf>
    <xf numFmtId="0" fontId="32" fillId="25" borderId="27" xfId="0" applyFont="1" applyFill="1" applyBorder="1"/>
    <xf numFmtId="0" fontId="16" fillId="11" borderId="22" xfId="0" applyFont="1" applyFill="1" applyAlignment="1">
      <alignment horizontal="center" vertical="center"/>
    </xf>
    <xf numFmtId="164" fontId="19" fillId="12" borderId="4" xfId="0" applyNumberFormat="1" applyFont="1" applyFill="1" applyBorder="1" applyAlignment="1">
      <alignment horizontal="center" vertical="center"/>
    </xf>
    <xf numFmtId="0" fontId="0" fillId="0" borderId="6" xfId="0" applyBorder="1"/>
    <xf numFmtId="0" fontId="18" fillId="12" borderId="4" xfId="0" applyFont="1" applyFill="1" applyBorder="1" applyAlignment="1">
      <alignment horizontal="center" vertical="center"/>
    </xf>
    <xf numFmtId="0" fontId="28" fillId="20" borderId="22" xfId="0" applyFont="1" applyFill="1" applyAlignment="1">
      <alignment horizontal="left" vertical="center" indent="1"/>
    </xf>
    <xf numFmtId="0" fontId="20" fillId="0" borderId="22" xfId="0" applyFont="1"/>
    <xf numFmtId="171" fontId="19" fillId="12" borderId="4" xfId="0" applyNumberFormat="1" applyFont="1" applyFill="1" applyBorder="1" applyAlignment="1">
      <alignment horizontal="center" vertical="center"/>
    </xf>
    <xf numFmtId="0" fontId="16" fillId="15" borderId="22" xfId="0" applyFont="1" applyFill="1" applyAlignment="1">
      <alignment horizontal="center" vertical="center"/>
    </xf>
    <xf numFmtId="0" fontId="17" fillId="15" borderId="22" xfId="0" applyFont="1" applyFill="1" applyAlignment="1">
      <alignment horizontal="center" vertical="center"/>
    </xf>
    <xf numFmtId="0" fontId="30" fillId="22" borderId="16" xfId="0" applyFont="1" applyFill="1" applyBorder="1" applyAlignment="1">
      <alignment horizontal="right"/>
    </xf>
    <xf numFmtId="0" fontId="0" fillId="0" borderId="17" xfId="0" applyBorder="1"/>
    <xf numFmtId="0" fontId="0" fillId="0" borderId="18" xfId="0" applyBorder="1"/>
    <xf numFmtId="0" fontId="22" fillId="16" borderId="4" xfId="0" applyFont="1" applyFill="1" applyBorder="1" applyAlignment="1">
      <alignment horizontal="center" vertical="center"/>
    </xf>
    <xf numFmtId="0" fontId="31" fillId="23" borderId="19" xfId="0" applyFont="1" applyFill="1" applyBorder="1" applyAlignment="1">
      <alignment horizontal="right"/>
    </xf>
    <xf numFmtId="0" fontId="0" fillId="0" borderId="20" xfId="0" applyBorder="1"/>
    <xf numFmtId="0" fontId="0" fillId="0" borderId="21" xfId="0" applyBorder="1"/>
    <xf numFmtId="0" fontId="24" fillId="0" borderId="22" xfId="0" applyFont="1"/>
    <xf numFmtId="172" fontId="23" fillId="16" borderId="4" xfId="0" applyNumberFormat="1" applyFont="1" applyFill="1" applyBorder="1" applyAlignment="1">
      <alignment horizontal="center" vertical="center"/>
    </xf>
    <xf numFmtId="164" fontId="23" fillId="16" borderId="4" xfId="0" applyNumberFormat="1" applyFont="1" applyFill="1" applyBorder="1" applyAlignment="1">
      <alignment horizontal="center" vertical="center"/>
    </xf>
    <xf numFmtId="0" fontId="28" fillId="21" borderId="22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CO"/>
              <a:t>Egresos por Categoría (Agosto 2026)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Dashboard!$E$16</c:f>
              <c:strCache>
                <c:ptCount val="1"/>
                <c:pt idx="0">
                  <c:v>Total Mes ($)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Dashboard!$B$17:$B$22</c:f>
              <c:strCache>
                <c:ptCount val="6"/>
                <c:pt idx="0">
                  <c:v>Carnes</c:v>
                </c:pt>
                <c:pt idx="1">
                  <c:v>Servicios</c:v>
                </c:pt>
                <c:pt idx="2">
                  <c:v>Desechables</c:v>
                </c:pt>
                <c:pt idx="3">
                  <c:v>Verduras</c:v>
                </c:pt>
                <c:pt idx="4">
                  <c:v>Grano</c:v>
                </c:pt>
                <c:pt idx="5">
                  <c:v>Bebidas</c:v>
                </c:pt>
              </c:strCache>
            </c:strRef>
          </c:cat>
          <c:val>
            <c:numRef>
              <c:f>Dashboard!$E$17:$E$22</c:f>
              <c:numCache>
                <c:formatCode>\$#,##0</c:formatCode>
                <c:ptCount val="6"/>
                <c:pt idx="0">
                  <c:v>29008212.039999999</c:v>
                </c:pt>
                <c:pt idx="1">
                  <c:v>11253680</c:v>
                </c:pt>
                <c:pt idx="2">
                  <c:v>5462253</c:v>
                </c:pt>
                <c:pt idx="3">
                  <c:v>5912885</c:v>
                </c:pt>
                <c:pt idx="4">
                  <c:v>3900265</c:v>
                </c:pt>
                <c:pt idx="5">
                  <c:v>2669500.0000000009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B0-4A1E-8E28-549A6719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Categoría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Valor ($ COP)</a:t>
                </a:r>
              </a:p>
            </c:rich>
          </c:tx>
          <c:overlay val="0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176482</xdr:colOff>
      <xdr:row>8</xdr:row>
      <xdr:rowOff>7421</xdr:rowOff>
    </xdr:from>
    <xdr:ext cx="6031577" cy="276416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zoomScale="85" zoomScaleNormal="85" workbookViewId="0">
      <selection activeCell="E6" sqref="E6:G6"/>
    </sheetView>
  </sheetViews>
  <sheetFormatPr baseColWidth="10" defaultColWidth="8.7109375" defaultRowHeight="15" x14ac:dyDescent="0.25"/>
  <cols>
    <col min="1" max="1" width="2" style="165" customWidth="1"/>
    <col min="2" max="2" width="15.5703125" style="165" customWidth="1"/>
    <col min="3" max="3" width="19" style="165" customWidth="1"/>
    <col min="4" max="4" width="14" style="165" customWidth="1"/>
    <col min="5" max="5" width="14" style="165" bestFit="1" customWidth="1"/>
    <col min="6" max="6" width="12" style="165" customWidth="1"/>
    <col min="7" max="7" width="14" style="165" bestFit="1" customWidth="1"/>
    <col min="8" max="13" width="13" style="165" customWidth="1"/>
    <col min="14" max="14" width="11" style="165" customWidth="1"/>
    <col min="15" max="15" width="2" style="165" customWidth="1"/>
  </cols>
  <sheetData>
    <row r="1" spans="2:14" ht="8.1" customHeight="1" x14ac:dyDescent="0.25"/>
    <row r="2" spans="2:14" ht="26.1" customHeight="1" x14ac:dyDescent="0.25">
      <c r="B2" s="211" t="s">
        <v>0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</row>
    <row r="3" spans="2:14" ht="18" customHeight="1" x14ac:dyDescent="0.25">
      <c r="B3" s="217" t="s">
        <v>1</v>
      </c>
      <c r="C3" s="212"/>
      <c r="D3" s="212"/>
      <c r="E3" s="212"/>
      <c r="F3" s="212"/>
      <c r="G3" s="212"/>
      <c r="H3" s="212"/>
      <c r="I3" s="212"/>
      <c r="J3" s="212"/>
      <c r="K3" s="212"/>
      <c r="L3" s="212"/>
      <c r="M3" s="212"/>
      <c r="N3" s="212"/>
    </row>
    <row r="4" spans="2:14" ht="9.9499999999999993" customHeight="1" x14ac:dyDescent="0.25"/>
    <row r="5" spans="2:14" ht="15.95" customHeight="1" x14ac:dyDescent="0.25">
      <c r="B5" s="220" t="s">
        <v>2</v>
      </c>
      <c r="C5" s="214"/>
      <c r="D5" s="215"/>
      <c r="E5" s="213" t="s">
        <v>3</v>
      </c>
      <c r="F5" s="214"/>
      <c r="G5" s="215"/>
      <c r="H5" s="222" t="s">
        <v>4</v>
      </c>
      <c r="I5" s="214"/>
      <c r="J5" s="215"/>
      <c r="K5" s="220" t="s">
        <v>5</v>
      </c>
      <c r="L5" s="214"/>
      <c r="M5" s="214"/>
      <c r="N5" s="215"/>
    </row>
    <row r="6" spans="2:14" ht="27.95" customHeight="1" x14ac:dyDescent="0.25">
      <c r="B6" s="218">
        <f>E58</f>
        <v>58206795.040000014</v>
      </c>
      <c r="C6" s="214"/>
      <c r="D6" s="215"/>
      <c r="E6" s="225">
        <f>C58</f>
        <v>46953115.040000014</v>
      </c>
      <c r="F6" s="214"/>
      <c r="G6" s="215"/>
      <c r="H6" s="216">
        <f>D58</f>
        <v>11253680</v>
      </c>
      <c r="I6" s="214"/>
      <c r="J6" s="215"/>
      <c r="K6" s="218">
        <f>E59</f>
        <v>5291526.8218181832</v>
      </c>
      <c r="L6" s="214"/>
      <c r="M6" s="214"/>
      <c r="N6" s="215"/>
    </row>
    <row r="7" spans="2:14" ht="15.95" customHeight="1" x14ac:dyDescent="0.25">
      <c r="B7" s="223" t="s">
        <v>6</v>
      </c>
      <c r="C7" s="214"/>
      <c r="D7" s="215"/>
      <c r="E7" s="219" t="str">
        <f>IF(E58&gt;0, TEXT(C58/E58,"0.0%") &amp; " del Total (Materia Prima/Insumos)", "0.0% del Total")</f>
        <v>81% del Total (Materia Prima/Insumos)</v>
      </c>
      <c r="F7" s="214"/>
      <c r="G7" s="215"/>
      <c r="H7" s="224" t="str">
        <f>IF(E58&gt;0, TEXT(D58/E58,"0.0%") &amp; " del Total (Servicios/Nómina)", "0.0% del Total")</f>
        <v>19% del Total (Servicios/Nómina)</v>
      </c>
      <c r="I7" s="214"/>
      <c r="J7" s="215"/>
      <c r="K7" s="223" t="str">
        <f>"Costo Prom: " &amp; TEXT(C59,"$#,##0") &amp; " | Gasto Prom: " &amp; TEXT(D59,"$#,##0")</f>
        <v>Costo Prom: $4268465,004 | Gasto Prom: $1023061,818</v>
      </c>
      <c r="L7" s="214"/>
      <c r="M7" s="214"/>
      <c r="N7" s="215"/>
    </row>
    <row r="8" spans="2:14" ht="9.9499999999999993" customHeight="1" x14ac:dyDescent="0.25"/>
    <row r="9" spans="2:14" x14ac:dyDescent="0.25">
      <c r="B9" s="221" t="s">
        <v>7</v>
      </c>
      <c r="C9" s="212"/>
      <c r="D9" s="212"/>
      <c r="E9" s="212"/>
      <c r="F9" s="212"/>
      <c r="G9" s="212"/>
    </row>
    <row r="10" spans="2:14" x14ac:dyDescent="0.25">
      <c r="B10" s="1" t="s">
        <v>8</v>
      </c>
      <c r="C10" s="1" t="s">
        <v>9</v>
      </c>
      <c r="D10" s="2" t="s">
        <v>10</v>
      </c>
      <c r="E10" s="2" t="s">
        <v>11</v>
      </c>
      <c r="F10" s="2" t="s">
        <v>12</v>
      </c>
      <c r="G10" s="2" t="s">
        <v>13</v>
      </c>
    </row>
    <row r="11" spans="2:14" x14ac:dyDescent="0.25">
      <c r="B11" s="3" t="s">
        <v>14</v>
      </c>
      <c r="C11" s="4" t="s">
        <v>15</v>
      </c>
      <c r="D11" s="5">
        <f>COUNTIF('Detalle Compras Septiembre 2026'!$B:$B, "&lt;&gt;Servicios")</f>
        <v>1048549</v>
      </c>
      <c r="E11" s="6">
        <f>C58</f>
        <v>46953115.040000014</v>
      </c>
      <c r="F11" s="7">
        <f>IF(E58&gt;0, E11/$E$58, 0)</f>
        <v>0.8066603737198309</v>
      </c>
      <c r="G11" s="8">
        <f>C59</f>
        <v>4268465.0036363648</v>
      </c>
    </row>
    <row r="12" spans="2:14" x14ac:dyDescent="0.25">
      <c r="B12" s="9" t="s">
        <v>16</v>
      </c>
      <c r="C12" s="4" t="s">
        <v>17</v>
      </c>
      <c r="D12" s="5">
        <f>COUNTIF('Detalle Compras Septiembre 2026'!$B:$B, "Servicios")</f>
        <v>27</v>
      </c>
      <c r="E12" s="10">
        <f>D58</f>
        <v>11253680</v>
      </c>
      <c r="F12" s="11">
        <f>IF(E58&gt;0, E12/$E$58, 0)</f>
        <v>0.19333962628016904</v>
      </c>
      <c r="G12" s="8">
        <f>D59</f>
        <v>1023061.8181818182</v>
      </c>
    </row>
    <row r="13" spans="2:14" x14ac:dyDescent="0.25">
      <c r="B13" s="12" t="s">
        <v>18</v>
      </c>
      <c r="C13" s="13" t="s">
        <v>19</v>
      </c>
      <c r="D13" s="14">
        <f>D11+D12</f>
        <v>1048576</v>
      </c>
      <c r="E13" s="15">
        <f>E58</f>
        <v>58206795.040000014</v>
      </c>
      <c r="F13" s="16">
        <f>IF(E58&gt;0, E13/$E$58, 0)</f>
        <v>1</v>
      </c>
      <c r="G13" s="15">
        <f>E59</f>
        <v>5291526.8218181832</v>
      </c>
    </row>
    <row r="14" spans="2:14" ht="8.1" customHeight="1" x14ac:dyDescent="0.25"/>
    <row r="15" spans="2:14" x14ac:dyDescent="0.25">
      <c r="B15" s="221" t="s">
        <v>20</v>
      </c>
      <c r="C15" s="212"/>
      <c r="D15" s="212"/>
      <c r="E15" s="212"/>
      <c r="F15" s="212"/>
      <c r="G15" s="212"/>
    </row>
    <row r="16" spans="2:14" x14ac:dyDescent="0.25">
      <c r="B16" s="1" t="s">
        <v>21</v>
      </c>
      <c r="C16" s="1" t="s">
        <v>22</v>
      </c>
      <c r="D16" s="2" t="s">
        <v>23</v>
      </c>
      <c r="E16" s="2" t="s">
        <v>11</v>
      </c>
      <c r="F16" s="2" t="s">
        <v>12</v>
      </c>
      <c r="G16" s="2" t="s">
        <v>13</v>
      </c>
    </row>
    <row r="17" spans="1:14" x14ac:dyDescent="0.25">
      <c r="B17" s="17" t="s">
        <v>24</v>
      </c>
      <c r="C17" s="18" t="s">
        <v>25</v>
      </c>
      <c r="D17" s="19">
        <f>COUNTIF('Detalle Compras Septiembre 2026'!$B:$B, "Carnes")</f>
        <v>72</v>
      </c>
      <c r="E17" s="20">
        <f>H58</f>
        <v>29008212.039999999</v>
      </c>
      <c r="F17" s="21">
        <f t="shared" ref="F17:F22" si="0">IF($E$23&gt;0, E17/$E$23, 0)</f>
        <v>0.49836470157935014</v>
      </c>
      <c r="G17" s="22">
        <f>H59</f>
        <v>2637110.1854545455</v>
      </c>
    </row>
    <row r="18" spans="1:14" x14ac:dyDescent="0.25">
      <c r="B18" s="23" t="s">
        <v>26</v>
      </c>
      <c r="C18" s="9" t="s">
        <v>27</v>
      </c>
      <c r="D18" s="24">
        <f>COUNTIF('Detalle Compras Septiembre 2026'!$B:$B, "Servicios")</f>
        <v>27</v>
      </c>
      <c r="E18" s="25">
        <f>M58</f>
        <v>11253680</v>
      </c>
      <c r="F18" s="26">
        <f t="shared" si="0"/>
        <v>0.1933396262801691</v>
      </c>
      <c r="G18" s="27">
        <f>M59</f>
        <v>1023061.8181818182</v>
      </c>
    </row>
    <row r="19" spans="1:14" x14ac:dyDescent="0.25">
      <c r="B19" s="28" t="s">
        <v>28</v>
      </c>
      <c r="C19" s="18" t="s">
        <v>25</v>
      </c>
      <c r="D19" s="19">
        <f>COUNTIF('Detalle Compras Septiembre 2026'!$B:$B, "Desechables")</f>
        <v>113</v>
      </c>
      <c r="E19" s="22">
        <f>L58</f>
        <v>5462253</v>
      </c>
      <c r="F19" s="29">
        <f t="shared" si="0"/>
        <v>9.3842187948096303E-2</v>
      </c>
      <c r="G19" s="22">
        <f>L59</f>
        <v>496568.45454545453</v>
      </c>
    </row>
    <row r="20" spans="1:14" x14ac:dyDescent="0.25">
      <c r="B20" s="4" t="s">
        <v>29</v>
      </c>
      <c r="C20" s="30" t="s">
        <v>25</v>
      </c>
      <c r="D20" s="31">
        <f>COUNTIF('Detalle Compras Septiembre 2026'!$B:$B, "Verduras")</f>
        <v>55</v>
      </c>
      <c r="E20" s="8">
        <f>I58</f>
        <v>5912885</v>
      </c>
      <c r="F20" s="32">
        <f t="shared" si="0"/>
        <v>0.10158410192378117</v>
      </c>
      <c r="G20" s="8">
        <f>I59</f>
        <v>537535</v>
      </c>
    </row>
    <row r="21" spans="1:14" x14ac:dyDescent="0.25">
      <c r="B21" s="28" t="s">
        <v>30</v>
      </c>
      <c r="C21" s="18" t="s">
        <v>25</v>
      </c>
      <c r="D21" s="19">
        <f>COUNTIF('Detalle Compras Septiembre 2026'!$B:$B, "Grano")</f>
        <v>35</v>
      </c>
      <c r="E21" s="22">
        <f>J58</f>
        <v>3900265</v>
      </c>
      <c r="F21" s="29">
        <f t="shared" si="0"/>
        <v>6.7007039252371114E-2</v>
      </c>
      <c r="G21" s="22">
        <f>J59</f>
        <v>354569.54545454547</v>
      </c>
    </row>
    <row r="22" spans="1:14" x14ac:dyDescent="0.25">
      <c r="B22" s="4" t="s">
        <v>31</v>
      </c>
      <c r="C22" s="30" t="s">
        <v>25</v>
      </c>
      <c r="D22" s="31">
        <f>COUNTIF('Detalle Compras Septiembre 2026'!$B:$B, "Bebidas")</f>
        <v>30</v>
      </c>
      <c r="E22" s="8">
        <f>K58</f>
        <v>2669500.0000000009</v>
      </c>
      <c r="F22" s="32">
        <f t="shared" si="0"/>
        <v>4.5862343016232161E-2</v>
      </c>
      <c r="G22" s="8">
        <f>K59</f>
        <v>242681.81818181826</v>
      </c>
    </row>
    <row r="23" spans="1:14" x14ac:dyDescent="0.25">
      <c r="B23" s="12" t="s">
        <v>32</v>
      </c>
      <c r="C23" s="13" t="s">
        <v>33</v>
      </c>
      <c r="D23" s="14">
        <f>SUM(D17:D22)</f>
        <v>332</v>
      </c>
      <c r="E23" s="15">
        <f>SUM(E17:E22)</f>
        <v>58206795.039999999</v>
      </c>
      <c r="F23" s="16">
        <f>SUM(F17:F22)</f>
        <v>1</v>
      </c>
      <c r="G23" s="15">
        <f>SUM(G17:G22)</f>
        <v>5291526.8218181832</v>
      </c>
    </row>
    <row r="24" spans="1:14" x14ac:dyDescent="0.25">
      <c r="A24" s="164"/>
      <c r="B24" s="164"/>
      <c r="C24" s="164"/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</row>
    <row r="25" spans="1:14" ht="9.9499999999999993" customHeight="1" x14ac:dyDescent="0.25"/>
    <row r="26" spans="1:14" x14ac:dyDescent="0.25">
      <c r="B26" s="221" t="s">
        <v>34</v>
      </c>
      <c r="C26" s="212"/>
      <c r="D26" s="212"/>
      <c r="E26" s="212"/>
      <c r="F26" s="212"/>
      <c r="G26" s="212"/>
      <c r="H26" s="212"/>
      <c r="I26" s="212"/>
      <c r="J26" s="212"/>
      <c r="K26" s="212"/>
      <c r="L26" s="212"/>
      <c r="M26" s="212"/>
      <c r="N26" s="212"/>
    </row>
    <row r="27" spans="1:14" ht="24" customHeight="1" x14ac:dyDescent="0.25">
      <c r="B27" s="33" t="s">
        <v>35</v>
      </c>
      <c r="C27" s="33" t="s">
        <v>36</v>
      </c>
      <c r="D27" s="33" t="s">
        <v>37</v>
      </c>
      <c r="E27" s="33" t="s">
        <v>38</v>
      </c>
      <c r="F27" s="33" t="s">
        <v>39</v>
      </c>
      <c r="G27" s="33" t="s">
        <v>40</v>
      </c>
      <c r="H27" s="33" t="s">
        <v>41</v>
      </c>
      <c r="I27" s="33" t="s">
        <v>42</v>
      </c>
      <c r="J27" s="33" t="s">
        <v>43</v>
      </c>
      <c r="K27" s="33" t="s">
        <v>44</v>
      </c>
      <c r="L27" s="33" t="s">
        <v>45</v>
      </c>
      <c r="M27" s="33" t="s">
        <v>46</v>
      </c>
      <c r="N27" s="33" t="s">
        <v>23</v>
      </c>
    </row>
    <row r="28" spans="1:14" ht="18" customHeight="1" x14ac:dyDescent="0.25">
      <c r="B28" s="34">
        <v>1</v>
      </c>
      <c r="C28" s="35">
        <f>SUMIFS('Detalle Compras Septiembre 2026'!$G:$G, 'Detalle Compras Septiembre 2026'!$A:$A, B28, 'Detalle Compras Septiembre 2026'!$B:$B, "&lt;&gt;Servicios")</f>
        <v>6738295</v>
      </c>
      <c r="D28" s="27">
        <f>SUMIFS('Detalle Compras Septiembre 2026'!$G:$G, 'Detalle Compras Septiembre 2026'!$A:$A, B28, 'Detalle Compras Septiembre 2026'!$B:$B, "Servicios")</f>
        <v>130000</v>
      </c>
      <c r="E28" s="36">
        <f t="shared" ref="E28:E58" si="1">C28+D28</f>
        <v>6868295</v>
      </c>
      <c r="F28" s="32">
        <f t="shared" ref="F28:F59" si="2">IF(E28&gt;0, C28/E28, 0)</f>
        <v>0.98107244956717787</v>
      </c>
      <c r="G28" s="32">
        <f t="shared" ref="G28:G59" si="3">IF(E28&gt;0, D28/E28, 0)</f>
        <v>1.892755043282212E-2</v>
      </c>
      <c r="H28" s="8">
        <f>SUMIFS('Detalle Compras Septiembre 2026'!$G:$G, 'Detalle Compras Septiembre 2026'!$A:$A, B28, 'Detalle Compras Septiembre 2026'!$B:$B, "Carnes")</f>
        <v>6130295</v>
      </c>
      <c r="I28" s="8">
        <f>SUMIFS('Detalle Compras Septiembre 2026'!$G:$G, 'Detalle Compras Septiembre 2026'!$A:$A, B28, 'Detalle Compras Septiembre 2026'!$B:$B, "Verduras")</f>
        <v>132400</v>
      </c>
      <c r="J28" s="8">
        <f>SUMIFS('Detalle Compras Septiembre 2026'!$G:$G, 'Detalle Compras Septiembre 2026'!$A:$A, B28, 'Detalle Compras Septiembre 2026'!$B:$B, "Grano")</f>
        <v>15000</v>
      </c>
      <c r="K28" s="8">
        <f>SUMIFS('Detalle Compras Septiembre 2026'!$G:$G, 'Detalle Compras Septiembre 2026'!$A:$A, B28, 'Detalle Compras Septiembre 2026'!$B:$B, "Bebidas")</f>
        <v>411700</v>
      </c>
      <c r="L28" s="8">
        <f>SUMIFS('Detalle Compras Septiembre 2026'!$G:$G, 'Detalle Compras Septiembre 2026'!$A:$A, B28, 'Detalle Compras Septiembre 2026'!$B:$B, "Desechables")</f>
        <v>48900</v>
      </c>
      <c r="M28" s="8">
        <f>SUMIFS('Detalle Compras Septiembre 2026'!$G:$G, 'Detalle Compras Septiembre 2026'!$A:$A, B28, 'Detalle Compras Septiembre 2026'!$B:$B, "Servicios")</f>
        <v>130000</v>
      </c>
      <c r="N28" s="31">
        <f>COUNTIF('Detalle Compras Septiembre 2026'!$A:$A, B28)</f>
        <v>25</v>
      </c>
    </row>
    <row r="29" spans="1:14" ht="18" customHeight="1" x14ac:dyDescent="0.25">
      <c r="B29" s="37">
        <v>2</v>
      </c>
      <c r="C29" s="35">
        <f>SUMIFS('Detalle Compras Septiembre 2026'!$G:$G, 'Detalle Compras Septiembre 2026'!$A:$A, B29, 'Detalle Compras Septiembre 2026'!$B:$B, "&lt;&gt;Servicios")</f>
        <v>1355351</v>
      </c>
      <c r="D29" s="27">
        <f>SUMIFS('Detalle Compras Septiembre 2026'!$G:$G, 'Detalle Compras Septiembre 2026'!$A:$A, B29, 'Detalle Compras Septiembre 2026'!$B:$B, "Servicios")</f>
        <v>30000</v>
      </c>
      <c r="E29" s="36">
        <f t="shared" si="1"/>
        <v>1385351</v>
      </c>
      <c r="F29" s="29">
        <f t="shared" si="2"/>
        <v>0.97834483823955087</v>
      </c>
      <c r="G29" s="29">
        <f t="shared" si="3"/>
        <v>2.1655161760449158E-2</v>
      </c>
      <c r="H29" s="22">
        <f>SUMIFS('Detalle Compras Septiembre 2026'!$G:$G, 'Detalle Compras Septiembre 2026'!$A:$A, B29, 'Detalle Compras Septiembre 2026'!$B:$B, "Carnes")</f>
        <v>528586</v>
      </c>
      <c r="I29" s="22">
        <f>SUMIFS('Detalle Compras Septiembre 2026'!$G:$G, 'Detalle Compras Septiembre 2026'!$A:$A, B29, 'Detalle Compras Septiembre 2026'!$B:$B, "Verduras")</f>
        <v>126240</v>
      </c>
      <c r="J29" s="22">
        <f>SUMIFS('Detalle Compras Septiembre 2026'!$G:$G, 'Detalle Compras Septiembre 2026'!$A:$A, B29, 'Detalle Compras Septiembre 2026'!$B:$B, "Grano")</f>
        <v>392505</v>
      </c>
      <c r="K29" s="22">
        <f>SUMIFS('Detalle Compras Septiembre 2026'!$G:$G, 'Detalle Compras Septiembre 2026'!$A:$A, B29, 'Detalle Compras Septiembre 2026'!$B:$B, "Bebidas")</f>
        <v>162100</v>
      </c>
      <c r="L29" s="22">
        <f>SUMIFS('Detalle Compras Septiembre 2026'!$G:$G, 'Detalle Compras Septiembre 2026'!$A:$A, B29, 'Detalle Compras Septiembre 2026'!$B:$B, "Desechables")</f>
        <v>145920</v>
      </c>
      <c r="M29" s="22">
        <f>SUMIFS('Detalle Compras Septiembre 2026'!$G:$G, 'Detalle Compras Septiembre 2026'!$A:$A, B29, 'Detalle Compras Septiembre 2026'!$B:$B, "Servicios")</f>
        <v>30000</v>
      </c>
      <c r="N29" s="19">
        <f>COUNTIF('Detalle Compras Septiembre 2026'!$A:$A, B29)</f>
        <v>26</v>
      </c>
    </row>
    <row r="30" spans="1:14" ht="18" customHeight="1" x14ac:dyDescent="0.25">
      <c r="B30" s="34">
        <v>3</v>
      </c>
      <c r="C30" s="35">
        <f>SUMIFS('Detalle Compras Septiembre 2026'!$G:$G, 'Detalle Compras Septiembre 2026'!$A:$A, B30, 'Detalle Compras Septiembre 2026'!$B:$B, "&lt;&gt;Servicios")</f>
        <v>3875440</v>
      </c>
      <c r="D30" s="27">
        <f>SUMIFS('Detalle Compras Septiembre 2026'!$G:$G, 'Detalle Compras Septiembre 2026'!$A:$A, B30, 'Detalle Compras Septiembre 2026'!$B:$B, "Servicios")</f>
        <v>60500</v>
      </c>
      <c r="E30" s="36">
        <f t="shared" si="1"/>
        <v>3935940</v>
      </c>
      <c r="F30" s="32">
        <f t="shared" si="2"/>
        <v>0.98462883072404561</v>
      </c>
      <c r="G30" s="32">
        <f t="shared" si="3"/>
        <v>1.5371169275954409E-2</v>
      </c>
      <c r="H30" s="8">
        <f>SUMIFS('Detalle Compras Septiembre 2026'!$G:$G, 'Detalle Compras Septiembre 2026'!$A:$A, B30, 'Detalle Compras Septiembre 2026'!$B:$B, "Carnes")</f>
        <v>1444790</v>
      </c>
      <c r="I30" s="8">
        <f>SUMIFS('Detalle Compras Septiembre 2026'!$G:$G, 'Detalle Compras Septiembre 2026'!$A:$A, B30, 'Detalle Compras Septiembre 2026'!$B:$B, "Verduras")</f>
        <v>355500</v>
      </c>
      <c r="J30" s="8">
        <f>SUMIFS('Detalle Compras Septiembre 2026'!$G:$G, 'Detalle Compras Septiembre 2026'!$A:$A, B30, 'Detalle Compras Septiembre 2026'!$B:$B, "Grano")</f>
        <v>1047950</v>
      </c>
      <c r="K30" s="8">
        <f>SUMIFS('Detalle Compras Septiembre 2026'!$G:$G, 'Detalle Compras Septiembre 2026'!$A:$A, B30, 'Detalle Compras Septiembre 2026'!$B:$B, "Bebidas")</f>
        <v>970600</v>
      </c>
      <c r="L30" s="8">
        <f>SUMIFS('Detalle Compras Septiembre 2026'!$G:$G, 'Detalle Compras Septiembre 2026'!$A:$A, B30, 'Detalle Compras Septiembre 2026'!$B:$B, "Desechables")</f>
        <v>56600</v>
      </c>
      <c r="M30" s="8">
        <f>SUMIFS('Detalle Compras Septiembre 2026'!$G:$G, 'Detalle Compras Septiembre 2026'!$A:$A, B30, 'Detalle Compras Septiembre 2026'!$B:$B, "Servicios")</f>
        <v>60500</v>
      </c>
      <c r="N30" s="31">
        <f>COUNTIF('Detalle Compras Septiembre 2026'!$A:$A, B30)</f>
        <v>39</v>
      </c>
    </row>
    <row r="31" spans="1:14" ht="18" customHeight="1" x14ac:dyDescent="0.25">
      <c r="B31" s="37">
        <v>4</v>
      </c>
      <c r="C31" s="35">
        <f>SUMIFS('Detalle Compras Septiembre 2026'!$G:$G, 'Detalle Compras Septiembre 2026'!$A:$A, B31, 'Detalle Compras Septiembre 2026'!$B:$B, "&lt;&gt;Servicios")</f>
        <v>3192469</v>
      </c>
      <c r="D31" s="27">
        <f>SUMIFS('Detalle Compras Septiembre 2026'!$G:$G, 'Detalle Compras Septiembre 2026'!$A:$A, B31, 'Detalle Compras Septiembre 2026'!$B:$B, "Servicios")</f>
        <v>30000</v>
      </c>
      <c r="E31" s="36">
        <f t="shared" si="1"/>
        <v>3222469</v>
      </c>
      <c r="F31" s="29">
        <f t="shared" si="2"/>
        <v>0.99069036816180389</v>
      </c>
      <c r="G31" s="29">
        <f t="shared" si="3"/>
        <v>9.3096318381961154E-3</v>
      </c>
      <c r="H31" s="22">
        <f>SUMIFS('Detalle Compras Septiembre 2026'!$G:$G, 'Detalle Compras Septiembre 2026'!$A:$A, B31, 'Detalle Compras Septiembre 2026'!$B:$B, "Carnes")</f>
        <v>1094769</v>
      </c>
      <c r="I31" s="22">
        <f>SUMIFS('Detalle Compras Septiembre 2026'!$G:$G, 'Detalle Compras Septiembre 2026'!$A:$A, B31, 'Detalle Compras Septiembre 2026'!$B:$B, "Verduras")</f>
        <v>0</v>
      </c>
      <c r="J31" s="22">
        <f>SUMIFS('Detalle Compras Septiembre 2026'!$G:$G, 'Detalle Compras Septiembre 2026'!$A:$A, B31, 'Detalle Compras Septiembre 2026'!$B:$B, "Grano")</f>
        <v>256850</v>
      </c>
      <c r="K31" s="22">
        <f>SUMIFS('Detalle Compras Septiembre 2026'!$G:$G, 'Detalle Compras Septiembre 2026'!$A:$A, B31, 'Detalle Compras Septiembre 2026'!$B:$B, "Bebidas")</f>
        <v>0</v>
      </c>
      <c r="L31" s="22">
        <f>SUMIFS('Detalle Compras Septiembre 2026'!$G:$G, 'Detalle Compras Septiembre 2026'!$A:$A, B31, 'Detalle Compras Septiembre 2026'!$B:$B, "Desechables")</f>
        <v>1840850</v>
      </c>
      <c r="M31" s="22">
        <f>SUMIFS('Detalle Compras Septiembre 2026'!$G:$G, 'Detalle Compras Septiembre 2026'!$A:$A, B31, 'Detalle Compras Septiembre 2026'!$B:$B, "Servicios")</f>
        <v>30000</v>
      </c>
      <c r="N31" s="19">
        <f>COUNTIF('Detalle Compras Septiembre 2026'!$A:$A, B31)</f>
        <v>54</v>
      </c>
    </row>
    <row r="32" spans="1:14" ht="18" customHeight="1" x14ac:dyDescent="0.25">
      <c r="B32" s="34">
        <v>5</v>
      </c>
      <c r="C32" s="35">
        <f>SUMIFS('Detalle Compras Septiembre 2026'!$G:$G, 'Detalle Compras Septiembre 2026'!$A:$A, B32, 'Detalle Compras Septiembre 2026'!$B:$B, "&lt;&gt;Servicios")</f>
        <v>8184680</v>
      </c>
      <c r="D32" s="27">
        <f>SUMIFS('Detalle Compras Septiembre 2026'!$G:$G, 'Detalle Compras Septiembre 2026'!$A:$A, B32, 'Detalle Compras Septiembre 2026'!$B:$B, "Servicios")</f>
        <v>0</v>
      </c>
      <c r="E32" s="36">
        <f t="shared" si="1"/>
        <v>8184680</v>
      </c>
      <c r="F32" s="32">
        <f t="shared" si="2"/>
        <v>1</v>
      </c>
      <c r="G32" s="32">
        <f t="shared" si="3"/>
        <v>0</v>
      </c>
      <c r="H32" s="8">
        <f>SUMIFS('Detalle Compras Septiembre 2026'!$G:$G, 'Detalle Compras Septiembre 2026'!$A:$A, B32, 'Detalle Compras Septiembre 2026'!$B:$B, "Carnes")</f>
        <v>7349980</v>
      </c>
      <c r="I32" s="8">
        <f>SUMIFS('Detalle Compras Septiembre 2026'!$G:$G, 'Detalle Compras Septiembre 2026'!$A:$A, B32, 'Detalle Compras Septiembre 2026'!$B:$B, "Verduras")</f>
        <v>524200</v>
      </c>
      <c r="J32" s="8">
        <f>SUMIFS('Detalle Compras Septiembre 2026'!$G:$G, 'Detalle Compras Septiembre 2026'!$A:$A, B32, 'Detalle Compras Septiembre 2026'!$B:$B, "Grano")</f>
        <v>247500</v>
      </c>
      <c r="K32" s="8">
        <f>SUMIFS('Detalle Compras Septiembre 2026'!$G:$G, 'Detalle Compras Septiembre 2026'!$A:$A, B32, 'Detalle Compras Septiembre 2026'!$B:$B, "Bebidas")</f>
        <v>0</v>
      </c>
      <c r="L32" s="8">
        <f>SUMIFS('Detalle Compras Septiembre 2026'!$G:$G, 'Detalle Compras Septiembre 2026'!$A:$A, B32, 'Detalle Compras Septiembre 2026'!$B:$B, "Desechables")</f>
        <v>63000</v>
      </c>
      <c r="M32" s="8">
        <f>SUMIFS('Detalle Compras Septiembre 2026'!$G:$G, 'Detalle Compras Septiembre 2026'!$A:$A, B32, 'Detalle Compras Septiembre 2026'!$B:$B, "Servicios")</f>
        <v>0</v>
      </c>
      <c r="N32" s="31">
        <f>COUNTIF('Detalle Compras Septiembre 2026'!$A:$A, B32)</f>
        <v>21</v>
      </c>
    </row>
    <row r="33" spans="2:14" ht="18" customHeight="1" x14ac:dyDescent="0.25">
      <c r="B33" s="37">
        <v>6</v>
      </c>
      <c r="C33" s="35">
        <f>SUMIFS('Detalle Compras Septiembre 2026'!$G:$G, 'Detalle Compras Septiembre 2026'!$A:$A, B33, 'Detalle Compras Septiembre 2026'!$B:$B, "&lt;&gt;Servicios")</f>
        <v>434000</v>
      </c>
      <c r="D33" s="27">
        <f>SUMIFS('Detalle Compras Septiembre 2026'!$G:$G, 'Detalle Compras Septiembre 2026'!$A:$A, B33, 'Detalle Compras Septiembre 2026'!$B:$B, "Servicios")</f>
        <v>90000</v>
      </c>
      <c r="E33" s="36">
        <f t="shared" si="1"/>
        <v>524000</v>
      </c>
      <c r="F33" s="29">
        <f t="shared" si="2"/>
        <v>0.8282442748091603</v>
      </c>
      <c r="G33" s="29">
        <f t="shared" si="3"/>
        <v>0.1717557251908397</v>
      </c>
      <c r="H33" s="22">
        <f>SUMIFS('Detalle Compras Septiembre 2026'!$G:$G, 'Detalle Compras Septiembre 2026'!$A:$A, B33, 'Detalle Compras Septiembre 2026'!$B:$B, "Carnes")</f>
        <v>0</v>
      </c>
      <c r="I33" s="22">
        <f>SUMIFS('Detalle Compras Septiembre 2026'!$G:$G, 'Detalle Compras Septiembre 2026'!$A:$A, B33, 'Detalle Compras Septiembre 2026'!$B:$B, "Verduras")</f>
        <v>285000</v>
      </c>
      <c r="J33" s="22">
        <f>SUMIFS('Detalle Compras Septiembre 2026'!$G:$G, 'Detalle Compras Septiembre 2026'!$A:$A, B33, 'Detalle Compras Septiembre 2026'!$B:$B, "Grano")</f>
        <v>0</v>
      </c>
      <c r="K33" s="22">
        <f>SUMIFS('Detalle Compras Septiembre 2026'!$G:$G, 'Detalle Compras Septiembre 2026'!$A:$A, B33, 'Detalle Compras Septiembre 2026'!$B:$B, "Bebidas")</f>
        <v>0</v>
      </c>
      <c r="L33" s="22">
        <f>SUMIFS('Detalle Compras Septiembre 2026'!$G:$G, 'Detalle Compras Septiembre 2026'!$A:$A, B33, 'Detalle Compras Septiembre 2026'!$B:$B, "Desechables")</f>
        <v>149000</v>
      </c>
      <c r="M33" s="22">
        <f>SUMIFS('Detalle Compras Septiembre 2026'!$G:$G, 'Detalle Compras Septiembre 2026'!$A:$A, B33, 'Detalle Compras Septiembre 2026'!$B:$B, "Servicios")</f>
        <v>90000</v>
      </c>
      <c r="N33" s="19">
        <f>COUNTIF('Detalle Compras Septiembre 2026'!$A:$A, B33)</f>
        <v>7</v>
      </c>
    </row>
    <row r="34" spans="2:14" ht="18" customHeight="1" x14ac:dyDescent="0.25">
      <c r="B34" s="34">
        <v>7</v>
      </c>
      <c r="C34" s="35">
        <f>SUMIFS('Detalle Compras Septiembre 2026'!$G:$G, 'Detalle Compras Septiembre 2026'!$A:$A, B34, 'Detalle Compras Septiembre 2026'!$B:$B, "&lt;&gt;Servicios")</f>
        <v>2288803.04</v>
      </c>
      <c r="D34" s="27">
        <f>SUMIFS('Detalle Compras Septiembre 2026'!$G:$G, 'Detalle Compras Septiembre 2026'!$A:$A, B34, 'Detalle Compras Septiembre 2026'!$B:$B, "Servicios")</f>
        <v>753800</v>
      </c>
      <c r="E34" s="36">
        <f t="shared" si="1"/>
        <v>3042603.04</v>
      </c>
      <c r="F34" s="32">
        <f t="shared" si="2"/>
        <v>0.75225161150170938</v>
      </c>
      <c r="G34" s="32">
        <f t="shared" si="3"/>
        <v>0.24774838849829059</v>
      </c>
      <c r="H34" s="8">
        <f>SUMIFS('Detalle Compras Septiembre 2026'!$G:$G, 'Detalle Compras Septiembre 2026'!$A:$A, B34, 'Detalle Compras Septiembre 2026'!$B:$B, "Carnes")</f>
        <v>2135215.04</v>
      </c>
      <c r="I34" s="8">
        <f>SUMIFS('Detalle Compras Septiembre 2026'!$G:$G, 'Detalle Compras Septiembre 2026'!$A:$A, B34, 'Detalle Compras Septiembre 2026'!$B:$B, "Verduras")</f>
        <v>124155</v>
      </c>
      <c r="J34" s="8">
        <f>SUMIFS('Detalle Compras Septiembre 2026'!$G:$G, 'Detalle Compras Septiembre 2026'!$A:$A, B34, 'Detalle Compras Septiembre 2026'!$B:$B, "Grano")</f>
        <v>0</v>
      </c>
      <c r="K34" s="8">
        <f>SUMIFS('Detalle Compras Septiembre 2026'!$G:$G, 'Detalle Compras Septiembre 2026'!$A:$A, B34, 'Detalle Compras Septiembre 2026'!$B:$B, "Bebidas")</f>
        <v>0</v>
      </c>
      <c r="L34" s="8">
        <f>SUMIFS('Detalle Compras Septiembre 2026'!$G:$G, 'Detalle Compras Septiembre 2026'!$A:$A, B34, 'Detalle Compras Septiembre 2026'!$B:$B, "Desechables")</f>
        <v>29433</v>
      </c>
      <c r="M34" s="8">
        <f>SUMIFS('Detalle Compras Septiembre 2026'!$G:$G, 'Detalle Compras Septiembre 2026'!$A:$A, B34, 'Detalle Compras Septiembre 2026'!$B:$B, "Servicios")</f>
        <v>753800</v>
      </c>
      <c r="N34" s="31">
        <f>COUNTIF('Detalle Compras Septiembre 2026'!$A:$A, B34)</f>
        <v>18</v>
      </c>
    </row>
    <row r="35" spans="2:14" ht="18" customHeight="1" x14ac:dyDescent="0.25">
      <c r="B35" s="37">
        <v>8</v>
      </c>
      <c r="C35" s="35">
        <f>SUMIFS('Detalle Compras Septiembre 2026'!$G:$G, 'Detalle Compras Septiembre 2026'!$A:$A, B35, 'Detalle Compras Septiembre 2026'!$B:$B, "&lt;&gt;Servicios")</f>
        <v>3250990</v>
      </c>
      <c r="D35" s="27">
        <f>SUMIFS('Detalle Compras Septiembre 2026'!$G:$G, 'Detalle Compras Septiembre 2026'!$A:$A, B35, 'Detalle Compras Septiembre 2026'!$B:$B, "Servicios")</f>
        <v>0</v>
      </c>
      <c r="E35" s="36">
        <f t="shared" si="1"/>
        <v>3250990</v>
      </c>
      <c r="F35" s="29">
        <f t="shared" si="2"/>
        <v>1</v>
      </c>
      <c r="G35" s="29">
        <f t="shared" si="3"/>
        <v>0</v>
      </c>
      <c r="H35" s="22">
        <f>SUMIFS('Detalle Compras Septiembre 2026'!$G:$G, 'Detalle Compras Septiembre 2026'!$A:$A, B35, 'Detalle Compras Septiembre 2026'!$B:$B, "Carnes")</f>
        <v>863350</v>
      </c>
      <c r="I35" s="22">
        <f>SUMIFS('Detalle Compras Septiembre 2026'!$G:$G, 'Detalle Compras Septiembre 2026'!$A:$A, B35, 'Detalle Compras Septiembre 2026'!$B:$B, "Verduras")</f>
        <v>1035990</v>
      </c>
      <c r="J35" s="22">
        <f>SUMIFS('Detalle Compras Septiembre 2026'!$G:$G, 'Detalle Compras Septiembre 2026'!$A:$A, B35, 'Detalle Compras Septiembre 2026'!$B:$B, "Grano")</f>
        <v>374500</v>
      </c>
      <c r="K35" s="22">
        <f>SUMIFS('Detalle Compras Septiembre 2026'!$G:$G, 'Detalle Compras Septiembre 2026'!$A:$A, B35, 'Detalle Compras Septiembre 2026'!$B:$B, "Bebidas")</f>
        <v>0</v>
      </c>
      <c r="L35" s="22">
        <f>SUMIFS('Detalle Compras Septiembre 2026'!$G:$G, 'Detalle Compras Septiembre 2026'!$A:$A, B35, 'Detalle Compras Septiembre 2026'!$B:$B, "Desechables")</f>
        <v>977150</v>
      </c>
      <c r="M35" s="22">
        <f>SUMIFS('Detalle Compras Septiembre 2026'!$G:$G, 'Detalle Compras Septiembre 2026'!$A:$A, B35, 'Detalle Compras Septiembre 2026'!$B:$B, "Servicios")</f>
        <v>0</v>
      </c>
      <c r="N35" s="19">
        <f>COUNTIF('Detalle Compras Septiembre 2026'!$A:$A, B35)</f>
        <v>51</v>
      </c>
    </row>
    <row r="36" spans="2:14" ht="18" customHeight="1" x14ac:dyDescent="0.25">
      <c r="B36" s="34">
        <v>9</v>
      </c>
      <c r="C36" s="35">
        <f>SUMIFS('Detalle Compras Septiembre 2026'!$G:$G, 'Detalle Compras Septiembre 2026'!$A:$A, B36, 'Detalle Compras Septiembre 2026'!$B:$B, "&lt;&gt;Servicios")</f>
        <v>9400342</v>
      </c>
      <c r="D36" s="27">
        <f>SUMIFS('Detalle Compras Septiembre 2026'!$G:$G, 'Detalle Compras Septiembre 2026'!$A:$A, B36, 'Detalle Compras Septiembre 2026'!$B:$B, "Servicios")</f>
        <v>30000</v>
      </c>
      <c r="E36" s="36">
        <f t="shared" si="1"/>
        <v>9430342</v>
      </c>
      <c r="F36" s="32">
        <f t="shared" si="2"/>
        <v>0.99681877921288542</v>
      </c>
      <c r="G36" s="32">
        <f t="shared" si="3"/>
        <v>3.1812207871146137E-3</v>
      </c>
      <c r="H36" s="8">
        <f>SUMIFS('Detalle Compras Septiembre 2026'!$G:$G, 'Detalle Compras Septiembre 2026'!$A:$A, B36, 'Detalle Compras Septiembre 2026'!$B:$B, "Carnes")</f>
        <v>5630782</v>
      </c>
      <c r="I36" s="8">
        <f>SUMIFS('Detalle Compras Septiembre 2026'!$G:$G, 'Detalle Compras Septiembre 2026'!$A:$A, B36, 'Detalle Compras Septiembre 2026'!$B:$B, "Verduras")</f>
        <v>632450</v>
      </c>
      <c r="J36" s="8">
        <f>SUMIFS('Detalle Compras Septiembre 2026'!$G:$G, 'Detalle Compras Septiembre 2026'!$A:$A, B36, 'Detalle Compras Septiembre 2026'!$B:$B, "Grano")</f>
        <v>124110</v>
      </c>
      <c r="K36" s="8">
        <f>SUMIFS('Detalle Compras Septiembre 2026'!$G:$G, 'Detalle Compras Septiembre 2026'!$A:$A, B36, 'Detalle Compras Septiembre 2026'!$B:$B, "Bebidas")</f>
        <v>1125100</v>
      </c>
      <c r="L36" s="8">
        <f>SUMIFS('Detalle Compras Septiembre 2026'!$G:$G, 'Detalle Compras Septiembre 2026'!$A:$A, B36, 'Detalle Compras Septiembre 2026'!$B:$B, "Desechables")</f>
        <v>1887900</v>
      </c>
      <c r="M36" s="8">
        <f>SUMIFS('Detalle Compras Septiembre 2026'!$G:$G, 'Detalle Compras Septiembre 2026'!$A:$A, B36, 'Detalle Compras Septiembre 2026'!$B:$B, "Servicios")</f>
        <v>30000</v>
      </c>
      <c r="N36" s="31">
        <f>COUNTIF('Detalle Compras Septiembre 2026'!$A:$A, B36)</f>
        <v>47</v>
      </c>
    </row>
    <row r="37" spans="2:14" ht="18" customHeight="1" x14ac:dyDescent="0.25">
      <c r="B37" s="37">
        <v>10</v>
      </c>
      <c r="C37" s="35">
        <f>SUMIFS('Detalle Compras Septiembre 2026'!$G:$G, 'Detalle Compras Septiembre 2026'!$A:$A, B37, 'Detalle Compras Septiembre 2026'!$B:$B, "&lt;&gt;Servicios")</f>
        <v>2087695</v>
      </c>
      <c r="D37" s="27">
        <f>SUMIFS('Detalle Compras Septiembre 2026'!$G:$G, 'Detalle Compras Septiembre 2026'!$A:$A, B37, 'Detalle Compras Septiembre 2026'!$B:$B, "Servicios")</f>
        <v>168000</v>
      </c>
      <c r="E37" s="36">
        <f t="shared" si="1"/>
        <v>2255695</v>
      </c>
      <c r="F37" s="29">
        <f t="shared" si="2"/>
        <v>0.92552184581692121</v>
      </c>
      <c r="G37" s="29">
        <f t="shared" si="3"/>
        <v>7.4478154183078835E-2</v>
      </c>
      <c r="H37" s="22">
        <f>SUMIFS('Detalle Compras Septiembre 2026'!$G:$G, 'Detalle Compras Septiembre 2026'!$A:$A, B37, 'Detalle Compras Septiembre 2026'!$B:$B, "Carnes")</f>
        <v>1250345</v>
      </c>
      <c r="I37" s="22">
        <f>SUMIFS('Detalle Compras Septiembre 2026'!$G:$G, 'Detalle Compras Septiembre 2026'!$A:$A, B37, 'Detalle Compras Septiembre 2026'!$B:$B, "Verduras")</f>
        <v>208000</v>
      </c>
      <c r="J37" s="22">
        <f>SUMIFS('Detalle Compras Septiembre 2026'!$G:$G, 'Detalle Compras Septiembre 2026'!$A:$A, B37, 'Detalle Compras Septiembre 2026'!$B:$B, "Grano")</f>
        <v>365850</v>
      </c>
      <c r="K37" s="22">
        <f>SUMIFS('Detalle Compras Septiembre 2026'!$G:$G, 'Detalle Compras Septiembre 2026'!$A:$A, B37, 'Detalle Compras Septiembre 2026'!$B:$B, "Bebidas")</f>
        <v>0</v>
      </c>
      <c r="L37" s="22">
        <f>SUMIFS('Detalle Compras Septiembre 2026'!$G:$G, 'Detalle Compras Septiembre 2026'!$A:$A, B37, 'Detalle Compras Septiembre 2026'!$B:$B, "Desechables")</f>
        <v>263500</v>
      </c>
      <c r="M37" s="22">
        <f>SUMIFS('Detalle Compras Septiembre 2026'!$G:$G, 'Detalle Compras Septiembre 2026'!$A:$A, B37, 'Detalle Compras Septiembre 2026'!$B:$B, "Servicios")</f>
        <v>168000</v>
      </c>
      <c r="N37" s="19">
        <f>COUNTIF('Detalle Compras Septiembre 2026'!$A:$A, B37)</f>
        <v>29</v>
      </c>
    </row>
    <row r="38" spans="2:14" ht="18" customHeight="1" x14ac:dyDescent="0.25">
      <c r="B38" s="34">
        <v>11</v>
      </c>
      <c r="C38" s="35">
        <f>SUMIFS('Detalle Compras Septiembre 2026'!$G:$G, 'Detalle Compras Septiembre 2026'!$A:$A, B38, 'Detalle Compras Septiembre 2026'!$B:$B, "&lt;&gt;Servicios")</f>
        <v>6145050</v>
      </c>
      <c r="D38" s="27">
        <f>SUMIFS('Detalle Compras Septiembre 2026'!$G:$G, 'Detalle Compras Septiembre 2026'!$A:$A, B38, 'Detalle Compras Septiembre 2026'!$B:$B, "Servicios")</f>
        <v>9961380</v>
      </c>
      <c r="E38" s="36">
        <f t="shared" si="1"/>
        <v>16106430</v>
      </c>
      <c r="F38" s="32">
        <f t="shared" si="2"/>
        <v>0.38152775009732137</v>
      </c>
      <c r="G38" s="32">
        <f t="shared" si="3"/>
        <v>0.61847224990267857</v>
      </c>
      <c r="H38" s="8">
        <f>SUMIFS('Detalle Compras Septiembre 2026'!$G:$G, 'Detalle Compras Septiembre 2026'!$A:$A, B38, 'Detalle Compras Septiembre 2026'!$B:$B, "Carnes")</f>
        <v>2580100</v>
      </c>
      <c r="I38" s="8">
        <f>SUMIFS('Detalle Compras Septiembre 2026'!$G:$G, 'Detalle Compras Septiembre 2026'!$A:$A, B38, 'Detalle Compras Septiembre 2026'!$B:$B, "Verduras")</f>
        <v>2488950</v>
      </c>
      <c r="J38" s="8">
        <f>SUMIFS('Detalle Compras Septiembre 2026'!$G:$G, 'Detalle Compras Septiembre 2026'!$A:$A, B38, 'Detalle Compras Septiembre 2026'!$B:$B, "Grano")</f>
        <v>1076000</v>
      </c>
      <c r="K38" s="8">
        <f>SUMIFS('Detalle Compras Septiembre 2026'!$G:$G, 'Detalle Compras Septiembre 2026'!$A:$A, B38, 'Detalle Compras Septiembre 2026'!$B:$B, "Bebidas")</f>
        <v>0</v>
      </c>
      <c r="L38" s="8">
        <f>SUMIFS('Detalle Compras Septiembre 2026'!$G:$G, 'Detalle Compras Septiembre 2026'!$A:$A, B38, 'Detalle Compras Septiembre 2026'!$B:$B, "Desechables")</f>
        <v>0</v>
      </c>
      <c r="M38" s="8">
        <f>SUMIFS('Detalle Compras Septiembre 2026'!$G:$G, 'Detalle Compras Septiembre 2026'!$A:$A, B38, 'Detalle Compras Septiembre 2026'!$B:$B, "Servicios")</f>
        <v>9961380</v>
      </c>
      <c r="N38" s="31">
        <f>COUNTIF('Detalle Compras Septiembre 2026'!$A:$A, B38)</f>
        <v>15</v>
      </c>
    </row>
    <row r="39" spans="2:14" ht="18" customHeight="1" x14ac:dyDescent="0.25">
      <c r="B39" s="37">
        <v>12</v>
      </c>
      <c r="C39" s="35">
        <f>SUMIFS('Detalle Compras Septiembre 2026'!$G:$G, 'Detalle Compras Septiembre 2026'!$A:$A, B39, 'Detalle Compras Septiembre 2026'!$B:$B, "&lt;&gt;Servicios")</f>
        <v>0</v>
      </c>
      <c r="D39" s="27">
        <f>SUMIFS('Detalle Compras Septiembre 2026'!$G:$G, 'Detalle Compras Septiembre 2026'!$A:$A, B39, 'Detalle Compras Septiembre 2026'!$B:$B, "Servicios")</f>
        <v>0</v>
      </c>
      <c r="E39" s="36">
        <f t="shared" si="1"/>
        <v>0</v>
      </c>
      <c r="F39" s="29">
        <f t="shared" si="2"/>
        <v>0</v>
      </c>
      <c r="G39" s="29">
        <f t="shared" si="3"/>
        <v>0</v>
      </c>
      <c r="H39" s="22">
        <f>SUMIFS('Detalle Compras Septiembre 2026'!$G:$G, 'Detalle Compras Septiembre 2026'!$A:$A, B39, 'Detalle Compras Septiembre 2026'!$B:$B, "Carnes")</f>
        <v>0</v>
      </c>
      <c r="I39" s="22">
        <f>SUMIFS('Detalle Compras Septiembre 2026'!$G:$G, 'Detalle Compras Septiembre 2026'!$A:$A, B39, 'Detalle Compras Septiembre 2026'!$B:$B, "Verduras")</f>
        <v>0</v>
      </c>
      <c r="J39" s="22">
        <f>SUMIFS('Detalle Compras Septiembre 2026'!$G:$G, 'Detalle Compras Septiembre 2026'!$A:$A, B39, 'Detalle Compras Septiembre 2026'!$B:$B, "Grano")</f>
        <v>0</v>
      </c>
      <c r="K39" s="22">
        <f>SUMIFS('Detalle Compras Septiembre 2026'!$G:$G, 'Detalle Compras Septiembre 2026'!$A:$A, B39, 'Detalle Compras Septiembre 2026'!$B:$B, "Bebidas")</f>
        <v>0</v>
      </c>
      <c r="L39" s="22">
        <f>SUMIFS('Detalle Compras Septiembre 2026'!$G:$G, 'Detalle Compras Septiembre 2026'!$A:$A, B39, 'Detalle Compras Septiembre 2026'!$B:$B, "Desechables")</f>
        <v>0</v>
      </c>
      <c r="M39" s="22">
        <f>SUMIFS('Detalle Compras Septiembre 2026'!$G:$G, 'Detalle Compras Septiembre 2026'!$A:$A, B39, 'Detalle Compras Septiembre 2026'!$B:$B, "Servicios")</f>
        <v>0</v>
      </c>
      <c r="N39" s="19">
        <f>COUNTIF('Detalle Compras Septiembre 2026'!$A:$A, B39)</f>
        <v>0</v>
      </c>
    </row>
    <row r="40" spans="2:14" ht="18" customHeight="1" x14ac:dyDescent="0.25">
      <c r="B40" s="34">
        <v>13</v>
      </c>
      <c r="C40" s="35">
        <f>SUMIFS('Detalle Compras Septiembre 2026'!$G:$G, 'Detalle Compras Septiembre 2026'!$A:$A, B40, 'Detalle Compras Septiembre 2026'!$B:$B, "&lt;&gt;Servicios")</f>
        <v>0</v>
      </c>
      <c r="D40" s="27">
        <f>SUMIFS('Detalle Compras Septiembre 2026'!$G:$G, 'Detalle Compras Septiembre 2026'!$A:$A, B40, 'Detalle Compras Septiembre 2026'!$B:$B, "Servicios")</f>
        <v>0</v>
      </c>
      <c r="E40" s="36">
        <f t="shared" si="1"/>
        <v>0</v>
      </c>
      <c r="F40" s="32">
        <f t="shared" si="2"/>
        <v>0</v>
      </c>
      <c r="G40" s="32">
        <f t="shared" si="3"/>
        <v>0</v>
      </c>
      <c r="H40" s="8">
        <f>SUMIFS('Detalle Compras Septiembre 2026'!$G:$G, 'Detalle Compras Septiembre 2026'!$A:$A, B40, 'Detalle Compras Septiembre 2026'!$B:$B, "Carnes")</f>
        <v>0</v>
      </c>
      <c r="I40" s="8">
        <f>SUMIFS('Detalle Compras Septiembre 2026'!$G:$G, 'Detalle Compras Septiembre 2026'!$A:$A, B40, 'Detalle Compras Septiembre 2026'!$B:$B, "Verduras")</f>
        <v>0</v>
      </c>
      <c r="J40" s="8">
        <f>SUMIFS('Detalle Compras Septiembre 2026'!$G:$G, 'Detalle Compras Septiembre 2026'!$A:$A, B40, 'Detalle Compras Septiembre 2026'!$B:$B, "Grano")</f>
        <v>0</v>
      </c>
      <c r="K40" s="8">
        <f>SUMIFS('Detalle Compras Septiembre 2026'!$G:$G, 'Detalle Compras Septiembre 2026'!$A:$A, B40, 'Detalle Compras Septiembre 2026'!$B:$B, "Bebidas")</f>
        <v>0</v>
      </c>
      <c r="L40" s="8">
        <f>SUMIFS('Detalle Compras Septiembre 2026'!$G:$G, 'Detalle Compras Septiembre 2026'!$A:$A, B40, 'Detalle Compras Septiembre 2026'!$B:$B, "Desechables")</f>
        <v>0</v>
      </c>
      <c r="M40" s="8">
        <f>SUMIFS('Detalle Compras Septiembre 2026'!$G:$G, 'Detalle Compras Septiembre 2026'!$A:$A, B40, 'Detalle Compras Septiembre 2026'!$B:$B, "Servicios")</f>
        <v>0</v>
      </c>
      <c r="N40" s="31">
        <f>COUNTIF('Detalle Compras Septiembre 2026'!$A:$A, B40)</f>
        <v>0</v>
      </c>
    </row>
    <row r="41" spans="2:14" ht="18" customHeight="1" x14ac:dyDescent="0.25">
      <c r="B41" s="37">
        <v>14</v>
      </c>
      <c r="C41" s="35">
        <f>SUMIFS('Detalle Compras Septiembre 2026'!$G:$G, 'Detalle Compras Septiembre 2026'!$A:$A, B41, 'Detalle Compras Septiembre 2026'!$B:$B, "&lt;&gt;Servicios")</f>
        <v>0</v>
      </c>
      <c r="D41" s="27">
        <f>SUMIFS('Detalle Compras Septiembre 2026'!$G:$G, 'Detalle Compras Septiembre 2026'!$A:$A, B41, 'Detalle Compras Septiembre 2026'!$B:$B, "Servicios")</f>
        <v>0</v>
      </c>
      <c r="E41" s="36">
        <f t="shared" si="1"/>
        <v>0</v>
      </c>
      <c r="F41" s="29">
        <f t="shared" si="2"/>
        <v>0</v>
      </c>
      <c r="G41" s="29">
        <f t="shared" si="3"/>
        <v>0</v>
      </c>
      <c r="H41" s="22">
        <f>SUMIFS('Detalle Compras Septiembre 2026'!$G:$G, 'Detalle Compras Septiembre 2026'!$A:$A, B41, 'Detalle Compras Septiembre 2026'!$B:$B, "Carnes")</f>
        <v>0</v>
      </c>
      <c r="I41" s="22">
        <f>SUMIFS('Detalle Compras Septiembre 2026'!$G:$G, 'Detalle Compras Septiembre 2026'!$A:$A, B41, 'Detalle Compras Septiembre 2026'!$B:$B, "Verduras")</f>
        <v>0</v>
      </c>
      <c r="J41" s="22">
        <f>SUMIFS('Detalle Compras Septiembre 2026'!$G:$G, 'Detalle Compras Septiembre 2026'!$A:$A, B41, 'Detalle Compras Septiembre 2026'!$B:$B, "Grano")</f>
        <v>0</v>
      </c>
      <c r="K41" s="22">
        <f>SUMIFS('Detalle Compras Septiembre 2026'!$G:$G, 'Detalle Compras Septiembre 2026'!$A:$A, B41, 'Detalle Compras Septiembre 2026'!$B:$B, "Bebidas")</f>
        <v>0</v>
      </c>
      <c r="L41" s="22">
        <f>SUMIFS('Detalle Compras Septiembre 2026'!$G:$G, 'Detalle Compras Septiembre 2026'!$A:$A, B41, 'Detalle Compras Septiembre 2026'!$B:$B, "Desechables")</f>
        <v>0</v>
      </c>
      <c r="M41" s="22">
        <f>SUMIFS('Detalle Compras Septiembre 2026'!$G:$G, 'Detalle Compras Septiembre 2026'!$A:$A, B41, 'Detalle Compras Septiembre 2026'!$B:$B, "Servicios")</f>
        <v>0</v>
      </c>
      <c r="N41" s="19">
        <f>COUNTIF('Detalle Compras Septiembre 2026'!$A:$A, B41)</f>
        <v>0</v>
      </c>
    </row>
    <row r="42" spans="2:14" ht="18" customHeight="1" x14ac:dyDescent="0.25">
      <c r="B42" s="34">
        <v>15</v>
      </c>
      <c r="C42" s="35">
        <f>SUMIFS('Detalle Compras Septiembre 2026'!$G:$G, 'Detalle Compras Septiembre 2026'!$A:$A, B42, 'Detalle Compras Septiembre 2026'!$B:$B, "&lt;&gt;Servicios")</f>
        <v>0</v>
      </c>
      <c r="D42" s="27">
        <f>SUMIFS('Detalle Compras Septiembre 2026'!$G:$G, 'Detalle Compras Septiembre 2026'!$A:$A, B42, 'Detalle Compras Septiembre 2026'!$B:$B, "Servicios")</f>
        <v>0</v>
      </c>
      <c r="E42" s="36">
        <f t="shared" si="1"/>
        <v>0</v>
      </c>
      <c r="F42" s="32">
        <f t="shared" si="2"/>
        <v>0</v>
      </c>
      <c r="G42" s="32">
        <f t="shared" si="3"/>
        <v>0</v>
      </c>
      <c r="H42" s="8">
        <f>SUMIFS('Detalle Compras Septiembre 2026'!$G:$G, 'Detalle Compras Septiembre 2026'!$A:$A, B42, 'Detalle Compras Septiembre 2026'!$B:$B, "Carnes")</f>
        <v>0</v>
      </c>
      <c r="I42" s="8">
        <f>SUMIFS('Detalle Compras Septiembre 2026'!$G:$G, 'Detalle Compras Septiembre 2026'!$A:$A, B42, 'Detalle Compras Septiembre 2026'!$B:$B, "Verduras")</f>
        <v>0</v>
      </c>
      <c r="J42" s="8">
        <f>SUMIFS('Detalle Compras Septiembre 2026'!$G:$G, 'Detalle Compras Septiembre 2026'!$A:$A, B42, 'Detalle Compras Septiembre 2026'!$B:$B, "Grano")</f>
        <v>0</v>
      </c>
      <c r="K42" s="8">
        <f>SUMIFS('Detalle Compras Septiembre 2026'!$G:$G, 'Detalle Compras Septiembre 2026'!$A:$A, B42, 'Detalle Compras Septiembre 2026'!$B:$B, "Bebidas")</f>
        <v>0</v>
      </c>
      <c r="L42" s="8">
        <f>SUMIFS('Detalle Compras Septiembre 2026'!$G:$G, 'Detalle Compras Septiembre 2026'!$A:$A, B42, 'Detalle Compras Septiembre 2026'!$B:$B, "Desechables")</f>
        <v>0</v>
      </c>
      <c r="M42" s="8">
        <f>SUMIFS('Detalle Compras Septiembre 2026'!$G:$G, 'Detalle Compras Septiembre 2026'!$A:$A, B42, 'Detalle Compras Septiembre 2026'!$B:$B, "Servicios")</f>
        <v>0</v>
      </c>
      <c r="N42" s="31">
        <f>COUNTIF('Detalle Compras Septiembre 2026'!$A:$A, B42)</f>
        <v>0</v>
      </c>
    </row>
    <row r="43" spans="2:14" ht="18" customHeight="1" x14ac:dyDescent="0.25">
      <c r="B43" s="37">
        <v>16</v>
      </c>
      <c r="C43" s="35">
        <f>SUMIFS('Detalle Compras Septiembre 2026'!$G:$G, 'Detalle Compras Septiembre 2026'!$A:$A, B43, 'Detalle Compras Septiembre 2026'!$B:$B, "&lt;&gt;Servicios")</f>
        <v>0</v>
      </c>
      <c r="D43" s="27">
        <f>SUMIFS('Detalle Compras Septiembre 2026'!$G:$G, 'Detalle Compras Septiembre 2026'!$A:$A, B43, 'Detalle Compras Septiembre 2026'!$B:$B, "Servicios")</f>
        <v>0</v>
      </c>
      <c r="E43" s="36">
        <f t="shared" si="1"/>
        <v>0</v>
      </c>
      <c r="F43" s="29">
        <f t="shared" si="2"/>
        <v>0</v>
      </c>
      <c r="G43" s="29">
        <f t="shared" si="3"/>
        <v>0</v>
      </c>
      <c r="H43" s="22">
        <f>SUMIFS('Detalle Compras Septiembre 2026'!$G:$G, 'Detalle Compras Septiembre 2026'!$A:$A, B43, 'Detalle Compras Septiembre 2026'!$B:$B, "Carnes")</f>
        <v>0</v>
      </c>
      <c r="I43" s="22">
        <f>SUMIFS('Detalle Compras Septiembre 2026'!$G:$G, 'Detalle Compras Septiembre 2026'!$A:$A, B43, 'Detalle Compras Septiembre 2026'!$B:$B, "Verduras")</f>
        <v>0</v>
      </c>
      <c r="J43" s="22">
        <f>SUMIFS('Detalle Compras Septiembre 2026'!$G:$G, 'Detalle Compras Septiembre 2026'!$A:$A, B43, 'Detalle Compras Septiembre 2026'!$B:$B, "Grano")</f>
        <v>0</v>
      </c>
      <c r="K43" s="22">
        <f>SUMIFS('Detalle Compras Septiembre 2026'!$G:$G, 'Detalle Compras Septiembre 2026'!$A:$A, B43, 'Detalle Compras Septiembre 2026'!$B:$B, "Bebidas")</f>
        <v>0</v>
      </c>
      <c r="L43" s="22">
        <f>SUMIFS('Detalle Compras Septiembre 2026'!$G:$G, 'Detalle Compras Septiembre 2026'!$A:$A, B43, 'Detalle Compras Septiembre 2026'!$B:$B, "Desechables")</f>
        <v>0</v>
      </c>
      <c r="M43" s="22">
        <f>SUMIFS('Detalle Compras Septiembre 2026'!$G:$G, 'Detalle Compras Septiembre 2026'!$A:$A, B43, 'Detalle Compras Septiembre 2026'!$B:$B, "Servicios")</f>
        <v>0</v>
      </c>
      <c r="N43" s="19">
        <f>COUNTIF('Detalle Compras Septiembre 2026'!$A:$A, B43)</f>
        <v>0</v>
      </c>
    </row>
    <row r="44" spans="2:14" ht="18" customHeight="1" x14ac:dyDescent="0.25">
      <c r="B44" s="34">
        <v>17</v>
      </c>
      <c r="C44" s="35">
        <f>SUMIFS('Detalle Compras Septiembre 2026'!$G:$G, 'Detalle Compras Septiembre 2026'!$A:$A, B44, 'Detalle Compras Septiembre 2026'!$B:$B, "&lt;&gt;Servicios")</f>
        <v>0</v>
      </c>
      <c r="D44" s="27">
        <f>SUMIFS('Detalle Compras Septiembre 2026'!$G:$G, 'Detalle Compras Septiembre 2026'!$A:$A, B44, 'Detalle Compras Septiembre 2026'!$B:$B, "Servicios")</f>
        <v>0</v>
      </c>
      <c r="E44" s="36">
        <f t="shared" si="1"/>
        <v>0</v>
      </c>
      <c r="F44" s="32">
        <f t="shared" si="2"/>
        <v>0</v>
      </c>
      <c r="G44" s="32">
        <f t="shared" si="3"/>
        <v>0</v>
      </c>
      <c r="H44" s="8">
        <f>SUMIFS('Detalle Compras Septiembre 2026'!$G:$G, 'Detalle Compras Septiembre 2026'!$A:$A, B44, 'Detalle Compras Septiembre 2026'!$B:$B, "Carnes")</f>
        <v>0</v>
      </c>
      <c r="I44" s="8">
        <f>SUMIFS('Detalle Compras Septiembre 2026'!$G:$G, 'Detalle Compras Septiembre 2026'!$A:$A, B44, 'Detalle Compras Septiembre 2026'!$B:$B, "Verduras")</f>
        <v>0</v>
      </c>
      <c r="J44" s="8">
        <f>SUMIFS('Detalle Compras Septiembre 2026'!$G:$G, 'Detalle Compras Septiembre 2026'!$A:$A, B44, 'Detalle Compras Septiembre 2026'!$B:$B, "Grano")</f>
        <v>0</v>
      </c>
      <c r="K44" s="8">
        <f>SUMIFS('Detalle Compras Septiembre 2026'!$G:$G, 'Detalle Compras Septiembre 2026'!$A:$A, B44, 'Detalle Compras Septiembre 2026'!$B:$B, "Bebidas")</f>
        <v>0</v>
      </c>
      <c r="L44" s="8">
        <f>SUMIFS('Detalle Compras Septiembre 2026'!$G:$G, 'Detalle Compras Septiembre 2026'!$A:$A, B44, 'Detalle Compras Septiembre 2026'!$B:$B, "Desechables")</f>
        <v>0</v>
      </c>
      <c r="M44" s="8">
        <f>SUMIFS('Detalle Compras Septiembre 2026'!$G:$G, 'Detalle Compras Septiembre 2026'!$A:$A, B44, 'Detalle Compras Septiembre 2026'!$B:$B, "Servicios")</f>
        <v>0</v>
      </c>
      <c r="N44" s="31">
        <f>COUNTIF('Detalle Compras Septiembre 2026'!$A:$A, B44)</f>
        <v>0</v>
      </c>
    </row>
    <row r="45" spans="2:14" ht="18" customHeight="1" x14ac:dyDescent="0.25">
      <c r="B45" s="37">
        <v>18</v>
      </c>
      <c r="C45" s="35">
        <f>SUMIFS('Detalle Compras Septiembre 2026'!$G:$G, 'Detalle Compras Septiembre 2026'!$A:$A, B45, 'Detalle Compras Septiembre 2026'!$B:$B, "&lt;&gt;Servicios")</f>
        <v>0</v>
      </c>
      <c r="D45" s="27">
        <f>SUMIFS('Detalle Compras Septiembre 2026'!$G:$G, 'Detalle Compras Septiembre 2026'!$A:$A, B45, 'Detalle Compras Septiembre 2026'!$B:$B, "Servicios")</f>
        <v>0</v>
      </c>
      <c r="E45" s="36">
        <f t="shared" si="1"/>
        <v>0</v>
      </c>
      <c r="F45" s="29">
        <f t="shared" si="2"/>
        <v>0</v>
      </c>
      <c r="G45" s="29">
        <f t="shared" si="3"/>
        <v>0</v>
      </c>
      <c r="H45" s="22">
        <f>SUMIFS('Detalle Compras Septiembre 2026'!$G:$G, 'Detalle Compras Septiembre 2026'!$A:$A, B45, 'Detalle Compras Septiembre 2026'!$B:$B, "Carnes")</f>
        <v>0</v>
      </c>
      <c r="I45" s="22">
        <f>SUMIFS('Detalle Compras Septiembre 2026'!$G:$G, 'Detalle Compras Septiembre 2026'!$A:$A, B45, 'Detalle Compras Septiembre 2026'!$B:$B, "Verduras")</f>
        <v>0</v>
      </c>
      <c r="J45" s="22">
        <f>SUMIFS('Detalle Compras Septiembre 2026'!$G:$G, 'Detalle Compras Septiembre 2026'!$A:$A, B45, 'Detalle Compras Septiembre 2026'!$B:$B, "Grano")</f>
        <v>0</v>
      </c>
      <c r="K45" s="22">
        <f>SUMIFS('Detalle Compras Septiembre 2026'!$G:$G, 'Detalle Compras Septiembre 2026'!$A:$A, B45, 'Detalle Compras Septiembre 2026'!$B:$B, "Bebidas")</f>
        <v>0</v>
      </c>
      <c r="L45" s="22">
        <f>SUMIFS('Detalle Compras Septiembre 2026'!$G:$G, 'Detalle Compras Septiembre 2026'!$A:$A, B45, 'Detalle Compras Septiembre 2026'!$B:$B, "Desechables")</f>
        <v>0</v>
      </c>
      <c r="M45" s="22">
        <f>SUMIFS('Detalle Compras Septiembre 2026'!$G:$G, 'Detalle Compras Septiembre 2026'!$A:$A, B45, 'Detalle Compras Septiembre 2026'!$B:$B, "Servicios")</f>
        <v>0</v>
      </c>
      <c r="N45" s="19">
        <f>COUNTIF('Detalle Compras Septiembre 2026'!$A:$A, B45)</f>
        <v>0</v>
      </c>
    </row>
    <row r="46" spans="2:14" ht="18" customHeight="1" x14ac:dyDescent="0.25">
      <c r="B46" s="34">
        <v>19</v>
      </c>
      <c r="C46" s="35">
        <f>SUMIFS('Detalle Compras Septiembre 2026'!$G:$G, 'Detalle Compras Septiembre 2026'!$A:$A, B46, 'Detalle Compras Septiembre 2026'!$B:$B, "&lt;&gt;Servicios")</f>
        <v>0</v>
      </c>
      <c r="D46" s="27">
        <f>SUMIFS('Detalle Compras Septiembre 2026'!$G:$G, 'Detalle Compras Septiembre 2026'!$A:$A, B46, 'Detalle Compras Septiembre 2026'!$B:$B, "Servicios")</f>
        <v>0</v>
      </c>
      <c r="E46" s="36">
        <f t="shared" si="1"/>
        <v>0</v>
      </c>
      <c r="F46" s="32">
        <f t="shared" si="2"/>
        <v>0</v>
      </c>
      <c r="G46" s="32">
        <f t="shared" si="3"/>
        <v>0</v>
      </c>
      <c r="H46" s="8">
        <f>SUMIFS('Detalle Compras Septiembre 2026'!$G:$G, 'Detalle Compras Septiembre 2026'!$A:$A, B46, 'Detalle Compras Septiembre 2026'!$B:$B, "Carnes")</f>
        <v>0</v>
      </c>
      <c r="I46" s="8">
        <f>SUMIFS('Detalle Compras Septiembre 2026'!$G:$G, 'Detalle Compras Septiembre 2026'!$A:$A, B46, 'Detalle Compras Septiembre 2026'!$B:$B, "Verduras")</f>
        <v>0</v>
      </c>
      <c r="J46" s="8">
        <f>SUMIFS('Detalle Compras Septiembre 2026'!$G:$G, 'Detalle Compras Septiembre 2026'!$A:$A, B46, 'Detalle Compras Septiembre 2026'!$B:$B, "Grano")</f>
        <v>0</v>
      </c>
      <c r="K46" s="8">
        <f>SUMIFS('Detalle Compras Septiembre 2026'!$G:$G, 'Detalle Compras Septiembre 2026'!$A:$A, B46, 'Detalle Compras Septiembre 2026'!$B:$B, "Bebidas")</f>
        <v>0</v>
      </c>
      <c r="L46" s="8">
        <f>SUMIFS('Detalle Compras Septiembre 2026'!$G:$G, 'Detalle Compras Septiembre 2026'!$A:$A, B46, 'Detalle Compras Septiembre 2026'!$B:$B, "Desechables")</f>
        <v>0</v>
      </c>
      <c r="M46" s="8">
        <f>SUMIFS('Detalle Compras Septiembre 2026'!$G:$G, 'Detalle Compras Septiembre 2026'!$A:$A, B46, 'Detalle Compras Septiembre 2026'!$B:$B, "Servicios")</f>
        <v>0</v>
      </c>
      <c r="N46" s="31">
        <f>COUNTIF('Detalle Compras Septiembre 2026'!$A:$A, B46)</f>
        <v>0</v>
      </c>
    </row>
    <row r="47" spans="2:14" ht="18" customHeight="1" x14ac:dyDescent="0.25">
      <c r="B47" s="37">
        <v>20</v>
      </c>
      <c r="C47" s="35">
        <f>SUMIFS('Detalle Compras Septiembre 2026'!$G:$G, 'Detalle Compras Septiembre 2026'!$A:$A, B47, 'Detalle Compras Septiembre 2026'!$B:$B, "&lt;&gt;Servicios")</f>
        <v>0</v>
      </c>
      <c r="D47" s="27">
        <f>SUMIFS('Detalle Compras Septiembre 2026'!$G:$G, 'Detalle Compras Septiembre 2026'!$A:$A, B47, 'Detalle Compras Septiembre 2026'!$B:$B, "Servicios")</f>
        <v>0</v>
      </c>
      <c r="E47" s="36">
        <f t="shared" si="1"/>
        <v>0</v>
      </c>
      <c r="F47" s="29">
        <f t="shared" si="2"/>
        <v>0</v>
      </c>
      <c r="G47" s="29">
        <f t="shared" si="3"/>
        <v>0</v>
      </c>
      <c r="H47" s="22">
        <f>SUMIFS('Detalle Compras Septiembre 2026'!$G:$G, 'Detalle Compras Septiembre 2026'!$A:$A, B47, 'Detalle Compras Septiembre 2026'!$B:$B, "Carnes")</f>
        <v>0</v>
      </c>
      <c r="I47" s="22">
        <f>SUMIFS('Detalle Compras Septiembre 2026'!$G:$G, 'Detalle Compras Septiembre 2026'!$A:$A, B47, 'Detalle Compras Septiembre 2026'!$B:$B, "Verduras")</f>
        <v>0</v>
      </c>
      <c r="J47" s="22">
        <f>SUMIFS('Detalle Compras Septiembre 2026'!$G:$G, 'Detalle Compras Septiembre 2026'!$A:$A, B47, 'Detalle Compras Septiembre 2026'!$B:$B, "Grano")</f>
        <v>0</v>
      </c>
      <c r="K47" s="22">
        <f>SUMIFS('Detalle Compras Septiembre 2026'!$G:$G, 'Detalle Compras Septiembre 2026'!$A:$A, B47, 'Detalle Compras Septiembre 2026'!$B:$B, "Bebidas")</f>
        <v>0</v>
      </c>
      <c r="L47" s="22">
        <f>SUMIFS('Detalle Compras Septiembre 2026'!$G:$G, 'Detalle Compras Septiembre 2026'!$A:$A, B47, 'Detalle Compras Septiembre 2026'!$B:$B, "Desechables")</f>
        <v>0</v>
      </c>
      <c r="M47" s="22">
        <f>SUMIFS('Detalle Compras Septiembre 2026'!$G:$G, 'Detalle Compras Septiembre 2026'!$A:$A, B47, 'Detalle Compras Septiembre 2026'!$B:$B, "Servicios")</f>
        <v>0</v>
      </c>
      <c r="N47" s="19">
        <f>COUNTIF('Detalle Compras Septiembre 2026'!$A:$A, B47)</f>
        <v>0</v>
      </c>
    </row>
    <row r="48" spans="2:14" ht="18" customHeight="1" x14ac:dyDescent="0.25">
      <c r="B48" s="34">
        <v>21</v>
      </c>
      <c r="C48" s="35">
        <f>SUMIFS('Detalle Compras Septiembre 2026'!$G:$G, 'Detalle Compras Septiembre 2026'!$A:$A, B48, 'Detalle Compras Septiembre 2026'!$B:$B, "&lt;&gt;Servicios")</f>
        <v>0</v>
      </c>
      <c r="D48" s="27">
        <f>SUMIFS('Detalle Compras Septiembre 2026'!$G:$G, 'Detalle Compras Septiembre 2026'!$A:$A, B48, 'Detalle Compras Septiembre 2026'!$B:$B, "Servicios")</f>
        <v>0</v>
      </c>
      <c r="E48" s="36">
        <f t="shared" si="1"/>
        <v>0</v>
      </c>
      <c r="F48" s="32">
        <f t="shared" si="2"/>
        <v>0</v>
      </c>
      <c r="G48" s="32">
        <f t="shared" si="3"/>
        <v>0</v>
      </c>
      <c r="H48" s="8">
        <f>SUMIFS('Detalle Compras Septiembre 2026'!$G:$G, 'Detalle Compras Septiembre 2026'!$A:$A, B48, 'Detalle Compras Septiembre 2026'!$B:$B, "Carnes")</f>
        <v>0</v>
      </c>
      <c r="I48" s="8">
        <f>SUMIFS('Detalle Compras Septiembre 2026'!$G:$G, 'Detalle Compras Septiembre 2026'!$A:$A, B48, 'Detalle Compras Septiembre 2026'!$B:$B, "Verduras")</f>
        <v>0</v>
      </c>
      <c r="J48" s="8">
        <f>SUMIFS('Detalle Compras Septiembre 2026'!$G:$G, 'Detalle Compras Septiembre 2026'!$A:$A, B48, 'Detalle Compras Septiembre 2026'!$B:$B, "Grano")</f>
        <v>0</v>
      </c>
      <c r="K48" s="8">
        <f>SUMIFS('Detalle Compras Septiembre 2026'!$G:$G, 'Detalle Compras Septiembre 2026'!$A:$A, B48, 'Detalle Compras Septiembre 2026'!$B:$B, "Bebidas")</f>
        <v>0</v>
      </c>
      <c r="L48" s="8">
        <f>SUMIFS('Detalle Compras Septiembre 2026'!$G:$G, 'Detalle Compras Septiembre 2026'!$A:$A, B48, 'Detalle Compras Septiembre 2026'!$B:$B, "Desechables")</f>
        <v>0</v>
      </c>
      <c r="M48" s="8">
        <f>SUMIFS('Detalle Compras Septiembre 2026'!$G:$G, 'Detalle Compras Septiembre 2026'!$A:$A, B48, 'Detalle Compras Septiembre 2026'!$B:$B, "Servicios")</f>
        <v>0</v>
      </c>
      <c r="N48" s="31">
        <f>COUNTIF('Detalle Compras Septiembre 2026'!$A:$A, B48)</f>
        <v>0</v>
      </c>
    </row>
    <row r="49" spans="2:14" ht="18" customHeight="1" x14ac:dyDescent="0.25">
      <c r="B49" s="37">
        <v>22</v>
      </c>
      <c r="C49" s="35">
        <f>SUMIFS('Detalle Compras Septiembre 2026'!$G:$G, 'Detalle Compras Septiembre 2026'!$A:$A, B49, 'Detalle Compras Septiembre 2026'!$B:$B, "&lt;&gt;Servicios")</f>
        <v>0</v>
      </c>
      <c r="D49" s="27">
        <f>SUMIFS('Detalle Compras Septiembre 2026'!$G:$G, 'Detalle Compras Septiembre 2026'!$A:$A, B49, 'Detalle Compras Septiembre 2026'!$B:$B, "Servicios")</f>
        <v>0</v>
      </c>
      <c r="E49" s="36">
        <f t="shared" si="1"/>
        <v>0</v>
      </c>
      <c r="F49" s="29">
        <f t="shared" si="2"/>
        <v>0</v>
      </c>
      <c r="G49" s="29">
        <f t="shared" si="3"/>
        <v>0</v>
      </c>
      <c r="H49" s="22">
        <f>SUMIFS('Detalle Compras Septiembre 2026'!$G:$G, 'Detalle Compras Septiembre 2026'!$A:$A, B49, 'Detalle Compras Septiembre 2026'!$B:$B, "Carnes")</f>
        <v>0</v>
      </c>
      <c r="I49" s="22">
        <f>SUMIFS('Detalle Compras Septiembre 2026'!$G:$G, 'Detalle Compras Septiembre 2026'!$A:$A, B49, 'Detalle Compras Septiembre 2026'!$B:$B, "Verduras")</f>
        <v>0</v>
      </c>
      <c r="J49" s="22">
        <f>SUMIFS('Detalle Compras Septiembre 2026'!$G:$G, 'Detalle Compras Septiembre 2026'!$A:$A, B49, 'Detalle Compras Septiembre 2026'!$B:$B, "Grano")</f>
        <v>0</v>
      </c>
      <c r="K49" s="22">
        <f>SUMIFS('Detalle Compras Septiembre 2026'!$G:$G, 'Detalle Compras Septiembre 2026'!$A:$A, B49, 'Detalle Compras Septiembre 2026'!$B:$B, "Bebidas")</f>
        <v>0</v>
      </c>
      <c r="L49" s="22">
        <f>SUMIFS('Detalle Compras Septiembre 2026'!$G:$G, 'Detalle Compras Septiembre 2026'!$A:$A, B49, 'Detalle Compras Septiembre 2026'!$B:$B, "Desechables")</f>
        <v>0</v>
      </c>
      <c r="M49" s="22">
        <f>SUMIFS('Detalle Compras Septiembre 2026'!$G:$G, 'Detalle Compras Septiembre 2026'!$A:$A, B49, 'Detalle Compras Septiembre 2026'!$B:$B, "Servicios")</f>
        <v>0</v>
      </c>
      <c r="N49" s="19">
        <f>COUNTIF('Detalle Compras Septiembre 2026'!$A:$A, B49)</f>
        <v>0</v>
      </c>
    </row>
    <row r="50" spans="2:14" ht="18" customHeight="1" x14ac:dyDescent="0.25">
      <c r="B50" s="34">
        <v>23</v>
      </c>
      <c r="C50" s="35">
        <f>SUMIFS('Detalle Compras Septiembre 2026'!$G:$G, 'Detalle Compras Septiembre 2026'!$A:$A, B50, 'Detalle Compras Septiembre 2026'!$B:$B, "&lt;&gt;Servicios")</f>
        <v>0</v>
      </c>
      <c r="D50" s="27">
        <f>SUMIFS('Detalle Compras Septiembre 2026'!$G:$G, 'Detalle Compras Septiembre 2026'!$A:$A, B50, 'Detalle Compras Septiembre 2026'!$B:$B, "Servicios")</f>
        <v>0</v>
      </c>
      <c r="E50" s="36">
        <f t="shared" si="1"/>
        <v>0</v>
      </c>
      <c r="F50" s="32">
        <f t="shared" si="2"/>
        <v>0</v>
      </c>
      <c r="G50" s="32">
        <f t="shared" si="3"/>
        <v>0</v>
      </c>
      <c r="H50" s="8">
        <f>SUMIFS('Detalle Compras Septiembre 2026'!$G:$G, 'Detalle Compras Septiembre 2026'!$A:$A, B50, 'Detalle Compras Septiembre 2026'!$B:$B, "Carnes")</f>
        <v>0</v>
      </c>
      <c r="I50" s="8">
        <f>SUMIFS('Detalle Compras Septiembre 2026'!$G:$G, 'Detalle Compras Septiembre 2026'!$A:$A, B50, 'Detalle Compras Septiembre 2026'!$B:$B, "Verduras")</f>
        <v>0</v>
      </c>
      <c r="J50" s="8">
        <f>SUMIFS('Detalle Compras Septiembre 2026'!$G:$G, 'Detalle Compras Septiembre 2026'!$A:$A, B50, 'Detalle Compras Septiembre 2026'!$B:$B, "Grano")</f>
        <v>0</v>
      </c>
      <c r="K50" s="8">
        <f>SUMIFS('Detalle Compras Septiembre 2026'!$G:$G, 'Detalle Compras Septiembre 2026'!$A:$A, B50, 'Detalle Compras Septiembre 2026'!$B:$B, "Bebidas")</f>
        <v>0</v>
      </c>
      <c r="L50" s="8">
        <f>SUMIFS('Detalle Compras Septiembre 2026'!$G:$G, 'Detalle Compras Septiembre 2026'!$A:$A, B50, 'Detalle Compras Septiembre 2026'!$B:$B, "Desechables")</f>
        <v>0</v>
      </c>
      <c r="M50" s="8">
        <f>SUMIFS('Detalle Compras Septiembre 2026'!$G:$G, 'Detalle Compras Septiembre 2026'!$A:$A, B50, 'Detalle Compras Septiembre 2026'!$B:$B, "Servicios")</f>
        <v>0</v>
      </c>
      <c r="N50" s="31">
        <f>COUNTIF('Detalle Compras Septiembre 2026'!$A:$A, B50)</f>
        <v>0</v>
      </c>
    </row>
    <row r="51" spans="2:14" ht="18" customHeight="1" x14ac:dyDescent="0.25">
      <c r="B51" s="37">
        <v>24</v>
      </c>
      <c r="C51" s="35">
        <f>SUMIFS('Detalle Compras Septiembre 2026'!$G:$G, 'Detalle Compras Septiembre 2026'!$A:$A, B51, 'Detalle Compras Septiembre 2026'!$B:$B, "&lt;&gt;Servicios")</f>
        <v>0</v>
      </c>
      <c r="D51" s="27">
        <f>SUMIFS('Detalle Compras Septiembre 2026'!$G:$G, 'Detalle Compras Septiembre 2026'!$A:$A, B51, 'Detalle Compras Septiembre 2026'!$B:$B, "Servicios")</f>
        <v>0</v>
      </c>
      <c r="E51" s="36">
        <f t="shared" si="1"/>
        <v>0</v>
      </c>
      <c r="F51" s="29">
        <f t="shared" si="2"/>
        <v>0</v>
      </c>
      <c r="G51" s="29">
        <f t="shared" si="3"/>
        <v>0</v>
      </c>
      <c r="H51" s="22">
        <f>SUMIFS('Detalle Compras Septiembre 2026'!$G:$G, 'Detalle Compras Septiembre 2026'!$A:$A, B51, 'Detalle Compras Septiembre 2026'!$B:$B, "Carnes")</f>
        <v>0</v>
      </c>
      <c r="I51" s="22">
        <f>SUMIFS('Detalle Compras Septiembre 2026'!$G:$G, 'Detalle Compras Septiembre 2026'!$A:$A, B51, 'Detalle Compras Septiembre 2026'!$B:$B, "Verduras")</f>
        <v>0</v>
      </c>
      <c r="J51" s="22">
        <f>SUMIFS('Detalle Compras Septiembre 2026'!$G:$G, 'Detalle Compras Septiembre 2026'!$A:$A, B51, 'Detalle Compras Septiembre 2026'!$B:$B, "Grano")</f>
        <v>0</v>
      </c>
      <c r="K51" s="22">
        <f>SUMIFS('Detalle Compras Septiembre 2026'!$G:$G, 'Detalle Compras Septiembre 2026'!$A:$A, B51, 'Detalle Compras Septiembre 2026'!$B:$B, "Bebidas")</f>
        <v>0</v>
      </c>
      <c r="L51" s="22">
        <f>SUMIFS('Detalle Compras Septiembre 2026'!$G:$G, 'Detalle Compras Septiembre 2026'!$A:$A, B51, 'Detalle Compras Septiembre 2026'!$B:$B, "Desechables")</f>
        <v>0</v>
      </c>
      <c r="M51" s="22">
        <f>SUMIFS('Detalle Compras Septiembre 2026'!$G:$G, 'Detalle Compras Septiembre 2026'!$A:$A, B51, 'Detalle Compras Septiembre 2026'!$B:$B, "Servicios")</f>
        <v>0</v>
      </c>
      <c r="N51" s="19">
        <f>COUNTIF('Detalle Compras Septiembre 2026'!$A:$A, B51)</f>
        <v>0</v>
      </c>
    </row>
    <row r="52" spans="2:14" ht="18" customHeight="1" x14ac:dyDescent="0.25">
      <c r="B52" s="34">
        <v>25</v>
      </c>
      <c r="C52" s="35">
        <f>SUMIFS('Detalle Compras Septiembre 2026'!$G:$G, 'Detalle Compras Septiembre 2026'!$A:$A, B52, 'Detalle Compras Septiembre 2026'!$B:$B, "&lt;&gt;Servicios")</f>
        <v>0</v>
      </c>
      <c r="D52" s="27">
        <f>SUMIFS('Detalle Compras Septiembre 2026'!$G:$G, 'Detalle Compras Septiembre 2026'!$A:$A, B52, 'Detalle Compras Septiembre 2026'!$B:$B, "Servicios")</f>
        <v>0</v>
      </c>
      <c r="E52" s="36">
        <f t="shared" si="1"/>
        <v>0</v>
      </c>
      <c r="F52" s="32">
        <f t="shared" si="2"/>
        <v>0</v>
      </c>
      <c r="G52" s="32">
        <f t="shared" si="3"/>
        <v>0</v>
      </c>
      <c r="H52" s="8">
        <f>SUMIFS('Detalle Compras Septiembre 2026'!$G:$G, 'Detalle Compras Septiembre 2026'!$A:$A, B52, 'Detalle Compras Septiembre 2026'!$B:$B, "Carnes")</f>
        <v>0</v>
      </c>
      <c r="I52" s="8">
        <f>SUMIFS('Detalle Compras Septiembre 2026'!$G:$G, 'Detalle Compras Septiembre 2026'!$A:$A, B52, 'Detalle Compras Septiembre 2026'!$B:$B, "Verduras")</f>
        <v>0</v>
      </c>
      <c r="J52" s="8">
        <f>SUMIFS('Detalle Compras Septiembre 2026'!$G:$G, 'Detalle Compras Septiembre 2026'!$A:$A, B52, 'Detalle Compras Septiembre 2026'!$B:$B, "Grano")</f>
        <v>0</v>
      </c>
      <c r="K52" s="8">
        <f>SUMIFS('Detalle Compras Septiembre 2026'!$G:$G, 'Detalle Compras Septiembre 2026'!$A:$A, B52, 'Detalle Compras Septiembre 2026'!$B:$B, "Bebidas")</f>
        <v>0</v>
      </c>
      <c r="L52" s="8">
        <f>SUMIFS('Detalle Compras Septiembre 2026'!$G:$G, 'Detalle Compras Septiembre 2026'!$A:$A, B52, 'Detalle Compras Septiembre 2026'!$B:$B, "Desechables")</f>
        <v>0</v>
      </c>
      <c r="M52" s="8">
        <f>SUMIFS('Detalle Compras Septiembre 2026'!$G:$G, 'Detalle Compras Septiembre 2026'!$A:$A, B52, 'Detalle Compras Septiembre 2026'!$B:$B, "Servicios")</f>
        <v>0</v>
      </c>
      <c r="N52" s="31">
        <f>COUNTIF('Detalle Compras Septiembre 2026'!$A:$A, B52)</f>
        <v>0</v>
      </c>
    </row>
    <row r="53" spans="2:14" ht="18" customHeight="1" x14ac:dyDescent="0.25">
      <c r="B53" s="37">
        <v>26</v>
      </c>
      <c r="C53" s="35">
        <f>SUMIFS('Detalle Compras Septiembre 2026'!$G:$G, 'Detalle Compras Septiembre 2026'!$A:$A, B53, 'Detalle Compras Septiembre 2026'!$B:$B, "&lt;&gt;Servicios")</f>
        <v>0</v>
      </c>
      <c r="D53" s="27">
        <f>SUMIFS('Detalle Compras Septiembre 2026'!$G:$G, 'Detalle Compras Septiembre 2026'!$A:$A, B53, 'Detalle Compras Septiembre 2026'!$B:$B, "Servicios")</f>
        <v>0</v>
      </c>
      <c r="E53" s="36">
        <f t="shared" si="1"/>
        <v>0</v>
      </c>
      <c r="F53" s="29">
        <f t="shared" si="2"/>
        <v>0</v>
      </c>
      <c r="G53" s="29">
        <f t="shared" si="3"/>
        <v>0</v>
      </c>
      <c r="H53" s="22">
        <f>SUMIFS('Detalle Compras Septiembre 2026'!$G:$G, 'Detalle Compras Septiembre 2026'!$A:$A, B53, 'Detalle Compras Septiembre 2026'!$B:$B, "Carnes")</f>
        <v>0</v>
      </c>
      <c r="I53" s="22">
        <f>SUMIFS('Detalle Compras Septiembre 2026'!$G:$G, 'Detalle Compras Septiembre 2026'!$A:$A, B53, 'Detalle Compras Septiembre 2026'!$B:$B, "Verduras")</f>
        <v>0</v>
      </c>
      <c r="J53" s="22">
        <f>SUMIFS('Detalle Compras Septiembre 2026'!$G:$G, 'Detalle Compras Septiembre 2026'!$A:$A, B53, 'Detalle Compras Septiembre 2026'!$B:$B, "Grano")</f>
        <v>0</v>
      </c>
      <c r="K53" s="22">
        <f>SUMIFS('Detalle Compras Septiembre 2026'!$G:$G, 'Detalle Compras Septiembre 2026'!$A:$A, B53, 'Detalle Compras Septiembre 2026'!$B:$B, "Bebidas")</f>
        <v>0</v>
      </c>
      <c r="L53" s="22">
        <f>SUMIFS('Detalle Compras Septiembre 2026'!$G:$G, 'Detalle Compras Septiembre 2026'!$A:$A, B53, 'Detalle Compras Septiembre 2026'!$B:$B, "Desechables")</f>
        <v>0</v>
      </c>
      <c r="M53" s="22">
        <f>SUMIFS('Detalle Compras Septiembre 2026'!$G:$G, 'Detalle Compras Septiembre 2026'!$A:$A, B53, 'Detalle Compras Septiembre 2026'!$B:$B, "Servicios")</f>
        <v>0</v>
      </c>
      <c r="N53" s="19">
        <f>COUNTIF('Detalle Compras Septiembre 2026'!$A:$A, B53)</f>
        <v>0</v>
      </c>
    </row>
    <row r="54" spans="2:14" ht="18" customHeight="1" x14ac:dyDescent="0.25">
      <c r="B54" s="34">
        <v>27</v>
      </c>
      <c r="C54" s="35">
        <f>SUMIFS('Detalle Compras Septiembre 2026'!$G:$G, 'Detalle Compras Septiembre 2026'!$A:$A, B54, 'Detalle Compras Septiembre 2026'!$B:$B, "&lt;&gt;Servicios")</f>
        <v>0</v>
      </c>
      <c r="D54" s="27">
        <f>SUMIFS('Detalle Compras Septiembre 2026'!$G:$G, 'Detalle Compras Septiembre 2026'!$A:$A, B54, 'Detalle Compras Septiembre 2026'!$B:$B, "Servicios")</f>
        <v>0</v>
      </c>
      <c r="E54" s="36">
        <f t="shared" si="1"/>
        <v>0</v>
      </c>
      <c r="F54" s="32">
        <f t="shared" si="2"/>
        <v>0</v>
      </c>
      <c r="G54" s="32">
        <f t="shared" si="3"/>
        <v>0</v>
      </c>
      <c r="H54" s="8">
        <f>SUMIFS('Detalle Compras Septiembre 2026'!$G:$G, 'Detalle Compras Septiembre 2026'!$A:$A, B54, 'Detalle Compras Septiembre 2026'!$B:$B, "Carnes")</f>
        <v>0</v>
      </c>
      <c r="I54" s="8">
        <f>SUMIFS('Detalle Compras Septiembre 2026'!$G:$G, 'Detalle Compras Septiembre 2026'!$A:$A, B54, 'Detalle Compras Septiembre 2026'!$B:$B, "Verduras")</f>
        <v>0</v>
      </c>
      <c r="J54" s="8">
        <f>SUMIFS('Detalle Compras Septiembre 2026'!$G:$G, 'Detalle Compras Septiembre 2026'!$A:$A, B54, 'Detalle Compras Septiembre 2026'!$B:$B, "Grano")</f>
        <v>0</v>
      </c>
      <c r="K54" s="8">
        <f>SUMIFS('Detalle Compras Septiembre 2026'!$G:$G, 'Detalle Compras Septiembre 2026'!$A:$A, B54, 'Detalle Compras Septiembre 2026'!$B:$B, "Bebidas")</f>
        <v>0</v>
      </c>
      <c r="L54" s="8">
        <f>SUMIFS('Detalle Compras Septiembre 2026'!$G:$G, 'Detalle Compras Septiembre 2026'!$A:$A, B54, 'Detalle Compras Septiembre 2026'!$B:$B, "Desechables")</f>
        <v>0</v>
      </c>
      <c r="M54" s="8">
        <f>SUMIFS('Detalle Compras Septiembre 2026'!$G:$G, 'Detalle Compras Septiembre 2026'!$A:$A, B54, 'Detalle Compras Septiembre 2026'!$B:$B, "Servicios")</f>
        <v>0</v>
      </c>
      <c r="N54" s="31">
        <f>COUNTIF('Detalle Compras Septiembre 2026'!$A:$A, B54)</f>
        <v>0</v>
      </c>
    </row>
    <row r="55" spans="2:14" ht="18" customHeight="1" x14ac:dyDescent="0.25">
      <c r="B55" s="37">
        <v>28</v>
      </c>
      <c r="C55" s="35">
        <f>SUMIFS('Detalle Compras Septiembre 2026'!$G:$G, 'Detalle Compras Septiembre 2026'!$A:$A, B55, 'Detalle Compras Septiembre 2026'!$B:$B, "&lt;&gt;Servicios")</f>
        <v>0</v>
      </c>
      <c r="D55" s="27">
        <f>SUMIFS('Detalle Compras Septiembre 2026'!$G:$G, 'Detalle Compras Septiembre 2026'!$A:$A, B55, 'Detalle Compras Septiembre 2026'!$B:$B, "Servicios")</f>
        <v>0</v>
      </c>
      <c r="E55" s="36">
        <f t="shared" si="1"/>
        <v>0</v>
      </c>
      <c r="F55" s="29">
        <f t="shared" si="2"/>
        <v>0</v>
      </c>
      <c r="G55" s="29">
        <f t="shared" si="3"/>
        <v>0</v>
      </c>
      <c r="H55" s="22">
        <f>SUMIFS('Detalle Compras Septiembre 2026'!$G:$G, 'Detalle Compras Septiembre 2026'!$A:$A, B55, 'Detalle Compras Septiembre 2026'!$B:$B, "Carnes")</f>
        <v>0</v>
      </c>
      <c r="I55" s="22">
        <f>SUMIFS('Detalle Compras Septiembre 2026'!$G:$G, 'Detalle Compras Septiembre 2026'!$A:$A, B55, 'Detalle Compras Septiembre 2026'!$B:$B, "Verduras")</f>
        <v>0</v>
      </c>
      <c r="J55" s="22">
        <f>SUMIFS('Detalle Compras Septiembre 2026'!$G:$G, 'Detalle Compras Septiembre 2026'!$A:$A, B55, 'Detalle Compras Septiembre 2026'!$B:$B, "Grano")</f>
        <v>0</v>
      </c>
      <c r="K55" s="22">
        <f>SUMIFS('Detalle Compras Septiembre 2026'!$G:$G, 'Detalle Compras Septiembre 2026'!$A:$A, B55, 'Detalle Compras Septiembre 2026'!$B:$B, "Bebidas")</f>
        <v>0</v>
      </c>
      <c r="L55" s="22">
        <f>SUMIFS('Detalle Compras Septiembre 2026'!$G:$G, 'Detalle Compras Septiembre 2026'!$A:$A, B55, 'Detalle Compras Septiembre 2026'!$B:$B, "Desechables")</f>
        <v>0</v>
      </c>
      <c r="M55" s="22">
        <f>SUMIFS('Detalle Compras Septiembre 2026'!$G:$G, 'Detalle Compras Septiembre 2026'!$A:$A, B55, 'Detalle Compras Septiembre 2026'!$B:$B, "Servicios")</f>
        <v>0</v>
      </c>
      <c r="N55" s="19">
        <f>COUNTIF('Detalle Compras Septiembre 2026'!$A:$A, B55)</f>
        <v>0</v>
      </c>
    </row>
    <row r="56" spans="2:14" ht="18" customHeight="1" x14ac:dyDescent="0.25">
      <c r="B56" s="34">
        <v>29</v>
      </c>
      <c r="C56" s="35">
        <f>SUMIFS('Detalle Compras Septiembre 2026'!$G:$G, 'Detalle Compras Septiembre 2026'!$A:$A, B56, 'Detalle Compras Septiembre 2026'!$B:$B, "&lt;&gt;Servicios")</f>
        <v>0</v>
      </c>
      <c r="D56" s="27">
        <f>SUMIFS('Detalle Compras Septiembre 2026'!$G:$G, 'Detalle Compras Septiembre 2026'!$A:$A, B56, 'Detalle Compras Septiembre 2026'!$B:$B, "Servicios")</f>
        <v>0</v>
      </c>
      <c r="E56" s="36">
        <f t="shared" si="1"/>
        <v>0</v>
      </c>
      <c r="F56" s="32">
        <f t="shared" si="2"/>
        <v>0</v>
      </c>
      <c r="G56" s="32">
        <f t="shared" si="3"/>
        <v>0</v>
      </c>
      <c r="H56" s="8">
        <f>SUMIFS('Detalle Compras Septiembre 2026'!$G:$G, 'Detalle Compras Septiembre 2026'!$A:$A, B56, 'Detalle Compras Septiembre 2026'!$B:$B, "Carnes")</f>
        <v>0</v>
      </c>
      <c r="I56" s="8">
        <f>SUMIFS('Detalle Compras Septiembre 2026'!$G:$G, 'Detalle Compras Septiembre 2026'!$A:$A, B56, 'Detalle Compras Septiembre 2026'!$B:$B, "Verduras")</f>
        <v>0</v>
      </c>
      <c r="J56" s="8">
        <f>SUMIFS('Detalle Compras Septiembre 2026'!$G:$G, 'Detalle Compras Septiembre 2026'!$A:$A, B56, 'Detalle Compras Septiembre 2026'!$B:$B, "Grano")</f>
        <v>0</v>
      </c>
      <c r="K56" s="8">
        <f>SUMIFS('Detalle Compras Septiembre 2026'!$G:$G, 'Detalle Compras Septiembre 2026'!$A:$A, B56, 'Detalle Compras Septiembre 2026'!$B:$B, "Bebidas")</f>
        <v>0</v>
      </c>
      <c r="L56" s="8">
        <f>SUMIFS('Detalle Compras Septiembre 2026'!$G:$G, 'Detalle Compras Septiembre 2026'!$A:$A, B56, 'Detalle Compras Septiembre 2026'!$B:$B, "Desechables")</f>
        <v>0</v>
      </c>
      <c r="M56" s="8">
        <f>SUMIFS('Detalle Compras Septiembre 2026'!$G:$G, 'Detalle Compras Septiembre 2026'!$A:$A, B56, 'Detalle Compras Septiembre 2026'!$B:$B, "Servicios")</f>
        <v>0</v>
      </c>
      <c r="N56" s="31">
        <f>COUNTIF('Detalle Compras Septiembre 2026'!$A:$A, B56)</f>
        <v>0</v>
      </c>
    </row>
    <row r="57" spans="2:14" ht="18" customHeight="1" x14ac:dyDescent="0.25">
      <c r="B57" s="37">
        <v>30</v>
      </c>
      <c r="C57" s="35">
        <f>SUMIFS('Detalle Compras Septiembre 2026'!$G:$G, 'Detalle Compras Septiembre 2026'!$A:$A, B57, 'Detalle Compras Septiembre 2026'!$B:$B, "&lt;&gt;Servicios")</f>
        <v>0</v>
      </c>
      <c r="D57" s="27">
        <f>SUMIFS('Detalle Compras Septiembre 2026'!$G:$G, 'Detalle Compras Septiembre 2026'!$A:$A, B57, 'Detalle Compras Septiembre 2026'!$B:$B, "Servicios")</f>
        <v>0</v>
      </c>
      <c r="E57" s="36">
        <f t="shared" si="1"/>
        <v>0</v>
      </c>
      <c r="F57" s="29">
        <f t="shared" si="2"/>
        <v>0</v>
      </c>
      <c r="G57" s="29">
        <f t="shared" si="3"/>
        <v>0</v>
      </c>
      <c r="H57" s="22">
        <f>SUMIFS('Detalle Compras Septiembre 2026'!$G:$G, 'Detalle Compras Septiembre 2026'!$A:$A, B57, 'Detalle Compras Septiembre 2026'!$B:$B, "Carnes")</f>
        <v>0</v>
      </c>
      <c r="I57" s="22">
        <f>SUMIFS('Detalle Compras Septiembre 2026'!$G:$G, 'Detalle Compras Septiembre 2026'!$A:$A, B57, 'Detalle Compras Septiembre 2026'!$B:$B, "Verduras")</f>
        <v>0</v>
      </c>
      <c r="J57" s="22">
        <f>SUMIFS('Detalle Compras Septiembre 2026'!$G:$G, 'Detalle Compras Septiembre 2026'!$A:$A, B57, 'Detalle Compras Septiembre 2026'!$B:$B, "Grano")</f>
        <v>0</v>
      </c>
      <c r="K57" s="22">
        <f>SUMIFS('Detalle Compras Septiembre 2026'!$G:$G, 'Detalle Compras Septiembre 2026'!$A:$A, B57, 'Detalle Compras Septiembre 2026'!$B:$B, "Bebidas")</f>
        <v>0</v>
      </c>
      <c r="L57" s="22">
        <f>SUMIFS('Detalle Compras Septiembre 2026'!$G:$G, 'Detalle Compras Septiembre 2026'!$A:$A, B57, 'Detalle Compras Septiembre 2026'!$B:$B, "Desechables")</f>
        <v>0</v>
      </c>
      <c r="M57" s="22">
        <f>SUMIFS('Detalle Compras Septiembre 2026'!$G:$G, 'Detalle Compras Septiembre 2026'!$A:$A, B57, 'Detalle Compras Septiembre 2026'!$B:$B, "Servicios")</f>
        <v>0</v>
      </c>
      <c r="N57" s="19">
        <f>COUNTIF('Detalle Compras Septiembre 2026'!$A:$A, B57)</f>
        <v>0</v>
      </c>
    </row>
    <row r="58" spans="2:14" ht="18" customHeight="1" x14ac:dyDescent="0.25">
      <c r="B58" s="34" t="s">
        <v>47</v>
      </c>
      <c r="C58" s="35">
        <f>SUMIF('Detalle Compras Septiembre 2026'!$B:$B, "&lt;&gt;Servicios", 'Detalle Compras Septiembre 2026'!$G:$G)</f>
        <v>46953115.040000014</v>
      </c>
      <c r="D58" s="27">
        <f>SUMIF('Detalle Compras Septiembre 2026'!$B:$B, "Servicios", 'Detalle Compras Septiembre 2026'!$G:$G)</f>
        <v>11253680</v>
      </c>
      <c r="E58" s="36">
        <f t="shared" si="1"/>
        <v>58206795.040000014</v>
      </c>
      <c r="F58" s="32">
        <f t="shared" si="2"/>
        <v>0.8066603737198309</v>
      </c>
      <c r="G58" s="32">
        <f t="shared" si="3"/>
        <v>0.19333962628016904</v>
      </c>
      <c r="H58" s="8">
        <f>SUMIF('Detalle Compras Septiembre 2026'!$B:$B, "Carnes", 'Detalle Compras Septiembre 2026'!$G:$G)</f>
        <v>29008212.039999999</v>
      </c>
      <c r="I58" s="8">
        <f>SUMIF('Detalle Compras Septiembre 2026'!$B:$B, "Verduras", 'Detalle Compras Septiembre 2026'!$G:$G)</f>
        <v>5912885</v>
      </c>
      <c r="J58" s="8">
        <f>SUMIF('Detalle Compras Septiembre 2026'!$B:$B, "Grano", 'Detalle Compras Septiembre 2026'!$G:$G)</f>
        <v>3900265</v>
      </c>
      <c r="K58" s="8">
        <f>SUMIF('Detalle Compras Septiembre 2026'!$B:$B, "Bebidas", 'Detalle Compras Septiembre 2026'!$G:$G)</f>
        <v>2669500.0000000009</v>
      </c>
      <c r="L58" s="8">
        <f>SUMIF('Detalle Compras Septiembre 2026'!$B:$B, "Desechables", 'Detalle Compras Septiembre 2026'!$G:$G)</f>
        <v>5462253</v>
      </c>
      <c r="M58" s="8">
        <f>SUMIF('Detalle Compras Septiembre 2026'!$B:$B, "Servicios", 'Detalle Compras Septiembre 2026'!$G:$G)</f>
        <v>11253680</v>
      </c>
      <c r="N58" s="31">
        <f>COUNT('Detalle Compras Septiembre 2026'!$A:$A)</f>
        <v>332</v>
      </c>
    </row>
    <row r="59" spans="2:14" ht="20.100000000000001" customHeight="1" x14ac:dyDescent="0.25">
      <c r="B59" s="14" t="s">
        <v>48</v>
      </c>
      <c r="C59" s="38">
        <f>IF(COUNTIF($E$28:$E$57,"&gt;0")&gt;0, C58/COUNTIF($E$28:$E$57,"&gt;0"), 0)</f>
        <v>4268465.0036363648</v>
      </c>
      <c r="D59" s="39">
        <f>IF(COUNTIF($E$28:$E$57,"&gt;0")&gt;0, D58/COUNTIF($E$28:$E$57,"&gt;0"), 0)</f>
        <v>1023061.8181818182</v>
      </c>
      <c r="E59" s="15">
        <f>IF(COUNTIF($E$28:$E$57,"&gt;0")&gt;0, E58/COUNTIF($E$28:$E$57,"&gt;0"), 0)</f>
        <v>5291526.8218181832</v>
      </c>
      <c r="F59" s="40">
        <f t="shared" si="2"/>
        <v>0.8066603737198309</v>
      </c>
      <c r="G59" s="41">
        <f t="shared" si="3"/>
        <v>0.19333962628016904</v>
      </c>
      <c r="H59" s="15">
        <f t="shared" ref="H59:N59" si="4">IF(COUNTIF($E$28:$E$57,"&gt;0")&gt;0, H58/COUNTIF($E$28:$E$57,"&gt;0"), 0)</f>
        <v>2637110.1854545455</v>
      </c>
      <c r="I59" s="15">
        <f t="shared" si="4"/>
        <v>537535</v>
      </c>
      <c r="J59" s="15">
        <f t="shared" si="4"/>
        <v>354569.54545454547</v>
      </c>
      <c r="K59" s="15">
        <f t="shared" si="4"/>
        <v>242681.81818181826</v>
      </c>
      <c r="L59" s="15">
        <f t="shared" si="4"/>
        <v>496568.45454545453</v>
      </c>
      <c r="M59" s="15">
        <f t="shared" si="4"/>
        <v>1023061.8181818182</v>
      </c>
      <c r="N59" s="14">
        <f t="shared" si="4"/>
        <v>30.181818181818183</v>
      </c>
    </row>
    <row r="60" spans="2:14" ht="18" customHeight="1" x14ac:dyDescent="0.25">
      <c r="B60" s="42" t="s">
        <v>49</v>
      </c>
      <c r="C60" s="36">
        <f>MAX(C28:C57)</f>
        <v>9400342</v>
      </c>
      <c r="D60" s="36">
        <f>MAX(D28:D57)</f>
        <v>9961380</v>
      </c>
      <c r="E60" s="36">
        <f>MAX(E28:E57)</f>
        <v>16106430</v>
      </c>
      <c r="F60" s="43" t="s">
        <v>50</v>
      </c>
      <c r="G60" s="43" t="s">
        <v>50</v>
      </c>
      <c r="H60" s="44">
        <f t="shared" ref="H60:N60" si="5">MAX(H28:H57)</f>
        <v>7349980</v>
      </c>
      <c r="I60" s="44">
        <f t="shared" si="5"/>
        <v>2488950</v>
      </c>
      <c r="J60" s="44">
        <f t="shared" si="5"/>
        <v>1076000</v>
      </c>
      <c r="K60" s="44">
        <f t="shared" si="5"/>
        <v>1125100</v>
      </c>
      <c r="L60" s="44">
        <f t="shared" si="5"/>
        <v>1887900</v>
      </c>
      <c r="M60" s="44">
        <f t="shared" si="5"/>
        <v>9961380</v>
      </c>
      <c r="N60" s="45">
        <f t="shared" si="5"/>
        <v>54</v>
      </c>
    </row>
    <row r="61" spans="2:14" ht="18" customHeight="1" x14ac:dyDescent="0.25">
      <c r="B61" s="46" t="s">
        <v>51</v>
      </c>
      <c r="C61" s="47">
        <f>MIN(C28:C57)</f>
        <v>0</v>
      </c>
      <c r="D61" s="47">
        <f>MIN(D28:D57)</f>
        <v>0</v>
      </c>
      <c r="E61" s="47">
        <f>MIN(E28:E57)</f>
        <v>0</v>
      </c>
      <c r="F61" s="48" t="s">
        <v>50</v>
      </c>
      <c r="G61" s="48" t="s">
        <v>50</v>
      </c>
      <c r="H61" s="49">
        <f t="shared" ref="H61:N61" si="6">MIN(H28:H57)</f>
        <v>0</v>
      </c>
      <c r="I61" s="49">
        <f t="shared" si="6"/>
        <v>0</v>
      </c>
      <c r="J61" s="49">
        <f t="shared" si="6"/>
        <v>0</v>
      </c>
      <c r="K61" s="49">
        <f t="shared" si="6"/>
        <v>0</v>
      </c>
      <c r="L61" s="49">
        <f t="shared" si="6"/>
        <v>0</v>
      </c>
      <c r="M61" s="49">
        <f t="shared" si="6"/>
        <v>0</v>
      </c>
      <c r="N61" s="50">
        <f t="shared" si="6"/>
        <v>0</v>
      </c>
    </row>
    <row r="62" spans="2:14" ht="18" customHeight="1" x14ac:dyDescent="0.25">
      <c r="B62" s="46"/>
      <c r="C62" s="49"/>
      <c r="D62" s="49"/>
      <c r="E62" s="49"/>
      <c r="F62" s="48"/>
      <c r="G62" s="48"/>
      <c r="H62" s="49"/>
      <c r="I62" s="49"/>
      <c r="J62" s="49"/>
      <c r="K62" s="49"/>
      <c r="L62" s="49"/>
      <c r="M62" s="49"/>
      <c r="N62" s="50"/>
    </row>
    <row r="66" spans="2:14" ht="9.9499999999999993" customHeight="1" x14ac:dyDescent="0.25"/>
    <row r="67" spans="2:14" x14ac:dyDescent="0.25">
      <c r="B67" s="221" t="s">
        <v>52</v>
      </c>
      <c r="C67" s="212"/>
      <c r="D67" s="212"/>
      <c r="E67" s="212"/>
      <c r="F67" s="212"/>
      <c r="G67" s="212"/>
      <c r="I67" s="221" t="s">
        <v>53</v>
      </c>
      <c r="J67" s="212"/>
      <c r="K67" s="212"/>
      <c r="L67" s="212"/>
      <c r="M67" s="212"/>
      <c r="N67" s="212"/>
    </row>
    <row r="68" spans="2:14" x14ac:dyDescent="0.25">
      <c r="B68" s="145" t="s">
        <v>54</v>
      </c>
      <c r="C68" s="146" t="s">
        <v>55</v>
      </c>
      <c r="D68" s="146" t="s">
        <v>21</v>
      </c>
      <c r="E68" s="147" t="s">
        <v>23</v>
      </c>
      <c r="F68" s="147" t="s">
        <v>56</v>
      </c>
      <c r="G68" s="147" t="s">
        <v>57</v>
      </c>
      <c r="I68" s="145" t="s">
        <v>54</v>
      </c>
      <c r="J68" s="146" t="s">
        <v>58</v>
      </c>
      <c r="K68" s="146" t="s">
        <v>21</v>
      </c>
      <c r="L68" s="147" t="s">
        <v>59</v>
      </c>
      <c r="M68" s="147" t="s">
        <v>60</v>
      </c>
      <c r="N68" s="147" t="s">
        <v>61</v>
      </c>
    </row>
    <row r="69" spans="2:14" ht="18" customHeight="1" x14ac:dyDescent="0.25">
      <c r="B69" s="51">
        <v>1</v>
      </c>
      <c r="C69" s="52" t="s">
        <v>62</v>
      </c>
      <c r="D69" s="51" t="s">
        <v>24</v>
      </c>
      <c r="E69" s="31">
        <f>COUNTIF('Detalle Compras Septiembre 2026'!$C:$C, C69)</f>
        <v>2</v>
      </c>
      <c r="F69" s="8">
        <f>SUMIFS('Detalle Compras Septiembre 2026'!$G:$G, 'Detalle Compras Septiembre 2026'!$C:$C, C69)</f>
        <v>4809240</v>
      </c>
      <c r="G69" s="32">
        <f t="shared" ref="G69:G78" si="7">IF($C$58&gt;0, F69/$C$58, 0)</f>
        <v>0.10242643104515944</v>
      </c>
      <c r="I69" s="51">
        <v>1</v>
      </c>
      <c r="J69" s="52" t="s">
        <v>63</v>
      </c>
      <c r="K69" s="51" t="s">
        <v>26</v>
      </c>
      <c r="L69" s="31">
        <f>COUNTIF('Detalle Compras Septiembre 2026'!$C:$C, J69)</f>
        <v>1</v>
      </c>
      <c r="M69" s="8">
        <f>SUMIFS('Detalle Compras Septiembre 2026'!$G:$G, 'Detalle Compras Septiembre 2026'!$C:$C, J69)</f>
        <v>5241000</v>
      </c>
      <c r="N69" s="32">
        <f t="shared" ref="N69:N78" si="8">IF($D$58&gt;0, M69/$D$58, 0)</f>
        <v>0.46571432633591858</v>
      </c>
    </row>
    <row r="70" spans="2:14" ht="18" customHeight="1" x14ac:dyDescent="0.25">
      <c r="B70" s="53">
        <v>2</v>
      </c>
      <c r="C70" s="54" t="s">
        <v>64</v>
      </c>
      <c r="D70" s="53" t="s">
        <v>24</v>
      </c>
      <c r="E70" s="19">
        <f>COUNTIF('Detalle Compras Septiembre 2026'!$C:$C, C70)</f>
        <v>4</v>
      </c>
      <c r="F70" s="22">
        <f>SUMIFS('Detalle Compras Septiembre 2026'!$G:$G, 'Detalle Compras Septiembre 2026'!$C:$C, C70)</f>
        <v>2401707</v>
      </c>
      <c r="G70" s="29">
        <f t="shared" si="7"/>
        <v>5.1151174910417603E-2</v>
      </c>
      <c r="I70" s="53">
        <v>2</v>
      </c>
      <c r="J70" s="54" t="s">
        <v>65</v>
      </c>
      <c r="K70" s="53" t="s">
        <v>26</v>
      </c>
      <c r="L70" s="19">
        <f>COUNTIF('Detalle Compras Septiembre 2026'!$C:$C, J70)</f>
        <v>1</v>
      </c>
      <c r="M70" s="22">
        <f>SUMIFS('Detalle Compras Septiembre 2026'!$G:$G, 'Detalle Compras Septiembre 2026'!$C:$C, J70)</f>
        <v>649800</v>
      </c>
      <c r="N70" s="29">
        <f t="shared" si="8"/>
        <v>5.7741112240618182E-2</v>
      </c>
    </row>
    <row r="71" spans="2:14" ht="18" customHeight="1" x14ac:dyDescent="0.25">
      <c r="B71" s="51">
        <v>3</v>
      </c>
      <c r="C71" s="52" t="s">
        <v>66</v>
      </c>
      <c r="D71" s="51" t="s">
        <v>24</v>
      </c>
      <c r="E71" s="31">
        <f>COUNTIF('Detalle Compras Septiembre 2026'!$C:$C, C71)</f>
        <v>1</v>
      </c>
      <c r="F71" s="8">
        <f>SUMIFS('Detalle Compras Septiembre 2026'!$G:$G, 'Detalle Compras Septiembre 2026'!$C:$C, C71)</f>
        <v>1978665</v>
      </c>
      <c r="G71" s="32">
        <f t="shared" si="7"/>
        <v>4.2141293465073566E-2</v>
      </c>
      <c r="I71" s="51">
        <v>3</v>
      </c>
      <c r="J71" s="52" t="s">
        <v>67</v>
      </c>
      <c r="K71" s="51" t="s">
        <v>26</v>
      </c>
      <c r="L71" s="31">
        <f>COUNTIF('Detalle Compras Septiembre 2026'!$C:$C, J71)</f>
        <v>3</v>
      </c>
      <c r="M71" s="8">
        <f>SUMIFS('Detalle Compras Septiembre 2026'!$G:$G, 'Detalle Compras Septiembre 2026'!$C:$C, J71)</f>
        <v>264000</v>
      </c>
      <c r="N71" s="32">
        <f t="shared" si="8"/>
        <v>2.3458992969410893E-2</v>
      </c>
    </row>
    <row r="72" spans="2:14" ht="18" customHeight="1" x14ac:dyDescent="0.25">
      <c r="B72" s="53">
        <v>4</v>
      </c>
      <c r="C72" s="54" t="s">
        <v>68</v>
      </c>
      <c r="D72" s="53" t="s">
        <v>24</v>
      </c>
      <c r="E72" s="19">
        <f>COUNTIF('Detalle Compras Septiembre 2026'!$C:$C, C72)</f>
        <v>3</v>
      </c>
      <c r="F72" s="22">
        <f>SUMIFS('Detalle Compras Septiembre 2026'!$G:$G, 'Detalle Compras Septiembre 2026'!$C:$C, C72)</f>
        <v>1658243</v>
      </c>
      <c r="G72" s="29">
        <f t="shared" si="7"/>
        <v>3.5316996509972123E-2</v>
      </c>
      <c r="I72" s="53">
        <v>4</v>
      </c>
      <c r="J72" s="54" t="s">
        <v>69</v>
      </c>
      <c r="K72" s="53" t="s">
        <v>26</v>
      </c>
      <c r="L72" s="19">
        <f>COUNTIF('Detalle Compras Septiembre 2026'!$C:$C, J72)</f>
        <v>7</v>
      </c>
      <c r="M72" s="22">
        <f>SUMIFS('Detalle Compras Septiembre 2026'!$G:$G, 'Detalle Compras Septiembre 2026'!$C:$C, J72)</f>
        <v>210000</v>
      </c>
      <c r="N72" s="29">
        <f t="shared" si="8"/>
        <v>1.8660562589304121E-2</v>
      </c>
    </row>
    <row r="73" spans="2:14" ht="18" customHeight="1" x14ac:dyDescent="0.25">
      <c r="B73" s="51">
        <v>5</v>
      </c>
      <c r="C73" s="52" t="s">
        <v>70</v>
      </c>
      <c r="D73" s="51" t="s">
        <v>24</v>
      </c>
      <c r="E73" s="31">
        <f>COUNTIF('Detalle Compras Septiembre 2026'!$C:$C, C73)</f>
        <v>4</v>
      </c>
      <c r="F73" s="8">
        <f>SUMIFS('Detalle Compras Septiembre 2026'!$G:$G, 'Detalle Compras Septiembre 2026'!$C:$C, C73)</f>
        <v>1596875</v>
      </c>
      <c r="G73" s="32">
        <f t="shared" si="7"/>
        <v>3.4009990575483651E-2</v>
      </c>
      <c r="I73" s="51">
        <v>5</v>
      </c>
      <c r="J73" s="52" t="s">
        <v>71</v>
      </c>
      <c r="K73" s="51" t="s">
        <v>26</v>
      </c>
      <c r="L73" s="31">
        <f>COUNTIF('Detalle Compras Septiembre 2026'!$C:$C, J73)</f>
        <v>3</v>
      </c>
      <c r="M73" s="8">
        <f>SUMIFS('Detalle Compras Septiembre 2026'!$G:$G, 'Detalle Compras Septiembre 2026'!$C:$C, J73)</f>
        <v>73500</v>
      </c>
      <c r="N73" s="32">
        <f t="shared" si="8"/>
        <v>6.5311969062564427E-3</v>
      </c>
    </row>
    <row r="74" spans="2:14" ht="18" customHeight="1" x14ac:dyDescent="0.25">
      <c r="B74" s="53">
        <v>6</v>
      </c>
      <c r="C74" s="54" t="s">
        <v>72</v>
      </c>
      <c r="D74" s="53" t="s">
        <v>24</v>
      </c>
      <c r="E74" s="19">
        <f>COUNTIF('Detalle Compras Septiembre 2026'!$C:$C, C74)</f>
        <v>4</v>
      </c>
      <c r="F74" s="22">
        <f>SUMIFS('Detalle Compras Septiembre 2026'!$G:$G, 'Detalle Compras Septiembre 2026'!$C:$C, C74)</f>
        <v>1352250</v>
      </c>
      <c r="G74" s="29">
        <f t="shared" si="7"/>
        <v>2.8800006109243218E-2</v>
      </c>
      <c r="I74" s="53">
        <v>6</v>
      </c>
      <c r="J74" s="54" t="s">
        <v>73</v>
      </c>
      <c r="K74" s="53" t="s">
        <v>26</v>
      </c>
      <c r="L74" s="19">
        <f>COUNTIF('Detalle Compras Septiembre 2026'!$C:$C, J74)</f>
        <v>1</v>
      </c>
      <c r="M74" s="22">
        <f>SUMIFS('Detalle Compras Septiembre 2026'!$G:$G, 'Detalle Compras Septiembre 2026'!$C:$C, J74)</f>
        <v>72000</v>
      </c>
      <c r="N74" s="29">
        <f t="shared" si="8"/>
        <v>6.3979071734756986E-3</v>
      </c>
    </row>
    <row r="75" spans="2:14" ht="18" customHeight="1" x14ac:dyDescent="0.25">
      <c r="B75" s="51">
        <v>7</v>
      </c>
      <c r="C75" s="52" t="s">
        <v>74</v>
      </c>
      <c r="D75" s="51" t="s">
        <v>24</v>
      </c>
      <c r="E75" s="31">
        <f>COUNTIF('Detalle Compras Septiembre 2026'!$C:$C, C75)</f>
        <v>2</v>
      </c>
      <c r="F75" s="8">
        <f>SUMIFS('Detalle Compras Septiembre 2026'!$G:$G, 'Detalle Compras Septiembre 2026'!$C:$C, C75)</f>
        <v>1251165</v>
      </c>
      <c r="G75" s="32">
        <f t="shared" si="7"/>
        <v>2.6647113805636006E-2</v>
      </c>
      <c r="I75" s="51">
        <v>7</v>
      </c>
      <c r="J75" s="52" t="s">
        <v>75</v>
      </c>
      <c r="K75" s="51" t="s">
        <v>26</v>
      </c>
      <c r="L75" s="31">
        <f>COUNTIF('Detalle Compras Septiembre 2026'!$C:$C, J75)</f>
        <v>1</v>
      </c>
      <c r="M75" s="8">
        <f>SUMIFS('Detalle Compras Septiembre 2026'!$G:$G, 'Detalle Compras Septiembre 2026'!$C:$C, J75)</f>
        <v>58000</v>
      </c>
      <c r="N75" s="32">
        <f t="shared" si="8"/>
        <v>5.1538696675220907E-3</v>
      </c>
    </row>
    <row r="76" spans="2:14" ht="18" customHeight="1" x14ac:dyDescent="0.25">
      <c r="B76" s="53">
        <v>8</v>
      </c>
      <c r="C76" s="54" t="s">
        <v>76</v>
      </c>
      <c r="D76" s="53" t="s">
        <v>24</v>
      </c>
      <c r="E76" s="19">
        <f>COUNTIF('Detalle Compras Septiembre 2026'!$C:$C, C76)</f>
        <v>4</v>
      </c>
      <c r="F76" s="22">
        <f>SUMIFS('Detalle Compras Septiembre 2026'!$G:$G, 'Detalle Compras Septiembre 2026'!$C:$C, C76)</f>
        <v>1226550</v>
      </c>
      <c r="G76" s="29">
        <f t="shared" si="7"/>
        <v>2.6122867438189881E-2</v>
      </c>
      <c r="I76" s="53">
        <v>8</v>
      </c>
      <c r="J76" s="54" t="s">
        <v>77</v>
      </c>
      <c r="K76" s="53" t="s">
        <v>26</v>
      </c>
      <c r="L76" s="19">
        <f>COUNTIF('Detalle Compras Septiembre 2026'!$C:$C, J76)</f>
        <v>1</v>
      </c>
      <c r="M76" s="22">
        <f>SUMIFS('Detalle Compras Septiembre 2026'!$G:$G, 'Detalle Compras Septiembre 2026'!$C:$C, J76)</f>
        <v>10000</v>
      </c>
      <c r="N76" s="29">
        <f t="shared" si="8"/>
        <v>8.8859821853829151E-4</v>
      </c>
    </row>
    <row r="77" spans="2:14" ht="18" customHeight="1" x14ac:dyDescent="0.25">
      <c r="B77" s="51">
        <v>9</v>
      </c>
      <c r="C77" s="52" t="s">
        <v>78</v>
      </c>
      <c r="D77" s="51" t="s">
        <v>24</v>
      </c>
      <c r="E77" s="31">
        <f>COUNTIF('Detalle Compras Septiembre 2026'!$C:$C, C77)</f>
        <v>2</v>
      </c>
      <c r="F77" s="8">
        <f>SUMIFS('Detalle Compras Septiembre 2026'!$G:$G, 'Detalle Compras Septiembre 2026'!$C:$C, C77)</f>
        <v>913710</v>
      </c>
      <c r="G77" s="32">
        <f t="shared" si="7"/>
        <v>1.9460050717009889E-2</v>
      </c>
      <c r="I77" s="51">
        <v>9</v>
      </c>
      <c r="J77" s="52" t="s">
        <v>79</v>
      </c>
      <c r="K77" s="51" t="s">
        <v>26</v>
      </c>
      <c r="L77" s="31">
        <f>COUNTIF('Detalle Compras Septiembre 2026'!$C:$C, J77)</f>
        <v>1</v>
      </c>
      <c r="M77" s="8">
        <f>SUMIFS('Detalle Compras Septiembre 2026'!$G:$G, 'Detalle Compras Septiembre 2026'!$C:$C, J77)</f>
        <v>10000</v>
      </c>
      <c r="N77" s="32">
        <f t="shared" si="8"/>
        <v>8.8859821853829151E-4</v>
      </c>
    </row>
    <row r="78" spans="2:14" ht="18" customHeight="1" x14ac:dyDescent="0.25">
      <c r="B78" s="53">
        <v>10</v>
      </c>
      <c r="C78" s="54" t="s">
        <v>80</v>
      </c>
      <c r="D78" s="53" t="s">
        <v>24</v>
      </c>
      <c r="E78" s="19">
        <f>COUNTIF('Detalle Compras Septiembre 2026'!$C:$C, C78)</f>
        <v>1</v>
      </c>
      <c r="F78" s="22">
        <f>SUMIFS('Detalle Compras Septiembre 2026'!$G:$G, 'Detalle Compras Septiembre 2026'!$C:$C, C78)</f>
        <v>905100</v>
      </c>
      <c r="G78" s="29">
        <f t="shared" si="7"/>
        <v>1.9276676302071388E-2</v>
      </c>
      <c r="I78" s="53">
        <v>10</v>
      </c>
      <c r="J78" s="54" t="s">
        <v>81</v>
      </c>
      <c r="K78" s="53" t="s">
        <v>26</v>
      </c>
      <c r="L78" s="19">
        <f>COUNTIF('Detalle Compras Septiembre 2026'!$C:$C, J78)</f>
        <v>1</v>
      </c>
      <c r="M78" s="22">
        <f>SUMIFS('Detalle Compras Septiembre 2026'!$G:$G, 'Detalle Compras Septiembre 2026'!$C:$C, J78)</f>
        <v>10000</v>
      </c>
      <c r="N78" s="29">
        <f t="shared" si="8"/>
        <v>8.8859821853829151E-4</v>
      </c>
    </row>
  </sheetData>
  <mergeCells count="19">
    <mergeCell ref="B67:G67"/>
    <mergeCell ref="K7:N7"/>
    <mergeCell ref="H7:J7"/>
    <mergeCell ref="E6:G6"/>
    <mergeCell ref="K6:N6"/>
    <mergeCell ref="I67:N67"/>
    <mergeCell ref="B26:N26"/>
    <mergeCell ref="B9:G9"/>
    <mergeCell ref="E7:G7"/>
    <mergeCell ref="K5:N5"/>
    <mergeCell ref="B15:G15"/>
    <mergeCell ref="B5:D5"/>
    <mergeCell ref="H5:J5"/>
    <mergeCell ref="B7:D7"/>
    <mergeCell ref="B2:N2"/>
    <mergeCell ref="E5:G5"/>
    <mergeCell ref="H6:J6"/>
    <mergeCell ref="B3:N3"/>
    <mergeCell ref="B6:D6"/>
  </mergeCells>
  <pageMargins left="0.2" right="0.2" top="0.2" bottom="0.2" header="0.3" footer="0.3"/>
  <pageSetup paperSize="9" scale="82" fitToHeight="2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78"/>
  <sheetViews>
    <sheetView tabSelected="1" workbookViewId="0">
      <selection activeCell="H17" sqref="H17"/>
    </sheetView>
  </sheetViews>
  <sheetFormatPr baseColWidth="10" defaultColWidth="9.140625" defaultRowHeight="15" x14ac:dyDescent="0.25"/>
  <cols>
    <col min="1" max="1" width="4" style="165" customWidth="1"/>
    <col min="2" max="2" width="6" style="165" customWidth="1"/>
    <col min="3" max="3" width="34" style="165" customWidth="1"/>
    <col min="4" max="4" width="20" style="165" customWidth="1"/>
    <col min="5" max="5" width="28" style="165" customWidth="1"/>
    <col min="6" max="7" width="20" style="165" customWidth="1"/>
    <col min="8" max="8" width="12" style="165" customWidth="1"/>
    <col min="9" max="9" width="32" style="165" customWidth="1"/>
    <col min="10" max="10" width="55" style="165" customWidth="1"/>
  </cols>
  <sheetData>
    <row r="2" spans="2:10" ht="27.95" customHeight="1" x14ac:dyDescent="0.25">
      <c r="B2" s="227" t="s">
        <v>82</v>
      </c>
      <c r="C2" s="212"/>
      <c r="D2" s="212"/>
      <c r="E2" s="212"/>
      <c r="F2" s="212"/>
      <c r="G2" s="212"/>
      <c r="H2" s="212"/>
      <c r="I2" s="212"/>
      <c r="J2" s="212"/>
    </row>
    <row r="3" spans="2:10" ht="18" customHeight="1" x14ac:dyDescent="0.25">
      <c r="B3" s="232" t="s">
        <v>83</v>
      </c>
      <c r="C3" s="212"/>
      <c r="D3" s="212"/>
      <c r="E3" s="212"/>
      <c r="F3" s="212"/>
      <c r="G3" s="212"/>
      <c r="H3" s="212"/>
      <c r="I3" s="212"/>
      <c r="J3" s="212"/>
    </row>
    <row r="5" spans="2:10" ht="15.95" customHeight="1" x14ac:dyDescent="0.25">
      <c r="B5" s="228" t="s">
        <v>84</v>
      </c>
      <c r="C5" s="229"/>
      <c r="D5" s="170" t="s">
        <v>85</v>
      </c>
      <c r="E5" s="170" t="s">
        <v>86</v>
      </c>
      <c r="F5" s="170" t="s">
        <v>87</v>
      </c>
      <c r="G5" s="228" t="s">
        <v>88</v>
      </c>
      <c r="H5" s="229"/>
      <c r="I5" s="228" t="s">
        <v>89</v>
      </c>
      <c r="J5" s="229"/>
    </row>
    <row r="6" spans="2:10" ht="24" customHeight="1" x14ac:dyDescent="0.25">
      <c r="B6" s="231">
        <v>55081550</v>
      </c>
      <c r="C6" s="229"/>
      <c r="D6" s="171">
        <v>22260149</v>
      </c>
      <c r="E6" s="172">
        <v>22257229</v>
      </c>
      <c r="F6" s="173">
        <v>2920</v>
      </c>
      <c r="G6" s="230">
        <v>58206795</v>
      </c>
      <c r="H6" s="229"/>
      <c r="I6" s="233">
        <v>0</v>
      </c>
      <c r="J6" s="229"/>
    </row>
    <row r="7" spans="2:10" ht="15" customHeight="1" x14ac:dyDescent="0.25">
      <c r="B7" s="234" t="s">
        <v>90</v>
      </c>
      <c r="C7" s="229"/>
      <c r="D7" s="174" t="s">
        <v>91</v>
      </c>
      <c r="E7" s="174" t="s">
        <v>92</v>
      </c>
      <c r="F7" s="174" t="s">
        <v>93</v>
      </c>
      <c r="G7" s="234" t="s">
        <v>94</v>
      </c>
      <c r="H7" s="229"/>
      <c r="I7" s="234" t="s">
        <v>95</v>
      </c>
      <c r="J7" s="229"/>
    </row>
    <row r="9" spans="2:10" ht="21.95" customHeight="1" x14ac:dyDescent="0.25">
      <c r="B9" s="226" t="s">
        <v>96</v>
      </c>
      <c r="C9" s="212"/>
      <c r="D9" s="212"/>
      <c r="E9" s="212"/>
      <c r="F9" s="212"/>
      <c r="G9" s="212"/>
      <c r="H9" s="212"/>
      <c r="I9" s="212"/>
      <c r="J9" s="212"/>
    </row>
    <row r="10" spans="2:10" ht="24.95" customHeight="1" x14ac:dyDescent="0.25">
      <c r="B10" s="175" t="s">
        <v>54</v>
      </c>
      <c r="C10" s="176" t="s">
        <v>97</v>
      </c>
      <c r="D10" s="177" t="s">
        <v>98</v>
      </c>
      <c r="E10" s="175" t="s">
        <v>99</v>
      </c>
      <c r="F10" s="177" t="s">
        <v>100</v>
      </c>
      <c r="G10" s="177" t="s">
        <v>101</v>
      </c>
      <c r="H10" s="175" t="s">
        <v>102</v>
      </c>
      <c r="I10" s="176" t="s">
        <v>103</v>
      </c>
      <c r="J10" s="176" t="s">
        <v>104</v>
      </c>
    </row>
    <row r="11" spans="2:10" ht="18.95" customHeight="1" x14ac:dyDescent="0.25">
      <c r="B11" s="178">
        <v>1</v>
      </c>
      <c r="C11" s="179" t="s">
        <v>105</v>
      </c>
      <c r="D11" s="180">
        <v>5241000</v>
      </c>
      <c r="E11" s="181" t="s">
        <v>106</v>
      </c>
      <c r="F11" s="180">
        <v>5241000</v>
      </c>
      <c r="G11" s="180">
        <f t="shared" ref="G11:G46" si="0">D11-F11</f>
        <v>0</v>
      </c>
      <c r="H11" s="178" t="s">
        <v>107</v>
      </c>
      <c r="I11" s="179" t="s">
        <v>108</v>
      </c>
      <c r="J11" s="179" t="s">
        <v>109</v>
      </c>
    </row>
    <row r="12" spans="2:10" ht="18.95" customHeight="1" x14ac:dyDescent="0.25">
      <c r="B12" s="178">
        <v>2</v>
      </c>
      <c r="C12" s="179" t="s">
        <v>110</v>
      </c>
      <c r="D12" s="180">
        <v>728000</v>
      </c>
      <c r="E12" s="182" t="s">
        <v>111</v>
      </c>
      <c r="F12" s="180">
        <v>728000</v>
      </c>
      <c r="G12" s="180">
        <f t="shared" si="0"/>
        <v>0</v>
      </c>
      <c r="H12" s="178" t="s">
        <v>112</v>
      </c>
      <c r="I12" s="179" t="s">
        <v>113</v>
      </c>
      <c r="J12" s="179" t="s">
        <v>114</v>
      </c>
    </row>
    <row r="13" spans="2:10" ht="18.95" customHeight="1" x14ac:dyDescent="0.25">
      <c r="B13" s="178">
        <v>3</v>
      </c>
      <c r="C13" s="179" t="s">
        <v>115</v>
      </c>
      <c r="D13" s="180">
        <v>1994200</v>
      </c>
      <c r="E13" s="183" t="s">
        <v>116</v>
      </c>
      <c r="F13" s="180">
        <v>1978665</v>
      </c>
      <c r="G13" s="180">
        <f t="shared" si="0"/>
        <v>15535</v>
      </c>
      <c r="H13" s="178" t="s">
        <v>117</v>
      </c>
      <c r="I13" s="179" t="s">
        <v>118</v>
      </c>
      <c r="J13" s="179" t="s">
        <v>119</v>
      </c>
    </row>
    <row r="14" spans="2:10" ht="18.95" customHeight="1" x14ac:dyDescent="0.25">
      <c r="B14" s="178">
        <v>4</v>
      </c>
      <c r="C14" s="179" t="s">
        <v>120</v>
      </c>
      <c r="D14" s="180">
        <v>1652380</v>
      </c>
      <c r="E14" s="182" t="s">
        <v>111</v>
      </c>
      <c r="F14" s="180">
        <v>1652380</v>
      </c>
      <c r="G14" s="180">
        <f t="shared" si="0"/>
        <v>0</v>
      </c>
      <c r="H14" s="178" t="s">
        <v>121</v>
      </c>
      <c r="I14" s="179" t="s">
        <v>113</v>
      </c>
      <c r="J14" s="179" t="s">
        <v>122</v>
      </c>
    </row>
    <row r="15" spans="2:10" ht="18.95" customHeight="1" x14ac:dyDescent="0.25">
      <c r="B15" s="178">
        <v>5</v>
      </c>
      <c r="C15" s="179" t="s">
        <v>123</v>
      </c>
      <c r="D15" s="180">
        <v>2288950</v>
      </c>
      <c r="E15" s="182" t="s">
        <v>111</v>
      </c>
      <c r="F15" s="180">
        <v>2288950</v>
      </c>
      <c r="G15" s="180">
        <f t="shared" si="0"/>
        <v>0</v>
      </c>
      <c r="H15" s="178" t="s">
        <v>124</v>
      </c>
      <c r="I15" s="179" t="s">
        <v>113</v>
      </c>
      <c r="J15" s="179" t="s">
        <v>125</v>
      </c>
    </row>
    <row r="16" spans="2:10" ht="18.95" customHeight="1" x14ac:dyDescent="0.25">
      <c r="B16" s="178">
        <v>6</v>
      </c>
      <c r="C16" s="179" t="s">
        <v>126</v>
      </c>
      <c r="D16" s="180">
        <v>254200</v>
      </c>
      <c r="E16" s="181" t="s">
        <v>106</v>
      </c>
      <c r="F16" s="180">
        <v>254200</v>
      </c>
      <c r="G16" s="180">
        <f t="shared" si="0"/>
        <v>0</v>
      </c>
      <c r="H16" s="178" t="s">
        <v>127</v>
      </c>
      <c r="I16" s="179" t="s">
        <v>128</v>
      </c>
      <c r="J16" s="179" t="s">
        <v>129</v>
      </c>
    </row>
    <row r="17" spans="2:10" ht="18.95" customHeight="1" x14ac:dyDescent="0.25">
      <c r="B17" s="178">
        <v>7</v>
      </c>
      <c r="C17" s="179" t="s">
        <v>130</v>
      </c>
      <c r="D17" s="180">
        <v>227500</v>
      </c>
      <c r="E17" s="181" t="s">
        <v>106</v>
      </c>
      <c r="F17" s="180">
        <v>227500</v>
      </c>
      <c r="G17" s="180">
        <f t="shared" si="0"/>
        <v>0</v>
      </c>
      <c r="H17" s="178" t="s">
        <v>131</v>
      </c>
      <c r="I17" s="179" t="s">
        <v>132</v>
      </c>
      <c r="J17" s="179" t="s">
        <v>133</v>
      </c>
    </row>
    <row r="18" spans="2:10" ht="18.95" customHeight="1" x14ac:dyDescent="0.25">
      <c r="B18" s="178">
        <v>8</v>
      </c>
      <c r="C18" s="179" t="s">
        <v>134</v>
      </c>
      <c r="D18" s="180">
        <v>200000</v>
      </c>
      <c r="E18" s="183" t="s">
        <v>135</v>
      </c>
      <c r="F18" s="180">
        <v>204000</v>
      </c>
      <c r="G18" s="180">
        <f t="shared" si="0"/>
        <v>-4000</v>
      </c>
      <c r="H18" s="178" t="s">
        <v>136</v>
      </c>
      <c r="I18" s="179" t="s">
        <v>137</v>
      </c>
      <c r="J18" s="179" t="s">
        <v>138</v>
      </c>
    </row>
    <row r="19" spans="2:10" ht="18.95" customHeight="1" x14ac:dyDescent="0.25">
      <c r="B19" s="178">
        <v>9</v>
      </c>
      <c r="C19" s="179" t="s">
        <v>134</v>
      </c>
      <c r="D19" s="180">
        <v>200000</v>
      </c>
      <c r="E19" s="182" t="s">
        <v>111</v>
      </c>
      <c r="F19" s="180">
        <v>200000</v>
      </c>
      <c r="G19" s="180">
        <f t="shared" si="0"/>
        <v>0</v>
      </c>
      <c r="H19" s="178" t="s">
        <v>139</v>
      </c>
      <c r="I19" s="179" t="s">
        <v>140</v>
      </c>
      <c r="J19" s="179" t="s">
        <v>141</v>
      </c>
    </row>
    <row r="20" spans="2:10" ht="18.95" customHeight="1" x14ac:dyDescent="0.25">
      <c r="B20" s="178">
        <v>10</v>
      </c>
      <c r="C20" s="179" t="s">
        <v>142</v>
      </c>
      <c r="D20" s="180">
        <v>443900</v>
      </c>
      <c r="E20" s="181" t="s">
        <v>106</v>
      </c>
      <c r="F20" s="180">
        <v>443900</v>
      </c>
      <c r="G20" s="180">
        <f t="shared" si="0"/>
        <v>0</v>
      </c>
      <c r="H20" s="178" t="s">
        <v>143</v>
      </c>
      <c r="I20" s="179" t="s">
        <v>144</v>
      </c>
      <c r="J20" s="179" t="s">
        <v>145</v>
      </c>
    </row>
    <row r="21" spans="2:10" ht="18.95" customHeight="1" x14ac:dyDescent="0.25">
      <c r="B21" s="178">
        <v>11</v>
      </c>
      <c r="C21" s="179" t="s">
        <v>146</v>
      </c>
      <c r="D21" s="180">
        <v>198500</v>
      </c>
      <c r="E21" s="181" t="s">
        <v>106</v>
      </c>
      <c r="F21" s="180">
        <v>198500</v>
      </c>
      <c r="G21" s="180">
        <f t="shared" si="0"/>
        <v>0</v>
      </c>
      <c r="H21" s="178" t="s">
        <v>147</v>
      </c>
      <c r="I21" s="179" t="s">
        <v>148</v>
      </c>
      <c r="J21" s="179" t="s">
        <v>149</v>
      </c>
    </row>
    <row r="22" spans="2:10" ht="18.95" customHeight="1" x14ac:dyDescent="0.25">
      <c r="B22" s="178">
        <v>12</v>
      </c>
      <c r="C22" s="179" t="s">
        <v>150</v>
      </c>
      <c r="D22" s="180">
        <v>238000</v>
      </c>
      <c r="E22" s="181" t="s">
        <v>106</v>
      </c>
      <c r="F22" s="180">
        <v>238000</v>
      </c>
      <c r="G22" s="180">
        <f t="shared" si="0"/>
        <v>0</v>
      </c>
      <c r="H22" s="178" t="s">
        <v>151</v>
      </c>
      <c r="I22" s="179" t="s">
        <v>152</v>
      </c>
      <c r="J22" s="179" t="s">
        <v>153</v>
      </c>
    </row>
    <row r="23" spans="2:10" ht="18.95" customHeight="1" x14ac:dyDescent="0.25">
      <c r="B23" s="178">
        <v>13</v>
      </c>
      <c r="C23" s="179" t="s">
        <v>154</v>
      </c>
      <c r="D23" s="180">
        <v>91950</v>
      </c>
      <c r="E23" s="181" t="s">
        <v>106</v>
      </c>
      <c r="F23" s="180">
        <v>91950</v>
      </c>
      <c r="G23" s="180">
        <f t="shared" si="0"/>
        <v>0</v>
      </c>
      <c r="H23" s="178" t="s">
        <v>155</v>
      </c>
      <c r="I23" s="179" t="s">
        <v>156</v>
      </c>
      <c r="J23" s="179" t="s">
        <v>157</v>
      </c>
    </row>
    <row r="24" spans="2:10" ht="18.95" customHeight="1" x14ac:dyDescent="0.25">
      <c r="B24" s="178">
        <v>14</v>
      </c>
      <c r="C24" s="179" t="s">
        <v>158</v>
      </c>
      <c r="D24" s="180">
        <v>43269</v>
      </c>
      <c r="E24" s="181" t="s">
        <v>106</v>
      </c>
      <c r="F24" s="180">
        <v>43269</v>
      </c>
      <c r="G24" s="180">
        <f t="shared" si="0"/>
        <v>0</v>
      </c>
      <c r="H24" s="178" t="s">
        <v>159</v>
      </c>
      <c r="I24" s="179" t="s">
        <v>160</v>
      </c>
      <c r="J24" s="179" t="s">
        <v>161</v>
      </c>
    </row>
    <row r="25" spans="2:10" ht="18.95" customHeight="1" x14ac:dyDescent="0.25">
      <c r="B25" s="178">
        <v>15</v>
      </c>
      <c r="C25" s="179" t="s">
        <v>162</v>
      </c>
      <c r="D25" s="180">
        <v>8850</v>
      </c>
      <c r="E25" s="181" t="s">
        <v>106</v>
      </c>
      <c r="F25" s="180">
        <v>8850</v>
      </c>
      <c r="G25" s="180">
        <f t="shared" si="0"/>
        <v>0</v>
      </c>
      <c r="H25" s="178" t="s">
        <v>163</v>
      </c>
      <c r="I25" s="179" t="s">
        <v>164</v>
      </c>
      <c r="J25" s="179" t="s">
        <v>165</v>
      </c>
    </row>
    <row r="26" spans="2:10" ht="18.95" customHeight="1" x14ac:dyDescent="0.25">
      <c r="B26" s="178">
        <v>16</v>
      </c>
      <c r="C26" s="179" t="s">
        <v>166</v>
      </c>
      <c r="D26" s="180">
        <v>364000</v>
      </c>
      <c r="E26" s="182" t="s">
        <v>111</v>
      </c>
      <c r="F26" s="180">
        <v>364000</v>
      </c>
      <c r="G26" s="180">
        <f t="shared" si="0"/>
        <v>0</v>
      </c>
      <c r="H26" s="178" t="s">
        <v>167</v>
      </c>
      <c r="I26" s="179" t="s">
        <v>113</v>
      </c>
      <c r="J26" s="179" t="s">
        <v>168</v>
      </c>
    </row>
    <row r="27" spans="2:10" ht="18.95" customHeight="1" x14ac:dyDescent="0.25">
      <c r="B27" s="178">
        <v>17</v>
      </c>
      <c r="C27" s="179" t="s">
        <v>169</v>
      </c>
      <c r="D27" s="180">
        <v>738000</v>
      </c>
      <c r="E27" s="181" t="s">
        <v>106</v>
      </c>
      <c r="F27" s="180">
        <v>738000</v>
      </c>
      <c r="G27" s="180">
        <f t="shared" si="0"/>
        <v>0</v>
      </c>
      <c r="H27" s="178" t="s">
        <v>170</v>
      </c>
      <c r="I27" s="179" t="s">
        <v>171</v>
      </c>
      <c r="J27" s="179" t="s">
        <v>172</v>
      </c>
    </row>
    <row r="28" spans="2:10" ht="18.95" customHeight="1" x14ac:dyDescent="0.25">
      <c r="B28" s="178">
        <v>18</v>
      </c>
      <c r="C28" s="179" t="s">
        <v>166</v>
      </c>
      <c r="D28" s="180">
        <v>364000</v>
      </c>
      <c r="E28" s="182" t="s">
        <v>111</v>
      </c>
      <c r="F28" s="180">
        <v>364000</v>
      </c>
      <c r="G28" s="180">
        <f t="shared" si="0"/>
        <v>0</v>
      </c>
      <c r="H28" s="178" t="s">
        <v>173</v>
      </c>
      <c r="I28" s="179" t="s">
        <v>113</v>
      </c>
      <c r="J28" s="179" t="s">
        <v>174</v>
      </c>
    </row>
    <row r="29" spans="2:10" ht="18.95" customHeight="1" x14ac:dyDescent="0.25">
      <c r="B29" s="178">
        <v>19</v>
      </c>
      <c r="C29" s="179" t="s">
        <v>175</v>
      </c>
      <c r="D29" s="180">
        <v>1124100</v>
      </c>
      <c r="E29" s="182" t="s">
        <v>111</v>
      </c>
      <c r="F29" s="180">
        <v>1124100</v>
      </c>
      <c r="G29" s="180">
        <f t="shared" si="0"/>
        <v>0</v>
      </c>
      <c r="H29" s="178" t="s">
        <v>176</v>
      </c>
      <c r="I29" s="179" t="s">
        <v>113</v>
      </c>
      <c r="J29" s="179" t="s">
        <v>177</v>
      </c>
    </row>
    <row r="30" spans="2:10" ht="18.95" customHeight="1" x14ac:dyDescent="0.25">
      <c r="B30" s="178">
        <v>20</v>
      </c>
      <c r="C30" s="179" t="s">
        <v>178</v>
      </c>
      <c r="D30" s="180">
        <v>19000</v>
      </c>
      <c r="E30" s="181" t="s">
        <v>106</v>
      </c>
      <c r="F30" s="180">
        <v>19000</v>
      </c>
      <c r="G30" s="180">
        <f t="shared" si="0"/>
        <v>0</v>
      </c>
      <c r="H30" s="178" t="s">
        <v>179</v>
      </c>
      <c r="I30" s="179" t="s">
        <v>180</v>
      </c>
      <c r="J30" s="179" t="s">
        <v>181</v>
      </c>
    </row>
    <row r="31" spans="2:10" ht="18.95" customHeight="1" x14ac:dyDescent="0.25">
      <c r="B31" s="178">
        <v>21</v>
      </c>
      <c r="C31" s="179" t="s">
        <v>182</v>
      </c>
      <c r="D31" s="180">
        <v>336000</v>
      </c>
      <c r="E31" s="181" t="s">
        <v>106</v>
      </c>
      <c r="F31" s="180">
        <v>336000</v>
      </c>
      <c r="G31" s="180">
        <f t="shared" si="0"/>
        <v>0</v>
      </c>
      <c r="H31" s="178" t="s">
        <v>183</v>
      </c>
      <c r="I31" s="179" t="s">
        <v>184</v>
      </c>
      <c r="J31" s="179" t="s">
        <v>185</v>
      </c>
    </row>
    <row r="32" spans="2:10" ht="18.95" customHeight="1" x14ac:dyDescent="0.25">
      <c r="B32" s="178">
        <v>22</v>
      </c>
      <c r="C32" s="179" t="s">
        <v>186</v>
      </c>
      <c r="D32" s="180">
        <v>422400</v>
      </c>
      <c r="E32" s="181" t="s">
        <v>106</v>
      </c>
      <c r="F32" s="180">
        <v>422400</v>
      </c>
      <c r="G32" s="180">
        <f t="shared" si="0"/>
        <v>0</v>
      </c>
      <c r="H32" s="178" t="s">
        <v>187</v>
      </c>
      <c r="I32" s="179" t="s">
        <v>188</v>
      </c>
      <c r="J32" s="179" t="s">
        <v>189</v>
      </c>
    </row>
    <row r="33" spans="2:10" ht="18.95" customHeight="1" x14ac:dyDescent="0.25">
      <c r="B33" s="178">
        <v>23</v>
      </c>
      <c r="C33" s="179" t="s">
        <v>190</v>
      </c>
      <c r="D33" s="180">
        <v>58000</v>
      </c>
      <c r="E33" s="181" t="s">
        <v>106</v>
      </c>
      <c r="F33" s="180">
        <v>58000</v>
      </c>
      <c r="G33" s="180">
        <f t="shared" si="0"/>
        <v>0</v>
      </c>
      <c r="H33" s="178" t="s">
        <v>191</v>
      </c>
      <c r="I33" s="179" t="s">
        <v>192</v>
      </c>
      <c r="J33" s="179" t="s">
        <v>193</v>
      </c>
    </row>
    <row r="34" spans="2:10" ht="18.95" customHeight="1" x14ac:dyDescent="0.25">
      <c r="B34" s="178">
        <v>24</v>
      </c>
      <c r="C34" s="179" t="s">
        <v>194</v>
      </c>
      <c r="D34" s="180">
        <v>10000</v>
      </c>
      <c r="E34" s="181" t="s">
        <v>106</v>
      </c>
      <c r="F34" s="180">
        <v>10000</v>
      </c>
      <c r="G34" s="180">
        <f t="shared" si="0"/>
        <v>0</v>
      </c>
      <c r="H34" s="178" t="s">
        <v>195</v>
      </c>
      <c r="I34" s="179" t="s">
        <v>196</v>
      </c>
      <c r="J34" s="179" t="s">
        <v>197</v>
      </c>
    </row>
    <row r="35" spans="2:10" ht="18.95" customHeight="1" x14ac:dyDescent="0.25">
      <c r="B35" s="178">
        <v>25</v>
      </c>
      <c r="C35" s="179" t="s">
        <v>198</v>
      </c>
      <c r="D35" s="180">
        <v>15000</v>
      </c>
      <c r="E35" s="182" t="s">
        <v>111</v>
      </c>
      <c r="F35" s="180">
        <v>15000</v>
      </c>
      <c r="G35" s="180">
        <f t="shared" si="0"/>
        <v>0</v>
      </c>
      <c r="H35" s="178" t="s">
        <v>199</v>
      </c>
      <c r="I35" s="179" t="s">
        <v>113</v>
      </c>
      <c r="J35" s="179" t="s">
        <v>200</v>
      </c>
    </row>
    <row r="36" spans="2:10" ht="18.95" customHeight="1" x14ac:dyDescent="0.25">
      <c r="B36" s="178">
        <v>26</v>
      </c>
      <c r="C36" s="179" t="s">
        <v>201</v>
      </c>
      <c r="D36" s="180">
        <v>17000</v>
      </c>
      <c r="E36" s="181" t="s">
        <v>106</v>
      </c>
      <c r="F36" s="180">
        <v>17000</v>
      </c>
      <c r="G36" s="180">
        <f t="shared" si="0"/>
        <v>0</v>
      </c>
      <c r="H36" s="178" t="s">
        <v>202</v>
      </c>
      <c r="I36" s="179" t="s">
        <v>203</v>
      </c>
      <c r="J36" s="179" t="s">
        <v>204</v>
      </c>
    </row>
    <row r="37" spans="2:10" ht="18.95" customHeight="1" x14ac:dyDescent="0.25">
      <c r="B37" s="178">
        <v>27</v>
      </c>
      <c r="C37" s="179" t="s">
        <v>71</v>
      </c>
      <c r="D37" s="180">
        <v>20000</v>
      </c>
      <c r="E37" s="181" t="s">
        <v>106</v>
      </c>
      <c r="F37" s="180">
        <v>20000</v>
      </c>
      <c r="G37" s="180">
        <f t="shared" si="0"/>
        <v>0</v>
      </c>
      <c r="H37" s="178" t="s">
        <v>205</v>
      </c>
      <c r="I37" s="179" t="s">
        <v>206</v>
      </c>
      <c r="J37" s="179" t="s">
        <v>207</v>
      </c>
    </row>
    <row r="38" spans="2:10" ht="18.95" customHeight="1" x14ac:dyDescent="0.25">
      <c r="B38" s="178">
        <v>28</v>
      </c>
      <c r="C38" s="179" t="s">
        <v>208</v>
      </c>
      <c r="D38" s="180">
        <v>279350</v>
      </c>
      <c r="E38" s="181" t="s">
        <v>106</v>
      </c>
      <c r="F38" s="180">
        <v>279350</v>
      </c>
      <c r="G38" s="180">
        <f t="shared" si="0"/>
        <v>0</v>
      </c>
      <c r="H38" s="178" t="s">
        <v>209</v>
      </c>
      <c r="I38" s="179" t="s">
        <v>210</v>
      </c>
      <c r="J38" s="179" t="s">
        <v>211</v>
      </c>
    </row>
    <row r="39" spans="2:10" ht="18.95" customHeight="1" x14ac:dyDescent="0.25">
      <c r="B39" s="178">
        <v>29</v>
      </c>
      <c r="C39" s="179" t="s">
        <v>208</v>
      </c>
      <c r="D39" s="180">
        <v>434750</v>
      </c>
      <c r="E39" s="181" t="s">
        <v>106</v>
      </c>
      <c r="F39" s="180">
        <v>434750</v>
      </c>
      <c r="G39" s="180">
        <f t="shared" si="0"/>
        <v>0</v>
      </c>
      <c r="H39" s="178" t="s">
        <v>212</v>
      </c>
      <c r="I39" s="179" t="s">
        <v>213</v>
      </c>
      <c r="J39" s="179" t="s">
        <v>214</v>
      </c>
    </row>
    <row r="40" spans="2:10" ht="18.95" customHeight="1" x14ac:dyDescent="0.25">
      <c r="B40" s="178">
        <v>30</v>
      </c>
      <c r="C40" s="179" t="s">
        <v>208</v>
      </c>
      <c r="D40" s="180">
        <v>260250</v>
      </c>
      <c r="E40" s="181" t="s">
        <v>106</v>
      </c>
      <c r="F40" s="180">
        <v>260250</v>
      </c>
      <c r="G40" s="180">
        <f t="shared" si="0"/>
        <v>0</v>
      </c>
      <c r="H40" s="178" t="s">
        <v>215</v>
      </c>
      <c r="I40" s="179" t="s">
        <v>216</v>
      </c>
      <c r="J40" s="179" t="s">
        <v>217</v>
      </c>
    </row>
    <row r="41" spans="2:10" ht="18.95" customHeight="1" x14ac:dyDescent="0.25">
      <c r="B41" s="178">
        <v>31</v>
      </c>
      <c r="C41" s="179" t="s">
        <v>218</v>
      </c>
      <c r="D41" s="180">
        <v>1200000</v>
      </c>
      <c r="E41" s="182" t="s">
        <v>111</v>
      </c>
      <c r="F41" s="180">
        <v>1200000</v>
      </c>
      <c r="G41" s="180">
        <f t="shared" si="0"/>
        <v>0</v>
      </c>
      <c r="H41" s="178" t="s">
        <v>219</v>
      </c>
      <c r="I41" s="179" t="s">
        <v>113</v>
      </c>
      <c r="J41" s="179" t="s">
        <v>220</v>
      </c>
    </row>
    <row r="42" spans="2:10" ht="18.95" customHeight="1" x14ac:dyDescent="0.25">
      <c r="B42" s="178">
        <v>32</v>
      </c>
      <c r="C42" s="179" t="s">
        <v>169</v>
      </c>
      <c r="D42" s="180">
        <v>1076000</v>
      </c>
      <c r="E42" s="182" t="s">
        <v>111</v>
      </c>
      <c r="F42" s="180">
        <v>1076000</v>
      </c>
      <c r="G42" s="180">
        <f t="shared" si="0"/>
        <v>0</v>
      </c>
      <c r="H42" s="178" t="s">
        <v>221</v>
      </c>
      <c r="I42" s="179" t="s">
        <v>113</v>
      </c>
      <c r="J42" s="179" t="s">
        <v>222</v>
      </c>
    </row>
    <row r="43" spans="2:10" ht="18.95" customHeight="1" x14ac:dyDescent="0.25">
      <c r="B43" s="178">
        <v>33</v>
      </c>
      <c r="C43" s="179" t="s">
        <v>223</v>
      </c>
      <c r="D43" s="180">
        <v>429800</v>
      </c>
      <c r="E43" s="183" t="s">
        <v>116</v>
      </c>
      <c r="F43" s="180">
        <v>438415</v>
      </c>
      <c r="G43" s="180">
        <f t="shared" si="0"/>
        <v>-8615</v>
      </c>
      <c r="H43" s="178" t="s">
        <v>224</v>
      </c>
      <c r="I43" s="179" t="s">
        <v>225</v>
      </c>
      <c r="J43" s="179" t="s">
        <v>226</v>
      </c>
    </row>
    <row r="44" spans="2:10" ht="18.95" customHeight="1" x14ac:dyDescent="0.25">
      <c r="B44" s="178">
        <v>34</v>
      </c>
      <c r="C44" s="179" t="s">
        <v>227</v>
      </c>
      <c r="D44" s="180">
        <v>649800</v>
      </c>
      <c r="E44" s="181" t="s">
        <v>106</v>
      </c>
      <c r="F44" s="180">
        <v>649800</v>
      </c>
      <c r="G44" s="180">
        <f t="shared" si="0"/>
        <v>0</v>
      </c>
      <c r="H44" s="178" t="s">
        <v>228</v>
      </c>
      <c r="I44" s="179" t="s">
        <v>229</v>
      </c>
      <c r="J44" s="179" t="s">
        <v>230</v>
      </c>
    </row>
    <row r="45" spans="2:10" ht="18.95" customHeight="1" x14ac:dyDescent="0.25">
      <c r="B45" s="178">
        <v>35</v>
      </c>
      <c r="C45" s="179" t="s">
        <v>231</v>
      </c>
      <c r="D45" s="180">
        <v>200000</v>
      </c>
      <c r="E45" s="182" t="s">
        <v>111</v>
      </c>
      <c r="F45" s="180">
        <v>200000</v>
      </c>
      <c r="G45" s="180">
        <f t="shared" si="0"/>
        <v>0</v>
      </c>
      <c r="H45" s="178" t="s">
        <v>232</v>
      </c>
      <c r="I45" s="179" t="s">
        <v>113</v>
      </c>
      <c r="J45" s="179" t="s">
        <v>233</v>
      </c>
    </row>
    <row r="46" spans="2:10" ht="18.95" customHeight="1" x14ac:dyDescent="0.25">
      <c r="B46" s="178">
        <v>36</v>
      </c>
      <c r="C46" s="179" t="s">
        <v>234</v>
      </c>
      <c r="D46" s="180">
        <v>432000</v>
      </c>
      <c r="E46" s="182" t="s">
        <v>111</v>
      </c>
      <c r="F46" s="180">
        <v>432000</v>
      </c>
      <c r="G46" s="180">
        <f t="shared" si="0"/>
        <v>0</v>
      </c>
      <c r="H46" s="178" t="s">
        <v>235</v>
      </c>
      <c r="I46" s="179" t="s">
        <v>113</v>
      </c>
      <c r="J46" s="179" t="s">
        <v>236</v>
      </c>
    </row>
    <row r="47" spans="2:10" ht="21.95" customHeight="1" x14ac:dyDescent="0.25">
      <c r="B47" s="184" t="s">
        <v>237</v>
      </c>
      <c r="C47" s="185" t="s">
        <v>238</v>
      </c>
      <c r="D47" s="186">
        <f>SUM(D11:D46)</f>
        <v>22260149</v>
      </c>
      <c r="E47" s="184" t="s">
        <v>239</v>
      </c>
      <c r="F47" s="186">
        <f>SUM(F11:F46)</f>
        <v>22257229</v>
      </c>
      <c r="G47" s="186">
        <f>SUM(G11:G46)</f>
        <v>2920</v>
      </c>
      <c r="H47" s="184" t="s">
        <v>50</v>
      </c>
      <c r="I47" s="184" t="s">
        <v>50</v>
      </c>
      <c r="J47" s="185" t="s">
        <v>240</v>
      </c>
    </row>
    <row r="50" spans="2:10" ht="21.95" customHeight="1" x14ac:dyDescent="0.25">
      <c r="B50" s="226" t="s">
        <v>241</v>
      </c>
      <c r="C50" s="212"/>
      <c r="D50" s="212"/>
      <c r="E50" s="212"/>
      <c r="F50" s="212"/>
      <c r="G50" s="212"/>
      <c r="H50" s="212"/>
      <c r="I50" s="212"/>
      <c r="J50" s="212"/>
    </row>
    <row r="51" spans="2:10" ht="21.95" customHeight="1" x14ac:dyDescent="0.25">
      <c r="B51" s="175" t="s">
        <v>54</v>
      </c>
      <c r="C51" s="176" t="s">
        <v>242</v>
      </c>
      <c r="D51" s="177" t="s">
        <v>100</v>
      </c>
      <c r="E51" s="175" t="s">
        <v>243</v>
      </c>
      <c r="F51" s="176" t="s">
        <v>103</v>
      </c>
      <c r="G51" s="176" t="s">
        <v>244</v>
      </c>
    </row>
    <row r="52" spans="2:10" ht="18.95" customHeight="1" x14ac:dyDescent="0.25">
      <c r="B52" s="178">
        <v>1</v>
      </c>
      <c r="C52" s="179" t="s">
        <v>245</v>
      </c>
      <c r="D52" s="180">
        <v>5241000</v>
      </c>
      <c r="E52" s="181" t="s">
        <v>246</v>
      </c>
      <c r="F52" s="179" t="s">
        <v>108</v>
      </c>
      <c r="G52" s="179" t="s">
        <v>247</v>
      </c>
    </row>
    <row r="53" spans="2:10" ht="18.95" customHeight="1" x14ac:dyDescent="0.25">
      <c r="B53" s="178">
        <v>2</v>
      </c>
      <c r="C53" s="179" t="s">
        <v>248</v>
      </c>
      <c r="D53" s="180">
        <v>72000</v>
      </c>
      <c r="E53" s="187" t="s">
        <v>249</v>
      </c>
      <c r="F53" s="179" t="s">
        <v>250</v>
      </c>
      <c r="G53" s="179" t="s">
        <v>251</v>
      </c>
    </row>
    <row r="54" spans="2:10" ht="18.95" customHeight="1" x14ac:dyDescent="0.25">
      <c r="B54" s="178">
        <v>3</v>
      </c>
      <c r="C54" s="179" t="s">
        <v>252</v>
      </c>
      <c r="D54" s="180">
        <v>1149000</v>
      </c>
      <c r="E54" s="187" t="s">
        <v>249</v>
      </c>
      <c r="F54" s="179" t="s">
        <v>253</v>
      </c>
      <c r="G54" s="179" t="s">
        <v>254</v>
      </c>
    </row>
    <row r="55" spans="2:10" ht="18.95" customHeight="1" x14ac:dyDescent="0.25">
      <c r="B55" s="178">
        <v>4</v>
      </c>
      <c r="C55" s="179" t="s">
        <v>120</v>
      </c>
      <c r="D55" s="180">
        <v>1652380</v>
      </c>
      <c r="E55" s="181" t="s">
        <v>255</v>
      </c>
      <c r="F55" s="179" t="s">
        <v>113</v>
      </c>
      <c r="G55" s="179" t="s">
        <v>256</v>
      </c>
    </row>
    <row r="56" spans="2:10" ht="18.95" customHeight="1" x14ac:dyDescent="0.25">
      <c r="B56" s="178">
        <v>5</v>
      </c>
      <c r="C56" s="179" t="s">
        <v>123</v>
      </c>
      <c r="D56" s="180">
        <v>2288950</v>
      </c>
      <c r="E56" s="181" t="s">
        <v>257</v>
      </c>
      <c r="F56" s="179" t="s">
        <v>113</v>
      </c>
      <c r="G56" s="179" t="s">
        <v>256</v>
      </c>
    </row>
    <row r="57" spans="2:10" ht="18.95" customHeight="1" x14ac:dyDescent="0.25">
      <c r="B57" s="178">
        <v>6</v>
      </c>
      <c r="C57" s="179" t="s">
        <v>258</v>
      </c>
      <c r="D57" s="180">
        <v>364000</v>
      </c>
      <c r="E57" s="181" t="s">
        <v>259</v>
      </c>
      <c r="F57" s="179" t="s">
        <v>113</v>
      </c>
      <c r="G57" s="179" t="s">
        <v>256</v>
      </c>
    </row>
    <row r="58" spans="2:10" ht="18.95" customHeight="1" x14ac:dyDescent="0.25">
      <c r="B58" s="178">
        <v>7</v>
      </c>
      <c r="C58" s="179" t="s">
        <v>260</v>
      </c>
      <c r="D58" s="180">
        <v>364000</v>
      </c>
      <c r="E58" s="181" t="s">
        <v>261</v>
      </c>
      <c r="F58" s="179" t="s">
        <v>113</v>
      </c>
      <c r="G58" s="179" t="s">
        <v>256</v>
      </c>
    </row>
    <row r="59" spans="2:10" ht="18.95" customHeight="1" x14ac:dyDescent="0.25">
      <c r="B59" s="178">
        <v>8</v>
      </c>
      <c r="C59" s="179" t="s">
        <v>175</v>
      </c>
      <c r="D59" s="180">
        <v>1124100</v>
      </c>
      <c r="E59" s="181" t="s">
        <v>262</v>
      </c>
      <c r="F59" s="179" t="s">
        <v>113</v>
      </c>
      <c r="G59" s="179" t="s">
        <v>256</v>
      </c>
    </row>
    <row r="60" spans="2:10" ht="18.95" customHeight="1" x14ac:dyDescent="0.25">
      <c r="B60" s="178">
        <v>9</v>
      </c>
      <c r="C60" s="179" t="s">
        <v>198</v>
      </c>
      <c r="D60" s="180">
        <v>15000</v>
      </c>
      <c r="E60" s="181" t="s">
        <v>263</v>
      </c>
      <c r="F60" s="179" t="s">
        <v>113</v>
      </c>
      <c r="G60" s="179" t="s">
        <v>256</v>
      </c>
    </row>
    <row r="61" spans="2:10" ht="18.95" customHeight="1" x14ac:dyDescent="0.25">
      <c r="B61" s="178">
        <v>10</v>
      </c>
      <c r="C61" s="179" t="s">
        <v>218</v>
      </c>
      <c r="D61" s="180">
        <v>1200000</v>
      </c>
      <c r="E61" s="181" t="s">
        <v>264</v>
      </c>
      <c r="F61" s="179" t="s">
        <v>113</v>
      </c>
      <c r="G61" s="179" t="s">
        <v>256</v>
      </c>
    </row>
    <row r="62" spans="2:10" ht="18.95" customHeight="1" x14ac:dyDescent="0.25">
      <c r="B62" s="178">
        <v>11</v>
      </c>
      <c r="C62" s="179" t="s">
        <v>169</v>
      </c>
      <c r="D62" s="180">
        <v>1076000</v>
      </c>
      <c r="E62" s="181" t="s">
        <v>265</v>
      </c>
      <c r="F62" s="179" t="s">
        <v>113</v>
      </c>
      <c r="G62" s="179" t="s">
        <v>256</v>
      </c>
    </row>
    <row r="63" spans="2:10" ht="18.95" customHeight="1" x14ac:dyDescent="0.25">
      <c r="B63" s="178">
        <v>12</v>
      </c>
      <c r="C63" s="179" t="s">
        <v>231</v>
      </c>
      <c r="D63" s="180">
        <v>200000</v>
      </c>
      <c r="E63" s="181" t="s">
        <v>266</v>
      </c>
      <c r="F63" s="179" t="s">
        <v>113</v>
      </c>
      <c r="G63" s="179" t="s">
        <v>256</v>
      </c>
    </row>
    <row r="64" spans="2:10" ht="18.95" customHeight="1" x14ac:dyDescent="0.25">
      <c r="B64" s="178">
        <v>13</v>
      </c>
      <c r="C64" s="179" t="s">
        <v>234</v>
      </c>
      <c r="D64" s="180">
        <v>432000</v>
      </c>
      <c r="E64" s="181" t="s">
        <v>267</v>
      </c>
      <c r="F64" s="179" t="s">
        <v>113</v>
      </c>
      <c r="G64" s="179" t="s">
        <v>256</v>
      </c>
    </row>
    <row r="65" spans="2:10" ht="18.95" customHeight="1" x14ac:dyDescent="0.25">
      <c r="B65" s="178">
        <v>14</v>
      </c>
      <c r="C65" s="179" t="s">
        <v>268</v>
      </c>
      <c r="D65" s="180">
        <v>200000</v>
      </c>
      <c r="E65" s="181" t="s">
        <v>269</v>
      </c>
      <c r="F65" s="179" t="s">
        <v>140</v>
      </c>
      <c r="G65" s="179" t="s">
        <v>270</v>
      </c>
    </row>
    <row r="66" spans="2:10" ht="18.95" customHeight="1" x14ac:dyDescent="0.25">
      <c r="B66" s="178">
        <v>15</v>
      </c>
      <c r="C66" s="179" t="s">
        <v>110</v>
      </c>
      <c r="D66" s="180">
        <v>728000</v>
      </c>
      <c r="E66" s="181" t="s">
        <v>271</v>
      </c>
      <c r="F66" s="179" t="s">
        <v>113</v>
      </c>
      <c r="G66" s="179" t="s">
        <v>272</v>
      </c>
    </row>
    <row r="67" spans="2:10" ht="21.95" customHeight="1" x14ac:dyDescent="0.25">
      <c r="B67" s="184" t="s">
        <v>237</v>
      </c>
      <c r="C67" s="185" t="s">
        <v>273</v>
      </c>
      <c r="D67" s="186">
        <f>SUM(D52:D66)</f>
        <v>16106430</v>
      </c>
      <c r="E67" s="184" t="s">
        <v>274</v>
      </c>
      <c r="F67" s="184" t="s">
        <v>50</v>
      </c>
      <c r="G67" s="185" t="s">
        <v>275</v>
      </c>
    </row>
    <row r="70" spans="2:10" ht="21.95" customHeight="1" x14ac:dyDescent="0.25">
      <c r="B70" s="226" t="s">
        <v>276</v>
      </c>
      <c r="C70" s="212"/>
      <c r="D70" s="212"/>
      <c r="E70" s="212"/>
      <c r="F70" s="212"/>
      <c r="G70" s="212"/>
      <c r="H70" s="212"/>
      <c r="I70" s="212"/>
      <c r="J70" s="212"/>
    </row>
    <row r="71" spans="2:10" ht="21.95" customHeight="1" x14ac:dyDescent="0.25">
      <c r="B71" s="188" t="s">
        <v>54</v>
      </c>
      <c r="C71" s="189" t="s">
        <v>277</v>
      </c>
      <c r="D71" s="190" t="s">
        <v>278</v>
      </c>
      <c r="E71" s="188" t="s">
        <v>279</v>
      </c>
      <c r="F71" s="189" t="s">
        <v>280</v>
      </c>
    </row>
    <row r="72" spans="2:10" ht="20.100000000000001" customHeight="1" x14ac:dyDescent="0.25">
      <c r="B72" s="191">
        <v>1</v>
      </c>
      <c r="C72" s="192" t="s">
        <v>281</v>
      </c>
      <c r="D72" s="193">
        <v>55081550</v>
      </c>
      <c r="E72" s="191" t="s">
        <v>282</v>
      </c>
      <c r="F72" s="192" t="s">
        <v>283</v>
      </c>
    </row>
    <row r="73" spans="2:10" ht="20.100000000000001" customHeight="1" x14ac:dyDescent="0.25">
      <c r="B73" s="178">
        <v>2</v>
      </c>
      <c r="C73" s="179" t="s">
        <v>284</v>
      </c>
      <c r="D73" s="180">
        <v>-32821401</v>
      </c>
      <c r="E73" s="178" t="s">
        <v>285</v>
      </c>
      <c r="F73" s="179" t="s">
        <v>286</v>
      </c>
    </row>
    <row r="74" spans="2:10" ht="20.100000000000001" customHeight="1" x14ac:dyDescent="0.25">
      <c r="B74" s="194">
        <v>3</v>
      </c>
      <c r="C74" s="195" t="s">
        <v>287</v>
      </c>
      <c r="D74" s="196">
        <v>22260149</v>
      </c>
      <c r="E74" s="194" t="s">
        <v>288</v>
      </c>
      <c r="F74" s="195" t="s">
        <v>289</v>
      </c>
    </row>
    <row r="75" spans="2:10" ht="20.100000000000001" customHeight="1" x14ac:dyDescent="0.25">
      <c r="B75" s="178">
        <v>4</v>
      </c>
      <c r="C75" s="179" t="s">
        <v>290</v>
      </c>
      <c r="D75" s="180">
        <v>-2920</v>
      </c>
      <c r="E75" s="178" t="s">
        <v>291</v>
      </c>
      <c r="F75" s="179" t="s">
        <v>292</v>
      </c>
    </row>
    <row r="76" spans="2:10" ht="20.100000000000001" customHeight="1" x14ac:dyDescent="0.25">
      <c r="B76" s="194">
        <v>5</v>
      </c>
      <c r="C76" s="195" t="s">
        <v>293</v>
      </c>
      <c r="D76" s="196">
        <v>22257229</v>
      </c>
      <c r="E76" s="194" t="s">
        <v>294</v>
      </c>
      <c r="F76" s="195" t="s">
        <v>295</v>
      </c>
    </row>
    <row r="77" spans="2:10" ht="20.100000000000001" customHeight="1" x14ac:dyDescent="0.25">
      <c r="B77" s="178">
        <v>6</v>
      </c>
      <c r="C77" s="179" t="s">
        <v>296</v>
      </c>
      <c r="D77" s="180">
        <v>35949566</v>
      </c>
      <c r="E77" s="178" t="s">
        <v>297</v>
      </c>
      <c r="F77" s="179" t="s">
        <v>298</v>
      </c>
    </row>
    <row r="78" spans="2:10" ht="20.100000000000001" customHeight="1" x14ac:dyDescent="0.25">
      <c r="B78" s="194">
        <v>7</v>
      </c>
      <c r="C78" s="195" t="s">
        <v>299</v>
      </c>
      <c r="D78" s="196">
        <v>58206795</v>
      </c>
      <c r="E78" s="194" t="s">
        <v>300</v>
      </c>
      <c r="F78" s="195" t="s">
        <v>301</v>
      </c>
    </row>
  </sheetData>
  <autoFilter ref="B10:J47" xr:uid="{00000000-0001-0000-0100-000000000000}"/>
  <mergeCells count="14">
    <mergeCell ref="B70:J70"/>
    <mergeCell ref="B2:J2"/>
    <mergeCell ref="B50:J50"/>
    <mergeCell ref="G5:H5"/>
    <mergeCell ref="B9:J9"/>
    <mergeCell ref="I5:J5"/>
    <mergeCell ref="G6:H6"/>
    <mergeCell ref="B6:C6"/>
    <mergeCell ref="B3:J3"/>
    <mergeCell ref="I6:J6"/>
    <mergeCell ref="B7:C7"/>
    <mergeCell ref="G7:H7"/>
    <mergeCell ref="B5:C5"/>
    <mergeCell ref="I7:J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119"/>
  <sheetViews>
    <sheetView topLeftCell="F61" zoomScaleNormal="100" workbookViewId="0">
      <selection activeCell="N87" sqref="N87"/>
    </sheetView>
  </sheetViews>
  <sheetFormatPr baseColWidth="10" defaultColWidth="8.7109375" defaultRowHeight="15" x14ac:dyDescent="0.25"/>
  <cols>
    <col min="1" max="1" width="4" style="165" customWidth="1"/>
    <col min="2" max="2" width="8" style="165" customWidth="1"/>
    <col min="3" max="3" width="20" style="165" customWidth="1"/>
    <col min="4" max="4" width="28" style="165" customWidth="1"/>
    <col min="5" max="5" width="38" style="165" customWidth="1"/>
    <col min="6" max="6" width="16.5703125" style="165" customWidth="1"/>
    <col min="7" max="7" width="16" style="165" customWidth="1"/>
    <col min="8" max="8" width="18" style="165" customWidth="1"/>
    <col min="9" max="9" width="8" style="165" customWidth="1"/>
    <col min="10" max="10" width="21.85546875" style="165" bestFit="1" customWidth="1"/>
    <col min="11" max="11" width="28" style="165" customWidth="1"/>
    <col min="12" max="12" width="66" style="165" bestFit="1" customWidth="1"/>
    <col min="13" max="13" width="14" style="165" customWidth="1"/>
    <col min="14" max="14" width="15" style="165" customWidth="1"/>
    <col min="15" max="15" width="18" style="165" customWidth="1"/>
    <col min="16" max="16" width="13" style="165" customWidth="1"/>
  </cols>
  <sheetData>
    <row r="2" spans="2:17" ht="27.95" customHeight="1" x14ac:dyDescent="0.25">
      <c r="B2" s="243" t="s">
        <v>302</v>
      </c>
      <c r="C2" s="212"/>
      <c r="D2" s="212"/>
      <c r="E2" s="212"/>
      <c r="F2" s="212"/>
      <c r="G2" s="212"/>
      <c r="H2" s="212"/>
    </row>
    <row r="3" spans="2:17" ht="18" customHeight="1" x14ac:dyDescent="0.25">
      <c r="B3" s="240" t="s">
        <v>303</v>
      </c>
      <c r="C3" s="212"/>
      <c r="D3" s="212"/>
      <c r="E3" s="212"/>
      <c r="F3" s="212"/>
      <c r="G3" s="212"/>
      <c r="H3" s="212"/>
    </row>
    <row r="5" spans="2:17" ht="18" customHeight="1" x14ac:dyDescent="0.25">
      <c r="B5" s="246" t="s">
        <v>304</v>
      </c>
      <c r="C5" s="245"/>
      <c r="D5" s="246" t="s">
        <v>305</v>
      </c>
      <c r="E5" s="245"/>
      <c r="F5" s="167" t="s">
        <v>306</v>
      </c>
      <c r="G5" s="167" t="s">
        <v>307</v>
      </c>
      <c r="H5" s="167" t="s">
        <v>308</v>
      </c>
    </row>
    <row r="6" spans="2:17" ht="24" customHeight="1" x14ac:dyDescent="0.25">
      <c r="B6" s="244">
        <f>SUMIFS('Detalle Compras Septiembre 2026'!$G:$G, 'Detalle Compras Septiembre 2026'!$B:$B, "Carnes")</f>
        <v>29008212.039999999</v>
      </c>
      <c r="C6" s="245"/>
      <c r="D6" s="249">
        <f>SUMIFS('Detalle Compras Septiembre 2026'!$E:$E, 'Detalle Compras Septiembre 2026'!$B:$B, "Carnes")</f>
        <v>1326.7710000000004</v>
      </c>
      <c r="E6" s="245"/>
      <c r="F6" s="166">
        <f>IF(D6&gt;0, B6/D6, 0)</f>
        <v>21863.767025357043</v>
      </c>
      <c r="G6" s="89">
        <f>COUNTIF('Detalle Compras Septiembre 2026'!$B:$B, "Carnes")</f>
        <v>72</v>
      </c>
      <c r="H6" s="61">
        <f>IF(Dashboard!$E$58&gt;0, B6/Dashboard!$E$58, 0)</f>
        <v>0.49836470157935003</v>
      </c>
    </row>
    <row r="8" spans="2:17" x14ac:dyDescent="0.25">
      <c r="B8" s="248" t="s">
        <v>309</v>
      </c>
      <c r="C8" s="212"/>
      <c r="D8" s="212"/>
      <c r="E8" s="212"/>
      <c r="F8" s="212"/>
      <c r="G8" s="212"/>
      <c r="I8" s="247" t="s">
        <v>310</v>
      </c>
      <c r="J8" s="212"/>
      <c r="K8" s="212"/>
      <c r="L8" s="212"/>
      <c r="M8" s="212"/>
      <c r="N8" s="212"/>
      <c r="O8" s="212"/>
      <c r="P8" s="93"/>
      <c r="Q8" s="93"/>
    </row>
    <row r="9" spans="2:17" ht="21.95" customHeight="1" x14ac:dyDescent="0.25">
      <c r="B9" s="62" t="s">
        <v>35</v>
      </c>
      <c r="C9" s="62" t="s">
        <v>311</v>
      </c>
      <c r="D9" s="62" t="s">
        <v>312</v>
      </c>
      <c r="E9" s="62" t="s">
        <v>313</v>
      </c>
      <c r="F9" s="62" t="s">
        <v>314</v>
      </c>
      <c r="G9" s="62" t="s">
        <v>23</v>
      </c>
      <c r="I9" s="95" t="s">
        <v>35</v>
      </c>
      <c r="J9" s="95" t="s">
        <v>315</v>
      </c>
      <c r="K9" s="95" t="s">
        <v>316</v>
      </c>
      <c r="L9" s="95" t="s">
        <v>317</v>
      </c>
      <c r="M9" s="95" t="s">
        <v>318</v>
      </c>
      <c r="N9" s="95" t="s">
        <v>319</v>
      </c>
      <c r="O9" s="95" t="s">
        <v>320</v>
      </c>
      <c r="P9" s="105"/>
      <c r="Q9" s="93"/>
    </row>
    <row r="10" spans="2:17" ht="18" customHeight="1" x14ac:dyDescent="0.25">
      <c r="B10" s="63">
        <v>1</v>
      </c>
      <c r="C10" s="64">
        <f>SUMIFS('Detalle Compras Septiembre 2026'!$G:$G, 'Detalle Compras Septiembre 2026'!$A:$A, B10, 'Detalle Compras Septiembre 2026'!$B:$B, "Carnes")</f>
        <v>6130295</v>
      </c>
      <c r="D10" s="65">
        <f>SUMIFS('Detalle Compras Septiembre 2026'!$E:$E, 'Detalle Compras Septiembre 2026'!$A:$A, B10, 'Detalle Compras Septiembre 2026'!$B:$B, "Carnes")</f>
        <v>277.27999999999997</v>
      </c>
      <c r="E10" s="64">
        <f t="shared" ref="E10:E40" si="0">IF(D10&gt;0, C10/D10, 0)</f>
        <v>22108.6807559146</v>
      </c>
      <c r="F10" s="66">
        <f t="shared" ref="F10:F39" si="1">IF($C$40&gt;0, C10/$C$40, 0)</f>
        <v>0.2113296397429395</v>
      </c>
      <c r="G10" s="67">
        <f>COUNTIFS('Detalle Compras Septiembre 2026'!$A:$A, B10, 'Detalle Compras Septiembre 2026'!$B:$B, "Carnes")</f>
        <v>13</v>
      </c>
      <c r="I10" s="122">
        <v>1</v>
      </c>
      <c r="J10" s="123" t="s">
        <v>321</v>
      </c>
      <c r="K10" s="123" t="s">
        <v>322</v>
      </c>
      <c r="L10" s="124" t="s">
        <v>323</v>
      </c>
      <c r="M10" s="148">
        <v>20</v>
      </c>
      <c r="N10" s="149">
        <v>16500</v>
      </c>
      <c r="O10" s="149">
        <v>330000</v>
      </c>
      <c r="P10" s="106"/>
      <c r="Q10" s="93"/>
    </row>
    <row r="11" spans="2:17" ht="18" customHeight="1" x14ac:dyDescent="0.25">
      <c r="B11" s="68">
        <v>2</v>
      </c>
      <c r="C11" s="69">
        <f>SUMIFS('Detalle Compras Septiembre 2026'!$G:$G, 'Detalle Compras Septiembre 2026'!$A:$A, B11, 'Detalle Compras Septiembre 2026'!$B:$B, "Carnes")</f>
        <v>528586</v>
      </c>
      <c r="D11" s="70">
        <f>SUMIFS('Detalle Compras Septiembre 2026'!$E:$E, 'Detalle Compras Septiembre 2026'!$A:$A, B11, 'Detalle Compras Septiembre 2026'!$B:$B, "Carnes")</f>
        <v>47.234000000000009</v>
      </c>
      <c r="E11" s="69">
        <f t="shared" si="0"/>
        <v>11190.794766481769</v>
      </c>
      <c r="F11" s="71">
        <f t="shared" si="1"/>
        <v>1.8221943471425344E-2</v>
      </c>
      <c r="G11" s="72">
        <f>COUNTIFS('Detalle Compras Septiembre 2026'!$A:$A, B11, 'Detalle Compras Septiembre 2026'!$B:$B, "Carnes")</f>
        <v>4</v>
      </c>
      <c r="I11" s="122">
        <v>1</v>
      </c>
      <c r="J11" s="123" t="s">
        <v>324</v>
      </c>
      <c r="K11" s="123" t="s">
        <v>325</v>
      </c>
      <c r="L11" s="124" t="s">
        <v>326</v>
      </c>
      <c r="M11" s="125">
        <v>28.6</v>
      </c>
      <c r="N11" s="149">
        <v>14900</v>
      </c>
      <c r="O11" s="149">
        <v>426140</v>
      </c>
      <c r="P11" s="106"/>
      <c r="Q11" s="93"/>
    </row>
    <row r="12" spans="2:17" ht="18" customHeight="1" x14ac:dyDescent="0.25">
      <c r="B12" s="63">
        <v>3</v>
      </c>
      <c r="C12" s="64">
        <f>SUMIFS('Detalle Compras Septiembre 2026'!$G:$G, 'Detalle Compras Septiembre 2026'!$A:$A, B12, 'Detalle Compras Septiembre 2026'!$B:$B, "Carnes")</f>
        <v>1444790</v>
      </c>
      <c r="D12" s="65">
        <f>SUMIFS('Detalle Compras Septiembre 2026'!$E:$E, 'Detalle Compras Septiembre 2026'!$A:$A, B12, 'Detalle Compras Septiembre 2026'!$B:$B, "Carnes")</f>
        <v>45.46</v>
      </c>
      <c r="E12" s="64">
        <f t="shared" si="0"/>
        <v>31781.566212054553</v>
      </c>
      <c r="F12" s="66">
        <f t="shared" si="1"/>
        <v>4.9806241005400487E-2</v>
      </c>
      <c r="G12" s="67">
        <f>COUNTIFS('Detalle Compras Septiembre 2026'!$A:$A, B12, 'Detalle Compras Septiembre 2026'!$B:$B, "Carnes")</f>
        <v>8</v>
      </c>
      <c r="I12" s="122">
        <v>1</v>
      </c>
      <c r="J12" s="123" t="s">
        <v>327</v>
      </c>
      <c r="K12" s="123" t="s">
        <v>328</v>
      </c>
      <c r="L12" s="124" t="s">
        <v>329</v>
      </c>
      <c r="M12" s="125">
        <v>4.58</v>
      </c>
      <c r="N12" s="149">
        <v>18500</v>
      </c>
      <c r="O12" s="149">
        <v>84730</v>
      </c>
      <c r="P12" s="106"/>
      <c r="Q12" s="93"/>
    </row>
    <row r="13" spans="2:17" ht="18" customHeight="1" x14ac:dyDescent="0.25">
      <c r="B13" s="68">
        <v>4</v>
      </c>
      <c r="C13" s="69">
        <f>SUMIFS('Detalle Compras Septiembre 2026'!$G:$G, 'Detalle Compras Septiembre 2026'!$A:$A, B13, 'Detalle Compras Septiembre 2026'!$B:$B, "Carnes")</f>
        <v>1094769</v>
      </c>
      <c r="D13" s="70">
        <f>SUMIFS('Detalle Compras Septiembre 2026'!$E:$E, 'Detalle Compras Septiembre 2026'!$A:$A, B13, 'Detalle Compras Septiembre 2026'!$B:$B, "Carnes")</f>
        <v>63.094999999999999</v>
      </c>
      <c r="E13" s="69">
        <f t="shared" si="0"/>
        <v>17351.121324986132</v>
      </c>
      <c r="F13" s="71">
        <f t="shared" si="1"/>
        <v>3.7739968202466299E-2</v>
      </c>
      <c r="G13" s="72">
        <f>COUNTIFS('Detalle Compras Septiembre 2026'!$A:$A, B13, 'Detalle Compras Septiembre 2026'!$B:$B, "Carnes")</f>
        <v>4</v>
      </c>
      <c r="I13" s="122">
        <v>1</v>
      </c>
      <c r="J13" s="123" t="s">
        <v>327</v>
      </c>
      <c r="K13" s="123" t="s">
        <v>76</v>
      </c>
      <c r="L13" s="124" t="s">
        <v>330</v>
      </c>
      <c r="M13" s="125">
        <v>15.1</v>
      </c>
      <c r="N13" s="149">
        <v>18500</v>
      </c>
      <c r="O13" s="149">
        <v>279350</v>
      </c>
      <c r="P13" s="106"/>
      <c r="Q13" s="93"/>
    </row>
    <row r="14" spans="2:17" ht="18" customHeight="1" x14ac:dyDescent="0.25">
      <c r="B14" s="63">
        <v>5</v>
      </c>
      <c r="C14" s="64">
        <f>SUMIFS('Detalle Compras Septiembre 2026'!$G:$G, 'Detalle Compras Septiembre 2026'!$A:$A, B14, 'Detalle Compras Septiembre 2026'!$B:$B, "Carnes")</f>
        <v>7349980</v>
      </c>
      <c r="D14" s="65">
        <f>SUMIFS('Detalle Compras Septiembre 2026'!$E:$E, 'Detalle Compras Septiembre 2026'!$A:$A, B14, 'Detalle Compras Septiembre 2026'!$B:$B, "Carnes")</f>
        <v>296.14999999999998</v>
      </c>
      <c r="E14" s="64">
        <f t="shared" si="0"/>
        <v>24818.436603072769</v>
      </c>
      <c r="F14" s="66">
        <f t="shared" si="1"/>
        <v>0.25337583681010628</v>
      </c>
      <c r="G14" s="67">
        <f>COUNTIFS('Detalle Compras Septiembre 2026'!$A:$A, B14, 'Detalle Compras Septiembre 2026'!$B:$B, "Carnes")</f>
        <v>8</v>
      </c>
      <c r="I14" s="122">
        <v>1</v>
      </c>
      <c r="J14" s="123" t="s">
        <v>324</v>
      </c>
      <c r="K14" s="123" t="s">
        <v>74</v>
      </c>
      <c r="L14" s="124" t="s">
        <v>331</v>
      </c>
      <c r="M14" s="125">
        <v>27.65</v>
      </c>
      <c r="N14" s="149">
        <v>23900</v>
      </c>
      <c r="O14" s="149">
        <v>660835</v>
      </c>
      <c r="P14" s="106"/>
      <c r="Q14" s="93"/>
    </row>
    <row r="15" spans="2:17" ht="18" customHeight="1" x14ac:dyDescent="0.25">
      <c r="B15" s="68">
        <v>6</v>
      </c>
      <c r="C15" s="69">
        <f>SUMIFS('Detalle Compras Septiembre 2026'!$G:$G, 'Detalle Compras Septiembre 2026'!$A:$A, B15, 'Detalle Compras Septiembre 2026'!$B:$B, "Carnes")</f>
        <v>0</v>
      </c>
      <c r="D15" s="70">
        <f>SUMIFS('Detalle Compras Septiembre 2026'!$E:$E, 'Detalle Compras Septiembre 2026'!$A:$A, B15, 'Detalle Compras Septiembre 2026'!$B:$B, "Carnes")</f>
        <v>0</v>
      </c>
      <c r="E15" s="69">
        <f t="shared" si="0"/>
        <v>0</v>
      </c>
      <c r="F15" s="71">
        <f t="shared" si="1"/>
        <v>0</v>
      </c>
      <c r="G15" s="72">
        <f>COUNTIFS('Detalle Compras Septiembre 2026'!$A:$A, B15, 'Detalle Compras Septiembre 2026'!$B:$B, "Carnes")</f>
        <v>0</v>
      </c>
      <c r="I15" s="122">
        <v>1</v>
      </c>
      <c r="J15" s="123" t="s">
        <v>332</v>
      </c>
      <c r="K15" s="123" t="s">
        <v>333</v>
      </c>
      <c r="L15" s="124" t="s">
        <v>334</v>
      </c>
      <c r="M15" s="125">
        <v>9.8699999999999992</v>
      </c>
      <c r="N15" s="149">
        <v>55000</v>
      </c>
      <c r="O15" s="149">
        <v>542850</v>
      </c>
      <c r="P15" s="106"/>
      <c r="Q15" s="93"/>
    </row>
    <row r="16" spans="2:17" ht="18" customHeight="1" x14ac:dyDescent="0.25">
      <c r="B16" s="63">
        <v>7</v>
      </c>
      <c r="C16" s="64">
        <f>SUMIFS('Detalle Compras Septiembre 2026'!$G:$G, 'Detalle Compras Septiembre 2026'!$A:$A, B16, 'Detalle Compras Septiembre 2026'!$B:$B, "Carnes")</f>
        <v>2135215.04</v>
      </c>
      <c r="D16" s="65">
        <f>SUMIFS('Detalle Compras Septiembre 2026'!$E:$E, 'Detalle Compras Septiembre 2026'!$A:$A, B16, 'Detalle Compras Septiembre 2026'!$B:$B, "Carnes")</f>
        <v>100.00700000000001</v>
      </c>
      <c r="E16" s="64">
        <f t="shared" si="0"/>
        <v>21350.655854090212</v>
      </c>
      <c r="F16" s="66">
        <f t="shared" si="1"/>
        <v>7.3607261180237846E-2</v>
      </c>
      <c r="G16" s="67">
        <f>COUNTIFS('Detalle Compras Septiembre 2026'!$A:$A, B16, 'Detalle Compras Septiembre 2026'!$B:$B, "Carnes")</f>
        <v>9</v>
      </c>
      <c r="I16" s="122">
        <v>1</v>
      </c>
      <c r="J16" s="123" t="s">
        <v>324</v>
      </c>
      <c r="K16" s="123" t="s">
        <v>64</v>
      </c>
      <c r="L16" s="124" t="s">
        <v>335</v>
      </c>
      <c r="M16" s="125">
        <v>28.7</v>
      </c>
      <c r="N16" s="149">
        <v>25900</v>
      </c>
      <c r="O16" s="149">
        <v>743330</v>
      </c>
      <c r="P16" s="106"/>
      <c r="Q16" s="93"/>
    </row>
    <row r="17" spans="2:17" ht="18" customHeight="1" x14ac:dyDescent="0.25">
      <c r="B17" s="68">
        <v>8</v>
      </c>
      <c r="C17" s="69">
        <f>SUMIFS('Detalle Compras Septiembre 2026'!$G:$G, 'Detalle Compras Septiembre 2026'!$A:$A, B17, 'Detalle Compras Septiembre 2026'!$B:$B, "Carnes")</f>
        <v>863350</v>
      </c>
      <c r="D17" s="70">
        <f>SUMIFS('Detalle Compras Septiembre 2026'!$E:$E, 'Detalle Compras Septiembre 2026'!$A:$A, B17, 'Detalle Compras Septiembre 2026'!$B:$B, "Carnes")</f>
        <v>56.25</v>
      </c>
      <c r="E17" s="69">
        <f t="shared" si="0"/>
        <v>15348.444444444445</v>
      </c>
      <c r="F17" s="71">
        <f t="shared" si="1"/>
        <v>2.9762261762617755E-2</v>
      </c>
      <c r="G17" s="72">
        <f>COUNTIFS('Detalle Compras Septiembre 2026'!$A:$A, B17, 'Detalle Compras Septiembre 2026'!$B:$B, "Carnes")</f>
        <v>5</v>
      </c>
      <c r="I17" s="122">
        <v>1</v>
      </c>
      <c r="J17" s="123" t="s">
        <v>324</v>
      </c>
      <c r="K17" s="123" t="s">
        <v>68</v>
      </c>
      <c r="L17" s="124" t="s">
        <v>336</v>
      </c>
      <c r="M17" s="125">
        <v>18.5</v>
      </c>
      <c r="N17" s="149">
        <v>34500</v>
      </c>
      <c r="O17" s="149">
        <v>638250</v>
      </c>
      <c r="P17" s="106"/>
      <c r="Q17" s="93"/>
    </row>
    <row r="18" spans="2:17" ht="18" customHeight="1" x14ac:dyDescent="0.25">
      <c r="B18" s="63">
        <v>9</v>
      </c>
      <c r="C18" s="64">
        <f>SUMIFS('Detalle Compras Septiembre 2026'!$G:$G, 'Detalle Compras Septiembre 2026'!$A:$A, B18, 'Detalle Compras Septiembre 2026'!$B:$B, "Carnes")</f>
        <v>5630782</v>
      </c>
      <c r="D18" s="65">
        <f>SUMIFS('Detalle Compras Septiembre 2026'!$E:$E, 'Detalle Compras Septiembre 2026'!$A:$A, B18, 'Detalle Compras Septiembre 2026'!$B:$B, "Carnes")</f>
        <v>324.94</v>
      </c>
      <c r="E18" s="64">
        <f t="shared" si="0"/>
        <v>17328.682218255679</v>
      </c>
      <c r="F18" s="66">
        <f t="shared" si="1"/>
        <v>0.19410992970665006</v>
      </c>
      <c r="G18" s="67">
        <f>COUNTIFS('Detalle Compras Septiembre 2026'!$A:$A, B18, 'Detalle Compras Septiembre 2026'!$B:$B, "Carnes")</f>
        <v>11</v>
      </c>
      <c r="I18" s="122">
        <v>1</v>
      </c>
      <c r="J18" s="123" t="s">
        <v>332</v>
      </c>
      <c r="K18" s="123" t="s">
        <v>337</v>
      </c>
      <c r="L18" s="124" t="s">
        <v>338</v>
      </c>
      <c r="M18" s="125">
        <v>19.809999999999999</v>
      </c>
      <c r="N18" s="149">
        <v>18000</v>
      </c>
      <c r="O18" s="149">
        <v>356580</v>
      </c>
      <c r="P18" s="106"/>
      <c r="Q18" s="93"/>
    </row>
    <row r="19" spans="2:17" ht="18" customHeight="1" x14ac:dyDescent="0.25">
      <c r="B19" s="68">
        <v>10</v>
      </c>
      <c r="C19" s="69">
        <f>SUMIFS('Detalle Compras Septiembre 2026'!$G:$G, 'Detalle Compras Septiembre 2026'!$A:$A, B19, 'Detalle Compras Septiembre 2026'!$B:$B, "Carnes")</f>
        <v>1250345</v>
      </c>
      <c r="D19" s="70">
        <f>SUMIFS('Detalle Compras Septiembre 2026'!$E:$E, 'Detalle Compras Septiembre 2026'!$A:$A, B19, 'Detalle Compras Septiembre 2026'!$B:$B, "Carnes")</f>
        <v>111.35499999999999</v>
      </c>
      <c r="E19" s="69">
        <f t="shared" si="0"/>
        <v>11228.458533518928</v>
      </c>
      <c r="F19" s="71">
        <f t="shared" si="1"/>
        <v>4.3103139148178954E-2</v>
      </c>
      <c r="G19" s="72">
        <f>COUNTIFS('Detalle Compras Septiembre 2026'!$A:$A, B19, 'Detalle Compras Septiembre 2026'!$B:$B, "Carnes")</f>
        <v>6</v>
      </c>
      <c r="I19" s="122">
        <v>1</v>
      </c>
      <c r="J19" s="123" t="s">
        <v>339</v>
      </c>
      <c r="K19" s="123" t="s">
        <v>337</v>
      </c>
      <c r="L19" s="124" t="s">
        <v>340</v>
      </c>
      <c r="M19" s="148">
        <v>6</v>
      </c>
      <c r="N19" s="149">
        <v>3666.67</v>
      </c>
      <c r="O19" s="149">
        <v>22000</v>
      </c>
      <c r="P19" s="106"/>
      <c r="Q19" s="93"/>
    </row>
    <row r="20" spans="2:17" ht="18" customHeight="1" x14ac:dyDescent="0.25">
      <c r="B20" s="63">
        <v>11</v>
      </c>
      <c r="C20" s="64">
        <f>SUMIFS('Detalle Compras Septiembre 2026'!$G:$G, 'Detalle Compras Septiembre 2026'!$A:$A, B20, 'Detalle Compras Septiembre 2026'!$B:$B, "Carnes")</f>
        <v>2580100</v>
      </c>
      <c r="D20" s="65">
        <f>SUMIFS('Detalle Compras Septiembre 2026'!$E:$E, 'Detalle Compras Septiembre 2026'!$A:$A, B20, 'Detalle Compras Septiembre 2026'!$B:$B, "Carnes")</f>
        <v>5</v>
      </c>
      <c r="E20" s="64">
        <f t="shared" si="0"/>
        <v>516020</v>
      </c>
      <c r="F20" s="66">
        <f t="shared" si="1"/>
        <v>8.8943778969977502E-2</v>
      </c>
      <c r="G20" s="67">
        <f>COUNTIFS('Detalle Compras Septiembre 2026'!$A:$A, B20, 'Detalle Compras Septiembre 2026'!$B:$B, "Carnes")</f>
        <v>4</v>
      </c>
      <c r="I20" s="122">
        <v>1</v>
      </c>
      <c r="J20" s="123" t="s">
        <v>341</v>
      </c>
      <c r="K20" s="123" t="s">
        <v>66</v>
      </c>
      <c r="L20" s="124" t="s">
        <v>342</v>
      </c>
      <c r="M20" s="125">
        <v>90.35</v>
      </c>
      <c r="N20" s="149">
        <v>21900</v>
      </c>
      <c r="O20" s="149">
        <v>1978665</v>
      </c>
      <c r="P20" s="106"/>
      <c r="Q20" s="93"/>
    </row>
    <row r="21" spans="2:17" ht="18" customHeight="1" x14ac:dyDescent="0.25">
      <c r="B21" s="68">
        <v>12</v>
      </c>
      <c r="C21" s="69">
        <f>SUMIFS('Detalle Compras Septiembre 2026'!$G:$G, 'Detalle Compras Septiembre 2026'!$A:$A, B21, 'Detalle Compras Septiembre 2026'!$B:$B, "Carnes")</f>
        <v>0</v>
      </c>
      <c r="D21" s="70">
        <f>SUMIFS('Detalle Compras Septiembre 2026'!$E:$E, 'Detalle Compras Septiembre 2026'!$A:$A, B21, 'Detalle Compras Septiembre 2026'!$B:$B, "Carnes")</f>
        <v>0</v>
      </c>
      <c r="E21" s="69">
        <f t="shared" si="0"/>
        <v>0</v>
      </c>
      <c r="F21" s="71">
        <f t="shared" si="1"/>
        <v>0</v>
      </c>
      <c r="G21" s="72">
        <f>COUNTIFS('Detalle Compras Septiembre 2026'!$A:$A, B21, 'Detalle Compras Septiembre 2026'!$B:$B, "Carnes")</f>
        <v>0</v>
      </c>
      <c r="I21" s="122">
        <v>1</v>
      </c>
      <c r="J21" s="123" t="s">
        <v>343</v>
      </c>
      <c r="K21" s="123" t="s">
        <v>344</v>
      </c>
      <c r="L21" s="123" t="s">
        <v>345</v>
      </c>
      <c r="M21" s="125">
        <v>4.7549999999999999</v>
      </c>
      <c r="N21" s="149">
        <v>7900</v>
      </c>
      <c r="O21" s="149">
        <v>37565</v>
      </c>
      <c r="P21" s="106"/>
      <c r="Q21" s="93"/>
    </row>
    <row r="22" spans="2:17" ht="18" customHeight="1" x14ac:dyDescent="0.25">
      <c r="B22" s="63">
        <v>13</v>
      </c>
      <c r="C22" s="64">
        <f>SUMIFS('Detalle Compras Septiembre 2026'!$G:$G, 'Detalle Compras Septiembre 2026'!$A:$A, B22, 'Detalle Compras Septiembre 2026'!$B:$B, "Carnes")</f>
        <v>0</v>
      </c>
      <c r="D22" s="65">
        <f>SUMIFS('Detalle Compras Septiembre 2026'!$E:$E, 'Detalle Compras Septiembre 2026'!$A:$A, B22, 'Detalle Compras Septiembre 2026'!$B:$B, "Carnes")</f>
        <v>0</v>
      </c>
      <c r="E22" s="64">
        <f t="shared" si="0"/>
        <v>0</v>
      </c>
      <c r="F22" s="66">
        <f t="shared" si="1"/>
        <v>0</v>
      </c>
      <c r="G22" s="67">
        <f>COUNTIFS('Detalle Compras Septiembre 2026'!$A:$A, B22, 'Detalle Compras Septiembre 2026'!$B:$B, "Carnes")</f>
        <v>0</v>
      </c>
      <c r="I22" s="122">
        <v>1</v>
      </c>
      <c r="J22" s="123" t="s">
        <v>343</v>
      </c>
      <c r="K22" s="123" t="s">
        <v>344</v>
      </c>
      <c r="L22" s="124" t="s">
        <v>345</v>
      </c>
      <c r="M22" s="125">
        <v>3.3650000000000002</v>
      </c>
      <c r="N22" s="149">
        <v>8915.2999999999993</v>
      </c>
      <c r="O22" s="149">
        <v>30000</v>
      </c>
      <c r="P22" s="106"/>
      <c r="Q22" s="93"/>
    </row>
    <row r="23" spans="2:17" ht="18" customHeight="1" x14ac:dyDescent="0.25">
      <c r="B23" s="68">
        <v>14</v>
      </c>
      <c r="C23" s="69">
        <f>SUMIFS('Detalle Compras Septiembre 2026'!$G:$G, 'Detalle Compras Septiembre 2026'!$A:$A, B23, 'Detalle Compras Septiembre 2026'!$B:$B, "Carnes")</f>
        <v>0</v>
      </c>
      <c r="D23" s="70">
        <f>SUMIFS('Detalle Compras Septiembre 2026'!$E:$E, 'Detalle Compras Septiembre 2026'!$A:$A, B23, 'Detalle Compras Septiembre 2026'!$B:$B, "Carnes")</f>
        <v>0</v>
      </c>
      <c r="E23" s="69">
        <f t="shared" si="0"/>
        <v>0</v>
      </c>
      <c r="F23" s="71">
        <f t="shared" si="1"/>
        <v>0</v>
      </c>
      <c r="G23" s="72">
        <f>COUNTIFS('Detalle Compras Septiembre 2026'!$A:$A, B23, 'Detalle Compras Septiembre 2026'!$B:$B, "Carnes")</f>
        <v>0</v>
      </c>
      <c r="I23" s="237" t="s">
        <v>346</v>
      </c>
      <c r="J23" s="238"/>
      <c r="K23" s="238"/>
      <c r="L23" s="239"/>
      <c r="M23" s="126">
        <f>SUM(M10:M22)</f>
        <v>277.27999999999997</v>
      </c>
      <c r="N23" s="150">
        <f>IF(M23&gt;0, O23/M23, 0)</f>
        <v>22108.6807559146</v>
      </c>
      <c r="O23" s="150">
        <f>SUM(O10:O22)</f>
        <v>6130295</v>
      </c>
      <c r="P23" s="106"/>
      <c r="Q23" s="93"/>
    </row>
    <row r="24" spans="2:17" ht="18" customHeight="1" x14ac:dyDescent="0.25">
      <c r="B24" s="63">
        <v>15</v>
      </c>
      <c r="C24" s="64">
        <f>SUMIFS('Detalle Compras Septiembre 2026'!$G:$G, 'Detalle Compras Septiembre 2026'!$A:$A, B24, 'Detalle Compras Septiembre 2026'!$B:$B, "Carnes")</f>
        <v>0</v>
      </c>
      <c r="D24" s="65">
        <f>SUMIFS('Detalle Compras Septiembre 2026'!$E:$E, 'Detalle Compras Septiembre 2026'!$A:$A, B24, 'Detalle Compras Septiembre 2026'!$B:$B, "Carnes")</f>
        <v>0</v>
      </c>
      <c r="E24" s="64">
        <f t="shared" si="0"/>
        <v>0</v>
      </c>
      <c r="F24" s="66">
        <f t="shared" si="1"/>
        <v>0</v>
      </c>
      <c r="G24" s="67">
        <f>COUNTIFS('Detalle Compras Septiembre 2026'!$A:$A, B24, 'Detalle Compras Septiembre 2026'!$B:$B, "Carnes")</f>
        <v>0</v>
      </c>
      <c r="I24" s="122">
        <v>2</v>
      </c>
      <c r="J24" s="123" t="s">
        <v>347</v>
      </c>
      <c r="K24" s="123" t="s">
        <v>348</v>
      </c>
      <c r="L24" s="123" t="s">
        <v>349</v>
      </c>
      <c r="M24" s="148">
        <v>5</v>
      </c>
      <c r="N24" s="149">
        <v>21500</v>
      </c>
      <c r="O24" s="149">
        <v>107500</v>
      </c>
      <c r="P24" s="106"/>
      <c r="Q24" s="93"/>
    </row>
    <row r="25" spans="2:17" ht="18" customHeight="1" x14ac:dyDescent="0.25">
      <c r="B25" s="68">
        <v>16</v>
      </c>
      <c r="C25" s="69">
        <f>SUMIFS('Detalle Compras Septiembre 2026'!$G:$G, 'Detalle Compras Septiembre 2026'!$A:$A, B25, 'Detalle Compras Septiembre 2026'!$B:$B, "Carnes")</f>
        <v>0</v>
      </c>
      <c r="D25" s="70">
        <f>SUMIFS('Detalle Compras Septiembre 2026'!$E:$E, 'Detalle Compras Septiembre 2026'!$A:$A, B25, 'Detalle Compras Septiembre 2026'!$B:$B, "Carnes")</f>
        <v>0</v>
      </c>
      <c r="E25" s="69">
        <f t="shared" si="0"/>
        <v>0</v>
      </c>
      <c r="F25" s="71">
        <f t="shared" si="1"/>
        <v>0</v>
      </c>
      <c r="G25" s="72">
        <f>COUNTIFS('Detalle Compras Septiembre 2026'!$A:$A, B25, 'Detalle Compras Septiembre 2026'!$B:$B, "Carnes")</f>
        <v>0</v>
      </c>
      <c r="I25" s="122">
        <v>2</v>
      </c>
      <c r="J25" s="123" t="s">
        <v>350</v>
      </c>
      <c r="K25" s="123" t="s">
        <v>72</v>
      </c>
      <c r="L25" s="124" t="s">
        <v>351</v>
      </c>
      <c r="M25" s="125">
        <v>34.700000000000003</v>
      </c>
      <c r="N25" s="149">
        <v>7500</v>
      </c>
      <c r="O25" s="149">
        <v>260250</v>
      </c>
      <c r="P25" s="106"/>
      <c r="Q25" s="93"/>
    </row>
    <row r="26" spans="2:17" ht="18" customHeight="1" x14ac:dyDescent="0.25">
      <c r="B26" s="63">
        <v>17</v>
      </c>
      <c r="C26" s="64">
        <f>SUMIFS('Detalle Compras Septiembre 2026'!$G:$G, 'Detalle Compras Septiembre 2026'!$A:$A, B26, 'Detalle Compras Septiembre 2026'!$B:$B, "Carnes")</f>
        <v>0</v>
      </c>
      <c r="D26" s="65">
        <f>SUMIFS('Detalle Compras Septiembre 2026'!$E:$E, 'Detalle Compras Septiembre 2026'!$A:$A, B26, 'Detalle Compras Septiembre 2026'!$B:$B, "Carnes")</f>
        <v>0</v>
      </c>
      <c r="E26" s="64">
        <f t="shared" si="0"/>
        <v>0</v>
      </c>
      <c r="F26" s="66">
        <f t="shared" si="1"/>
        <v>0</v>
      </c>
      <c r="G26" s="67">
        <f>COUNTIFS('Detalle Compras Septiembre 2026'!$A:$A, B26, 'Detalle Compras Septiembre 2026'!$B:$B, "Carnes")</f>
        <v>0</v>
      </c>
      <c r="I26" s="122">
        <v>2</v>
      </c>
      <c r="J26" s="123" t="s">
        <v>352</v>
      </c>
      <c r="K26" s="123" t="s">
        <v>353</v>
      </c>
      <c r="L26" s="124" t="s">
        <v>354</v>
      </c>
      <c r="M26" s="125">
        <v>2.77</v>
      </c>
      <c r="N26" s="149">
        <v>19900</v>
      </c>
      <c r="O26" s="149">
        <v>55123</v>
      </c>
      <c r="P26" s="106"/>
      <c r="Q26" s="93"/>
    </row>
    <row r="27" spans="2:17" ht="18" customHeight="1" x14ac:dyDescent="0.25">
      <c r="B27" s="68">
        <v>18</v>
      </c>
      <c r="C27" s="69">
        <f>SUMIFS('Detalle Compras Septiembre 2026'!$G:$G, 'Detalle Compras Septiembre 2026'!$A:$A, B27, 'Detalle Compras Septiembre 2026'!$B:$B, "Carnes")</f>
        <v>0</v>
      </c>
      <c r="D27" s="70">
        <f>SUMIFS('Detalle Compras Septiembre 2026'!$E:$E, 'Detalle Compras Septiembre 2026'!$A:$A, B27, 'Detalle Compras Septiembre 2026'!$B:$B, "Carnes")</f>
        <v>0</v>
      </c>
      <c r="E27" s="69">
        <f t="shared" si="0"/>
        <v>0</v>
      </c>
      <c r="F27" s="71">
        <f t="shared" si="1"/>
        <v>0</v>
      </c>
      <c r="G27" s="72">
        <f>COUNTIFS('Detalle Compras Septiembre 2026'!$A:$A, B27, 'Detalle Compras Septiembre 2026'!$B:$B, "Carnes")</f>
        <v>0</v>
      </c>
      <c r="I27" s="122">
        <v>2</v>
      </c>
      <c r="J27" s="123" t="s">
        <v>352</v>
      </c>
      <c r="K27" s="123" t="s">
        <v>353</v>
      </c>
      <c r="L27" s="124" t="s">
        <v>354</v>
      </c>
      <c r="M27" s="125">
        <v>4.7640000000000002</v>
      </c>
      <c r="N27" s="149">
        <v>22190</v>
      </c>
      <c r="O27" s="149">
        <v>105713</v>
      </c>
      <c r="P27" s="106"/>
      <c r="Q27" s="93"/>
    </row>
    <row r="28" spans="2:17" ht="18" customHeight="1" x14ac:dyDescent="0.25">
      <c r="B28" s="63">
        <v>19</v>
      </c>
      <c r="C28" s="64">
        <f>SUMIFS('Detalle Compras Septiembre 2026'!$G:$G, 'Detalle Compras Septiembre 2026'!$A:$A, B28, 'Detalle Compras Septiembre 2026'!$B:$B, "Carnes")</f>
        <v>0</v>
      </c>
      <c r="D28" s="65">
        <f>SUMIFS('Detalle Compras Septiembre 2026'!$E:$E, 'Detalle Compras Septiembre 2026'!$A:$A, B28, 'Detalle Compras Septiembre 2026'!$B:$B, "Carnes")</f>
        <v>0</v>
      </c>
      <c r="E28" s="64">
        <f t="shared" si="0"/>
        <v>0</v>
      </c>
      <c r="F28" s="66">
        <f t="shared" si="1"/>
        <v>0</v>
      </c>
      <c r="G28" s="67">
        <f>COUNTIFS('Detalle Compras Septiembre 2026'!$A:$A, B28, 'Detalle Compras Septiembre 2026'!$B:$B, "Carnes")</f>
        <v>0</v>
      </c>
      <c r="I28" s="237" t="s">
        <v>355</v>
      </c>
      <c r="J28" s="238"/>
      <c r="K28" s="238"/>
      <c r="L28" s="239"/>
      <c r="M28" s="126">
        <f>SUM(M24:M27)</f>
        <v>47.234000000000009</v>
      </c>
      <c r="N28" s="150">
        <f>IF(M28&gt;0, O28/M28, 0)</f>
        <v>11190.794766481769</v>
      </c>
      <c r="O28" s="150">
        <f>SUM(O24:O27)</f>
        <v>528586</v>
      </c>
      <c r="P28" s="106"/>
      <c r="Q28" s="93"/>
    </row>
    <row r="29" spans="2:17" ht="18" customHeight="1" x14ac:dyDescent="0.25">
      <c r="B29" s="68">
        <v>20</v>
      </c>
      <c r="C29" s="69">
        <f>SUMIFS('Detalle Compras Septiembre 2026'!$G:$G, 'Detalle Compras Septiembre 2026'!$A:$A, B29, 'Detalle Compras Septiembre 2026'!$B:$B, "Carnes")</f>
        <v>0</v>
      </c>
      <c r="D29" s="70">
        <f>SUMIFS('Detalle Compras Septiembre 2026'!$E:$E, 'Detalle Compras Septiembre 2026'!$A:$A, B29, 'Detalle Compras Septiembre 2026'!$B:$B, "Carnes")</f>
        <v>0</v>
      </c>
      <c r="E29" s="69">
        <f t="shared" si="0"/>
        <v>0</v>
      </c>
      <c r="F29" s="71">
        <f t="shared" si="1"/>
        <v>0</v>
      </c>
      <c r="G29" s="72">
        <f>COUNTIFS('Detalle Compras Septiembre 2026'!$A:$A, B29, 'Detalle Compras Septiembre 2026'!$B:$B, "Carnes")</f>
        <v>0</v>
      </c>
      <c r="I29" s="122">
        <v>3</v>
      </c>
      <c r="J29" s="123" t="s">
        <v>356</v>
      </c>
      <c r="K29" s="123" t="s">
        <v>357</v>
      </c>
      <c r="L29" s="124" t="s">
        <v>358</v>
      </c>
      <c r="M29" s="125">
        <v>4.05</v>
      </c>
      <c r="N29" s="149">
        <v>33000</v>
      </c>
      <c r="O29" s="149">
        <v>133650</v>
      </c>
      <c r="P29" s="106"/>
      <c r="Q29" s="93"/>
    </row>
    <row r="30" spans="2:17" ht="18" customHeight="1" x14ac:dyDescent="0.25">
      <c r="B30" s="63">
        <v>21</v>
      </c>
      <c r="C30" s="64">
        <f>SUMIFS('Detalle Compras Septiembre 2026'!$G:$G, 'Detalle Compras Septiembre 2026'!$A:$A, B30, 'Detalle Compras Septiembre 2026'!$B:$B, "Carnes")</f>
        <v>0</v>
      </c>
      <c r="D30" s="65">
        <f>SUMIFS('Detalle Compras Septiembre 2026'!$E:$E, 'Detalle Compras Septiembre 2026'!$A:$A, B30, 'Detalle Compras Septiembre 2026'!$B:$B, "Carnes")</f>
        <v>0</v>
      </c>
      <c r="E30" s="64">
        <f t="shared" si="0"/>
        <v>0</v>
      </c>
      <c r="F30" s="66">
        <f t="shared" si="1"/>
        <v>0</v>
      </c>
      <c r="G30" s="67">
        <f>COUNTIFS('Detalle Compras Septiembre 2026'!$A:$A, B30, 'Detalle Compras Septiembre 2026'!$B:$B, "Carnes")</f>
        <v>0</v>
      </c>
      <c r="I30" s="122">
        <v>3</v>
      </c>
      <c r="J30" s="123" t="s">
        <v>359</v>
      </c>
      <c r="K30" s="123" t="s">
        <v>357</v>
      </c>
      <c r="L30" s="124" t="s">
        <v>360</v>
      </c>
      <c r="M30" s="125">
        <v>5.96</v>
      </c>
      <c r="N30" s="149">
        <v>34000</v>
      </c>
      <c r="O30" s="149">
        <v>202640</v>
      </c>
      <c r="P30" s="106"/>
      <c r="Q30" s="93"/>
    </row>
    <row r="31" spans="2:17" ht="18" customHeight="1" x14ac:dyDescent="0.25">
      <c r="B31" s="68">
        <v>22</v>
      </c>
      <c r="C31" s="69">
        <f>SUMIFS('Detalle Compras Septiembre 2026'!$G:$G, 'Detalle Compras Septiembre 2026'!$A:$A, B31, 'Detalle Compras Septiembre 2026'!$B:$B, "Carnes")</f>
        <v>0</v>
      </c>
      <c r="D31" s="70">
        <f>SUMIFS('Detalle Compras Septiembre 2026'!$E:$E, 'Detalle Compras Septiembre 2026'!$A:$A, B31, 'Detalle Compras Septiembre 2026'!$B:$B, "Carnes")</f>
        <v>0</v>
      </c>
      <c r="E31" s="69">
        <f t="shared" si="0"/>
        <v>0</v>
      </c>
      <c r="F31" s="71">
        <f t="shared" si="1"/>
        <v>0</v>
      </c>
      <c r="G31" s="72">
        <f>COUNTIFS('Detalle Compras Septiembre 2026'!$A:$A, B31, 'Detalle Compras Septiembre 2026'!$B:$B, "Carnes")</f>
        <v>0</v>
      </c>
      <c r="I31" s="122">
        <v>3</v>
      </c>
      <c r="J31" s="123" t="s">
        <v>359</v>
      </c>
      <c r="K31" s="123" t="s">
        <v>361</v>
      </c>
      <c r="L31" s="123" t="s">
        <v>362</v>
      </c>
      <c r="M31" s="148">
        <v>7</v>
      </c>
      <c r="N31" s="149">
        <v>20000</v>
      </c>
      <c r="O31" s="149">
        <v>140000</v>
      </c>
      <c r="P31" s="106"/>
      <c r="Q31" s="93"/>
    </row>
    <row r="32" spans="2:17" ht="18" customHeight="1" x14ac:dyDescent="0.25">
      <c r="B32" s="63">
        <v>23</v>
      </c>
      <c r="C32" s="64">
        <f>SUMIFS('Detalle Compras Septiembre 2026'!$G:$G, 'Detalle Compras Septiembre 2026'!$A:$A, B32, 'Detalle Compras Septiembre 2026'!$B:$B, "Carnes")</f>
        <v>0</v>
      </c>
      <c r="D32" s="65">
        <f>SUMIFS('Detalle Compras Septiembre 2026'!$E:$E, 'Detalle Compras Septiembre 2026'!$A:$A, B32, 'Detalle Compras Septiembre 2026'!$B:$B, "Carnes")</f>
        <v>0</v>
      </c>
      <c r="E32" s="64">
        <f t="shared" si="0"/>
        <v>0</v>
      </c>
      <c r="F32" s="66">
        <f t="shared" si="1"/>
        <v>0</v>
      </c>
      <c r="G32" s="67">
        <f>COUNTIFS('Detalle Compras Septiembre 2026'!$A:$A, B32, 'Detalle Compras Septiembre 2026'!$B:$B, "Carnes")</f>
        <v>0</v>
      </c>
      <c r="I32" s="122">
        <v>3</v>
      </c>
      <c r="J32" s="123" t="s">
        <v>356</v>
      </c>
      <c r="K32" s="123" t="s">
        <v>363</v>
      </c>
      <c r="L32" s="124" t="s">
        <v>364</v>
      </c>
      <c r="M32" s="125">
        <v>10.3</v>
      </c>
      <c r="N32" s="149">
        <v>20000</v>
      </c>
      <c r="O32" s="149">
        <v>206000</v>
      </c>
      <c r="P32" s="106"/>
      <c r="Q32" s="93"/>
    </row>
    <row r="33" spans="1:17" ht="18" customHeight="1" x14ac:dyDescent="0.25">
      <c r="B33" s="68">
        <v>24</v>
      </c>
      <c r="C33" s="69">
        <f>SUMIFS('Detalle Compras Septiembre 2026'!$G:$G, 'Detalle Compras Septiembre 2026'!$A:$A, B33, 'Detalle Compras Septiembre 2026'!$B:$B, "Carnes")</f>
        <v>0</v>
      </c>
      <c r="D33" s="70">
        <f>SUMIFS('Detalle Compras Septiembre 2026'!$E:$E, 'Detalle Compras Septiembre 2026'!$A:$A, B33, 'Detalle Compras Septiembre 2026'!$B:$B, "Carnes")</f>
        <v>0</v>
      </c>
      <c r="E33" s="69">
        <f t="shared" si="0"/>
        <v>0</v>
      </c>
      <c r="F33" s="71">
        <f t="shared" si="1"/>
        <v>0</v>
      </c>
      <c r="G33" s="72">
        <f>COUNTIFS('Detalle Compras Septiembre 2026'!$A:$A, B33, 'Detalle Compras Septiembre 2026'!$B:$B, "Carnes")</f>
        <v>0</v>
      </c>
      <c r="I33" s="122">
        <v>3</v>
      </c>
      <c r="J33" s="123" t="s">
        <v>365</v>
      </c>
      <c r="K33" s="123" t="s">
        <v>348</v>
      </c>
      <c r="L33" s="124" t="s">
        <v>366</v>
      </c>
      <c r="M33" s="125">
        <v>5.8</v>
      </c>
      <c r="N33" s="149">
        <v>22000</v>
      </c>
      <c r="O33" s="149">
        <v>127600</v>
      </c>
      <c r="P33" s="106"/>
      <c r="Q33" s="93"/>
    </row>
    <row r="34" spans="1:17" ht="18" customHeight="1" x14ac:dyDescent="0.25">
      <c r="B34" s="63">
        <v>25</v>
      </c>
      <c r="C34" s="64">
        <f>SUMIFS('Detalle Compras Septiembre 2026'!$G:$G, 'Detalle Compras Septiembre 2026'!$A:$A, B34, 'Detalle Compras Septiembre 2026'!$B:$B, "Carnes")</f>
        <v>0</v>
      </c>
      <c r="D34" s="65">
        <f>SUMIFS('Detalle Compras Septiembre 2026'!$E:$E, 'Detalle Compras Septiembre 2026'!$A:$A, B34, 'Detalle Compras Septiembre 2026'!$B:$B, "Carnes")</f>
        <v>0</v>
      </c>
      <c r="E34" s="64">
        <f t="shared" si="0"/>
        <v>0</v>
      </c>
      <c r="F34" s="66">
        <f t="shared" si="1"/>
        <v>0</v>
      </c>
      <c r="G34" s="67">
        <f>COUNTIFS('Detalle Compras Septiembre 2026'!$A:$A, B34, 'Detalle Compras Septiembre 2026'!$B:$B, "Carnes")</f>
        <v>0</v>
      </c>
      <c r="I34" s="122">
        <v>3</v>
      </c>
      <c r="J34" s="123" t="s">
        <v>365</v>
      </c>
      <c r="K34" s="123" t="s">
        <v>367</v>
      </c>
      <c r="L34" s="124" t="s">
        <v>368</v>
      </c>
      <c r="M34" s="125">
        <v>7.35</v>
      </c>
      <c r="N34" s="149">
        <v>54000</v>
      </c>
      <c r="O34" s="149">
        <v>396900</v>
      </c>
      <c r="P34" s="106"/>
      <c r="Q34" s="93"/>
    </row>
    <row r="35" spans="1:17" ht="18" customHeight="1" x14ac:dyDescent="0.25">
      <c r="B35" s="68">
        <v>26</v>
      </c>
      <c r="C35" s="69">
        <f>SUMIFS('Detalle Compras Septiembre 2026'!$G:$G, 'Detalle Compras Septiembre 2026'!$A:$A, B35, 'Detalle Compras Septiembre 2026'!$B:$B, "Carnes")</f>
        <v>0</v>
      </c>
      <c r="D35" s="70">
        <f>SUMIFS('Detalle Compras Septiembre 2026'!$E:$E, 'Detalle Compras Septiembre 2026'!$A:$A, B35, 'Detalle Compras Septiembre 2026'!$B:$B, "Carnes")</f>
        <v>0</v>
      </c>
      <c r="E35" s="69">
        <f t="shared" si="0"/>
        <v>0</v>
      </c>
      <c r="F35" s="71">
        <f t="shared" si="1"/>
        <v>0</v>
      </c>
      <c r="G35" s="72">
        <f>COUNTIFS('Detalle Compras Septiembre 2026'!$A:$A, B35, 'Detalle Compras Septiembre 2026'!$B:$B, "Carnes")</f>
        <v>0</v>
      </c>
      <c r="I35" s="122">
        <v>3</v>
      </c>
      <c r="J35" s="123" t="s">
        <v>369</v>
      </c>
      <c r="K35" s="123" t="s">
        <v>370</v>
      </c>
      <c r="L35" s="123" t="s">
        <v>371</v>
      </c>
      <c r="M35" s="148">
        <v>4</v>
      </c>
      <c r="N35" s="149">
        <v>48000</v>
      </c>
      <c r="O35" s="149">
        <v>192000</v>
      </c>
      <c r="P35" s="106"/>
      <c r="Q35" s="93"/>
    </row>
    <row r="36" spans="1:17" ht="18" customHeight="1" x14ac:dyDescent="0.25">
      <c r="B36" s="63">
        <v>27</v>
      </c>
      <c r="C36" s="64">
        <f>SUMIFS('Detalle Compras Septiembre 2026'!$G:$G, 'Detalle Compras Septiembre 2026'!$A:$A, B36, 'Detalle Compras Septiembre 2026'!$B:$B, "Carnes")</f>
        <v>0</v>
      </c>
      <c r="D36" s="65">
        <f>SUMIFS('Detalle Compras Septiembre 2026'!$E:$E, 'Detalle Compras Septiembre 2026'!$A:$A, B36, 'Detalle Compras Septiembre 2026'!$B:$B, "Carnes")</f>
        <v>0</v>
      </c>
      <c r="E36" s="64">
        <f t="shared" si="0"/>
        <v>0</v>
      </c>
      <c r="F36" s="66">
        <f t="shared" si="1"/>
        <v>0</v>
      </c>
      <c r="G36" s="67">
        <f>COUNTIFS('Detalle Compras Septiembre 2026'!$A:$A, B36, 'Detalle Compras Septiembre 2026'!$B:$B, "Carnes")</f>
        <v>0</v>
      </c>
      <c r="I36" s="122">
        <v>3</v>
      </c>
      <c r="J36" s="123" t="s">
        <v>369</v>
      </c>
      <c r="K36" s="123" t="s">
        <v>370</v>
      </c>
      <c r="L36" s="124" t="s">
        <v>372</v>
      </c>
      <c r="M36" s="148">
        <v>1</v>
      </c>
      <c r="N36" s="149">
        <v>46000</v>
      </c>
      <c r="O36" s="149">
        <v>46000</v>
      </c>
      <c r="P36" s="106"/>
      <c r="Q36" s="93"/>
    </row>
    <row r="37" spans="1:17" ht="18" customHeight="1" x14ac:dyDescent="0.25">
      <c r="B37" s="68">
        <v>28</v>
      </c>
      <c r="C37" s="69">
        <f>SUMIFS('Detalle Compras Septiembre 2026'!$G:$G, 'Detalle Compras Septiembre 2026'!$A:$A, B37, 'Detalle Compras Septiembre 2026'!$B:$B, "Carnes")</f>
        <v>0</v>
      </c>
      <c r="D37" s="70">
        <f>SUMIFS('Detalle Compras Septiembre 2026'!$E:$E, 'Detalle Compras Septiembre 2026'!$A:$A, B37, 'Detalle Compras Septiembre 2026'!$B:$B, "Carnes")</f>
        <v>0</v>
      </c>
      <c r="E37" s="69">
        <f t="shared" si="0"/>
        <v>0</v>
      </c>
      <c r="F37" s="71">
        <f t="shared" si="1"/>
        <v>0</v>
      </c>
      <c r="G37" s="72">
        <f>COUNTIFS('Detalle Compras Septiembre 2026'!$A:$A, B37, 'Detalle Compras Septiembre 2026'!$B:$B, "Carnes")</f>
        <v>0</v>
      </c>
      <c r="I37" s="237" t="s">
        <v>373</v>
      </c>
      <c r="J37" s="238"/>
      <c r="K37" s="238"/>
      <c r="L37" s="239"/>
      <c r="M37" s="126">
        <f>SUM(M29:M36)</f>
        <v>45.46</v>
      </c>
      <c r="N37" s="150">
        <f>IF(M37&gt;0, O37/M37, 0)</f>
        <v>31781.566212054553</v>
      </c>
      <c r="O37" s="150">
        <f>SUM(O29:O36)</f>
        <v>1444790</v>
      </c>
      <c r="P37" s="106"/>
      <c r="Q37" s="93"/>
    </row>
    <row r="38" spans="1:17" ht="18" customHeight="1" x14ac:dyDescent="0.25">
      <c r="B38" s="63">
        <v>29</v>
      </c>
      <c r="C38" s="64">
        <f>SUMIFS('Detalle Compras Septiembre 2026'!$G:$G, 'Detalle Compras Septiembre 2026'!$A:$A, B38, 'Detalle Compras Septiembre 2026'!$B:$B, "Carnes")</f>
        <v>0</v>
      </c>
      <c r="D38" s="65">
        <f>SUMIFS('Detalle Compras Septiembre 2026'!$E:$E, 'Detalle Compras Septiembre 2026'!$A:$A, B38, 'Detalle Compras Septiembre 2026'!$B:$B, "Carnes")</f>
        <v>0</v>
      </c>
      <c r="E38" s="64">
        <f t="shared" si="0"/>
        <v>0</v>
      </c>
      <c r="F38" s="66">
        <f t="shared" si="1"/>
        <v>0</v>
      </c>
      <c r="G38" s="67">
        <f>COUNTIFS('Detalle Compras Septiembre 2026'!$A:$A, B38, 'Detalle Compras Septiembre 2026'!$B:$B, "Carnes")</f>
        <v>0</v>
      </c>
      <c r="I38" s="122">
        <v>4</v>
      </c>
      <c r="J38" s="123" t="s">
        <v>374</v>
      </c>
      <c r="K38" s="123" t="s">
        <v>76</v>
      </c>
      <c r="L38" s="124" t="s">
        <v>375</v>
      </c>
      <c r="M38" s="125">
        <v>23.5</v>
      </c>
      <c r="N38" s="149">
        <v>18500</v>
      </c>
      <c r="O38" s="149">
        <v>434750</v>
      </c>
      <c r="P38" s="106"/>
      <c r="Q38" s="93"/>
    </row>
    <row r="39" spans="1:17" ht="18" customHeight="1" x14ac:dyDescent="0.25">
      <c r="B39" s="68">
        <v>30</v>
      </c>
      <c r="C39" s="69">
        <f>SUMIFS('Detalle Compras Septiembre 2026'!$G:$G, 'Detalle Compras Septiembre 2026'!$A:$A, B39, 'Detalle Compras Septiembre 2026'!$B:$B, "Carnes")</f>
        <v>0</v>
      </c>
      <c r="D39" s="70">
        <f>SUMIFS('Detalle Compras Septiembre 2026'!$E:$E, 'Detalle Compras Septiembre 2026'!$A:$A, B39, 'Detalle Compras Septiembre 2026'!$B:$B, "Carnes")</f>
        <v>0</v>
      </c>
      <c r="E39" s="69">
        <f t="shared" si="0"/>
        <v>0</v>
      </c>
      <c r="F39" s="71">
        <f t="shared" si="1"/>
        <v>0</v>
      </c>
      <c r="G39" s="72">
        <f>COUNTIFS('Detalle Compras Septiembre 2026'!$A:$A, B39, 'Detalle Compras Septiembre 2026'!$B:$B, "Carnes")</f>
        <v>0</v>
      </c>
      <c r="I39" s="122">
        <v>4</v>
      </c>
      <c r="J39" s="123" t="s">
        <v>376</v>
      </c>
      <c r="K39" s="123" t="s">
        <v>70</v>
      </c>
      <c r="L39" s="123" t="s">
        <v>377</v>
      </c>
      <c r="M39" s="125">
        <v>26.5</v>
      </c>
      <c r="N39" s="149">
        <v>19500</v>
      </c>
      <c r="O39" s="149">
        <v>516750</v>
      </c>
      <c r="P39" s="106"/>
      <c r="Q39" s="93"/>
    </row>
    <row r="40" spans="1:17" ht="18" customHeight="1" x14ac:dyDescent="0.25">
      <c r="B40" s="91" t="s">
        <v>47</v>
      </c>
      <c r="C40" s="73">
        <f>SUM(C10:C39)</f>
        <v>29008212.039999999</v>
      </c>
      <c r="D40" s="74">
        <f>SUM(D10:D39)</f>
        <v>1326.771</v>
      </c>
      <c r="E40" s="73">
        <f t="shared" si="0"/>
        <v>21863.76702535705</v>
      </c>
      <c r="F40" s="75">
        <f>IF(C40&gt;0, 1, 0)</f>
        <v>1</v>
      </c>
      <c r="G40" s="76">
        <f>SUM(G10:G39)</f>
        <v>72</v>
      </c>
      <c r="I40" s="122">
        <v>4</v>
      </c>
      <c r="J40" s="123" t="s">
        <v>378</v>
      </c>
      <c r="K40" s="123" t="s">
        <v>379</v>
      </c>
      <c r="L40" s="124" t="s">
        <v>380</v>
      </c>
      <c r="M40" s="148">
        <v>10</v>
      </c>
      <c r="N40" s="149">
        <v>10000</v>
      </c>
      <c r="O40" s="149">
        <v>100000</v>
      </c>
      <c r="P40" s="106"/>
      <c r="Q40" s="93"/>
    </row>
    <row r="41" spans="1:17" ht="18" customHeight="1" x14ac:dyDescent="0.25">
      <c r="I41" s="122">
        <v>4</v>
      </c>
      <c r="J41" s="123" t="s">
        <v>381</v>
      </c>
      <c r="K41" s="123" t="s">
        <v>382</v>
      </c>
      <c r="L41" s="124" t="s">
        <v>383</v>
      </c>
      <c r="M41" s="125">
        <v>3.0950000000000002</v>
      </c>
      <c r="N41" s="149">
        <v>13980</v>
      </c>
      <c r="O41" s="149">
        <v>43269</v>
      </c>
      <c r="P41" s="106"/>
      <c r="Q41" s="93"/>
    </row>
    <row r="42" spans="1:17" ht="20.100000000000001" customHeight="1" x14ac:dyDescent="0.25">
      <c r="I42" s="237" t="s">
        <v>384</v>
      </c>
      <c r="J42" s="238"/>
      <c r="K42" s="238"/>
      <c r="L42" s="239"/>
      <c r="M42" s="126">
        <f>SUM(M38:M41)</f>
        <v>63.094999999999999</v>
      </c>
      <c r="N42" s="150">
        <f>IF(M42&gt;0, O42/M42, 0)</f>
        <v>17351.121324986132</v>
      </c>
      <c r="O42" s="150">
        <f>SUM(O38:O41)</f>
        <v>1094769</v>
      </c>
      <c r="P42" s="107"/>
      <c r="Q42" s="93"/>
    </row>
    <row r="43" spans="1:17" x14ac:dyDescent="0.25">
      <c r="A43" s="93"/>
      <c r="B43" s="93"/>
      <c r="C43" s="93"/>
      <c r="D43" s="93"/>
      <c r="E43" s="93"/>
      <c r="F43" s="93"/>
      <c r="G43" s="93"/>
      <c r="H43" s="93"/>
      <c r="I43" s="122">
        <v>5</v>
      </c>
      <c r="J43" s="123" t="s">
        <v>385</v>
      </c>
      <c r="K43" s="123" t="s">
        <v>78</v>
      </c>
      <c r="L43" s="123" t="s">
        <v>386</v>
      </c>
      <c r="M43" s="125">
        <v>19.7</v>
      </c>
      <c r="N43" s="149">
        <v>22900</v>
      </c>
      <c r="O43" s="149">
        <v>451130</v>
      </c>
      <c r="P43" s="93"/>
      <c r="Q43" s="93"/>
    </row>
    <row r="44" spans="1:17" x14ac:dyDescent="0.25">
      <c r="A44" s="93"/>
      <c r="B44" s="93"/>
      <c r="C44" s="93"/>
      <c r="D44" s="93"/>
      <c r="E44" s="93"/>
      <c r="F44" s="93"/>
      <c r="G44" s="93"/>
      <c r="H44" s="93"/>
      <c r="I44" s="122">
        <v>5</v>
      </c>
      <c r="J44" s="123" t="s">
        <v>385</v>
      </c>
      <c r="K44" s="123" t="s">
        <v>387</v>
      </c>
      <c r="L44" s="123" t="s">
        <v>388</v>
      </c>
      <c r="M44" s="125">
        <v>26.1</v>
      </c>
      <c r="N44" s="149">
        <v>18500</v>
      </c>
      <c r="O44" s="149">
        <v>482850</v>
      </c>
      <c r="P44" s="93"/>
      <c r="Q44" s="93"/>
    </row>
    <row r="45" spans="1:17" ht="15.75" customHeight="1" x14ac:dyDescent="0.25">
      <c r="A45" s="93"/>
      <c r="B45" s="108"/>
      <c r="C45" s="93"/>
      <c r="D45" s="93"/>
      <c r="E45" s="93"/>
      <c r="F45" s="93"/>
      <c r="G45" s="93"/>
      <c r="H45" s="93"/>
      <c r="I45" s="122">
        <v>5</v>
      </c>
      <c r="J45" s="123" t="s">
        <v>385</v>
      </c>
      <c r="K45" s="123" t="s">
        <v>389</v>
      </c>
      <c r="L45" s="123" t="s">
        <v>390</v>
      </c>
      <c r="M45" s="125">
        <v>30.66</v>
      </c>
      <c r="N45" s="149">
        <v>18900</v>
      </c>
      <c r="O45" s="149">
        <v>579474</v>
      </c>
      <c r="P45" s="93"/>
      <c r="Q45" s="93"/>
    </row>
    <row r="46" spans="1:17" x14ac:dyDescent="0.25">
      <c r="A46" s="93"/>
      <c r="B46" s="94"/>
      <c r="C46" s="93"/>
      <c r="D46" s="93"/>
      <c r="E46" s="93"/>
      <c r="F46" s="93"/>
      <c r="G46" s="93"/>
      <c r="H46" s="93"/>
      <c r="I46" s="122">
        <v>5</v>
      </c>
      <c r="J46" s="123" t="s">
        <v>385</v>
      </c>
      <c r="K46" s="123" t="s">
        <v>80</v>
      </c>
      <c r="L46" s="123" t="s">
        <v>391</v>
      </c>
      <c r="M46" s="125">
        <v>21.55</v>
      </c>
      <c r="N46" s="149">
        <v>42000</v>
      </c>
      <c r="O46" s="149">
        <v>905100</v>
      </c>
      <c r="P46" s="93"/>
      <c r="Q46" s="93"/>
    </row>
    <row r="47" spans="1:17" x14ac:dyDescent="0.25">
      <c r="A47" s="93"/>
      <c r="B47" s="93"/>
      <c r="C47" s="93"/>
      <c r="D47" s="93"/>
      <c r="E47" s="93"/>
      <c r="F47" s="93"/>
      <c r="G47" s="93"/>
      <c r="H47" s="93"/>
      <c r="I47" s="122">
        <v>5</v>
      </c>
      <c r="J47" s="123" t="s">
        <v>385</v>
      </c>
      <c r="K47" s="123" t="s">
        <v>392</v>
      </c>
      <c r="L47" s="123" t="s">
        <v>393</v>
      </c>
      <c r="M47" s="148">
        <v>18</v>
      </c>
      <c r="N47" s="149">
        <v>44000</v>
      </c>
      <c r="O47" s="149">
        <v>792000</v>
      </c>
      <c r="P47" s="93"/>
      <c r="Q47" s="93"/>
    </row>
    <row r="48" spans="1:17" x14ac:dyDescent="0.25">
      <c r="A48" s="93"/>
      <c r="B48" s="109"/>
      <c r="C48" s="109"/>
      <c r="D48" s="109"/>
      <c r="E48" s="109"/>
      <c r="F48" s="109"/>
      <c r="G48" s="109"/>
      <c r="H48" s="109"/>
      <c r="I48" s="122">
        <v>5</v>
      </c>
      <c r="J48" s="123" t="s">
        <v>385</v>
      </c>
      <c r="K48" s="123" t="s">
        <v>64</v>
      </c>
      <c r="L48" s="123" t="s">
        <v>394</v>
      </c>
      <c r="M48" s="125">
        <v>20.239999999999998</v>
      </c>
      <c r="N48" s="149">
        <v>25900</v>
      </c>
      <c r="O48" s="149">
        <v>524216</v>
      </c>
      <c r="P48" s="93"/>
      <c r="Q48" s="93"/>
    </row>
    <row r="49" spans="1:17" x14ac:dyDescent="0.25">
      <c r="A49" s="93"/>
      <c r="B49" s="110"/>
      <c r="C49" s="110"/>
      <c r="D49" s="111"/>
      <c r="E49" s="111"/>
      <c r="F49" s="112"/>
      <c r="G49" s="113"/>
      <c r="H49" s="113"/>
      <c r="I49" s="122">
        <v>5</v>
      </c>
      <c r="J49" s="123" t="s">
        <v>385</v>
      </c>
      <c r="K49" s="123" t="s">
        <v>68</v>
      </c>
      <c r="L49" s="123" t="s">
        <v>395</v>
      </c>
      <c r="M49" s="148">
        <v>9</v>
      </c>
      <c r="N49" s="149">
        <v>34500</v>
      </c>
      <c r="O49" s="149">
        <v>310500</v>
      </c>
      <c r="P49" s="93"/>
      <c r="Q49" s="93"/>
    </row>
    <row r="50" spans="1:17" x14ac:dyDescent="0.25">
      <c r="A50" s="93"/>
      <c r="B50" s="110"/>
      <c r="C50" s="110"/>
      <c r="D50" s="111"/>
      <c r="E50" s="111"/>
      <c r="F50" s="112"/>
      <c r="G50" s="113"/>
      <c r="H50" s="113"/>
      <c r="I50" s="122">
        <v>5</v>
      </c>
      <c r="J50" s="123" t="s">
        <v>385</v>
      </c>
      <c r="K50" s="123" t="s">
        <v>62</v>
      </c>
      <c r="L50" s="123" t="s">
        <v>396</v>
      </c>
      <c r="M50" s="125">
        <v>150.9</v>
      </c>
      <c r="N50" s="149">
        <v>21900</v>
      </c>
      <c r="O50" s="149">
        <v>3304710</v>
      </c>
      <c r="P50" s="93"/>
      <c r="Q50" s="93"/>
    </row>
    <row r="51" spans="1:17" x14ac:dyDescent="0.25">
      <c r="A51" s="93"/>
      <c r="B51" s="110"/>
      <c r="C51" s="110"/>
      <c r="D51" s="111"/>
      <c r="E51" s="111"/>
      <c r="F51" s="112"/>
      <c r="G51" s="113"/>
      <c r="H51" s="113"/>
      <c r="I51" s="237" t="s">
        <v>397</v>
      </c>
      <c r="J51" s="238"/>
      <c r="K51" s="238"/>
      <c r="L51" s="239"/>
      <c r="M51" s="126">
        <f>SUM(M43:M50)</f>
        <v>296.14999999999998</v>
      </c>
      <c r="N51" s="150">
        <f>IF(M51&gt;0, O51/M51, 0)</f>
        <v>24818.436603072769</v>
      </c>
      <c r="O51" s="150">
        <f>SUM(O43:O50)</f>
        <v>7349980</v>
      </c>
      <c r="P51" s="93"/>
      <c r="Q51" s="93"/>
    </row>
    <row r="52" spans="1:17" x14ac:dyDescent="0.25">
      <c r="A52" s="93"/>
      <c r="B52" s="110"/>
      <c r="C52" s="110"/>
      <c r="D52" s="111"/>
      <c r="E52" s="111"/>
      <c r="F52" s="112"/>
      <c r="G52" s="113"/>
      <c r="H52" s="113"/>
      <c r="I52" s="122">
        <v>7</v>
      </c>
      <c r="J52" s="123" t="s">
        <v>398</v>
      </c>
      <c r="K52" s="123" t="s">
        <v>353</v>
      </c>
      <c r="L52" s="123" t="s">
        <v>399</v>
      </c>
      <c r="M52" s="125">
        <v>3.39</v>
      </c>
      <c r="N52" s="149">
        <v>17500</v>
      </c>
      <c r="O52" s="149">
        <v>59325</v>
      </c>
      <c r="P52" s="93"/>
      <c r="Q52" s="93"/>
    </row>
    <row r="53" spans="1:17" x14ac:dyDescent="0.25">
      <c r="A53" s="93"/>
      <c r="B53" s="110"/>
      <c r="C53" s="110"/>
      <c r="D53" s="111"/>
      <c r="E53" s="111"/>
      <c r="F53" s="112"/>
      <c r="G53" s="113"/>
      <c r="H53" s="113"/>
      <c r="I53" s="122">
        <v>7</v>
      </c>
      <c r="J53" s="123" t="s">
        <v>400</v>
      </c>
      <c r="K53" s="123" t="s">
        <v>401</v>
      </c>
      <c r="L53" s="123" t="s">
        <v>402</v>
      </c>
      <c r="M53" s="125">
        <v>3.32</v>
      </c>
      <c r="N53" s="149">
        <v>8974.59</v>
      </c>
      <c r="O53" s="149">
        <v>29795.64</v>
      </c>
      <c r="P53" s="93"/>
      <c r="Q53" s="93"/>
    </row>
    <row r="54" spans="1:17" x14ac:dyDescent="0.25">
      <c r="A54" s="93"/>
      <c r="B54" s="110"/>
      <c r="C54" s="110"/>
      <c r="D54" s="111"/>
      <c r="E54" s="111"/>
      <c r="F54" s="112"/>
      <c r="G54" s="113"/>
      <c r="H54" s="113"/>
      <c r="I54" s="122">
        <v>7</v>
      </c>
      <c r="J54" s="123" t="s">
        <v>403</v>
      </c>
      <c r="K54" s="123" t="s">
        <v>379</v>
      </c>
      <c r="L54" s="123" t="s">
        <v>404</v>
      </c>
      <c r="M54" s="148">
        <v>1</v>
      </c>
      <c r="N54" s="149">
        <v>130000</v>
      </c>
      <c r="O54" s="149">
        <v>130000</v>
      </c>
      <c r="P54" s="93"/>
      <c r="Q54" s="93"/>
    </row>
    <row r="55" spans="1:17" x14ac:dyDescent="0.25">
      <c r="A55" s="93"/>
      <c r="B55" s="110"/>
      <c r="C55" s="110"/>
      <c r="D55" s="111"/>
      <c r="E55" s="111"/>
      <c r="F55" s="112"/>
      <c r="G55" s="113"/>
      <c r="H55" s="113"/>
      <c r="I55" s="122">
        <v>7</v>
      </c>
      <c r="J55" s="123" t="s">
        <v>405</v>
      </c>
      <c r="K55" s="123" t="s">
        <v>406</v>
      </c>
      <c r="L55" s="123" t="s">
        <v>407</v>
      </c>
      <c r="M55" s="125">
        <v>5.5919999999999996</v>
      </c>
      <c r="N55" s="149">
        <v>26900</v>
      </c>
      <c r="O55" s="149">
        <v>150425</v>
      </c>
      <c r="P55" s="93"/>
      <c r="Q55" s="93"/>
    </row>
    <row r="56" spans="1:17" x14ac:dyDescent="0.25">
      <c r="A56" s="93"/>
      <c r="B56" s="110"/>
      <c r="C56" s="110"/>
      <c r="D56" s="111"/>
      <c r="E56" s="111"/>
      <c r="F56" s="112"/>
      <c r="G56" s="113"/>
      <c r="H56" s="113"/>
      <c r="I56" s="122">
        <v>7</v>
      </c>
      <c r="J56" s="123" t="s">
        <v>398</v>
      </c>
      <c r="K56" s="123" t="s">
        <v>408</v>
      </c>
      <c r="L56" s="123" t="s">
        <v>409</v>
      </c>
      <c r="M56" s="148">
        <v>2</v>
      </c>
      <c r="N56" s="149">
        <v>10600</v>
      </c>
      <c r="O56" s="149">
        <v>21200</v>
      </c>
      <c r="P56" s="93"/>
      <c r="Q56" s="93"/>
    </row>
    <row r="57" spans="1:17" x14ac:dyDescent="0.25">
      <c r="A57" s="93"/>
      <c r="B57" s="110"/>
      <c r="C57" s="110"/>
      <c r="D57" s="111"/>
      <c r="E57" s="111"/>
      <c r="F57" s="112"/>
      <c r="G57" s="113"/>
      <c r="H57" s="113"/>
      <c r="I57" s="122">
        <v>7</v>
      </c>
      <c r="J57" s="123" t="s">
        <v>400</v>
      </c>
      <c r="K57" s="123" t="s">
        <v>344</v>
      </c>
      <c r="L57" s="123" t="s">
        <v>410</v>
      </c>
      <c r="M57" s="125">
        <v>3.93</v>
      </c>
      <c r="N57" s="149">
        <v>7984.07</v>
      </c>
      <c r="O57" s="149">
        <v>31377.4</v>
      </c>
      <c r="P57" s="93"/>
      <c r="Q57" s="93"/>
    </row>
    <row r="58" spans="1:17" x14ac:dyDescent="0.25">
      <c r="A58" s="93"/>
      <c r="B58" s="110"/>
      <c r="C58" s="110"/>
      <c r="D58" s="111"/>
      <c r="E58" s="111"/>
      <c r="F58" s="112"/>
      <c r="G58" s="113"/>
      <c r="H58" s="113"/>
      <c r="I58" s="122">
        <v>7</v>
      </c>
      <c r="J58" s="123" t="s">
        <v>405</v>
      </c>
      <c r="K58" s="123" t="s">
        <v>64</v>
      </c>
      <c r="L58" s="123" t="s">
        <v>411</v>
      </c>
      <c r="M58" s="125">
        <v>21.61</v>
      </c>
      <c r="N58" s="149">
        <v>25900</v>
      </c>
      <c r="O58" s="149">
        <v>559699</v>
      </c>
      <c r="P58" s="93"/>
      <c r="Q58" s="93"/>
    </row>
    <row r="59" spans="1:17" x14ac:dyDescent="0.25">
      <c r="A59" s="93"/>
      <c r="B59" s="110"/>
      <c r="C59" s="110"/>
      <c r="D59" s="111"/>
      <c r="E59" s="111"/>
      <c r="F59" s="112"/>
      <c r="G59" s="113"/>
      <c r="H59" s="113"/>
      <c r="I59" s="122">
        <v>7</v>
      </c>
      <c r="J59" s="123" t="s">
        <v>405</v>
      </c>
      <c r="K59" s="123" t="s">
        <v>68</v>
      </c>
      <c r="L59" s="123" t="s">
        <v>412</v>
      </c>
      <c r="M59" s="125">
        <v>20.565000000000001</v>
      </c>
      <c r="N59" s="149">
        <v>34500</v>
      </c>
      <c r="O59" s="149">
        <v>709493</v>
      </c>
      <c r="P59" s="93"/>
      <c r="Q59" s="93"/>
    </row>
    <row r="60" spans="1:17" x14ac:dyDescent="0.25">
      <c r="A60" s="93"/>
      <c r="B60" s="114"/>
      <c r="C60" s="93"/>
      <c r="D60" s="93"/>
      <c r="E60" s="93"/>
      <c r="F60" s="115"/>
      <c r="G60" s="116"/>
      <c r="H60" s="116"/>
      <c r="I60" s="122">
        <v>7</v>
      </c>
      <c r="J60" s="123" t="s">
        <v>144</v>
      </c>
      <c r="K60" s="123" t="s">
        <v>413</v>
      </c>
      <c r="L60" s="123" t="s">
        <v>414</v>
      </c>
      <c r="M60" s="125">
        <v>38.6</v>
      </c>
      <c r="N60" s="149">
        <v>11500</v>
      </c>
      <c r="O60" s="149">
        <v>443900</v>
      </c>
      <c r="P60" s="93"/>
      <c r="Q60" s="93"/>
    </row>
    <row r="61" spans="1:17" x14ac:dyDescent="0.25">
      <c r="A61" s="93"/>
      <c r="B61" s="110"/>
      <c r="C61" s="110"/>
      <c r="D61" s="111"/>
      <c r="E61" s="111"/>
      <c r="F61" s="112"/>
      <c r="G61" s="113"/>
      <c r="H61" s="113"/>
      <c r="I61" s="237" t="s">
        <v>415</v>
      </c>
      <c r="J61" s="238"/>
      <c r="K61" s="238"/>
      <c r="L61" s="239"/>
      <c r="M61" s="126">
        <f>SUM(M52:M60)</f>
        <v>100.00700000000001</v>
      </c>
      <c r="N61" s="150">
        <f>IF(M61&gt;0, O61/M61, 0)</f>
        <v>21350.655854090212</v>
      </c>
      <c r="O61" s="150">
        <f>SUM(O52:O60)</f>
        <v>2135215.04</v>
      </c>
      <c r="P61" s="93"/>
      <c r="Q61" s="93"/>
    </row>
    <row r="62" spans="1:17" x14ac:dyDescent="0.25">
      <c r="A62" s="93"/>
      <c r="B62" s="110"/>
      <c r="C62" s="110"/>
      <c r="D62" s="111"/>
      <c r="E62" s="111"/>
      <c r="F62" s="112"/>
      <c r="G62" s="113"/>
      <c r="H62" s="113"/>
      <c r="I62" s="122">
        <v>8</v>
      </c>
      <c r="J62" s="123" t="s">
        <v>416</v>
      </c>
      <c r="K62" s="123" t="s">
        <v>357</v>
      </c>
      <c r="L62" s="123" t="s">
        <v>417</v>
      </c>
      <c r="M62" s="148">
        <v>5</v>
      </c>
      <c r="N62" s="149">
        <v>33000</v>
      </c>
      <c r="O62" s="149">
        <v>165000</v>
      </c>
      <c r="P62" s="93"/>
      <c r="Q62" s="93"/>
    </row>
    <row r="63" spans="1:17" x14ac:dyDescent="0.25">
      <c r="A63" s="93"/>
      <c r="B63" s="114"/>
      <c r="C63" s="93"/>
      <c r="D63" s="93"/>
      <c r="E63" s="93"/>
      <c r="F63" s="115"/>
      <c r="G63" s="116"/>
      <c r="H63" s="116"/>
      <c r="I63" s="122">
        <v>8</v>
      </c>
      <c r="J63" s="123" t="s">
        <v>418</v>
      </c>
      <c r="K63" s="123" t="s">
        <v>76</v>
      </c>
      <c r="L63" s="123" t="s">
        <v>419</v>
      </c>
      <c r="M63" s="125">
        <v>14.1</v>
      </c>
      <c r="N63" s="149">
        <v>18500</v>
      </c>
      <c r="O63" s="149">
        <v>260850</v>
      </c>
      <c r="P63" s="93"/>
      <c r="Q63" s="93"/>
    </row>
    <row r="64" spans="1:17" x14ac:dyDescent="0.25">
      <c r="A64" s="93"/>
      <c r="B64" s="110"/>
      <c r="C64" s="110"/>
      <c r="D64" s="111"/>
      <c r="E64" s="111"/>
      <c r="F64" s="112"/>
      <c r="G64" s="113"/>
      <c r="H64" s="113"/>
      <c r="I64" s="122">
        <v>8</v>
      </c>
      <c r="J64" s="123" t="s">
        <v>418</v>
      </c>
      <c r="K64" s="123" t="s">
        <v>70</v>
      </c>
      <c r="L64" s="123" t="s">
        <v>420</v>
      </c>
      <c r="M64" s="125">
        <v>13.6</v>
      </c>
      <c r="N64" s="149">
        <v>19500</v>
      </c>
      <c r="O64" s="149">
        <v>265200</v>
      </c>
      <c r="P64" s="93"/>
      <c r="Q64" s="93"/>
    </row>
    <row r="65" spans="1:17" x14ac:dyDescent="0.25">
      <c r="A65" s="93"/>
      <c r="B65" s="110"/>
      <c r="C65" s="110"/>
      <c r="D65" s="111"/>
      <c r="E65" s="111"/>
      <c r="F65" s="112"/>
      <c r="G65" s="113"/>
      <c r="H65" s="113"/>
      <c r="I65" s="122">
        <v>8</v>
      </c>
      <c r="J65" s="123" t="s">
        <v>418</v>
      </c>
      <c r="K65" s="123" t="s">
        <v>72</v>
      </c>
      <c r="L65" s="123" t="s">
        <v>421</v>
      </c>
      <c r="M65" s="125">
        <v>14.9</v>
      </c>
      <c r="N65" s="149">
        <v>7500</v>
      </c>
      <c r="O65" s="149">
        <v>111750</v>
      </c>
      <c r="P65" s="93"/>
      <c r="Q65" s="93"/>
    </row>
    <row r="66" spans="1:17" x14ac:dyDescent="0.25">
      <c r="A66" s="93"/>
      <c r="B66" s="110"/>
      <c r="C66" s="110"/>
      <c r="D66" s="111"/>
      <c r="E66" s="111"/>
      <c r="F66" s="112"/>
      <c r="G66" s="113"/>
      <c r="H66" s="113"/>
      <c r="I66" s="122">
        <v>8</v>
      </c>
      <c r="J66" s="123" t="s">
        <v>416</v>
      </c>
      <c r="K66" s="123" t="s">
        <v>344</v>
      </c>
      <c r="L66" s="123" t="s">
        <v>422</v>
      </c>
      <c r="M66" s="125">
        <v>8.65</v>
      </c>
      <c r="N66" s="149">
        <v>7000</v>
      </c>
      <c r="O66" s="149">
        <v>60550</v>
      </c>
      <c r="P66" s="93"/>
      <c r="Q66" s="93"/>
    </row>
    <row r="67" spans="1:17" x14ac:dyDescent="0.25">
      <c r="A67" s="93"/>
      <c r="B67" s="110"/>
      <c r="C67" s="110"/>
      <c r="D67" s="111"/>
      <c r="E67" s="111"/>
      <c r="F67" s="112"/>
      <c r="G67" s="113"/>
      <c r="H67" s="113"/>
      <c r="I67" s="237" t="s">
        <v>423</v>
      </c>
      <c r="J67" s="238"/>
      <c r="K67" s="238"/>
      <c r="L67" s="239"/>
      <c r="M67" s="126">
        <f>SUM(M62:M66)</f>
        <v>56.25</v>
      </c>
      <c r="N67" s="150">
        <f>IF(M67&gt;0, O67/M67, 0)</f>
        <v>15348.444444444445</v>
      </c>
      <c r="O67" s="150">
        <f>SUM(O62:O66)</f>
        <v>863350</v>
      </c>
      <c r="P67" s="93"/>
      <c r="Q67" s="93"/>
    </row>
    <row r="68" spans="1:17" x14ac:dyDescent="0.25">
      <c r="A68" s="93"/>
      <c r="B68" s="110"/>
      <c r="C68" s="110"/>
      <c r="D68" s="111"/>
      <c r="E68" s="111"/>
      <c r="F68" s="112"/>
      <c r="G68" s="113"/>
      <c r="H68" s="113"/>
      <c r="I68" s="122">
        <v>9</v>
      </c>
      <c r="J68" s="123" t="s">
        <v>424</v>
      </c>
      <c r="K68" s="123" t="s">
        <v>322</v>
      </c>
      <c r="L68" s="123" t="s">
        <v>425</v>
      </c>
      <c r="M68" s="148">
        <v>20</v>
      </c>
      <c r="N68" s="149">
        <v>16500</v>
      </c>
      <c r="O68" s="149">
        <v>330000</v>
      </c>
      <c r="P68" s="93"/>
      <c r="Q68" s="93"/>
    </row>
    <row r="69" spans="1:17" x14ac:dyDescent="0.25">
      <c r="A69" s="93"/>
      <c r="B69" s="110"/>
      <c r="C69" s="110"/>
      <c r="D69" s="111"/>
      <c r="E69" s="111"/>
      <c r="F69" s="112"/>
      <c r="G69" s="113"/>
      <c r="H69" s="113"/>
      <c r="I69" s="122">
        <v>9</v>
      </c>
      <c r="J69" s="123" t="s">
        <v>426</v>
      </c>
      <c r="K69" s="123" t="s">
        <v>78</v>
      </c>
      <c r="L69" s="123" t="s">
        <v>427</v>
      </c>
      <c r="M69" s="125">
        <v>20.2</v>
      </c>
      <c r="N69" s="149">
        <v>22900</v>
      </c>
      <c r="O69" s="149">
        <v>462580</v>
      </c>
      <c r="P69" s="93"/>
      <c r="Q69" s="93"/>
    </row>
    <row r="70" spans="1:17" x14ac:dyDescent="0.25">
      <c r="A70" s="93"/>
      <c r="B70" s="114"/>
      <c r="C70" s="93"/>
      <c r="D70" s="93"/>
      <c r="E70" s="93"/>
      <c r="F70" s="115"/>
      <c r="G70" s="116"/>
      <c r="H70" s="116"/>
      <c r="I70" s="122">
        <v>9</v>
      </c>
      <c r="J70" s="123" t="s">
        <v>426</v>
      </c>
      <c r="K70" s="123" t="s">
        <v>325</v>
      </c>
      <c r="L70" s="123" t="s">
        <v>428</v>
      </c>
      <c r="M70" s="125">
        <v>28.6</v>
      </c>
      <c r="N70" s="149">
        <v>15900</v>
      </c>
      <c r="O70" s="149">
        <v>454740</v>
      </c>
      <c r="P70" s="93"/>
      <c r="Q70" s="93"/>
    </row>
    <row r="71" spans="1:17" ht="15.75" customHeight="1" thickBot="1" x14ac:dyDescent="0.3">
      <c r="A71" s="93"/>
      <c r="B71" s="110"/>
      <c r="C71" s="110"/>
      <c r="D71" s="111"/>
      <c r="E71" s="111"/>
      <c r="F71" s="112"/>
      <c r="G71" s="113"/>
      <c r="H71" s="113"/>
      <c r="I71" s="122">
        <v>9</v>
      </c>
      <c r="J71" s="123" t="s">
        <v>429</v>
      </c>
      <c r="K71" s="123" t="s">
        <v>76</v>
      </c>
      <c r="L71" s="123" t="s">
        <v>430</v>
      </c>
      <c r="M71" s="125">
        <v>13.6</v>
      </c>
      <c r="N71" s="149">
        <v>18500</v>
      </c>
      <c r="O71" s="149">
        <v>251600</v>
      </c>
      <c r="P71" s="93"/>
      <c r="Q71" s="93"/>
    </row>
    <row r="72" spans="1:17" x14ac:dyDescent="0.25">
      <c r="I72" s="122">
        <v>9</v>
      </c>
      <c r="J72" s="123" t="s">
        <v>426</v>
      </c>
      <c r="K72" s="123" t="s">
        <v>74</v>
      </c>
      <c r="L72" s="123" t="s">
        <v>431</v>
      </c>
      <c r="M72" s="125">
        <v>24.7</v>
      </c>
      <c r="N72" s="149">
        <v>23900</v>
      </c>
      <c r="O72" s="149">
        <v>590330</v>
      </c>
    </row>
    <row r="73" spans="1:17" x14ac:dyDescent="0.25">
      <c r="I73" s="122">
        <v>9</v>
      </c>
      <c r="J73" s="123" t="s">
        <v>432</v>
      </c>
      <c r="K73" s="123" t="s">
        <v>70</v>
      </c>
      <c r="L73" s="123" t="s">
        <v>433</v>
      </c>
      <c r="M73" s="125">
        <v>27.9</v>
      </c>
      <c r="N73" s="149">
        <v>18500</v>
      </c>
      <c r="O73" s="149">
        <v>516150</v>
      </c>
    </row>
    <row r="74" spans="1:17" x14ac:dyDescent="0.25">
      <c r="I74" s="122">
        <v>9</v>
      </c>
      <c r="J74" s="123" t="s">
        <v>429</v>
      </c>
      <c r="K74" s="123" t="s">
        <v>72</v>
      </c>
      <c r="L74" s="123" t="s">
        <v>434</v>
      </c>
      <c r="M74" s="125">
        <v>43.4</v>
      </c>
      <c r="N74" s="149">
        <v>7500</v>
      </c>
      <c r="O74" s="149">
        <v>325500</v>
      </c>
    </row>
    <row r="75" spans="1:17" x14ac:dyDescent="0.25">
      <c r="I75" s="122">
        <v>9</v>
      </c>
      <c r="J75" s="123" t="s">
        <v>426</v>
      </c>
      <c r="K75" s="123" t="s">
        <v>64</v>
      </c>
      <c r="L75" s="123" t="s">
        <v>435</v>
      </c>
      <c r="M75" s="125">
        <v>22.18</v>
      </c>
      <c r="N75" s="149">
        <v>25900</v>
      </c>
      <c r="O75" s="149">
        <v>574462</v>
      </c>
    </row>
    <row r="76" spans="1:17" x14ac:dyDescent="0.25">
      <c r="I76" s="122">
        <v>9</v>
      </c>
      <c r="J76" s="123" t="s">
        <v>426</v>
      </c>
      <c r="K76" s="123" t="s">
        <v>62</v>
      </c>
      <c r="L76" s="123" t="s">
        <v>436</v>
      </c>
      <c r="M76" s="125">
        <v>68.7</v>
      </c>
      <c r="N76" s="149">
        <v>21900</v>
      </c>
      <c r="O76" s="149">
        <v>1504530</v>
      </c>
    </row>
    <row r="77" spans="1:17" x14ac:dyDescent="0.25">
      <c r="I77" s="122">
        <v>9</v>
      </c>
      <c r="J77" s="123" t="s">
        <v>426</v>
      </c>
      <c r="K77" s="123" t="s">
        <v>437</v>
      </c>
      <c r="L77" s="123" t="s">
        <v>438</v>
      </c>
      <c r="M77" s="125">
        <v>17.260000000000002</v>
      </c>
      <c r="N77" s="149">
        <v>11500</v>
      </c>
      <c r="O77" s="149">
        <v>198490</v>
      </c>
    </row>
    <row r="78" spans="1:17" x14ac:dyDescent="0.25">
      <c r="I78" s="122">
        <v>9</v>
      </c>
      <c r="J78" s="123" t="s">
        <v>188</v>
      </c>
      <c r="K78" s="123" t="s">
        <v>413</v>
      </c>
      <c r="L78" s="123" t="s">
        <v>439</v>
      </c>
      <c r="M78" s="125">
        <v>38.4</v>
      </c>
      <c r="N78" s="149">
        <v>11000</v>
      </c>
      <c r="O78" s="149">
        <v>422400</v>
      </c>
    </row>
    <row r="79" spans="1:17" x14ac:dyDescent="0.25">
      <c r="I79" s="237" t="s">
        <v>440</v>
      </c>
      <c r="J79" s="238"/>
      <c r="K79" s="238"/>
      <c r="L79" s="239"/>
      <c r="M79" s="126">
        <f>SUM(M68:M78)</f>
        <v>324.94</v>
      </c>
      <c r="N79" s="150">
        <f>IF(M79&gt;0, O79/M79, 0)</f>
        <v>17328.682218255679</v>
      </c>
      <c r="O79" s="150">
        <f>SUM(O68:O78)</f>
        <v>5630782</v>
      </c>
    </row>
    <row r="80" spans="1:17" x14ac:dyDescent="0.25">
      <c r="I80" s="122">
        <v>10</v>
      </c>
      <c r="J80" s="123" t="s">
        <v>441</v>
      </c>
      <c r="K80" s="123" t="s">
        <v>72</v>
      </c>
      <c r="L80" s="123" t="s">
        <v>442</v>
      </c>
      <c r="M80" s="125">
        <v>87.3</v>
      </c>
      <c r="N80" s="149">
        <v>7500</v>
      </c>
      <c r="O80" s="149">
        <v>654750</v>
      </c>
    </row>
    <row r="81" spans="9:15" x14ac:dyDescent="0.25">
      <c r="I81" s="122">
        <v>10</v>
      </c>
      <c r="J81" s="123" t="s">
        <v>443</v>
      </c>
      <c r="K81" s="123" t="s">
        <v>70</v>
      </c>
      <c r="L81" s="123" t="s">
        <v>444</v>
      </c>
      <c r="M81" s="125">
        <v>16.149999999999999</v>
      </c>
      <c r="N81" s="149">
        <v>18500</v>
      </c>
      <c r="O81" s="149">
        <v>298775</v>
      </c>
    </row>
    <row r="82" spans="9:15" x14ac:dyDescent="0.25">
      <c r="I82" s="122">
        <v>10</v>
      </c>
      <c r="J82" s="123" t="s">
        <v>443</v>
      </c>
      <c r="K82" s="123" t="s">
        <v>367</v>
      </c>
      <c r="L82" s="123" t="s">
        <v>445</v>
      </c>
      <c r="M82" s="125">
        <v>4.9050000000000002</v>
      </c>
      <c r="N82" s="149">
        <v>54000</v>
      </c>
      <c r="O82" s="149">
        <v>264870</v>
      </c>
    </row>
    <row r="83" spans="9:15" x14ac:dyDescent="0.25">
      <c r="I83" s="122">
        <v>10</v>
      </c>
      <c r="J83" s="123" t="s">
        <v>446</v>
      </c>
      <c r="K83" s="123" t="s">
        <v>408</v>
      </c>
      <c r="L83" s="123" t="s">
        <v>447</v>
      </c>
      <c r="M83" s="148">
        <v>1</v>
      </c>
      <c r="N83" s="149">
        <v>8950</v>
      </c>
      <c r="O83" s="149">
        <v>8950</v>
      </c>
    </row>
    <row r="84" spans="9:15" x14ac:dyDescent="0.25">
      <c r="I84" s="122">
        <v>10</v>
      </c>
      <c r="J84" s="123" t="s">
        <v>184</v>
      </c>
      <c r="K84" s="123" t="s">
        <v>370</v>
      </c>
      <c r="L84" s="123" t="s">
        <v>448</v>
      </c>
      <c r="M84" s="148">
        <v>1</v>
      </c>
      <c r="N84" s="149">
        <v>18000</v>
      </c>
      <c r="O84" s="149">
        <v>18000</v>
      </c>
    </row>
    <row r="85" spans="9:15" x14ac:dyDescent="0.25">
      <c r="I85" s="122">
        <v>10</v>
      </c>
      <c r="J85" s="123" t="s">
        <v>184</v>
      </c>
      <c r="K85" s="123" t="s">
        <v>449</v>
      </c>
      <c r="L85" s="123" t="s">
        <v>450</v>
      </c>
      <c r="M85" s="148">
        <v>1</v>
      </c>
      <c r="N85" s="149">
        <v>5000</v>
      </c>
      <c r="O85" s="149">
        <v>5000</v>
      </c>
    </row>
    <row r="86" spans="9:15" x14ac:dyDescent="0.25">
      <c r="I86" s="237" t="s">
        <v>451</v>
      </c>
      <c r="J86" s="238"/>
      <c r="K86" s="238"/>
      <c r="L86" s="239"/>
      <c r="M86" s="126">
        <f>SUM(M80:M85)</f>
        <v>111.35499999999999</v>
      </c>
      <c r="N86" s="150">
        <f>IF(M86&gt;0, O86/M86, 0)</f>
        <v>11228.458533518928</v>
      </c>
      <c r="O86" s="150">
        <f>SUM(O80:O85)</f>
        <v>1250345</v>
      </c>
    </row>
    <row r="87" spans="9:15" ht="18.95" customHeight="1" x14ac:dyDescent="0.25">
      <c r="I87" s="197">
        <v>11</v>
      </c>
      <c r="J87" s="178" t="s">
        <v>113</v>
      </c>
      <c r="K87" s="179" t="s">
        <v>166</v>
      </c>
      <c r="L87" s="179" t="s">
        <v>452</v>
      </c>
      <c r="M87" s="198">
        <v>1</v>
      </c>
      <c r="N87" s="199">
        <v>364000</v>
      </c>
      <c r="O87" s="199">
        <v>364000</v>
      </c>
    </row>
    <row r="88" spans="9:15" ht="18.95" customHeight="1" x14ac:dyDescent="0.25">
      <c r="I88" s="178">
        <v>11</v>
      </c>
      <c r="J88" s="178" t="s">
        <v>113</v>
      </c>
      <c r="K88" s="179" t="s">
        <v>166</v>
      </c>
      <c r="L88" s="179" t="s">
        <v>453</v>
      </c>
      <c r="M88" s="200">
        <v>1</v>
      </c>
      <c r="N88" s="180">
        <v>364000</v>
      </c>
      <c r="O88" s="180">
        <v>364000</v>
      </c>
    </row>
    <row r="89" spans="9:15" ht="18.95" customHeight="1" x14ac:dyDescent="0.25">
      <c r="I89" s="178">
        <v>11</v>
      </c>
      <c r="J89" s="178" t="s">
        <v>113</v>
      </c>
      <c r="K89" s="179" t="s">
        <v>175</v>
      </c>
      <c r="L89" s="179" t="s">
        <v>454</v>
      </c>
      <c r="M89" s="200">
        <v>1</v>
      </c>
      <c r="N89" s="180">
        <v>1124100</v>
      </c>
      <c r="O89" s="180">
        <v>1124100</v>
      </c>
    </row>
    <row r="90" spans="9:15" ht="18.95" customHeight="1" x14ac:dyDescent="0.25">
      <c r="I90" s="201">
        <v>11</v>
      </c>
      <c r="J90" s="178" t="s">
        <v>113</v>
      </c>
      <c r="K90" s="179" t="s">
        <v>166</v>
      </c>
      <c r="L90" s="179" t="s">
        <v>455</v>
      </c>
      <c r="M90" s="202">
        <v>2</v>
      </c>
      <c r="N90" s="203">
        <v>364000</v>
      </c>
      <c r="O90" s="203">
        <v>728000</v>
      </c>
    </row>
    <row r="91" spans="9:15" ht="20.100000000000001" customHeight="1" x14ac:dyDescent="0.25">
      <c r="I91" s="241" t="s">
        <v>456</v>
      </c>
      <c r="J91" s="242"/>
      <c r="K91" s="242"/>
      <c r="L91" s="242"/>
      <c r="M91" s="204">
        <f>SUM(M87:M90)</f>
        <v>5</v>
      </c>
      <c r="N91" s="205">
        <f>IF(M91&gt;0, O91/M91, 0)</f>
        <v>516020</v>
      </c>
      <c r="O91" s="205">
        <f>SUM(O87:O90)</f>
        <v>2580100</v>
      </c>
    </row>
    <row r="92" spans="9:15" ht="21.95" customHeight="1" x14ac:dyDescent="0.25">
      <c r="I92" s="235" t="s">
        <v>457</v>
      </c>
      <c r="J92" s="236"/>
      <c r="K92" s="236"/>
      <c r="L92" s="236"/>
      <c r="M92" s="206">
        <f>M23+M28+M37+M42+M51+M61+M67+M79+M86+M91</f>
        <v>1326.771</v>
      </c>
      <c r="N92" s="207">
        <f>IF(M92&gt;0, O92/M92, 0)</f>
        <v>21863.76702535705</v>
      </c>
      <c r="O92" s="207">
        <f>O23+O28+O37+O42+O51+O61+O67+O79+O86+O91</f>
        <v>29008212.039999999</v>
      </c>
    </row>
    <row r="93" spans="9:15" x14ac:dyDescent="0.25">
      <c r="I93" s="127"/>
      <c r="J93" s="127"/>
      <c r="K93" s="127"/>
      <c r="L93" s="127"/>
      <c r="M93" s="127"/>
      <c r="N93" s="127"/>
      <c r="O93" s="127"/>
    </row>
    <row r="94" spans="9:15" x14ac:dyDescent="0.25">
      <c r="I94" s="127"/>
      <c r="J94" s="127"/>
      <c r="K94" s="127"/>
      <c r="L94" s="127"/>
      <c r="M94" s="127"/>
      <c r="N94" s="127"/>
      <c r="O94" s="127"/>
    </row>
    <row r="95" spans="9:15" x14ac:dyDescent="0.25">
      <c r="I95" s="127"/>
      <c r="J95" s="127"/>
      <c r="K95" s="127"/>
      <c r="L95" s="127"/>
      <c r="M95" s="127"/>
      <c r="N95" s="127"/>
      <c r="O95" s="127"/>
    </row>
    <row r="96" spans="9:15" x14ac:dyDescent="0.25">
      <c r="I96" s="127"/>
      <c r="J96" s="127"/>
      <c r="K96" s="127"/>
      <c r="L96" s="127"/>
      <c r="M96" s="127"/>
      <c r="N96" s="127"/>
      <c r="O96" s="127"/>
    </row>
    <row r="97" spans="9:15" x14ac:dyDescent="0.25">
      <c r="I97" s="127"/>
      <c r="J97" s="127"/>
      <c r="K97" s="127"/>
      <c r="L97" s="127"/>
      <c r="M97" s="127"/>
      <c r="N97" s="127"/>
      <c r="O97" s="127"/>
    </row>
    <row r="98" spans="9:15" x14ac:dyDescent="0.25">
      <c r="I98" s="127"/>
      <c r="J98" s="127"/>
      <c r="K98" s="127"/>
      <c r="L98" s="127"/>
      <c r="M98" s="127"/>
      <c r="N98" s="127"/>
      <c r="O98" s="127"/>
    </row>
    <row r="99" spans="9:15" x14ac:dyDescent="0.25">
      <c r="I99" s="127"/>
      <c r="J99" s="127"/>
      <c r="K99" s="127"/>
      <c r="L99" s="127"/>
      <c r="M99" s="127"/>
      <c r="N99" s="127"/>
      <c r="O99" s="127"/>
    </row>
    <row r="100" spans="9:15" x14ac:dyDescent="0.25">
      <c r="I100" s="127"/>
      <c r="J100" s="127"/>
      <c r="K100" s="127"/>
      <c r="L100" s="127"/>
      <c r="M100" s="127"/>
      <c r="N100" s="127"/>
      <c r="O100" s="127"/>
    </row>
    <row r="101" spans="9:15" x14ac:dyDescent="0.25">
      <c r="I101" s="127"/>
      <c r="J101" s="127"/>
      <c r="K101" s="127"/>
      <c r="L101" s="127"/>
      <c r="M101" s="127"/>
      <c r="N101" s="127"/>
      <c r="O101" s="127"/>
    </row>
    <row r="102" spans="9:15" x14ac:dyDescent="0.25">
      <c r="I102" s="127"/>
      <c r="J102" s="127"/>
      <c r="K102" s="127"/>
      <c r="L102" s="127"/>
      <c r="M102" s="127"/>
      <c r="N102" s="127"/>
      <c r="O102" s="127"/>
    </row>
    <row r="103" spans="9:15" x14ac:dyDescent="0.25">
      <c r="I103" s="127"/>
      <c r="J103" s="127"/>
      <c r="K103" s="127"/>
      <c r="L103" s="127"/>
      <c r="M103" s="127"/>
      <c r="N103" s="127"/>
      <c r="O103" s="127"/>
    </row>
    <row r="104" spans="9:15" x14ac:dyDescent="0.25">
      <c r="I104" s="127"/>
      <c r="J104" s="127"/>
      <c r="K104" s="127"/>
      <c r="L104" s="127"/>
      <c r="M104" s="127"/>
      <c r="N104" s="127"/>
      <c r="O104" s="127"/>
    </row>
    <row r="105" spans="9:15" x14ac:dyDescent="0.25">
      <c r="I105" s="127"/>
      <c r="J105" s="127"/>
      <c r="K105" s="127"/>
      <c r="L105" s="127"/>
      <c r="M105" s="127"/>
      <c r="N105" s="127"/>
      <c r="O105" s="127"/>
    </row>
    <row r="106" spans="9:15" x14ac:dyDescent="0.25">
      <c r="I106" s="127"/>
      <c r="J106" s="127"/>
      <c r="K106" s="127"/>
      <c r="L106" s="127"/>
      <c r="M106" s="127"/>
      <c r="N106" s="127"/>
      <c r="O106" s="127"/>
    </row>
    <row r="107" spans="9:15" x14ac:dyDescent="0.25">
      <c r="I107" s="127"/>
      <c r="J107" s="127"/>
      <c r="K107" s="127"/>
      <c r="L107" s="127"/>
      <c r="M107" s="127"/>
      <c r="N107" s="127"/>
      <c r="O107" s="127"/>
    </row>
    <row r="108" spans="9:15" x14ac:dyDescent="0.25">
      <c r="I108" s="127"/>
      <c r="J108" s="127"/>
      <c r="K108" s="127"/>
      <c r="L108" s="127"/>
      <c r="M108" s="127"/>
      <c r="N108" s="127"/>
      <c r="O108" s="127"/>
    </row>
    <row r="109" spans="9:15" x14ac:dyDescent="0.25">
      <c r="I109" s="127"/>
      <c r="J109" s="127"/>
      <c r="K109" s="127"/>
      <c r="L109" s="127"/>
      <c r="M109" s="127"/>
      <c r="N109" s="127"/>
      <c r="O109" s="127"/>
    </row>
    <row r="110" spans="9:15" x14ac:dyDescent="0.25">
      <c r="I110" s="127"/>
      <c r="J110" s="127"/>
      <c r="K110" s="127"/>
      <c r="L110" s="127"/>
      <c r="M110" s="127"/>
      <c r="N110" s="127"/>
      <c r="O110" s="127"/>
    </row>
    <row r="111" spans="9:15" x14ac:dyDescent="0.25">
      <c r="I111" s="127"/>
      <c r="J111" s="127"/>
      <c r="K111" s="127"/>
      <c r="L111" s="127"/>
      <c r="M111" s="127"/>
      <c r="N111" s="127"/>
      <c r="O111" s="127"/>
    </row>
    <row r="112" spans="9:15" x14ac:dyDescent="0.25">
      <c r="I112" s="127"/>
      <c r="J112" s="127"/>
      <c r="K112" s="127"/>
      <c r="L112" s="127"/>
      <c r="M112" s="127"/>
      <c r="N112" s="127"/>
      <c r="O112" s="127"/>
    </row>
    <row r="113" spans="9:15" x14ac:dyDescent="0.25">
      <c r="I113" s="127"/>
      <c r="J113" s="127"/>
      <c r="K113" s="127"/>
      <c r="L113" s="127"/>
      <c r="M113" s="127"/>
      <c r="N113" s="127"/>
      <c r="O113" s="127"/>
    </row>
    <row r="114" spans="9:15" x14ac:dyDescent="0.25">
      <c r="I114" s="127"/>
      <c r="J114" s="127"/>
      <c r="K114" s="127"/>
      <c r="L114" s="127"/>
      <c r="M114" s="127"/>
      <c r="N114" s="127"/>
      <c r="O114" s="127"/>
    </row>
    <row r="115" spans="9:15" x14ac:dyDescent="0.25">
      <c r="I115" s="127"/>
      <c r="J115" s="127"/>
      <c r="K115" s="127"/>
      <c r="L115" s="127"/>
      <c r="M115" s="127"/>
      <c r="N115" s="127"/>
      <c r="O115" s="127"/>
    </row>
    <row r="116" spans="9:15" x14ac:dyDescent="0.25">
      <c r="I116" s="127"/>
      <c r="J116" s="127"/>
      <c r="K116" s="127"/>
      <c r="L116" s="127"/>
      <c r="M116" s="127"/>
      <c r="N116" s="127"/>
      <c r="O116" s="127"/>
    </row>
    <row r="117" spans="9:15" x14ac:dyDescent="0.25">
      <c r="I117" s="127"/>
      <c r="J117" s="127"/>
      <c r="K117" s="127"/>
      <c r="L117" s="127"/>
      <c r="M117" s="127"/>
      <c r="N117" s="127"/>
      <c r="O117" s="127"/>
    </row>
    <row r="118" spans="9:15" x14ac:dyDescent="0.25">
      <c r="I118" s="127"/>
      <c r="J118" s="127"/>
      <c r="K118" s="127"/>
      <c r="L118" s="127"/>
      <c r="M118" s="127"/>
      <c r="N118" s="127"/>
      <c r="O118" s="127"/>
    </row>
    <row r="119" spans="9:15" x14ac:dyDescent="0.25">
      <c r="I119" s="127"/>
      <c r="J119" s="127"/>
      <c r="K119" s="127"/>
      <c r="L119" s="127"/>
      <c r="M119" s="127"/>
      <c r="N119" s="127"/>
      <c r="O119" s="127"/>
    </row>
  </sheetData>
  <mergeCells count="19">
    <mergeCell ref="B3:H3"/>
    <mergeCell ref="I61:L61"/>
    <mergeCell ref="I91:L91"/>
    <mergeCell ref="B2:H2"/>
    <mergeCell ref="I37:L37"/>
    <mergeCell ref="I28:L28"/>
    <mergeCell ref="B6:C6"/>
    <mergeCell ref="B5:C5"/>
    <mergeCell ref="D5:E5"/>
    <mergeCell ref="I8:O8"/>
    <mergeCell ref="I79:L79"/>
    <mergeCell ref="I51:L51"/>
    <mergeCell ref="B8:G8"/>
    <mergeCell ref="D6:E6"/>
    <mergeCell ref="I92:L92"/>
    <mergeCell ref="I67:L67"/>
    <mergeCell ref="I42:L42"/>
    <mergeCell ref="I23:L23"/>
    <mergeCell ref="I86:L8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99"/>
  <sheetViews>
    <sheetView topLeftCell="F1" workbookViewId="0">
      <selection activeCell="I1" sqref="I1"/>
    </sheetView>
  </sheetViews>
  <sheetFormatPr baseColWidth="10" defaultColWidth="8.7109375" defaultRowHeight="15" x14ac:dyDescent="0.25"/>
  <cols>
    <col min="1" max="1" width="4" style="165" customWidth="1"/>
    <col min="2" max="2" width="8" style="165" customWidth="1"/>
    <col min="3" max="3" width="20" style="165" customWidth="1"/>
    <col min="4" max="4" width="28" style="165" customWidth="1"/>
    <col min="5" max="5" width="38" style="165" customWidth="1"/>
    <col min="6" max="6" width="15.42578125" style="165" bestFit="1" customWidth="1"/>
    <col min="7" max="7" width="16" style="165" customWidth="1"/>
    <col min="8" max="8" width="18" style="165" customWidth="1"/>
    <col min="9" max="9" width="3.42578125" style="165" bestFit="1" customWidth="1"/>
    <col min="10" max="10" width="21.85546875" style="165" bestFit="1" customWidth="1"/>
    <col min="11" max="11" width="25.5703125" style="165" bestFit="1" customWidth="1"/>
    <col min="12" max="12" width="53" style="165" bestFit="1" customWidth="1"/>
    <col min="13" max="13" width="14" style="165" bestFit="1" customWidth="1"/>
    <col min="14" max="14" width="18.42578125" style="165" bestFit="1" customWidth="1"/>
    <col min="15" max="15" width="9.85546875" style="165" bestFit="1" customWidth="1"/>
    <col min="16" max="16" width="17.28515625" style="165" bestFit="1" customWidth="1"/>
    <col min="17" max="17" width="18.140625" style="165" bestFit="1" customWidth="1"/>
    <col min="18" max="18" width="16.85546875" style="165" bestFit="1" customWidth="1"/>
  </cols>
  <sheetData>
    <row r="2" spans="2:21" ht="27.95" customHeight="1" x14ac:dyDescent="0.25">
      <c r="B2" s="250" t="s">
        <v>458</v>
      </c>
      <c r="C2" s="212"/>
      <c r="D2" s="212"/>
      <c r="E2" s="212"/>
      <c r="F2" s="212"/>
      <c r="G2" s="212"/>
      <c r="H2" s="212"/>
    </row>
    <row r="3" spans="2:21" ht="18" customHeight="1" x14ac:dyDescent="0.25">
      <c r="B3" s="251" t="s">
        <v>459</v>
      </c>
      <c r="C3" s="212"/>
      <c r="D3" s="212"/>
      <c r="E3" s="212"/>
      <c r="F3" s="212"/>
      <c r="G3" s="212"/>
      <c r="H3" s="212"/>
    </row>
    <row r="5" spans="2:21" ht="18" customHeight="1" x14ac:dyDescent="0.25">
      <c r="B5" s="255" t="s">
        <v>460</v>
      </c>
      <c r="C5" s="245"/>
      <c r="D5" s="255" t="s">
        <v>461</v>
      </c>
      <c r="E5" s="245"/>
      <c r="F5" s="169" t="s">
        <v>462</v>
      </c>
      <c r="G5" s="169" t="s">
        <v>463</v>
      </c>
      <c r="H5" s="169" t="s">
        <v>308</v>
      </c>
    </row>
    <row r="6" spans="2:21" ht="24" customHeight="1" x14ac:dyDescent="0.25">
      <c r="B6" s="261">
        <f>SUMIFS('Detalle Compras Septiembre 2026'!$G:$G, 'Detalle Compras Septiembre 2026'!$B:$B, "Bebidas")</f>
        <v>2669500.0000000009</v>
      </c>
      <c r="C6" s="245"/>
      <c r="D6" s="260">
        <f>SUMIFS('Detalle Compras Septiembre 2026'!$E:$E, 'Detalle Compras Septiembre 2026'!$B:$B, "Bebidas")</f>
        <v>1076</v>
      </c>
      <c r="E6" s="245"/>
      <c r="F6" s="168">
        <f>IF(D6&gt;0, B6/D6, 0)</f>
        <v>2480.9479553903357</v>
      </c>
      <c r="G6" s="90">
        <f>COUNTIF('Detalle Compras Septiembre 2026'!$B:$B, "Bebidas")</f>
        <v>30</v>
      </c>
      <c r="H6" s="77">
        <f>IF(Dashboard!$E$58&gt;0, B6/Dashboard!$E$58, 0)</f>
        <v>4.5862343016232154E-2</v>
      </c>
    </row>
    <row r="8" spans="2:21" x14ac:dyDescent="0.25">
      <c r="B8" s="259" t="s">
        <v>464</v>
      </c>
      <c r="C8" s="212"/>
      <c r="D8" s="212"/>
      <c r="E8" s="212"/>
      <c r="F8" s="212"/>
      <c r="G8" s="212"/>
      <c r="I8" s="262" t="s">
        <v>465</v>
      </c>
      <c r="J8" s="212"/>
      <c r="K8" s="212"/>
      <c r="L8" s="212"/>
      <c r="M8" s="212"/>
      <c r="N8" s="212"/>
      <c r="O8" s="212"/>
      <c r="P8" s="212"/>
      <c r="Q8" s="212"/>
      <c r="R8" s="212"/>
      <c r="S8" s="93"/>
      <c r="T8" s="93"/>
      <c r="U8" s="93"/>
    </row>
    <row r="9" spans="2:21" ht="21.95" customHeight="1" x14ac:dyDescent="0.25">
      <c r="B9" s="78" t="s">
        <v>35</v>
      </c>
      <c r="C9" s="78" t="s">
        <v>311</v>
      </c>
      <c r="D9" s="78" t="s">
        <v>466</v>
      </c>
      <c r="E9" s="78" t="s">
        <v>467</v>
      </c>
      <c r="F9" s="78" t="s">
        <v>314</v>
      </c>
      <c r="G9" s="78" t="s">
        <v>468</v>
      </c>
      <c r="I9" s="100" t="s">
        <v>35</v>
      </c>
      <c r="J9" s="100" t="s">
        <v>315</v>
      </c>
      <c r="K9" s="100" t="s">
        <v>469</v>
      </c>
      <c r="L9" s="100" t="s">
        <v>470</v>
      </c>
      <c r="M9" s="100" t="s">
        <v>471</v>
      </c>
      <c r="N9" s="100" t="s">
        <v>472</v>
      </c>
      <c r="O9" s="100" t="s">
        <v>473</v>
      </c>
      <c r="P9" s="100" t="s">
        <v>474</v>
      </c>
      <c r="Q9" s="100" t="s">
        <v>475</v>
      </c>
      <c r="R9" s="100" t="s">
        <v>476</v>
      </c>
      <c r="S9" s="93"/>
      <c r="T9" s="93"/>
      <c r="U9" s="93"/>
    </row>
    <row r="10" spans="2:21" ht="18" customHeight="1" x14ac:dyDescent="0.25">
      <c r="B10" s="63">
        <v>1</v>
      </c>
      <c r="C10" s="64">
        <f>SUMIFS('Detalle Compras Septiembre 2026'!$G:$G, 'Detalle Compras Septiembre 2026'!$A:$A, B10, 'Detalle Compras Septiembre 2026'!$B:$B, "Bebidas")</f>
        <v>411700</v>
      </c>
      <c r="D10" s="79">
        <f>SUMIFS('Detalle Compras Septiembre 2026'!$E:$E, 'Detalle Compras Septiembre 2026'!$A:$A, B10, 'Detalle Compras Septiembre 2026'!$B:$B, "Bebidas")</f>
        <v>5</v>
      </c>
      <c r="E10" s="64">
        <f t="shared" ref="E10:E40" si="0">IF(D10&gt;0, C10/D10, 0)</f>
        <v>82340</v>
      </c>
      <c r="F10" s="66">
        <f t="shared" ref="F10:F39" si="1">IF($C$40&gt;0, C10/$C$40, 0)</f>
        <v>0.15422363738527814</v>
      </c>
      <c r="G10" s="67">
        <f>COUNTIFS('Detalle Compras Septiembre 2026'!$A:$A, B10, 'Detalle Compras Septiembre 2026'!$B:$B, "Bebidas")</f>
        <v>4</v>
      </c>
      <c r="I10" s="122">
        <v>1</v>
      </c>
      <c r="J10" s="122" t="s">
        <v>477</v>
      </c>
      <c r="K10" s="123" t="s">
        <v>478</v>
      </c>
      <c r="L10" s="123" t="s">
        <v>479</v>
      </c>
      <c r="M10" s="128">
        <v>1</v>
      </c>
      <c r="N10" s="149">
        <v>92200</v>
      </c>
      <c r="O10" s="129">
        <v>24</v>
      </c>
      <c r="P10" s="128">
        <f>M10*O10</f>
        <v>24</v>
      </c>
      <c r="Q10" s="149">
        <f t="shared" ref="Q10:Q44" si="2">IF(P10&gt;0, R10/P10, 0)</f>
        <v>3841.6666666666665</v>
      </c>
      <c r="R10" s="149">
        <v>92200</v>
      </c>
      <c r="S10" s="93"/>
      <c r="T10" s="93"/>
      <c r="U10" s="93"/>
    </row>
    <row r="11" spans="2:21" ht="18" customHeight="1" x14ac:dyDescent="0.25">
      <c r="B11" s="80">
        <v>2</v>
      </c>
      <c r="C11" s="81">
        <f>SUMIFS('Detalle Compras Septiembre 2026'!$G:$G, 'Detalle Compras Septiembre 2026'!$A:$A, B11, 'Detalle Compras Septiembre 2026'!$B:$B, "Bebidas")</f>
        <v>162100</v>
      </c>
      <c r="D11" s="82">
        <f>SUMIFS('Detalle Compras Septiembre 2026'!$E:$E, 'Detalle Compras Septiembre 2026'!$A:$A, B11, 'Detalle Compras Septiembre 2026'!$B:$B, "Bebidas")</f>
        <v>4</v>
      </c>
      <c r="E11" s="81">
        <f t="shared" si="0"/>
        <v>40525</v>
      </c>
      <c r="F11" s="83">
        <f t="shared" si="1"/>
        <v>6.0722981831803712E-2</v>
      </c>
      <c r="G11" s="84">
        <f>COUNTIFS('Detalle Compras Septiembre 2026'!$A:$A, B11, 'Detalle Compras Septiembre 2026'!$B:$B, "Bebidas")</f>
        <v>3</v>
      </c>
      <c r="I11" s="122">
        <v>1</v>
      </c>
      <c r="J11" s="122" t="s">
        <v>477</v>
      </c>
      <c r="K11" s="123" t="s">
        <v>480</v>
      </c>
      <c r="L11" s="123" t="s">
        <v>481</v>
      </c>
      <c r="M11" s="128">
        <v>1</v>
      </c>
      <c r="N11" s="149">
        <v>77500</v>
      </c>
      <c r="O11" s="129">
        <v>24</v>
      </c>
      <c r="P11" s="128">
        <f>M11*O11</f>
        <v>24</v>
      </c>
      <c r="Q11" s="149">
        <f t="shared" si="2"/>
        <v>3229.1666666666665</v>
      </c>
      <c r="R11" s="149">
        <v>77500</v>
      </c>
      <c r="S11" s="93"/>
      <c r="T11" s="93"/>
      <c r="U11" s="93"/>
    </row>
    <row r="12" spans="2:21" ht="18" customHeight="1" x14ac:dyDescent="0.25">
      <c r="B12" s="63">
        <v>3</v>
      </c>
      <c r="C12" s="64">
        <f>SUMIFS('Detalle Compras Septiembre 2026'!$G:$G, 'Detalle Compras Septiembre 2026'!$A:$A, B12, 'Detalle Compras Septiembre 2026'!$B:$B, "Bebidas")</f>
        <v>970600</v>
      </c>
      <c r="D12" s="79">
        <f>SUMIFS('Detalle Compras Septiembre 2026'!$E:$E, 'Detalle Compras Septiembre 2026'!$A:$A, B12, 'Detalle Compras Septiembre 2026'!$B:$B, "Bebidas")</f>
        <v>29</v>
      </c>
      <c r="E12" s="64">
        <f t="shared" si="0"/>
        <v>33468.965517241377</v>
      </c>
      <c r="F12" s="66">
        <f t="shared" si="1"/>
        <v>0.36358868702004121</v>
      </c>
      <c r="G12" s="67">
        <f>COUNTIFS('Detalle Compras Septiembre 2026'!$A:$A, B12, 'Detalle Compras Septiembre 2026'!$B:$B, "Bebidas")</f>
        <v>8</v>
      </c>
      <c r="I12" s="122">
        <v>1</v>
      </c>
      <c r="J12" s="122" t="s">
        <v>477</v>
      </c>
      <c r="K12" s="123" t="s">
        <v>482</v>
      </c>
      <c r="L12" s="123" t="s">
        <v>483</v>
      </c>
      <c r="M12" s="128">
        <v>1</v>
      </c>
      <c r="N12" s="149">
        <v>93000</v>
      </c>
      <c r="O12" s="129">
        <v>24</v>
      </c>
      <c r="P12" s="128">
        <f>M12*O12</f>
        <v>24</v>
      </c>
      <c r="Q12" s="149">
        <f t="shared" si="2"/>
        <v>3875</v>
      </c>
      <c r="R12" s="149">
        <v>93000</v>
      </c>
      <c r="S12" s="93"/>
      <c r="T12" s="93"/>
      <c r="U12" s="93"/>
    </row>
    <row r="13" spans="2:21" ht="18" customHeight="1" x14ac:dyDescent="0.25">
      <c r="B13" s="80">
        <v>4</v>
      </c>
      <c r="C13" s="81">
        <f>SUMIFS('Detalle Compras Septiembre 2026'!$G:$G, 'Detalle Compras Septiembre 2026'!$A:$A, B13, 'Detalle Compras Septiembre 2026'!$B:$B, "Bebidas")</f>
        <v>0</v>
      </c>
      <c r="D13" s="82">
        <f>SUMIFS('Detalle Compras Septiembre 2026'!$E:$E, 'Detalle Compras Septiembre 2026'!$A:$A, B13, 'Detalle Compras Septiembre 2026'!$B:$B, "Bebidas")</f>
        <v>0</v>
      </c>
      <c r="E13" s="81">
        <f t="shared" si="0"/>
        <v>0</v>
      </c>
      <c r="F13" s="83">
        <f t="shared" si="1"/>
        <v>0</v>
      </c>
      <c r="G13" s="84">
        <f>COUNTIFS('Detalle Compras Septiembre 2026'!$A:$A, B13, 'Detalle Compras Septiembre 2026'!$B:$B, "Bebidas")</f>
        <v>0</v>
      </c>
      <c r="I13" s="122">
        <v>1</v>
      </c>
      <c r="J13" s="122" t="s">
        <v>477</v>
      </c>
      <c r="K13" s="123" t="s">
        <v>484</v>
      </c>
      <c r="L13" s="123" t="s">
        <v>485</v>
      </c>
      <c r="M13" s="128">
        <v>2</v>
      </c>
      <c r="N13" s="149">
        <v>74500</v>
      </c>
      <c r="O13" s="129">
        <v>24</v>
      </c>
      <c r="P13" s="128">
        <f>M13*O13</f>
        <v>48</v>
      </c>
      <c r="Q13" s="149">
        <f t="shared" si="2"/>
        <v>3104.1666666666665</v>
      </c>
      <c r="R13" s="149">
        <v>149000</v>
      </c>
      <c r="S13" s="93"/>
      <c r="T13" s="93"/>
      <c r="U13" s="93"/>
    </row>
    <row r="14" spans="2:21" ht="18" customHeight="1" x14ac:dyDescent="0.25">
      <c r="B14" s="63">
        <v>5</v>
      </c>
      <c r="C14" s="64">
        <f>SUMIFS('Detalle Compras Septiembre 2026'!$G:$G, 'Detalle Compras Septiembre 2026'!$A:$A, B14, 'Detalle Compras Septiembre 2026'!$B:$B, "Bebidas")</f>
        <v>0</v>
      </c>
      <c r="D14" s="79">
        <f>SUMIFS('Detalle Compras Septiembre 2026'!$E:$E, 'Detalle Compras Septiembre 2026'!$A:$A, B14, 'Detalle Compras Septiembre 2026'!$B:$B, "Bebidas")</f>
        <v>0</v>
      </c>
      <c r="E14" s="64">
        <f t="shared" si="0"/>
        <v>0</v>
      </c>
      <c r="F14" s="66">
        <f t="shared" si="1"/>
        <v>0</v>
      </c>
      <c r="G14" s="67">
        <f>COUNTIFS('Detalle Compras Septiembre 2026'!$A:$A, B14, 'Detalle Compras Septiembre 2026'!$B:$B, "Bebidas")</f>
        <v>0</v>
      </c>
      <c r="I14" s="252" t="s">
        <v>486</v>
      </c>
      <c r="J14" s="253"/>
      <c r="K14" s="253"/>
      <c r="L14" s="254"/>
      <c r="M14" s="130">
        <f>SUM(M10:M13)</f>
        <v>5</v>
      </c>
      <c r="N14" s="151">
        <f>IF(M14&gt;0, R14/M14, 0)</f>
        <v>82340</v>
      </c>
      <c r="O14" s="131" t="s">
        <v>50</v>
      </c>
      <c r="P14" s="132">
        <f>SUM(P10:P13)</f>
        <v>120</v>
      </c>
      <c r="Q14" s="151">
        <f t="shared" si="2"/>
        <v>3430.8333333333335</v>
      </c>
      <c r="R14" s="151">
        <f>SUM(R10:R13)</f>
        <v>411700</v>
      </c>
      <c r="S14" s="93"/>
      <c r="T14" s="93"/>
      <c r="U14" s="93"/>
    </row>
    <row r="15" spans="2:21" ht="18" customHeight="1" x14ac:dyDescent="0.25">
      <c r="B15" s="80">
        <v>6</v>
      </c>
      <c r="C15" s="81">
        <f>SUMIFS('Detalle Compras Septiembre 2026'!$G:$G, 'Detalle Compras Septiembre 2026'!$A:$A, B15, 'Detalle Compras Septiembre 2026'!$B:$B, "Bebidas")</f>
        <v>0</v>
      </c>
      <c r="D15" s="82">
        <f>SUMIFS('Detalle Compras Septiembre 2026'!$E:$E, 'Detalle Compras Septiembre 2026'!$A:$A, B15, 'Detalle Compras Septiembre 2026'!$B:$B, "Bebidas")</f>
        <v>0</v>
      </c>
      <c r="E15" s="81">
        <f t="shared" si="0"/>
        <v>0</v>
      </c>
      <c r="F15" s="83">
        <f t="shared" si="1"/>
        <v>0</v>
      </c>
      <c r="G15" s="84">
        <f>COUNTIFS('Detalle Compras Septiembre 2026'!$A:$A, B15, 'Detalle Compras Septiembre 2026'!$B:$B, "Bebidas")</f>
        <v>0</v>
      </c>
      <c r="I15" s="122">
        <v>2</v>
      </c>
      <c r="J15" s="122" t="s">
        <v>487</v>
      </c>
      <c r="K15" s="123" t="s">
        <v>488</v>
      </c>
      <c r="L15" s="123" t="s">
        <v>489</v>
      </c>
      <c r="M15" s="128">
        <v>2</v>
      </c>
      <c r="N15" s="149">
        <v>39000</v>
      </c>
      <c r="O15" s="129">
        <v>12</v>
      </c>
      <c r="P15" s="128">
        <f>M15*O15</f>
        <v>24</v>
      </c>
      <c r="Q15" s="149">
        <f t="shared" si="2"/>
        <v>3250</v>
      </c>
      <c r="R15" s="149">
        <v>78000</v>
      </c>
      <c r="S15" s="93"/>
      <c r="T15" s="93"/>
      <c r="U15" s="93"/>
    </row>
    <row r="16" spans="2:21" ht="18" customHeight="1" x14ac:dyDescent="0.25">
      <c r="B16" s="63">
        <v>7</v>
      </c>
      <c r="C16" s="64">
        <f>SUMIFS('Detalle Compras Septiembre 2026'!$G:$G, 'Detalle Compras Septiembre 2026'!$A:$A, B16, 'Detalle Compras Septiembre 2026'!$B:$B, "Bebidas")</f>
        <v>0</v>
      </c>
      <c r="D16" s="79">
        <f>SUMIFS('Detalle Compras Septiembre 2026'!$E:$E, 'Detalle Compras Septiembre 2026'!$A:$A, B16, 'Detalle Compras Septiembre 2026'!$B:$B, "Bebidas")</f>
        <v>0</v>
      </c>
      <c r="E16" s="64">
        <f t="shared" si="0"/>
        <v>0</v>
      </c>
      <c r="F16" s="66">
        <f t="shared" si="1"/>
        <v>0</v>
      </c>
      <c r="G16" s="67">
        <f>COUNTIFS('Detalle Compras Septiembre 2026'!$A:$A, B16, 'Detalle Compras Septiembre 2026'!$B:$B, "Bebidas")</f>
        <v>0</v>
      </c>
      <c r="I16" s="122">
        <v>2</v>
      </c>
      <c r="J16" s="122" t="s">
        <v>487</v>
      </c>
      <c r="K16" s="123" t="s">
        <v>490</v>
      </c>
      <c r="L16" s="123" t="s">
        <v>491</v>
      </c>
      <c r="M16" s="128">
        <v>1</v>
      </c>
      <c r="N16" s="149">
        <v>32500</v>
      </c>
      <c r="O16" s="129">
        <v>12</v>
      </c>
      <c r="P16" s="128">
        <f>M16*O16</f>
        <v>12</v>
      </c>
      <c r="Q16" s="149">
        <f t="shared" si="2"/>
        <v>2708.3333333333335</v>
      </c>
      <c r="R16" s="149">
        <v>32500</v>
      </c>
      <c r="S16" s="93"/>
      <c r="T16" s="93"/>
      <c r="U16" s="93"/>
    </row>
    <row r="17" spans="2:21" ht="18" customHeight="1" x14ac:dyDescent="0.25">
      <c r="B17" s="80">
        <v>8</v>
      </c>
      <c r="C17" s="81">
        <f>SUMIFS('Detalle Compras Septiembre 2026'!$G:$G, 'Detalle Compras Septiembre 2026'!$A:$A, B17, 'Detalle Compras Septiembre 2026'!$B:$B, "Bebidas")</f>
        <v>0</v>
      </c>
      <c r="D17" s="82">
        <f>SUMIFS('Detalle Compras Septiembre 2026'!$E:$E, 'Detalle Compras Septiembre 2026'!$A:$A, B17, 'Detalle Compras Septiembre 2026'!$B:$B, "Bebidas")</f>
        <v>0</v>
      </c>
      <c r="E17" s="81">
        <f t="shared" si="0"/>
        <v>0</v>
      </c>
      <c r="F17" s="83">
        <f t="shared" si="1"/>
        <v>0</v>
      </c>
      <c r="G17" s="84">
        <f>COUNTIFS('Detalle Compras Septiembre 2026'!$A:$A, B17, 'Detalle Compras Septiembre 2026'!$B:$B, "Bebidas")</f>
        <v>0</v>
      </c>
      <c r="I17" s="122">
        <v>2</v>
      </c>
      <c r="J17" s="122" t="s">
        <v>487</v>
      </c>
      <c r="K17" s="123" t="s">
        <v>492</v>
      </c>
      <c r="L17" s="123" t="s">
        <v>493</v>
      </c>
      <c r="M17" s="128">
        <v>1</v>
      </c>
      <c r="N17" s="149">
        <v>51600</v>
      </c>
      <c r="O17" s="129">
        <v>24</v>
      </c>
      <c r="P17" s="128">
        <f>M17*O17</f>
        <v>24</v>
      </c>
      <c r="Q17" s="149">
        <f t="shared" si="2"/>
        <v>2150</v>
      </c>
      <c r="R17" s="149">
        <v>51600</v>
      </c>
      <c r="S17" s="93"/>
      <c r="T17" s="93"/>
      <c r="U17" s="93"/>
    </row>
    <row r="18" spans="2:21" ht="18" customHeight="1" x14ac:dyDescent="0.25">
      <c r="B18" s="63">
        <v>9</v>
      </c>
      <c r="C18" s="64">
        <f>SUMIFS('Detalle Compras Septiembre 2026'!$G:$G, 'Detalle Compras Septiembre 2026'!$A:$A, B18, 'Detalle Compras Septiembre 2026'!$B:$B, "Bebidas")</f>
        <v>1125100</v>
      </c>
      <c r="D18" s="79">
        <f>SUMIFS('Detalle Compras Septiembre 2026'!$E:$E, 'Detalle Compras Septiembre 2026'!$A:$A, B18, 'Detalle Compras Septiembre 2026'!$B:$B, "Bebidas")</f>
        <v>1038</v>
      </c>
      <c r="E18" s="64">
        <f t="shared" si="0"/>
        <v>1083.9113680154142</v>
      </c>
      <c r="F18" s="66">
        <f t="shared" si="1"/>
        <v>0.42146469376287693</v>
      </c>
      <c r="G18" s="67">
        <f>COUNTIFS('Detalle Compras Septiembre 2026'!$A:$A, B18, 'Detalle Compras Septiembre 2026'!$B:$B, "Bebidas")</f>
        <v>15</v>
      </c>
      <c r="I18" s="252" t="s">
        <v>494</v>
      </c>
      <c r="J18" s="253"/>
      <c r="K18" s="253"/>
      <c r="L18" s="254"/>
      <c r="M18" s="130">
        <f>SUM(M15:M17)</f>
        <v>4</v>
      </c>
      <c r="N18" s="151">
        <f>IF(M18&gt;0, R18/M18, 0)</f>
        <v>40525</v>
      </c>
      <c r="O18" s="131" t="s">
        <v>50</v>
      </c>
      <c r="P18" s="132">
        <f>SUM(P15:P17)</f>
        <v>60</v>
      </c>
      <c r="Q18" s="151">
        <f t="shared" si="2"/>
        <v>2701.6666666666665</v>
      </c>
      <c r="R18" s="151">
        <f>SUM(R15:R17)</f>
        <v>162100</v>
      </c>
      <c r="S18" s="93"/>
      <c r="T18" s="93"/>
      <c r="U18" s="93"/>
    </row>
    <row r="19" spans="2:21" ht="18" customHeight="1" x14ac:dyDescent="0.25">
      <c r="B19" s="80">
        <v>10</v>
      </c>
      <c r="C19" s="81">
        <f>SUMIFS('Detalle Compras Septiembre 2026'!$G:$G, 'Detalle Compras Septiembre 2026'!$A:$A, B19, 'Detalle Compras Septiembre 2026'!$B:$B, "Bebidas")</f>
        <v>0</v>
      </c>
      <c r="D19" s="82">
        <f>SUMIFS('Detalle Compras Septiembre 2026'!$E:$E, 'Detalle Compras Septiembre 2026'!$A:$A, B19, 'Detalle Compras Septiembre 2026'!$B:$B, "Bebidas")</f>
        <v>0</v>
      </c>
      <c r="E19" s="81">
        <f t="shared" si="0"/>
        <v>0</v>
      </c>
      <c r="F19" s="83">
        <f t="shared" si="1"/>
        <v>0</v>
      </c>
      <c r="G19" s="84">
        <f>COUNTIFS('Detalle Compras Septiembre 2026'!$A:$A, B19, 'Detalle Compras Septiembre 2026'!$B:$B, "Bebidas")</f>
        <v>0</v>
      </c>
      <c r="I19" s="122">
        <v>3</v>
      </c>
      <c r="J19" s="122" t="s">
        <v>495</v>
      </c>
      <c r="K19" s="123" t="s">
        <v>496</v>
      </c>
      <c r="L19" s="123" t="s">
        <v>497</v>
      </c>
      <c r="M19" s="128">
        <v>1</v>
      </c>
      <c r="N19" s="149">
        <v>32000</v>
      </c>
      <c r="O19" s="129">
        <v>24</v>
      </c>
      <c r="P19" s="128">
        <f t="shared" ref="P19:P26" si="3">M19*O19</f>
        <v>24</v>
      </c>
      <c r="Q19" s="149">
        <f t="shared" si="2"/>
        <v>1333.3333333333333</v>
      </c>
      <c r="R19" s="149">
        <v>32000</v>
      </c>
      <c r="S19" s="93"/>
      <c r="T19" s="93"/>
      <c r="U19" s="93"/>
    </row>
    <row r="20" spans="2:21" ht="18" customHeight="1" x14ac:dyDescent="0.25">
      <c r="B20" s="63">
        <v>11</v>
      </c>
      <c r="C20" s="64">
        <f>SUMIFS('Detalle Compras Septiembre 2026'!$G:$G, 'Detalle Compras Septiembre 2026'!$A:$A, B20, 'Detalle Compras Septiembre 2026'!$B:$B, "Bebidas")</f>
        <v>0</v>
      </c>
      <c r="D20" s="79">
        <f>SUMIFS('Detalle Compras Septiembre 2026'!$E:$E, 'Detalle Compras Septiembre 2026'!$A:$A, B20, 'Detalle Compras Septiembre 2026'!$B:$B, "Bebidas")</f>
        <v>0</v>
      </c>
      <c r="E20" s="64">
        <f t="shared" si="0"/>
        <v>0</v>
      </c>
      <c r="F20" s="66">
        <f t="shared" si="1"/>
        <v>0</v>
      </c>
      <c r="G20" s="67">
        <f>COUNTIFS('Detalle Compras Septiembre 2026'!$A:$A, B20, 'Detalle Compras Septiembre 2026'!$B:$B, "Bebidas")</f>
        <v>0</v>
      </c>
      <c r="I20" s="122">
        <v>3</v>
      </c>
      <c r="J20" s="122" t="s">
        <v>495</v>
      </c>
      <c r="K20" s="123" t="s">
        <v>498</v>
      </c>
      <c r="L20" s="123" t="s">
        <v>499</v>
      </c>
      <c r="M20" s="128">
        <v>2</v>
      </c>
      <c r="N20" s="149">
        <v>65000</v>
      </c>
      <c r="O20" s="129">
        <v>12</v>
      </c>
      <c r="P20" s="128">
        <f t="shared" si="3"/>
        <v>24</v>
      </c>
      <c r="Q20" s="149">
        <f t="shared" si="2"/>
        <v>5416.666666666667</v>
      </c>
      <c r="R20" s="149">
        <v>130000</v>
      </c>
      <c r="S20" s="93"/>
      <c r="T20" s="93"/>
      <c r="U20" s="93"/>
    </row>
    <row r="21" spans="2:21" ht="18" customHeight="1" x14ac:dyDescent="0.25">
      <c r="B21" s="80">
        <v>12</v>
      </c>
      <c r="C21" s="81">
        <f>SUMIFS('Detalle Compras Septiembre 2026'!$G:$G, 'Detalle Compras Septiembre 2026'!$A:$A, B21, 'Detalle Compras Septiembre 2026'!$B:$B, "Bebidas")</f>
        <v>0</v>
      </c>
      <c r="D21" s="82">
        <f>SUMIFS('Detalle Compras Septiembre 2026'!$E:$E, 'Detalle Compras Septiembre 2026'!$A:$A, B21, 'Detalle Compras Septiembre 2026'!$B:$B, "Bebidas")</f>
        <v>0</v>
      </c>
      <c r="E21" s="81">
        <f t="shared" si="0"/>
        <v>0</v>
      </c>
      <c r="F21" s="83">
        <f t="shared" si="1"/>
        <v>0</v>
      </c>
      <c r="G21" s="84">
        <f>COUNTIFS('Detalle Compras Septiembre 2026'!$A:$A, B21, 'Detalle Compras Septiembre 2026'!$B:$B, "Bebidas")</f>
        <v>0</v>
      </c>
      <c r="I21" s="122">
        <v>3</v>
      </c>
      <c r="J21" s="122" t="s">
        <v>495</v>
      </c>
      <c r="K21" s="123" t="s">
        <v>500</v>
      </c>
      <c r="L21" s="123" t="s">
        <v>501</v>
      </c>
      <c r="M21" s="128">
        <v>2</v>
      </c>
      <c r="N21" s="149">
        <v>65000</v>
      </c>
      <c r="O21" s="129">
        <v>12</v>
      </c>
      <c r="P21" s="128">
        <f t="shared" si="3"/>
        <v>24</v>
      </c>
      <c r="Q21" s="149">
        <f t="shared" si="2"/>
        <v>5416.666666666667</v>
      </c>
      <c r="R21" s="149">
        <v>130000</v>
      </c>
      <c r="S21" s="93"/>
      <c r="T21" s="93"/>
      <c r="U21" s="93"/>
    </row>
    <row r="22" spans="2:21" ht="18" customHeight="1" x14ac:dyDescent="0.25">
      <c r="B22" s="63">
        <v>13</v>
      </c>
      <c r="C22" s="64">
        <f>SUMIFS('Detalle Compras Septiembre 2026'!$G:$G, 'Detalle Compras Septiembre 2026'!$A:$A, B22, 'Detalle Compras Septiembre 2026'!$B:$B, "Bebidas")</f>
        <v>0</v>
      </c>
      <c r="D22" s="79">
        <f>SUMIFS('Detalle Compras Septiembre 2026'!$E:$E, 'Detalle Compras Septiembre 2026'!$A:$A, B22, 'Detalle Compras Septiembre 2026'!$B:$B, "Bebidas")</f>
        <v>0</v>
      </c>
      <c r="E22" s="64">
        <f t="shared" si="0"/>
        <v>0</v>
      </c>
      <c r="F22" s="66">
        <f t="shared" si="1"/>
        <v>0</v>
      </c>
      <c r="G22" s="67">
        <f>COUNTIFS('Detalle Compras Septiembre 2026'!$A:$A, B22, 'Detalle Compras Septiembre 2026'!$B:$B, "Bebidas")</f>
        <v>0</v>
      </c>
      <c r="I22" s="122">
        <v>3</v>
      </c>
      <c r="J22" s="122" t="s">
        <v>495</v>
      </c>
      <c r="K22" s="123" t="s">
        <v>502</v>
      </c>
      <c r="L22" s="123" t="s">
        <v>503</v>
      </c>
      <c r="M22" s="128">
        <v>10</v>
      </c>
      <c r="N22" s="149">
        <v>28800</v>
      </c>
      <c r="O22" s="129">
        <v>12</v>
      </c>
      <c r="P22" s="128">
        <f t="shared" si="3"/>
        <v>120</v>
      </c>
      <c r="Q22" s="149">
        <f t="shared" si="2"/>
        <v>2400</v>
      </c>
      <c r="R22" s="149">
        <v>288000</v>
      </c>
      <c r="S22" s="93"/>
      <c r="T22" s="93"/>
      <c r="U22" s="93"/>
    </row>
    <row r="23" spans="2:21" ht="18" customHeight="1" x14ac:dyDescent="0.25">
      <c r="B23" s="80">
        <v>14</v>
      </c>
      <c r="C23" s="81">
        <f>SUMIFS('Detalle Compras Septiembre 2026'!$G:$G, 'Detalle Compras Septiembre 2026'!$A:$A, B23, 'Detalle Compras Septiembre 2026'!$B:$B, "Bebidas")</f>
        <v>0</v>
      </c>
      <c r="D23" s="82">
        <f>SUMIFS('Detalle Compras Septiembre 2026'!$E:$E, 'Detalle Compras Septiembre 2026'!$A:$A, B23, 'Detalle Compras Septiembre 2026'!$B:$B, "Bebidas")</f>
        <v>0</v>
      </c>
      <c r="E23" s="81">
        <f t="shared" si="0"/>
        <v>0</v>
      </c>
      <c r="F23" s="83">
        <f t="shared" si="1"/>
        <v>0</v>
      </c>
      <c r="G23" s="84">
        <f>COUNTIFS('Detalle Compras Septiembre 2026'!$A:$A, B23, 'Detalle Compras Septiembre 2026'!$B:$B, "Bebidas")</f>
        <v>0</v>
      </c>
      <c r="I23" s="122">
        <v>3</v>
      </c>
      <c r="J23" s="122" t="s">
        <v>495</v>
      </c>
      <c r="K23" s="123" t="s">
        <v>504</v>
      </c>
      <c r="L23" s="123" t="s">
        <v>505</v>
      </c>
      <c r="M23" s="128">
        <v>8</v>
      </c>
      <c r="N23" s="149">
        <v>30000</v>
      </c>
      <c r="O23" s="129">
        <v>12</v>
      </c>
      <c r="P23" s="128">
        <f t="shared" si="3"/>
        <v>96</v>
      </c>
      <c r="Q23" s="149">
        <f t="shared" si="2"/>
        <v>2500</v>
      </c>
      <c r="R23" s="149">
        <v>240000</v>
      </c>
      <c r="S23" s="93"/>
      <c r="T23" s="93"/>
      <c r="U23" s="93"/>
    </row>
    <row r="24" spans="2:21" ht="18" customHeight="1" x14ac:dyDescent="0.25">
      <c r="B24" s="63">
        <v>15</v>
      </c>
      <c r="C24" s="64">
        <f>SUMIFS('Detalle Compras Septiembre 2026'!$G:$G, 'Detalle Compras Septiembre 2026'!$A:$A, B24, 'Detalle Compras Septiembre 2026'!$B:$B, "Bebidas")</f>
        <v>0</v>
      </c>
      <c r="D24" s="79">
        <f>SUMIFS('Detalle Compras Septiembre 2026'!$E:$E, 'Detalle Compras Septiembre 2026'!$A:$A, B24, 'Detalle Compras Septiembre 2026'!$B:$B, "Bebidas")</f>
        <v>0</v>
      </c>
      <c r="E24" s="64">
        <f t="shared" si="0"/>
        <v>0</v>
      </c>
      <c r="F24" s="66">
        <f t="shared" si="1"/>
        <v>0</v>
      </c>
      <c r="G24" s="67">
        <f>COUNTIFS('Detalle Compras Septiembre 2026'!$A:$A, B24, 'Detalle Compras Septiembre 2026'!$B:$B, "Bebidas")</f>
        <v>0</v>
      </c>
      <c r="I24" s="122">
        <v>3</v>
      </c>
      <c r="J24" s="122" t="s">
        <v>506</v>
      </c>
      <c r="K24" s="123" t="s">
        <v>507</v>
      </c>
      <c r="L24" s="123" t="s">
        <v>508</v>
      </c>
      <c r="M24" s="128">
        <v>2</v>
      </c>
      <c r="N24" s="149">
        <v>25100</v>
      </c>
      <c r="O24" s="129">
        <v>12</v>
      </c>
      <c r="P24" s="128">
        <f t="shared" si="3"/>
        <v>24</v>
      </c>
      <c r="Q24" s="149">
        <f t="shared" si="2"/>
        <v>2091.6666666666665</v>
      </c>
      <c r="R24" s="149">
        <v>50200</v>
      </c>
      <c r="S24" s="93"/>
      <c r="T24" s="93"/>
      <c r="U24" s="93"/>
    </row>
    <row r="25" spans="2:21" ht="18" customHeight="1" x14ac:dyDescent="0.25">
      <c r="B25" s="80">
        <v>16</v>
      </c>
      <c r="C25" s="81">
        <f>SUMIFS('Detalle Compras Septiembre 2026'!$G:$G, 'Detalle Compras Septiembre 2026'!$A:$A, B25, 'Detalle Compras Septiembre 2026'!$B:$B, "Bebidas")</f>
        <v>0</v>
      </c>
      <c r="D25" s="82">
        <f>SUMIFS('Detalle Compras Septiembre 2026'!$E:$E, 'Detalle Compras Septiembre 2026'!$A:$A, B25, 'Detalle Compras Septiembre 2026'!$B:$B, "Bebidas")</f>
        <v>0</v>
      </c>
      <c r="E25" s="81">
        <f t="shared" si="0"/>
        <v>0</v>
      </c>
      <c r="F25" s="83">
        <f t="shared" si="1"/>
        <v>0</v>
      </c>
      <c r="G25" s="84">
        <f>COUNTIFS('Detalle Compras Septiembre 2026'!$A:$A, B25, 'Detalle Compras Septiembre 2026'!$B:$B, "Bebidas")</f>
        <v>0</v>
      </c>
      <c r="I25" s="122">
        <v>3</v>
      </c>
      <c r="J25" s="122" t="s">
        <v>506</v>
      </c>
      <c r="K25" s="123" t="s">
        <v>507</v>
      </c>
      <c r="L25" s="123" t="s">
        <v>509</v>
      </c>
      <c r="M25" s="128">
        <v>2</v>
      </c>
      <c r="N25" s="149">
        <v>25100</v>
      </c>
      <c r="O25" s="129">
        <v>12</v>
      </c>
      <c r="P25" s="128">
        <f t="shared" si="3"/>
        <v>24</v>
      </c>
      <c r="Q25" s="149">
        <f t="shared" si="2"/>
        <v>2091.6666666666665</v>
      </c>
      <c r="R25" s="149">
        <v>50200</v>
      </c>
      <c r="S25" s="93"/>
      <c r="T25" s="93"/>
      <c r="U25" s="93"/>
    </row>
    <row r="26" spans="2:21" ht="18" customHeight="1" x14ac:dyDescent="0.25">
      <c r="B26" s="63">
        <v>17</v>
      </c>
      <c r="C26" s="64">
        <f>SUMIFS('Detalle Compras Septiembre 2026'!$G:$G, 'Detalle Compras Septiembre 2026'!$A:$A, B26, 'Detalle Compras Septiembre 2026'!$B:$B, "Bebidas")</f>
        <v>0</v>
      </c>
      <c r="D26" s="79">
        <f>SUMIFS('Detalle Compras Septiembre 2026'!$E:$E, 'Detalle Compras Septiembre 2026'!$A:$A, B26, 'Detalle Compras Septiembre 2026'!$B:$B, "Bebidas")</f>
        <v>0</v>
      </c>
      <c r="E26" s="64">
        <f t="shared" si="0"/>
        <v>0</v>
      </c>
      <c r="F26" s="66">
        <f t="shared" si="1"/>
        <v>0</v>
      </c>
      <c r="G26" s="67">
        <f>COUNTIFS('Detalle Compras Septiembre 2026'!$A:$A, B26, 'Detalle Compras Septiembre 2026'!$B:$B, "Bebidas")</f>
        <v>0</v>
      </c>
      <c r="I26" s="122">
        <v>3</v>
      </c>
      <c r="J26" s="122" t="s">
        <v>506</v>
      </c>
      <c r="K26" s="123" t="s">
        <v>507</v>
      </c>
      <c r="L26" s="123" t="s">
        <v>510</v>
      </c>
      <c r="M26" s="128">
        <v>2</v>
      </c>
      <c r="N26" s="149">
        <v>25100</v>
      </c>
      <c r="O26" s="129">
        <v>12</v>
      </c>
      <c r="P26" s="128">
        <f t="shared" si="3"/>
        <v>24</v>
      </c>
      <c r="Q26" s="149">
        <f t="shared" si="2"/>
        <v>2091.6666666666665</v>
      </c>
      <c r="R26" s="149">
        <v>50200</v>
      </c>
      <c r="S26" s="93"/>
      <c r="T26" s="93"/>
      <c r="U26" s="93"/>
    </row>
    <row r="27" spans="2:21" ht="18" customHeight="1" x14ac:dyDescent="0.25">
      <c r="B27" s="80">
        <v>18</v>
      </c>
      <c r="C27" s="81">
        <f>SUMIFS('Detalle Compras Septiembre 2026'!$G:$G, 'Detalle Compras Septiembre 2026'!$A:$A, B27, 'Detalle Compras Septiembre 2026'!$B:$B, "Bebidas")</f>
        <v>0</v>
      </c>
      <c r="D27" s="82">
        <f>SUMIFS('Detalle Compras Septiembre 2026'!$E:$E, 'Detalle Compras Septiembre 2026'!$A:$A, B27, 'Detalle Compras Septiembre 2026'!$B:$B, "Bebidas")</f>
        <v>0</v>
      </c>
      <c r="E27" s="81">
        <f t="shared" si="0"/>
        <v>0</v>
      </c>
      <c r="F27" s="83">
        <f t="shared" si="1"/>
        <v>0</v>
      </c>
      <c r="G27" s="84">
        <f>COUNTIFS('Detalle Compras Septiembre 2026'!$A:$A, B27, 'Detalle Compras Septiembre 2026'!$B:$B, "Bebidas")</f>
        <v>0</v>
      </c>
      <c r="I27" s="252" t="s">
        <v>373</v>
      </c>
      <c r="J27" s="253"/>
      <c r="K27" s="253"/>
      <c r="L27" s="254"/>
      <c r="M27" s="130">
        <f>SUM(M19:M26)</f>
        <v>29</v>
      </c>
      <c r="N27" s="151">
        <f>IF(M27&gt;0, R27/M27, 0)</f>
        <v>33468.965517241377</v>
      </c>
      <c r="O27" s="131" t="s">
        <v>50</v>
      </c>
      <c r="P27" s="132">
        <f>SUM(P19:P26)</f>
        <v>360</v>
      </c>
      <c r="Q27" s="151">
        <f t="shared" si="2"/>
        <v>2696.1111111111113</v>
      </c>
      <c r="R27" s="151">
        <f>SUM(R19:R26)</f>
        <v>970600</v>
      </c>
      <c r="S27" s="93"/>
      <c r="T27" s="93"/>
      <c r="U27" s="93"/>
    </row>
    <row r="28" spans="2:21" ht="18" customHeight="1" x14ac:dyDescent="0.25">
      <c r="B28" s="63">
        <v>19</v>
      </c>
      <c r="C28" s="64">
        <f>SUMIFS('Detalle Compras Septiembre 2026'!$G:$G, 'Detalle Compras Septiembre 2026'!$A:$A, B28, 'Detalle Compras Septiembre 2026'!$B:$B, "Bebidas")</f>
        <v>0</v>
      </c>
      <c r="D28" s="79">
        <f>SUMIFS('Detalle Compras Septiembre 2026'!$E:$E, 'Detalle Compras Septiembre 2026'!$A:$A, B28, 'Detalle Compras Septiembre 2026'!$B:$B, "Bebidas")</f>
        <v>0</v>
      </c>
      <c r="E28" s="64">
        <f t="shared" si="0"/>
        <v>0</v>
      </c>
      <c r="F28" s="66">
        <f t="shared" si="1"/>
        <v>0</v>
      </c>
      <c r="G28" s="67">
        <f>COUNTIFS('Detalle Compras Septiembre 2026'!$A:$A, B28, 'Detalle Compras Septiembre 2026'!$B:$B, "Bebidas")</f>
        <v>0</v>
      </c>
      <c r="I28" s="122">
        <v>9</v>
      </c>
      <c r="J28" s="122" t="s">
        <v>511</v>
      </c>
      <c r="K28" s="123" t="s">
        <v>512</v>
      </c>
      <c r="L28" s="123" t="s">
        <v>513</v>
      </c>
      <c r="M28" s="128">
        <v>720</v>
      </c>
      <c r="N28" s="149">
        <v>700</v>
      </c>
      <c r="O28" s="129">
        <v>1</v>
      </c>
      <c r="P28" s="128">
        <f>M28*O28</f>
        <v>720</v>
      </c>
      <c r="Q28" s="149">
        <f t="shared" si="2"/>
        <v>700</v>
      </c>
      <c r="R28" s="149">
        <v>504000</v>
      </c>
      <c r="S28" s="93"/>
      <c r="T28" s="93"/>
      <c r="U28" s="93"/>
    </row>
    <row r="29" spans="2:21" ht="18" customHeight="1" x14ac:dyDescent="0.25">
      <c r="B29" s="80">
        <v>20</v>
      </c>
      <c r="C29" s="81">
        <f>SUMIFS('Detalle Compras Septiembre 2026'!$G:$G, 'Detalle Compras Septiembre 2026'!$A:$A, B29, 'Detalle Compras Septiembre 2026'!$B:$B, "Bebidas")</f>
        <v>0</v>
      </c>
      <c r="D29" s="82">
        <f>SUMIFS('Detalle Compras Septiembre 2026'!$E:$E, 'Detalle Compras Septiembre 2026'!$A:$A, B29, 'Detalle Compras Septiembre 2026'!$B:$B, "Bebidas")</f>
        <v>0</v>
      </c>
      <c r="E29" s="81">
        <f t="shared" si="0"/>
        <v>0</v>
      </c>
      <c r="F29" s="83">
        <f t="shared" si="1"/>
        <v>0</v>
      </c>
      <c r="G29" s="84">
        <f>COUNTIFS('Detalle Compras Septiembre 2026'!$A:$A, B29, 'Detalle Compras Septiembre 2026'!$B:$B, "Bebidas")</f>
        <v>0</v>
      </c>
      <c r="I29" s="122">
        <v>9</v>
      </c>
      <c r="J29" s="122" t="s">
        <v>514</v>
      </c>
      <c r="K29" s="123" t="s">
        <v>515</v>
      </c>
      <c r="L29" s="123" t="s">
        <v>516</v>
      </c>
      <c r="M29" s="125">
        <v>0.4667</v>
      </c>
      <c r="N29" s="149">
        <v>32500</v>
      </c>
      <c r="O29" s="129">
        <v>15</v>
      </c>
      <c r="P29" s="128">
        <v>7</v>
      </c>
      <c r="Q29" s="149">
        <f t="shared" si="2"/>
        <v>2166.6685714285713</v>
      </c>
      <c r="R29" s="149">
        <v>15166.68</v>
      </c>
      <c r="S29" s="93"/>
      <c r="T29" s="93"/>
      <c r="U29" s="93"/>
    </row>
    <row r="30" spans="2:21" ht="18" customHeight="1" x14ac:dyDescent="0.25">
      <c r="B30" s="63">
        <v>21</v>
      </c>
      <c r="C30" s="64">
        <f>SUMIFS('Detalle Compras Septiembre 2026'!$G:$G, 'Detalle Compras Septiembre 2026'!$A:$A, B30, 'Detalle Compras Septiembre 2026'!$B:$B, "Bebidas")</f>
        <v>0</v>
      </c>
      <c r="D30" s="79">
        <f>SUMIFS('Detalle Compras Septiembre 2026'!$E:$E, 'Detalle Compras Septiembre 2026'!$A:$A, B30, 'Detalle Compras Septiembre 2026'!$B:$B, "Bebidas")</f>
        <v>0</v>
      </c>
      <c r="E30" s="64">
        <f t="shared" si="0"/>
        <v>0</v>
      </c>
      <c r="F30" s="66">
        <f t="shared" si="1"/>
        <v>0</v>
      </c>
      <c r="G30" s="67">
        <f>COUNTIFS('Detalle Compras Septiembre 2026'!$A:$A, B30, 'Detalle Compras Septiembre 2026'!$B:$B, "Bebidas")</f>
        <v>0</v>
      </c>
      <c r="I30" s="122">
        <v>9</v>
      </c>
      <c r="J30" s="122" t="s">
        <v>514</v>
      </c>
      <c r="K30" s="123" t="s">
        <v>517</v>
      </c>
      <c r="L30" s="123" t="s">
        <v>518</v>
      </c>
      <c r="M30" s="125">
        <v>0.5333</v>
      </c>
      <c r="N30" s="149">
        <v>32500</v>
      </c>
      <c r="O30" s="129">
        <v>15</v>
      </c>
      <c r="P30" s="128">
        <v>8</v>
      </c>
      <c r="Q30" s="149">
        <f t="shared" si="2"/>
        <v>2166.6687499999998</v>
      </c>
      <c r="R30" s="149">
        <v>17333.349999999999</v>
      </c>
      <c r="S30" s="93"/>
      <c r="T30" s="93"/>
      <c r="U30" s="93"/>
    </row>
    <row r="31" spans="2:21" ht="18" customHeight="1" x14ac:dyDescent="0.25">
      <c r="B31" s="80">
        <v>22</v>
      </c>
      <c r="C31" s="81">
        <f>SUMIFS('Detalle Compras Septiembre 2026'!$G:$G, 'Detalle Compras Septiembre 2026'!$A:$A, B31, 'Detalle Compras Septiembre 2026'!$B:$B, "Bebidas")</f>
        <v>0</v>
      </c>
      <c r="D31" s="82">
        <f>SUMIFS('Detalle Compras Septiembre 2026'!$E:$E, 'Detalle Compras Septiembre 2026'!$A:$A, B31, 'Detalle Compras Septiembre 2026'!$B:$B, "Bebidas")</f>
        <v>0</v>
      </c>
      <c r="E31" s="81">
        <f t="shared" si="0"/>
        <v>0</v>
      </c>
      <c r="F31" s="83">
        <f t="shared" si="1"/>
        <v>0</v>
      </c>
      <c r="G31" s="84">
        <f>COUNTIFS('Detalle Compras Septiembre 2026'!$A:$A, B31, 'Detalle Compras Septiembre 2026'!$B:$B, "Bebidas")</f>
        <v>0</v>
      </c>
      <c r="I31" s="122">
        <v>9</v>
      </c>
      <c r="J31" s="122" t="s">
        <v>514</v>
      </c>
      <c r="K31" s="123" t="s">
        <v>519</v>
      </c>
      <c r="L31" s="123" t="s">
        <v>520</v>
      </c>
      <c r="M31" s="128">
        <v>1</v>
      </c>
      <c r="N31" s="149">
        <v>32500.03</v>
      </c>
      <c r="O31" s="129">
        <v>15</v>
      </c>
      <c r="P31" s="128">
        <f t="shared" ref="P31:P42" si="4">M31*O31</f>
        <v>15</v>
      </c>
      <c r="Q31" s="149">
        <f t="shared" si="2"/>
        <v>2166.6686666666665</v>
      </c>
      <c r="R31" s="149">
        <v>32500.03</v>
      </c>
      <c r="S31" s="93"/>
      <c r="T31" s="93"/>
      <c r="U31" s="93"/>
    </row>
    <row r="32" spans="2:21" ht="18" customHeight="1" x14ac:dyDescent="0.25">
      <c r="B32" s="63">
        <v>23</v>
      </c>
      <c r="C32" s="64">
        <f>SUMIFS('Detalle Compras Septiembre 2026'!$G:$G, 'Detalle Compras Septiembre 2026'!$A:$A, B32, 'Detalle Compras Septiembre 2026'!$B:$B, "Bebidas")</f>
        <v>0</v>
      </c>
      <c r="D32" s="79">
        <f>SUMIFS('Detalle Compras Septiembre 2026'!$E:$E, 'Detalle Compras Septiembre 2026'!$A:$A, B32, 'Detalle Compras Septiembre 2026'!$B:$B, "Bebidas")</f>
        <v>0</v>
      </c>
      <c r="E32" s="64">
        <f t="shared" si="0"/>
        <v>0</v>
      </c>
      <c r="F32" s="66">
        <f t="shared" si="1"/>
        <v>0</v>
      </c>
      <c r="G32" s="67">
        <f>COUNTIFS('Detalle Compras Septiembre 2026'!$A:$A, B32, 'Detalle Compras Septiembre 2026'!$B:$B, "Bebidas")</f>
        <v>0</v>
      </c>
      <c r="I32" s="122">
        <v>9</v>
      </c>
      <c r="J32" s="122" t="s">
        <v>514</v>
      </c>
      <c r="K32" s="123" t="s">
        <v>521</v>
      </c>
      <c r="L32" s="123" t="s">
        <v>522</v>
      </c>
      <c r="M32" s="128">
        <v>1</v>
      </c>
      <c r="N32" s="149">
        <v>36000</v>
      </c>
      <c r="O32" s="129">
        <v>24</v>
      </c>
      <c r="P32" s="128">
        <f t="shared" si="4"/>
        <v>24</v>
      </c>
      <c r="Q32" s="149">
        <f t="shared" si="2"/>
        <v>1500</v>
      </c>
      <c r="R32" s="149">
        <v>36000</v>
      </c>
      <c r="S32" s="93"/>
      <c r="T32" s="93"/>
      <c r="U32" s="93"/>
    </row>
    <row r="33" spans="2:21" ht="18" customHeight="1" x14ac:dyDescent="0.25">
      <c r="B33" s="80">
        <v>24</v>
      </c>
      <c r="C33" s="81">
        <f>SUMIFS('Detalle Compras Septiembre 2026'!$G:$G, 'Detalle Compras Septiembre 2026'!$A:$A, B33, 'Detalle Compras Septiembre 2026'!$B:$B, "Bebidas")</f>
        <v>0</v>
      </c>
      <c r="D33" s="82">
        <f>SUMIFS('Detalle Compras Septiembre 2026'!$E:$E, 'Detalle Compras Septiembre 2026'!$A:$A, B33, 'Detalle Compras Septiembre 2026'!$B:$B, "Bebidas")</f>
        <v>0</v>
      </c>
      <c r="E33" s="81">
        <f t="shared" si="0"/>
        <v>0</v>
      </c>
      <c r="F33" s="83">
        <f t="shared" si="1"/>
        <v>0</v>
      </c>
      <c r="G33" s="84">
        <f>COUNTIFS('Detalle Compras Septiembre 2026'!$A:$A, B33, 'Detalle Compras Septiembre 2026'!$B:$B, "Bebidas")</f>
        <v>0</v>
      </c>
      <c r="I33" s="122">
        <v>9</v>
      </c>
      <c r="J33" s="122" t="s">
        <v>514</v>
      </c>
      <c r="K33" s="123" t="s">
        <v>523</v>
      </c>
      <c r="L33" s="123" t="s">
        <v>524</v>
      </c>
      <c r="M33" s="128">
        <v>2</v>
      </c>
      <c r="N33" s="149">
        <v>32000</v>
      </c>
      <c r="O33" s="129">
        <v>24</v>
      </c>
      <c r="P33" s="128">
        <f t="shared" si="4"/>
        <v>48</v>
      </c>
      <c r="Q33" s="149">
        <f t="shared" si="2"/>
        <v>1333.33</v>
      </c>
      <c r="R33" s="149">
        <v>63999.839999999997</v>
      </c>
      <c r="S33" s="93"/>
      <c r="T33" s="93"/>
      <c r="U33" s="93"/>
    </row>
    <row r="34" spans="2:21" ht="18" customHeight="1" x14ac:dyDescent="0.25">
      <c r="B34" s="63">
        <v>25</v>
      </c>
      <c r="C34" s="64">
        <f>SUMIFS('Detalle Compras Septiembre 2026'!$G:$G, 'Detalle Compras Septiembre 2026'!$A:$A, B34, 'Detalle Compras Septiembre 2026'!$B:$B, "Bebidas")</f>
        <v>0</v>
      </c>
      <c r="D34" s="79">
        <f>SUMIFS('Detalle Compras Septiembre 2026'!$E:$E, 'Detalle Compras Septiembre 2026'!$A:$A, B34, 'Detalle Compras Septiembre 2026'!$B:$B, "Bebidas")</f>
        <v>0</v>
      </c>
      <c r="E34" s="64">
        <f t="shared" si="0"/>
        <v>0</v>
      </c>
      <c r="F34" s="66">
        <f t="shared" si="1"/>
        <v>0</v>
      </c>
      <c r="G34" s="67">
        <f>COUNTIFS('Detalle Compras Septiembre 2026'!$A:$A, B34, 'Detalle Compras Septiembre 2026'!$B:$B, "Bebidas")</f>
        <v>0</v>
      </c>
      <c r="I34" s="122">
        <v>9</v>
      </c>
      <c r="J34" s="122" t="s">
        <v>514</v>
      </c>
      <c r="K34" s="123" t="s">
        <v>525</v>
      </c>
      <c r="L34" s="123" t="s">
        <v>526</v>
      </c>
      <c r="M34" s="128">
        <v>3</v>
      </c>
      <c r="N34" s="149">
        <v>57500.1</v>
      </c>
      <c r="O34" s="129">
        <v>30</v>
      </c>
      <c r="P34" s="128">
        <f t="shared" si="4"/>
        <v>90</v>
      </c>
      <c r="Q34" s="149">
        <f t="shared" si="2"/>
        <v>1916.6699999999998</v>
      </c>
      <c r="R34" s="149">
        <v>172500.3</v>
      </c>
      <c r="S34" s="93"/>
      <c r="T34" s="93"/>
      <c r="U34" s="93"/>
    </row>
    <row r="35" spans="2:21" ht="18" customHeight="1" x14ac:dyDescent="0.25">
      <c r="B35" s="80">
        <v>26</v>
      </c>
      <c r="C35" s="81">
        <f>SUMIFS('Detalle Compras Septiembre 2026'!$G:$G, 'Detalle Compras Septiembre 2026'!$A:$A, B35, 'Detalle Compras Septiembre 2026'!$B:$B, "Bebidas")</f>
        <v>0</v>
      </c>
      <c r="D35" s="82">
        <f>SUMIFS('Detalle Compras Septiembre 2026'!$E:$E, 'Detalle Compras Septiembre 2026'!$A:$A, B35, 'Detalle Compras Septiembre 2026'!$B:$B, "Bebidas")</f>
        <v>0</v>
      </c>
      <c r="E35" s="81">
        <f t="shared" si="0"/>
        <v>0</v>
      </c>
      <c r="F35" s="83">
        <f t="shared" si="1"/>
        <v>0</v>
      </c>
      <c r="G35" s="84">
        <f>COUNTIFS('Detalle Compras Septiembre 2026'!$A:$A, B35, 'Detalle Compras Septiembre 2026'!$B:$B, "Bebidas")</f>
        <v>0</v>
      </c>
      <c r="I35" s="122">
        <v>9</v>
      </c>
      <c r="J35" s="122" t="s">
        <v>514</v>
      </c>
      <c r="K35" s="123" t="s">
        <v>527</v>
      </c>
      <c r="L35" s="123" t="s">
        <v>528</v>
      </c>
      <c r="M35" s="125">
        <v>0.5</v>
      </c>
      <c r="N35" s="149">
        <v>51800</v>
      </c>
      <c r="O35" s="129">
        <v>30</v>
      </c>
      <c r="P35" s="128">
        <f t="shared" si="4"/>
        <v>15</v>
      </c>
      <c r="Q35" s="149">
        <f t="shared" si="2"/>
        <v>1726.6660000000002</v>
      </c>
      <c r="R35" s="149">
        <v>25899.99</v>
      </c>
      <c r="S35" s="93"/>
      <c r="T35" s="93"/>
      <c r="U35" s="93"/>
    </row>
    <row r="36" spans="2:21" ht="18" customHeight="1" x14ac:dyDescent="0.25">
      <c r="B36" s="63">
        <v>27</v>
      </c>
      <c r="C36" s="64">
        <f>SUMIFS('Detalle Compras Septiembre 2026'!$G:$G, 'Detalle Compras Septiembre 2026'!$A:$A, B36, 'Detalle Compras Septiembre 2026'!$B:$B, "Bebidas")</f>
        <v>0</v>
      </c>
      <c r="D36" s="79">
        <f>SUMIFS('Detalle Compras Septiembre 2026'!$E:$E, 'Detalle Compras Septiembre 2026'!$A:$A, B36, 'Detalle Compras Septiembre 2026'!$B:$B, "Bebidas")</f>
        <v>0</v>
      </c>
      <c r="E36" s="64">
        <f t="shared" si="0"/>
        <v>0</v>
      </c>
      <c r="F36" s="66">
        <f t="shared" si="1"/>
        <v>0</v>
      </c>
      <c r="G36" s="67">
        <f>COUNTIFS('Detalle Compras Septiembre 2026'!$A:$A, B36, 'Detalle Compras Septiembre 2026'!$B:$B, "Bebidas")</f>
        <v>0</v>
      </c>
      <c r="I36" s="122">
        <v>9</v>
      </c>
      <c r="J36" s="122" t="s">
        <v>514</v>
      </c>
      <c r="K36" s="123" t="s">
        <v>529</v>
      </c>
      <c r="L36" s="123" t="s">
        <v>530</v>
      </c>
      <c r="M36" s="125">
        <v>0.5</v>
      </c>
      <c r="N36" s="149">
        <v>51800</v>
      </c>
      <c r="O36" s="129">
        <v>30</v>
      </c>
      <c r="P36" s="128">
        <f t="shared" si="4"/>
        <v>15</v>
      </c>
      <c r="Q36" s="149">
        <f t="shared" si="2"/>
        <v>1726.6660000000002</v>
      </c>
      <c r="R36" s="149">
        <v>25899.99</v>
      </c>
      <c r="S36" s="93"/>
      <c r="T36" s="93"/>
      <c r="U36" s="93"/>
    </row>
    <row r="37" spans="2:21" ht="18" customHeight="1" x14ac:dyDescent="0.25">
      <c r="B37" s="80">
        <v>28</v>
      </c>
      <c r="C37" s="81">
        <f>SUMIFS('Detalle Compras Septiembre 2026'!$G:$G, 'Detalle Compras Septiembre 2026'!$A:$A, B37, 'Detalle Compras Septiembre 2026'!$B:$B, "Bebidas")</f>
        <v>0</v>
      </c>
      <c r="D37" s="82">
        <f>SUMIFS('Detalle Compras Septiembre 2026'!$E:$E, 'Detalle Compras Septiembre 2026'!$A:$A, B37, 'Detalle Compras Septiembre 2026'!$B:$B, "Bebidas")</f>
        <v>0</v>
      </c>
      <c r="E37" s="81">
        <f t="shared" si="0"/>
        <v>0</v>
      </c>
      <c r="F37" s="83">
        <f t="shared" si="1"/>
        <v>0</v>
      </c>
      <c r="G37" s="84">
        <f>COUNTIFS('Detalle Compras Septiembre 2026'!$A:$A, B37, 'Detalle Compras Septiembre 2026'!$B:$B, "Bebidas")</f>
        <v>0</v>
      </c>
      <c r="I37" s="122">
        <v>9</v>
      </c>
      <c r="J37" s="122" t="s">
        <v>514</v>
      </c>
      <c r="K37" s="123" t="s">
        <v>531</v>
      </c>
      <c r="L37" s="123" t="s">
        <v>532</v>
      </c>
      <c r="M37" s="125">
        <v>0.5</v>
      </c>
      <c r="N37" s="149">
        <v>51800</v>
      </c>
      <c r="O37" s="129">
        <v>30</v>
      </c>
      <c r="P37" s="128">
        <f t="shared" si="4"/>
        <v>15</v>
      </c>
      <c r="Q37" s="149">
        <f t="shared" si="2"/>
        <v>1726.6660000000002</v>
      </c>
      <c r="R37" s="149">
        <v>25899.99</v>
      </c>
      <c r="S37" s="93"/>
      <c r="T37" s="93"/>
      <c r="U37" s="93"/>
    </row>
    <row r="38" spans="2:21" ht="18" customHeight="1" x14ac:dyDescent="0.25">
      <c r="B38" s="63">
        <v>29</v>
      </c>
      <c r="C38" s="64">
        <f>SUMIFS('Detalle Compras Septiembre 2026'!$G:$G, 'Detalle Compras Septiembre 2026'!$A:$A, B38, 'Detalle Compras Septiembre 2026'!$B:$B, "Bebidas")</f>
        <v>0</v>
      </c>
      <c r="D38" s="79">
        <f>SUMIFS('Detalle Compras Septiembre 2026'!$E:$E, 'Detalle Compras Septiembre 2026'!$A:$A, B38, 'Detalle Compras Septiembre 2026'!$B:$B, "Bebidas")</f>
        <v>0</v>
      </c>
      <c r="E38" s="64">
        <f t="shared" si="0"/>
        <v>0</v>
      </c>
      <c r="F38" s="66">
        <f t="shared" si="1"/>
        <v>0</v>
      </c>
      <c r="G38" s="67">
        <f>COUNTIFS('Detalle Compras Septiembre 2026'!$A:$A, B38, 'Detalle Compras Septiembre 2026'!$B:$B, "Bebidas")</f>
        <v>0</v>
      </c>
      <c r="I38" s="122">
        <v>9</v>
      </c>
      <c r="J38" s="122" t="s">
        <v>514</v>
      </c>
      <c r="K38" s="123" t="s">
        <v>533</v>
      </c>
      <c r="L38" s="123" t="s">
        <v>534</v>
      </c>
      <c r="M38" s="125">
        <v>0.5</v>
      </c>
      <c r="N38" s="149">
        <v>51800</v>
      </c>
      <c r="O38" s="129">
        <v>30</v>
      </c>
      <c r="P38" s="128">
        <f t="shared" si="4"/>
        <v>15</v>
      </c>
      <c r="Q38" s="149">
        <f t="shared" si="2"/>
        <v>1726.6660000000002</v>
      </c>
      <c r="R38" s="149">
        <v>25899.99</v>
      </c>
      <c r="S38" s="93"/>
      <c r="T38" s="93"/>
      <c r="U38" s="93"/>
    </row>
    <row r="39" spans="2:21" ht="18" customHeight="1" x14ac:dyDescent="0.25">
      <c r="B39" s="80">
        <v>30</v>
      </c>
      <c r="C39" s="81">
        <f>SUMIFS('Detalle Compras Septiembre 2026'!$G:$G, 'Detalle Compras Septiembre 2026'!$A:$A, B39, 'Detalle Compras Septiembre 2026'!$B:$B, "Bebidas")</f>
        <v>0</v>
      </c>
      <c r="D39" s="82">
        <f>SUMIFS('Detalle Compras Septiembre 2026'!$E:$E, 'Detalle Compras Septiembre 2026'!$A:$A, B39, 'Detalle Compras Septiembre 2026'!$B:$B, "Bebidas")</f>
        <v>0</v>
      </c>
      <c r="E39" s="81">
        <f t="shared" si="0"/>
        <v>0</v>
      </c>
      <c r="F39" s="83">
        <f t="shared" si="1"/>
        <v>0</v>
      </c>
      <c r="G39" s="84">
        <f>COUNTIFS('Detalle Compras Septiembre 2026'!$A:$A, B39, 'Detalle Compras Septiembre 2026'!$B:$B, "Bebidas")</f>
        <v>0</v>
      </c>
      <c r="I39" s="122">
        <v>9</v>
      </c>
      <c r="J39" s="122" t="s">
        <v>514</v>
      </c>
      <c r="K39" s="123" t="s">
        <v>535</v>
      </c>
      <c r="L39" s="123" t="s">
        <v>536</v>
      </c>
      <c r="M39" s="128">
        <v>1</v>
      </c>
      <c r="N39" s="149">
        <v>45000</v>
      </c>
      <c r="O39" s="129">
        <v>30</v>
      </c>
      <c r="P39" s="128">
        <f t="shared" si="4"/>
        <v>30</v>
      </c>
      <c r="Q39" s="149">
        <f t="shared" si="2"/>
        <v>1499.9949999999999</v>
      </c>
      <c r="R39" s="149">
        <v>44999.85</v>
      </c>
      <c r="S39" s="93"/>
      <c r="T39" s="93"/>
      <c r="U39" s="93"/>
    </row>
    <row r="40" spans="2:21" ht="18" customHeight="1" x14ac:dyDescent="0.25">
      <c r="B40" s="92" t="s">
        <v>47</v>
      </c>
      <c r="C40" s="85">
        <f>SUM(C10:C39)</f>
        <v>2669500</v>
      </c>
      <c r="D40" s="86">
        <f>SUM(D10:D39)</f>
        <v>1076</v>
      </c>
      <c r="E40" s="85">
        <f t="shared" si="0"/>
        <v>2480.9479553903348</v>
      </c>
      <c r="F40" s="87">
        <f>IF(C40&gt;0, 1, 0)</f>
        <v>1</v>
      </c>
      <c r="G40" s="88">
        <f>SUM(G10:G39)</f>
        <v>30</v>
      </c>
      <c r="I40" s="122">
        <v>9</v>
      </c>
      <c r="J40" s="122" t="s">
        <v>514</v>
      </c>
      <c r="K40" s="123" t="s">
        <v>537</v>
      </c>
      <c r="L40" s="123" t="s">
        <v>538</v>
      </c>
      <c r="M40" s="128">
        <v>1</v>
      </c>
      <c r="N40" s="149">
        <v>45000</v>
      </c>
      <c r="O40" s="129">
        <v>12</v>
      </c>
      <c r="P40" s="128">
        <f t="shared" si="4"/>
        <v>12</v>
      </c>
      <c r="Q40" s="149">
        <f t="shared" si="2"/>
        <v>3749.9991666666665</v>
      </c>
      <c r="R40" s="149">
        <v>44999.99</v>
      </c>
      <c r="S40" s="93"/>
      <c r="T40" s="93"/>
      <c r="U40" s="93"/>
    </row>
    <row r="41" spans="2:21" ht="18" customHeight="1" x14ac:dyDescent="0.25">
      <c r="I41" s="122">
        <v>9</v>
      </c>
      <c r="J41" s="122" t="s">
        <v>514</v>
      </c>
      <c r="K41" s="123" t="s">
        <v>539</v>
      </c>
      <c r="L41" s="123" t="s">
        <v>540</v>
      </c>
      <c r="M41" s="128">
        <v>1</v>
      </c>
      <c r="N41" s="149">
        <v>45000</v>
      </c>
      <c r="O41" s="129">
        <v>12</v>
      </c>
      <c r="P41" s="128">
        <f t="shared" si="4"/>
        <v>12</v>
      </c>
      <c r="Q41" s="149">
        <f t="shared" si="2"/>
        <v>3749.9991666666665</v>
      </c>
      <c r="R41" s="149">
        <v>44999.99</v>
      </c>
    </row>
    <row r="42" spans="2:21" ht="18" customHeight="1" x14ac:dyDescent="0.25">
      <c r="I42" s="122">
        <v>9</v>
      </c>
      <c r="J42" s="122" t="s">
        <v>514</v>
      </c>
      <c r="K42" s="123" t="s">
        <v>541</v>
      </c>
      <c r="L42" s="123" t="s">
        <v>542</v>
      </c>
      <c r="M42" s="128">
        <v>1</v>
      </c>
      <c r="N42" s="149">
        <v>45000</v>
      </c>
      <c r="O42" s="129">
        <v>12</v>
      </c>
      <c r="P42" s="128">
        <f t="shared" si="4"/>
        <v>12</v>
      </c>
      <c r="Q42" s="149">
        <f t="shared" si="2"/>
        <v>3750.0008333333335</v>
      </c>
      <c r="R42" s="149">
        <v>45000.01</v>
      </c>
    </row>
    <row r="43" spans="2:21" ht="18" customHeight="1" x14ac:dyDescent="0.25">
      <c r="I43" s="252" t="s">
        <v>543</v>
      </c>
      <c r="J43" s="253"/>
      <c r="K43" s="253"/>
      <c r="L43" s="254"/>
      <c r="M43" s="130">
        <f>SUM(M28:M42)</f>
        <v>734</v>
      </c>
      <c r="N43" s="151">
        <f>IF(M43&gt;0, R43/M43, 0)</f>
        <v>1532.8337874659401</v>
      </c>
      <c r="O43" s="133" t="s">
        <v>50</v>
      </c>
      <c r="P43" s="132">
        <f>SUM(P28:P42)</f>
        <v>1038</v>
      </c>
      <c r="Q43" s="151">
        <f t="shared" si="2"/>
        <v>1083.9113680154142</v>
      </c>
      <c r="R43" s="151">
        <f>SUM(R28:R42)</f>
        <v>1125100</v>
      </c>
    </row>
    <row r="44" spans="2:21" ht="18" customHeight="1" x14ac:dyDescent="0.25">
      <c r="I44" s="256" t="s">
        <v>544</v>
      </c>
      <c r="J44" s="257"/>
      <c r="K44" s="257"/>
      <c r="L44" s="258"/>
      <c r="M44" s="134">
        <f>M14+M18+M27+M43</f>
        <v>772</v>
      </c>
      <c r="N44" s="152">
        <f>IF(M44&gt;0, R44/M44, 0)</f>
        <v>3457.9015544041449</v>
      </c>
      <c r="O44" s="135" t="s">
        <v>50</v>
      </c>
      <c r="P44" s="136">
        <f>P14+P18+P27+P43</f>
        <v>1578</v>
      </c>
      <c r="Q44" s="152">
        <f t="shared" si="2"/>
        <v>1691.6983523447402</v>
      </c>
      <c r="R44" s="152">
        <f>R14+R18+R27+R43</f>
        <v>2669500</v>
      </c>
    </row>
    <row r="45" spans="2:21" ht="18" customHeight="1" x14ac:dyDescent="0.25">
      <c r="I45" s="127"/>
      <c r="J45" s="127"/>
      <c r="K45" s="127"/>
      <c r="L45" s="127"/>
      <c r="M45" s="127"/>
      <c r="N45" s="127"/>
      <c r="O45" s="127"/>
      <c r="P45" s="127"/>
      <c r="Q45" s="127"/>
      <c r="R45" s="127"/>
    </row>
    <row r="46" spans="2:21" ht="18" customHeight="1" x14ac:dyDescent="0.25">
      <c r="I46" s="127"/>
      <c r="J46" s="127"/>
      <c r="K46" s="127"/>
      <c r="L46" s="127"/>
      <c r="M46" s="127"/>
      <c r="N46" s="127"/>
      <c r="O46" s="127"/>
      <c r="P46" s="127"/>
      <c r="Q46" s="127"/>
      <c r="R46" s="127"/>
    </row>
    <row r="47" spans="2:21" ht="18" customHeight="1" x14ac:dyDescent="0.25">
      <c r="I47" s="127"/>
      <c r="J47" s="127"/>
      <c r="K47" s="127"/>
      <c r="L47" s="127"/>
      <c r="M47" s="127"/>
      <c r="N47" s="127"/>
      <c r="O47" s="127"/>
      <c r="P47" s="127"/>
      <c r="Q47" s="127"/>
      <c r="R47" s="127"/>
    </row>
    <row r="48" spans="2:21" ht="18" customHeight="1" x14ac:dyDescent="0.25">
      <c r="I48" s="127"/>
      <c r="J48" s="127"/>
      <c r="K48" s="127"/>
      <c r="L48" s="127"/>
      <c r="M48" s="127"/>
      <c r="N48" s="127"/>
      <c r="O48" s="127"/>
      <c r="P48" s="127"/>
      <c r="Q48" s="127"/>
      <c r="R48" s="127"/>
    </row>
    <row r="49" spans="9:18" ht="20.100000000000001" customHeight="1" x14ac:dyDescent="0.25">
      <c r="I49" s="127"/>
      <c r="J49" s="127"/>
      <c r="K49" s="127"/>
      <c r="L49" s="127"/>
      <c r="M49" s="127"/>
      <c r="N49" s="127"/>
      <c r="O49" s="127"/>
      <c r="P49" s="127"/>
      <c r="Q49" s="127"/>
      <c r="R49" s="127"/>
    </row>
    <row r="50" spans="9:18" x14ac:dyDescent="0.25">
      <c r="I50" s="127"/>
      <c r="J50" s="127"/>
      <c r="K50" s="127"/>
      <c r="L50" s="127"/>
      <c r="M50" s="127"/>
      <c r="N50" s="127"/>
      <c r="O50" s="127"/>
      <c r="P50" s="127"/>
      <c r="Q50" s="127"/>
      <c r="R50" s="127"/>
    </row>
    <row r="51" spans="9:18" x14ac:dyDescent="0.25">
      <c r="I51" s="127"/>
      <c r="J51" s="127"/>
      <c r="K51" s="127"/>
      <c r="L51" s="127"/>
      <c r="M51" s="127"/>
      <c r="N51" s="127"/>
      <c r="O51" s="127"/>
      <c r="P51" s="127"/>
      <c r="Q51" s="127"/>
      <c r="R51" s="127"/>
    </row>
    <row r="52" spans="9:18" x14ac:dyDescent="0.25">
      <c r="I52" s="127"/>
      <c r="J52" s="127"/>
      <c r="K52" s="127"/>
      <c r="L52" s="127"/>
      <c r="M52" s="127"/>
      <c r="N52" s="127"/>
      <c r="O52" s="127"/>
      <c r="P52" s="127"/>
      <c r="Q52" s="127"/>
      <c r="R52" s="127"/>
    </row>
    <row r="53" spans="9:18" x14ac:dyDescent="0.25">
      <c r="I53" s="127"/>
      <c r="J53" s="127"/>
      <c r="K53" s="127"/>
      <c r="L53" s="127"/>
      <c r="M53" s="127"/>
      <c r="N53" s="127"/>
      <c r="O53" s="127"/>
      <c r="P53" s="127"/>
      <c r="Q53" s="127"/>
      <c r="R53" s="127"/>
    </row>
    <row r="54" spans="9:18" x14ac:dyDescent="0.25">
      <c r="I54" s="127"/>
      <c r="J54" s="127"/>
      <c r="K54" s="127"/>
      <c r="L54" s="127"/>
      <c r="M54" s="127"/>
      <c r="N54" s="127"/>
      <c r="O54" s="127"/>
      <c r="P54" s="127"/>
      <c r="Q54" s="127"/>
      <c r="R54" s="127"/>
    </row>
    <row r="55" spans="9:18" x14ac:dyDescent="0.25">
      <c r="I55" s="127"/>
      <c r="J55" s="127"/>
      <c r="K55" s="127"/>
      <c r="L55" s="127"/>
      <c r="M55" s="127"/>
      <c r="N55" s="127"/>
      <c r="O55" s="127"/>
      <c r="P55" s="127"/>
      <c r="Q55" s="127"/>
      <c r="R55" s="127"/>
    </row>
    <row r="56" spans="9:18" x14ac:dyDescent="0.25">
      <c r="I56" s="127"/>
      <c r="J56" s="127"/>
      <c r="K56" s="127"/>
      <c r="L56" s="127"/>
      <c r="M56" s="127"/>
      <c r="N56" s="127"/>
      <c r="O56" s="127"/>
      <c r="P56" s="127"/>
      <c r="Q56" s="127"/>
      <c r="R56" s="127"/>
    </row>
    <row r="57" spans="9:18" x14ac:dyDescent="0.25">
      <c r="I57" s="127"/>
      <c r="J57" s="127"/>
      <c r="K57" s="127"/>
      <c r="L57" s="127"/>
      <c r="M57" s="127"/>
      <c r="N57" s="127"/>
      <c r="O57" s="127"/>
      <c r="P57" s="127"/>
      <c r="Q57" s="127"/>
      <c r="R57" s="127"/>
    </row>
    <row r="58" spans="9:18" x14ac:dyDescent="0.25">
      <c r="I58" s="127"/>
      <c r="J58" s="127"/>
      <c r="K58" s="127"/>
      <c r="L58" s="127"/>
      <c r="M58" s="127"/>
      <c r="N58" s="127"/>
      <c r="O58" s="127"/>
      <c r="P58" s="127"/>
      <c r="Q58" s="127"/>
      <c r="R58" s="127"/>
    </row>
    <row r="59" spans="9:18" x14ac:dyDescent="0.25">
      <c r="I59" s="127"/>
      <c r="J59" s="127"/>
      <c r="K59" s="127"/>
      <c r="L59" s="127"/>
      <c r="M59" s="127"/>
      <c r="N59" s="127"/>
      <c r="O59" s="127"/>
      <c r="P59" s="127"/>
      <c r="Q59" s="127"/>
      <c r="R59" s="127"/>
    </row>
    <row r="60" spans="9:18" x14ac:dyDescent="0.25">
      <c r="I60" s="127"/>
      <c r="J60" s="127"/>
      <c r="K60" s="127"/>
      <c r="L60" s="127"/>
      <c r="M60" s="127"/>
      <c r="N60" s="127"/>
      <c r="O60" s="127"/>
      <c r="P60" s="127"/>
      <c r="Q60" s="127"/>
      <c r="R60" s="127"/>
    </row>
    <row r="61" spans="9:18" x14ac:dyDescent="0.25">
      <c r="I61" s="127"/>
      <c r="J61" s="127"/>
      <c r="K61" s="127"/>
      <c r="L61" s="127"/>
      <c r="M61" s="127"/>
      <c r="N61" s="127"/>
      <c r="O61" s="127"/>
      <c r="P61" s="127"/>
      <c r="Q61" s="127"/>
      <c r="R61" s="127"/>
    </row>
    <row r="62" spans="9:18" x14ac:dyDescent="0.25">
      <c r="I62" s="127"/>
      <c r="J62" s="127"/>
      <c r="K62" s="127"/>
      <c r="L62" s="127"/>
      <c r="M62" s="127"/>
      <c r="N62" s="127"/>
      <c r="O62" s="127"/>
      <c r="P62" s="127"/>
      <c r="Q62" s="127"/>
      <c r="R62" s="127"/>
    </row>
    <row r="63" spans="9:18" x14ac:dyDescent="0.25">
      <c r="I63" s="127"/>
      <c r="J63" s="127"/>
      <c r="K63" s="127"/>
      <c r="L63" s="127"/>
      <c r="M63" s="127"/>
      <c r="N63" s="127"/>
      <c r="O63" s="127"/>
      <c r="P63" s="127"/>
      <c r="Q63" s="127"/>
      <c r="R63" s="127"/>
    </row>
    <row r="64" spans="9:18" x14ac:dyDescent="0.25">
      <c r="I64" s="127"/>
      <c r="J64" s="127"/>
      <c r="K64" s="127"/>
      <c r="L64" s="127"/>
      <c r="M64" s="127"/>
      <c r="N64" s="127"/>
      <c r="O64" s="127"/>
      <c r="P64" s="127"/>
      <c r="Q64" s="127"/>
      <c r="R64" s="127"/>
    </row>
    <row r="65" spans="9:18" x14ac:dyDescent="0.25">
      <c r="I65" s="127"/>
      <c r="J65" s="127"/>
      <c r="K65" s="127"/>
      <c r="L65" s="127"/>
      <c r="M65" s="127"/>
      <c r="N65" s="127"/>
      <c r="O65" s="127"/>
      <c r="P65" s="127"/>
      <c r="Q65" s="127"/>
      <c r="R65" s="127"/>
    </row>
    <row r="66" spans="9:18" x14ac:dyDescent="0.25">
      <c r="I66" s="127"/>
      <c r="J66" s="127"/>
      <c r="K66" s="127"/>
      <c r="L66" s="127"/>
      <c r="M66" s="127"/>
      <c r="N66" s="127"/>
      <c r="O66" s="127"/>
      <c r="P66" s="127"/>
      <c r="Q66" s="127"/>
      <c r="R66" s="127"/>
    </row>
    <row r="67" spans="9:18" x14ac:dyDescent="0.25">
      <c r="I67" s="127"/>
      <c r="J67" s="127"/>
      <c r="K67" s="127"/>
      <c r="L67" s="127"/>
      <c r="M67" s="127"/>
      <c r="N67" s="127"/>
      <c r="O67" s="127"/>
      <c r="P67" s="127"/>
      <c r="Q67" s="127"/>
      <c r="R67" s="127"/>
    </row>
    <row r="68" spans="9:18" x14ac:dyDescent="0.25">
      <c r="I68" s="127"/>
      <c r="J68" s="127"/>
      <c r="K68" s="127"/>
      <c r="L68" s="127"/>
      <c r="M68" s="127"/>
      <c r="N68" s="127"/>
      <c r="O68" s="127"/>
      <c r="P68" s="127"/>
      <c r="Q68" s="127"/>
      <c r="R68" s="127"/>
    </row>
    <row r="69" spans="9:18" x14ac:dyDescent="0.25">
      <c r="I69" s="127"/>
      <c r="J69" s="127"/>
      <c r="K69" s="127"/>
      <c r="L69" s="127"/>
      <c r="M69" s="127"/>
      <c r="N69" s="127"/>
      <c r="O69" s="127"/>
      <c r="P69" s="127"/>
      <c r="Q69" s="127"/>
      <c r="R69" s="127"/>
    </row>
    <row r="70" spans="9:18" x14ac:dyDescent="0.25">
      <c r="I70" s="127"/>
      <c r="J70" s="127"/>
      <c r="K70" s="127"/>
      <c r="L70" s="127"/>
      <c r="M70" s="127"/>
      <c r="N70" s="127"/>
      <c r="O70" s="127"/>
      <c r="P70" s="127"/>
      <c r="Q70" s="127"/>
      <c r="R70" s="127"/>
    </row>
    <row r="71" spans="9:18" x14ac:dyDescent="0.25">
      <c r="I71" s="127"/>
      <c r="J71" s="127"/>
      <c r="K71" s="127"/>
      <c r="L71" s="127"/>
      <c r="M71" s="127"/>
      <c r="N71" s="127"/>
      <c r="O71" s="127"/>
      <c r="P71" s="127"/>
      <c r="Q71" s="127"/>
      <c r="R71" s="127"/>
    </row>
    <row r="72" spans="9:18" x14ac:dyDescent="0.25">
      <c r="I72" s="127"/>
      <c r="J72" s="127"/>
      <c r="K72" s="127"/>
      <c r="L72" s="127"/>
      <c r="M72" s="127"/>
      <c r="N72" s="127"/>
      <c r="O72" s="127"/>
      <c r="P72" s="127"/>
      <c r="Q72" s="127"/>
      <c r="R72" s="127"/>
    </row>
    <row r="73" spans="9:18" x14ac:dyDescent="0.25">
      <c r="I73" s="127"/>
      <c r="J73" s="127"/>
      <c r="K73" s="127"/>
      <c r="L73" s="127"/>
      <c r="M73" s="127"/>
      <c r="N73" s="127"/>
      <c r="O73" s="127"/>
      <c r="P73" s="127"/>
      <c r="Q73" s="127"/>
      <c r="R73" s="127"/>
    </row>
    <row r="74" spans="9:18" x14ac:dyDescent="0.25">
      <c r="I74" s="127"/>
      <c r="J74" s="127"/>
      <c r="K74" s="127"/>
      <c r="L74" s="127"/>
      <c r="M74" s="127"/>
      <c r="N74" s="127"/>
      <c r="O74" s="127"/>
      <c r="P74" s="127"/>
      <c r="Q74" s="127"/>
      <c r="R74" s="127"/>
    </row>
    <row r="75" spans="9:18" x14ac:dyDescent="0.25">
      <c r="I75" s="127"/>
      <c r="J75" s="127"/>
      <c r="K75" s="127"/>
      <c r="L75" s="127"/>
      <c r="M75" s="127"/>
      <c r="N75" s="127"/>
      <c r="O75" s="127"/>
      <c r="P75" s="127"/>
      <c r="Q75" s="127"/>
      <c r="R75" s="127"/>
    </row>
    <row r="76" spans="9:18" x14ac:dyDescent="0.25">
      <c r="I76" s="127"/>
      <c r="J76" s="127"/>
      <c r="K76" s="127"/>
      <c r="L76" s="127"/>
      <c r="M76" s="127"/>
      <c r="N76" s="127"/>
      <c r="O76" s="127"/>
      <c r="P76" s="127"/>
      <c r="Q76" s="127"/>
      <c r="R76" s="127"/>
    </row>
    <row r="77" spans="9:18" x14ac:dyDescent="0.25">
      <c r="I77" s="127"/>
      <c r="J77" s="127"/>
      <c r="K77" s="127"/>
      <c r="L77" s="127"/>
      <c r="M77" s="127"/>
      <c r="N77" s="127"/>
      <c r="O77" s="127"/>
      <c r="P77" s="127"/>
      <c r="Q77" s="127"/>
      <c r="R77" s="127"/>
    </row>
    <row r="78" spans="9:18" x14ac:dyDescent="0.25">
      <c r="I78" s="127"/>
      <c r="J78" s="127"/>
      <c r="K78" s="127"/>
      <c r="L78" s="127"/>
      <c r="M78" s="127"/>
      <c r="N78" s="127"/>
      <c r="O78" s="127"/>
      <c r="P78" s="127"/>
      <c r="Q78" s="127"/>
      <c r="R78" s="127"/>
    </row>
    <row r="79" spans="9:18" x14ac:dyDescent="0.25">
      <c r="I79" s="127"/>
      <c r="J79" s="127"/>
      <c r="K79" s="127"/>
      <c r="L79" s="127"/>
      <c r="M79" s="127"/>
      <c r="N79" s="127"/>
      <c r="O79" s="127"/>
      <c r="P79" s="127"/>
      <c r="Q79" s="127"/>
      <c r="R79" s="127"/>
    </row>
    <row r="80" spans="9:18" x14ac:dyDescent="0.25">
      <c r="I80" s="127"/>
      <c r="J80" s="127"/>
      <c r="K80" s="127"/>
      <c r="L80" s="127"/>
      <c r="M80" s="127"/>
      <c r="N80" s="127"/>
      <c r="O80" s="127"/>
      <c r="P80" s="127"/>
      <c r="Q80" s="127"/>
      <c r="R80" s="127"/>
    </row>
    <row r="81" spans="9:18" x14ac:dyDescent="0.25">
      <c r="I81" s="127"/>
      <c r="J81" s="127"/>
      <c r="K81" s="127"/>
      <c r="L81" s="127"/>
      <c r="M81" s="127"/>
      <c r="N81" s="127"/>
      <c r="O81" s="127"/>
      <c r="P81" s="127"/>
      <c r="Q81" s="127"/>
      <c r="R81" s="127"/>
    </row>
    <row r="82" spans="9:18" x14ac:dyDescent="0.25">
      <c r="I82" s="127"/>
      <c r="J82" s="127"/>
      <c r="K82" s="127"/>
      <c r="L82" s="127"/>
      <c r="M82" s="127"/>
      <c r="N82" s="127"/>
      <c r="O82" s="127"/>
      <c r="P82" s="127"/>
      <c r="Q82" s="127"/>
      <c r="R82" s="127"/>
    </row>
    <row r="83" spans="9:18" x14ac:dyDescent="0.25">
      <c r="I83" s="127"/>
      <c r="J83" s="127"/>
      <c r="K83" s="127"/>
      <c r="L83" s="127"/>
      <c r="M83" s="127"/>
      <c r="N83" s="127"/>
      <c r="O83" s="127"/>
      <c r="P83" s="127"/>
      <c r="Q83" s="127"/>
      <c r="R83" s="127"/>
    </row>
    <row r="84" spans="9:18" x14ac:dyDescent="0.25">
      <c r="I84" s="127"/>
      <c r="J84" s="127"/>
      <c r="K84" s="127"/>
      <c r="L84" s="127"/>
      <c r="M84" s="127"/>
      <c r="N84" s="127"/>
      <c r="O84" s="127"/>
      <c r="P84" s="127"/>
      <c r="Q84" s="127"/>
      <c r="R84" s="127"/>
    </row>
    <row r="85" spans="9:18" x14ac:dyDescent="0.25">
      <c r="I85" s="127"/>
      <c r="J85" s="127"/>
      <c r="K85" s="127"/>
      <c r="L85" s="127"/>
      <c r="M85" s="127"/>
      <c r="N85" s="127"/>
      <c r="O85" s="127"/>
      <c r="P85" s="127"/>
      <c r="Q85" s="127"/>
      <c r="R85" s="127"/>
    </row>
    <row r="86" spans="9:18" x14ac:dyDescent="0.25">
      <c r="I86" s="127"/>
      <c r="J86" s="127"/>
      <c r="K86" s="127"/>
      <c r="L86" s="127"/>
      <c r="M86" s="127"/>
      <c r="N86" s="127"/>
      <c r="O86" s="127"/>
      <c r="P86" s="127"/>
      <c r="Q86" s="127"/>
      <c r="R86" s="127"/>
    </row>
    <row r="87" spans="9:18" x14ac:dyDescent="0.25">
      <c r="I87" s="127"/>
      <c r="J87" s="127"/>
      <c r="K87" s="127"/>
      <c r="L87" s="127"/>
      <c r="M87" s="127"/>
      <c r="N87" s="127"/>
      <c r="O87" s="127"/>
      <c r="P87" s="127"/>
      <c r="Q87" s="127"/>
      <c r="R87" s="127"/>
    </row>
    <row r="88" spans="9:18" x14ac:dyDescent="0.25">
      <c r="I88" s="127"/>
      <c r="J88" s="127"/>
      <c r="K88" s="127"/>
      <c r="L88" s="127"/>
      <c r="M88" s="127"/>
      <c r="N88" s="127"/>
      <c r="O88" s="127"/>
      <c r="P88" s="127"/>
      <c r="Q88" s="127"/>
      <c r="R88" s="127"/>
    </row>
    <row r="89" spans="9:18" x14ac:dyDescent="0.25">
      <c r="I89" s="127"/>
      <c r="J89" s="127"/>
      <c r="K89" s="127"/>
      <c r="L89" s="127"/>
      <c r="M89" s="127"/>
      <c r="N89" s="127"/>
      <c r="O89" s="127"/>
      <c r="P89" s="127"/>
      <c r="Q89" s="127"/>
      <c r="R89" s="127"/>
    </row>
    <row r="90" spans="9:18" x14ac:dyDescent="0.25">
      <c r="I90" s="127"/>
      <c r="J90" s="127"/>
      <c r="K90" s="127"/>
      <c r="L90" s="127"/>
      <c r="M90" s="127"/>
      <c r="N90" s="127"/>
      <c r="O90" s="127"/>
      <c r="P90" s="127"/>
      <c r="Q90" s="127"/>
      <c r="R90" s="127"/>
    </row>
    <row r="91" spans="9:18" x14ac:dyDescent="0.25">
      <c r="I91" s="127"/>
      <c r="J91" s="127"/>
      <c r="K91" s="127"/>
      <c r="L91" s="127"/>
      <c r="M91" s="127"/>
      <c r="N91" s="127"/>
      <c r="O91" s="127"/>
      <c r="P91" s="127"/>
      <c r="Q91" s="127"/>
      <c r="R91" s="127"/>
    </row>
    <row r="92" spans="9:18" x14ac:dyDescent="0.25">
      <c r="I92" s="127"/>
      <c r="J92" s="127"/>
      <c r="K92" s="127"/>
      <c r="L92" s="127"/>
      <c r="M92" s="127"/>
      <c r="N92" s="127"/>
      <c r="O92" s="127"/>
      <c r="P92" s="127"/>
      <c r="Q92" s="127"/>
      <c r="R92" s="127"/>
    </row>
    <row r="93" spans="9:18" x14ac:dyDescent="0.25">
      <c r="I93" s="127"/>
      <c r="J93" s="127"/>
      <c r="K93" s="127"/>
      <c r="L93" s="127"/>
      <c r="M93" s="127"/>
      <c r="N93" s="127"/>
      <c r="O93" s="127"/>
      <c r="P93" s="127"/>
      <c r="Q93" s="127"/>
      <c r="R93" s="127"/>
    </row>
    <row r="94" spans="9:18" x14ac:dyDescent="0.25">
      <c r="I94" s="127"/>
      <c r="J94" s="127"/>
      <c r="K94" s="127"/>
      <c r="L94" s="127"/>
      <c r="M94" s="127"/>
      <c r="N94" s="127"/>
      <c r="O94" s="127"/>
      <c r="P94" s="127"/>
      <c r="Q94" s="127"/>
      <c r="R94" s="127"/>
    </row>
    <row r="95" spans="9:18" x14ac:dyDescent="0.25">
      <c r="I95" s="127"/>
      <c r="J95" s="127"/>
      <c r="K95" s="127"/>
      <c r="L95" s="127"/>
      <c r="M95" s="127"/>
      <c r="N95" s="127"/>
      <c r="O95" s="127"/>
      <c r="P95" s="127"/>
      <c r="Q95" s="127"/>
      <c r="R95" s="127"/>
    </row>
    <row r="96" spans="9:18" x14ac:dyDescent="0.25">
      <c r="I96" s="127"/>
      <c r="J96" s="127"/>
      <c r="K96" s="127"/>
      <c r="L96" s="127"/>
      <c r="M96" s="127"/>
      <c r="N96" s="127"/>
      <c r="O96" s="127"/>
      <c r="P96" s="127"/>
      <c r="Q96" s="127"/>
      <c r="R96" s="127"/>
    </row>
    <row r="97" spans="9:18" x14ac:dyDescent="0.25">
      <c r="I97" s="127"/>
      <c r="J97" s="127"/>
      <c r="K97" s="127"/>
      <c r="L97" s="127"/>
      <c r="M97" s="127"/>
      <c r="N97" s="127"/>
      <c r="O97" s="127"/>
      <c r="P97" s="127"/>
      <c r="Q97" s="127"/>
      <c r="R97" s="127"/>
    </row>
    <row r="98" spans="9:18" x14ac:dyDescent="0.25">
      <c r="I98" s="127"/>
      <c r="J98" s="127"/>
      <c r="K98" s="127"/>
      <c r="L98" s="127"/>
      <c r="M98" s="127"/>
      <c r="N98" s="127"/>
      <c r="O98" s="127"/>
      <c r="P98" s="127"/>
      <c r="Q98" s="127"/>
      <c r="R98" s="127"/>
    </row>
    <row r="99" spans="9:18" x14ac:dyDescent="0.25">
      <c r="I99" s="127"/>
      <c r="J99" s="127"/>
      <c r="K99" s="127"/>
      <c r="L99" s="127"/>
      <c r="M99" s="127"/>
      <c r="N99" s="127"/>
      <c r="O99" s="127"/>
      <c r="P99" s="127"/>
      <c r="Q99" s="127"/>
      <c r="R99" s="127"/>
    </row>
  </sheetData>
  <mergeCells count="13">
    <mergeCell ref="B2:H2"/>
    <mergeCell ref="B3:H3"/>
    <mergeCell ref="I27:L27"/>
    <mergeCell ref="B5:C5"/>
    <mergeCell ref="I44:L44"/>
    <mergeCell ref="I43:L43"/>
    <mergeCell ref="D5:E5"/>
    <mergeCell ref="B8:G8"/>
    <mergeCell ref="D6:E6"/>
    <mergeCell ref="B6:C6"/>
    <mergeCell ref="I14:L14"/>
    <mergeCell ref="I18:L18"/>
    <mergeCell ref="I8:R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topLeftCell="A299" zoomScale="102" zoomScaleNormal="85" workbookViewId="0">
      <selection activeCell="D322" sqref="D322"/>
    </sheetView>
  </sheetViews>
  <sheetFormatPr baseColWidth="10" defaultRowHeight="15" x14ac:dyDescent="0.25"/>
  <cols>
    <col min="1" max="1" width="8" style="57" customWidth="1"/>
    <col min="2" max="2" width="15" style="57" bestFit="1" customWidth="1"/>
    <col min="3" max="3" width="30" style="57" customWidth="1"/>
    <col min="4" max="4" width="71.5703125" style="57" bestFit="1" customWidth="1"/>
    <col min="5" max="5" width="12" style="58" bestFit="1" customWidth="1"/>
    <col min="6" max="6" width="16" style="59" bestFit="1" customWidth="1"/>
    <col min="7" max="7" width="18" style="59" bestFit="1" customWidth="1"/>
    <col min="8" max="8" width="23" style="165" bestFit="1" customWidth="1"/>
    <col min="10" max="10" width="16.140625" style="165" bestFit="1" customWidth="1"/>
  </cols>
  <sheetData>
    <row r="1" spans="1:8" x14ac:dyDescent="0.25">
      <c r="A1" s="102" t="s">
        <v>35</v>
      </c>
      <c r="B1" s="102" t="s">
        <v>21</v>
      </c>
      <c r="C1" s="102" t="s">
        <v>545</v>
      </c>
      <c r="D1" s="102" t="s">
        <v>470</v>
      </c>
      <c r="E1" s="102" t="s">
        <v>546</v>
      </c>
      <c r="F1" s="102" t="s">
        <v>319</v>
      </c>
      <c r="G1" s="102" t="s">
        <v>547</v>
      </c>
      <c r="H1" s="102" t="s">
        <v>315</v>
      </c>
    </row>
    <row r="2" spans="1:8" x14ac:dyDescent="0.25">
      <c r="A2" s="120">
        <v>1</v>
      </c>
      <c r="B2" s="118" t="s">
        <v>24</v>
      </c>
      <c r="C2" s="118" t="s">
        <v>322</v>
      </c>
      <c r="D2" s="118" t="s">
        <v>323</v>
      </c>
      <c r="E2" s="119">
        <v>20</v>
      </c>
      <c r="F2" s="153">
        <v>16500</v>
      </c>
      <c r="G2" s="153">
        <v>330000</v>
      </c>
      <c r="H2" s="118" t="s">
        <v>321</v>
      </c>
    </row>
    <row r="3" spans="1:8" x14ac:dyDescent="0.25">
      <c r="A3" s="120">
        <v>1</v>
      </c>
      <c r="B3" s="118" t="s">
        <v>24</v>
      </c>
      <c r="C3" s="118" t="s">
        <v>325</v>
      </c>
      <c r="D3" s="118" t="s">
        <v>326</v>
      </c>
      <c r="E3" s="119">
        <v>28.6</v>
      </c>
      <c r="F3" s="153">
        <v>14900</v>
      </c>
      <c r="G3" s="153">
        <v>426140</v>
      </c>
      <c r="H3" s="118" t="s">
        <v>324</v>
      </c>
    </row>
    <row r="4" spans="1:8" x14ac:dyDescent="0.25">
      <c r="A4" s="120">
        <v>1</v>
      </c>
      <c r="B4" s="118" t="s">
        <v>24</v>
      </c>
      <c r="C4" s="118" t="s">
        <v>328</v>
      </c>
      <c r="D4" s="118" t="s">
        <v>329</v>
      </c>
      <c r="E4" s="119">
        <v>4.58</v>
      </c>
      <c r="F4" s="153">
        <v>18500</v>
      </c>
      <c r="G4" s="153">
        <v>84730</v>
      </c>
      <c r="H4" s="118" t="s">
        <v>327</v>
      </c>
    </row>
    <row r="5" spans="1:8" x14ac:dyDescent="0.25">
      <c r="A5" s="120">
        <v>1</v>
      </c>
      <c r="B5" s="118" t="s">
        <v>24</v>
      </c>
      <c r="C5" s="118" t="s">
        <v>76</v>
      </c>
      <c r="D5" s="118" t="s">
        <v>330</v>
      </c>
      <c r="E5" s="119">
        <v>15.1</v>
      </c>
      <c r="F5" s="153">
        <v>18500</v>
      </c>
      <c r="G5" s="153">
        <v>279350</v>
      </c>
      <c r="H5" s="118" t="s">
        <v>327</v>
      </c>
    </row>
    <row r="6" spans="1:8" x14ac:dyDescent="0.25">
      <c r="A6" s="120">
        <v>1</v>
      </c>
      <c r="B6" s="118" t="s">
        <v>24</v>
      </c>
      <c r="C6" s="118" t="s">
        <v>74</v>
      </c>
      <c r="D6" s="118" t="s">
        <v>331</v>
      </c>
      <c r="E6" s="119">
        <v>27.65</v>
      </c>
      <c r="F6" s="153">
        <v>23900</v>
      </c>
      <c r="G6" s="153">
        <v>660835</v>
      </c>
      <c r="H6" s="118" t="s">
        <v>324</v>
      </c>
    </row>
    <row r="7" spans="1:8" x14ac:dyDescent="0.25">
      <c r="A7" s="120">
        <v>1</v>
      </c>
      <c r="B7" s="118" t="s">
        <v>24</v>
      </c>
      <c r="C7" s="118" t="s">
        <v>333</v>
      </c>
      <c r="D7" s="118" t="s">
        <v>334</v>
      </c>
      <c r="E7" s="119">
        <v>9.8699999999999992</v>
      </c>
      <c r="F7" s="153">
        <v>55000</v>
      </c>
      <c r="G7" s="153">
        <v>542850</v>
      </c>
      <c r="H7" s="118" t="s">
        <v>332</v>
      </c>
    </row>
    <row r="8" spans="1:8" x14ac:dyDescent="0.25">
      <c r="A8" s="120">
        <v>1</v>
      </c>
      <c r="B8" s="118" t="s">
        <v>24</v>
      </c>
      <c r="C8" s="118" t="s">
        <v>64</v>
      </c>
      <c r="D8" s="118" t="s">
        <v>335</v>
      </c>
      <c r="E8" s="119">
        <v>28.7</v>
      </c>
      <c r="F8" s="153">
        <v>25900</v>
      </c>
      <c r="G8" s="153">
        <v>743330</v>
      </c>
      <c r="H8" s="118" t="s">
        <v>324</v>
      </c>
    </row>
    <row r="9" spans="1:8" x14ac:dyDescent="0.25">
      <c r="A9" s="120">
        <v>1</v>
      </c>
      <c r="B9" s="118" t="s">
        <v>24</v>
      </c>
      <c r="C9" s="118" t="s">
        <v>68</v>
      </c>
      <c r="D9" s="118" t="s">
        <v>336</v>
      </c>
      <c r="E9" s="119">
        <v>18.5</v>
      </c>
      <c r="F9" s="153">
        <v>34500</v>
      </c>
      <c r="G9" s="153">
        <v>638250</v>
      </c>
      <c r="H9" s="118" t="s">
        <v>324</v>
      </c>
    </row>
    <row r="10" spans="1:8" x14ac:dyDescent="0.25">
      <c r="A10" s="120">
        <v>1</v>
      </c>
      <c r="B10" s="118" t="s">
        <v>24</v>
      </c>
      <c r="C10" s="118" t="s">
        <v>337</v>
      </c>
      <c r="D10" s="118" t="s">
        <v>338</v>
      </c>
      <c r="E10" s="119">
        <v>19.809999999999999</v>
      </c>
      <c r="F10" s="153">
        <v>18000</v>
      </c>
      <c r="G10" s="153">
        <v>356580</v>
      </c>
      <c r="H10" s="118" t="s">
        <v>332</v>
      </c>
    </row>
    <row r="11" spans="1:8" x14ac:dyDescent="0.25">
      <c r="A11" s="120">
        <v>1</v>
      </c>
      <c r="B11" s="118" t="s">
        <v>24</v>
      </c>
      <c r="C11" s="118" t="s">
        <v>337</v>
      </c>
      <c r="D11" s="118" t="s">
        <v>340</v>
      </c>
      <c r="E11" s="119">
        <v>6</v>
      </c>
      <c r="F11" s="153">
        <v>3666.67</v>
      </c>
      <c r="G11" s="153">
        <v>22000</v>
      </c>
      <c r="H11" s="118" t="s">
        <v>339</v>
      </c>
    </row>
    <row r="12" spans="1:8" x14ac:dyDescent="0.25">
      <c r="A12" s="120">
        <v>1</v>
      </c>
      <c r="B12" s="118" t="s">
        <v>24</v>
      </c>
      <c r="C12" s="118" t="s">
        <v>66</v>
      </c>
      <c r="D12" s="118" t="s">
        <v>342</v>
      </c>
      <c r="E12" s="119">
        <v>90.35</v>
      </c>
      <c r="F12" s="153">
        <v>21900</v>
      </c>
      <c r="G12" s="153">
        <v>1978665</v>
      </c>
      <c r="H12" s="118" t="s">
        <v>341</v>
      </c>
    </row>
    <row r="13" spans="1:8" x14ac:dyDescent="0.25">
      <c r="A13" s="120">
        <v>1</v>
      </c>
      <c r="B13" s="118" t="s">
        <v>29</v>
      </c>
      <c r="C13" s="118" t="s">
        <v>548</v>
      </c>
      <c r="D13" s="118" t="s">
        <v>549</v>
      </c>
      <c r="E13" s="119">
        <v>8</v>
      </c>
      <c r="F13" s="153">
        <v>6800</v>
      </c>
      <c r="G13" s="153">
        <v>54400</v>
      </c>
      <c r="H13" s="118" t="s">
        <v>550</v>
      </c>
    </row>
    <row r="14" spans="1:8" x14ac:dyDescent="0.25">
      <c r="A14" s="120">
        <v>1</v>
      </c>
      <c r="B14" s="118" t="s">
        <v>29</v>
      </c>
      <c r="C14" s="118" t="s">
        <v>551</v>
      </c>
      <c r="D14" s="118" t="s">
        <v>552</v>
      </c>
      <c r="E14" s="119">
        <v>4</v>
      </c>
      <c r="F14" s="153">
        <v>19500</v>
      </c>
      <c r="G14" s="153">
        <v>78000</v>
      </c>
      <c r="H14" s="118" t="s">
        <v>324</v>
      </c>
    </row>
    <row r="15" spans="1:8" x14ac:dyDescent="0.25">
      <c r="A15" s="120">
        <v>1</v>
      </c>
      <c r="B15" s="118" t="s">
        <v>30</v>
      </c>
      <c r="C15" s="118" t="s">
        <v>553</v>
      </c>
      <c r="D15" s="118" t="s">
        <v>554</v>
      </c>
      <c r="E15" s="119">
        <v>100</v>
      </c>
      <c r="F15" s="153">
        <v>150</v>
      </c>
      <c r="G15" s="153">
        <v>15000</v>
      </c>
      <c r="H15" s="118" t="s">
        <v>555</v>
      </c>
    </row>
    <row r="16" spans="1:8" x14ac:dyDescent="0.25">
      <c r="A16" s="120">
        <v>1</v>
      </c>
      <c r="B16" s="118" t="s">
        <v>31</v>
      </c>
      <c r="C16" s="118" t="s">
        <v>478</v>
      </c>
      <c r="D16" s="118" t="s">
        <v>479</v>
      </c>
      <c r="E16" s="119">
        <v>1</v>
      </c>
      <c r="F16" s="153">
        <v>92200</v>
      </c>
      <c r="G16" s="153">
        <v>92200</v>
      </c>
      <c r="H16" s="118" t="s">
        <v>477</v>
      </c>
    </row>
    <row r="17" spans="1:8" x14ac:dyDescent="0.25">
      <c r="A17" s="120">
        <v>1</v>
      </c>
      <c r="B17" s="118" t="s">
        <v>31</v>
      </c>
      <c r="C17" s="118" t="s">
        <v>480</v>
      </c>
      <c r="D17" s="118" t="s">
        <v>481</v>
      </c>
      <c r="E17" s="119">
        <v>1</v>
      </c>
      <c r="F17" s="153">
        <v>77500</v>
      </c>
      <c r="G17" s="153">
        <v>77500</v>
      </c>
      <c r="H17" s="118" t="s">
        <v>477</v>
      </c>
    </row>
    <row r="18" spans="1:8" x14ac:dyDescent="0.25">
      <c r="A18" s="120">
        <v>1</v>
      </c>
      <c r="B18" s="118" t="s">
        <v>31</v>
      </c>
      <c r="C18" s="118" t="s">
        <v>482</v>
      </c>
      <c r="D18" s="118" t="s">
        <v>483</v>
      </c>
      <c r="E18" s="119">
        <v>1</v>
      </c>
      <c r="F18" s="153">
        <v>93000</v>
      </c>
      <c r="G18" s="153">
        <v>93000</v>
      </c>
      <c r="H18" s="118" t="s">
        <v>477</v>
      </c>
    </row>
    <row r="19" spans="1:8" x14ac:dyDescent="0.25">
      <c r="A19" s="120">
        <v>1</v>
      </c>
      <c r="B19" s="118" t="s">
        <v>31</v>
      </c>
      <c r="C19" s="118" t="s">
        <v>484</v>
      </c>
      <c r="D19" s="118" t="s">
        <v>485</v>
      </c>
      <c r="E19" s="119">
        <v>2</v>
      </c>
      <c r="F19" s="153">
        <v>74500</v>
      </c>
      <c r="G19" s="153">
        <v>149000</v>
      </c>
      <c r="H19" s="118" t="s">
        <v>477</v>
      </c>
    </row>
    <row r="20" spans="1:8" x14ac:dyDescent="0.25">
      <c r="A20" s="120">
        <v>1</v>
      </c>
      <c r="B20" s="118" t="s">
        <v>28</v>
      </c>
      <c r="C20" s="118" t="s">
        <v>556</v>
      </c>
      <c r="D20" s="118" t="s">
        <v>557</v>
      </c>
      <c r="E20" s="119">
        <v>2</v>
      </c>
      <c r="F20" s="153">
        <v>9500</v>
      </c>
      <c r="G20" s="153">
        <v>19000</v>
      </c>
      <c r="H20" s="118" t="s">
        <v>558</v>
      </c>
    </row>
    <row r="21" spans="1:8" x14ac:dyDescent="0.25">
      <c r="A21" s="120">
        <v>1</v>
      </c>
      <c r="B21" s="118" t="s">
        <v>28</v>
      </c>
      <c r="C21" s="118" t="s">
        <v>559</v>
      </c>
      <c r="D21" s="118" t="s">
        <v>560</v>
      </c>
      <c r="E21" s="119">
        <v>3</v>
      </c>
      <c r="F21" s="153">
        <v>5000</v>
      </c>
      <c r="G21" s="153">
        <v>15000</v>
      </c>
      <c r="H21" s="118" t="s">
        <v>558</v>
      </c>
    </row>
    <row r="22" spans="1:8" x14ac:dyDescent="0.25">
      <c r="A22" s="120">
        <v>1</v>
      </c>
      <c r="B22" s="118" t="s">
        <v>26</v>
      </c>
      <c r="C22" s="118" t="s">
        <v>69</v>
      </c>
      <c r="D22" s="118" t="s">
        <v>561</v>
      </c>
      <c r="E22" s="119">
        <v>1</v>
      </c>
      <c r="F22" s="153">
        <v>30000</v>
      </c>
      <c r="G22" s="153">
        <v>30000</v>
      </c>
      <c r="H22" s="118" t="s">
        <v>339</v>
      </c>
    </row>
    <row r="23" spans="1:8" x14ac:dyDescent="0.25">
      <c r="A23" s="120">
        <v>1</v>
      </c>
      <c r="B23" s="118" t="s">
        <v>26</v>
      </c>
      <c r="C23" s="118" t="s">
        <v>67</v>
      </c>
      <c r="D23" s="118" t="s">
        <v>562</v>
      </c>
      <c r="E23" s="119">
        <v>1</v>
      </c>
      <c r="F23" s="153">
        <v>100000</v>
      </c>
      <c r="G23" s="153">
        <v>100000</v>
      </c>
      <c r="H23" s="118" t="s">
        <v>339</v>
      </c>
    </row>
    <row r="24" spans="1:8" x14ac:dyDescent="0.25">
      <c r="A24" s="120">
        <v>1</v>
      </c>
      <c r="B24" s="118" t="s">
        <v>28</v>
      </c>
      <c r="C24" s="118" t="s">
        <v>563</v>
      </c>
      <c r="D24" s="118" t="s">
        <v>564</v>
      </c>
      <c r="E24" s="119">
        <v>1</v>
      </c>
      <c r="F24" s="153">
        <v>14900</v>
      </c>
      <c r="G24" s="153">
        <v>14900</v>
      </c>
      <c r="H24" s="118" t="s">
        <v>343</v>
      </c>
    </row>
    <row r="25" spans="1:8" x14ac:dyDescent="0.25">
      <c r="A25" s="120">
        <v>1</v>
      </c>
      <c r="B25" s="118" t="s">
        <v>24</v>
      </c>
      <c r="C25" s="118" t="s">
        <v>344</v>
      </c>
      <c r="D25" s="118" t="s">
        <v>345</v>
      </c>
      <c r="E25" s="119">
        <v>4.7549999999999999</v>
      </c>
      <c r="F25" s="153">
        <v>7900</v>
      </c>
      <c r="G25" s="153">
        <v>37565</v>
      </c>
      <c r="H25" s="118" t="s">
        <v>343</v>
      </c>
    </row>
    <row r="26" spans="1:8" x14ac:dyDescent="0.25">
      <c r="A26" s="120">
        <v>1</v>
      </c>
      <c r="B26" s="118" t="s">
        <v>24</v>
      </c>
      <c r="C26" s="118" t="s">
        <v>344</v>
      </c>
      <c r="D26" s="118" t="s">
        <v>345</v>
      </c>
      <c r="E26" s="119">
        <v>3.3650000000000002</v>
      </c>
      <c r="F26" s="153">
        <v>8915.2999999999993</v>
      </c>
      <c r="G26" s="153">
        <v>30000</v>
      </c>
      <c r="H26" s="118" t="s">
        <v>343</v>
      </c>
    </row>
    <row r="27" spans="1:8" x14ac:dyDescent="0.25">
      <c r="A27" s="120">
        <v>2</v>
      </c>
      <c r="B27" s="118" t="s">
        <v>24</v>
      </c>
      <c r="C27" s="118" t="s">
        <v>348</v>
      </c>
      <c r="D27" s="118" t="s">
        <v>349</v>
      </c>
      <c r="E27" s="119">
        <v>5</v>
      </c>
      <c r="F27" s="153">
        <v>21500</v>
      </c>
      <c r="G27" s="153">
        <v>107500</v>
      </c>
      <c r="H27" s="118" t="s">
        <v>347</v>
      </c>
    </row>
    <row r="28" spans="1:8" x14ac:dyDescent="0.25">
      <c r="A28" s="120">
        <v>2</v>
      </c>
      <c r="B28" s="118" t="s">
        <v>24</v>
      </c>
      <c r="C28" s="118" t="s">
        <v>72</v>
      </c>
      <c r="D28" s="118" t="s">
        <v>351</v>
      </c>
      <c r="E28" s="119">
        <v>34.700000000000003</v>
      </c>
      <c r="F28" s="153">
        <v>7500</v>
      </c>
      <c r="G28" s="153">
        <v>260250</v>
      </c>
      <c r="H28" s="118" t="s">
        <v>350</v>
      </c>
    </row>
    <row r="29" spans="1:8" x14ac:dyDescent="0.25">
      <c r="A29" s="120">
        <v>2</v>
      </c>
      <c r="B29" s="118" t="s">
        <v>29</v>
      </c>
      <c r="C29" s="118" t="s">
        <v>548</v>
      </c>
      <c r="D29" s="118" t="s">
        <v>565</v>
      </c>
      <c r="E29" s="119">
        <v>19</v>
      </c>
      <c r="F29" s="153">
        <v>5263.16</v>
      </c>
      <c r="G29" s="153">
        <v>100000</v>
      </c>
      <c r="H29" s="118" t="s">
        <v>566</v>
      </c>
    </row>
    <row r="30" spans="1:8" x14ac:dyDescent="0.25">
      <c r="A30" s="120">
        <v>2</v>
      </c>
      <c r="B30" s="118" t="s">
        <v>30</v>
      </c>
      <c r="C30" s="118" t="s">
        <v>553</v>
      </c>
      <c r="D30" s="118" t="s">
        <v>567</v>
      </c>
      <c r="E30" s="119">
        <v>150</v>
      </c>
      <c r="F30" s="153">
        <v>150</v>
      </c>
      <c r="G30" s="153">
        <v>22500</v>
      </c>
      <c r="H30" s="118" t="s">
        <v>568</v>
      </c>
    </row>
    <row r="31" spans="1:8" x14ac:dyDescent="0.25">
      <c r="A31" s="120">
        <v>2</v>
      </c>
      <c r="B31" s="118" t="s">
        <v>30</v>
      </c>
      <c r="C31" s="118" t="s">
        <v>569</v>
      </c>
      <c r="D31" s="118" t="s">
        <v>570</v>
      </c>
      <c r="E31" s="119">
        <v>5</v>
      </c>
      <c r="F31" s="153">
        <v>3105.6</v>
      </c>
      <c r="G31" s="153">
        <v>15528</v>
      </c>
      <c r="H31" s="118" t="s">
        <v>571</v>
      </c>
    </row>
    <row r="32" spans="1:8" x14ac:dyDescent="0.25">
      <c r="A32" s="120">
        <v>2</v>
      </c>
      <c r="B32" s="118" t="s">
        <v>30</v>
      </c>
      <c r="C32" s="118" t="s">
        <v>569</v>
      </c>
      <c r="D32" s="118" t="s">
        <v>572</v>
      </c>
      <c r="E32" s="119">
        <v>5</v>
      </c>
      <c r="F32" s="153">
        <v>3105.6</v>
      </c>
      <c r="G32" s="153">
        <v>15528</v>
      </c>
      <c r="H32" s="118" t="s">
        <v>571</v>
      </c>
    </row>
    <row r="33" spans="1:8" x14ac:dyDescent="0.25">
      <c r="A33" s="120">
        <v>2</v>
      </c>
      <c r="B33" s="118" t="s">
        <v>30</v>
      </c>
      <c r="C33" s="118" t="s">
        <v>569</v>
      </c>
      <c r="D33" s="118" t="s">
        <v>573</v>
      </c>
      <c r="E33" s="119">
        <v>5</v>
      </c>
      <c r="F33" s="153">
        <v>1309</v>
      </c>
      <c r="G33" s="153">
        <v>6545</v>
      </c>
      <c r="H33" s="118" t="s">
        <v>571</v>
      </c>
    </row>
    <row r="34" spans="1:8" x14ac:dyDescent="0.25">
      <c r="A34" s="120">
        <v>2</v>
      </c>
      <c r="B34" s="118" t="s">
        <v>30</v>
      </c>
      <c r="C34" s="118" t="s">
        <v>569</v>
      </c>
      <c r="D34" s="118" t="s">
        <v>574</v>
      </c>
      <c r="E34" s="119">
        <v>5</v>
      </c>
      <c r="F34" s="153">
        <v>2570.4</v>
      </c>
      <c r="G34" s="153">
        <v>12852</v>
      </c>
      <c r="H34" s="118" t="s">
        <v>571</v>
      </c>
    </row>
    <row r="35" spans="1:8" x14ac:dyDescent="0.25">
      <c r="A35" s="120">
        <v>2</v>
      </c>
      <c r="B35" s="118" t="s">
        <v>30</v>
      </c>
      <c r="C35" s="118" t="s">
        <v>569</v>
      </c>
      <c r="D35" s="118" t="s">
        <v>575</v>
      </c>
      <c r="E35" s="119">
        <v>3</v>
      </c>
      <c r="F35" s="153">
        <v>3760.333333333333</v>
      </c>
      <c r="G35" s="153">
        <v>11281</v>
      </c>
      <c r="H35" s="118" t="s">
        <v>571</v>
      </c>
    </row>
    <row r="36" spans="1:8" x14ac:dyDescent="0.25">
      <c r="A36" s="120">
        <v>2</v>
      </c>
      <c r="B36" s="118" t="s">
        <v>30</v>
      </c>
      <c r="C36" s="118" t="s">
        <v>569</v>
      </c>
      <c r="D36" s="118" t="s">
        <v>576</v>
      </c>
      <c r="E36" s="119">
        <v>3</v>
      </c>
      <c r="F36" s="153">
        <v>3760.333333333333</v>
      </c>
      <c r="G36" s="153">
        <v>11281</v>
      </c>
      <c r="H36" s="118" t="s">
        <v>571</v>
      </c>
    </row>
    <row r="37" spans="1:8" x14ac:dyDescent="0.25">
      <c r="A37" s="120">
        <v>2</v>
      </c>
      <c r="B37" s="118" t="s">
        <v>30</v>
      </c>
      <c r="C37" s="118" t="s">
        <v>577</v>
      </c>
      <c r="D37" s="118" t="s">
        <v>578</v>
      </c>
      <c r="E37" s="119">
        <v>70</v>
      </c>
      <c r="F37" s="153">
        <v>4180</v>
      </c>
      <c r="G37" s="153">
        <v>292600</v>
      </c>
      <c r="H37" s="118" t="s">
        <v>571</v>
      </c>
    </row>
    <row r="38" spans="1:8" x14ac:dyDescent="0.25">
      <c r="A38" s="120">
        <v>2</v>
      </c>
      <c r="B38" s="118" t="s">
        <v>31</v>
      </c>
      <c r="C38" s="118" t="s">
        <v>488</v>
      </c>
      <c r="D38" s="118" t="s">
        <v>489</v>
      </c>
      <c r="E38" s="119">
        <v>2</v>
      </c>
      <c r="F38" s="153">
        <v>39000</v>
      </c>
      <c r="G38" s="153">
        <v>78000</v>
      </c>
      <c r="H38" s="118" t="s">
        <v>487</v>
      </c>
    </row>
    <row r="39" spans="1:8" x14ac:dyDescent="0.25">
      <c r="A39" s="120">
        <v>2</v>
      </c>
      <c r="B39" s="118" t="s">
        <v>31</v>
      </c>
      <c r="C39" s="118" t="s">
        <v>490</v>
      </c>
      <c r="D39" s="118" t="s">
        <v>491</v>
      </c>
      <c r="E39" s="119">
        <v>1</v>
      </c>
      <c r="F39" s="153">
        <v>32500</v>
      </c>
      <c r="G39" s="153">
        <v>32500</v>
      </c>
      <c r="H39" s="118" t="s">
        <v>487</v>
      </c>
    </row>
    <row r="40" spans="1:8" x14ac:dyDescent="0.25">
      <c r="A40" s="120">
        <v>2</v>
      </c>
      <c r="B40" s="118" t="s">
        <v>31</v>
      </c>
      <c r="C40" s="118" t="s">
        <v>492</v>
      </c>
      <c r="D40" s="118" t="s">
        <v>493</v>
      </c>
      <c r="E40" s="119">
        <v>1</v>
      </c>
      <c r="F40" s="153">
        <v>51600</v>
      </c>
      <c r="G40" s="153">
        <v>51600</v>
      </c>
      <c r="H40" s="118" t="s">
        <v>487</v>
      </c>
    </row>
    <row r="41" spans="1:8" x14ac:dyDescent="0.25">
      <c r="A41" s="120">
        <v>2</v>
      </c>
      <c r="B41" s="118" t="s">
        <v>28</v>
      </c>
      <c r="C41" s="118" t="s">
        <v>556</v>
      </c>
      <c r="D41" s="118" t="s">
        <v>579</v>
      </c>
      <c r="E41" s="119">
        <v>2</v>
      </c>
      <c r="F41" s="153">
        <v>9500</v>
      </c>
      <c r="G41" s="153">
        <v>19000</v>
      </c>
      <c r="H41" s="118" t="s">
        <v>580</v>
      </c>
    </row>
    <row r="42" spans="1:8" x14ac:dyDescent="0.25">
      <c r="A42" s="120">
        <v>2</v>
      </c>
      <c r="B42" s="118" t="s">
        <v>28</v>
      </c>
      <c r="C42" s="118" t="s">
        <v>559</v>
      </c>
      <c r="D42" s="118" t="s">
        <v>581</v>
      </c>
      <c r="E42" s="119">
        <v>2</v>
      </c>
      <c r="F42" s="153">
        <v>5000</v>
      </c>
      <c r="G42" s="153">
        <v>10000</v>
      </c>
      <c r="H42" s="118" t="s">
        <v>580</v>
      </c>
    </row>
    <row r="43" spans="1:8" x14ac:dyDescent="0.25">
      <c r="A43" s="120">
        <v>2</v>
      </c>
      <c r="B43" s="118" t="s">
        <v>28</v>
      </c>
      <c r="C43" s="118" t="s">
        <v>582</v>
      </c>
      <c r="D43" s="118" t="s">
        <v>583</v>
      </c>
      <c r="E43" s="119">
        <v>4</v>
      </c>
      <c r="F43" s="153">
        <v>18200</v>
      </c>
      <c r="G43" s="153">
        <v>72800</v>
      </c>
      <c r="H43" s="118" t="s">
        <v>571</v>
      </c>
    </row>
    <row r="44" spans="1:8" x14ac:dyDescent="0.25">
      <c r="A44" s="120">
        <v>2</v>
      </c>
      <c r="B44" s="118" t="s">
        <v>26</v>
      </c>
      <c r="C44" s="118" t="s">
        <v>69</v>
      </c>
      <c r="D44" s="118" t="s">
        <v>584</v>
      </c>
      <c r="E44" s="119">
        <v>1</v>
      </c>
      <c r="F44" s="153">
        <v>30000</v>
      </c>
      <c r="G44" s="153">
        <v>30000</v>
      </c>
      <c r="H44" s="118" t="s">
        <v>566</v>
      </c>
    </row>
    <row r="45" spans="1:8" x14ac:dyDescent="0.25">
      <c r="A45" s="120">
        <v>2</v>
      </c>
      <c r="B45" s="118" t="s">
        <v>28</v>
      </c>
      <c r="C45" s="118" t="s">
        <v>585</v>
      </c>
      <c r="D45" s="118" t="s">
        <v>586</v>
      </c>
      <c r="E45" s="119">
        <v>1</v>
      </c>
      <c r="F45" s="153">
        <v>25000</v>
      </c>
      <c r="G45" s="153">
        <v>25000</v>
      </c>
      <c r="H45" s="118" t="s">
        <v>566</v>
      </c>
    </row>
    <row r="46" spans="1:8" x14ac:dyDescent="0.25">
      <c r="A46" s="120">
        <v>2</v>
      </c>
      <c r="B46" s="118" t="s">
        <v>30</v>
      </c>
      <c r="C46" s="118" t="s">
        <v>587</v>
      </c>
      <c r="D46" s="118" t="s">
        <v>588</v>
      </c>
      <c r="E46" s="119">
        <v>1</v>
      </c>
      <c r="F46" s="153">
        <v>4390</v>
      </c>
      <c r="G46" s="153">
        <v>4390</v>
      </c>
      <c r="H46" s="118" t="s">
        <v>352</v>
      </c>
    </row>
    <row r="47" spans="1:8" x14ac:dyDescent="0.25">
      <c r="A47" s="120">
        <v>2</v>
      </c>
      <c r="B47" s="118" t="s">
        <v>28</v>
      </c>
      <c r="C47" s="118" t="s">
        <v>589</v>
      </c>
      <c r="D47" s="118" t="s">
        <v>590</v>
      </c>
      <c r="E47" s="119">
        <v>1</v>
      </c>
      <c r="F47" s="153">
        <v>120</v>
      </c>
      <c r="G47" s="153">
        <v>120</v>
      </c>
      <c r="H47" s="118" t="s">
        <v>352</v>
      </c>
    </row>
    <row r="48" spans="1:8" x14ac:dyDescent="0.25">
      <c r="A48" s="120">
        <v>2</v>
      </c>
      <c r="B48" s="118" t="s">
        <v>24</v>
      </c>
      <c r="C48" s="118" t="s">
        <v>353</v>
      </c>
      <c r="D48" s="118" t="s">
        <v>354</v>
      </c>
      <c r="E48" s="119">
        <v>2.77</v>
      </c>
      <c r="F48" s="153">
        <v>19900</v>
      </c>
      <c r="G48" s="153">
        <v>55123</v>
      </c>
      <c r="H48" s="118" t="s">
        <v>352</v>
      </c>
    </row>
    <row r="49" spans="1:8" x14ac:dyDescent="0.25">
      <c r="A49" s="120">
        <v>2</v>
      </c>
      <c r="B49" s="118" t="s">
        <v>24</v>
      </c>
      <c r="C49" s="118" t="s">
        <v>353</v>
      </c>
      <c r="D49" s="118" t="s">
        <v>354</v>
      </c>
      <c r="E49" s="119">
        <v>4.7640000000000002</v>
      </c>
      <c r="F49" s="153">
        <v>22190</v>
      </c>
      <c r="G49" s="153">
        <v>105713</v>
      </c>
      <c r="H49" s="118" t="s">
        <v>352</v>
      </c>
    </row>
    <row r="50" spans="1:8" x14ac:dyDescent="0.25">
      <c r="A50" s="120">
        <v>2</v>
      </c>
      <c r="B50" s="118" t="s">
        <v>29</v>
      </c>
      <c r="C50" s="118" t="s">
        <v>591</v>
      </c>
      <c r="D50" s="118" t="s">
        <v>592</v>
      </c>
      <c r="E50" s="119">
        <v>4</v>
      </c>
      <c r="F50" s="153">
        <v>2480</v>
      </c>
      <c r="G50" s="153">
        <v>9920</v>
      </c>
      <c r="H50" s="118" t="s">
        <v>593</v>
      </c>
    </row>
    <row r="51" spans="1:8" x14ac:dyDescent="0.25">
      <c r="A51" s="120">
        <v>2</v>
      </c>
      <c r="B51" s="118" t="s">
        <v>28</v>
      </c>
      <c r="C51" s="118" t="s">
        <v>556</v>
      </c>
      <c r="D51" s="118" t="s">
        <v>594</v>
      </c>
      <c r="E51" s="119">
        <v>2</v>
      </c>
      <c r="F51" s="153">
        <v>9500</v>
      </c>
      <c r="G51" s="153">
        <v>19000</v>
      </c>
      <c r="H51" s="118" t="s">
        <v>595</v>
      </c>
    </row>
    <row r="52" spans="1:8" x14ac:dyDescent="0.25">
      <c r="A52" s="120">
        <v>2</v>
      </c>
      <c r="B52" s="118" t="s">
        <v>29</v>
      </c>
      <c r="C52" s="118" t="s">
        <v>548</v>
      </c>
      <c r="D52" s="118" t="s">
        <v>596</v>
      </c>
      <c r="E52" s="119">
        <v>3</v>
      </c>
      <c r="F52" s="153">
        <v>5440</v>
      </c>
      <c r="G52" s="153">
        <v>16320</v>
      </c>
      <c r="H52" s="118" t="s">
        <v>597</v>
      </c>
    </row>
    <row r="53" spans="1:8" x14ac:dyDescent="0.25">
      <c r="A53" s="120">
        <v>3</v>
      </c>
      <c r="B53" s="118" t="s">
        <v>24</v>
      </c>
      <c r="C53" s="118" t="s">
        <v>357</v>
      </c>
      <c r="D53" s="118" t="s">
        <v>358</v>
      </c>
      <c r="E53" s="119">
        <v>4.05</v>
      </c>
      <c r="F53" s="153">
        <v>33000</v>
      </c>
      <c r="G53" s="153">
        <v>133650</v>
      </c>
      <c r="H53" s="118" t="s">
        <v>356</v>
      </c>
    </row>
    <row r="54" spans="1:8" x14ac:dyDescent="0.25">
      <c r="A54" s="120">
        <v>3</v>
      </c>
      <c r="B54" s="118" t="s">
        <v>24</v>
      </c>
      <c r="C54" s="118" t="s">
        <v>357</v>
      </c>
      <c r="D54" s="118" t="s">
        <v>360</v>
      </c>
      <c r="E54" s="119">
        <v>5.96</v>
      </c>
      <c r="F54" s="153">
        <v>34000</v>
      </c>
      <c r="G54" s="153">
        <v>202640</v>
      </c>
      <c r="H54" s="118" t="s">
        <v>359</v>
      </c>
    </row>
    <row r="55" spans="1:8" x14ac:dyDescent="0.25">
      <c r="A55" s="120">
        <v>3</v>
      </c>
      <c r="B55" s="118" t="s">
        <v>24</v>
      </c>
      <c r="C55" s="118" t="s">
        <v>361</v>
      </c>
      <c r="D55" s="118" t="s">
        <v>362</v>
      </c>
      <c r="E55" s="119">
        <v>7</v>
      </c>
      <c r="F55" s="153">
        <v>20000</v>
      </c>
      <c r="G55" s="153">
        <v>140000</v>
      </c>
      <c r="H55" s="118" t="s">
        <v>359</v>
      </c>
    </row>
    <row r="56" spans="1:8" x14ac:dyDescent="0.25">
      <c r="A56" s="120">
        <v>3</v>
      </c>
      <c r="B56" s="118" t="s">
        <v>24</v>
      </c>
      <c r="C56" s="118" t="s">
        <v>363</v>
      </c>
      <c r="D56" s="118" t="s">
        <v>364</v>
      </c>
      <c r="E56" s="119">
        <v>10.3</v>
      </c>
      <c r="F56" s="153">
        <v>20000</v>
      </c>
      <c r="G56" s="153">
        <v>206000</v>
      </c>
      <c r="H56" s="118" t="s">
        <v>356</v>
      </c>
    </row>
    <row r="57" spans="1:8" x14ac:dyDescent="0.25">
      <c r="A57" s="120">
        <v>3</v>
      </c>
      <c r="B57" s="118" t="s">
        <v>24</v>
      </c>
      <c r="C57" s="118" t="s">
        <v>348</v>
      </c>
      <c r="D57" s="118" t="s">
        <v>366</v>
      </c>
      <c r="E57" s="119">
        <v>5.8</v>
      </c>
      <c r="F57" s="153">
        <v>22000</v>
      </c>
      <c r="G57" s="153">
        <v>127600</v>
      </c>
      <c r="H57" s="118" t="s">
        <v>365</v>
      </c>
    </row>
    <row r="58" spans="1:8" x14ac:dyDescent="0.25">
      <c r="A58" s="120">
        <v>3</v>
      </c>
      <c r="B58" s="118" t="s">
        <v>24</v>
      </c>
      <c r="C58" s="118" t="s">
        <v>367</v>
      </c>
      <c r="D58" s="118" t="s">
        <v>368</v>
      </c>
      <c r="E58" s="119">
        <v>7.35</v>
      </c>
      <c r="F58" s="153">
        <v>54000</v>
      </c>
      <c r="G58" s="153">
        <v>396900</v>
      </c>
      <c r="H58" s="118" t="s">
        <v>365</v>
      </c>
    </row>
    <row r="59" spans="1:8" x14ac:dyDescent="0.25">
      <c r="A59" s="120">
        <v>3</v>
      </c>
      <c r="B59" s="118" t="s">
        <v>29</v>
      </c>
      <c r="C59" s="118" t="s">
        <v>598</v>
      </c>
      <c r="D59" s="118" t="s">
        <v>599</v>
      </c>
      <c r="E59" s="119">
        <v>4</v>
      </c>
      <c r="F59" s="153">
        <v>26000</v>
      </c>
      <c r="G59" s="153">
        <v>104000</v>
      </c>
      <c r="H59" s="118" t="s">
        <v>600</v>
      </c>
    </row>
    <row r="60" spans="1:8" x14ac:dyDescent="0.25">
      <c r="A60" s="120">
        <v>3</v>
      </c>
      <c r="B60" s="118" t="s">
        <v>30</v>
      </c>
      <c r="C60" s="118" t="s">
        <v>553</v>
      </c>
      <c r="D60" s="118" t="s">
        <v>601</v>
      </c>
      <c r="E60" s="119">
        <v>100</v>
      </c>
      <c r="F60" s="153">
        <v>150</v>
      </c>
      <c r="G60" s="153">
        <v>15000</v>
      </c>
      <c r="H60" s="118" t="s">
        <v>148</v>
      </c>
    </row>
    <row r="61" spans="1:8" x14ac:dyDescent="0.25">
      <c r="A61" s="120">
        <v>3</v>
      </c>
      <c r="B61" s="118" t="s">
        <v>30</v>
      </c>
      <c r="C61" s="118" t="s">
        <v>602</v>
      </c>
      <c r="D61" s="118" t="s">
        <v>603</v>
      </c>
      <c r="E61" s="119">
        <v>2</v>
      </c>
      <c r="F61" s="153">
        <v>254000</v>
      </c>
      <c r="G61" s="153">
        <v>508000</v>
      </c>
      <c r="H61" s="118" t="s">
        <v>604</v>
      </c>
    </row>
    <row r="62" spans="1:8" x14ac:dyDescent="0.25">
      <c r="A62" s="120">
        <v>3</v>
      </c>
      <c r="B62" s="118" t="s">
        <v>30</v>
      </c>
      <c r="C62" s="118" t="s">
        <v>605</v>
      </c>
      <c r="D62" s="118" t="s">
        <v>606</v>
      </c>
      <c r="E62" s="119">
        <v>1</v>
      </c>
      <c r="F62" s="153">
        <v>160000</v>
      </c>
      <c r="G62" s="153">
        <v>160000</v>
      </c>
      <c r="H62" s="118" t="s">
        <v>604</v>
      </c>
    </row>
    <row r="63" spans="1:8" x14ac:dyDescent="0.25">
      <c r="A63" s="120">
        <v>3</v>
      </c>
      <c r="B63" s="118" t="s">
        <v>30</v>
      </c>
      <c r="C63" s="118" t="s">
        <v>607</v>
      </c>
      <c r="D63" s="118" t="s">
        <v>608</v>
      </c>
      <c r="E63" s="119">
        <v>1</v>
      </c>
      <c r="F63" s="153">
        <v>70000</v>
      </c>
      <c r="G63" s="153">
        <v>70000</v>
      </c>
      <c r="H63" s="118" t="s">
        <v>604</v>
      </c>
    </row>
    <row r="64" spans="1:8" x14ac:dyDescent="0.25">
      <c r="A64" s="120">
        <v>3</v>
      </c>
      <c r="B64" s="118" t="s">
        <v>31</v>
      </c>
      <c r="C64" s="118" t="s">
        <v>496</v>
      </c>
      <c r="D64" s="118" t="s">
        <v>497</v>
      </c>
      <c r="E64" s="119">
        <v>1</v>
      </c>
      <c r="F64" s="153">
        <v>32000</v>
      </c>
      <c r="G64" s="153">
        <v>32000</v>
      </c>
      <c r="H64" s="118" t="s">
        <v>495</v>
      </c>
    </row>
    <row r="65" spans="1:8" x14ac:dyDescent="0.25">
      <c r="A65" s="120">
        <v>3</v>
      </c>
      <c r="B65" s="118" t="s">
        <v>31</v>
      </c>
      <c r="C65" s="118" t="s">
        <v>498</v>
      </c>
      <c r="D65" s="118" t="s">
        <v>499</v>
      </c>
      <c r="E65" s="119">
        <v>2</v>
      </c>
      <c r="F65" s="153">
        <v>65000</v>
      </c>
      <c r="G65" s="153">
        <v>130000</v>
      </c>
      <c r="H65" s="118" t="s">
        <v>495</v>
      </c>
    </row>
    <row r="66" spans="1:8" x14ac:dyDescent="0.25">
      <c r="A66" s="120">
        <v>3</v>
      </c>
      <c r="B66" s="118" t="s">
        <v>31</v>
      </c>
      <c r="C66" s="118" t="s">
        <v>500</v>
      </c>
      <c r="D66" s="118" t="s">
        <v>501</v>
      </c>
      <c r="E66" s="119">
        <v>2</v>
      </c>
      <c r="F66" s="153">
        <v>65000</v>
      </c>
      <c r="G66" s="153">
        <v>130000</v>
      </c>
      <c r="H66" s="118" t="s">
        <v>495</v>
      </c>
    </row>
    <row r="67" spans="1:8" x14ac:dyDescent="0.25">
      <c r="A67" s="120">
        <v>3</v>
      </c>
      <c r="B67" s="118" t="s">
        <v>31</v>
      </c>
      <c r="C67" s="118" t="s">
        <v>502</v>
      </c>
      <c r="D67" s="118" t="s">
        <v>503</v>
      </c>
      <c r="E67" s="119">
        <v>10</v>
      </c>
      <c r="F67" s="153">
        <v>28800</v>
      </c>
      <c r="G67" s="153">
        <v>288000</v>
      </c>
      <c r="H67" s="118" t="s">
        <v>495</v>
      </c>
    </row>
    <row r="68" spans="1:8" x14ac:dyDescent="0.25">
      <c r="A68" s="120">
        <v>3</v>
      </c>
      <c r="B68" s="118" t="s">
        <v>31</v>
      </c>
      <c r="C68" s="118" t="s">
        <v>504</v>
      </c>
      <c r="D68" s="118" t="s">
        <v>505</v>
      </c>
      <c r="E68" s="119">
        <v>8</v>
      </c>
      <c r="F68" s="153">
        <v>30000</v>
      </c>
      <c r="G68" s="153">
        <v>240000</v>
      </c>
      <c r="H68" s="118" t="s">
        <v>495</v>
      </c>
    </row>
    <row r="69" spans="1:8" x14ac:dyDescent="0.25">
      <c r="A69" s="120">
        <v>3</v>
      </c>
      <c r="B69" s="118" t="s">
        <v>31</v>
      </c>
      <c r="C69" s="118" t="s">
        <v>507</v>
      </c>
      <c r="D69" s="118" t="s">
        <v>508</v>
      </c>
      <c r="E69" s="119">
        <v>2</v>
      </c>
      <c r="F69" s="153">
        <v>25100</v>
      </c>
      <c r="G69" s="153">
        <v>50200</v>
      </c>
      <c r="H69" s="118" t="s">
        <v>506</v>
      </c>
    </row>
    <row r="70" spans="1:8" x14ac:dyDescent="0.25">
      <c r="A70" s="120">
        <v>3</v>
      </c>
      <c r="B70" s="118" t="s">
        <v>31</v>
      </c>
      <c r="C70" s="118" t="s">
        <v>507</v>
      </c>
      <c r="D70" s="118" t="s">
        <v>509</v>
      </c>
      <c r="E70" s="119">
        <v>2</v>
      </c>
      <c r="F70" s="153">
        <v>25100</v>
      </c>
      <c r="G70" s="153">
        <v>50200</v>
      </c>
      <c r="H70" s="118" t="s">
        <v>506</v>
      </c>
    </row>
    <row r="71" spans="1:8" x14ac:dyDescent="0.25">
      <c r="A71" s="120">
        <v>3</v>
      </c>
      <c r="B71" s="118" t="s">
        <v>31</v>
      </c>
      <c r="C71" s="118" t="s">
        <v>507</v>
      </c>
      <c r="D71" s="118" t="s">
        <v>510</v>
      </c>
      <c r="E71" s="119">
        <v>2</v>
      </c>
      <c r="F71" s="153">
        <v>25100</v>
      </c>
      <c r="G71" s="153">
        <v>50200</v>
      </c>
      <c r="H71" s="118" t="s">
        <v>506</v>
      </c>
    </row>
    <row r="72" spans="1:8" x14ac:dyDescent="0.25">
      <c r="A72" s="120">
        <v>3</v>
      </c>
      <c r="B72" s="118" t="s">
        <v>28</v>
      </c>
      <c r="C72" s="118" t="s">
        <v>556</v>
      </c>
      <c r="D72" s="118" t="s">
        <v>609</v>
      </c>
      <c r="E72" s="119">
        <v>2</v>
      </c>
      <c r="F72" s="153">
        <v>9500</v>
      </c>
      <c r="G72" s="153">
        <v>19000</v>
      </c>
      <c r="H72" s="118" t="s">
        <v>610</v>
      </c>
    </row>
    <row r="73" spans="1:8" x14ac:dyDescent="0.25">
      <c r="A73" s="120">
        <v>3</v>
      </c>
      <c r="B73" s="118" t="s">
        <v>30</v>
      </c>
      <c r="C73" s="118" t="s">
        <v>607</v>
      </c>
      <c r="D73" s="118" t="s">
        <v>611</v>
      </c>
      <c r="E73" s="119">
        <v>1</v>
      </c>
      <c r="F73" s="153">
        <v>4500</v>
      </c>
      <c r="G73" s="153">
        <v>4500</v>
      </c>
      <c r="H73" s="118" t="s">
        <v>612</v>
      </c>
    </row>
    <row r="74" spans="1:8" x14ac:dyDescent="0.25">
      <c r="A74" s="120">
        <v>3</v>
      </c>
      <c r="B74" s="118" t="s">
        <v>28</v>
      </c>
      <c r="C74" s="118" t="s">
        <v>556</v>
      </c>
      <c r="D74" s="118" t="s">
        <v>613</v>
      </c>
      <c r="E74" s="119">
        <v>2</v>
      </c>
      <c r="F74" s="153">
        <v>9500</v>
      </c>
      <c r="G74" s="153">
        <v>19000</v>
      </c>
      <c r="H74" s="118" t="s">
        <v>614</v>
      </c>
    </row>
    <row r="75" spans="1:8" x14ac:dyDescent="0.25">
      <c r="A75" s="120">
        <v>3</v>
      </c>
      <c r="B75" s="118" t="s">
        <v>26</v>
      </c>
      <c r="C75" s="118" t="s">
        <v>69</v>
      </c>
      <c r="D75" s="118" t="s">
        <v>615</v>
      </c>
      <c r="E75" s="119">
        <v>1</v>
      </c>
      <c r="F75" s="153">
        <v>30000</v>
      </c>
      <c r="G75" s="153">
        <v>30000</v>
      </c>
      <c r="H75" s="118" t="s">
        <v>616</v>
      </c>
    </row>
    <row r="76" spans="1:8" x14ac:dyDescent="0.25">
      <c r="A76" s="120">
        <v>3</v>
      </c>
      <c r="B76" s="118" t="s">
        <v>26</v>
      </c>
      <c r="C76" s="118" t="s">
        <v>77</v>
      </c>
      <c r="D76" s="118" t="s">
        <v>617</v>
      </c>
      <c r="E76" s="119">
        <v>1</v>
      </c>
      <c r="F76" s="153">
        <v>10000</v>
      </c>
      <c r="G76" s="153">
        <v>10000</v>
      </c>
      <c r="H76" s="118" t="s">
        <v>616</v>
      </c>
    </row>
    <row r="77" spans="1:8" x14ac:dyDescent="0.25">
      <c r="A77" s="120">
        <v>3</v>
      </c>
      <c r="B77" s="118" t="s">
        <v>26</v>
      </c>
      <c r="C77" s="118" t="s">
        <v>79</v>
      </c>
      <c r="D77" s="118" t="s">
        <v>618</v>
      </c>
      <c r="E77" s="119">
        <v>1</v>
      </c>
      <c r="F77" s="153">
        <v>10000</v>
      </c>
      <c r="G77" s="153">
        <v>10000</v>
      </c>
      <c r="H77" s="118" t="s">
        <v>616</v>
      </c>
    </row>
    <row r="78" spans="1:8" x14ac:dyDescent="0.25">
      <c r="A78" s="120">
        <v>3</v>
      </c>
      <c r="B78" s="118" t="s">
        <v>26</v>
      </c>
      <c r="C78" s="118" t="s">
        <v>619</v>
      </c>
      <c r="D78" s="118" t="s">
        <v>620</v>
      </c>
      <c r="E78" s="119">
        <v>1</v>
      </c>
      <c r="F78" s="153">
        <v>7000</v>
      </c>
      <c r="G78" s="153">
        <v>7000</v>
      </c>
      <c r="H78" s="118" t="s">
        <v>616</v>
      </c>
    </row>
    <row r="79" spans="1:8" x14ac:dyDescent="0.25">
      <c r="A79" s="120">
        <v>3</v>
      </c>
      <c r="B79" s="118" t="s">
        <v>29</v>
      </c>
      <c r="C79" s="118" t="s">
        <v>621</v>
      </c>
      <c r="D79" s="118" t="s">
        <v>622</v>
      </c>
      <c r="E79" s="119">
        <v>35</v>
      </c>
      <c r="F79" s="153">
        <v>2500</v>
      </c>
      <c r="G79" s="153">
        <v>87500</v>
      </c>
      <c r="H79" s="118" t="s">
        <v>616</v>
      </c>
    </row>
    <row r="80" spans="1:8" x14ac:dyDescent="0.25">
      <c r="A80" s="120">
        <v>3</v>
      </c>
      <c r="B80" s="118" t="s">
        <v>29</v>
      </c>
      <c r="C80" s="118" t="s">
        <v>623</v>
      </c>
      <c r="D80" s="118" t="s">
        <v>624</v>
      </c>
      <c r="E80" s="119">
        <v>8</v>
      </c>
      <c r="F80" s="153">
        <v>3000</v>
      </c>
      <c r="G80" s="153">
        <v>24000</v>
      </c>
      <c r="H80" s="118" t="s">
        <v>616</v>
      </c>
    </row>
    <row r="81" spans="1:8" x14ac:dyDescent="0.25">
      <c r="A81" s="120">
        <v>3</v>
      </c>
      <c r="B81" s="118" t="s">
        <v>29</v>
      </c>
      <c r="C81" s="118" t="s">
        <v>625</v>
      </c>
      <c r="D81" s="118" t="s">
        <v>626</v>
      </c>
      <c r="E81" s="119">
        <v>5</v>
      </c>
      <c r="F81" s="153">
        <v>8000</v>
      </c>
      <c r="G81" s="153">
        <v>40000</v>
      </c>
      <c r="H81" s="118" t="s">
        <v>616</v>
      </c>
    </row>
    <row r="82" spans="1:8" x14ac:dyDescent="0.25">
      <c r="A82" s="120">
        <v>3</v>
      </c>
      <c r="B82" s="118" t="s">
        <v>29</v>
      </c>
      <c r="C82" s="118" t="s">
        <v>627</v>
      </c>
      <c r="D82" s="118" t="s">
        <v>628</v>
      </c>
      <c r="E82" s="119">
        <v>16</v>
      </c>
      <c r="F82" s="153">
        <v>2000</v>
      </c>
      <c r="G82" s="153">
        <v>32000</v>
      </c>
      <c r="H82" s="118" t="s">
        <v>616</v>
      </c>
    </row>
    <row r="83" spans="1:8" x14ac:dyDescent="0.25">
      <c r="A83" s="120">
        <v>3</v>
      </c>
      <c r="B83" s="118" t="s">
        <v>29</v>
      </c>
      <c r="C83" s="118" t="s">
        <v>629</v>
      </c>
      <c r="D83" s="118" t="s">
        <v>630</v>
      </c>
      <c r="E83" s="119">
        <v>15</v>
      </c>
      <c r="F83" s="153">
        <v>3333.33</v>
      </c>
      <c r="G83" s="153">
        <v>50000</v>
      </c>
      <c r="H83" s="118" t="s">
        <v>616</v>
      </c>
    </row>
    <row r="84" spans="1:8" x14ac:dyDescent="0.25">
      <c r="A84" s="120">
        <v>3</v>
      </c>
      <c r="B84" s="118" t="s">
        <v>29</v>
      </c>
      <c r="C84" s="118" t="s">
        <v>631</v>
      </c>
      <c r="D84" s="118" t="s">
        <v>632</v>
      </c>
      <c r="E84" s="119">
        <v>1</v>
      </c>
      <c r="F84" s="153">
        <v>8000</v>
      </c>
      <c r="G84" s="153">
        <v>8000</v>
      </c>
      <c r="H84" s="118" t="s">
        <v>616</v>
      </c>
    </row>
    <row r="85" spans="1:8" x14ac:dyDescent="0.25">
      <c r="A85" s="120">
        <v>3</v>
      </c>
      <c r="B85" s="118" t="s">
        <v>29</v>
      </c>
      <c r="C85" s="118" t="s">
        <v>633</v>
      </c>
      <c r="D85" s="118" t="s">
        <v>634</v>
      </c>
      <c r="E85" s="119">
        <v>10</v>
      </c>
      <c r="F85" s="153">
        <v>1000</v>
      </c>
      <c r="G85" s="153">
        <v>10000</v>
      </c>
      <c r="H85" s="118" t="s">
        <v>616</v>
      </c>
    </row>
    <row r="86" spans="1:8" x14ac:dyDescent="0.25">
      <c r="A86" s="120">
        <v>3</v>
      </c>
      <c r="B86" s="118" t="s">
        <v>26</v>
      </c>
      <c r="C86" s="118" t="s">
        <v>71</v>
      </c>
      <c r="D86" s="118" t="s">
        <v>635</v>
      </c>
      <c r="E86" s="119">
        <v>1</v>
      </c>
      <c r="F86" s="153">
        <v>3500</v>
      </c>
      <c r="G86" s="153">
        <v>3500</v>
      </c>
      <c r="H86" s="118" t="s">
        <v>616</v>
      </c>
    </row>
    <row r="87" spans="1:8" x14ac:dyDescent="0.25">
      <c r="A87" s="120">
        <v>3</v>
      </c>
      <c r="B87" s="118" t="s">
        <v>28</v>
      </c>
      <c r="C87" s="118" t="s">
        <v>636</v>
      </c>
      <c r="D87" s="118" t="s">
        <v>637</v>
      </c>
      <c r="E87" s="119">
        <v>6</v>
      </c>
      <c r="F87" s="153">
        <v>3100</v>
      </c>
      <c r="G87" s="153">
        <v>18600</v>
      </c>
      <c r="H87" s="118" t="s">
        <v>638</v>
      </c>
    </row>
    <row r="88" spans="1:8" x14ac:dyDescent="0.25">
      <c r="A88" s="120">
        <v>3</v>
      </c>
      <c r="B88" s="118" t="s">
        <v>24</v>
      </c>
      <c r="C88" s="118" t="s">
        <v>370</v>
      </c>
      <c r="D88" s="118" t="s">
        <v>371</v>
      </c>
      <c r="E88" s="119">
        <v>4</v>
      </c>
      <c r="F88" s="153">
        <v>48000</v>
      </c>
      <c r="G88" s="153">
        <v>192000</v>
      </c>
      <c r="H88" s="118" t="s">
        <v>369</v>
      </c>
    </row>
    <row r="89" spans="1:8" x14ac:dyDescent="0.25">
      <c r="A89" s="120">
        <v>3</v>
      </c>
      <c r="B89" s="118" t="s">
        <v>24</v>
      </c>
      <c r="C89" s="118" t="s">
        <v>370</v>
      </c>
      <c r="D89" s="118" t="s">
        <v>372</v>
      </c>
      <c r="E89" s="119">
        <v>1</v>
      </c>
      <c r="F89" s="153">
        <v>46000</v>
      </c>
      <c r="G89" s="153">
        <v>46000</v>
      </c>
      <c r="H89" s="118" t="s">
        <v>369</v>
      </c>
    </row>
    <row r="90" spans="1:8" x14ac:dyDescent="0.25">
      <c r="A90" s="120">
        <v>3</v>
      </c>
      <c r="B90" s="118" t="s">
        <v>30</v>
      </c>
      <c r="C90" s="118" t="s">
        <v>639</v>
      </c>
      <c r="D90" s="118" t="s">
        <v>640</v>
      </c>
      <c r="E90" s="119">
        <v>4</v>
      </c>
      <c r="F90" s="153">
        <v>22987.5</v>
      </c>
      <c r="G90" s="153">
        <v>91950</v>
      </c>
      <c r="H90" s="118" t="s">
        <v>641</v>
      </c>
    </row>
    <row r="91" spans="1:8" x14ac:dyDescent="0.25">
      <c r="A91" s="120">
        <v>3</v>
      </c>
      <c r="B91" s="118" t="s">
        <v>30</v>
      </c>
      <c r="C91" s="118" t="s">
        <v>642</v>
      </c>
      <c r="D91" s="118" t="s">
        <v>643</v>
      </c>
      <c r="E91" s="119">
        <v>15</v>
      </c>
      <c r="F91" s="153">
        <v>13233.33</v>
      </c>
      <c r="G91" s="153">
        <v>198500</v>
      </c>
      <c r="H91" s="118" t="s">
        <v>148</v>
      </c>
    </row>
    <row r="92" spans="1:8" x14ac:dyDescent="0.25">
      <c r="A92" s="120">
        <v>4</v>
      </c>
      <c r="B92" s="118" t="s">
        <v>24</v>
      </c>
      <c r="C92" s="118" t="s">
        <v>76</v>
      </c>
      <c r="D92" s="118" t="s">
        <v>375</v>
      </c>
      <c r="E92" s="119">
        <v>23.5</v>
      </c>
      <c r="F92" s="153">
        <v>18500</v>
      </c>
      <c r="G92" s="153">
        <v>434750</v>
      </c>
      <c r="H92" s="118" t="s">
        <v>374</v>
      </c>
    </row>
    <row r="93" spans="1:8" x14ac:dyDescent="0.25">
      <c r="A93" s="120">
        <v>4</v>
      </c>
      <c r="B93" s="118" t="s">
        <v>24</v>
      </c>
      <c r="C93" s="118" t="s">
        <v>70</v>
      </c>
      <c r="D93" s="118" t="s">
        <v>377</v>
      </c>
      <c r="E93" s="119">
        <v>26.5</v>
      </c>
      <c r="F93" s="153">
        <v>19500</v>
      </c>
      <c r="G93" s="153">
        <v>516750</v>
      </c>
      <c r="H93" s="118" t="s">
        <v>376</v>
      </c>
    </row>
    <row r="94" spans="1:8" x14ac:dyDescent="0.25">
      <c r="A94" s="120">
        <v>4</v>
      </c>
      <c r="B94" s="118" t="s">
        <v>24</v>
      </c>
      <c r="C94" s="118" t="s">
        <v>379</v>
      </c>
      <c r="D94" s="118" t="s">
        <v>380</v>
      </c>
      <c r="E94" s="119">
        <v>10</v>
      </c>
      <c r="F94" s="153">
        <v>10000</v>
      </c>
      <c r="G94" s="153">
        <v>100000</v>
      </c>
      <c r="H94" s="118" t="s">
        <v>378</v>
      </c>
    </row>
    <row r="95" spans="1:8" x14ac:dyDescent="0.25">
      <c r="A95" s="120">
        <v>4</v>
      </c>
      <c r="B95" s="118" t="s">
        <v>30</v>
      </c>
      <c r="C95" s="118" t="s">
        <v>553</v>
      </c>
      <c r="D95" s="118" t="s">
        <v>644</v>
      </c>
      <c r="E95" s="119">
        <v>100</v>
      </c>
      <c r="F95" s="153">
        <v>150</v>
      </c>
      <c r="G95" s="153">
        <v>15000</v>
      </c>
      <c r="H95" s="118" t="s">
        <v>645</v>
      </c>
    </row>
    <row r="96" spans="1:8" x14ac:dyDescent="0.25">
      <c r="A96" s="120">
        <v>4</v>
      </c>
      <c r="B96" s="118" t="s">
        <v>30</v>
      </c>
      <c r="C96" s="118" t="s">
        <v>646</v>
      </c>
      <c r="D96" s="118" t="s">
        <v>647</v>
      </c>
      <c r="E96" s="119">
        <v>1</v>
      </c>
      <c r="F96" s="153">
        <v>233000</v>
      </c>
      <c r="G96" s="153">
        <v>233000</v>
      </c>
      <c r="H96" s="118" t="s">
        <v>648</v>
      </c>
    </row>
    <row r="97" spans="1:8" x14ac:dyDescent="0.25">
      <c r="A97" s="120">
        <v>4</v>
      </c>
      <c r="B97" s="118" t="s">
        <v>28</v>
      </c>
      <c r="C97" s="118" t="s">
        <v>649</v>
      </c>
      <c r="D97" s="118" t="s">
        <v>650</v>
      </c>
      <c r="E97" s="119">
        <v>3</v>
      </c>
      <c r="F97" s="153">
        <v>6200</v>
      </c>
      <c r="G97" s="153">
        <v>18600</v>
      </c>
      <c r="H97" s="118" t="s">
        <v>651</v>
      </c>
    </row>
    <row r="98" spans="1:8" x14ac:dyDescent="0.25">
      <c r="A98" s="120">
        <v>4</v>
      </c>
      <c r="B98" s="118" t="s">
        <v>28</v>
      </c>
      <c r="C98" s="118" t="s">
        <v>652</v>
      </c>
      <c r="D98" s="118" t="s">
        <v>653</v>
      </c>
      <c r="E98" s="119">
        <v>3</v>
      </c>
      <c r="F98" s="153">
        <v>3000</v>
      </c>
      <c r="G98" s="153">
        <v>9000</v>
      </c>
      <c r="H98" s="118" t="s">
        <v>651</v>
      </c>
    </row>
    <row r="99" spans="1:8" x14ac:dyDescent="0.25">
      <c r="A99" s="120">
        <v>4</v>
      </c>
      <c r="B99" s="118" t="s">
        <v>28</v>
      </c>
      <c r="C99" s="118" t="s">
        <v>654</v>
      </c>
      <c r="D99" s="118" t="s">
        <v>655</v>
      </c>
      <c r="E99" s="119">
        <v>1</v>
      </c>
      <c r="F99" s="153">
        <v>8400</v>
      </c>
      <c r="G99" s="153">
        <v>8400</v>
      </c>
      <c r="H99" s="118" t="s">
        <v>651</v>
      </c>
    </row>
    <row r="100" spans="1:8" x14ac:dyDescent="0.25">
      <c r="A100" s="120">
        <v>4</v>
      </c>
      <c r="B100" s="118" t="s">
        <v>28</v>
      </c>
      <c r="C100" s="118" t="s">
        <v>656</v>
      </c>
      <c r="D100" s="118" t="s">
        <v>657</v>
      </c>
      <c r="E100" s="119">
        <v>5</v>
      </c>
      <c r="F100" s="153">
        <v>6650</v>
      </c>
      <c r="G100" s="153">
        <v>33250</v>
      </c>
      <c r="H100" s="118" t="s">
        <v>651</v>
      </c>
    </row>
    <row r="101" spans="1:8" x14ac:dyDescent="0.25">
      <c r="A101" s="120">
        <v>4</v>
      </c>
      <c r="B101" s="118" t="s">
        <v>28</v>
      </c>
      <c r="C101" s="118" t="s">
        <v>658</v>
      </c>
      <c r="D101" s="118" t="s">
        <v>659</v>
      </c>
      <c r="E101" s="119">
        <v>80</v>
      </c>
      <c r="F101" s="153">
        <v>1400</v>
      </c>
      <c r="G101" s="153">
        <v>112000</v>
      </c>
      <c r="H101" s="118" t="s">
        <v>651</v>
      </c>
    </row>
    <row r="102" spans="1:8" x14ac:dyDescent="0.25">
      <c r="A102" s="120">
        <v>4</v>
      </c>
      <c r="B102" s="118" t="s">
        <v>28</v>
      </c>
      <c r="C102" s="118" t="s">
        <v>556</v>
      </c>
      <c r="D102" s="118" t="s">
        <v>660</v>
      </c>
      <c r="E102" s="119">
        <v>2</v>
      </c>
      <c r="F102" s="153">
        <v>9500</v>
      </c>
      <c r="G102" s="153">
        <v>19000</v>
      </c>
      <c r="H102" s="118" t="s">
        <v>661</v>
      </c>
    </row>
    <row r="103" spans="1:8" x14ac:dyDescent="0.25">
      <c r="A103" s="120">
        <v>4</v>
      </c>
      <c r="B103" s="118" t="s">
        <v>28</v>
      </c>
      <c r="C103" s="118" t="s">
        <v>559</v>
      </c>
      <c r="D103" s="118" t="s">
        <v>662</v>
      </c>
      <c r="E103" s="119">
        <v>2</v>
      </c>
      <c r="F103" s="153">
        <v>5000</v>
      </c>
      <c r="G103" s="153">
        <v>10000</v>
      </c>
      <c r="H103" s="118" t="s">
        <v>661</v>
      </c>
    </row>
    <row r="104" spans="1:8" x14ac:dyDescent="0.25">
      <c r="A104" s="120">
        <v>4</v>
      </c>
      <c r="B104" s="118" t="s">
        <v>28</v>
      </c>
      <c r="C104" s="118" t="s">
        <v>663</v>
      </c>
      <c r="D104" s="118" t="s">
        <v>664</v>
      </c>
      <c r="E104" s="119">
        <v>10</v>
      </c>
      <c r="F104" s="153">
        <v>450</v>
      </c>
      <c r="G104" s="153">
        <v>4500</v>
      </c>
      <c r="H104" s="118" t="s">
        <v>651</v>
      </c>
    </row>
    <row r="105" spans="1:8" x14ac:dyDescent="0.25">
      <c r="A105" s="120">
        <v>4</v>
      </c>
      <c r="B105" s="118" t="s">
        <v>28</v>
      </c>
      <c r="C105" s="118" t="s">
        <v>665</v>
      </c>
      <c r="D105" s="118" t="s">
        <v>666</v>
      </c>
      <c r="E105" s="119">
        <v>20</v>
      </c>
      <c r="F105" s="153">
        <v>900</v>
      </c>
      <c r="G105" s="153">
        <v>18000</v>
      </c>
      <c r="H105" s="118" t="s">
        <v>651</v>
      </c>
    </row>
    <row r="106" spans="1:8" x14ac:dyDescent="0.25">
      <c r="A106" s="120">
        <v>4</v>
      </c>
      <c r="B106" s="118" t="s">
        <v>28</v>
      </c>
      <c r="C106" s="118" t="s">
        <v>667</v>
      </c>
      <c r="D106" s="118" t="s">
        <v>668</v>
      </c>
      <c r="E106" s="119">
        <v>5</v>
      </c>
      <c r="F106" s="153">
        <v>4600</v>
      </c>
      <c r="G106" s="153">
        <v>23000</v>
      </c>
      <c r="H106" s="118" t="s">
        <v>651</v>
      </c>
    </row>
    <row r="107" spans="1:8" x14ac:dyDescent="0.25">
      <c r="A107" s="120">
        <v>4</v>
      </c>
      <c r="B107" s="118" t="s">
        <v>28</v>
      </c>
      <c r="C107" s="118" t="s">
        <v>669</v>
      </c>
      <c r="D107" s="118" t="s">
        <v>670</v>
      </c>
      <c r="E107" s="119">
        <v>3</v>
      </c>
      <c r="F107" s="153">
        <v>9600</v>
      </c>
      <c r="G107" s="153">
        <v>28800</v>
      </c>
      <c r="H107" s="118" t="s">
        <v>651</v>
      </c>
    </row>
    <row r="108" spans="1:8" x14ac:dyDescent="0.25">
      <c r="A108" s="120">
        <v>4</v>
      </c>
      <c r="B108" s="118" t="s">
        <v>28</v>
      </c>
      <c r="C108" s="118" t="s">
        <v>671</v>
      </c>
      <c r="D108" s="118" t="s">
        <v>672</v>
      </c>
      <c r="E108" s="119">
        <v>2</v>
      </c>
      <c r="F108" s="153">
        <v>27500</v>
      </c>
      <c r="G108" s="153">
        <v>55000</v>
      </c>
      <c r="H108" s="118" t="s">
        <v>651</v>
      </c>
    </row>
    <row r="109" spans="1:8" x14ac:dyDescent="0.25">
      <c r="A109" s="120">
        <v>4</v>
      </c>
      <c r="B109" s="118" t="s">
        <v>28</v>
      </c>
      <c r="C109" s="118" t="s">
        <v>673</v>
      </c>
      <c r="D109" s="118" t="s">
        <v>674</v>
      </c>
      <c r="E109" s="119">
        <v>2</v>
      </c>
      <c r="F109" s="153">
        <v>23800</v>
      </c>
      <c r="G109" s="153">
        <v>47600</v>
      </c>
      <c r="H109" s="118" t="s">
        <v>651</v>
      </c>
    </row>
    <row r="110" spans="1:8" x14ac:dyDescent="0.25">
      <c r="A110" s="120">
        <v>4</v>
      </c>
      <c r="B110" s="118" t="s">
        <v>28</v>
      </c>
      <c r="C110" s="118" t="s">
        <v>675</v>
      </c>
      <c r="D110" s="118" t="s">
        <v>676</v>
      </c>
      <c r="E110" s="119">
        <v>6</v>
      </c>
      <c r="F110" s="153">
        <v>2500</v>
      </c>
      <c r="G110" s="153">
        <v>15000</v>
      </c>
      <c r="H110" s="118" t="s">
        <v>651</v>
      </c>
    </row>
    <row r="111" spans="1:8" x14ac:dyDescent="0.25">
      <c r="A111" s="120">
        <v>4</v>
      </c>
      <c r="B111" s="118" t="s">
        <v>28</v>
      </c>
      <c r="C111" s="118" t="s">
        <v>677</v>
      </c>
      <c r="D111" s="118" t="s">
        <v>678</v>
      </c>
      <c r="E111" s="119">
        <v>150</v>
      </c>
      <c r="F111" s="153">
        <v>390</v>
      </c>
      <c r="G111" s="153">
        <v>58500</v>
      </c>
      <c r="H111" s="118" t="s">
        <v>651</v>
      </c>
    </row>
    <row r="112" spans="1:8" x14ac:dyDescent="0.25">
      <c r="A112" s="120">
        <v>4</v>
      </c>
      <c r="B112" s="118" t="s">
        <v>28</v>
      </c>
      <c r="C112" s="118" t="s">
        <v>679</v>
      </c>
      <c r="D112" s="118" t="s">
        <v>680</v>
      </c>
      <c r="E112" s="119">
        <v>1</v>
      </c>
      <c r="F112" s="153">
        <v>17500</v>
      </c>
      <c r="G112" s="153">
        <v>17500</v>
      </c>
      <c r="H112" s="118" t="s">
        <v>651</v>
      </c>
    </row>
    <row r="113" spans="1:8" x14ac:dyDescent="0.25">
      <c r="A113" s="120">
        <v>4</v>
      </c>
      <c r="B113" s="118" t="s">
        <v>28</v>
      </c>
      <c r="C113" s="118" t="s">
        <v>681</v>
      </c>
      <c r="D113" s="118" t="s">
        <v>682</v>
      </c>
      <c r="E113" s="119">
        <v>5</v>
      </c>
      <c r="F113" s="153">
        <v>10600</v>
      </c>
      <c r="G113" s="153">
        <v>53000</v>
      </c>
      <c r="H113" s="118" t="s">
        <v>651</v>
      </c>
    </row>
    <row r="114" spans="1:8" x14ac:dyDescent="0.25">
      <c r="A114" s="120">
        <v>4</v>
      </c>
      <c r="B114" s="118" t="s">
        <v>28</v>
      </c>
      <c r="C114" s="118" t="s">
        <v>683</v>
      </c>
      <c r="D114" s="118" t="s">
        <v>684</v>
      </c>
      <c r="E114" s="119">
        <v>1</v>
      </c>
      <c r="F114" s="153">
        <v>23700</v>
      </c>
      <c r="G114" s="153">
        <v>23700</v>
      </c>
      <c r="H114" s="118" t="s">
        <v>651</v>
      </c>
    </row>
    <row r="115" spans="1:8" x14ac:dyDescent="0.25">
      <c r="A115" s="120">
        <v>4</v>
      </c>
      <c r="B115" s="118" t="s">
        <v>28</v>
      </c>
      <c r="C115" s="118" t="s">
        <v>685</v>
      </c>
      <c r="D115" s="118" t="s">
        <v>686</v>
      </c>
      <c r="E115" s="119">
        <v>5</v>
      </c>
      <c r="F115" s="153">
        <v>2100</v>
      </c>
      <c r="G115" s="153">
        <v>10500</v>
      </c>
      <c r="H115" s="118" t="s">
        <v>651</v>
      </c>
    </row>
    <row r="116" spans="1:8" x14ac:dyDescent="0.25">
      <c r="A116" s="120">
        <v>4</v>
      </c>
      <c r="B116" s="118" t="s">
        <v>28</v>
      </c>
      <c r="C116" s="118" t="s">
        <v>687</v>
      </c>
      <c r="D116" s="118" t="s">
        <v>688</v>
      </c>
      <c r="E116" s="119">
        <v>25</v>
      </c>
      <c r="F116" s="153">
        <v>2100</v>
      </c>
      <c r="G116" s="153">
        <v>52500</v>
      </c>
      <c r="H116" s="118" t="s">
        <v>651</v>
      </c>
    </row>
    <row r="117" spans="1:8" x14ac:dyDescent="0.25">
      <c r="A117" s="120">
        <v>4</v>
      </c>
      <c r="B117" s="118" t="s">
        <v>28</v>
      </c>
      <c r="C117" s="118" t="s">
        <v>689</v>
      </c>
      <c r="D117" s="118" t="s">
        <v>690</v>
      </c>
      <c r="E117" s="119">
        <v>1</v>
      </c>
      <c r="F117" s="153">
        <v>19850</v>
      </c>
      <c r="G117" s="153">
        <v>19850</v>
      </c>
      <c r="H117" s="118" t="s">
        <v>651</v>
      </c>
    </row>
    <row r="118" spans="1:8" x14ac:dyDescent="0.25">
      <c r="A118" s="120">
        <v>4</v>
      </c>
      <c r="B118" s="118" t="s">
        <v>28</v>
      </c>
      <c r="C118" s="118" t="s">
        <v>691</v>
      </c>
      <c r="D118" s="118" t="s">
        <v>692</v>
      </c>
      <c r="E118" s="119">
        <v>5</v>
      </c>
      <c r="F118" s="153">
        <v>5000</v>
      </c>
      <c r="G118" s="153">
        <v>25000</v>
      </c>
      <c r="H118" s="118" t="s">
        <v>648</v>
      </c>
    </row>
    <row r="119" spans="1:8" x14ac:dyDescent="0.25">
      <c r="A119" s="120">
        <v>4</v>
      </c>
      <c r="B119" s="118" t="s">
        <v>28</v>
      </c>
      <c r="C119" s="118" t="s">
        <v>693</v>
      </c>
      <c r="D119" s="118" t="s">
        <v>694</v>
      </c>
      <c r="E119" s="119">
        <v>1</v>
      </c>
      <c r="F119" s="153">
        <v>34300</v>
      </c>
      <c r="G119" s="153">
        <v>34300</v>
      </c>
      <c r="H119" s="118" t="s">
        <v>651</v>
      </c>
    </row>
    <row r="120" spans="1:8" x14ac:dyDescent="0.25">
      <c r="A120" s="120">
        <v>4</v>
      </c>
      <c r="B120" s="118" t="s">
        <v>28</v>
      </c>
      <c r="C120" s="118" t="s">
        <v>695</v>
      </c>
      <c r="D120" s="118" t="s">
        <v>696</v>
      </c>
      <c r="E120" s="119">
        <v>1</v>
      </c>
      <c r="F120" s="153">
        <v>5500</v>
      </c>
      <c r="G120" s="153">
        <v>5500</v>
      </c>
      <c r="H120" s="118" t="s">
        <v>648</v>
      </c>
    </row>
    <row r="121" spans="1:8" x14ac:dyDescent="0.25">
      <c r="A121" s="120">
        <v>4</v>
      </c>
      <c r="B121" s="118" t="s">
        <v>28</v>
      </c>
      <c r="C121" s="118" t="s">
        <v>697</v>
      </c>
      <c r="D121" s="118" t="s">
        <v>698</v>
      </c>
      <c r="E121" s="119">
        <v>1</v>
      </c>
      <c r="F121" s="153">
        <v>15100</v>
      </c>
      <c r="G121" s="153">
        <v>15100</v>
      </c>
      <c r="H121" s="118" t="s">
        <v>651</v>
      </c>
    </row>
    <row r="122" spans="1:8" x14ac:dyDescent="0.25">
      <c r="A122" s="120">
        <v>4</v>
      </c>
      <c r="B122" s="118" t="s">
        <v>28</v>
      </c>
      <c r="C122" s="118" t="s">
        <v>699</v>
      </c>
      <c r="D122" s="118" t="s">
        <v>700</v>
      </c>
      <c r="E122" s="119">
        <v>200</v>
      </c>
      <c r="F122" s="153">
        <v>270</v>
      </c>
      <c r="G122" s="153">
        <v>54000</v>
      </c>
      <c r="H122" s="118" t="s">
        <v>651</v>
      </c>
    </row>
    <row r="123" spans="1:8" x14ac:dyDescent="0.25">
      <c r="A123" s="120">
        <v>4</v>
      </c>
      <c r="B123" s="118" t="s">
        <v>28</v>
      </c>
      <c r="C123" s="118" t="s">
        <v>701</v>
      </c>
      <c r="D123" s="118" t="s">
        <v>702</v>
      </c>
      <c r="E123" s="119">
        <v>100</v>
      </c>
      <c r="F123" s="153">
        <v>950</v>
      </c>
      <c r="G123" s="153">
        <v>95000</v>
      </c>
      <c r="H123" s="118" t="s">
        <v>651</v>
      </c>
    </row>
    <row r="124" spans="1:8" x14ac:dyDescent="0.25">
      <c r="A124" s="120">
        <v>4</v>
      </c>
      <c r="B124" s="118" t="s">
        <v>28</v>
      </c>
      <c r="C124" s="118" t="s">
        <v>703</v>
      </c>
      <c r="D124" s="118" t="s">
        <v>704</v>
      </c>
      <c r="E124" s="119">
        <v>200</v>
      </c>
      <c r="F124" s="153">
        <v>440</v>
      </c>
      <c r="G124" s="153">
        <v>88000</v>
      </c>
      <c r="H124" s="118" t="s">
        <v>651</v>
      </c>
    </row>
    <row r="125" spans="1:8" x14ac:dyDescent="0.25">
      <c r="A125" s="120">
        <v>4</v>
      </c>
      <c r="B125" s="118" t="s">
        <v>28</v>
      </c>
      <c r="C125" s="118" t="s">
        <v>705</v>
      </c>
      <c r="D125" s="118" t="s">
        <v>706</v>
      </c>
      <c r="E125" s="119">
        <v>400</v>
      </c>
      <c r="F125" s="153">
        <v>440</v>
      </c>
      <c r="G125" s="153">
        <v>176000</v>
      </c>
      <c r="H125" s="118" t="s">
        <v>651</v>
      </c>
    </row>
    <row r="126" spans="1:8" x14ac:dyDescent="0.25">
      <c r="A126" s="120">
        <v>4</v>
      </c>
      <c r="B126" s="118" t="s">
        <v>28</v>
      </c>
      <c r="C126" s="118" t="s">
        <v>707</v>
      </c>
      <c r="D126" s="118" t="s">
        <v>708</v>
      </c>
      <c r="E126" s="119">
        <v>2</v>
      </c>
      <c r="F126" s="153">
        <v>30350</v>
      </c>
      <c r="G126" s="153">
        <v>60700</v>
      </c>
      <c r="H126" s="118" t="s">
        <v>651</v>
      </c>
    </row>
    <row r="127" spans="1:8" x14ac:dyDescent="0.25">
      <c r="A127" s="120">
        <v>4</v>
      </c>
      <c r="B127" s="118" t="s">
        <v>28</v>
      </c>
      <c r="C127" s="118" t="s">
        <v>709</v>
      </c>
      <c r="D127" s="118" t="s">
        <v>710</v>
      </c>
      <c r="E127" s="119">
        <v>2</v>
      </c>
      <c r="F127" s="153">
        <v>18650</v>
      </c>
      <c r="G127" s="153">
        <v>37300</v>
      </c>
      <c r="H127" s="118" t="s">
        <v>651</v>
      </c>
    </row>
    <row r="128" spans="1:8" x14ac:dyDescent="0.25">
      <c r="A128" s="120">
        <v>4</v>
      </c>
      <c r="B128" s="118" t="s">
        <v>28</v>
      </c>
      <c r="C128" s="118" t="s">
        <v>711</v>
      </c>
      <c r="D128" s="118" t="s">
        <v>712</v>
      </c>
      <c r="E128" s="119">
        <v>1</v>
      </c>
      <c r="F128" s="153">
        <v>14600</v>
      </c>
      <c r="G128" s="153">
        <v>14600</v>
      </c>
      <c r="H128" s="118" t="s">
        <v>651</v>
      </c>
    </row>
    <row r="129" spans="1:8" x14ac:dyDescent="0.25">
      <c r="A129" s="120">
        <v>4</v>
      </c>
      <c r="B129" s="118" t="s">
        <v>28</v>
      </c>
      <c r="C129" s="118" t="s">
        <v>713</v>
      </c>
      <c r="D129" s="118" t="s">
        <v>714</v>
      </c>
      <c r="E129" s="119">
        <v>5</v>
      </c>
      <c r="F129" s="153">
        <v>20950</v>
      </c>
      <c r="G129" s="153">
        <v>104750</v>
      </c>
      <c r="H129" s="118" t="s">
        <v>651</v>
      </c>
    </row>
    <row r="130" spans="1:8" x14ac:dyDescent="0.25">
      <c r="A130" s="120">
        <v>4</v>
      </c>
      <c r="B130" s="118" t="s">
        <v>28</v>
      </c>
      <c r="C130" s="118" t="s">
        <v>715</v>
      </c>
      <c r="D130" s="118" t="s">
        <v>716</v>
      </c>
      <c r="E130" s="119">
        <v>1</v>
      </c>
      <c r="F130" s="153">
        <v>18200</v>
      </c>
      <c r="G130" s="153">
        <v>18200</v>
      </c>
      <c r="H130" s="118" t="s">
        <v>651</v>
      </c>
    </row>
    <row r="131" spans="1:8" x14ac:dyDescent="0.25">
      <c r="A131" s="120">
        <v>4</v>
      </c>
      <c r="B131" s="118" t="s">
        <v>28</v>
      </c>
      <c r="C131" s="118" t="s">
        <v>717</v>
      </c>
      <c r="D131" s="118" t="s">
        <v>718</v>
      </c>
      <c r="E131" s="119">
        <v>60</v>
      </c>
      <c r="F131" s="153">
        <v>2000</v>
      </c>
      <c r="G131" s="153">
        <v>120000</v>
      </c>
      <c r="H131" s="118" t="s">
        <v>651</v>
      </c>
    </row>
    <row r="132" spans="1:8" x14ac:dyDescent="0.25">
      <c r="A132" s="120">
        <v>4</v>
      </c>
      <c r="B132" s="118" t="s">
        <v>28</v>
      </c>
      <c r="C132" s="118" t="s">
        <v>719</v>
      </c>
      <c r="D132" s="118" t="s">
        <v>720</v>
      </c>
      <c r="E132" s="119">
        <v>6</v>
      </c>
      <c r="F132" s="153">
        <v>2400</v>
      </c>
      <c r="G132" s="153">
        <v>14400</v>
      </c>
      <c r="H132" s="118" t="s">
        <v>651</v>
      </c>
    </row>
    <row r="133" spans="1:8" x14ac:dyDescent="0.25">
      <c r="A133" s="120">
        <v>4</v>
      </c>
      <c r="B133" s="118" t="s">
        <v>28</v>
      </c>
      <c r="C133" s="118" t="s">
        <v>721</v>
      </c>
      <c r="D133" s="118" t="s">
        <v>722</v>
      </c>
      <c r="E133" s="119">
        <v>3</v>
      </c>
      <c r="F133" s="153">
        <v>5450</v>
      </c>
      <c r="G133" s="153">
        <v>16350</v>
      </c>
      <c r="H133" s="118" t="s">
        <v>651</v>
      </c>
    </row>
    <row r="134" spans="1:8" x14ac:dyDescent="0.25">
      <c r="A134" s="120">
        <v>4</v>
      </c>
      <c r="B134" s="118" t="s">
        <v>28</v>
      </c>
      <c r="C134" s="118" t="s">
        <v>723</v>
      </c>
      <c r="D134" s="118" t="s">
        <v>724</v>
      </c>
      <c r="E134" s="119">
        <v>3</v>
      </c>
      <c r="F134" s="153">
        <v>5450</v>
      </c>
      <c r="G134" s="153">
        <v>16350</v>
      </c>
      <c r="H134" s="118" t="s">
        <v>651</v>
      </c>
    </row>
    <row r="135" spans="1:8" x14ac:dyDescent="0.25">
      <c r="A135" s="120">
        <v>4</v>
      </c>
      <c r="B135" s="118" t="s">
        <v>28</v>
      </c>
      <c r="C135" s="118" t="s">
        <v>725</v>
      </c>
      <c r="D135" s="118" t="s">
        <v>726</v>
      </c>
      <c r="E135" s="119">
        <v>2</v>
      </c>
      <c r="F135" s="153">
        <v>17250</v>
      </c>
      <c r="G135" s="153">
        <v>34500</v>
      </c>
      <c r="H135" s="118" t="s">
        <v>651</v>
      </c>
    </row>
    <row r="136" spans="1:8" x14ac:dyDescent="0.25">
      <c r="A136" s="120">
        <v>4</v>
      </c>
      <c r="B136" s="118" t="s">
        <v>28</v>
      </c>
      <c r="C136" s="118" t="s">
        <v>727</v>
      </c>
      <c r="D136" s="118" t="s">
        <v>728</v>
      </c>
      <c r="E136" s="119">
        <v>1</v>
      </c>
      <c r="F136" s="153">
        <v>17250</v>
      </c>
      <c r="G136" s="153">
        <v>17250</v>
      </c>
      <c r="H136" s="118" t="s">
        <v>651</v>
      </c>
    </row>
    <row r="137" spans="1:8" x14ac:dyDescent="0.25">
      <c r="A137" s="120">
        <v>4</v>
      </c>
      <c r="B137" s="118" t="s">
        <v>28</v>
      </c>
      <c r="C137" s="118" t="s">
        <v>729</v>
      </c>
      <c r="D137" s="118" t="s">
        <v>730</v>
      </c>
      <c r="E137" s="119">
        <v>10</v>
      </c>
      <c r="F137" s="153">
        <v>5200</v>
      </c>
      <c r="G137" s="153">
        <v>52000</v>
      </c>
      <c r="H137" s="118" t="s">
        <v>651</v>
      </c>
    </row>
    <row r="138" spans="1:8" x14ac:dyDescent="0.25">
      <c r="A138" s="120">
        <v>4</v>
      </c>
      <c r="B138" s="118" t="s">
        <v>28</v>
      </c>
      <c r="C138" s="118" t="s">
        <v>731</v>
      </c>
      <c r="D138" s="118" t="s">
        <v>732</v>
      </c>
      <c r="E138" s="119">
        <v>2</v>
      </c>
      <c r="F138" s="153">
        <v>10450</v>
      </c>
      <c r="G138" s="153">
        <v>20900</v>
      </c>
      <c r="H138" s="118" t="s">
        <v>651</v>
      </c>
    </row>
    <row r="139" spans="1:8" x14ac:dyDescent="0.25">
      <c r="A139" s="120">
        <v>4</v>
      </c>
      <c r="B139" s="118" t="s">
        <v>28</v>
      </c>
      <c r="C139" s="118" t="s">
        <v>733</v>
      </c>
      <c r="D139" s="118" t="s">
        <v>734</v>
      </c>
      <c r="E139" s="119">
        <v>40</v>
      </c>
      <c r="F139" s="153">
        <v>3100</v>
      </c>
      <c r="G139" s="153">
        <v>124000</v>
      </c>
      <c r="H139" s="118" t="s">
        <v>651</v>
      </c>
    </row>
    <row r="140" spans="1:8" x14ac:dyDescent="0.25">
      <c r="A140" s="120">
        <v>4</v>
      </c>
      <c r="B140" s="118" t="s">
        <v>28</v>
      </c>
      <c r="C140" s="118" t="s">
        <v>735</v>
      </c>
      <c r="D140" s="118" t="s">
        <v>736</v>
      </c>
      <c r="E140" s="119">
        <v>6</v>
      </c>
      <c r="F140" s="153">
        <v>5000</v>
      </c>
      <c r="G140" s="153">
        <v>30000</v>
      </c>
      <c r="H140" s="118" t="s">
        <v>651</v>
      </c>
    </row>
    <row r="141" spans="1:8" x14ac:dyDescent="0.25">
      <c r="A141" s="120">
        <v>4</v>
      </c>
      <c r="B141" s="118" t="s">
        <v>28</v>
      </c>
      <c r="C141" s="118" t="s">
        <v>737</v>
      </c>
      <c r="D141" s="118" t="s">
        <v>738</v>
      </c>
      <c r="E141" s="119">
        <v>3</v>
      </c>
      <c r="F141" s="153">
        <v>4850</v>
      </c>
      <c r="G141" s="153">
        <v>14550</v>
      </c>
      <c r="H141" s="118" t="s">
        <v>651</v>
      </c>
    </row>
    <row r="142" spans="1:8" x14ac:dyDescent="0.25">
      <c r="A142" s="120">
        <v>4</v>
      </c>
      <c r="B142" s="118" t="s">
        <v>28</v>
      </c>
      <c r="C142" s="118" t="s">
        <v>739</v>
      </c>
      <c r="D142" s="118" t="s">
        <v>740</v>
      </c>
      <c r="E142" s="119">
        <v>2</v>
      </c>
      <c r="F142" s="153">
        <v>7200</v>
      </c>
      <c r="G142" s="153">
        <v>14400</v>
      </c>
      <c r="H142" s="118" t="s">
        <v>651</v>
      </c>
    </row>
    <row r="143" spans="1:8" x14ac:dyDescent="0.25">
      <c r="A143" s="120">
        <v>4</v>
      </c>
      <c r="B143" s="118" t="s">
        <v>26</v>
      </c>
      <c r="C143" s="118" t="s">
        <v>69</v>
      </c>
      <c r="D143" s="118" t="s">
        <v>741</v>
      </c>
      <c r="E143" s="119">
        <v>1</v>
      </c>
      <c r="F143" s="153">
        <v>30000</v>
      </c>
      <c r="G143" s="153">
        <v>30000</v>
      </c>
      <c r="H143" s="118" t="s">
        <v>648</v>
      </c>
    </row>
    <row r="144" spans="1:8" x14ac:dyDescent="0.25">
      <c r="A144" s="120">
        <v>4</v>
      </c>
      <c r="B144" s="118" t="s">
        <v>24</v>
      </c>
      <c r="C144" s="118" t="s">
        <v>382</v>
      </c>
      <c r="D144" s="118" t="s">
        <v>383</v>
      </c>
      <c r="E144" s="119">
        <v>3.0950000000000002</v>
      </c>
      <c r="F144" s="153">
        <v>13980</v>
      </c>
      <c r="G144" s="153">
        <v>43269</v>
      </c>
      <c r="H144" s="118" t="s">
        <v>381</v>
      </c>
    </row>
    <row r="145" spans="1:8" x14ac:dyDescent="0.25">
      <c r="A145" s="120">
        <v>4</v>
      </c>
      <c r="B145" s="118" t="s">
        <v>30</v>
      </c>
      <c r="C145" s="118" t="s">
        <v>742</v>
      </c>
      <c r="D145" s="118" t="s">
        <v>743</v>
      </c>
      <c r="E145" s="119">
        <v>3</v>
      </c>
      <c r="F145" s="153">
        <v>2950</v>
      </c>
      <c r="G145" s="153">
        <v>8850</v>
      </c>
      <c r="H145" s="118" t="s">
        <v>744</v>
      </c>
    </row>
    <row r="146" spans="1:8" x14ac:dyDescent="0.25">
      <c r="A146" s="120">
        <v>5</v>
      </c>
      <c r="B146" s="118" t="s">
        <v>24</v>
      </c>
      <c r="C146" s="118" t="s">
        <v>78</v>
      </c>
      <c r="D146" s="118" t="s">
        <v>386</v>
      </c>
      <c r="E146" s="119">
        <v>19.7</v>
      </c>
      <c r="F146" s="153">
        <v>22900</v>
      </c>
      <c r="G146" s="153">
        <v>451130</v>
      </c>
      <c r="H146" s="118" t="s">
        <v>385</v>
      </c>
    </row>
    <row r="147" spans="1:8" x14ac:dyDescent="0.25">
      <c r="A147" s="120">
        <v>5</v>
      </c>
      <c r="B147" s="118" t="s">
        <v>24</v>
      </c>
      <c r="C147" s="118" t="s">
        <v>387</v>
      </c>
      <c r="D147" s="118" t="s">
        <v>388</v>
      </c>
      <c r="E147" s="119">
        <v>26.1</v>
      </c>
      <c r="F147" s="153">
        <v>18500</v>
      </c>
      <c r="G147" s="153">
        <v>482850</v>
      </c>
      <c r="H147" s="118" t="s">
        <v>385</v>
      </c>
    </row>
    <row r="148" spans="1:8" x14ac:dyDescent="0.25">
      <c r="A148" s="120">
        <v>5</v>
      </c>
      <c r="B148" s="118" t="s">
        <v>24</v>
      </c>
      <c r="C148" s="118" t="s">
        <v>389</v>
      </c>
      <c r="D148" s="118" t="s">
        <v>390</v>
      </c>
      <c r="E148" s="119">
        <v>30.66</v>
      </c>
      <c r="F148" s="153">
        <v>18900</v>
      </c>
      <c r="G148" s="153">
        <v>579474</v>
      </c>
      <c r="H148" s="118" t="s">
        <v>385</v>
      </c>
    </row>
    <row r="149" spans="1:8" x14ac:dyDescent="0.25">
      <c r="A149" s="120">
        <v>5</v>
      </c>
      <c r="B149" s="118" t="s">
        <v>24</v>
      </c>
      <c r="C149" s="118" t="s">
        <v>80</v>
      </c>
      <c r="D149" s="118" t="s">
        <v>391</v>
      </c>
      <c r="E149" s="119">
        <v>21.55</v>
      </c>
      <c r="F149" s="153">
        <v>42000</v>
      </c>
      <c r="G149" s="153">
        <v>905100</v>
      </c>
      <c r="H149" s="118" t="s">
        <v>385</v>
      </c>
    </row>
    <row r="150" spans="1:8" x14ac:dyDescent="0.25">
      <c r="A150" s="120">
        <v>5</v>
      </c>
      <c r="B150" s="118" t="s">
        <v>24</v>
      </c>
      <c r="C150" s="118" t="s">
        <v>392</v>
      </c>
      <c r="D150" s="118" t="s">
        <v>393</v>
      </c>
      <c r="E150" s="119">
        <v>18</v>
      </c>
      <c r="F150" s="153">
        <v>44000</v>
      </c>
      <c r="G150" s="153">
        <v>792000</v>
      </c>
      <c r="H150" s="118" t="s">
        <v>385</v>
      </c>
    </row>
    <row r="151" spans="1:8" x14ac:dyDescent="0.25">
      <c r="A151" s="120">
        <v>5</v>
      </c>
      <c r="B151" s="118" t="s">
        <v>24</v>
      </c>
      <c r="C151" s="118" t="s">
        <v>64</v>
      </c>
      <c r="D151" s="118" t="s">
        <v>394</v>
      </c>
      <c r="E151" s="119">
        <v>20.239999999999998</v>
      </c>
      <c r="F151" s="153">
        <v>25900</v>
      </c>
      <c r="G151" s="153">
        <v>524216</v>
      </c>
      <c r="H151" s="118" t="s">
        <v>385</v>
      </c>
    </row>
    <row r="152" spans="1:8" x14ac:dyDescent="0.25">
      <c r="A152" s="120">
        <v>5</v>
      </c>
      <c r="B152" s="118" t="s">
        <v>24</v>
      </c>
      <c r="C152" s="118" t="s">
        <v>68</v>
      </c>
      <c r="D152" s="118" t="s">
        <v>395</v>
      </c>
      <c r="E152" s="119">
        <v>9</v>
      </c>
      <c r="F152" s="153">
        <v>34500</v>
      </c>
      <c r="G152" s="153">
        <v>310500</v>
      </c>
      <c r="H152" s="118" t="s">
        <v>385</v>
      </c>
    </row>
    <row r="153" spans="1:8" x14ac:dyDescent="0.25">
      <c r="A153" s="120">
        <v>5</v>
      </c>
      <c r="B153" s="118" t="s">
        <v>24</v>
      </c>
      <c r="C153" s="118" t="s">
        <v>62</v>
      </c>
      <c r="D153" s="118" t="s">
        <v>396</v>
      </c>
      <c r="E153" s="119">
        <v>150.9</v>
      </c>
      <c r="F153" s="153">
        <v>21900</v>
      </c>
      <c r="G153" s="153">
        <v>3304710</v>
      </c>
      <c r="H153" s="118" t="s">
        <v>385</v>
      </c>
    </row>
    <row r="154" spans="1:8" x14ac:dyDescent="0.25">
      <c r="A154" s="120">
        <v>5</v>
      </c>
      <c r="B154" s="118" t="s">
        <v>29</v>
      </c>
      <c r="C154" s="118" t="s">
        <v>551</v>
      </c>
      <c r="D154" s="118" t="s">
        <v>745</v>
      </c>
      <c r="E154" s="119">
        <v>12</v>
      </c>
      <c r="F154" s="153">
        <v>19500</v>
      </c>
      <c r="G154" s="153">
        <v>234000</v>
      </c>
      <c r="H154" s="118" t="s">
        <v>385</v>
      </c>
    </row>
    <row r="155" spans="1:8" x14ac:dyDescent="0.25">
      <c r="A155" s="120">
        <v>5</v>
      </c>
      <c r="B155" s="118" t="s">
        <v>29</v>
      </c>
      <c r="C155" s="118" t="s">
        <v>746</v>
      </c>
      <c r="D155" s="118" t="s">
        <v>747</v>
      </c>
      <c r="E155" s="119">
        <v>8</v>
      </c>
      <c r="F155" s="153">
        <v>4500</v>
      </c>
      <c r="G155" s="153">
        <v>36000</v>
      </c>
      <c r="H155" s="118" t="s">
        <v>748</v>
      </c>
    </row>
    <row r="156" spans="1:8" x14ac:dyDescent="0.25">
      <c r="A156" s="120">
        <v>5</v>
      </c>
      <c r="B156" s="118" t="s">
        <v>30</v>
      </c>
      <c r="C156" s="118" t="s">
        <v>553</v>
      </c>
      <c r="D156" s="118" t="s">
        <v>749</v>
      </c>
      <c r="E156" s="119">
        <v>1150</v>
      </c>
      <c r="F156" s="153">
        <v>150</v>
      </c>
      <c r="G156" s="153">
        <v>172500</v>
      </c>
      <c r="H156" s="118" t="s">
        <v>750</v>
      </c>
    </row>
    <row r="157" spans="1:8" x14ac:dyDescent="0.25">
      <c r="A157" s="120">
        <v>5</v>
      </c>
      <c r="B157" s="118" t="s">
        <v>30</v>
      </c>
      <c r="C157" s="118" t="s">
        <v>553</v>
      </c>
      <c r="D157" s="118" t="s">
        <v>751</v>
      </c>
      <c r="E157" s="119">
        <v>500</v>
      </c>
      <c r="F157" s="153">
        <v>150</v>
      </c>
      <c r="G157" s="153">
        <v>75000</v>
      </c>
      <c r="H157" s="118" t="s">
        <v>752</v>
      </c>
    </row>
    <row r="158" spans="1:8" x14ac:dyDescent="0.25">
      <c r="A158" s="120">
        <v>5</v>
      </c>
      <c r="B158" s="118" t="s">
        <v>28</v>
      </c>
      <c r="C158" s="118" t="s">
        <v>556</v>
      </c>
      <c r="D158" s="118" t="s">
        <v>753</v>
      </c>
      <c r="E158" s="119">
        <v>2</v>
      </c>
      <c r="F158" s="153">
        <v>9500</v>
      </c>
      <c r="G158" s="153">
        <v>19000</v>
      </c>
      <c r="H158" s="118" t="s">
        <v>754</v>
      </c>
    </row>
    <row r="159" spans="1:8" x14ac:dyDescent="0.25">
      <c r="A159" s="120">
        <v>5</v>
      </c>
      <c r="B159" s="118" t="s">
        <v>28</v>
      </c>
      <c r="C159" s="118" t="s">
        <v>556</v>
      </c>
      <c r="D159" s="118" t="s">
        <v>755</v>
      </c>
      <c r="E159" s="119">
        <v>2</v>
      </c>
      <c r="F159" s="153">
        <v>9500</v>
      </c>
      <c r="G159" s="153">
        <v>19000</v>
      </c>
      <c r="H159" s="118" t="s">
        <v>756</v>
      </c>
    </row>
    <row r="160" spans="1:8" x14ac:dyDescent="0.25">
      <c r="A160" s="120">
        <v>5</v>
      </c>
      <c r="B160" s="118" t="s">
        <v>28</v>
      </c>
      <c r="C160" s="118" t="s">
        <v>559</v>
      </c>
      <c r="D160" s="118" t="s">
        <v>757</v>
      </c>
      <c r="E160" s="119">
        <v>2</v>
      </c>
      <c r="F160" s="153">
        <v>5000</v>
      </c>
      <c r="G160" s="153">
        <v>10000</v>
      </c>
      <c r="H160" s="118" t="s">
        <v>754</v>
      </c>
    </row>
    <row r="161" spans="1:8" x14ac:dyDescent="0.25">
      <c r="A161" s="120">
        <v>5</v>
      </c>
      <c r="B161" s="118" t="s">
        <v>28</v>
      </c>
      <c r="C161" s="118" t="s">
        <v>559</v>
      </c>
      <c r="D161" s="118" t="s">
        <v>758</v>
      </c>
      <c r="E161" s="119">
        <v>3</v>
      </c>
      <c r="F161" s="153">
        <v>5000</v>
      </c>
      <c r="G161" s="153">
        <v>15000</v>
      </c>
      <c r="H161" s="118" t="s">
        <v>756</v>
      </c>
    </row>
    <row r="162" spans="1:8" x14ac:dyDescent="0.25">
      <c r="A162" s="120">
        <v>5</v>
      </c>
      <c r="B162" s="118" t="s">
        <v>29</v>
      </c>
      <c r="C162" s="118" t="s">
        <v>759</v>
      </c>
      <c r="D162" s="118" t="s">
        <v>760</v>
      </c>
      <c r="E162" s="119">
        <v>4</v>
      </c>
      <c r="F162" s="153">
        <v>17950</v>
      </c>
      <c r="G162" s="153">
        <v>71800</v>
      </c>
      <c r="H162" s="118" t="s">
        <v>761</v>
      </c>
    </row>
    <row r="163" spans="1:8" x14ac:dyDescent="0.25">
      <c r="A163" s="120">
        <v>5</v>
      </c>
      <c r="B163" s="118" t="s">
        <v>29</v>
      </c>
      <c r="C163" s="118" t="s">
        <v>762</v>
      </c>
      <c r="D163" s="118" t="s">
        <v>763</v>
      </c>
      <c r="E163" s="119">
        <v>5</v>
      </c>
      <c r="F163" s="153">
        <v>12900</v>
      </c>
      <c r="G163" s="153">
        <v>64500</v>
      </c>
      <c r="H163" s="118" t="s">
        <v>761</v>
      </c>
    </row>
    <row r="164" spans="1:8" x14ac:dyDescent="0.25">
      <c r="A164" s="120">
        <v>5</v>
      </c>
      <c r="B164" s="118" t="s">
        <v>29</v>
      </c>
      <c r="C164" s="118" t="s">
        <v>764</v>
      </c>
      <c r="D164" s="118" t="s">
        <v>765</v>
      </c>
      <c r="E164" s="119">
        <v>3</v>
      </c>
      <c r="F164" s="153">
        <v>12600</v>
      </c>
      <c r="G164" s="153">
        <v>37800</v>
      </c>
      <c r="H164" s="118" t="s">
        <v>761</v>
      </c>
    </row>
    <row r="165" spans="1:8" x14ac:dyDescent="0.25">
      <c r="A165" s="120">
        <v>5</v>
      </c>
      <c r="B165" s="118" t="s">
        <v>29</v>
      </c>
      <c r="C165" s="118" t="s">
        <v>766</v>
      </c>
      <c r="D165" s="118" t="s">
        <v>767</v>
      </c>
      <c r="E165" s="119">
        <v>3</v>
      </c>
      <c r="F165" s="153">
        <v>15500</v>
      </c>
      <c r="G165" s="153">
        <v>46500</v>
      </c>
      <c r="H165" s="118" t="s">
        <v>761</v>
      </c>
    </row>
    <row r="166" spans="1:8" x14ac:dyDescent="0.25">
      <c r="A166" s="120">
        <v>5</v>
      </c>
      <c r="B166" s="118" t="s">
        <v>29</v>
      </c>
      <c r="C166" s="118" t="s">
        <v>768</v>
      </c>
      <c r="D166" s="118" t="s">
        <v>769</v>
      </c>
      <c r="E166" s="119">
        <v>2</v>
      </c>
      <c r="F166" s="153">
        <v>16800</v>
      </c>
      <c r="G166" s="153">
        <v>33600</v>
      </c>
      <c r="H166" s="118" t="s">
        <v>761</v>
      </c>
    </row>
    <row r="167" spans="1:8" x14ac:dyDescent="0.25">
      <c r="A167" s="120">
        <v>6</v>
      </c>
      <c r="B167" s="118" t="s">
        <v>29</v>
      </c>
      <c r="C167" s="118" t="s">
        <v>770</v>
      </c>
      <c r="D167" s="118" t="s">
        <v>771</v>
      </c>
      <c r="E167" s="119">
        <v>9</v>
      </c>
      <c r="F167" s="153">
        <v>9000</v>
      </c>
      <c r="G167" s="153">
        <v>81000</v>
      </c>
      <c r="H167" s="118" t="s">
        <v>137</v>
      </c>
    </row>
    <row r="168" spans="1:8" x14ac:dyDescent="0.25">
      <c r="A168" s="120">
        <v>6</v>
      </c>
      <c r="B168" s="118" t="s">
        <v>28</v>
      </c>
      <c r="C168" s="118" t="s">
        <v>556</v>
      </c>
      <c r="D168" s="118" t="s">
        <v>772</v>
      </c>
      <c r="E168" s="119">
        <v>2</v>
      </c>
      <c r="F168" s="153">
        <v>9500</v>
      </c>
      <c r="G168" s="153">
        <v>19000</v>
      </c>
      <c r="H168" s="118" t="s">
        <v>773</v>
      </c>
    </row>
    <row r="169" spans="1:8" x14ac:dyDescent="0.25">
      <c r="A169" s="120">
        <v>6</v>
      </c>
      <c r="B169" s="118" t="s">
        <v>28</v>
      </c>
      <c r="C169" s="118" t="s">
        <v>559</v>
      </c>
      <c r="D169" s="118" t="s">
        <v>774</v>
      </c>
      <c r="E169" s="119">
        <v>4</v>
      </c>
      <c r="F169" s="153">
        <v>5000</v>
      </c>
      <c r="G169" s="153">
        <v>20000</v>
      </c>
      <c r="H169" s="118" t="s">
        <v>773</v>
      </c>
    </row>
    <row r="170" spans="1:8" x14ac:dyDescent="0.25">
      <c r="A170" s="120">
        <v>6</v>
      </c>
      <c r="B170" s="118" t="s">
        <v>28</v>
      </c>
      <c r="C170" s="118" t="s">
        <v>585</v>
      </c>
      <c r="D170" s="118" t="s">
        <v>775</v>
      </c>
      <c r="E170" s="119">
        <v>1</v>
      </c>
      <c r="F170" s="153">
        <v>20000</v>
      </c>
      <c r="G170" s="153">
        <v>20000</v>
      </c>
      <c r="H170" s="118" t="s">
        <v>137</v>
      </c>
    </row>
    <row r="171" spans="1:8" x14ac:dyDescent="0.25">
      <c r="A171" s="120">
        <v>6</v>
      </c>
      <c r="B171" s="118" t="s">
        <v>28</v>
      </c>
      <c r="C171" s="118" t="s">
        <v>695</v>
      </c>
      <c r="D171" s="118" t="s">
        <v>776</v>
      </c>
      <c r="E171" s="119">
        <v>10</v>
      </c>
      <c r="F171" s="153">
        <v>9000</v>
      </c>
      <c r="G171" s="153">
        <v>90000</v>
      </c>
      <c r="H171" s="118" t="s">
        <v>137</v>
      </c>
    </row>
    <row r="172" spans="1:8" x14ac:dyDescent="0.25">
      <c r="A172" s="120">
        <v>6</v>
      </c>
      <c r="B172" s="118" t="s">
        <v>26</v>
      </c>
      <c r="C172" s="118" t="s">
        <v>67</v>
      </c>
      <c r="D172" s="118" t="s">
        <v>777</v>
      </c>
      <c r="E172" s="119">
        <v>1</v>
      </c>
      <c r="F172" s="153">
        <v>90000</v>
      </c>
      <c r="G172" s="153">
        <v>90000</v>
      </c>
      <c r="H172" s="118" t="s">
        <v>137</v>
      </c>
    </row>
    <row r="173" spans="1:8" x14ac:dyDescent="0.25">
      <c r="A173" s="120">
        <v>6</v>
      </c>
      <c r="B173" s="118" t="s">
        <v>29</v>
      </c>
      <c r="C173" s="118" t="s">
        <v>548</v>
      </c>
      <c r="D173" s="118" t="s">
        <v>778</v>
      </c>
      <c r="E173" s="119">
        <v>34</v>
      </c>
      <c r="F173" s="153">
        <v>6000</v>
      </c>
      <c r="G173" s="153">
        <v>204000</v>
      </c>
      <c r="H173" s="118" t="s">
        <v>137</v>
      </c>
    </row>
    <row r="174" spans="1:8" x14ac:dyDescent="0.25">
      <c r="A174" s="120">
        <v>7</v>
      </c>
      <c r="B174" s="118" t="s">
        <v>24</v>
      </c>
      <c r="C174" s="118" t="s">
        <v>353</v>
      </c>
      <c r="D174" s="118" t="s">
        <v>399</v>
      </c>
      <c r="E174" s="119">
        <v>3.39</v>
      </c>
      <c r="F174" s="153">
        <v>17500</v>
      </c>
      <c r="G174" s="153">
        <v>59325</v>
      </c>
      <c r="H174" s="118" t="s">
        <v>398</v>
      </c>
    </row>
    <row r="175" spans="1:8" x14ac:dyDescent="0.25">
      <c r="A175" s="120">
        <v>7</v>
      </c>
      <c r="B175" s="118" t="s">
        <v>24</v>
      </c>
      <c r="C175" s="118" t="s">
        <v>401</v>
      </c>
      <c r="D175" s="118" t="s">
        <v>402</v>
      </c>
      <c r="E175" s="119">
        <v>3.32</v>
      </c>
      <c r="F175" s="153">
        <v>8974.59</v>
      </c>
      <c r="G175" s="153">
        <v>29795.64</v>
      </c>
      <c r="H175" s="118" t="s">
        <v>400</v>
      </c>
    </row>
    <row r="176" spans="1:8" x14ac:dyDescent="0.25">
      <c r="A176" s="120">
        <v>7</v>
      </c>
      <c r="B176" s="118" t="s">
        <v>24</v>
      </c>
      <c r="C176" s="118" t="s">
        <v>379</v>
      </c>
      <c r="D176" s="118" t="s">
        <v>404</v>
      </c>
      <c r="E176" s="119">
        <v>1</v>
      </c>
      <c r="F176" s="153">
        <v>130000</v>
      </c>
      <c r="G176" s="153">
        <v>130000</v>
      </c>
      <c r="H176" s="118" t="s">
        <v>403</v>
      </c>
    </row>
    <row r="177" spans="1:8" x14ac:dyDescent="0.25">
      <c r="A177" s="120">
        <v>7</v>
      </c>
      <c r="B177" s="118" t="s">
        <v>24</v>
      </c>
      <c r="C177" s="118" t="s">
        <v>406</v>
      </c>
      <c r="D177" s="118" t="s">
        <v>407</v>
      </c>
      <c r="E177" s="119">
        <v>5.5919999999999996</v>
      </c>
      <c r="F177" s="153">
        <v>26900</v>
      </c>
      <c r="G177" s="153">
        <v>150425</v>
      </c>
      <c r="H177" s="118" t="s">
        <v>405</v>
      </c>
    </row>
    <row r="178" spans="1:8" x14ac:dyDescent="0.25">
      <c r="A178" s="120">
        <v>7</v>
      </c>
      <c r="B178" s="118" t="s">
        <v>24</v>
      </c>
      <c r="C178" s="118" t="s">
        <v>408</v>
      </c>
      <c r="D178" s="118" t="s">
        <v>409</v>
      </c>
      <c r="E178" s="119">
        <v>2</v>
      </c>
      <c r="F178" s="153">
        <v>10600</v>
      </c>
      <c r="G178" s="153">
        <v>21200</v>
      </c>
      <c r="H178" s="118" t="s">
        <v>398</v>
      </c>
    </row>
    <row r="179" spans="1:8" x14ac:dyDescent="0.25">
      <c r="A179" s="120">
        <v>7</v>
      </c>
      <c r="B179" s="118" t="s">
        <v>24</v>
      </c>
      <c r="C179" s="118" t="s">
        <v>344</v>
      </c>
      <c r="D179" s="118" t="s">
        <v>410</v>
      </c>
      <c r="E179" s="119">
        <v>3.93</v>
      </c>
      <c r="F179" s="153">
        <v>7984.07</v>
      </c>
      <c r="G179" s="153">
        <v>31377.4</v>
      </c>
      <c r="H179" s="118" t="s">
        <v>400</v>
      </c>
    </row>
    <row r="180" spans="1:8" x14ac:dyDescent="0.25">
      <c r="A180" s="120">
        <v>7</v>
      </c>
      <c r="B180" s="118" t="s">
        <v>24</v>
      </c>
      <c r="C180" s="118" t="s">
        <v>64</v>
      </c>
      <c r="D180" s="118" t="s">
        <v>411</v>
      </c>
      <c r="E180" s="119">
        <v>21.61</v>
      </c>
      <c r="F180" s="153">
        <v>25900</v>
      </c>
      <c r="G180" s="153">
        <v>559699</v>
      </c>
      <c r="H180" s="118" t="s">
        <v>405</v>
      </c>
    </row>
    <row r="181" spans="1:8" x14ac:dyDescent="0.25">
      <c r="A181" s="120">
        <v>7</v>
      </c>
      <c r="B181" s="118" t="s">
        <v>24</v>
      </c>
      <c r="C181" s="118" t="s">
        <v>68</v>
      </c>
      <c r="D181" s="118" t="s">
        <v>412</v>
      </c>
      <c r="E181" s="119">
        <v>20.565000000000001</v>
      </c>
      <c r="F181" s="153">
        <v>34500</v>
      </c>
      <c r="G181" s="153">
        <v>709493</v>
      </c>
      <c r="H181" s="118" t="s">
        <v>405</v>
      </c>
    </row>
    <row r="182" spans="1:8" x14ac:dyDescent="0.25">
      <c r="A182" s="120">
        <v>7</v>
      </c>
      <c r="B182" s="118" t="s">
        <v>29</v>
      </c>
      <c r="C182" s="118" t="s">
        <v>779</v>
      </c>
      <c r="D182" s="118" t="s">
        <v>780</v>
      </c>
      <c r="E182" s="119">
        <v>10</v>
      </c>
      <c r="F182" s="153">
        <v>10900</v>
      </c>
      <c r="G182" s="153">
        <v>109000</v>
      </c>
      <c r="H182" s="118" t="s">
        <v>405</v>
      </c>
    </row>
    <row r="183" spans="1:8" x14ac:dyDescent="0.25">
      <c r="A183" s="120">
        <v>7</v>
      </c>
      <c r="B183" s="118" t="s">
        <v>29</v>
      </c>
      <c r="C183" s="118" t="s">
        <v>781</v>
      </c>
      <c r="D183" s="118" t="s">
        <v>782</v>
      </c>
      <c r="E183" s="119">
        <v>0.505</v>
      </c>
      <c r="F183" s="153">
        <v>11000</v>
      </c>
      <c r="G183" s="153">
        <v>5555</v>
      </c>
      <c r="H183" s="118" t="s">
        <v>783</v>
      </c>
    </row>
    <row r="184" spans="1:8" x14ac:dyDescent="0.25">
      <c r="A184" s="120">
        <v>7</v>
      </c>
      <c r="B184" s="118" t="s">
        <v>29</v>
      </c>
      <c r="C184" s="118" t="s">
        <v>784</v>
      </c>
      <c r="D184" s="118" t="s">
        <v>785</v>
      </c>
      <c r="E184" s="119">
        <v>4</v>
      </c>
      <c r="F184" s="153">
        <v>2400</v>
      </c>
      <c r="G184" s="153">
        <v>9600</v>
      </c>
      <c r="H184" s="118" t="s">
        <v>398</v>
      </c>
    </row>
    <row r="185" spans="1:8" x14ac:dyDescent="0.25">
      <c r="A185" s="120">
        <v>7</v>
      </c>
      <c r="B185" s="118" t="s">
        <v>28</v>
      </c>
      <c r="C185" s="118" t="s">
        <v>556</v>
      </c>
      <c r="D185" s="118" t="s">
        <v>786</v>
      </c>
      <c r="E185" s="119">
        <v>2</v>
      </c>
      <c r="F185" s="153">
        <v>9500</v>
      </c>
      <c r="G185" s="153">
        <v>19000</v>
      </c>
      <c r="H185" s="118" t="s">
        <v>787</v>
      </c>
    </row>
    <row r="186" spans="1:8" x14ac:dyDescent="0.25">
      <c r="A186" s="120">
        <v>7</v>
      </c>
      <c r="B186" s="118" t="s">
        <v>28</v>
      </c>
      <c r="C186" s="118" t="s">
        <v>559</v>
      </c>
      <c r="D186" s="118" t="s">
        <v>788</v>
      </c>
      <c r="E186" s="119">
        <v>2</v>
      </c>
      <c r="F186" s="153">
        <v>5000</v>
      </c>
      <c r="G186" s="153">
        <v>10000</v>
      </c>
      <c r="H186" s="118" t="s">
        <v>789</v>
      </c>
    </row>
    <row r="187" spans="1:8" x14ac:dyDescent="0.25">
      <c r="A187" s="120">
        <v>7</v>
      </c>
      <c r="B187" s="118" t="s">
        <v>28</v>
      </c>
      <c r="C187" s="118" t="s">
        <v>667</v>
      </c>
      <c r="D187" s="118" t="s">
        <v>790</v>
      </c>
      <c r="E187" s="119">
        <v>1</v>
      </c>
      <c r="F187" s="153">
        <v>433</v>
      </c>
      <c r="G187" s="153">
        <v>433</v>
      </c>
      <c r="H187" s="118" t="s">
        <v>400</v>
      </c>
    </row>
    <row r="188" spans="1:8" x14ac:dyDescent="0.25">
      <c r="A188" s="120">
        <v>7</v>
      </c>
      <c r="B188" s="118" t="s">
        <v>26</v>
      </c>
      <c r="C188" s="118" t="s">
        <v>69</v>
      </c>
      <c r="D188" s="118" t="s">
        <v>791</v>
      </c>
      <c r="E188" s="119">
        <v>1</v>
      </c>
      <c r="F188" s="153">
        <v>30000</v>
      </c>
      <c r="G188" s="153">
        <v>30000</v>
      </c>
      <c r="H188" s="118" t="s">
        <v>792</v>
      </c>
    </row>
    <row r="189" spans="1:8" x14ac:dyDescent="0.25">
      <c r="A189" s="120">
        <v>7</v>
      </c>
      <c r="B189" s="118" t="s">
        <v>26</v>
      </c>
      <c r="C189" s="118" t="s">
        <v>67</v>
      </c>
      <c r="D189" s="118" t="s">
        <v>793</v>
      </c>
      <c r="E189" s="119">
        <v>1</v>
      </c>
      <c r="F189" s="153">
        <v>74000</v>
      </c>
      <c r="G189" s="153">
        <v>74000</v>
      </c>
      <c r="H189" s="118" t="s">
        <v>792</v>
      </c>
    </row>
    <row r="190" spans="1:8" x14ac:dyDescent="0.25">
      <c r="A190" s="120">
        <v>7</v>
      </c>
      <c r="B190" s="118" t="s">
        <v>24</v>
      </c>
      <c r="C190" s="118" t="s">
        <v>413</v>
      </c>
      <c r="D190" s="118" t="s">
        <v>414</v>
      </c>
      <c r="E190" s="119">
        <v>38.6</v>
      </c>
      <c r="F190" s="153">
        <v>11500</v>
      </c>
      <c r="G190" s="153">
        <v>443900</v>
      </c>
      <c r="H190" s="118" t="s">
        <v>144</v>
      </c>
    </row>
    <row r="191" spans="1:8" x14ac:dyDescent="0.25">
      <c r="A191" s="120">
        <v>7</v>
      </c>
      <c r="B191" s="118" t="s">
        <v>26</v>
      </c>
      <c r="C191" s="118" t="s">
        <v>65</v>
      </c>
      <c r="D191" s="118" t="s">
        <v>794</v>
      </c>
      <c r="E191" s="119">
        <v>1</v>
      </c>
      <c r="F191" s="153">
        <v>649800</v>
      </c>
      <c r="G191" s="153">
        <v>649800</v>
      </c>
      <c r="H191" s="118" t="s">
        <v>795</v>
      </c>
    </row>
    <row r="192" spans="1:8" x14ac:dyDescent="0.25">
      <c r="A192" s="120">
        <v>8</v>
      </c>
      <c r="B192" s="118" t="s">
        <v>24</v>
      </c>
      <c r="C192" s="118" t="s">
        <v>357</v>
      </c>
      <c r="D192" s="118" t="s">
        <v>417</v>
      </c>
      <c r="E192" s="119">
        <v>5</v>
      </c>
      <c r="F192" s="153">
        <v>33000</v>
      </c>
      <c r="G192" s="153">
        <v>165000</v>
      </c>
      <c r="H192" s="118" t="s">
        <v>416</v>
      </c>
    </row>
    <row r="193" spans="1:8" x14ac:dyDescent="0.25">
      <c r="A193" s="120">
        <v>8</v>
      </c>
      <c r="B193" s="118" t="s">
        <v>24</v>
      </c>
      <c r="C193" s="118" t="s">
        <v>76</v>
      </c>
      <c r="D193" s="118" t="s">
        <v>419</v>
      </c>
      <c r="E193" s="119">
        <v>14.1</v>
      </c>
      <c r="F193" s="153">
        <v>18500</v>
      </c>
      <c r="G193" s="153">
        <v>260850</v>
      </c>
      <c r="H193" s="118" t="s">
        <v>418</v>
      </c>
    </row>
    <row r="194" spans="1:8" x14ac:dyDescent="0.25">
      <c r="A194" s="120">
        <v>8</v>
      </c>
      <c r="B194" s="118" t="s">
        <v>24</v>
      </c>
      <c r="C194" s="118" t="s">
        <v>70</v>
      </c>
      <c r="D194" s="118" t="s">
        <v>420</v>
      </c>
      <c r="E194" s="119">
        <v>13.6</v>
      </c>
      <c r="F194" s="153">
        <v>19500</v>
      </c>
      <c r="G194" s="153">
        <v>265200</v>
      </c>
      <c r="H194" s="118" t="s">
        <v>418</v>
      </c>
    </row>
    <row r="195" spans="1:8" x14ac:dyDescent="0.25">
      <c r="A195" s="120">
        <v>8</v>
      </c>
      <c r="B195" s="118" t="s">
        <v>24</v>
      </c>
      <c r="C195" s="118" t="s">
        <v>72</v>
      </c>
      <c r="D195" s="118" t="s">
        <v>421</v>
      </c>
      <c r="E195" s="119">
        <v>14.9</v>
      </c>
      <c r="F195" s="153">
        <v>7500</v>
      </c>
      <c r="G195" s="153">
        <v>111750</v>
      </c>
      <c r="H195" s="118" t="s">
        <v>418</v>
      </c>
    </row>
    <row r="196" spans="1:8" x14ac:dyDescent="0.25">
      <c r="A196" s="120">
        <v>8</v>
      </c>
      <c r="B196" s="118" t="s">
        <v>24</v>
      </c>
      <c r="C196" s="118" t="s">
        <v>344</v>
      </c>
      <c r="D196" s="118" t="s">
        <v>422</v>
      </c>
      <c r="E196" s="119">
        <v>8.65</v>
      </c>
      <c r="F196" s="153">
        <v>7000</v>
      </c>
      <c r="G196" s="153">
        <v>60550</v>
      </c>
      <c r="H196" s="118" t="s">
        <v>416</v>
      </c>
    </row>
    <row r="197" spans="1:8" x14ac:dyDescent="0.25">
      <c r="A197" s="120">
        <v>8</v>
      </c>
      <c r="B197" s="118" t="s">
        <v>29</v>
      </c>
      <c r="C197" s="118" t="s">
        <v>796</v>
      </c>
      <c r="D197" s="118" t="s">
        <v>797</v>
      </c>
      <c r="E197" s="119">
        <v>4.2</v>
      </c>
      <c r="F197" s="153">
        <v>6000</v>
      </c>
      <c r="G197" s="153">
        <v>25200</v>
      </c>
      <c r="H197" s="118" t="s">
        <v>798</v>
      </c>
    </row>
    <row r="198" spans="1:8" x14ac:dyDescent="0.25">
      <c r="A198" s="120">
        <v>8</v>
      </c>
      <c r="B198" s="118" t="s">
        <v>29</v>
      </c>
      <c r="C198" s="118" t="s">
        <v>591</v>
      </c>
      <c r="D198" s="118" t="s">
        <v>799</v>
      </c>
      <c r="E198" s="119">
        <v>3.3</v>
      </c>
      <c r="F198" s="153">
        <v>15000</v>
      </c>
      <c r="G198" s="153">
        <v>49500</v>
      </c>
      <c r="H198" s="118" t="s">
        <v>798</v>
      </c>
    </row>
    <row r="199" spans="1:8" x14ac:dyDescent="0.25">
      <c r="A199" s="120">
        <v>8</v>
      </c>
      <c r="B199" s="118" t="s">
        <v>29</v>
      </c>
      <c r="C199" s="118" t="s">
        <v>800</v>
      </c>
      <c r="D199" s="118" t="s">
        <v>801</v>
      </c>
      <c r="E199" s="119">
        <v>10</v>
      </c>
      <c r="F199" s="153">
        <v>6000</v>
      </c>
      <c r="G199" s="153">
        <v>60000</v>
      </c>
      <c r="H199" s="118" t="s">
        <v>798</v>
      </c>
    </row>
    <row r="200" spans="1:8" x14ac:dyDescent="0.25">
      <c r="A200" s="120">
        <v>8</v>
      </c>
      <c r="B200" s="118" t="s">
        <v>29</v>
      </c>
      <c r="C200" s="118" t="s">
        <v>802</v>
      </c>
      <c r="D200" s="118" t="s">
        <v>803</v>
      </c>
      <c r="E200" s="119">
        <v>9.5</v>
      </c>
      <c r="F200" s="153">
        <v>3800</v>
      </c>
      <c r="G200" s="153">
        <v>36100</v>
      </c>
      <c r="H200" s="118" t="s">
        <v>798</v>
      </c>
    </row>
    <row r="201" spans="1:8" x14ac:dyDescent="0.25">
      <c r="A201" s="120">
        <v>8</v>
      </c>
      <c r="B201" s="118" t="s">
        <v>29</v>
      </c>
      <c r="C201" s="118" t="s">
        <v>804</v>
      </c>
      <c r="D201" s="118" t="s">
        <v>805</v>
      </c>
      <c r="E201" s="119">
        <v>42</v>
      </c>
      <c r="F201" s="153">
        <v>2800</v>
      </c>
      <c r="G201" s="153">
        <v>117600</v>
      </c>
      <c r="H201" s="118" t="s">
        <v>798</v>
      </c>
    </row>
    <row r="202" spans="1:8" x14ac:dyDescent="0.25">
      <c r="A202" s="120">
        <v>8</v>
      </c>
      <c r="B202" s="118" t="s">
        <v>29</v>
      </c>
      <c r="C202" s="118" t="s">
        <v>806</v>
      </c>
      <c r="D202" s="118" t="s">
        <v>807</v>
      </c>
      <c r="E202" s="119">
        <v>63.2</v>
      </c>
      <c r="F202" s="153">
        <v>3400</v>
      </c>
      <c r="G202" s="153">
        <v>214880</v>
      </c>
      <c r="H202" s="118" t="s">
        <v>798</v>
      </c>
    </row>
    <row r="203" spans="1:8" x14ac:dyDescent="0.25">
      <c r="A203" s="120">
        <v>8</v>
      </c>
      <c r="B203" s="118" t="s">
        <v>29</v>
      </c>
      <c r="C203" s="118" t="s">
        <v>808</v>
      </c>
      <c r="D203" s="118" t="s">
        <v>809</v>
      </c>
      <c r="E203" s="119">
        <v>1</v>
      </c>
      <c r="F203" s="153">
        <v>130000</v>
      </c>
      <c r="G203" s="153">
        <v>130000</v>
      </c>
      <c r="H203" s="118" t="s">
        <v>798</v>
      </c>
    </row>
    <row r="204" spans="1:8" x14ac:dyDescent="0.25">
      <c r="A204" s="120">
        <v>8</v>
      </c>
      <c r="B204" s="118" t="s">
        <v>29</v>
      </c>
      <c r="C204" s="118" t="s">
        <v>629</v>
      </c>
      <c r="D204" s="118" t="s">
        <v>810</v>
      </c>
      <c r="E204" s="119">
        <v>8.6999999999999993</v>
      </c>
      <c r="F204" s="153">
        <v>6000</v>
      </c>
      <c r="G204" s="153">
        <v>52200</v>
      </c>
      <c r="H204" s="118" t="s">
        <v>798</v>
      </c>
    </row>
    <row r="205" spans="1:8" x14ac:dyDescent="0.25">
      <c r="A205" s="120">
        <v>8</v>
      </c>
      <c r="B205" s="118" t="s">
        <v>29</v>
      </c>
      <c r="C205" s="118" t="s">
        <v>627</v>
      </c>
      <c r="D205" s="118" t="s">
        <v>811</v>
      </c>
      <c r="E205" s="119">
        <v>6.8</v>
      </c>
      <c r="F205" s="153">
        <v>3500</v>
      </c>
      <c r="G205" s="153">
        <v>23800</v>
      </c>
      <c r="H205" s="118" t="s">
        <v>798</v>
      </c>
    </row>
    <row r="206" spans="1:8" x14ac:dyDescent="0.25">
      <c r="A206" s="120">
        <v>8</v>
      </c>
      <c r="B206" s="118" t="s">
        <v>29</v>
      </c>
      <c r="C206" s="118" t="s">
        <v>812</v>
      </c>
      <c r="D206" s="118" t="s">
        <v>813</v>
      </c>
      <c r="E206" s="119">
        <v>3.3</v>
      </c>
      <c r="F206" s="153">
        <v>2500</v>
      </c>
      <c r="G206" s="153">
        <v>8250</v>
      </c>
      <c r="H206" s="118" t="s">
        <v>798</v>
      </c>
    </row>
    <row r="207" spans="1:8" x14ac:dyDescent="0.25">
      <c r="A207" s="120">
        <v>8</v>
      </c>
      <c r="B207" s="118" t="s">
        <v>29</v>
      </c>
      <c r="C207" s="118" t="s">
        <v>814</v>
      </c>
      <c r="D207" s="118" t="s">
        <v>815</v>
      </c>
      <c r="E207" s="119">
        <v>4</v>
      </c>
      <c r="F207" s="153">
        <v>9000</v>
      </c>
      <c r="G207" s="153">
        <v>36000</v>
      </c>
      <c r="H207" s="118" t="s">
        <v>798</v>
      </c>
    </row>
    <row r="208" spans="1:8" x14ac:dyDescent="0.25">
      <c r="A208" s="120">
        <v>8</v>
      </c>
      <c r="B208" s="118" t="s">
        <v>29</v>
      </c>
      <c r="C208" s="118" t="s">
        <v>816</v>
      </c>
      <c r="D208" s="118" t="s">
        <v>817</v>
      </c>
      <c r="E208" s="119">
        <v>8.1999999999999993</v>
      </c>
      <c r="F208" s="153">
        <v>4000</v>
      </c>
      <c r="G208" s="153">
        <v>32800</v>
      </c>
      <c r="H208" s="118" t="s">
        <v>798</v>
      </c>
    </row>
    <row r="209" spans="1:8" x14ac:dyDescent="0.25">
      <c r="A209" s="120">
        <v>8</v>
      </c>
      <c r="B209" s="118" t="s">
        <v>29</v>
      </c>
      <c r="C209" s="118" t="s">
        <v>818</v>
      </c>
      <c r="D209" s="118" t="s">
        <v>819</v>
      </c>
      <c r="E209" s="119">
        <v>53</v>
      </c>
      <c r="F209" s="153">
        <v>1400</v>
      </c>
      <c r="G209" s="153">
        <v>74200</v>
      </c>
      <c r="H209" s="118" t="s">
        <v>798</v>
      </c>
    </row>
    <row r="210" spans="1:8" x14ac:dyDescent="0.25">
      <c r="A210" s="120">
        <v>8</v>
      </c>
      <c r="B210" s="118" t="s">
        <v>29</v>
      </c>
      <c r="C210" s="118" t="s">
        <v>820</v>
      </c>
      <c r="D210" s="118" t="s">
        <v>821</v>
      </c>
      <c r="E210" s="119">
        <v>61</v>
      </c>
      <c r="F210" s="153">
        <v>1400</v>
      </c>
      <c r="G210" s="153">
        <v>85400</v>
      </c>
      <c r="H210" s="118" t="s">
        <v>798</v>
      </c>
    </row>
    <row r="211" spans="1:8" x14ac:dyDescent="0.25">
      <c r="A211" s="120">
        <v>8</v>
      </c>
      <c r="B211" s="118" t="s">
        <v>29</v>
      </c>
      <c r="C211" s="118" t="s">
        <v>822</v>
      </c>
      <c r="D211" s="118" t="s">
        <v>823</v>
      </c>
      <c r="E211" s="119">
        <v>5.7</v>
      </c>
      <c r="F211" s="153">
        <v>2800</v>
      </c>
      <c r="G211" s="153">
        <v>15960</v>
      </c>
      <c r="H211" s="118" t="s">
        <v>798</v>
      </c>
    </row>
    <row r="212" spans="1:8" x14ac:dyDescent="0.25">
      <c r="A212" s="120">
        <v>8</v>
      </c>
      <c r="B212" s="118" t="s">
        <v>29</v>
      </c>
      <c r="C212" s="118" t="s">
        <v>824</v>
      </c>
      <c r="D212" s="118" t="s">
        <v>825</v>
      </c>
      <c r="E212" s="119">
        <v>7</v>
      </c>
      <c r="F212" s="153">
        <v>5000</v>
      </c>
      <c r="G212" s="153">
        <v>35000</v>
      </c>
      <c r="H212" s="118" t="s">
        <v>798</v>
      </c>
    </row>
    <row r="213" spans="1:8" x14ac:dyDescent="0.25">
      <c r="A213" s="120">
        <v>8</v>
      </c>
      <c r="B213" s="118" t="s">
        <v>29</v>
      </c>
      <c r="C213" s="118" t="s">
        <v>826</v>
      </c>
      <c r="D213" s="118" t="s">
        <v>827</v>
      </c>
      <c r="E213" s="119">
        <v>4.0999999999999996</v>
      </c>
      <c r="F213" s="153">
        <v>5000</v>
      </c>
      <c r="G213" s="153">
        <v>20500</v>
      </c>
      <c r="H213" s="118" t="s">
        <v>798</v>
      </c>
    </row>
    <row r="214" spans="1:8" x14ac:dyDescent="0.25">
      <c r="A214" s="120">
        <v>8</v>
      </c>
      <c r="B214" s="118" t="s">
        <v>29</v>
      </c>
      <c r="C214" s="118" t="s">
        <v>828</v>
      </c>
      <c r="D214" s="118" t="s">
        <v>829</v>
      </c>
      <c r="E214" s="119">
        <v>9.3000000000000007</v>
      </c>
      <c r="F214" s="153">
        <v>2000</v>
      </c>
      <c r="G214" s="153">
        <v>18600</v>
      </c>
      <c r="H214" s="118" t="s">
        <v>798</v>
      </c>
    </row>
    <row r="215" spans="1:8" x14ac:dyDescent="0.25">
      <c r="A215" s="120">
        <v>8</v>
      </c>
      <c r="B215" s="118" t="s">
        <v>30</v>
      </c>
      <c r="C215" s="118" t="s">
        <v>830</v>
      </c>
      <c r="D215" s="118" t="s">
        <v>831</v>
      </c>
      <c r="E215" s="119">
        <v>7</v>
      </c>
      <c r="F215" s="153">
        <v>21000</v>
      </c>
      <c r="G215" s="153">
        <v>147000</v>
      </c>
      <c r="H215" s="118" t="s">
        <v>832</v>
      </c>
    </row>
    <row r="216" spans="1:8" x14ac:dyDescent="0.25">
      <c r="A216" s="120">
        <v>8</v>
      </c>
      <c r="B216" s="118" t="s">
        <v>28</v>
      </c>
      <c r="C216" s="118" t="s">
        <v>649</v>
      </c>
      <c r="D216" s="118" t="s">
        <v>833</v>
      </c>
      <c r="E216" s="119">
        <v>3</v>
      </c>
      <c r="F216" s="153">
        <v>6200</v>
      </c>
      <c r="G216" s="153">
        <v>18600</v>
      </c>
      <c r="H216" s="118" t="s">
        <v>834</v>
      </c>
    </row>
    <row r="217" spans="1:8" x14ac:dyDescent="0.25">
      <c r="A217" s="120">
        <v>8</v>
      </c>
      <c r="B217" s="118" t="s">
        <v>28</v>
      </c>
      <c r="C217" s="118" t="s">
        <v>652</v>
      </c>
      <c r="D217" s="118" t="s">
        <v>835</v>
      </c>
      <c r="E217" s="119">
        <v>3</v>
      </c>
      <c r="F217" s="153">
        <v>3000</v>
      </c>
      <c r="G217" s="153">
        <v>9000</v>
      </c>
      <c r="H217" s="118" t="s">
        <v>834</v>
      </c>
    </row>
    <row r="218" spans="1:8" x14ac:dyDescent="0.25">
      <c r="A218" s="120">
        <v>8</v>
      </c>
      <c r="B218" s="118" t="s">
        <v>28</v>
      </c>
      <c r="C218" s="118" t="s">
        <v>836</v>
      </c>
      <c r="D218" s="118" t="s">
        <v>837</v>
      </c>
      <c r="E218" s="119">
        <v>1</v>
      </c>
      <c r="F218" s="153">
        <v>2500</v>
      </c>
      <c r="G218" s="153">
        <v>2500</v>
      </c>
      <c r="H218" s="118" t="s">
        <v>834</v>
      </c>
    </row>
    <row r="219" spans="1:8" x14ac:dyDescent="0.25">
      <c r="A219" s="120">
        <v>8</v>
      </c>
      <c r="B219" s="118" t="s">
        <v>28</v>
      </c>
      <c r="C219" s="118" t="s">
        <v>559</v>
      </c>
      <c r="D219" s="118" t="s">
        <v>838</v>
      </c>
      <c r="E219" s="119">
        <v>2</v>
      </c>
      <c r="F219" s="153">
        <v>5000</v>
      </c>
      <c r="G219" s="153">
        <v>10000</v>
      </c>
      <c r="H219" s="118" t="s">
        <v>839</v>
      </c>
    </row>
    <row r="220" spans="1:8" x14ac:dyDescent="0.25">
      <c r="A220" s="120">
        <v>8</v>
      </c>
      <c r="B220" s="118" t="s">
        <v>28</v>
      </c>
      <c r="C220" s="118" t="s">
        <v>667</v>
      </c>
      <c r="D220" s="118" t="s">
        <v>840</v>
      </c>
      <c r="E220" s="119">
        <v>5</v>
      </c>
      <c r="F220" s="153">
        <v>4600</v>
      </c>
      <c r="G220" s="153">
        <v>23000</v>
      </c>
      <c r="H220" s="118" t="s">
        <v>834</v>
      </c>
    </row>
    <row r="221" spans="1:8" x14ac:dyDescent="0.25">
      <c r="A221" s="120">
        <v>8</v>
      </c>
      <c r="B221" s="118" t="s">
        <v>28</v>
      </c>
      <c r="C221" s="118" t="s">
        <v>669</v>
      </c>
      <c r="D221" s="118" t="s">
        <v>841</v>
      </c>
      <c r="E221" s="119">
        <v>3</v>
      </c>
      <c r="F221" s="153">
        <v>9600</v>
      </c>
      <c r="G221" s="153">
        <v>28800</v>
      </c>
      <c r="H221" s="118" t="s">
        <v>834</v>
      </c>
    </row>
    <row r="222" spans="1:8" x14ac:dyDescent="0.25">
      <c r="A222" s="120">
        <v>8</v>
      </c>
      <c r="B222" s="118" t="s">
        <v>28</v>
      </c>
      <c r="C222" s="118" t="s">
        <v>842</v>
      </c>
      <c r="D222" s="118" t="s">
        <v>843</v>
      </c>
      <c r="E222" s="119">
        <v>1</v>
      </c>
      <c r="F222" s="153">
        <v>21700</v>
      </c>
      <c r="G222" s="153">
        <v>21700</v>
      </c>
      <c r="H222" s="118" t="s">
        <v>834</v>
      </c>
    </row>
    <row r="223" spans="1:8" x14ac:dyDescent="0.25">
      <c r="A223" s="120">
        <v>8</v>
      </c>
      <c r="B223" s="118" t="s">
        <v>28</v>
      </c>
      <c r="C223" s="118" t="s">
        <v>671</v>
      </c>
      <c r="D223" s="118" t="s">
        <v>844</v>
      </c>
      <c r="E223" s="119">
        <v>1</v>
      </c>
      <c r="F223" s="153">
        <v>27500</v>
      </c>
      <c r="G223" s="153">
        <v>27500</v>
      </c>
      <c r="H223" s="118" t="s">
        <v>834</v>
      </c>
    </row>
    <row r="224" spans="1:8" x14ac:dyDescent="0.25">
      <c r="A224" s="120">
        <v>8</v>
      </c>
      <c r="B224" s="118" t="s">
        <v>28</v>
      </c>
      <c r="C224" s="118" t="s">
        <v>845</v>
      </c>
      <c r="D224" s="118" t="s">
        <v>846</v>
      </c>
      <c r="E224" s="119">
        <v>1</v>
      </c>
      <c r="F224" s="153">
        <v>14000</v>
      </c>
      <c r="G224" s="153">
        <v>14000</v>
      </c>
      <c r="H224" s="118" t="s">
        <v>832</v>
      </c>
    </row>
    <row r="225" spans="1:8" x14ac:dyDescent="0.25">
      <c r="A225" s="120">
        <v>8</v>
      </c>
      <c r="B225" s="118" t="s">
        <v>28</v>
      </c>
      <c r="C225" s="118" t="s">
        <v>847</v>
      </c>
      <c r="D225" s="118" t="s">
        <v>848</v>
      </c>
      <c r="E225" s="119">
        <v>20</v>
      </c>
      <c r="F225" s="153">
        <v>11200</v>
      </c>
      <c r="G225" s="153">
        <v>224000</v>
      </c>
      <c r="H225" s="118" t="s">
        <v>834</v>
      </c>
    </row>
    <row r="226" spans="1:8" x14ac:dyDescent="0.25">
      <c r="A226" s="120">
        <v>8</v>
      </c>
      <c r="B226" s="118" t="s">
        <v>28</v>
      </c>
      <c r="C226" s="118" t="s">
        <v>849</v>
      </c>
      <c r="D226" s="118" t="s">
        <v>850</v>
      </c>
      <c r="E226" s="119">
        <v>13</v>
      </c>
      <c r="F226" s="153">
        <v>8600</v>
      </c>
      <c r="G226" s="153">
        <v>111800</v>
      </c>
      <c r="H226" s="118" t="s">
        <v>834</v>
      </c>
    </row>
    <row r="227" spans="1:8" x14ac:dyDescent="0.25">
      <c r="A227" s="120">
        <v>8</v>
      </c>
      <c r="B227" s="118" t="s">
        <v>28</v>
      </c>
      <c r="C227" s="118" t="s">
        <v>851</v>
      </c>
      <c r="D227" s="118" t="s">
        <v>852</v>
      </c>
      <c r="E227" s="119">
        <v>1</v>
      </c>
      <c r="F227" s="153">
        <v>6800</v>
      </c>
      <c r="G227" s="153">
        <v>6800</v>
      </c>
      <c r="H227" s="118" t="s">
        <v>834</v>
      </c>
    </row>
    <row r="228" spans="1:8" x14ac:dyDescent="0.25">
      <c r="A228" s="120">
        <v>8</v>
      </c>
      <c r="B228" s="118" t="s">
        <v>28</v>
      </c>
      <c r="C228" s="118" t="s">
        <v>681</v>
      </c>
      <c r="D228" s="118" t="s">
        <v>853</v>
      </c>
      <c r="E228" s="119">
        <v>5</v>
      </c>
      <c r="F228" s="153">
        <v>10600</v>
      </c>
      <c r="G228" s="153">
        <v>53000</v>
      </c>
      <c r="H228" s="118" t="s">
        <v>834</v>
      </c>
    </row>
    <row r="229" spans="1:8" x14ac:dyDescent="0.25">
      <c r="A229" s="120">
        <v>8</v>
      </c>
      <c r="B229" s="118" t="s">
        <v>28</v>
      </c>
      <c r="C229" s="118" t="s">
        <v>685</v>
      </c>
      <c r="D229" s="118" t="s">
        <v>854</v>
      </c>
      <c r="E229" s="119">
        <v>6</v>
      </c>
      <c r="F229" s="153">
        <v>2100</v>
      </c>
      <c r="G229" s="153">
        <v>12600</v>
      </c>
      <c r="H229" s="118" t="s">
        <v>834</v>
      </c>
    </row>
    <row r="230" spans="1:8" x14ac:dyDescent="0.25">
      <c r="A230" s="120">
        <v>8</v>
      </c>
      <c r="B230" s="118" t="s">
        <v>28</v>
      </c>
      <c r="C230" s="118" t="s">
        <v>689</v>
      </c>
      <c r="D230" s="118" t="s">
        <v>855</v>
      </c>
      <c r="E230" s="119">
        <v>1</v>
      </c>
      <c r="F230" s="153">
        <v>19850</v>
      </c>
      <c r="G230" s="153">
        <v>19850</v>
      </c>
      <c r="H230" s="118" t="s">
        <v>834</v>
      </c>
    </row>
    <row r="231" spans="1:8" x14ac:dyDescent="0.25">
      <c r="A231" s="120">
        <v>8</v>
      </c>
      <c r="B231" s="118" t="s">
        <v>28</v>
      </c>
      <c r="C231" s="118" t="s">
        <v>856</v>
      </c>
      <c r="D231" s="118" t="s">
        <v>857</v>
      </c>
      <c r="E231" s="119">
        <v>1</v>
      </c>
      <c r="F231" s="153">
        <v>2000</v>
      </c>
      <c r="G231" s="153">
        <v>2000</v>
      </c>
      <c r="H231" s="118" t="s">
        <v>834</v>
      </c>
    </row>
    <row r="232" spans="1:8" x14ac:dyDescent="0.25">
      <c r="A232" s="120">
        <v>8</v>
      </c>
      <c r="B232" s="118" t="s">
        <v>28</v>
      </c>
      <c r="C232" s="118" t="s">
        <v>858</v>
      </c>
      <c r="D232" s="118" t="s">
        <v>859</v>
      </c>
      <c r="E232" s="119">
        <v>5</v>
      </c>
      <c r="F232" s="153">
        <v>7600</v>
      </c>
      <c r="G232" s="153">
        <v>38000</v>
      </c>
      <c r="H232" s="118" t="s">
        <v>834</v>
      </c>
    </row>
    <row r="233" spans="1:8" x14ac:dyDescent="0.25">
      <c r="A233" s="120">
        <v>8</v>
      </c>
      <c r="B233" s="118" t="s">
        <v>28</v>
      </c>
      <c r="C233" s="118" t="s">
        <v>705</v>
      </c>
      <c r="D233" s="118" t="s">
        <v>860</v>
      </c>
      <c r="E233" s="119">
        <v>200</v>
      </c>
      <c r="F233" s="153">
        <v>440</v>
      </c>
      <c r="G233" s="153">
        <v>88000</v>
      </c>
      <c r="H233" s="118" t="s">
        <v>834</v>
      </c>
    </row>
    <row r="234" spans="1:8" x14ac:dyDescent="0.25">
      <c r="A234" s="120">
        <v>8</v>
      </c>
      <c r="B234" s="118" t="s">
        <v>28</v>
      </c>
      <c r="C234" s="118" t="s">
        <v>861</v>
      </c>
      <c r="D234" s="118" t="s">
        <v>862</v>
      </c>
      <c r="E234" s="119">
        <v>1</v>
      </c>
      <c r="F234" s="153">
        <v>13100</v>
      </c>
      <c r="G234" s="153">
        <v>13100</v>
      </c>
      <c r="H234" s="118" t="s">
        <v>834</v>
      </c>
    </row>
    <row r="235" spans="1:8" x14ac:dyDescent="0.25">
      <c r="A235" s="120">
        <v>8</v>
      </c>
      <c r="B235" s="118" t="s">
        <v>28</v>
      </c>
      <c r="C235" s="118" t="s">
        <v>711</v>
      </c>
      <c r="D235" s="118" t="s">
        <v>863</v>
      </c>
      <c r="E235" s="119">
        <v>1</v>
      </c>
      <c r="F235" s="153">
        <v>14600</v>
      </c>
      <c r="G235" s="153">
        <v>14600</v>
      </c>
      <c r="H235" s="118" t="s">
        <v>834</v>
      </c>
    </row>
    <row r="236" spans="1:8" x14ac:dyDescent="0.25">
      <c r="A236" s="120">
        <v>8</v>
      </c>
      <c r="B236" s="118" t="s">
        <v>28</v>
      </c>
      <c r="C236" s="118" t="s">
        <v>715</v>
      </c>
      <c r="D236" s="118" t="s">
        <v>864</v>
      </c>
      <c r="E236" s="119">
        <v>1</v>
      </c>
      <c r="F236" s="153">
        <v>18200</v>
      </c>
      <c r="G236" s="153">
        <v>18200</v>
      </c>
      <c r="H236" s="118" t="s">
        <v>834</v>
      </c>
    </row>
    <row r="237" spans="1:8" x14ac:dyDescent="0.25">
      <c r="A237" s="120">
        <v>8</v>
      </c>
      <c r="B237" s="118" t="s">
        <v>28</v>
      </c>
      <c r="C237" s="118" t="s">
        <v>723</v>
      </c>
      <c r="D237" s="118" t="s">
        <v>865</v>
      </c>
      <c r="E237" s="119">
        <v>4</v>
      </c>
      <c r="F237" s="153">
        <v>4850</v>
      </c>
      <c r="G237" s="153">
        <v>19400</v>
      </c>
      <c r="H237" s="118" t="s">
        <v>834</v>
      </c>
    </row>
    <row r="238" spans="1:8" x14ac:dyDescent="0.25">
      <c r="A238" s="120">
        <v>8</v>
      </c>
      <c r="B238" s="118" t="s">
        <v>28</v>
      </c>
      <c r="C238" s="118" t="s">
        <v>725</v>
      </c>
      <c r="D238" s="118" t="s">
        <v>866</v>
      </c>
      <c r="E238" s="119">
        <v>2</v>
      </c>
      <c r="F238" s="153">
        <v>17250</v>
      </c>
      <c r="G238" s="153">
        <v>34500</v>
      </c>
      <c r="H238" s="118" t="s">
        <v>834</v>
      </c>
    </row>
    <row r="239" spans="1:8" x14ac:dyDescent="0.25">
      <c r="A239" s="120">
        <v>8</v>
      </c>
      <c r="B239" s="118" t="s">
        <v>28</v>
      </c>
      <c r="C239" s="118" t="s">
        <v>729</v>
      </c>
      <c r="D239" s="118" t="s">
        <v>867</v>
      </c>
      <c r="E239" s="119">
        <v>6</v>
      </c>
      <c r="F239" s="153">
        <v>5200</v>
      </c>
      <c r="G239" s="153">
        <v>31200</v>
      </c>
      <c r="H239" s="118" t="s">
        <v>834</v>
      </c>
    </row>
    <row r="240" spans="1:8" x14ac:dyDescent="0.25">
      <c r="A240" s="120">
        <v>8</v>
      </c>
      <c r="B240" s="118" t="s">
        <v>28</v>
      </c>
      <c r="C240" s="118" t="s">
        <v>733</v>
      </c>
      <c r="D240" s="118" t="s">
        <v>868</v>
      </c>
      <c r="E240" s="119">
        <v>40</v>
      </c>
      <c r="F240" s="153">
        <v>3100</v>
      </c>
      <c r="G240" s="153">
        <v>124000</v>
      </c>
      <c r="H240" s="118" t="s">
        <v>834</v>
      </c>
    </row>
    <row r="241" spans="1:8" x14ac:dyDescent="0.25">
      <c r="A241" s="120">
        <v>8</v>
      </c>
      <c r="B241" s="118" t="s">
        <v>28</v>
      </c>
      <c r="C241" s="118" t="s">
        <v>737</v>
      </c>
      <c r="D241" s="118" t="s">
        <v>869</v>
      </c>
      <c r="E241" s="119">
        <v>4</v>
      </c>
      <c r="F241" s="153">
        <v>2750</v>
      </c>
      <c r="G241" s="153">
        <v>11000</v>
      </c>
      <c r="H241" s="118" t="s">
        <v>834</v>
      </c>
    </row>
    <row r="242" spans="1:8" x14ac:dyDescent="0.25">
      <c r="A242" s="120">
        <v>8</v>
      </c>
      <c r="B242" s="118" t="s">
        <v>30</v>
      </c>
      <c r="C242" s="118" t="s">
        <v>642</v>
      </c>
      <c r="D242" s="118" t="s">
        <v>870</v>
      </c>
      <c r="E242" s="119">
        <v>15</v>
      </c>
      <c r="F242" s="153">
        <v>15166.67</v>
      </c>
      <c r="G242" s="153">
        <v>227500</v>
      </c>
      <c r="H242" s="118" t="s">
        <v>132</v>
      </c>
    </row>
    <row r="243" spans="1:8" x14ac:dyDescent="0.25">
      <c r="A243" s="120">
        <v>9</v>
      </c>
      <c r="B243" s="118" t="s">
        <v>24</v>
      </c>
      <c r="C243" s="118" t="s">
        <v>322</v>
      </c>
      <c r="D243" s="118" t="s">
        <v>425</v>
      </c>
      <c r="E243" s="119">
        <v>20</v>
      </c>
      <c r="F243" s="153">
        <v>16500</v>
      </c>
      <c r="G243" s="153">
        <v>330000</v>
      </c>
      <c r="H243" s="118" t="s">
        <v>424</v>
      </c>
    </row>
    <row r="244" spans="1:8" x14ac:dyDescent="0.25">
      <c r="A244" s="120">
        <v>9</v>
      </c>
      <c r="B244" s="118" t="s">
        <v>24</v>
      </c>
      <c r="C244" s="118" t="s">
        <v>78</v>
      </c>
      <c r="D244" s="118" t="s">
        <v>427</v>
      </c>
      <c r="E244" s="119">
        <v>20.2</v>
      </c>
      <c r="F244" s="153">
        <v>22900</v>
      </c>
      <c r="G244" s="153">
        <v>462580</v>
      </c>
      <c r="H244" s="118" t="s">
        <v>426</v>
      </c>
    </row>
    <row r="245" spans="1:8" x14ac:dyDescent="0.25">
      <c r="A245" s="120">
        <v>9</v>
      </c>
      <c r="B245" s="118" t="s">
        <v>24</v>
      </c>
      <c r="C245" s="118" t="s">
        <v>325</v>
      </c>
      <c r="D245" s="118" t="s">
        <v>428</v>
      </c>
      <c r="E245" s="119">
        <v>28.6</v>
      </c>
      <c r="F245" s="153">
        <v>15900</v>
      </c>
      <c r="G245" s="153">
        <v>454740</v>
      </c>
      <c r="H245" s="118" t="s">
        <v>426</v>
      </c>
    </row>
    <row r="246" spans="1:8" x14ac:dyDescent="0.25">
      <c r="A246" s="120">
        <v>9</v>
      </c>
      <c r="B246" s="118" t="s">
        <v>24</v>
      </c>
      <c r="C246" s="118" t="s">
        <v>76</v>
      </c>
      <c r="D246" s="118" t="s">
        <v>430</v>
      </c>
      <c r="E246" s="119">
        <v>13.6</v>
      </c>
      <c r="F246" s="153">
        <v>18500</v>
      </c>
      <c r="G246" s="153">
        <v>251600</v>
      </c>
      <c r="H246" s="118" t="s">
        <v>429</v>
      </c>
    </row>
    <row r="247" spans="1:8" x14ac:dyDescent="0.25">
      <c r="A247" s="120">
        <v>9</v>
      </c>
      <c r="B247" s="118" t="s">
        <v>24</v>
      </c>
      <c r="C247" s="118" t="s">
        <v>74</v>
      </c>
      <c r="D247" s="118" t="s">
        <v>431</v>
      </c>
      <c r="E247" s="119">
        <v>24.7</v>
      </c>
      <c r="F247" s="153">
        <v>23900</v>
      </c>
      <c r="G247" s="153">
        <v>590330</v>
      </c>
      <c r="H247" s="118" t="s">
        <v>426</v>
      </c>
    </row>
    <row r="248" spans="1:8" x14ac:dyDescent="0.25">
      <c r="A248" s="120">
        <v>9</v>
      </c>
      <c r="B248" s="118" t="s">
        <v>24</v>
      </c>
      <c r="C248" s="118" t="s">
        <v>70</v>
      </c>
      <c r="D248" s="118" t="s">
        <v>433</v>
      </c>
      <c r="E248" s="119">
        <v>27.9</v>
      </c>
      <c r="F248" s="153">
        <v>18500</v>
      </c>
      <c r="G248" s="153">
        <v>516150</v>
      </c>
      <c r="H248" s="118" t="s">
        <v>432</v>
      </c>
    </row>
    <row r="249" spans="1:8" x14ac:dyDescent="0.25">
      <c r="A249" s="120">
        <v>9</v>
      </c>
      <c r="B249" s="118" t="s">
        <v>24</v>
      </c>
      <c r="C249" s="118" t="s">
        <v>72</v>
      </c>
      <c r="D249" s="118" t="s">
        <v>434</v>
      </c>
      <c r="E249" s="119">
        <v>43.4</v>
      </c>
      <c r="F249" s="153">
        <v>7500</v>
      </c>
      <c r="G249" s="153">
        <v>325500</v>
      </c>
      <c r="H249" s="118" t="s">
        <v>429</v>
      </c>
    </row>
    <row r="250" spans="1:8" x14ac:dyDescent="0.25">
      <c r="A250" s="120">
        <v>9</v>
      </c>
      <c r="B250" s="118" t="s">
        <v>24</v>
      </c>
      <c r="C250" s="118" t="s">
        <v>64</v>
      </c>
      <c r="D250" s="118" t="s">
        <v>435</v>
      </c>
      <c r="E250" s="119">
        <v>22.18</v>
      </c>
      <c r="F250" s="153">
        <v>25900</v>
      </c>
      <c r="G250" s="153">
        <v>574462</v>
      </c>
      <c r="H250" s="118" t="s">
        <v>426</v>
      </c>
    </row>
    <row r="251" spans="1:8" x14ac:dyDescent="0.25">
      <c r="A251" s="120">
        <v>9</v>
      </c>
      <c r="B251" s="118" t="s">
        <v>24</v>
      </c>
      <c r="C251" s="118" t="s">
        <v>62</v>
      </c>
      <c r="D251" s="118" t="s">
        <v>436</v>
      </c>
      <c r="E251" s="119">
        <v>68.7</v>
      </c>
      <c r="F251" s="153">
        <v>21900</v>
      </c>
      <c r="G251" s="153">
        <v>1504530</v>
      </c>
      <c r="H251" s="118" t="s">
        <v>426</v>
      </c>
    </row>
    <row r="252" spans="1:8" x14ac:dyDescent="0.25">
      <c r="A252" s="120">
        <v>9</v>
      </c>
      <c r="B252" s="118" t="s">
        <v>24</v>
      </c>
      <c r="C252" s="118" t="s">
        <v>437</v>
      </c>
      <c r="D252" s="118" t="s">
        <v>438</v>
      </c>
      <c r="E252" s="119">
        <v>17.260000000000002</v>
      </c>
      <c r="F252" s="153">
        <v>11500</v>
      </c>
      <c r="G252" s="153">
        <v>198490</v>
      </c>
      <c r="H252" s="118" t="s">
        <v>426</v>
      </c>
    </row>
    <row r="253" spans="1:8" x14ac:dyDescent="0.25">
      <c r="A253" s="120">
        <v>9</v>
      </c>
      <c r="B253" s="118" t="s">
        <v>29</v>
      </c>
      <c r="C253" s="118" t="s">
        <v>551</v>
      </c>
      <c r="D253" s="118" t="s">
        <v>871</v>
      </c>
      <c r="E253" s="119">
        <v>16</v>
      </c>
      <c r="F253" s="153">
        <v>17500</v>
      </c>
      <c r="G253" s="153">
        <v>280000</v>
      </c>
      <c r="H253" s="118" t="s">
        <v>426</v>
      </c>
    </row>
    <row r="254" spans="1:8" x14ac:dyDescent="0.25">
      <c r="A254" s="137">
        <v>9</v>
      </c>
      <c r="B254" s="138" t="s">
        <v>30</v>
      </c>
      <c r="C254" s="138" t="s">
        <v>872</v>
      </c>
      <c r="D254" s="138" t="s">
        <v>873</v>
      </c>
      <c r="E254" s="139">
        <v>14</v>
      </c>
      <c r="F254" s="154">
        <v>5490</v>
      </c>
      <c r="G254" s="154">
        <v>76860</v>
      </c>
      <c r="H254" s="138" t="s">
        <v>874</v>
      </c>
    </row>
    <row r="255" spans="1:8" x14ac:dyDescent="0.25">
      <c r="A255" s="137">
        <v>9</v>
      </c>
      <c r="B255" s="138" t="s">
        <v>30</v>
      </c>
      <c r="C255" s="138" t="s">
        <v>742</v>
      </c>
      <c r="D255" s="138" t="s">
        <v>875</v>
      </c>
      <c r="E255" s="139">
        <v>25</v>
      </c>
      <c r="F255" s="154">
        <v>1890</v>
      </c>
      <c r="G255" s="154">
        <v>47250</v>
      </c>
      <c r="H255" s="138" t="s">
        <v>876</v>
      </c>
    </row>
    <row r="256" spans="1:8" x14ac:dyDescent="0.25">
      <c r="A256" s="137">
        <v>9</v>
      </c>
      <c r="B256" s="138" t="s">
        <v>31</v>
      </c>
      <c r="C256" s="138" t="s">
        <v>512</v>
      </c>
      <c r="D256" s="138" t="s">
        <v>513</v>
      </c>
      <c r="E256" s="139">
        <v>720</v>
      </c>
      <c r="F256" s="154">
        <v>700</v>
      </c>
      <c r="G256" s="154">
        <v>504000</v>
      </c>
      <c r="H256" s="138" t="s">
        <v>511</v>
      </c>
    </row>
    <row r="257" spans="1:8" x14ac:dyDescent="0.25">
      <c r="A257" s="137">
        <v>9</v>
      </c>
      <c r="B257" s="138" t="s">
        <v>28</v>
      </c>
      <c r="C257" s="138" t="s">
        <v>667</v>
      </c>
      <c r="D257" s="138" t="s">
        <v>877</v>
      </c>
      <c r="E257" s="139">
        <v>10</v>
      </c>
      <c r="F257" s="154">
        <v>4600</v>
      </c>
      <c r="G257" s="154">
        <v>46000</v>
      </c>
      <c r="H257" s="138" t="s">
        <v>511</v>
      </c>
    </row>
    <row r="258" spans="1:8" x14ac:dyDescent="0.25">
      <c r="A258" s="137">
        <v>9</v>
      </c>
      <c r="B258" s="138" t="s">
        <v>28</v>
      </c>
      <c r="C258" s="138" t="s">
        <v>669</v>
      </c>
      <c r="D258" s="138" t="s">
        <v>878</v>
      </c>
      <c r="E258" s="139">
        <v>10</v>
      </c>
      <c r="F258" s="154">
        <v>5550</v>
      </c>
      <c r="G258" s="154">
        <v>55500</v>
      </c>
      <c r="H258" s="138" t="s">
        <v>511</v>
      </c>
    </row>
    <row r="259" spans="1:8" x14ac:dyDescent="0.25">
      <c r="A259" s="137">
        <v>9</v>
      </c>
      <c r="B259" s="138" t="s">
        <v>28</v>
      </c>
      <c r="C259" s="138" t="s">
        <v>879</v>
      </c>
      <c r="D259" s="138" t="s">
        <v>880</v>
      </c>
      <c r="E259" s="139">
        <v>12</v>
      </c>
      <c r="F259" s="154">
        <v>3000</v>
      </c>
      <c r="G259" s="154">
        <v>36000</v>
      </c>
      <c r="H259" s="138" t="s">
        <v>511</v>
      </c>
    </row>
    <row r="260" spans="1:8" x14ac:dyDescent="0.25">
      <c r="A260" s="137">
        <v>9</v>
      </c>
      <c r="B260" s="138" t="s">
        <v>28</v>
      </c>
      <c r="C260" s="138" t="s">
        <v>847</v>
      </c>
      <c r="D260" s="138" t="s">
        <v>881</v>
      </c>
      <c r="E260" s="139">
        <v>20</v>
      </c>
      <c r="F260" s="154">
        <v>11200</v>
      </c>
      <c r="G260" s="154">
        <v>224000</v>
      </c>
      <c r="H260" s="138" t="s">
        <v>511</v>
      </c>
    </row>
    <row r="261" spans="1:8" x14ac:dyDescent="0.25">
      <c r="A261" s="137">
        <v>9</v>
      </c>
      <c r="B261" s="138" t="s">
        <v>28</v>
      </c>
      <c r="C261" s="138" t="s">
        <v>849</v>
      </c>
      <c r="D261" s="138" t="s">
        <v>882</v>
      </c>
      <c r="E261" s="139">
        <v>50</v>
      </c>
      <c r="F261" s="154">
        <v>9100</v>
      </c>
      <c r="G261" s="154">
        <v>455000</v>
      </c>
      <c r="H261" s="138" t="s">
        <v>511</v>
      </c>
    </row>
    <row r="262" spans="1:8" x14ac:dyDescent="0.25">
      <c r="A262" s="137">
        <v>9</v>
      </c>
      <c r="B262" s="138" t="s">
        <v>28</v>
      </c>
      <c r="C262" s="138" t="s">
        <v>677</v>
      </c>
      <c r="D262" s="138" t="s">
        <v>883</v>
      </c>
      <c r="E262" s="139">
        <v>850</v>
      </c>
      <c r="F262" s="154">
        <v>390</v>
      </c>
      <c r="G262" s="154">
        <v>331500</v>
      </c>
      <c r="H262" s="138" t="s">
        <v>511</v>
      </c>
    </row>
    <row r="263" spans="1:8" x14ac:dyDescent="0.25">
      <c r="A263" s="137">
        <v>9</v>
      </c>
      <c r="B263" s="138" t="s">
        <v>28</v>
      </c>
      <c r="C263" s="138" t="s">
        <v>884</v>
      </c>
      <c r="D263" s="138" t="s">
        <v>885</v>
      </c>
      <c r="E263" s="139">
        <v>1</v>
      </c>
      <c r="F263" s="154">
        <v>4500</v>
      </c>
      <c r="G263" s="154">
        <v>4500</v>
      </c>
      <c r="H263" s="138" t="s">
        <v>188</v>
      </c>
    </row>
    <row r="264" spans="1:8" x14ac:dyDescent="0.25">
      <c r="A264" s="137">
        <v>9</v>
      </c>
      <c r="B264" s="138" t="s">
        <v>28</v>
      </c>
      <c r="C264" s="138" t="s">
        <v>585</v>
      </c>
      <c r="D264" s="138" t="s">
        <v>886</v>
      </c>
      <c r="E264" s="139">
        <v>1</v>
      </c>
      <c r="F264" s="154">
        <v>25000</v>
      </c>
      <c r="G264" s="154">
        <v>25000</v>
      </c>
      <c r="H264" s="138" t="s">
        <v>887</v>
      </c>
    </row>
    <row r="265" spans="1:8" x14ac:dyDescent="0.25">
      <c r="A265" s="137">
        <v>9</v>
      </c>
      <c r="B265" s="138" t="s">
        <v>28</v>
      </c>
      <c r="C265" s="138" t="s">
        <v>705</v>
      </c>
      <c r="D265" s="138" t="s">
        <v>888</v>
      </c>
      <c r="E265" s="139">
        <v>1200</v>
      </c>
      <c r="F265" s="154">
        <v>440</v>
      </c>
      <c r="G265" s="154">
        <v>528000</v>
      </c>
      <c r="H265" s="138" t="s">
        <v>511</v>
      </c>
    </row>
    <row r="266" spans="1:8" x14ac:dyDescent="0.25">
      <c r="A266" s="137">
        <v>9</v>
      </c>
      <c r="B266" s="138" t="s">
        <v>28</v>
      </c>
      <c r="C266" s="138" t="s">
        <v>723</v>
      </c>
      <c r="D266" s="138" t="s">
        <v>889</v>
      </c>
      <c r="E266" s="139">
        <v>24</v>
      </c>
      <c r="F266" s="154">
        <v>4850</v>
      </c>
      <c r="G266" s="154">
        <v>116400</v>
      </c>
      <c r="H266" s="138" t="s">
        <v>511</v>
      </c>
    </row>
    <row r="267" spans="1:8" x14ac:dyDescent="0.25">
      <c r="A267" s="137">
        <v>9</v>
      </c>
      <c r="B267" s="138" t="s">
        <v>28</v>
      </c>
      <c r="C267" s="138" t="s">
        <v>737</v>
      </c>
      <c r="D267" s="138" t="s">
        <v>890</v>
      </c>
      <c r="E267" s="139">
        <v>24</v>
      </c>
      <c r="F267" s="154">
        <v>2750</v>
      </c>
      <c r="G267" s="154">
        <v>66000</v>
      </c>
      <c r="H267" s="138" t="s">
        <v>511</v>
      </c>
    </row>
    <row r="268" spans="1:8" x14ac:dyDescent="0.25">
      <c r="A268" s="137">
        <v>9</v>
      </c>
      <c r="B268" s="138" t="s">
        <v>26</v>
      </c>
      <c r="C268" s="138" t="s">
        <v>69</v>
      </c>
      <c r="D268" s="138" t="s">
        <v>891</v>
      </c>
      <c r="E268" s="139">
        <v>1</v>
      </c>
      <c r="F268" s="154">
        <v>30000</v>
      </c>
      <c r="G268" s="154">
        <v>30000</v>
      </c>
      <c r="H268" s="138" t="s">
        <v>887</v>
      </c>
    </row>
    <row r="269" spans="1:8" x14ac:dyDescent="0.25">
      <c r="A269" s="137">
        <v>9</v>
      </c>
      <c r="B269" s="138" t="s">
        <v>29</v>
      </c>
      <c r="C269" s="138" t="s">
        <v>759</v>
      </c>
      <c r="D269" s="138" t="s">
        <v>892</v>
      </c>
      <c r="E269" s="139">
        <v>5</v>
      </c>
      <c r="F269" s="154">
        <v>17950</v>
      </c>
      <c r="G269" s="154">
        <v>89750</v>
      </c>
      <c r="H269" s="138" t="s">
        <v>893</v>
      </c>
    </row>
    <row r="270" spans="1:8" x14ac:dyDescent="0.25">
      <c r="A270" s="137">
        <v>9</v>
      </c>
      <c r="B270" s="138" t="s">
        <v>29</v>
      </c>
      <c r="C270" s="138" t="s">
        <v>762</v>
      </c>
      <c r="D270" s="138" t="s">
        <v>894</v>
      </c>
      <c r="E270" s="139">
        <v>6</v>
      </c>
      <c r="F270" s="154">
        <v>12900</v>
      </c>
      <c r="G270" s="154">
        <v>77400</v>
      </c>
      <c r="H270" s="138" t="s">
        <v>893</v>
      </c>
    </row>
    <row r="271" spans="1:8" x14ac:dyDescent="0.25">
      <c r="A271" s="137">
        <v>9</v>
      </c>
      <c r="B271" s="138" t="s">
        <v>29</v>
      </c>
      <c r="C271" s="138" t="s">
        <v>764</v>
      </c>
      <c r="D271" s="138" t="s">
        <v>895</v>
      </c>
      <c r="E271" s="139">
        <v>5</v>
      </c>
      <c r="F271" s="154">
        <v>12600</v>
      </c>
      <c r="G271" s="154">
        <v>63000</v>
      </c>
      <c r="H271" s="138" t="s">
        <v>893</v>
      </c>
    </row>
    <row r="272" spans="1:8" x14ac:dyDescent="0.25">
      <c r="A272" s="137">
        <v>9</v>
      </c>
      <c r="B272" s="138" t="s">
        <v>29</v>
      </c>
      <c r="C272" s="138" t="s">
        <v>896</v>
      </c>
      <c r="D272" s="138" t="s">
        <v>897</v>
      </c>
      <c r="E272" s="139">
        <v>2</v>
      </c>
      <c r="F272" s="154">
        <v>12700</v>
      </c>
      <c r="G272" s="154">
        <v>25400</v>
      </c>
      <c r="H272" s="138" t="s">
        <v>893</v>
      </c>
    </row>
    <row r="273" spans="1:8" x14ac:dyDescent="0.25">
      <c r="A273" s="137">
        <v>9</v>
      </c>
      <c r="B273" s="138" t="s">
        <v>29</v>
      </c>
      <c r="C273" s="138" t="s">
        <v>766</v>
      </c>
      <c r="D273" s="138" t="s">
        <v>898</v>
      </c>
      <c r="E273" s="139">
        <v>3</v>
      </c>
      <c r="F273" s="154">
        <v>15500</v>
      </c>
      <c r="G273" s="154">
        <v>46500</v>
      </c>
      <c r="H273" s="138" t="s">
        <v>893</v>
      </c>
    </row>
    <row r="274" spans="1:8" x14ac:dyDescent="0.25">
      <c r="A274" s="137">
        <v>9</v>
      </c>
      <c r="B274" s="138" t="s">
        <v>29</v>
      </c>
      <c r="C274" s="138" t="s">
        <v>768</v>
      </c>
      <c r="D274" s="138" t="s">
        <v>899</v>
      </c>
      <c r="E274" s="139">
        <v>3</v>
      </c>
      <c r="F274" s="154">
        <v>16800</v>
      </c>
      <c r="G274" s="154">
        <v>50400</v>
      </c>
      <c r="H274" s="138" t="s">
        <v>893</v>
      </c>
    </row>
    <row r="275" spans="1:8" x14ac:dyDescent="0.25">
      <c r="A275" s="137">
        <v>9</v>
      </c>
      <c r="B275" s="138" t="s">
        <v>24</v>
      </c>
      <c r="C275" s="138" t="s">
        <v>413</v>
      </c>
      <c r="D275" s="138" t="s">
        <v>439</v>
      </c>
      <c r="E275" s="139">
        <v>38.4</v>
      </c>
      <c r="F275" s="154">
        <v>11000</v>
      </c>
      <c r="G275" s="154">
        <v>422400</v>
      </c>
      <c r="H275" s="138" t="s">
        <v>188</v>
      </c>
    </row>
    <row r="276" spans="1:8" x14ac:dyDescent="0.25">
      <c r="A276" s="137">
        <v>9</v>
      </c>
      <c r="B276" s="138" t="s">
        <v>31</v>
      </c>
      <c r="C276" s="138" t="s">
        <v>900</v>
      </c>
      <c r="D276" s="138" t="s">
        <v>516</v>
      </c>
      <c r="E276" s="139">
        <v>7</v>
      </c>
      <c r="F276" s="154">
        <v>2166.67</v>
      </c>
      <c r="G276" s="154">
        <v>15166.68</v>
      </c>
      <c r="H276" s="138" t="s">
        <v>514</v>
      </c>
    </row>
    <row r="277" spans="1:8" x14ac:dyDescent="0.25">
      <c r="A277" s="137">
        <v>9</v>
      </c>
      <c r="B277" s="138" t="s">
        <v>31</v>
      </c>
      <c r="C277" s="138" t="s">
        <v>901</v>
      </c>
      <c r="D277" s="138" t="s">
        <v>518</v>
      </c>
      <c r="E277" s="139">
        <v>8</v>
      </c>
      <c r="F277" s="154">
        <v>2166.67</v>
      </c>
      <c r="G277" s="154">
        <v>17333.349999999999</v>
      </c>
      <c r="H277" s="138" t="s">
        <v>514</v>
      </c>
    </row>
    <row r="278" spans="1:8" x14ac:dyDescent="0.25">
      <c r="A278" s="137">
        <v>9</v>
      </c>
      <c r="B278" s="138" t="s">
        <v>31</v>
      </c>
      <c r="C278" s="138" t="s">
        <v>902</v>
      </c>
      <c r="D278" s="138" t="s">
        <v>520</v>
      </c>
      <c r="E278" s="139">
        <v>15</v>
      </c>
      <c r="F278" s="154">
        <v>2166.67</v>
      </c>
      <c r="G278" s="154">
        <v>32500.03</v>
      </c>
      <c r="H278" s="138" t="s">
        <v>514</v>
      </c>
    </row>
    <row r="279" spans="1:8" x14ac:dyDescent="0.25">
      <c r="A279" s="137">
        <v>9</v>
      </c>
      <c r="B279" s="138" t="s">
        <v>31</v>
      </c>
      <c r="C279" s="138" t="s">
        <v>521</v>
      </c>
      <c r="D279" s="138" t="s">
        <v>522</v>
      </c>
      <c r="E279" s="139">
        <v>24</v>
      </c>
      <c r="F279" s="154">
        <v>1500</v>
      </c>
      <c r="G279" s="154">
        <v>36000</v>
      </c>
      <c r="H279" s="138" t="s">
        <v>514</v>
      </c>
    </row>
    <row r="280" spans="1:8" x14ac:dyDescent="0.25">
      <c r="A280" s="137">
        <v>9</v>
      </c>
      <c r="B280" s="138" t="s">
        <v>31</v>
      </c>
      <c r="C280" s="138" t="s">
        <v>523</v>
      </c>
      <c r="D280" s="138" t="s">
        <v>524</v>
      </c>
      <c r="E280" s="139">
        <v>48</v>
      </c>
      <c r="F280" s="154">
        <v>1333.33</v>
      </c>
      <c r="G280" s="154">
        <v>63999.839999999997</v>
      </c>
      <c r="H280" s="138" t="s">
        <v>514</v>
      </c>
    </row>
    <row r="281" spans="1:8" x14ac:dyDescent="0.25">
      <c r="A281" s="137">
        <v>9</v>
      </c>
      <c r="B281" s="138" t="s">
        <v>31</v>
      </c>
      <c r="C281" s="138" t="s">
        <v>525</v>
      </c>
      <c r="D281" s="138" t="s">
        <v>526</v>
      </c>
      <c r="E281" s="139">
        <v>90</v>
      </c>
      <c r="F281" s="154">
        <v>1916.67</v>
      </c>
      <c r="G281" s="154">
        <v>172500.3</v>
      </c>
      <c r="H281" s="138" t="s">
        <v>514</v>
      </c>
    </row>
    <row r="282" spans="1:8" x14ac:dyDescent="0.25">
      <c r="A282" s="137">
        <v>9</v>
      </c>
      <c r="B282" s="138" t="s">
        <v>31</v>
      </c>
      <c r="C282" s="138" t="s">
        <v>527</v>
      </c>
      <c r="D282" s="138" t="s">
        <v>528</v>
      </c>
      <c r="E282" s="139">
        <v>15</v>
      </c>
      <c r="F282" s="154">
        <v>1726.67</v>
      </c>
      <c r="G282" s="154">
        <v>25899.99</v>
      </c>
      <c r="H282" s="138" t="s">
        <v>514</v>
      </c>
    </row>
    <row r="283" spans="1:8" x14ac:dyDescent="0.25">
      <c r="A283" s="137">
        <v>9</v>
      </c>
      <c r="B283" s="138" t="s">
        <v>31</v>
      </c>
      <c r="C283" s="138" t="s">
        <v>529</v>
      </c>
      <c r="D283" s="138" t="s">
        <v>530</v>
      </c>
      <c r="E283" s="139">
        <v>15</v>
      </c>
      <c r="F283" s="154">
        <v>1726.67</v>
      </c>
      <c r="G283" s="154">
        <v>25899.99</v>
      </c>
      <c r="H283" s="138" t="s">
        <v>514</v>
      </c>
    </row>
    <row r="284" spans="1:8" x14ac:dyDescent="0.25">
      <c r="A284" s="137">
        <v>9</v>
      </c>
      <c r="B284" s="138" t="s">
        <v>31</v>
      </c>
      <c r="C284" s="138" t="s">
        <v>531</v>
      </c>
      <c r="D284" s="138" t="s">
        <v>532</v>
      </c>
      <c r="E284" s="139">
        <v>15</v>
      </c>
      <c r="F284" s="154">
        <v>1726.67</v>
      </c>
      <c r="G284" s="154">
        <v>25899.99</v>
      </c>
      <c r="H284" s="138" t="s">
        <v>514</v>
      </c>
    </row>
    <row r="285" spans="1:8" x14ac:dyDescent="0.25">
      <c r="A285" s="137">
        <v>9</v>
      </c>
      <c r="B285" s="138" t="s">
        <v>31</v>
      </c>
      <c r="C285" s="138" t="s">
        <v>533</v>
      </c>
      <c r="D285" s="138" t="s">
        <v>534</v>
      </c>
      <c r="E285" s="139">
        <v>15</v>
      </c>
      <c r="F285" s="154">
        <v>1726.67</v>
      </c>
      <c r="G285" s="154">
        <v>25899.99</v>
      </c>
      <c r="H285" s="138" t="s">
        <v>514</v>
      </c>
    </row>
    <row r="286" spans="1:8" x14ac:dyDescent="0.25">
      <c r="A286" s="137">
        <v>9</v>
      </c>
      <c r="B286" s="138" t="s">
        <v>31</v>
      </c>
      <c r="C286" s="138" t="s">
        <v>535</v>
      </c>
      <c r="D286" s="138" t="s">
        <v>536</v>
      </c>
      <c r="E286" s="139">
        <v>30</v>
      </c>
      <c r="F286" s="154">
        <v>1500</v>
      </c>
      <c r="G286" s="154">
        <v>44999.85</v>
      </c>
      <c r="H286" s="138" t="s">
        <v>514</v>
      </c>
    </row>
    <row r="287" spans="1:8" x14ac:dyDescent="0.25">
      <c r="A287" s="137">
        <v>9</v>
      </c>
      <c r="B287" s="138" t="s">
        <v>31</v>
      </c>
      <c r="C287" s="138" t="s">
        <v>537</v>
      </c>
      <c r="D287" s="138" t="s">
        <v>538</v>
      </c>
      <c r="E287" s="139">
        <v>12</v>
      </c>
      <c r="F287" s="154">
        <v>3750</v>
      </c>
      <c r="G287" s="154">
        <v>44999.99</v>
      </c>
      <c r="H287" s="138" t="s">
        <v>514</v>
      </c>
    </row>
    <row r="288" spans="1:8" x14ac:dyDescent="0.25">
      <c r="A288" s="137">
        <v>9</v>
      </c>
      <c r="B288" s="138" t="s">
        <v>31</v>
      </c>
      <c r="C288" s="138" t="s">
        <v>539</v>
      </c>
      <c r="D288" s="138" t="s">
        <v>540</v>
      </c>
      <c r="E288" s="139">
        <v>12</v>
      </c>
      <c r="F288" s="154">
        <v>3750</v>
      </c>
      <c r="G288" s="154">
        <v>44999.99</v>
      </c>
      <c r="H288" s="138" t="s">
        <v>514</v>
      </c>
    </row>
    <row r="289" spans="1:8" x14ac:dyDescent="0.25">
      <c r="A289" s="137">
        <v>9</v>
      </c>
      <c r="B289" s="138" t="s">
        <v>31</v>
      </c>
      <c r="C289" s="138" t="s">
        <v>541</v>
      </c>
      <c r="D289" s="138" t="s">
        <v>542</v>
      </c>
      <c r="E289" s="139">
        <v>12</v>
      </c>
      <c r="F289" s="154">
        <v>3750</v>
      </c>
      <c r="G289" s="154">
        <v>45000.01</v>
      </c>
      <c r="H289" s="138" t="s">
        <v>514</v>
      </c>
    </row>
    <row r="290" spans="1:8" x14ac:dyDescent="0.25">
      <c r="A290" s="137">
        <v>10</v>
      </c>
      <c r="B290" s="138" t="s">
        <v>30</v>
      </c>
      <c r="C290" s="138" t="s">
        <v>903</v>
      </c>
      <c r="D290" s="138" t="s">
        <v>904</v>
      </c>
      <c r="E290" s="139">
        <v>1</v>
      </c>
      <c r="F290" s="154">
        <v>82500</v>
      </c>
      <c r="G290" s="154">
        <v>82500</v>
      </c>
      <c r="H290" s="138" t="s">
        <v>905</v>
      </c>
    </row>
    <row r="291" spans="1:8" x14ac:dyDescent="0.25">
      <c r="A291" s="137">
        <v>10</v>
      </c>
      <c r="B291" s="138" t="s">
        <v>28</v>
      </c>
      <c r="C291" s="138" t="s">
        <v>906</v>
      </c>
      <c r="D291" s="138" t="s">
        <v>907</v>
      </c>
      <c r="E291" s="139">
        <v>1</v>
      </c>
      <c r="F291" s="154">
        <v>52500</v>
      </c>
      <c r="G291" s="154">
        <v>52500</v>
      </c>
      <c r="H291" s="138" t="s">
        <v>905</v>
      </c>
    </row>
    <row r="292" spans="1:8" x14ac:dyDescent="0.25">
      <c r="A292" s="137">
        <v>10</v>
      </c>
      <c r="B292" s="138" t="s">
        <v>28</v>
      </c>
      <c r="C292" s="138" t="s">
        <v>908</v>
      </c>
      <c r="D292" s="138" t="s">
        <v>909</v>
      </c>
      <c r="E292" s="139">
        <v>1</v>
      </c>
      <c r="F292" s="154">
        <v>30350</v>
      </c>
      <c r="G292" s="154">
        <v>30350</v>
      </c>
      <c r="H292" s="138" t="s">
        <v>905</v>
      </c>
    </row>
    <row r="293" spans="1:8" x14ac:dyDescent="0.25">
      <c r="A293" s="137">
        <v>10</v>
      </c>
      <c r="B293" s="138" t="s">
        <v>28</v>
      </c>
      <c r="C293" s="138" t="s">
        <v>910</v>
      </c>
      <c r="D293" s="138" t="s">
        <v>911</v>
      </c>
      <c r="E293" s="139">
        <v>1</v>
      </c>
      <c r="F293" s="154">
        <v>18650</v>
      </c>
      <c r="G293" s="154">
        <v>18650</v>
      </c>
      <c r="H293" s="138" t="s">
        <v>905</v>
      </c>
    </row>
    <row r="294" spans="1:8" x14ac:dyDescent="0.25">
      <c r="A294" s="137">
        <v>10</v>
      </c>
      <c r="B294" s="138" t="s">
        <v>24</v>
      </c>
      <c r="C294" s="138" t="s">
        <v>72</v>
      </c>
      <c r="D294" s="138" t="s">
        <v>442</v>
      </c>
      <c r="E294" s="139">
        <v>87.3</v>
      </c>
      <c r="F294" s="154">
        <v>7500</v>
      </c>
      <c r="G294" s="154">
        <v>654750</v>
      </c>
      <c r="H294" s="138" t="s">
        <v>441</v>
      </c>
    </row>
    <row r="295" spans="1:8" x14ac:dyDescent="0.25">
      <c r="A295" s="137">
        <v>10</v>
      </c>
      <c r="B295" s="138" t="s">
        <v>24</v>
      </c>
      <c r="C295" s="138" t="s">
        <v>70</v>
      </c>
      <c r="D295" s="138" t="s">
        <v>444</v>
      </c>
      <c r="E295" s="139">
        <v>16.149999999999999</v>
      </c>
      <c r="F295" s="154">
        <v>18500</v>
      </c>
      <c r="G295" s="154">
        <v>298775</v>
      </c>
      <c r="H295" s="138" t="s">
        <v>443</v>
      </c>
    </row>
    <row r="296" spans="1:8" x14ac:dyDescent="0.25">
      <c r="A296" s="137">
        <v>10</v>
      </c>
      <c r="B296" s="138" t="s">
        <v>24</v>
      </c>
      <c r="C296" s="138" t="s">
        <v>367</v>
      </c>
      <c r="D296" s="138" t="s">
        <v>445</v>
      </c>
      <c r="E296" s="139">
        <v>4.9050000000000002</v>
      </c>
      <c r="F296" s="154">
        <v>54000</v>
      </c>
      <c r="G296" s="154">
        <v>264870</v>
      </c>
      <c r="H296" s="138" t="s">
        <v>443</v>
      </c>
    </row>
    <row r="297" spans="1:8" x14ac:dyDescent="0.25">
      <c r="A297" s="137">
        <v>10</v>
      </c>
      <c r="B297" s="138" t="s">
        <v>30</v>
      </c>
      <c r="C297" s="138" t="s">
        <v>912</v>
      </c>
      <c r="D297" s="138" t="s">
        <v>913</v>
      </c>
      <c r="E297" s="139">
        <v>10</v>
      </c>
      <c r="F297" s="154">
        <v>1700</v>
      </c>
      <c r="G297" s="154">
        <v>17000</v>
      </c>
      <c r="H297" s="138" t="s">
        <v>914</v>
      </c>
    </row>
    <row r="298" spans="1:8" x14ac:dyDescent="0.25">
      <c r="A298" s="137">
        <v>10</v>
      </c>
      <c r="B298" s="138" t="s">
        <v>30</v>
      </c>
      <c r="C298" s="138" t="s">
        <v>639</v>
      </c>
      <c r="D298" s="138" t="s">
        <v>915</v>
      </c>
      <c r="E298" s="139">
        <v>4</v>
      </c>
      <c r="F298" s="154">
        <v>22987.5</v>
      </c>
      <c r="G298" s="154">
        <v>91950</v>
      </c>
      <c r="H298" s="138" t="s">
        <v>914</v>
      </c>
    </row>
    <row r="299" spans="1:8" x14ac:dyDescent="0.25">
      <c r="A299" s="137">
        <v>10</v>
      </c>
      <c r="B299" s="138" t="s">
        <v>26</v>
      </c>
      <c r="C299" s="138" t="s">
        <v>71</v>
      </c>
      <c r="D299" s="138" t="s">
        <v>916</v>
      </c>
      <c r="E299" s="139">
        <v>1</v>
      </c>
      <c r="F299" s="154">
        <v>50000</v>
      </c>
      <c r="G299" s="154">
        <v>50000</v>
      </c>
      <c r="H299" s="138" t="s">
        <v>917</v>
      </c>
    </row>
    <row r="300" spans="1:8" x14ac:dyDescent="0.25">
      <c r="A300" s="137">
        <v>10</v>
      </c>
      <c r="B300" s="138" t="s">
        <v>29</v>
      </c>
      <c r="C300" s="138" t="s">
        <v>918</v>
      </c>
      <c r="D300" s="138" t="s">
        <v>919</v>
      </c>
      <c r="E300" s="139">
        <v>6</v>
      </c>
      <c r="F300" s="154">
        <v>12500</v>
      </c>
      <c r="G300" s="154">
        <v>75000</v>
      </c>
      <c r="H300" s="138" t="s">
        <v>920</v>
      </c>
    </row>
    <row r="301" spans="1:8" x14ac:dyDescent="0.25">
      <c r="A301" s="137">
        <v>10</v>
      </c>
      <c r="B301" s="138" t="s">
        <v>28</v>
      </c>
      <c r="C301" s="138" t="s">
        <v>921</v>
      </c>
      <c r="D301" s="138" t="s">
        <v>922</v>
      </c>
      <c r="E301" s="139">
        <v>2</v>
      </c>
      <c r="F301" s="154">
        <v>9500</v>
      </c>
      <c r="G301" s="154">
        <v>19000</v>
      </c>
      <c r="H301" s="138" t="s">
        <v>923</v>
      </c>
    </row>
    <row r="302" spans="1:8" x14ac:dyDescent="0.25">
      <c r="A302" s="137">
        <v>10</v>
      </c>
      <c r="B302" s="138" t="s">
        <v>28</v>
      </c>
      <c r="C302" s="138" t="s">
        <v>924</v>
      </c>
      <c r="D302" s="138" t="s">
        <v>925</v>
      </c>
      <c r="E302" s="139">
        <v>3</v>
      </c>
      <c r="F302" s="154">
        <v>5000</v>
      </c>
      <c r="G302" s="154">
        <v>15000</v>
      </c>
      <c r="H302" s="138" t="s">
        <v>923</v>
      </c>
    </row>
    <row r="303" spans="1:8" x14ac:dyDescent="0.25">
      <c r="A303" s="137">
        <v>10</v>
      </c>
      <c r="B303" s="138" t="s">
        <v>28</v>
      </c>
      <c r="C303" s="138" t="s">
        <v>585</v>
      </c>
      <c r="D303" s="138" t="s">
        <v>926</v>
      </c>
      <c r="E303" s="139">
        <v>1</v>
      </c>
      <c r="F303" s="154">
        <v>20000</v>
      </c>
      <c r="G303" s="154">
        <v>20000</v>
      </c>
      <c r="H303" s="138" t="s">
        <v>927</v>
      </c>
    </row>
    <row r="304" spans="1:8" x14ac:dyDescent="0.25">
      <c r="A304" s="137">
        <v>10</v>
      </c>
      <c r="B304" s="138" t="s">
        <v>26</v>
      </c>
      <c r="C304" s="138" t="s">
        <v>69</v>
      </c>
      <c r="D304" s="138" t="s">
        <v>928</v>
      </c>
      <c r="E304" s="139">
        <v>1</v>
      </c>
      <c r="F304" s="154">
        <v>30000</v>
      </c>
      <c r="G304" s="154">
        <v>30000</v>
      </c>
      <c r="H304" s="138" t="s">
        <v>929</v>
      </c>
    </row>
    <row r="305" spans="1:8" x14ac:dyDescent="0.25">
      <c r="A305" s="137">
        <v>10</v>
      </c>
      <c r="B305" s="138" t="s">
        <v>30</v>
      </c>
      <c r="C305" s="138" t="s">
        <v>930</v>
      </c>
      <c r="D305" s="138" t="s">
        <v>931</v>
      </c>
      <c r="E305" s="139">
        <v>16</v>
      </c>
      <c r="F305" s="154">
        <v>4150</v>
      </c>
      <c r="G305" s="154">
        <v>66400</v>
      </c>
      <c r="H305" s="138" t="s">
        <v>446</v>
      </c>
    </row>
    <row r="306" spans="1:8" x14ac:dyDescent="0.25">
      <c r="A306" s="137">
        <v>10</v>
      </c>
      <c r="B306" s="138" t="s">
        <v>24</v>
      </c>
      <c r="C306" s="138" t="s">
        <v>408</v>
      </c>
      <c r="D306" s="138" t="s">
        <v>447</v>
      </c>
      <c r="E306" s="139">
        <v>1</v>
      </c>
      <c r="F306" s="154">
        <v>8950</v>
      </c>
      <c r="G306" s="154">
        <v>8950</v>
      </c>
      <c r="H306" s="138" t="s">
        <v>446</v>
      </c>
    </row>
    <row r="307" spans="1:8" x14ac:dyDescent="0.25">
      <c r="A307" s="137">
        <v>10</v>
      </c>
      <c r="B307" s="138" t="s">
        <v>30</v>
      </c>
      <c r="C307" s="138" t="s">
        <v>932</v>
      </c>
      <c r="D307" s="138" t="s">
        <v>933</v>
      </c>
      <c r="E307" s="139">
        <v>0.5</v>
      </c>
      <c r="F307" s="154">
        <v>38000</v>
      </c>
      <c r="G307" s="154">
        <v>19000</v>
      </c>
      <c r="H307" s="138" t="s">
        <v>180</v>
      </c>
    </row>
    <row r="308" spans="1:8" x14ac:dyDescent="0.25">
      <c r="A308" s="137">
        <v>10</v>
      </c>
      <c r="B308" s="138" t="s">
        <v>26</v>
      </c>
      <c r="C308" s="138" t="s">
        <v>81</v>
      </c>
      <c r="D308" s="138" t="s">
        <v>934</v>
      </c>
      <c r="E308" s="139">
        <v>1</v>
      </c>
      <c r="F308" s="154">
        <v>10000</v>
      </c>
      <c r="G308" s="154">
        <v>10000</v>
      </c>
      <c r="H308" s="138" t="s">
        <v>196</v>
      </c>
    </row>
    <row r="309" spans="1:8" x14ac:dyDescent="0.25">
      <c r="A309" s="137">
        <v>10</v>
      </c>
      <c r="B309" s="138" t="s">
        <v>26</v>
      </c>
      <c r="C309" s="138" t="s">
        <v>75</v>
      </c>
      <c r="D309" s="138" t="s">
        <v>935</v>
      </c>
      <c r="E309" s="139">
        <v>1</v>
      </c>
      <c r="F309" s="154">
        <v>58000</v>
      </c>
      <c r="G309" s="154">
        <v>58000</v>
      </c>
      <c r="H309" s="138" t="s">
        <v>192</v>
      </c>
    </row>
    <row r="310" spans="1:8" x14ac:dyDescent="0.25">
      <c r="A310" s="137">
        <v>10</v>
      </c>
      <c r="B310" s="138" t="s">
        <v>29</v>
      </c>
      <c r="C310" s="138" t="s">
        <v>548</v>
      </c>
      <c r="D310" s="138" t="s">
        <v>936</v>
      </c>
      <c r="E310" s="139">
        <v>20</v>
      </c>
      <c r="F310" s="154">
        <v>5000</v>
      </c>
      <c r="G310" s="154">
        <v>100000</v>
      </c>
      <c r="H310" s="138" t="s">
        <v>184</v>
      </c>
    </row>
    <row r="311" spans="1:8" x14ac:dyDescent="0.25">
      <c r="A311" s="137">
        <v>10</v>
      </c>
      <c r="B311" s="138" t="s">
        <v>29</v>
      </c>
      <c r="C311" s="138" t="s">
        <v>937</v>
      </c>
      <c r="D311" s="138" t="s">
        <v>938</v>
      </c>
      <c r="E311" s="139">
        <v>11</v>
      </c>
      <c r="F311" s="154">
        <v>3000</v>
      </c>
      <c r="G311" s="154">
        <v>33000</v>
      </c>
      <c r="H311" s="138" t="s">
        <v>184</v>
      </c>
    </row>
    <row r="312" spans="1:8" x14ac:dyDescent="0.25">
      <c r="A312" s="137">
        <v>10</v>
      </c>
      <c r="B312" s="138" t="s">
        <v>28</v>
      </c>
      <c r="C312" s="138" t="s">
        <v>939</v>
      </c>
      <c r="D312" s="138" t="s">
        <v>940</v>
      </c>
      <c r="E312" s="139">
        <v>40</v>
      </c>
      <c r="F312" s="154">
        <v>2700</v>
      </c>
      <c r="G312" s="154">
        <v>108000</v>
      </c>
      <c r="H312" s="138" t="s">
        <v>184</v>
      </c>
    </row>
    <row r="313" spans="1:8" x14ac:dyDescent="0.25">
      <c r="A313" s="137">
        <v>10</v>
      </c>
      <c r="B313" s="138" t="s">
        <v>30</v>
      </c>
      <c r="C313" s="138" t="s">
        <v>941</v>
      </c>
      <c r="D313" s="138" t="s">
        <v>942</v>
      </c>
      <c r="E313" s="139">
        <v>9</v>
      </c>
      <c r="F313" s="154">
        <v>3000</v>
      </c>
      <c r="G313" s="154">
        <v>27000</v>
      </c>
      <c r="H313" s="138" t="s">
        <v>184</v>
      </c>
    </row>
    <row r="314" spans="1:8" x14ac:dyDescent="0.25">
      <c r="A314" s="137">
        <v>10</v>
      </c>
      <c r="B314" s="138" t="s">
        <v>24</v>
      </c>
      <c r="C314" s="138" t="s">
        <v>370</v>
      </c>
      <c r="D314" s="138" t="s">
        <v>448</v>
      </c>
      <c r="E314" s="139">
        <v>1</v>
      </c>
      <c r="F314" s="154">
        <v>18000</v>
      </c>
      <c r="G314" s="154">
        <v>18000</v>
      </c>
      <c r="H314" s="138" t="s">
        <v>184</v>
      </c>
    </row>
    <row r="315" spans="1:8" x14ac:dyDescent="0.25">
      <c r="A315" s="137">
        <v>10</v>
      </c>
      <c r="B315" s="138" t="s">
        <v>24</v>
      </c>
      <c r="C315" s="138" t="s">
        <v>449</v>
      </c>
      <c r="D315" s="138" t="s">
        <v>450</v>
      </c>
      <c r="E315" s="139">
        <v>1</v>
      </c>
      <c r="F315" s="154">
        <v>5000</v>
      </c>
      <c r="G315" s="154">
        <v>5000</v>
      </c>
      <c r="H315" s="138" t="s">
        <v>184</v>
      </c>
    </row>
    <row r="316" spans="1:8" x14ac:dyDescent="0.25">
      <c r="A316" s="137">
        <v>10</v>
      </c>
      <c r="B316" s="138" t="s">
        <v>30</v>
      </c>
      <c r="C316" s="138" t="s">
        <v>943</v>
      </c>
      <c r="D316" s="138" t="s">
        <v>944</v>
      </c>
      <c r="E316" s="139">
        <v>5</v>
      </c>
      <c r="F316" s="154">
        <v>9000</v>
      </c>
      <c r="G316" s="154">
        <v>45000</v>
      </c>
      <c r="H316" s="138" t="s">
        <v>184</v>
      </c>
    </row>
    <row r="317" spans="1:8" x14ac:dyDescent="0.25">
      <c r="A317" s="137">
        <v>10</v>
      </c>
      <c r="B317" s="138" t="s">
        <v>26</v>
      </c>
      <c r="C317" s="138" t="s">
        <v>71</v>
      </c>
      <c r="D317" s="138" t="s">
        <v>945</v>
      </c>
      <c r="E317" s="139">
        <v>1</v>
      </c>
      <c r="F317" s="154">
        <v>20000</v>
      </c>
      <c r="G317" s="154">
        <v>20000</v>
      </c>
      <c r="H317" s="138" t="s">
        <v>206</v>
      </c>
    </row>
    <row r="318" spans="1:8" x14ac:dyDescent="0.25">
      <c r="A318" s="137">
        <v>10</v>
      </c>
      <c r="B318" s="138" t="s">
        <v>30</v>
      </c>
      <c r="C318" s="138" t="s">
        <v>912</v>
      </c>
      <c r="D318" s="138" t="s">
        <v>946</v>
      </c>
      <c r="E318" s="139">
        <v>10</v>
      </c>
      <c r="F318" s="154">
        <v>1700</v>
      </c>
      <c r="G318" s="154">
        <v>17000</v>
      </c>
      <c r="H318" s="138" t="s">
        <v>947</v>
      </c>
    </row>
    <row r="319" spans="1:8" x14ac:dyDescent="0.25">
      <c r="A319" s="137">
        <v>11</v>
      </c>
      <c r="B319" s="138" t="s">
        <v>26</v>
      </c>
      <c r="C319" s="138" t="s">
        <v>63</v>
      </c>
      <c r="D319" s="138" t="s">
        <v>948</v>
      </c>
      <c r="E319" s="139">
        <v>1</v>
      </c>
      <c r="F319" s="154">
        <v>5241000</v>
      </c>
      <c r="G319" s="154">
        <v>5241000</v>
      </c>
      <c r="H319" s="138" t="s">
        <v>108</v>
      </c>
    </row>
    <row r="320" spans="1:8" x14ac:dyDescent="0.25">
      <c r="A320" s="137">
        <v>11</v>
      </c>
      <c r="B320" s="138" t="s">
        <v>26</v>
      </c>
      <c r="C320" s="138" t="s">
        <v>73</v>
      </c>
      <c r="D320" s="138" t="s">
        <v>949</v>
      </c>
      <c r="E320" s="139">
        <v>1</v>
      </c>
      <c r="F320" s="154">
        <v>72000</v>
      </c>
      <c r="G320" s="154">
        <v>72000</v>
      </c>
      <c r="H320" s="138" t="s">
        <v>950</v>
      </c>
    </row>
    <row r="321" spans="1:13" x14ac:dyDescent="0.25">
      <c r="A321" s="137">
        <v>11</v>
      </c>
      <c r="B321" s="138" t="s">
        <v>26</v>
      </c>
      <c r="C321" s="138" t="s">
        <v>951</v>
      </c>
      <c r="D321" s="138" t="s">
        <v>252</v>
      </c>
      <c r="E321" s="139">
        <v>1</v>
      </c>
      <c r="F321" s="154">
        <v>1149000</v>
      </c>
      <c r="G321" s="154">
        <f t="shared" ref="G321:G384" si="0">IF(AND(ISNUMBER(E321), ISNUMBER(F321), E321&gt;0, F321&gt;0), ROUND(E321*F321, 2), IF(ISNUMBER(F321), F321, ""))</f>
        <v>1149000</v>
      </c>
      <c r="H321" s="138" t="s">
        <v>253</v>
      </c>
    </row>
    <row r="322" spans="1:13" x14ac:dyDescent="0.25">
      <c r="A322" s="137">
        <v>11</v>
      </c>
      <c r="B322" s="138" t="s">
        <v>26</v>
      </c>
      <c r="C322" s="157" t="s">
        <v>120</v>
      </c>
      <c r="D322" s="157" t="s">
        <v>120</v>
      </c>
      <c r="E322" s="139">
        <v>1</v>
      </c>
      <c r="F322" s="155">
        <v>1652380</v>
      </c>
      <c r="G322" s="154">
        <f t="shared" si="0"/>
        <v>1652380</v>
      </c>
      <c r="H322" s="156" t="s">
        <v>113</v>
      </c>
    </row>
    <row r="323" spans="1:13" x14ac:dyDescent="0.25">
      <c r="A323" s="137">
        <v>11</v>
      </c>
      <c r="B323" s="138" t="s">
        <v>29</v>
      </c>
      <c r="C323" s="157" t="s">
        <v>123</v>
      </c>
      <c r="D323" s="157" t="s">
        <v>123</v>
      </c>
      <c r="E323" s="139">
        <v>1</v>
      </c>
      <c r="F323" s="155">
        <v>2288950</v>
      </c>
      <c r="G323" s="154">
        <f t="shared" si="0"/>
        <v>2288950</v>
      </c>
      <c r="H323" s="156" t="s">
        <v>113</v>
      </c>
    </row>
    <row r="324" spans="1:13" x14ac:dyDescent="0.25">
      <c r="A324" s="137">
        <v>11</v>
      </c>
      <c r="B324" s="138" t="s">
        <v>24</v>
      </c>
      <c r="C324" s="157" t="s">
        <v>166</v>
      </c>
      <c r="D324" s="157" t="s">
        <v>166</v>
      </c>
      <c r="E324" s="139">
        <v>1</v>
      </c>
      <c r="F324" s="155">
        <v>364000</v>
      </c>
      <c r="G324" s="154">
        <f t="shared" si="0"/>
        <v>364000</v>
      </c>
      <c r="H324" s="156" t="s">
        <v>113</v>
      </c>
    </row>
    <row r="325" spans="1:13" x14ac:dyDescent="0.25">
      <c r="A325" s="137">
        <v>11</v>
      </c>
      <c r="B325" s="138" t="s">
        <v>24</v>
      </c>
      <c r="C325" s="157" t="s">
        <v>166</v>
      </c>
      <c r="D325" s="157" t="s">
        <v>166</v>
      </c>
      <c r="E325" s="139">
        <v>1</v>
      </c>
      <c r="F325" s="155">
        <v>364000</v>
      </c>
      <c r="G325" s="154">
        <f t="shared" si="0"/>
        <v>364000</v>
      </c>
      <c r="H325" s="156" t="s">
        <v>113</v>
      </c>
    </row>
    <row r="326" spans="1:13" x14ac:dyDescent="0.25">
      <c r="A326" s="137">
        <v>11</v>
      </c>
      <c r="B326" s="138" t="s">
        <v>24</v>
      </c>
      <c r="C326" s="157" t="s">
        <v>175</v>
      </c>
      <c r="D326" s="157" t="s">
        <v>175</v>
      </c>
      <c r="E326" s="139">
        <v>1</v>
      </c>
      <c r="F326" s="155">
        <v>1124100</v>
      </c>
      <c r="G326" s="154">
        <f t="shared" si="0"/>
        <v>1124100</v>
      </c>
      <c r="H326" s="156" t="s">
        <v>113</v>
      </c>
    </row>
    <row r="327" spans="1:13" x14ac:dyDescent="0.25">
      <c r="A327" s="137">
        <v>11</v>
      </c>
      <c r="B327" s="138" t="s">
        <v>26</v>
      </c>
      <c r="C327" s="157" t="s">
        <v>198</v>
      </c>
      <c r="D327" s="157" t="s">
        <v>198</v>
      </c>
      <c r="E327" s="139">
        <v>1</v>
      </c>
      <c r="F327" s="155">
        <v>15000</v>
      </c>
      <c r="G327" s="154">
        <f t="shared" si="0"/>
        <v>15000</v>
      </c>
      <c r="H327" s="156" t="s">
        <v>113</v>
      </c>
    </row>
    <row r="328" spans="1:13" x14ac:dyDescent="0.25">
      <c r="A328" s="137">
        <v>11</v>
      </c>
      <c r="B328" s="138" t="s">
        <v>26</v>
      </c>
      <c r="C328" s="157" t="s">
        <v>218</v>
      </c>
      <c r="D328" s="157" t="s">
        <v>218</v>
      </c>
      <c r="E328" s="139">
        <v>1</v>
      </c>
      <c r="F328" s="155">
        <v>1200000</v>
      </c>
      <c r="G328" s="154">
        <f t="shared" si="0"/>
        <v>1200000</v>
      </c>
      <c r="H328" s="156" t="s">
        <v>113</v>
      </c>
    </row>
    <row r="329" spans="1:13" x14ac:dyDescent="0.25">
      <c r="A329" s="137">
        <v>11</v>
      </c>
      <c r="B329" s="138" t="s">
        <v>30</v>
      </c>
      <c r="C329" s="157" t="s">
        <v>169</v>
      </c>
      <c r="D329" s="157" t="s">
        <v>169</v>
      </c>
      <c r="E329" s="139">
        <v>1</v>
      </c>
      <c r="F329" s="155">
        <v>1076000</v>
      </c>
      <c r="G329" s="154">
        <f t="shared" si="0"/>
        <v>1076000</v>
      </c>
      <c r="H329" s="156" t="s">
        <v>113</v>
      </c>
    </row>
    <row r="330" spans="1:13" x14ac:dyDescent="0.25">
      <c r="A330" s="137">
        <v>11</v>
      </c>
      <c r="B330" s="138" t="s">
        <v>26</v>
      </c>
      <c r="C330" s="157" t="s">
        <v>231</v>
      </c>
      <c r="D330" s="157" t="s">
        <v>231</v>
      </c>
      <c r="E330" s="139">
        <v>1</v>
      </c>
      <c r="F330" s="155">
        <v>200000</v>
      </c>
      <c r="G330" s="154">
        <f t="shared" si="0"/>
        <v>200000</v>
      </c>
      <c r="H330" s="156" t="s">
        <v>113</v>
      </c>
    </row>
    <row r="331" spans="1:13" x14ac:dyDescent="0.25">
      <c r="A331" s="137">
        <v>11</v>
      </c>
      <c r="B331" s="138" t="s">
        <v>26</v>
      </c>
      <c r="C331" s="157" t="s">
        <v>234</v>
      </c>
      <c r="D331" s="157" t="s">
        <v>234</v>
      </c>
      <c r="E331" s="139">
        <v>1</v>
      </c>
      <c r="F331" s="155">
        <v>432000</v>
      </c>
      <c r="G331" s="154">
        <f t="shared" si="0"/>
        <v>432000</v>
      </c>
      <c r="H331" s="156" t="s">
        <v>113</v>
      </c>
    </row>
    <row r="332" spans="1:13" ht="18.95" customHeight="1" x14ac:dyDescent="0.25">
      <c r="A332" s="161">
        <v>11</v>
      </c>
      <c r="B332" s="159" t="s">
        <v>29</v>
      </c>
      <c r="C332" s="159" t="s">
        <v>548</v>
      </c>
      <c r="D332" s="159" t="s">
        <v>952</v>
      </c>
      <c r="E332" s="162">
        <v>1</v>
      </c>
      <c r="F332" s="160">
        <v>200000</v>
      </c>
      <c r="G332" s="160">
        <f t="shared" si="0"/>
        <v>200000</v>
      </c>
      <c r="H332" s="158" t="s">
        <v>953</v>
      </c>
      <c r="I332" s="163"/>
      <c r="J332" s="163"/>
      <c r="K332" s="163"/>
      <c r="L332" s="163"/>
      <c r="M332" s="163"/>
    </row>
    <row r="333" spans="1:13" ht="18.95" customHeight="1" x14ac:dyDescent="0.25">
      <c r="A333" s="208">
        <v>11</v>
      </c>
      <c r="B333" s="179" t="s">
        <v>24</v>
      </c>
      <c r="C333" s="179" t="s">
        <v>166</v>
      </c>
      <c r="D333" s="179" t="s">
        <v>455</v>
      </c>
      <c r="E333" s="209">
        <v>2</v>
      </c>
      <c r="F333" s="180">
        <v>364000</v>
      </c>
      <c r="G333" s="180">
        <f t="shared" si="0"/>
        <v>728000</v>
      </c>
      <c r="H333" s="178" t="s">
        <v>113</v>
      </c>
      <c r="I333" s="210"/>
      <c r="J333" s="210"/>
      <c r="K333" s="210"/>
      <c r="L333" s="210"/>
      <c r="M333" s="210"/>
    </row>
    <row r="334" spans="1:13" x14ac:dyDescent="0.25">
      <c r="A334" s="137"/>
      <c r="B334" s="138"/>
      <c r="C334" s="138"/>
      <c r="D334" s="138"/>
      <c r="E334" s="139"/>
      <c r="F334" s="154"/>
      <c r="G334" s="154" t="str">
        <f t="shared" si="0"/>
        <v/>
      </c>
      <c r="H334" s="138"/>
    </row>
    <row r="335" spans="1:13" x14ac:dyDescent="0.25">
      <c r="A335" s="137"/>
      <c r="B335" s="138"/>
      <c r="C335" s="138"/>
      <c r="D335" s="138"/>
      <c r="E335" s="139"/>
      <c r="F335" s="154"/>
      <c r="G335" s="154" t="str">
        <f t="shared" si="0"/>
        <v/>
      </c>
      <c r="H335" s="138"/>
    </row>
    <row r="336" spans="1:13" x14ac:dyDescent="0.25">
      <c r="A336" s="137"/>
      <c r="B336" s="138"/>
      <c r="C336" s="138"/>
      <c r="D336" s="138"/>
      <c r="E336" s="139"/>
      <c r="F336" s="154"/>
      <c r="G336" s="154" t="str">
        <f t="shared" si="0"/>
        <v/>
      </c>
      <c r="H336" s="138"/>
    </row>
    <row r="337" spans="1:8" x14ac:dyDescent="0.25">
      <c r="A337" s="137"/>
      <c r="B337" s="138"/>
      <c r="C337" s="138"/>
      <c r="D337" s="138"/>
      <c r="E337" s="139"/>
      <c r="F337" s="154"/>
      <c r="G337" s="154" t="str">
        <f t="shared" si="0"/>
        <v/>
      </c>
      <c r="H337" s="138"/>
    </row>
    <row r="338" spans="1:8" x14ac:dyDescent="0.25">
      <c r="A338" s="137"/>
      <c r="B338" s="138"/>
      <c r="C338" s="138"/>
      <c r="D338" s="138"/>
      <c r="E338" s="139"/>
      <c r="F338" s="154"/>
      <c r="G338" s="154" t="str">
        <f t="shared" si="0"/>
        <v/>
      </c>
      <c r="H338" s="138"/>
    </row>
    <row r="339" spans="1:8" x14ac:dyDescent="0.25">
      <c r="A339" s="137"/>
      <c r="B339" s="138"/>
      <c r="C339" s="138"/>
      <c r="D339" s="138"/>
      <c r="E339" s="139"/>
      <c r="F339" s="154"/>
      <c r="G339" s="154" t="str">
        <f t="shared" si="0"/>
        <v/>
      </c>
      <c r="H339" s="138"/>
    </row>
    <row r="340" spans="1:8" x14ac:dyDescent="0.25">
      <c r="A340" s="137"/>
      <c r="B340" s="138"/>
      <c r="C340" s="138"/>
      <c r="D340" s="138"/>
      <c r="E340" s="139"/>
      <c r="F340" s="154"/>
      <c r="G340" s="154" t="str">
        <f t="shared" si="0"/>
        <v/>
      </c>
      <c r="H340" s="138"/>
    </row>
    <row r="341" spans="1:8" x14ac:dyDescent="0.25">
      <c r="A341" s="137"/>
      <c r="B341" s="138"/>
      <c r="C341" s="138"/>
      <c r="D341" s="138"/>
      <c r="E341" s="139"/>
      <c r="F341" s="154"/>
      <c r="G341" s="154" t="str">
        <f t="shared" si="0"/>
        <v/>
      </c>
      <c r="H341" s="138"/>
    </row>
    <row r="342" spans="1:8" x14ac:dyDescent="0.25">
      <c r="A342" s="137"/>
      <c r="B342" s="138"/>
      <c r="C342" s="138"/>
      <c r="D342" s="138"/>
      <c r="E342" s="139"/>
      <c r="F342" s="154"/>
      <c r="G342" s="154" t="str">
        <f t="shared" si="0"/>
        <v/>
      </c>
      <c r="H342" s="138"/>
    </row>
    <row r="343" spans="1:8" x14ac:dyDescent="0.25">
      <c r="A343" s="137"/>
      <c r="B343" s="138"/>
      <c r="C343" s="138"/>
      <c r="D343" s="138"/>
      <c r="E343" s="139"/>
      <c r="F343" s="154"/>
      <c r="G343" s="154" t="str">
        <f t="shared" si="0"/>
        <v/>
      </c>
      <c r="H343" s="138"/>
    </row>
    <row r="344" spans="1:8" x14ac:dyDescent="0.25">
      <c r="A344" s="137"/>
      <c r="B344" s="138"/>
      <c r="C344" s="138"/>
      <c r="D344" s="138"/>
      <c r="E344" s="139"/>
      <c r="F344" s="154"/>
      <c r="G344" s="154" t="str">
        <f t="shared" si="0"/>
        <v/>
      </c>
      <c r="H344" s="138"/>
    </row>
    <row r="345" spans="1:8" x14ac:dyDescent="0.25">
      <c r="A345" s="137"/>
      <c r="B345" s="138"/>
      <c r="C345" s="138"/>
      <c r="D345" s="138"/>
      <c r="E345" s="139"/>
      <c r="F345" s="154"/>
      <c r="G345" s="154" t="str">
        <f t="shared" si="0"/>
        <v/>
      </c>
      <c r="H345" s="138"/>
    </row>
    <row r="346" spans="1:8" x14ac:dyDescent="0.25">
      <c r="A346" s="137"/>
      <c r="B346" s="138"/>
      <c r="C346" s="138"/>
      <c r="D346" s="138"/>
      <c r="E346" s="139"/>
      <c r="F346" s="154"/>
      <c r="G346" s="154" t="str">
        <f t="shared" si="0"/>
        <v/>
      </c>
      <c r="H346" s="138"/>
    </row>
    <row r="347" spans="1:8" x14ac:dyDescent="0.25">
      <c r="A347" s="137"/>
      <c r="B347" s="138"/>
      <c r="C347" s="138"/>
      <c r="D347" s="138"/>
      <c r="E347" s="139"/>
      <c r="F347" s="154"/>
      <c r="G347" s="154" t="str">
        <f t="shared" si="0"/>
        <v/>
      </c>
      <c r="H347" s="138"/>
    </row>
    <row r="348" spans="1:8" x14ac:dyDescent="0.25">
      <c r="A348" s="137"/>
      <c r="B348" s="138"/>
      <c r="C348" s="138"/>
      <c r="D348" s="138"/>
      <c r="E348" s="139"/>
      <c r="F348" s="154"/>
      <c r="G348" s="154" t="str">
        <f t="shared" si="0"/>
        <v/>
      </c>
      <c r="H348" s="138"/>
    </row>
    <row r="349" spans="1:8" x14ac:dyDescent="0.25">
      <c r="A349" s="137"/>
      <c r="B349" s="138"/>
      <c r="C349" s="138"/>
      <c r="D349" s="138"/>
      <c r="E349" s="139"/>
      <c r="F349" s="154"/>
      <c r="G349" s="154" t="str">
        <f t="shared" si="0"/>
        <v/>
      </c>
      <c r="H349" s="138"/>
    </row>
    <row r="350" spans="1:8" x14ac:dyDescent="0.25">
      <c r="A350" s="137"/>
      <c r="B350" s="138"/>
      <c r="C350" s="138"/>
      <c r="D350" s="138"/>
      <c r="E350" s="139"/>
      <c r="F350" s="154"/>
      <c r="G350" s="154" t="str">
        <f t="shared" si="0"/>
        <v/>
      </c>
      <c r="H350" s="138"/>
    </row>
    <row r="351" spans="1:8" x14ac:dyDescent="0.25">
      <c r="A351" s="137"/>
      <c r="B351" s="138"/>
      <c r="C351" s="138"/>
      <c r="D351" s="138"/>
      <c r="E351" s="139"/>
      <c r="F351" s="154"/>
      <c r="G351" s="154" t="str">
        <f t="shared" si="0"/>
        <v/>
      </c>
      <c r="H351" s="138"/>
    </row>
    <row r="352" spans="1:8" x14ac:dyDescent="0.25">
      <c r="A352" s="137"/>
      <c r="B352" s="138"/>
      <c r="C352" s="138"/>
      <c r="D352" s="138"/>
      <c r="E352" s="139"/>
      <c r="F352" s="154"/>
      <c r="G352" s="154" t="str">
        <f t="shared" si="0"/>
        <v/>
      </c>
      <c r="H352" s="138"/>
    </row>
    <row r="353" spans="1:8" x14ac:dyDescent="0.25">
      <c r="A353" s="137"/>
      <c r="B353" s="138"/>
      <c r="C353" s="138"/>
      <c r="D353" s="138"/>
      <c r="E353" s="139"/>
      <c r="F353" s="154"/>
      <c r="G353" s="154" t="str">
        <f t="shared" si="0"/>
        <v/>
      </c>
      <c r="H353" s="138"/>
    </row>
    <row r="354" spans="1:8" x14ac:dyDescent="0.25">
      <c r="A354" s="137"/>
      <c r="B354" s="138"/>
      <c r="C354" s="138"/>
      <c r="D354" s="138"/>
      <c r="E354" s="139"/>
      <c r="F354" s="154"/>
      <c r="G354" s="154" t="str">
        <f t="shared" si="0"/>
        <v/>
      </c>
      <c r="H354" s="138"/>
    </row>
    <row r="355" spans="1:8" x14ac:dyDescent="0.25">
      <c r="A355" s="137"/>
      <c r="B355" s="138"/>
      <c r="C355" s="138"/>
      <c r="D355" s="138"/>
      <c r="E355" s="139"/>
      <c r="F355" s="154"/>
      <c r="G355" s="154" t="str">
        <f t="shared" si="0"/>
        <v/>
      </c>
      <c r="H355" s="138"/>
    </row>
    <row r="356" spans="1:8" x14ac:dyDescent="0.25">
      <c r="A356" s="137"/>
      <c r="B356" s="138"/>
      <c r="C356" s="138"/>
      <c r="D356" s="138"/>
      <c r="E356" s="139"/>
      <c r="F356" s="154"/>
      <c r="G356" s="154" t="str">
        <f t="shared" si="0"/>
        <v/>
      </c>
      <c r="H356" s="138"/>
    </row>
    <row r="357" spans="1:8" x14ac:dyDescent="0.25">
      <c r="A357" s="137"/>
      <c r="B357" s="138"/>
      <c r="C357" s="138"/>
      <c r="D357" s="138"/>
      <c r="E357" s="139"/>
      <c r="F357" s="154"/>
      <c r="G357" s="154" t="str">
        <f t="shared" si="0"/>
        <v/>
      </c>
      <c r="H357" s="138"/>
    </row>
    <row r="358" spans="1:8" x14ac:dyDescent="0.25">
      <c r="A358" s="137"/>
      <c r="B358" s="138"/>
      <c r="C358" s="138"/>
      <c r="D358" s="138"/>
      <c r="E358" s="139"/>
      <c r="F358" s="154"/>
      <c r="G358" s="154" t="str">
        <f t="shared" si="0"/>
        <v/>
      </c>
      <c r="H358" s="138"/>
    </row>
    <row r="359" spans="1:8" x14ac:dyDescent="0.25">
      <c r="A359" s="137"/>
      <c r="B359" s="138"/>
      <c r="C359" s="138"/>
      <c r="D359" s="138"/>
      <c r="E359" s="139"/>
      <c r="F359" s="154"/>
      <c r="G359" s="154" t="str">
        <f t="shared" si="0"/>
        <v/>
      </c>
      <c r="H359" s="138"/>
    </row>
    <row r="360" spans="1:8" x14ac:dyDescent="0.25">
      <c r="A360" s="137"/>
      <c r="B360" s="138"/>
      <c r="C360" s="138"/>
      <c r="D360" s="138"/>
      <c r="E360" s="139"/>
      <c r="F360" s="154"/>
      <c r="G360" s="154" t="str">
        <f t="shared" si="0"/>
        <v/>
      </c>
      <c r="H360" s="138"/>
    </row>
    <row r="361" spans="1:8" x14ac:dyDescent="0.25">
      <c r="A361" s="137"/>
      <c r="B361" s="138"/>
      <c r="C361" s="138"/>
      <c r="D361" s="138"/>
      <c r="E361" s="139"/>
      <c r="F361" s="154"/>
      <c r="G361" s="154" t="str">
        <f t="shared" si="0"/>
        <v/>
      </c>
      <c r="H361" s="138"/>
    </row>
    <row r="362" spans="1:8" x14ac:dyDescent="0.25">
      <c r="A362" s="137"/>
      <c r="B362" s="138"/>
      <c r="C362" s="138"/>
      <c r="D362" s="138"/>
      <c r="E362" s="139"/>
      <c r="F362" s="154"/>
      <c r="G362" s="154" t="str">
        <f t="shared" si="0"/>
        <v/>
      </c>
      <c r="H362" s="138"/>
    </row>
    <row r="363" spans="1:8" x14ac:dyDescent="0.25">
      <c r="A363" s="137"/>
      <c r="B363" s="138"/>
      <c r="C363" s="138"/>
      <c r="D363" s="138"/>
      <c r="E363" s="139"/>
      <c r="F363" s="154"/>
      <c r="G363" s="154" t="str">
        <f t="shared" si="0"/>
        <v/>
      </c>
      <c r="H363" s="138"/>
    </row>
    <row r="364" spans="1:8" x14ac:dyDescent="0.25">
      <c r="A364" s="137"/>
      <c r="B364" s="138"/>
      <c r="C364" s="138"/>
      <c r="D364" s="138"/>
      <c r="E364" s="139"/>
      <c r="F364" s="154"/>
      <c r="G364" s="154" t="str">
        <f t="shared" si="0"/>
        <v/>
      </c>
      <c r="H364" s="138"/>
    </row>
    <row r="365" spans="1:8" x14ac:dyDescent="0.25">
      <c r="A365" s="137"/>
      <c r="B365" s="138"/>
      <c r="C365" s="138"/>
      <c r="D365" s="138"/>
      <c r="E365" s="139"/>
      <c r="F365" s="154"/>
      <c r="G365" s="154" t="str">
        <f t="shared" si="0"/>
        <v/>
      </c>
      <c r="H365" s="138"/>
    </row>
    <row r="366" spans="1:8" x14ac:dyDescent="0.25">
      <c r="A366" s="137"/>
      <c r="B366" s="138"/>
      <c r="C366" s="138"/>
      <c r="D366" s="138"/>
      <c r="E366" s="139"/>
      <c r="F366" s="154"/>
      <c r="G366" s="154" t="str">
        <f t="shared" si="0"/>
        <v/>
      </c>
      <c r="H366" s="138"/>
    </row>
    <row r="367" spans="1:8" x14ac:dyDescent="0.25">
      <c r="A367" s="137"/>
      <c r="B367" s="138"/>
      <c r="C367" s="138"/>
      <c r="D367" s="138"/>
      <c r="E367" s="139"/>
      <c r="F367" s="154"/>
      <c r="G367" s="154" t="str">
        <f t="shared" si="0"/>
        <v/>
      </c>
      <c r="H367" s="138"/>
    </row>
    <row r="368" spans="1:8" x14ac:dyDescent="0.25">
      <c r="A368" s="137"/>
      <c r="B368" s="138"/>
      <c r="C368" s="138"/>
      <c r="D368" s="138"/>
      <c r="E368" s="139"/>
      <c r="F368" s="154"/>
      <c r="G368" s="154" t="str">
        <f t="shared" si="0"/>
        <v/>
      </c>
      <c r="H368" s="138"/>
    </row>
    <row r="369" spans="1:8" x14ac:dyDescent="0.25">
      <c r="A369" s="137"/>
      <c r="B369" s="138"/>
      <c r="C369" s="138"/>
      <c r="D369" s="138"/>
      <c r="E369" s="139"/>
      <c r="F369" s="154"/>
      <c r="G369" s="154" t="str">
        <f t="shared" si="0"/>
        <v/>
      </c>
      <c r="H369" s="138"/>
    </row>
    <row r="370" spans="1:8" x14ac:dyDescent="0.25">
      <c r="A370" s="137"/>
      <c r="B370" s="138"/>
      <c r="C370" s="138"/>
      <c r="D370" s="138"/>
      <c r="E370" s="139"/>
      <c r="F370" s="154"/>
      <c r="G370" s="154" t="str">
        <f t="shared" si="0"/>
        <v/>
      </c>
      <c r="H370" s="138"/>
    </row>
    <row r="371" spans="1:8" x14ac:dyDescent="0.25">
      <c r="A371" s="137"/>
      <c r="B371" s="138"/>
      <c r="C371" s="138"/>
      <c r="D371" s="138"/>
      <c r="E371" s="139"/>
      <c r="F371" s="154"/>
      <c r="G371" s="154" t="str">
        <f t="shared" si="0"/>
        <v/>
      </c>
      <c r="H371" s="138"/>
    </row>
    <row r="372" spans="1:8" x14ac:dyDescent="0.25">
      <c r="A372" s="137"/>
      <c r="B372" s="138"/>
      <c r="C372" s="138"/>
      <c r="D372" s="138"/>
      <c r="E372" s="139"/>
      <c r="F372" s="154"/>
      <c r="G372" s="154" t="str">
        <f t="shared" si="0"/>
        <v/>
      </c>
      <c r="H372" s="138"/>
    </row>
    <row r="373" spans="1:8" x14ac:dyDescent="0.25">
      <c r="A373" s="137"/>
      <c r="B373" s="138"/>
      <c r="C373" s="138"/>
      <c r="D373" s="138"/>
      <c r="E373" s="139"/>
      <c r="F373" s="154"/>
      <c r="G373" s="154" t="str">
        <f t="shared" si="0"/>
        <v/>
      </c>
      <c r="H373" s="138"/>
    </row>
    <row r="374" spans="1:8" x14ac:dyDescent="0.25">
      <c r="A374" s="137"/>
      <c r="B374" s="138"/>
      <c r="C374" s="138"/>
      <c r="D374" s="138"/>
      <c r="E374" s="139"/>
      <c r="F374" s="154"/>
      <c r="G374" s="154" t="str">
        <f t="shared" si="0"/>
        <v/>
      </c>
      <c r="H374" s="138"/>
    </row>
    <row r="375" spans="1:8" x14ac:dyDescent="0.25">
      <c r="A375" s="137"/>
      <c r="B375" s="138"/>
      <c r="C375" s="138"/>
      <c r="D375" s="138"/>
      <c r="E375" s="139"/>
      <c r="F375" s="154"/>
      <c r="G375" s="154" t="str">
        <f t="shared" si="0"/>
        <v/>
      </c>
      <c r="H375" s="138"/>
    </row>
    <row r="376" spans="1:8" x14ac:dyDescent="0.25">
      <c r="A376" s="137"/>
      <c r="B376" s="138"/>
      <c r="C376" s="138"/>
      <c r="D376" s="138"/>
      <c r="E376" s="139"/>
      <c r="F376" s="154"/>
      <c r="G376" s="154" t="str">
        <f t="shared" si="0"/>
        <v/>
      </c>
      <c r="H376" s="138"/>
    </row>
    <row r="377" spans="1:8" x14ac:dyDescent="0.25">
      <c r="A377" s="137"/>
      <c r="B377" s="138"/>
      <c r="C377" s="138"/>
      <c r="D377" s="138"/>
      <c r="E377" s="139"/>
      <c r="F377" s="154"/>
      <c r="G377" s="154" t="str">
        <f t="shared" si="0"/>
        <v/>
      </c>
      <c r="H377" s="138"/>
    </row>
    <row r="378" spans="1:8" x14ac:dyDescent="0.25">
      <c r="A378" s="137"/>
      <c r="B378" s="138"/>
      <c r="C378" s="138"/>
      <c r="D378" s="138"/>
      <c r="E378" s="139"/>
      <c r="F378" s="154"/>
      <c r="G378" s="154" t="str">
        <f t="shared" si="0"/>
        <v/>
      </c>
      <c r="H378" s="138"/>
    </row>
    <row r="379" spans="1:8" x14ac:dyDescent="0.25">
      <c r="A379" s="137"/>
      <c r="B379" s="138"/>
      <c r="C379" s="138"/>
      <c r="D379" s="138"/>
      <c r="E379" s="139"/>
      <c r="F379" s="154"/>
      <c r="G379" s="154" t="str">
        <f t="shared" si="0"/>
        <v/>
      </c>
      <c r="H379" s="138"/>
    </row>
    <row r="380" spans="1:8" x14ac:dyDescent="0.25">
      <c r="A380" s="137"/>
      <c r="B380" s="138"/>
      <c r="C380" s="138"/>
      <c r="D380" s="138"/>
      <c r="E380" s="139"/>
      <c r="F380" s="154"/>
      <c r="G380" s="154" t="str">
        <f t="shared" si="0"/>
        <v/>
      </c>
      <c r="H380" s="138"/>
    </row>
    <row r="381" spans="1:8" x14ac:dyDescent="0.25">
      <c r="A381" s="137"/>
      <c r="B381" s="138"/>
      <c r="C381" s="138"/>
      <c r="D381" s="138"/>
      <c r="E381" s="139"/>
      <c r="F381" s="154"/>
      <c r="G381" s="154" t="str">
        <f t="shared" si="0"/>
        <v/>
      </c>
      <c r="H381" s="138"/>
    </row>
    <row r="382" spans="1:8" x14ac:dyDescent="0.25">
      <c r="A382" s="137"/>
      <c r="B382" s="138"/>
      <c r="C382" s="138"/>
      <c r="D382" s="138"/>
      <c r="E382" s="139"/>
      <c r="F382" s="154"/>
      <c r="G382" s="154" t="str">
        <f t="shared" si="0"/>
        <v/>
      </c>
      <c r="H382" s="138"/>
    </row>
    <row r="383" spans="1:8" x14ac:dyDescent="0.25">
      <c r="A383" s="137"/>
      <c r="B383" s="138"/>
      <c r="C383" s="138"/>
      <c r="D383" s="138"/>
      <c r="E383" s="139"/>
      <c r="F383" s="154"/>
      <c r="G383" s="154" t="str">
        <f t="shared" si="0"/>
        <v/>
      </c>
      <c r="H383" s="138"/>
    </row>
    <row r="384" spans="1:8" x14ac:dyDescent="0.25">
      <c r="A384" s="137"/>
      <c r="B384" s="138"/>
      <c r="C384" s="138"/>
      <c r="D384" s="138"/>
      <c r="E384" s="139"/>
      <c r="F384" s="154"/>
      <c r="G384" s="154" t="str">
        <f t="shared" si="0"/>
        <v/>
      </c>
      <c r="H384" s="138"/>
    </row>
    <row r="385" spans="1:8" x14ac:dyDescent="0.25">
      <c r="A385" s="137"/>
      <c r="B385" s="138"/>
      <c r="C385" s="138"/>
      <c r="D385" s="138"/>
      <c r="E385" s="139"/>
      <c r="F385" s="154"/>
      <c r="G385" s="154" t="str">
        <f t="shared" ref="G385:G448" si="1">IF(AND(ISNUMBER(E385), ISNUMBER(F385), E385&gt;0, F385&gt;0), ROUND(E385*F385, 2), IF(ISNUMBER(F385), F385, ""))</f>
        <v/>
      </c>
      <c r="H385" s="138"/>
    </row>
    <row r="386" spans="1:8" x14ac:dyDescent="0.25">
      <c r="A386" s="137"/>
      <c r="B386" s="138"/>
      <c r="C386" s="138"/>
      <c r="D386" s="138"/>
      <c r="E386" s="139"/>
      <c r="F386" s="154"/>
      <c r="G386" s="154" t="str">
        <f t="shared" si="1"/>
        <v/>
      </c>
      <c r="H386" s="138"/>
    </row>
    <row r="387" spans="1:8" x14ac:dyDescent="0.25">
      <c r="A387" s="137"/>
      <c r="B387" s="138"/>
      <c r="C387" s="138"/>
      <c r="D387" s="138"/>
      <c r="E387" s="139"/>
      <c r="F387" s="154"/>
      <c r="G387" s="154" t="str">
        <f t="shared" si="1"/>
        <v/>
      </c>
      <c r="H387" s="138"/>
    </row>
    <row r="388" spans="1:8" x14ac:dyDescent="0.25">
      <c r="A388" s="137"/>
      <c r="B388" s="138"/>
      <c r="C388" s="138"/>
      <c r="D388" s="138"/>
      <c r="E388" s="139"/>
      <c r="F388" s="154"/>
      <c r="G388" s="154" t="str">
        <f t="shared" si="1"/>
        <v/>
      </c>
      <c r="H388" s="138"/>
    </row>
    <row r="389" spans="1:8" x14ac:dyDescent="0.25">
      <c r="A389" s="137"/>
      <c r="B389" s="138"/>
      <c r="C389" s="138"/>
      <c r="D389" s="138"/>
      <c r="E389" s="139"/>
      <c r="F389" s="154"/>
      <c r="G389" s="154" t="str">
        <f t="shared" si="1"/>
        <v/>
      </c>
      <c r="H389" s="138"/>
    </row>
    <row r="390" spans="1:8" x14ac:dyDescent="0.25">
      <c r="A390" s="137"/>
      <c r="B390" s="138"/>
      <c r="C390" s="138"/>
      <c r="D390" s="138"/>
      <c r="E390" s="139"/>
      <c r="F390" s="154"/>
      <c r="G390" s="154" t="str">
        <f t="shared" si="1"/>
        <v/>
      </c>
      <c r="H390" s="138"/>
    </row>
    <row r="391" spans="1:8" x14ac:dyDescent="0.25">
      <c r="A391" s="137"/>
      <c r="B391" s="138"/>
      <c r="C391" s="138"/>
      <c r="D391" s="138"/>
      <c r="E391" s="139"/>
      <c r="F391" s="154"/>
      <c r="G391" s="154" t="str">
        <f t="shared" si="1"/>
        <v/>
      </c>
      <c r="H391" s="138"/>
    </row>
    <row r="392" spans="1:8" x14ac:dyDescent="0.25">
      <c r="A392" s="137"/>
      <c r="B392" s="138"/>
      <c r="C392" s="138"/>
      <c r="D392" s="138"/>
      <c r="E392" s="139"/>
      <c r="F392" s="154"/>
      <c r="G392" s="154" t="str">
        <f t="shared" si="1"/>
        <v/>
      </c>
      <c r="H392" s="138"/>
    </row>
    <row r="393" spans="1:8" x14ac:dyDescent="0.25">
      <c r="A393" s="137"/>
      <c r="B393" s="138"/>
      <c r="C393" s="138"/>
      <c r="D393" s="138"/>
      <c r="E393" s="139"/>
      <c r="F393" s="154"/>
      <c r="G393" s="154" t="str">
        <f t="shared" si="1"/>
        <v/>
      </c>
      <c r="H393" s="138"/>
    </row>
    <row r="394" spans="1:8" x14ac:dyDescent="0.25">
      <c r="A394" s="137"/>
      <c r="B394" s="138"/>
      <c r="C394" s="138"/>
      <c r="D394" s="138"/>
      <c r="E394" s="139"/>
      <c r="F394" s="154"/>
      <c r="G394" s="154" t="str">
        <f t="shared" si="1"/>
        <v/>
      </c>
      <c r="H394" s="138"/>
    </row>
    <row r="395" spans="1:8" x14ac:dyDescent="0.25">
      <c r="A395" s="137"/>
      <c r="B395" s="138"/>
      <c r="C395" s="138"/>
      <c r="D395" s="138"/>
      <c r="E395" s="139"/>
      <c r="F395" s="154"/>
      <c r="G395" s="154" t="str">
        <f t="shared" si="1"/>
        <v/>
      </c>
      <c r="H395" s="138"/>
    </row>
    <row r="396" spans="1:8" x14ac:dyDescent="0.25">
      <c r="A396" s="137"/>
      <c r="B396" s="138"/>
      <c r="C396" s="138"/>
      <c r="D396" s="138"/>
      <c r="E396" s="139"/>
      <c r="F396" s="154"/>
      <c r="G396" s="154" t="str">
        <f t="shared" si="1"/>
        <v/>
      </c>
      <c r="H396" s="138"/>
    </row>
    <row r="397" spans="1:8" x14ac:dyDescent="0.25">
      <c r="A397" s="137"/>
      <c r="B397" s="138"/>
      <c r="C397" s="138"/>
      <c r="D397" s="138"/>
      <c r="E397" s="139"/>
      <c r="F397" s="154"/>
      <c r="G397" s="154" t="str">
        <f t="shared" si="1"/>
        <v/>
      </c>
      <c r="H397" s="138"/>
    </row>
    <row r="398" spans="1:8" x14ac:dyDescent="0.25">
      <c r="A398" s="137"/>
      <c r="B398" s="138"/>
      <c r="C398" s="138"/>
      <c r="D398" s="138"/>
      <c r="E398" s="139"/>
      <c r="F398" s="154"/>
      <c r="G398" s="154" t="str">
        <f t="shared" si="1"/>
        <v/>
      </c>
      <c r="H398" s="138"/>
    </row>
    <row r="399" spans="1:8" x14ac:dyDescent="0.25">
      <c r="A399" s="137"/>
      <c r="B399" s="138"/>
      <c r="C399" s="138"/>
      <c r="D399" s="138"/>
      <c r="E399" s="139"/>
      <c r="F399" s="154"/>
      <c r="G399" s="154" t="str">
        <f t="shared" si="1"/>
        <v/>
      </c>
      <c r="H399" s="138"/>
    </row>
    <row r="400" spans="1:8" x14ac:dyDescent="0.25">
      <c r="A400" s="137"/>
      <c r="B400" s="138"/>
      <c r="C400" s="138"/>
      <c r="D400" s="138"/>
      <c r="E400" s="139"/>
      <c r="F400" s="154"/>
      <c r="G400" s="154" t="str">
        <f t="shared" si="1"/>
        <v/>
      </c>
      <c r="H400" s="138"/>
    </row>
    <row r="401" spans="1:8" x14ac:dyDescent="0.25">
      <c r="A401" s="137"/>
      <c r="B401" s="138"/>
      <c r="C401" s="138"/>
      <c r="D401" s="138"/>
      <c r="E401" s="139"/>
      <c r="F401" s="154"/>
      <c r="G401" s="154" t="str">
        <f t="shared" si="1"/>
        <v/>
      </c>
      <c r="H401" s="138"/>
    </row>
    <row r="402" spans="1:8" x14ac:dyDescent="0.25">
      <c r="A402" s="137"/>
      <c r="B402" s="138"/>
      <c r="C402" s="138"/>
      <c r="D402" s="138"/>
      <c r="E402" s="139"/>
      <c r="F402" s="154"/>
      <c r="G402" s="154" t="str">
        <f t="shared" si="1"/>
        <v/>
      </c>
      <c r="H402" s="138"/>
    </row>
    <row r="403" spans="1:8" x14ac:dyDescent="0.25">
      <c r="A403" s="137"/>
      <c r="B403" s="138"/>
      <c r="C403" s="138"/>
      <c r="D403" s="138"/>
      <c r="E403" s="139"/>
      <c r="F403" s="154"/>
      <c r="G403" s="154" t="str">
        <f t="shared" si="1"/>
        <v/>
      </c>
      <c r="H403" s="138"/>
    </row>
    <row r="404" spans="1:8" x14ac:dyDescent="0.25">
      <c r="A404" s="137"/>
      <c r="B404" s="138"/>
      <c r="C404" s="138"/>
      <c r="D404" s="138"/>
      <c r="E404" s="139"/>
      <c r="F404" s="154"/>
      <c r="G404" s="154" t="str">
        <f t="shared" si="1"/>
        <v/>
      </c>
      <c r="H404" s="138"/>
    </row>
    <row r="405" spans="1:8" x14ac:dyDescent="0.25">
      <c r="A405" s="137"/>
      <c r="B405" s="138"/>
      <c r="C405" s="138"/>
      <c r="D405" s="138"/>
      <c r="E405" s="139"/>
      <c r="F405" s="154"/>
      <c r="G405" s="154" t="str">
        <f t="shared" si="1"/>
        <v/>
      </c>
      <c r="H405" s="138"/>
    </row>
    <row r="406" spans="1:8" x14ac:dyDescent="0.25">
      <c r="A406" s="137"/>
      <c r="B406" s="138"/>
      <c r="C406" s="138"/>
      <c r="D406" s="138"/>
      <c r="E406" s="139"/>
      <c r="F406" s="154"/>
      <c r="G406" s="154" t="str">
        <f t="shared" si="1"/>
        <v/>
      </c>
      <c r="H406" s="138"/>
    </row>
    <row r="407" spans="1:8" x14ac:dyDescent="0.25">
      <c r="A407" s="137"/>
      <c r="B407" s="138"/>
      <c r="C407" s="138"/>
      <c r="D407" s="138"/>
      <c r="E407" s="139"/>
      <c r="F407" s="154"/>
      <c r="G407" s="154" t="str">
        <f t="shared" si="1"/>
        <v/>
      </c>
      <c r="H407" s="138"/>
    </row>
    <row r="408" spans="1:8" x14ac:dyDescent="0.25">
      <c r="A408" s="137"/>
      <c r="B408" s="138"/>
      <c r="C408" s="138"/>
      <c r="D408" s="138"/>
      <c r="E408" s="139"/>
      <c r="F408" s="154"/>
      <c r="G408" s="154" t="str">
        <f t="shared" si="1"/>
        <v/>
      </c>
      <c r="H408" s="138"/>
    </row>
    <row r="409" spans="1:8" x14ac:dyDescent="0.25">
      <c r="A409" s="137"/>
      <c r="B409" s="138"/>
      <c r="C409" s="138"/>
      <c r="D409" s="138"/>
      <c r="E409" s="139"/>
      <c r="F409" s="154"/>
      <c r="G409" s="154" t="str">
        <f t="shared" si="1"/>
        <v/>
      </c>
      <c r="H409" s="138"/>
    </row>
    <row r="410" spans="1:8" x14ac:dyDescent="0.25">
      <c r="A410" s="137"/>
      <c r="B410" s="138"/>
      <c r="C410" s="138"/>
      <c r="D410" s="138"/>
      <c r="E410" s="139"/>
      <c r="F410" s="154"/>
      <c r="G410" s="154" t="str">
        <f t="shared" si="1"/>
        <v/>
      </c>
      <c r="H410" s="138"/>
    </row>
    <row r="411" spans="1:8" x14ac:dyDescent="0.25">
      <c r="A411" s="137"/>
      <c r="B411" s="138"/>
      <c r="C411" s="138"/>
      <c r="D411" s="138"/>
      <c r="E411" s="139"/>
      <c r="F411" s="154"/>
      <c r="G411" s="154" t="str">
        <f t="shared" si="1"/>
        <v/>
      </c>
      <c r="H411" s="138"/>
    </row>
    <row r="412" spans="1:8" x14ac:dyDescent="0.25">
      <c r="A412" s="137"/>
      <c r="B412" s="138"/>
      <c r="C412" s="138"/>
      <c r="D412" s="138"/>
      <c r="E412" s="139"/>
      <c r="F412" s="154"/>
      <c r="G412" s="154" t="str">
        <f t="shared" si="1"/>
        <v/>
      </c>
      <c r="H412" s="138"/>
    </row>
    <row r="413" spans="1:8" x14ac:dyDescent="0.25">
      <c r="A413" s="137"/>
      <c r="B413" s="138"/>
      <c r="C413" s="138"/>
      <c r="D413" s="138"/>
      <c r="E413" s="139"/>
      <c r="F413" s="154"/>
      <c r="G413" s="154" t="str">
        <f t="shared" si="1"/>
        <v/>
      </c>
      <c r="H413" s="138"/>
    </row>
    <row r="414" spans="1:8" x14ac:dyDescent="0.25">
      <c r="A414" s="137"/>
      <c r="B414" s="138"/>
      <c r="C414" s="138"/>
      <c r="D414" s="138"/>
      <c r="E414" s="139"/>
      <c r="F414" s="154"/>
      <c r="G414" s="154" t="str">
        <f t="shared" si="1"/>
        <v/>
      </c>
      <c r="H414" s="138"/>
    </row>
    <row r="415" spans="1:8" x14ac:dyDescent="0.25">
      <c r="A415" s="137"/>
      <c r="B415" s="138"/>
      <c r="C415" s="138"/>
      <c r="D415" s="138"/>
      <c r="E415" s="139"/>
      <c r="F415" s="154"/>
      <c r="G415" s="154" t="str">
        <f t="shared" si="1"/>
        <v/>
      </c>
      <c r="H415" s="138"/>
    </row>
    <row r="416" spans="1:8" x14ac:dyDescent="0.25">
      <c r="A416" s="137"/>
      <c r="B416" s="138"/>
      <c r="C416" s="138"/>
      <c r="D416" s="138"/>
      <c r="E416" s="139"/>
      <c r="F416" s="154"/>
      <c r="G416" s="154" t="str">
        <f t="shared" si="1"/>
        <v/>
      </c>
      <c r="H416" s="138"/>
    </row>
    <row r="417" spans="1:8" x14ac:dyDescent="0.25">
      <c r="A417" s="137"/>
      <c r="B417" s="138"/>
      <c r="C417" s="138"/>
      <c r="D417" s="138"/>
      <c r="E417" s="139"/>
      <c r="F417" s="154"/>
      <c r="G417" s="154" t="str">
        <f t="shared" si="1"/>
        <v/>
      </c>
      <c r="H417" s="138"/>
    </row>
    <row r="418" spans="1:8" x14ac:dyDescent="0.25">
      <c r="A418" s="137"/>
      <c r="B418" s="138"/>
      <c r="C418" s="138"/>
      <c r="D418" s="138"/>
      <c r="E418" s="139"/>
      <c r="F418" s="154"/>
      <c r="G418" s="154" t="str">
        <f t="shared" si="1"/>
        <v/>
      </c>
      <c r="H418" s="138"/>
    </row>
    <row r="419" spans="1:8" x14ac:dyDescent="0.25">
      <c r="A419" s="137"/>
      <c r="B419" s="138"/>
      <c r="C419" s="138"/>
      <c r="D419" s="138"/>
      <c r="E419" s="139"/>
      <c r="F419" s="154"/>
      <c r="G419" s="154" t="str">
        <f t="shared" si="1"/>
        <v/>
      </c>
      <c r="H419" s="138"/>
    </row>
    <row r="420" spans="1:8" x14ac:dyDescent="0.25">
      <c r="A420" s="137"/>
      <c r="B420" s="138"/>
      <c r="C420" s="138"/>
      <c r="D420" s="138"/>
      <c r="E420" s="139"/>
      <c r="F420" s="154"/>
      <c r="G420" s="154" t="str">
        <f t="shared" si="1"/>
        <v/>
      </c>
      <c r="H420" s="138"/>
    </row>
    <row r="421" spans="1:8" x14ac:dyDescent="0.25">
      <c r="A421" s="137"/>
      <c r="B421" s="138"/>
      <c r="C421" s="138"/>
      <c r="D421" s="138"/>
      <c r="E421" s="139"/>
      <c r="F421" s="154"/>
      <c r="G421" s="154" t="str">
        <f t="shared" si="1"/>
        <v/>
      </c>
      <c r="H421" s="138"/>
    </row>
    <row r="422" spans="1:8" x14ac:dyDescent="0.25">
      <c r="A422" s="137"/>
      <c r="B422" s="138"/>
      <c r="C422" s="138"/>
      <c r="D422" s="138"/>
      <c r="E422" s="139"/>
      <c r="F422" s="154"/>
      <c r="G422" s="154" t="str">
        <f t="shared" si="1"/>
        <v/>
      </c>
      <c r="H422" s="138"/>
    </row>
    <row r="423" spans="1:8" x14ac:dyDescent="0.25">
      <c r="A423" s="137"/>
      <c r="B423" s="138"/>
      <c r="C423" s="138"/>
      <c r="D423" s="138"/>
      <c r="E423" s="139"/>
      <c r="F423" s="154"/>
      <c r="G423" s="154" t="str">
        <f t="shared" si="1"/>
        <v/>
      </c>
      <c r="H423" s="138"/>
    </row>
    <row r="424" spans="1:8" x14ac:dyDescent="0.25">
      <c r="A424" s="137"/>
      <c r="B424" s="138"/>
      <c r="C424" s="138"/>
      <c r="D424" s="138"/>
      <c r="E424" s="139"/>
      <c r="F424" s="154"/>
      <c r="G424" s="154" t="str">
        <f t="shared" si="1"/>
        <v/>
      </c>
      <c r="H424" s="138"/>
    </row>
    <row r="425" spans="1:8" x14ac:dyDescent="0.25">
      <c r="A425" s="137"/>
      <c r="B425" s="138"/>
      <c r="C425" s="138"/>
      <c r="D425" s="138"/>
      <c r="E425" s="139"/>
      <c r="F425" s="154"/>
      <c r="G425" s="154" t="str">
        <f t="shared" si="1"/>
        <v/>
      </c>
      <c r="H425" s="138"/>
    </row>
    <row r="426" spans="1:8" x14ac:dyDescent="0.25">
      <c r="A426" s="137"/>
      <c r="B426" s="138"/>
      <c r="C426" s="138"/>
      <c r="D426" s="138"/>
      <c r="E426" s="139"/>
      <c r="F426" s="154"/>
      <c r="G426" s="154" t="str">
        <f t="shared" si="1"/>
        <v/>
      </c>
      <c r="H426" s="138"/>
    </row>
    <row r="427" spans="1:8" x14ac:dyDescent="0.25">
      <c r="A427" s="137"/>
      <c r="B427" s="138"/>
      <c r="C427" s="138"/>
      <c r="D427" s="138"/>
      <c r="E427" s="139"/>
      <c r="F427" s="154"/>
      <c r="G427" s="154" t="str">
        <f t="shared" si="1"/>
        <v/>
      </c>
      <c r="H427" s="138"/>
    </row>
    <row r="428" spans="1:8" x14ac:dyDescent="0.25">
      <c r="A428" s="137"/>
      <c r="B428" s="138"/>
      <c r="C428" s="138"/>
      <c r="D428" s="138"/>
      <c r="E428" s="139"/>
      <c r="F428" s="154"/>
      <c r="G428" s="154" t="str">
        <f t="shared" si="1"/>
        <v/>
      </c>
      <c r="H428" s="138"/>
    </row>
    <row r="429" spans="1:8" x14ac:dyDescent="0.25">
      <c r="A429" s="137"/>
      <c r="B429" s="138"/>
      <c r="C429" s="138"/>
      <c r="D429" s="138"/>
      <c r="E429" s="139"/>
      <c r="F429" s="154"/>
      <c r="G429" s="154" t="str">
        <f t="shared" si="1"/>
        <v/>
      </c>
      <c r="H429" s="138"/>
    </row>
    <row r="430" spans="1:8" x14ac:dyDescent="0.25">
      <c r="A430" s="137"/>
      <c r="B430" s="138"/>
      <c r="C430" s="138"/>
      <c r="D430" s="138"/>
      <c r="E430" s="139"/>
      <c r="F430" s="154"/>
      <c r="G430" s="154" t="str">
        <f t="shared" si="1"/>
        <v/>
      </c>
      <c r="H430" s="138"/>
    </row>
    <row r="431" spans="1:8" x14ac:dyDescent="0.25">
      <c r="A431" s="137"/>
      <c r="B431" s="138"/>
      <c r="C431" s="138"/>
      <c r="D431" s="138"/>
      <c r="E431" s="139"/>
      <c r="F431" s="154"/>
      <c r="G431" s="154" t="str">
        <f t="shared" si="1"/>
        <v/>
      </c>
      <c r="H431" s="138"/>
    </row>
    <row r="432" spans="1:8" x14ac:dyDescent="0.25">
      <c r="A432" s="137"/>
      <c r="B432" s="138"/>
      <c r="C432" s="138"/>
      <c r="D432" s="138"/>
      <c r="E432" s="139"/>
      <c r="F432" s="154"/>
      <c r="G432" s="154" t="str">
        <f t="shared" si="1"/>
        <v/>
      </c>
      <c r="H432" s="138"/>
    </row>
    <row r="433" spans="1:8" x14ac:dyDescent="0.25">
      <c r="A433" s="137"/>
      <c r="B433" s="138"/>
      <c r="C433" s="138"/>
      <c r="D433" s="138"/>
      <c r="E433" s="139"/>
      <c r="F433" s="154"/>
      <c r="G433" s="154" t="str">
        <f t="shared" si="1"/>
        <v/>
      </c>
      <c r="H433" s="138"/>
    </row>
    <row r="434" spans="1:8" x14ac:dyDescent="0.25">
      <c r="A434" s="137"/>
      <c r="B434" s="138"/>
      <c r="C434" s="138"/>
      <c r="D434" s="138"/>
      <c r="E434" s="139"/>
      <c r="F434" s="154"/>
      <c r="G434" s="154" t="str">
        <f t="shared" si="1"/>
        <v/>
      </c>
      <c r="H434" s="138"/>
    </row>
    <row r="435" spans="1:8" x14ac:dyDescent="0.25">
      <c r="A435" s="137"/>
      <c r="B435" s="138"/>
      <c r="C435" s="138"/>
      <c r="D435" s="138"/>
      <c r="E435" s="139"/>
      <c r="F435" s="154"/>
      <c r="G435" s="154" t="str">
        <f t="shared" si="1"/>
        <v/>
      </c>
      <c r="H435" s="138"/>
    </row>
    <row r="436" spans="1:8" x14ac:dyDescent="0.25">
      <c r="A436" s="137"/>
      <c r="B436" s="138"/>
      <c r="C436" s="138"/>
      <c r="D436" s="138"/>
      <c r="E436" s="139"/>
      <c r="F436" s="154"/>
      <c r="G436" s="154" t="str">
        <f t="shared" si="1"/>
        <v/>
      </c>
      <c r="H436" s="138"/>
    </row>
    <row r="437" spans="1:8" x14ac:dyDescent="0.25">
      <c r="A437" s="137"/>
      <c r="B437" s="138"/>
      <c r="C437" s="138"/>
      <c r="D437" s="138"/>
      <c r="E437" s="139"/>
      <c r="F437" s="154"/>
      <c r="G437" s="154" t="str">
        <f t="shared" si="1"/>
        <v/>
      </c>
      <c r="H437" s="138"/>
    </row>
    <row r="438" spans="1:8" x14ac:dyDescent="0.25">
      <c r="A438" s="137"/>
      <c r="B438" s="138"/>
      <c r="C438" s="138"/>
      <c r="D438" s="138"/>
      <c r="E438" s="139"/>
      <c r="F438" s="154"/>
      <c r="G438" s="154" t="str">
        <f t="shared" si="1"/>
        <v/>
      </c>
      <c r="H438" s="138"/>
    </row>
    <row r="439" spans="1:8" x14ac:dyDescent="0.25">
      <c r="A439" s="137"/>
      <c r="B439" s="138"/>
      <c r="C439" s="138"/>
      <c r="D439" s="138"/>
      <c r="E439" s="139"/>
      <c r="F439" s="154"/>
      <c r="G439" s="154" t="str">
        <f t="shared" si="1"/>
        <v/>
      </c>
      <c r="H439" s="138"/>
    </row>
    <row r="440" spans="1:8" x14ac:dyDescent="0.25">
      <c r="A440" s="137"/>
      <c r="B440" s="138"/>
      <c r="C440" s="138"/>
      <c r="D440" s="138"/>
      <c r="E440" s="139"/>
      <c r="F440" s="154"/>
      <c r="G440" s="154" t="str">
        <f t="shared" si="1"/>
        <v/>
      </c>
      <c r="H440" s="138"/>
    </row>
    <row r="441" spans="1:8" x14ac:dyDescent="0.25">
      <c r="A441" s="137"/>
      <c r="B441" s="138"/>
      <c r="C441" s="138"/>
      <c r="D441" s="138"/>
      <c r="E441" s="139"/>
      <c r="F441" s="154"/>
      <c r="G441" s="154" t="str">
        <f t="shared" si="1"/>
        <v/>
      </c>
      <c r="H441" s="138"/>
    </row>
    <row r="442" spans="1:8" x14ac:dyDescent="0.25">
      <c r="A442" s="137"/>
      <c r="B442" s="138"/>
      <c r="C442" s="138"/>
      <c r="D442" s="138"/>
      <c r="E442" s="139"/>
      <c r="F442" s="154"/>
      <c r="G442" s="154" t="str">
        <f t="shared" si="1"/>
        <v/>
      </c>
      <c r="H442" s="138"/>
    </row>
    <row r="443" spans="1:8" x14ac:dyDescent="0.25">
      <c r="A443" s="137"/>
      <c r="B443" s="138"/>
      <c r="C443" s="138"/>
      <c r="D443" s="138"/>
      <c r="E443" s="139"/>
      <c r="F443" s="154"/>
      <c r="G443" s="154" t="str">
        <f t="shared" si="1"/>
        <v/>
      </c>
      <c r="H443" s="138"/>
    </row>
    <row r="444" spans="1:8" x14ac:dyDescent="0.25">
      <c r="A444" s="137"/>
      <c r="B444" s="138"/>
      <c r="C444" s="138"/>
      <c r="D444" s="138"/>
      <c r="E444" s="139"/>
      <c r="F444" s="154"/>
      <c r="G444" s="154" t="str">
        <f t="shared" si="1"/>
        <v/>
      </c>
      <c r="H444" s="138"/>
    </row>
    <row r="445" spans="1:8" x14ac:dyDescent="0.25">
      <c r="A445" s="137"/>
      <c r="B445" s="138"/>
      <c r="C445" s="138"/>
      <c r="D445" s="138"/>
      <c r="E445" s="139"/>
      <c r="F445" s="154"/>
      <c r="G445" s="154" t="str">
        <f t="shared" si="1"/>
        <v/>
      </c>
      <c r="H445" s="138"/>
    </row>
    <row r="446" spans="1:8" x14ac:dyDescent="0.25">
      <c r="A446" s="137"/>
      <c r="B446" s="138"/>
      <c r="C446" s="138"/>
      <c r="D446" s="138"/>
      <c r="E446" s="139"/>
      <c r="F446" s="154"/>
      <c r="G446" s="154" t="str">
        <f t="shared" si="1"/>
        <v/>
      </c>
      <c r="H446" s="138"/>
    </row>
    <row r="447" spans="1:8" x14ac:dyDescent="0.25">
      <c r="A447" s="137"/>
      <c r="B447" s="138"/>
      <c r="C447" s="138"/>
      <c r="D447" s="138"/>
      <c r="E447" s="139"/>
      <c r="F447" s="154"/>
      <c r="G447" s="154" t="str">
        <f t="shared" si="1"/>
        <v/>
      </c>
      <c r="H447" s="138"/>
    </row>
    <row r="448" spans="1:8" x14ac:dyDescent="0.25">
      <c r="A448" s="137"/>
      <c r="B448" s="138"/>
      <c r="C448" s="138"/>
      <c r="D448" s="138"/>
      <c r="E448" s="139"/>
      <c r="F448" s="154"/>
      <c r="G448" s="154" t="str">
        <f t="shared" si="1"/>
        <v/>
      </c>
      <c r="H448" s="138"/>
    </row>
    <row r="449" spans="1:8" x14ac:dyDescent="0.25">
      <c r="A449" s="137"/>
      <c r="B449" s="138"/>
      <c r="C449" s="138"/>
      <c r="D449" s="138"/>
      <c r="E449" s="139"/>
      <c r="F449" s="154"/>
      <c r="G449" s="154" t="str">
        <f t="shared" ref="G449:G512" si="2">IF(AND(ISNUMBER(E449), ISNUMBER(F449), E449&gt;0, F449&gt;0), ROUND(E449*F449, 2), IF(ISNUMBER(F449), F449, ""))</f>
        <v/>
      </c>
      <c r="H449" s="138"/>
    </row>
    <row r="450" spans="1:8" x14ac:dyDescent="0.25">
      <c r="A450" s="137"/>
      <c r="B450" s="138"/>
      <c r="C450" s="138"/>
      <c r="D450" s="138"/>
      <c r="E450" s="139"/>
      <c r="F450" s="154"/>
      <c r="G450" s="154" t="str">
        <f t="shared" si="2"/>
        <v/>
      </c>
      <c r="H450" s="138"/>
    </row>
    <row r="451" spans="1:8" x14ac:dyDescent="0.25">
      <c r="A451" s="137"/>
      <c r="B451" s="138"/>
      <c r="C451" s="138"/>
      <c r="D451" s="138"/>
      <c r="E451" s="139"/>
      <c r="F451" s="154"/>
      <c r="G451" s="154" t="str">
        <f t="shared" si="2"/>
        <v/>
      </c>
      <c r="H451" s="138"/>
    </row>
    <row r="452" spans="1:8" x14ac:dyDescent="0.25">
      <c r="A452" s="137"/>
      <c r="B452" s="138"/>
      <c r="C452" s="138"/>
      <c r="D452" s="138"/>
      <c r="E452" s="139"/>
      <c r="F452" s="154"/>
      <c r="G452" s="154" t="str">
        <f t="shared" si="2"/>
        <v/>
      </c>
      <c r="H452" s="138"/>
    </row>
    <row r="453" spans="1:8" x14ac:dyDescent="0.25">
      <c r="A453" s="137"/>
      <c r="B453" s="138"/>
      <c r="C453" s="138"/>
      <c r="D453" s="138"/>
      <c r="E453" s="139"/>
      <c r="F453" s="154"/>
      <c r="G453" s="154" t="str">
        <f t="shared" si="2"/>
        <v/>
      </c>
      <c r="H453" s="138"/>
    </row>
    <row r="454" spans="1:8" x14ac:dyDescent="0.25">
      <c r="A454" s="137"/>
      <c r="B454" s="138"/>
      <c r="C454" s="138"/>
      <c r="D454" s="138"/>
      <c r="E454" s="139"/>
      <c r="F454" s="154"/>
      <c r="G454" s="154" t="str">
        <f t="shared" si="2"/>
        <v/>
      </c>
      <c r="H454" s="138"/>
    </row>
    <row r="455" spans="1:8" x14ac:dyDescent="0.25">
      <c r="A455" s="137"/>
      <c r="B455" s="138"/>
      <c r="C455" s="138"/>
      <c r="D455" s="138"/>
      <c r="E455" s="139"/>
      <c r="F455" s="154"/>
      <c r="G455" s="154" t="str">
        <f t="shared" si="2"/>
        <v/>
      </c>
      <c r="H455" s="138"/>
    </row>
    <row r="456" spans="1:8" x14ac:dyDescent="0.25">
      <c r="A456" s="137"/>
      <c r="B456" s="138"/>
      <c r="C456" s="138"/>
      <c r="D456" s="138"/>
      <c r="E456" s="139"/>
      <c r="F456" s="154"/>
      <c r="G456" s="154" t="str">
        <f t="shared" si="2"/>
        <v/>
      </c>
      <c r="H456" s="138"/>
    </row>
    <row r="457" spans="1:8" x14ac:dyDescent="0.25">
      <c r="A457" s="137"/>
      <c r="B457" s="138"/>
      <c r="C457" s="138"/>
      <c r="D457" s="138"/>
      <c r="E457" s="139"/>
      <c r="F457" s="154"/>
      <c r="G457" s="154" t="str">
        <f t="shared" si="2"/>
        <v/>
      </c>
      <c r="H457" s="138"/>
    </row>
    <row r="458" spans="1:8" x14ac:dyDescent="0.25">
      <c r="A458" s="137"/>
      <c r="B458" s="138"/>
      <c r="C458" s="138"/>
      <c r="D458" s="138"/>
      <c r="E458" s="139"/>
      <c r="F458" s="154"/>
      <c r="G458" s="154" t="str">
        <f t="shared" si="2"/>
        <v/>
      </c>
      <c r="H458" s="138"/>
    </row>
    <row r="459" spans="1:8" x14ac:dyDescent="0.25">
      <c r="A459" s="137"/>
      <c r="B459" s="138"/>
      <c r="C459" s="138"/>
      <c r="D459" s="138"/>
      <c r="E459" s="139"/>
      <c r="F459" s="154"/>
      <c r="G459" s="154" t="str">
        <f t="shared" si="2"/>
        <v/>
      </c>
      <c r="H459" s="138"/>
    </row>
    <row r="460" spans="1:8" x14ac:dyDescent="0.25">
      <c r="A460" s="137"/>
      <c r="B460" s="138"/>
      <c r="C460" s="138"/>
      <c r="D460" s="138"/>
      <c r="E460" s="139"/>
      <c r="F460" s="154"/>
      <c r="G460" s="154" t="str">
        <f t="shared" si="2"/>
        <v/>
      </c>
      <c r="H460" s="138"/>
    </row>
    <row r="461" spans="1:8" x14ac:dyDescent="0.25">
      <c r="A461" s="137"/>
      <c r="B461" s="138"/>
      <c r="C461" s="138"/>
      <c r="D461" s="138"/>
      <c r="E461" s="139"/>
      <c r="F461" s="154"/>
      <c r="G461" s="154" t="str">
        <f t="shared" si="2"/>
        <v/>
      </c>
      <c r="H461" s="138"/>
    </row>
    <row r="462" spans="1:8" x14ac:dyDescent="0.25">
      <c r="A462" s="137"/>
      <c r="B462" s="138"/>
      <c r="C462" s="138"/>
      <c r="D462" s="138"/>
      <c r="E462" s="139"/>
      <c r="F462" s="154"/>
      <c r="G462" s="154" t="str">
        <f t="shared" si="2"/>
        <v/>
      </c>
      <c r="H462" s="138"/>
    </row>
    <row r="463" spans="1:8" x14ac:dyDescent="0.25">
      <c r="A463" s="137"/>
      <c r="B463" s="138"/>
      <c r="C463" s="138"/>
      <c r="D463" s="138"/>
      <c r="E463" s="139"/>
      <c r="F463" s="154"/>
      <c r="G463" s="154" t="str">
        <f t="shared" si="2"/>
        <v/>
      </c>
      <c r="H463" s="138"/>
    </row>
    <row r="464" spans="1:8" x14ac:dyDescent="0.25">
      <c r="A464" s="137"/>
      <c r="B464" s="138"/>
      <c r="C464" s="138"/>
      <c r="D464" s="138"/>
      <c r="E464" s="139"/>
      <c r="F464" s="154"/>
      <c r="G464" s="154" t="str">
        <f t="shared" si="2"/>
        <v/>
      </c>
      <c r="H464" s="138"/>
    </row>
    <row r="465" spans="1:8" x14ac:dyDescent="0.25">
      <c r="A465" s="137"/>
      <c r="B465" s="138"/>
      <c r="C465" s="138"/>
      <c r="D465" s="138"/>
      <c r="E465" s="139"/>
      <c r="F465" s="154"/>
      <c r="G465" s="154" t="str">
        <f t="shared" si="2"/>
        <v/>
      </c>
      <c r="H465" s="138"/>
    </row>
    <row r="466" spans="1:8" x14ac:dyDescent="0.25">
      <c r="A466" s="137"/>
      <c r="B466" s="138"/>
      <c r="C466" s="138"/>
      <c r="D466" s="138"/>
      <c r="E466" s="139"/>
      <c r="F466" s="154"/>
      <c r="G466" s="154" t="str">
        <f t="shared" si="2"/>
        <v/>
      </c>
      <c r="H466" s="138"/>
    </row>
    <row r="467" spans="1:8" x14ac:dyDescent="0.25">
      <c r="A467" s="137"/>
      <c r="B467" s="138"/>
      <c r="C467" s="138"/>
      <c r="D467" s="138"/>
      <c r="E467" s="139"/>
      <c r="F467" s="154"/>
      <c r="G467" s="154" t="str">
        <f t="shared" si="2"/>
        <v/>
      </c>
      <c r="H467" s="138"/>
    </row>
    <row r="468" spans="1:8" x14ac:dyDescent="0.25">
      <c r="A468" s="137"/>
      <c r="B468" s="138"/>
      <c r="C468" s="138"/>
      <c r="D468" s="138"/>
      <c r="E468" s="139"/>
      <c r="F468" s="154"/>
      <c r="G468" s="154" t="str">
        <f t="shared" si="2"/>
        <v/>
      </c>
      <c r="H468" s="138"/>
    </row>
    <row r="469" spans="1:8" x14ac:dyDescent="0.25">
      <c r="A469" s="137"/>
      <c r="B469" s="138"/>
      <c r="C469" s="138"/>
      <c r="D469" s="138"/>
      <c r="E469" s="139"/>
      <c r="F469" s="154"/>
      <c r="G469" s="154" t="str">
        <f t="shared" si="2"/>
        <v/>
      </c>
      <c r="H469" s="138"/>
    </row>
    <row r="470" spans="1:8" x14ac:dyDescent="0.25">
      <c r="A470" s="137"/>
      <c r="B470" s="138"/>
      <c r="C470" s="138"/>
      <c r="D470" s="138"/>
      <c r="E470" s="139"/>
      <c r="F470" s="154"/>
      <c r="G470" s="154" t="str">
        <f t="shared" si="2"/>
        <v/>
      </c>
      <c r="H470" s="138"/>
    </row>
    <row r="471" spans="1:8" x14ac:dyDescent="0.25">
      <c r="A471" s="137"/>
      <c r="B471" s="138"/>
      <c r="C471" s="138"/>
      <c r="D471" s="138"/>
      <c r="E471" s="139"/>
      <c r="F471" s="154"/>
      <c r="G471" s="154" t="str">
        <f t="shared" si="2"/>
        <v/>
      </c>
      <c r="H471" s="138"/>
    </row>
    <row r="472" spans="1:8" x14ac:dyDescent="0.25">
      <c r="A472" s="137"/>
      <c r="B472" s="138"/>
      <c r="C472" s="138"/>
      <c r="D472" s="138"/>
      <c r="E472" s="139"/>
      <c r="F472" s="154"/>
      <c r="G472" s="154" t="str">
        <f t="shared" si="2"/>
        <v/>
      </c>
      <c r="H472" s="138"/>
    </row>
    <row r="473" spans="1:8" x14ac:dyDescent="0.25">
      <c r="A473" s="137"/>
      <c r="B473" s="138"/>
      <c r="C473" s="138"/>
      <c r="D473" s="138"/>
      <c r="E473" s="139"/>
      <c r="F473" s="154"/>
      <c r="G473" s="154" t="str">
        <f t="shared" si="2"/>
        <v/>
      </c>
      <c r="H473" s="138"/>
    </row>
    <row r="474" spans="1:8" x14ac:dyDescent="0.25">
      <c r="A474" s="137"/>
      <c r="B474" s="138"/>
      <c r="C474" s="138"/>
      <c r="D474" s="138"/>
      <c r="E474" s="139"/>
      <c r="F474" s="154"/>
      <c r="G474" s="154" t="str">
        <f t="shared" si="2"/>
        <v/>
      </c>
      <c r="H474" s="138"/>
    </row>
    <row r="475" spans="1:8" x14ac:dyDescent="0.25">
      <c r="A475" s="137"/>
      <c r="B475" s="138"/>
      <c r="C475" s="138"/>
      <c r="D475" s="138"/>
      <c r="E475" s="139"/>
      <c r="F475" s="154"/>
      <c r="G475" s="154" t="str">
        <f t="shared" si="2"/>
        <v/>
      </c>
      <c r="H475" s="138"/>
    </row>
    <row r="476" spans="1:8" x14ac:dyDescent="0.25">
      <c r="A476" s="137"/>
      <c r="B476" s="138"/>
      <c r="C476" s="138"/>
      <c r="D476" s="138"/>
      <c r="E476" s="139"/>
      <c r="F476" s="154"/>
      <c r="G476" s="154" t="str">
        <f t="shared" si="2"/>
        <v/>
      </c>
      <c r="H476" s="138"/>
    </row>
    <row r="477" spans="1:8" x14ac:dyDescent="0.25">
      <c r="A477" s="137"/>
      <c r="B477" s="138"/>
      <c r="C477" s="138"/>
      <c r="D477" s="138"/>
      <c r="E477" s="139"/>
      <c r="F477" s="154"/>
      <c r="G477" s="154" t="str">
        <f t="shared" si="2"/>
        <v/>
      </c>
      <c r="H477" s="138"/>
    </row>
    <row r="478" spans="1:8" x14ac:dyDescent="0.25">
      <c r="A478" s="137"/>
      <c r="B478" s="138"/>
      <c r="C478" s="138"/>
      <c r="D478" s="138"/>
      <c r="E478" s="139"/>
      <c r="F478" s="154"/>
      <c r="G478" s="154" t="str">
        <f t="shared" si="2"/>
        <v/>
      </c>
      <c r="H478" s="138"/>
    </row>
    <row r="479" spans="1:8" x14ac:dyDescent="0.25">
      <c r="A479" s="137"/>
      <c r="B479" s="138"/>
      <c r="C479" s="138"/>
      <c r="D479" s="138"/>
      <c r="E479" s="139"/>
      <c r="F479" s="154"/>
      <c r="G479" s="154" t="str">
        <f t="shared" si="2"/>
        <v/>
      </c>
      <c r="H479" s="138"/>
    </row>
    <row r="480" spans="1:8" x14ac:dyDescent="0.25">
      <c r="A480" s="137"/>
      <c r="B480" s="138"/>
      <c r="C480" s="138"/>
      <c r="D480" s="138"/>
      <c r="E480" s="139"/>
      <c r="F480" s="154"/>
      <c r="G480" s="154" t="str">
        <f t="shared" si="2"/>
        <v/>
      </c>
      <c r="H480" s="138"/>
    </row>
    <row r="481" spans="1:8" x14ac:dyDescent="0.25">
      <c r="A481" s="137"/>
      <c r="B481" s="138"/>
      <c r="C481" s="138"/>
      <c r="D481" s="138"/>
      <c r="E481" s="139"/>
      <c r="F481" s="154"/>
      <c r="G481" s="154" t="str">
        <f t="shared" si="2"/>
        <v/>
      </c>
      <c r="H481" s="138"/>
    </row>
    <row r="482" spans="1:8" x14ac:dyDescent="0.25">
      <c r="A482" s="137"/>
      <c r="B482" s="138"/>
      <c r="C482" s="138"/>
      <c r="D482" s="138"/>
      <c r="E482" s="139"/>
      <c r="F482" s="154"/>
      <c r="G482" s="154" t="str">
        <f t="shared" si="2"/>
        <v/>
      </c>
      <c r="H482" s="138"/>
    </row>
    <row r="483" spans="1:8" x14ac:dyDescent="0.25">
      <c r="A483" s="137"/>
      <c r="B483" s="138"/>
      <c r="C483" s="138"/>
      <c r="D483" s="138"/>
      <c r="E483" s="139"/>
      <c r="F483" s="154"/>
      <c r="G483" s="154" t="str">
        <f t="shared" si="2"/>
        <v/>
      </c>
      <c r="H483" s="138"/>
    </row>
    <row r="484" spans="1:8" x14ac:dyDescent="0.25">
      <c r="A484" s="137"/>
      <c r="B484" s="138"/>
      <c r="C484" s="138"/>
      <c r="D484" s="138"/>
      <c r="E484" s="139"/>
      <c r="F484" s="154"/>
      <c r="G484" s="154" t="str">
        <f t="shared" si="2"/>
        <v/>
      </c>
      <c r="H484" s="138"/>
    </row>
    <row r="485" spans="1:8" x14ac:dyDescent="0.25">
      <c r="A485" s="137"/>
      <c r="B485" s="138"/>
      <c r="C485" s="138"/>
      <c r="D485" s="138"/>
      <c r="E485" s="139"/>
      <c r="F485" s="154"/>
      <c r="G485" s="154" t="str">
        <f t="shared" si="2"/>
        <v/>
      </c>
      <c r="H485" s="138"/>
    </row>
    <row r="486" spans="1:8" x14ac:dyDescent="0.25">
      <c r="A486" s="137"/>
      <c r="B486" s="138"/>
      <c r="C486" s="138"/>
      <c r="D486" s="138"/>
      <c r="E486" s="139"/>
      <c r="F486" s="154"/>
      <c r="G486" s="154" t="str">
        <f t="shared" si="2"/>
        <v/>
      </c>
      <c r="H486" s="138"/>
    </row>
    <row r="487" spans="1:8" x14ac:dyDescent="0.25">
      <c r="A487" s="137"/>
      <c r="B487" s="138"/>
      <c r="C487" s="138"/>
      <c r="D487" s="138"/>
      <c r="E487" s="139"/>
      <c r="F487" s="154"/>
      <c r="G487" s="154" t="str">
        <f t="shared" si="2"/>
        <v/>
      </c>
      <c r="H487" s="138"/>
    </row>
    <row r="488" spans="1:8" x14ac:dyDescent="0.25">
      <c r="A488" s="137"/>
      <c r="B488" s="138"/>
      <c r="C488" s="138"/>
      <c r="D488" s="138"/>
      <c r="E488" s="139"/>
      <c r="F488" s="154"/>
      <c r="G488" s="154" t="str">
        <f t="shared" si="2"/>
        <v/>
      </c>
      <c r="H488" s="138"/>
    </row>
    <row r="489" spans="1:8" x14ac:dyDescent="0.25">
      <c r="A489" s="137"/>
      <c r="B489" s="138"/>
      <c r="C489" s="138"/>
      <c r="D489" s="138"/>
      <c r="E489" s="139"/>
      <c r="F489" s="154"/>
      <c r="G489" s="154" t="str">
        <f t="shared" si="2"/>
        <v/>
      </c>
      <c r="H489" s="138"/>
    </row>
    <row r="490" spans="1:8" x14ac:dyDescent="0.25">
      <c r="A490" s="137"/>
      <c r="B490" s="138"/>
      <c r="C490" s="138"/>
      <c r="D490" s="138"/>
      <c r="E490" s="139"/>
      <c r="F490" s="154"/>
      <c r="G490" s="154" t="str">
        <f t="shared" si="2"/>
        <v/>
      </c>
      <c r="H490" s="138"/>
    </row>
    <row r="491" spans="1:8" x14ac:dyDescent="0.25">
      <c r="A491" s="137"/>
      <c r="B491" s="138"/>
      <c r="C491" s="138"/>
      <c r="D491" s="138"/>
      <c r="E491" s="139"/>
      <c r="F491" s="154"/>
      <c r="G491" s="154" t="str">
        <f t="shared" si="2"/>
        <v/>
      </c>
      <c r="H491" s="138"/>
    </row>
    <row r="492" spans="1:8" x14ac:dyDescent="0.25">
      <c r="A492" s="137"/>
      <c r="B492" s="138"/>
      <c r="C492" s="138"/>
      <c r="D492" s="138"/>
      <c r="E492" s="139"/>
      <c r="F492" s="154"/>
      <c r="G492" s="154" t="str">
        <f t="shared" si="2"/>
        <v/>
      </c>
      <c r="H492" s="138"/>
    </row>
    <row r="493" spans="1:8" x14ac:dyDescent="0.25">
      <c r="A493" s="137"/>
      <c r="B493" s="138"/>
      <c r="C493" s="138"/>
      <c r="D493" s="138"/>
      <c r="E493" s="139"/>
      <c r="F493" s="154"/>
      <c r="G493" s="154" t="str">
        <f t="shared" si="2"/>
        <v/>
      </c>
      <c r="H493" s="138"/>
    </row>
    <row r="494" spans="1:8" x14ac:dyDescent="0.25">
      <c r="A494" s="137"/>
      <c r="B494" s="138"/>
      <c r="C494" s="138"/>
      <c r="D494" s="138"/>
      <c r="E494" s="139"/>
      <c r="F494" s="154"/>
      <c r="G494" s="154" t="str">
        <f t="shared" si="2"/>
        <v/>
      </c>
      <c r="H494" s="138"/>
    </row>
    <row r="495" spans="1:8" x14ac:dyDescent="0.25">
      <c r="A495" s="137"/>
      <c r="B495" s="138"/>
      <c r="C495" s="138"/>
      <c r="D495" s="138"/>
      <c r="E495" s="139"/>
      <c r="F495" s="154"/>
      <c r="G495" s="154" t="str">
        <f t="shared" si="2"/>
        <v/>
      </c>
      <c r="H495" s="138"/>
    </row>
    <row r="496" spans="1:8" x14ac:dyDescent="0.25">
      <c r="A496" s="137"/>
      <c r="B496" s="138"/>
      <c r="C496" s="138"/>
      <c r="D496" s="138"/>
      <c r="E496" s="139"/>
      <c r="F496" s="154"/>
      <c r="G496" s="154" t="str">
        <f t="shared" si="2"/>
        <v/>
      </c>
      <c r="H496" s="138"/>
    </row>
    <row r="497" spans="1:8" x14ac:dyDescent="0.25">
      <c r="A497" s="137"/>
      <c r="B497" s="138"/>
      <c r="C497" s="138"/>
      <c r="D497" s="138"/>
      <c r="E497" s="139"/>
      <c r="F497" s="154"/>
      <c r="G497" s="154" t="str">
        <f t="shared" si="2"/>
        <v/>
      </c>
      <c r="H497" s="138"/>
    </row>
    <row r="498" spans="1:8" x14ac:dyDescent="0.25">
      <c r="A498" s="137"/>
      <c r="B498" s="138"/>
      <c r="C498" s="138"/>
      <c r="D498" s="138"/>
      <c r="E498" s="139"/>
      <c r="F498" s="154"/>
      <c r="G498" s="154" t="str">
        <f t="shared" si="2"/>
        <v/>
      </c>
      <c r="H498" s="138"/>
    </row>
    <row r="499" spans="1:8" x14ac:dyDescent="0.25">
      <c r="A499" s="137"/>
      <c r="B499" s="138"/>
      <c r="C499" s="138"/>
      <c r="D499" s="138"/>
      <c r="E499" s="139"/>
      <c r="F499" s="154"/>
      <c r="G499" s="154" t="str">
        <f t="shared" si="2"/>
        <v/>
      </c>
      <c r="H499" s="138"/>
    </row>
    <row r="500" spans="1:8" x14ac:dyDescent="0.25">
      <c r="A500" s="137"/>
      <c r="B500" s="138"/>
      <c r="C500" s="138"/>
      <c r="D500" s="138"/>
      <c r="E500" s="139"/>
      <c r="F500" s="154"/>
      <c r="G500" s="154" t="str">
        <f t="shared" si="2"/>
        <v/>
      </c>
      <c r="H500" s="138"/>
    </row>
    <row r="501" spans="1:8" x14ac:dyDescent="0.25">
      <c r="A501" s="137"/>
      <c r="B501" s="138"/>
      <c r="C501" s="138"/>
      <c r="D501" s="138"/>
      <c r="E501" s="139"/>
      <c r="F501" s="154"/>
      <c r="G501" s="154" t="str">
        <f t="shared" si="2"/>
        <v/>
      </c>
      <c r="H501" s="138"/>
    </row>
    <row r="502" spans="1:8" x14ac:dyDescent="0.25">
      <c r="A502" s="137"/>
      <c r="B502" s="138"/>
      <c r="C502" s="138"/>
      <c r="D502" s="138"/>
      <c r="E502" s="139"/>
      <c r="F502" s="154"/>
      <c r="G502" s="154" t="str">
        <f t="shared" si="2"/>
        <v/>
      </c>
      <c r="H502" s="138"/>
    </row>
    <row r="503" spans="1:8" x14ac:dyDescent="0.25">
      <c r="A503" s="137"/>
      <c r="B503" s="138"/>
      <c r="C503" s="138"/>
      <c r="D503" s="138"/>
      <c r="E503" s="139"/>
      <c r="F503" s="154"/>
      <c r="G503" s="154" t="str">
        <f t="shared" si="2"/>
        <v/>
      </c>
      <c r="H503" s="138"/>
    </row>
    <row r="504" spans="1:8" x14ac:dyDescent="0.25">
      <c r="A504" s="137"/>
      <c r="B504" s="138"/>
      <c r="C504" s="138"/>
      <c r="D504" s="138"/>
      <c r="E504" s="139"/>
      <c r="F504" s="154"/>
      <c r="G504" s="154" t="str">
        <f t="shared" si="2"/>
        <v/>
      </c>
      <c r="H504" s="138"/>
    </row>
    <row r="505" spans="1:8" x14ac:dyDescent="0.25">
      <c r="A505" s="137"/>
      <c r="B505" s="138"/>
      <c r="C505" s="138"/>
      <c r="D505" s="138"/>
      <c r="E505" s="139"/>
      <c r="F505" s="154"/>
      <c r="G505" s="154" t="str">
        <f t="shared" si="2"/>
        <v/>
      </c>
      <c r="H505" s="138"/>
    </row>
    <row r="506" spans="1:8" x14ac:dyDescent="0.25">
      <c r="A506" s="137"/>
      <c r="B506" s="138"/>
      <c r="C506" s="138"/>
      <c r="D506" s="138"/>
      <c r="E506" s="139"/>
      <c r="F506" s="154"/>
      <c r="G506" s="154" t="str">
        <f t="shared" si="2"/>
        <v/>
      </c>
      <c r="H506" s="138"/>
    </row>
    <row r="507" spans="1:8" x14ac:dyDescent="0.25">
      <c r="A507" s="137"/>
      <c r="B507" s="138"/>
      <c r="C507" s="138"/>
      <c r="D507" s="138"/>
      <c r="E507" s="139"/>
      <c r="F507" s="154"/>
      <c r="G507" s="154" t="str">
        <f t="shared" si="2"/>
        <v/>
      </c>
      <c r="H507" s="138"/>
    </row>
    <row r="508" spans="1:8" x14ac:dyDescent="0.25">
      <c r="A508" s="137"/>
      <c r="B508" s="138"/>
      <c r="C508" s="138"/>
      <c r="D508" s="138"/>
      <c r="E508" s="139"/>
      <c r="F508" s="154"/>
      <c r="G508" s="154" t="str">
        <f t="shared" si="2"/>
        <v/>
      </c>
      <c r="H508" s="138"/>
    </row>
    <row r="509" spans="1:8" x14ac:dyDescent="0.25">
      <c r="A509" s="137"/>
      <c r="B509" s="138"/>
      <c r="C509" s="138"/>
      <c r="D509" s="138"/>
      <c r="E509" s="139"/>
      <c r="F509" s="154"/>
      <c r="G509" s="154" t="str">
        <f t="shared" si="2"/>
        <v/>
      </c>
      <c r="H509" s="138"/>
    </row>
    <row r="510" spans="1:8" x14ac:dyDescent="0.25">
      <c r="A510" s="137"/>
      <c r="B510" s="138"/>
      <c r="C510" s="138"/>
      <c r="D510" s="138"/>
      <c r="E510" s="139"/>
      <c r="F510" s="154"/>
      <c r="G510" s="154" t="str">
        <f t="shared" si="2"/>
        <v/>
      </c>
      <c r="H510" s="138"/>
    </row>
    <row r="511" spans="1:8" x14ac:dyDescent="0.25">
      <c r="A511" s="137"/>
      <c r="B511" s="138"/>
      <c r="C511" s="138"/>
      <c r="D511" s="138"/>
      <c r="E511" s="139"/>
      <c r="F511" s="154"/>
      <c r="G511" s="154" t="str">
        <f t="shared" si="2"/>
        <v/>
      </c>
      <c r="H511" s="138"/>
    </row>
    <row r="512" spans="1:8" x14ac:dyDescent="0.25">
      <c r="A512" s="137"/>
      <c r="B512" s="138"/>
      <c r="C512" s="138"/>
      <c r="D512" s="138"/>
      <c r="E512" s="139"/>
      <c r="F512" s="154"/>
      <c r="G512" s="154" t="str">
        <f t="shared" si="2"/>
        <v/>
      </c>
      <c r="H512" s="138"/>
    </row>
    <row r="513" spans="1:8" x14ac:dyDescent="0.25">
      <c r="A513" s="137"/>
      <c r="B513" s="138"/>
      <c r="C513" s="138"/>
      <c r="D513" s="138"/>
      <c r="E513" s="139"/>
      <c r="F513" s="154"/>
      <c r="G513" s="154" t="str">
        <f t="shared" ref="G513:G576" si="3">IF(AND(ISNUMBER(E513), ISNUMBER(F513), E513&gt;0, F513&gt;0), ROUND(E513*F513, 2), IF(ISNUMBER(F513), F513, ""))</f>
        <v/>
      </c>
      <c r="H513" s="138"/>
    </row>
    <row r="514" spans="1:8" x14ac:dyDescent="0.25">
      <c r="A514" s="137"/>
      <c r="B514" s="138"/>
      <c r="C514" s="138"/>
      <c r="D514" s="138"/>
      <c r="E514" s="139"/>
      <c r="F514" s="154"/>
      <c r="G514" s="154" t="str">
        <f t="shared" si="3"/>
        <v/>
      </c>
      <c r="H514" s="138"/>
    </row>
    <row r="515" spans="1:8" x14ac:dyDescent="0.25">
      <c r="A515" s="137"/>
      <c r="B515" s="138"/>
      <c r="C515" s="138"/>
      <c r="D515" s="138"/>
      <c r="E515" s="139"/>
      <c r="F515" s="154"/>
      <c r="G515" s="154" t="str">
        <f t="shared" si="3"/>
        <v/>
      </c>
      <c r="H515" s="138"/>
    </row>
    <row r="516" spans="1:8" x14ac:dyDescent="0.25">
      <c r="A516" s="137"/>
      <c r="B516" s="138"/>
      <c r="C516" s="138"/>
      <c r="D516" s="138"/>
      <c r="E516" s="139"/>
      <c r="F516" s="154"/>
      <c r="G516" s="154" t="str">
        <f t="shared" si="3"/>
        <v/>
      </c>
      <c r="H516" s="138"/>
    </row>
    <row r="517" spans="1:8" x14ac:dyDescent="0.25">
      <c r="A517" s="137"/>
      <c r="B517" s="138"/>
      <c r="C517" s="138"/>
      <c r="D517" s="138"/>
      <c r="E517" s="139"/>
      <c r="F517" s="154"/>
      <c r="G517" s="154" t="str">
        <f t="shared" si="3"/>
        <v/>
      </c>
      <c r="H517" s="138"/>
    </row>
    <row r="518" spans="1:8" x14ac:dyDescent="0.25">
      <c r="A518" s="137"/>
      <c r="B518" s="138"/>
      <c r="C518" s="138"/>
      <c r="D518" s="138"/>
      <c r="E518" s="139"/>
      <c r="F518" s="154"/>
      <c r="G518" s="154" t="str">
        <f t="shared" si="3"/>
        <v/>
      </c>
      <c r="H518" s="138"/>
    </row>
    <row r="519" spans="1:8" x14ac:dyDescent="0.25">
      <c r="A519" s="137"/>
      <c r="B519" s="138"/>
      <c r="C519" s="138"/>
      <c r="D519" s="138"/>
      <c r="E519" s="139"/>
      <c r="F519" s="154"/>
      <c r="G519" s="154" t="str">
        <f t="shared" si="3"/>
        <v/>
      </c>
      <c r="H519" s="138"/>
    </row>
    <row r="520" spans="1:8" x14ac:dyDescent="0.25">
      <c r="A520" s="137"/>
      <c r="B520" s="138"/>
      <c r="C520" s="138"/>
      <c r="D520" s="138"/>
      <c r="E520" s="139"/>
      <c r="F520" s="154"/>
      <c r="G520" s="154" t="str">
        <f t="shared" si="3"/>
        <v/>
      </c>
      <c r="H520" s="138"/>
    </row>
    <row r="521" spans="1:8" x14ac:dyDescent="0.25">
      <c r="A521" s="137"/>
      <c r="B521" s="138"/>
      <c r="C521" s="138"/>
      <c r="D521" s="138"/>
      <c r="E521" s="139"/>
      <c r="F521" s="154"/>
      <c r="G521" s="154" t="str">
        <f t="shared" si="3"/>
        <v/>
      </c>
      <c r="H521" s="138"/>
    </row>
    <row r="522" spans="1:8" x14ac:dyDescent="0.25">
      <c r="A522" s="137"/>
      <c r="B522" s="138"/>
      <c r="C522" s="138"/>
      <c r="D522" s="138"/>
      <c r="E522" s="139"/>
      <c r="F522" s="154"/>
      <c r="G522" s="154" t="str">
        <f t="shared" si="3"/>
        <v/>
      </c>
      <c r="H522" s="138"/>
    </row>
    <row r="523" spans="1:8" x14ac:dyDescent="0.25">
      <c r="A523" s="137"/>
      <c r="B523" s="138"/>
      <c r="C523" s="138"/>
      <c r="D523" s="138"/>
      <c r="E523" s="139"/>
      <c r="F523" s="154"/>
      <c r="G523" s="154" t="str">
        <f t="shared" si="3"/>
        <v/>
      </c>
      <c r="H523" s="138"/>
    </row>
    <row r="524" spans="1:8" x14ac:dyDescent="0.25">
      <c r="A524" s="137"/>
      <c r="B524" s="138"/>
      <c r="C524" s="138"/>
      <c r="D524" s="138"/>
      <c r="E524" s="139"/>
      <c r="F524" s="154"/>
      <c r="G524" s="154" t="str">
        <f t="shared" si="3"/>
        <v/>
      </c>
      <c r="H524" s="138"/>
    </row>
    <row r="525" spans="1:8" x14ac:dyDescent="0.25">
      <c r="A525" s="137"/>
      <c r="B525" s="138"/>
      <c r="C525" s="138"/>
      <c r="D525" s="138"/>
      <c r="E525" s="139"/>
      <c r="F525" s="154"/>
      <c r="G525" s="154" t="str">
        <f t="shared" si="3"/>
        <v/>
      </c>
      <c r="H525" s="138"/>
    </row>
    <row r="526" spans="1:8" x14ac:dyDescent="0.25">
      <c r="A526" s="137"/>
      <c r="B526" s="138"/>
      <c r="C526" s="138"/>
      <c r="D526" s="138"/>
      <c r="E526" s="139"/>
      <c r="F526" s="154"/>
      <c r="G526" s="154" t="str">
        <f t="shared" si="3"/>
        <v/>
      </c>
      <c r="H526" s="138"/>
    </row>
    <row r="527" spans="1:8" x14ac:dyDescent="0.25">
      <c r="A527" s="137"/>
      <c r="B527" s="138"/>
      <c r="C527" s="138"/>
      <c r="D527" s="138"/>
      <c r="E527" s="139"/>
      <c r="F527" s="154"/>
      <c r="G527" s="154" t="str">
        <f t="shared" si="3"/>
        <v/>
      </c>
      <c r="H527" s="138"/>
    </row>
    <row r="528" spans="1:8" x14ac:dyDescent="0.25">
      <c r="A528" s="137"/>
      <c r="B528" s="138"/>
      <c r="C528" s="138"/>
      <c r="D528" s="138"/>
      <c r="E528" s="139"/>
      <c r="F528" s="154"/>
      <c r="G528" s="154" t="str">
        <f t="shared" si="3"/>
        <v/>
      </c>
      <c r="H528" s="138"/>
    </row>
    <row r="529" spans="1:8" x14ac:dyDescent="0.25">
      <c r="A529" s="137"/>
      <c r="B529" s="138"/>
      <c r="C529" s="138"/>
      <c r="D529" s="138"/>
      <c r="E529" s="139"/>
      <c r="F529" s="154"/>
      <c r="G529" s="154" t="str">
        <f t="shared" si="3"/>
        <v/>
      </c>
      <c r="H529" s="138"/>
    </row>
    <row r="530" spans="1:8" x14ac:dyDescent="0.25">
      <c r="A530" s="137"/>
      <c r="B530" s="138"/>
      <c r="C530" s="138"/>
      <c r="D530" s="138"/>
      <c r="E530" s="139"/>
      <c r="F530" s="154"/>
      <c r="G530" s="154" t="str">
        <f t="shared" si="3"/>
        <v/>
      </c>
      <c r="H530" s="138"/>
    </row>
    <row r="531" spans="1:8" x14ac:dyDescent="0.25">
      <c r="A531" s="137"/>
      <c r="B531" s="138"/>
      <c r="C531" s="138"/>
      <c r="D531" s="138"/>
      <c r="E531" s="139"/>
      <c r="F531" s="154"/>
      <c r="G531" s="154" t="str">
        <f t="shared" si="3"/>
        <v/>
      </c>
      <c r="H531" s="138"/>
    </row>
    <row r="532" spans="1:8" x14ac:dyDescent="0.25">
      <c r="A532" s="137"/>
      <c r="B532" s="138"/>
      <c r="C532" s="138"/>
      <c r="D532" s="138"/>
      <c r="E532" s="139"/>
      <c r="F532" s="154"/>
      <c r="G532" s="154" t="str">
        <f t="shared" si="3"/>
        <v/>
      </c>
      <c r="H532" s="138"/>
    </row>
    <row r="533" spans="1:8" x14ac:dyDescent="0.25">
      <c r="A533" s="137"/>
      <c r="B533" s="138"/>
      <c r="C533" s="138"/>
      <c r="D533" s="138"/>
      <c r="E533" s="139"/>
      <c r="F533" s="154"/>
      <c r="G533" s="154" t="str">
        <f t="shared" si="3"/>
        <v/>
      </c>
      <c r="H533" s="138"/>
    </row>
    <row r="534" spans="1:8" x14ac:dyDescent="0.25">
      <c r="A534" s="137"/>
      <c r="B534" s="138"/>
      <c r="C534" s="138"/>
      <c r="D534" s="138"/>
      <c r="E534" s="139"/>
      <c r="F534" s="154"/>
      <c r="G534" s="154" t="str">
        <f t="shared" si="3"/>
        <v/>
      </c>
      <c r="H534" s="138"/>
    </row>
    <row r="535" spans="1:8" x14ac:dyDescent="0.25">
      <c r="A535" s="137"/>
      <c r="B535" s="138"/>
      <c r="C535" s="138"/>
      <c r="D535" s="138"/>
      <c r="E535" s="139"/>
      <c r="F535" s="154"/>
      <c r="G535" s="154" t="str">
        <f t="shared" si="3"/>
        <v/>
      </c>
      <c r="H535" s="138"/>
    </row>
    <row r="536" spans="1:8" x14ac:dyDescent="0.25">
      <c r="A536" s="137"/>
      <c r="B536" s="138"/>
      <c r="C536" s="138"/>
      <c r="D536" s="138"/>
      <c r="E536" s="139"/>
      <c r="F536" s="154"/>
      <c r="G536" s="154" t="str">
        <f t="shared" si="3"/>
        <v/>
      </c>
      <c r="H536" s="138"/>
    </row>
    <row r="537" spans="1:8" x14ac:dyDescent="0.25">
      <c r="A537" s="137"/>
      <c r="B537" s="138"/>
      <c r="C537" s="138"/>
      <c r="D537" s="138"/>
      <c r="E537" s="139"/>
      <c r="F537" s="154"/>
      <c r="G537" s="154" t="str">
        <f t="shared" si="3"/>
        <v/>
      </c>
      <c r="H537" s="138"/>
    </row>
    <row r="538" spans="1:8" x14ac:dyDescent="0.25">
      <c r="A538" s="137"/>
      <c r="B538" s="138"/>
      <c r="C538" s="138"/>
      <c r="D538" s="138"/>
      <c r="E538" s="139"/>
      <c r="F538" s="154"/>
      <c r="G538" s="154" t="str">
        <f t="shared" si="3"/>
        <v/>
      </c>
      <c r="H538" s="138"/>
    </row>
    <row r="539" spans="1:8" x14ac:dyDescent="0.25">
      <c r="A539" s="137"/>
      <c r="B539" s="138"/>
      <c r="C539" s="138"/>
      <c r="D539" s="138"/>
      <c r="E539" s="139"/>
      <c r="F539" s="154"/>
      <c r="G539" s="154" t="str">
        <f t="shared" si="3"/>
        <v/>
      </c>
      <c r="H539" s="138"/>
    </row>
    <row r="540" spans="1:8" x14ac:dyDescent="0.25">
      <c r="A540" s="137"/>
      <c r="B540" s="138"/>
      <c r="C540" s="138"/>
      <c r="D540" s="138"/>
      <c r="E540" s="139"/>
      <c r="F540" s="154"/>
      <c r="G540" s="154" t="str">
        <f t="shared" si="3"/>
        <v/>
      </c>
      <c r="H540" s="138"/>
    </row>
    <row r="541" spans="1:8" x14ac:dyDescent="0.25">
      <c r="A541" s="137"/>
      <c r="B541" s="138"/>
      <c r="C541" s="138"/>
      <c r="D541" s="138"/>
      <c r="E541" s="139"/>
      <c r="F541" s="154"/>
      <c r="G541" s="154" t="str">
        <f t="shared" si="3"/>
        <v/>
      </c>
      <c r="H541" s="138"/>
    </row>
    <row r="542" spans="1:8" x14ac:dyDescent="0.25">
      <c r="A542" s="137"/>
      <c r="B542" s="138"/>
      <c r="C542" s="138"/>
      <c r="D542" s="138"/>
      <c r="E542" s="139"/>
      <c r="F542" s="154"/>
      <c r="G542" s="154" t="str">
        <f t="shared" si="3"/>
        <v/>
      </c>
      <c r="H542" s="138"/>
    </row>
    <row r="543" spans="1:8" x14ac:dyDescent="0.25">
      <c r="A543" s="137"/>
      <c r="B543" s="138"/>
      <c r="C543" s="138"/>
      <c r="D543" s="138"/>
      <c r="E543" s="139"/>
      <c r="F543" s="154"/>
      <c r="G543" s="154" t="str">
        <f t="shared" si="3"/>
        <v/>
      </c>
      <c r="H543" s="138"/>
    </row>
    <row r="544" spans="1:8" x14ac:dyDescent="0.25">
      <c r="A544" s="137"/>
      <c r="B544" s="138"/>
      <c r="C544" s="138"/>
      <c r="D544" s="138"/>
      <c r="E544" s="139"/>
      <c r="F544" s="154"/>
      <c r="G544" s="154" t="str">
        <f t="shared" si="3"/>
        <v/>
      </c>
      <c r="H544" s="138"/>
    </row>
    <row r="545" spans="1:8" x14ac:dyDescent="0.25">
      <c r="A545" s="137"/>
      <c r="B545" s="138"/>
      <c r="C545" s="138"/>
      <c r="D545" s="138"/>
      <c r="E545" s="139"/>
      <c r="F545" s="154"/>
      <c r="G545" s="154" t="str">
        <f t="shared" si="3"/>
        <v/>
      </c>
      <c r="H545" s="138"/>
    </row>
    <row r="546" spans="1:8" x14ac:dyDescent="0.25">
      <c r="A546" s="137"/>
      <c r="B546" s="138"/>
      <c r="C546" s="138"/>
      <c r="D546" s="138"/>
      <c r="E546" s="139"/>
      <c r="F546" s="154"/>
      <c r="G546" s="154" t="str">
        <f t="shared" si="3"/>
        <v/>
      </c>
      <c r="H546" s="138"/>
    </row>
    <row r="547" spans="1:8" x14ac:dyDescent="0.25">
      <c r="A547" s="137"/>
      <c r="B547" s="138"/>
      <c r="C547" s="138"/>
      <c r="D547" s="138"/>
      <c r="E547" s="139"/>
      <c r="F547" s="154"/>
      <c r="G547" s="154" t="str">
        <f t="shared" si="3"/>
        <v/>
      </c>
      <c r="H547" s="138"/>
    </row>
    <row r="548" spans="1:8" x14ac:dyDescent="0.25">
      <c r="A548" s="137"/>
      <c r="B548" s="138"/>
      <c r="C548" s="138"/>
      <c r="D548" s="138"/>
      <c r="E548" s="139"/>
      <c r="F548" s="154"/>
      <c r="G548" s="154" t="str">
        <f t="shared" si="3"/>
        <v/>
      </c>
      <c r="H548" s="138"/>
    </row>
    <row r="549" spans="1:8" x14ac:dyDescent="0.25">
      <c r="A549" s="137"/>
      <c r="B549" s="138"/>
      <c r="C549" s="138"/>
      <c r="D549" s="138"/>
      <c r="E549" s="139"/>
      <c r="F549" s="154"/>
      <c r="G549" s="154" t="str">
        <f t="shared" si="3"/>
        <v/>
      </c>
      <c r="H549" s="138"/>
    </row>
    <row r="550" spans="1:8" x14ac:dyDescent="0.25">
      <c r="A550" s="137"/>
      <c r="B550" s="138"/>
      <c r="C550" s="138"/>
      <c r="D550" s="138"/>
      <c r="E550" s="139"/>
      <c r="F550" s="154"/>
      <c r="G550" s="154" t="str">
        <f t="shared" si="3"/>
        <v/>
      </c>
      <c r="H550" s="138"/>
    </row>
    <row r="551" spans="1:8" x14ac:dyDescent="0.25">
      <c r="A551" s="137"/>
      <c r="B551" s="138"/>
      <c r="C551" s="138"/>
      <c r="D551" s="138"/>
      <c r="E551" s="139"/>
      <c r="F551" s="154"/>
      <c r="G551" s="154" t="str">
        <f t="shared" si="3"/>
        <v/>
      </c>
      <c r="H551" s="138"/>
    </row>
    <row r="552" spans="1:8" x14ac:dyDescent="0.25">
      <c r="A552" s="137"/>
      <c r="B552" s="138"/>
      <c r="C552" s="138"/>
      <c r="D552" s="138"/>
      <c r="E552" s="139"/>
      <c r="F552" s="154"/>
      <c r="G552" s="154" t="str">
        <f t="shared" si="3"/>
        <v/>
      </c>
      <c r="H552" s="138"/>
    </row>
    <row r="553" spans="1:8" x14ac:dyDescent="0.25">
      <c r="A553" s="137"/>
      <c r="B553" s="138"/>
      <c r="C553" s="138"/>
      <c r="D553" s="138"/>
      <c r="E553" s="139"/>
      <c r="F553" s="154"/>
      <c r="G553" s="154" t="str">
        <f t="shared" si="3"/>
        <v/>
      </c>
      <c r="H553" s="138"/>
    </row>
    <row r="554" spans="1:8" x14ac:dyDescent="0.25">
      <c r="A554" s="137"/>
      <c r="B554" s="138"/>
      <c r="C554" s="138"/>
      <c r="D554" s="138"/>
      <c r="E554" s="139"/>
      <c r="F554" s="154"/>
      <c r="G554" s="154" t="str">
        <f t="shared" si="3"/>
        <v/>
      </c>
      <c r="H554" s="138"/>
    </row>
    <row r="555" spans="1:8" x14ac:dyDescent="0.25">
      <c r="A555" s="137"/>
      <c r="B555" s="138"/>
      <c r="C555" s="138"/>
      <c r="D555" s="138"/>
      <c r="E555" s="139"/>
      <c r="F555" s="154"/>
      <c r="G555" s="154" t="str">
        <f t="shared" si="3"/>
        <v/>
      </c>
      <c r="H555" s="138"/>
    </row>
    <row r="556" spans="1:8" x14ac:dyDescent="0.25">
      <c r="A556" s="137"/>
      <c r="B556" s="138"/>
      <c r="C556" s="138"/>
      <c r="D556" s="138"/>
      <c r="E556" s="139"/>
      <c r="F556" s="154"/>
      <c r="G556" s="154" t="str">
        <f t="shared" si="3"/>
        <v/>
      </c>
      <c r="H556" s="138"/>
    </row>
    <row r="557" spans="1:8" x14ac:dyDescent="0.25">
      <c r="A557" s="137"/>
      <c r="B557" s="138"/>
      <c r="C557" s="138"/>
      <c r="D557" s="138"/>
      <c r="E557" s="139"/>
      <c r="F557" s="154"/>
      <c r="G557" s="154" t="str">
        <f t="shared" si="3"/>
        <v/>
      </c>
      <c r="H557" s="138"/>
    </row>
    <row r="558" spans="1:8" x14ac:dyDescent="0.25">
      <c r="A558" s="137"/>
      <c r="B558" s="138"/>
      <c r="C558" s="138"/>
      <c r="D558" s="138"/>
      <c r="E558" s="139"/>
      <c r="F558" s="154"/>
      <c r="G558" s="154" t="str">
        <f t="shared" si="3"/>
        <v/>
      </c>
      <c r="H558" s="138"/>
    </row>
    <row r="559" spans="1:8" x14ac:dyDescent="0.25">
      <c r="A559" s="137"/>
      <c r="B559" s="138"/>
      <c r="C559" s="138"/>
      <c r="D559" s="138"/>
      <c r="E559" s="139"/>
      <c r="F559" s="154"/>
      <c r="G559" s="154" t="str">
        <f t="shared" si="3"/>
        <v/>
      </c>
      <c r="H559" s="138"/>
    </row>
    <row r="560" spans="1:8" x14ac:dyDescent="0.25">
      <c r="A560" s="137"/>
      <c r="B560" s="138"/>
      <c r="C560" s="138"/>
      <c r="D560" s="138"/>
      <c r="E560" s="139"/>
      <c r="F560" s="154"/>
      <c r="G560" s="154" t="str">
        <f t="shared" si="3"/>
        <v/>
      </c>
      <c r="H560" s="138"/>
    </row>
    <row r="561" spans="1:8" x14ac:dyDescent="0.25">
      <c r="A561" s="137"/>
      <c r="B561" s="138"/>
      <c r="C561" s="138"/>
      <c r="D561" s="138"/>
      <c r="E561" s="139"/>
      <c r="F561" s="154"/>
      <c r="G561" s="154" t="str">
        <f t="shared" si="3"/>
        <v/>
      </c>
      <c r="H561" s="138"/>
    </row>
    <row r="562" spans="1:8" x14ac:dyDescent="0.25">
      <c r="A562" s="137"/>
      <c r="B562" s="138"/>
      <c r="C562" s="138"/>
      <c r="D562" s="138"/>
      <c r="E562" s="139"/>
      <c r="F562" s="154"/>
      <c r="G562" s="154" t="str">
        <f t="shared" si="3"/>
        <v/>
      </c>
      <c r="H562" s="138"/>
    </row>
    <row r="563" spans="1:8" x14ac:dyDescent="0.25">
      <c r="A563" s="137"/>
      <c r="B563" s="138"/>
      <c r="C563" s="138"/>
      <c r="D563" s="138"/>
      <c r="E563" s="139"/>
      <c r="F563" s="154"/>
      <c r="G563" s="154" t="str">
        <f t="shared" si="3"/>
        <v/>
      </c>
      <c r="H563" s="138"/>
    </row>
    <row r="564" spans="1:8" x14ac:dyDescent="0.25">
      <c r="A564" s="137"/>
      <c r="B564" s="138"/>
      <c r="C564" s="138"/>
      <c r="D564" s="138"/>
      <c r="E564" s="139"/>
      <c r="F564" s="154"/>
      <c r="G564" s="154" t="str">
        <f t="shared" si="3"/>
        <v/>
      </c>
      <c r="H564" s="138"/>
    </row>
    <row r="565" spans="1:8" x14ac:dyDescent="0.25">
      <c r="A565" s="137"/>
      <c r="B565" s="138"/>
      <c r="C565" s="138"/>
      <c r="D565" s="138"/>
      <c r="E565" s="139"/>
      <c r="F565" s="154"/>
      <c r="G565" s="154" t="str">
        <f t="shared" si="3"/>
        <v/>
      </c>
      <c r="H565" s="138"/>
    </row>
    <row r="566" spans="1:8" x14ac:dyDescent="0.25">
      <c r="A566" s="137"/>
      <c r="B566" s="138"/>
      <c r="C566" s="138"/>
      <c r="D566" s="138"/>
      <c r="E566" s="139"/>
      <c r="F566" s="154"/>
      <c r="G566" s="154" t="str">
        <f t="shared" si="3"/>
        <v/>
      </c>
      <c r="H566" s="138"/>
    </row>
    <row r="567" spans="1:8" x14ac:dyDescent="0.25">
      <c r="A567" s="137"/>
      <c r="B567" s="138"/>
      <c r="C567" s="138"/>
      <c r="D567" s="138"/>
      <c r="E567" s="139"/>
      <c r="F567" s="154"/>
      <c r="G567" s="154" t="str">
        <f t="shared" si="3"/>
        <v/>
      </c>
      <c r="H567" s="138"/>
    </row>
    <row r="568" spans="1:8" x14ac:dyDescent="0.25">
      <c r="A568" s="137"/>
      <c r="B568" s="138"/>
      <c r="C568" s="138"/>
      <c r="D568" s="138"/>
      <c r="E568" s="139"/>
      <c r="F568" s="154"/>
      <c r="G568" s="154" t="str">
        <f t="shared" si="3"/>
        <v/>
      </c>
      <c r="H568" s="138"/>
    </row>
    <row r="569" spans="1:8" x14ac:dyDescent="0.25">
      <c r="A569" s="137"/>
      <c r="B569" s="138"/>
      <c r="C569" s="138"/>
      <c r="D569" s="138"/>
      <c r="E569" s="139"/>
      <c r="F569" s="154"/>
      <c r="G569" s="154" t="str">
        <f t="shared" si="3"/>
        <v/>
      </c>
      <c r="H569" s="138"/>
    </row>
    <row r="570" spans="1:8" x14ac:dyDescent="0.25">
      <c r="A570" s="137"/>
      <c r="B570" s="138"/>
      <c r="C570" s="138"/>
      <c r="D570" s="138"/>
      <c r="E570" s="139"/>
      <c r="F570" s="154"/>
      <c r="G570" s="154" t="str">
        <f t="shared" si="3"/>
        <v/>
      </c>
      <c r="H570" s="138"/>
    </row>
    <row r="571" spans="1:8" x14ac:dyDescent="0.25">
      <c r="A571" s="137"/>
      <c r="B571" s="138"/>
      <c r="C571" s="138"/>
      <c r="D571" s="138"/>
      <c r="E571" s="139"/>
      <c r="F571" s="154"/>
      <c r="G571" s="154" t="str">
        <f t="shared" si="3"/>
        <v/>
      </c>
      <c r="H571" s="138"/>
    </row>
    <row r="572" spans="1:8" x14ac:dyDescent="0.25">
      <c r="A572" s="137"/>
      <c r="B572" s="138"/>
      <c r="C572" s="138"/>
      <c r="D572" s="138"/>
      <c r="E572" s="139"/>
      <c r="F572" s="154"/>
      <c r="G572" s="154" t="str">
        <f t="shared" si="3"/>
        <v/>
      </c>
      <c r="H572" s="138"/>
    </row>
    <row r="573" spans="1:8" x14ac:dyDescent="0.25">
      <c r="A573" s="137"/>
      <c r="B573" s="138"/>
      <c r="C573" s="138"/>
      <c r="D573" s="138"/>
      <c r="E573" s="139"/>
      <c r="F573" s="154"/>
      <c r="G573" s="154" t="str">
        <f t="shared" si="3"/>
        <v/>
      </c>
      <c r="H573" s="138"/>
    </row>
    <row r="574" spans="1:8" x14ac:dyDescent="0.25">
      <c r="A574" s="137"/>
      <c r="B574" s="138"/>
      <c r="C574" s="138"/>
      <c r="D574" s="138"/>
      <c r="E574" s="139"/>
      <c r="F574" s="154"/>
      <c r="G574" s="154" t="str">
        <f t="shared" si="3"/>
        <v/>
      </c>
      <c r="H574" s="138"/>
    </row>
    <row r="575" spans="1:8" x14ac:dyDescent="0.25">
      <c r="A575" s="137"/>
      <c r="B575" s="138"/>
      <c r="C575" s="138"/>
      <c r="D575" s="138"/>
      <c r="E575" s="139"/>
      <c r="F575" s="154"/>
      <c r="G575" s="154" t="str">
        <f t="shared" si="3"/>
        <v/>
      </c>
      <c r="H575" s="138"/>
    </row>
    <row r="576" spans="1:8" x14ac:dyDescent="0.25">
      <c r="A576" s="137"/>
      <c r="B576" s="138"/>
      <c r="C576" s="138"/>
      <c r="D576" s="138"/>
      <c r="E576" s="139"/>
      <c r="F576" s="154"/>
      <c r="G576" s="154" t="str">
        <f t="shared" si="3"/>
        <v/>
      </c>
      <c r="H576" s="138"/>
    </row>
    <row r="577" spans="1:8" x14ac:dyDescent="0.25">
      <c r="A577" s="137"/>
      <c r="B577" s="138"/>
      <c r="C577" s="138"/>
      <c r="D577" s="138"/>
      <c r="E577" s="139"/>
      <c r="F577" s="154"/>
      <c r="G577" s="154" t="str">
        <f t="shared" ref="G577:G640" si="4">IF(AND(ISNUMBER(E577), ISNUMBER(F577), E577&gt;0, F577&gt;0), ROUND(E577*F577, 2), IF(ISNUMBER(F577), F577, ""))</f>
        <v/>
      </c>
      <c r="H577" s="138"/>
    </row>
    <row r="578" spans="1:8" x14ac:dyDescent="0.25">
      <c r="A578" s="137"/>
      <c r="B578" s="138"/>
      <c r="C578" s="138"/>
      <c r="D578" s="138"/>
      <c r="E578" s="139"/>
      <c r="F578" s="154"/>
      <c r="G578" s="154" t="str">
        <f t="shared" si="4"/>
        <v/>
      </c>
      <c r="H578" s="138"/>
    </row>
    <row r="579" spans="1:8" x14ac:dyDescent="0.25">
      <c r="A579" s="137"/>
      <c r="B579" s="138"/>
      <c r="C579" s="138"/>
      <c r="D579" s="138"/>
      <c r="E579" s="139"/>
      <c r="F579" s="154"/>
      <c r="G579" s="154" t="str">
        <f t="shared" si="4"/>
        <v/>
      </c>
      <c r="H579" s="138"/>
    </row>
    <row r="580" spans="1:8" x14ac:dyDescent="0.25">
      <c r="A580" s="137"/>
      <c r="B580" s="138"/>
      <c r="C580" s="138"/>
      <c r="D580" s="138"/>
      <c r="E580" s="139"/>
      <c r="F580" s="154"/>
      <c r="G580" s="154" t="str">
        <f t="shared" si="4"/>
        <v/>
      </c>
      <c r="H580" s="138"/>
    </row>
    <row r="581" spans="1:8" x14ac:dyDescent="0.25">
      <c r="A581" s="137"/>
      <c r="B581" s="138"/>
      <c r="C581" s="138"/>
      <c r="D581" s="138"/>
      <c r="E581" s="139"/>
      <c r="F581" s="154"/>
      <c r="G581" s="154" t="str">
        <f t="shared" si="4"/>
        <v/>
      </c>
      <c r="H581" s="138"/>
    </row>
    <row r="582" spans="1:8" x14ac:dyDescent="0.25">
      <c r="A582" s="137"/>
      <c r="B582" s="138"/>
      <c r="C582" s="138"/>
      <c r="D582" s="138"/>
      <c r="E582" s="139"/>
      <c r="F582" s="154"/>
      <c r="G582" s="154" t="str">
        <f t="shared" si="4"/>
        <v/>
      </c>
      <c r="H582" s="138"/>
    </row>
    <row r="583" spans="1:8" x14ac:dyDescent="0.25">
      <c r="A583" s="137"/>
      <c r="B583" s="138"/>
      <c r="C583" s="138"/>
      <c r="D583" s="138"/>
      <c r="E583" s="139"/>
      <c r="F583" s="154"/>
      <c r="G583" s="154" t="str">
        <f t="shared" si="4"/>
        <v/>
      </c>
      <c r="H583" s="138"/>
    </row>
    <row r="584" spans="1:8" x14ac:dyDescent="0.25">
      <c r="A584" s="137"/>
      <c r="B584" s="138"/>
      <c r="C584" s="138"/>
      <c r="D584" s="138"/>
      <c r="E584" s="139"/>
      <c r="F584" s="154"/>
      <c r="G584" s="154" t="str">
        <f t="shared" si="4"/>
        <v/>
      </c>
      <c r="H584" s="138"/>
    </row>
    <row r="585" spans="1:8" x14ac:dyDescent="0.25">
      <c r="A585" s="137"/>
      <c r="B585" s="138"/>
      <c r="C585" s="138"/>
      <c r="D585" s="138"/>
      <c r="E585" s="139"/>
      <c r="F585" s="154"/>
      <c r="G585" s="154" t="str">
        <f t="shared" si="4"/>
        <v/>
      </c>
      <c r="H585" s="138"/>
    </row>
    <row r="586" spans="1:8" x14ac:dyDescent="0.25">
      <c r="A586" s="137"/>
      <c r="B586" s="138"/>
      <c r="C586" s="138"/>
      <c r="D586" s="138"/>
      <c r="E586" s="139"/>
      <c r="F586" s="154"/>
      <c r="G586" s="154" t="str">
        <f t="shared" si="4"/>
        <v/>
      </c>
      <c r="H586" s="138"/>
    </row>
    <row r="587" spans="1:8" x14ac:dyDescent="0.25">
      <c r="A587" s="137"/>
      <c r="B587" s="138"/>
      <c r="C587" s="138"/>
      <c r="D587" s="138"/>
      <c r="E587" s="139"/>
      <c r="F587" s="154"/>
      <c r="G587" s="154" t="str">
        <f t="shared" si="4"/>
        <v/>
      </c>
      <c r="H587" s="138"/>
    </row>
    <row r="588" spans="1:8" x14ac:dyDescent="0.25">
      <c r="A588" s="137"/>
      <c r="B588" s="138"/>
      <c r="C588" s="138"/>
      <c r="D588" s="138"/>
      <c r="E588" s="139"/>
      <c r="F588" s="154"/>
      <c r="G588" s="154" t="str">
        <f t="shared" si="4"/>
        <v/>
      </c>
      <c r="H588" s="138"/>
    </row>
    <row r="589" spans="1:8" x14ac:dyDescent="0.25">
      <c r="A589" s="137"/>
      <c r="B589" s="138"/>
      <c r="C589" s="138"/>
      <c r="D589" s="138"/>
      <c r="E589" s="139"/>
      <c r="F589" s="154"/>
      <c r="G589" s="154" t="str">
        <f t="shared" si="4"/>
        <v/>
      </c>
      <c r="H589" s="138"/>
    </row>
    <row r="590" spans="1:8" x14ac:dyDescent="0.25">
      <c r="A590" s="137"/>
      <c r="B590" s="138"/>
      <c r="C590" s="138"/>
      <c r="D590" s="138"/>
      <c r="E590" s="139"/>
      <c r="F590" s="154"/>
      <c r="G590" s="154" t="str">
        <f t="shared" si="4"/>
        <v/>
      </c>
      <c r="H590" s="138"/>
    </row>
    <row r="591" spans="1:8" x14ac:dyDescent="0.25">
      <c r="A591" s="137"/>
      <c r="B591" s="138"/>
      <c r="C591" s="138"/>
      <c r="D591" s="138"/>
      <c r="E591" s="139"/>
      <c r="F591" s="154"/>
      <c r="G591" s="154" t="str">
        <f t="shared" si="4"/>
        <v/>
      </c>
      <c r="H591" s="138"/>
    </row>
    <row r="592" spans="1:8" x14ac:dyDescent="0.25">
      <c r="A592" s="137"/>
      <c r="B592" s="138"/>
      <c r="C592" s="138"/>
      <c r="D592" s="138"/>
      <c r="E592" s="139"/>
      <c r="F592" s="154"/>
      <c r="G592" s="154" t="str">
        <f t="shared" si="4"/>
        <v/>
      </c>
      <c r="H592" s="138"/>
    </row>
    <row r="593" spans="1:8" x14ac:dyDescent="0.25">
      <c r="A593" s="137"/>
      <c r="B593" s="138"/>
      <c r="C593" s="138"/>
      <c r="D593" s="138"/>
      <c r="E593" s="139"/>
      <c r="F593" s="154"/>
      <c r="G593" s="154" t="str">
        <f t="shared" si="4"/>
        <v/>
      </c>
      <c r="H593" s="138"/>
    </row>
    <row r="594" spans="1:8" x14ac:dyDescent="0.25">
      <c r="A594" s="137"/>
      <c r="B594" s="138"/>
      <c r="C594" s="138"/>
      <c r="D594" s="138"/>
      <c r="E594" s="139"/>
      <c r="F594" s="154"/>
      <c r="G594" s="154" t="str">
        <f t="shared" si="4"/>
        <v/>
      </c>
      <c r="H594" s="138"/>
    </row>
    <row r="595" spans="1:8" x14ac:dyDescent="0.25">
      <c r="A595" s="137"/>
      <c r="B595" s="138"/>
      <c r="C595" s="138"/>
      <c r="D595" s="138"/>
      <c r="E595" s="139"/>
      <c r="F595" s="154"/>
      <c r="G595" s="154" t="str">
        <f t="shared" si="4"/>
        <v/>
      </c>
      <c r="H595" s="138"/>
    </row>
    <row r="596" spans="1:8" x14ac:dyDescent="0.25">
      <c r="A596" s="137"/>
      <c r="B596" s="138"/>
      <c r="C596" s="138"/>
      <c r="D596" s="138"/>
      <c r="E596" s="139"/>
      <c r="F596" s="154"/>
      <c r="G596" s="154" t="str">
        <f t="shared" si="4"/>
        <v/>
      </c>
      <c r="H596" s="138"/>
    </row>
    <row r="597" spans="1:8" x14ac:dyDescent="0.25">
      <c r="A597" s="137"/>
      <c r="B597" s="138"/>
      <c r="C597" s="138"/>
      <c r="D597" s="138"/>
      <c r="E597" s="139"/>
      <c r="F597" s="154"/>
      <c r="G597" s="154" t="str">
        <f t="shared" si="4"/>
        <v/>
      </c>
      <c r="H597" s="138"/>
    </row>
    <row r="598" spans="1:8" x14ac:dyDescent="0.25">
      <c r="A598" s="137"/>
      <c r="B598" s="138"/>
      <c r="C598" s="138"/>
      <c r="D598" s="138"/>
      <c r="E598" s="139"/>
      <c r="F598" s="154"/>
      <c r="G598" s="154" t="str">
        <f t="shared" si="4"/>
        <v/>
      </c>
      <c r="H598" s="138"/>
    </row>
    <row r="599" spans="1:8" x14ac:dyDescent="0.25">
      <c r="A599" s="137"/>
      <c r="B599" s="138"/>
      <c r="C599" s="138"/>
      <c r="D599" s="138"/>
      <c r="E599" s="139"/>
      <c r="F599" s="154"/>
      <c r="G599" s="154" t="str">
        <f t="shared" si="4"/>
        <v/>
      </c>
      <c r="H599" s="138"/>
    </row>
    <row r="600" spans="1:8" x14ac:dyDescent="0.25">
      <c r="A600" s="137"/>
      <c r="B600" s="138"/>
      <c r="C600" s="138"/>
      <c r="D600" s="138"/>
      <c r="E600" s="139"/>
      <c r="F600" s="154"/>
      <c r="G600" s="154" t="str">
        <f t="shared" si="4"/>
        <v/>
      </c>
      <c r="H600" s="138"/>
    </row>
    <row r="601" spans="1:8" x14ac:dyDescent="0.25">
      <c r="A601" s="137"/>
      <c r="B601" s="138"/>
      <c r="C601" s="138"/>
      <c r="D601" s="138"/>
      <c r="E601" s="139"/>
      <c r="F601" s="154"/>
      <c r="G601" s="154" t="str">
        <f t="shared" si="4"/>
        <v/>
      </c>
      <c r="H601" s="138"/>
    </row>
    <row r="602" spans="1:8" x14ac:dyDescent="0.25">
      <c r="A602" s="137"/>
      <c r="B602" s="138"/>
      <c r="C602" s="138"/>
      <c r="D602" s="138"/>
      <c r="E602" s="139"/>
      <c r="F602" s="154"/>
      <c r="G602" s="154" t="str">
        <f t="shared" si="4"/>
        <v/>
      </c>
      <c r="H602" s="138"/>
    </row>
    <row r="603" spans="1:8" x14ac:dyDescent="0.25">
      <c r="A603" s="137"/>
      <c r="B603" s="138"/>
      <c r="C603" s="138"/>
      <c r="D603" s="138"/>
      <c r="E603" s="139"/>
      <c r="F603" s="154"/>
      <c r="G603" s="154" t="str">
        <f t="shared" si="4"/>
        <v/>
      </c>
      <c r="H603" s="138"/>
    </row>
    <row r="604" spans="1:8" x14ac:dyDescent="0.25">
      <c r="A604" s="137"/>
      <c r="B604" s="138"/>
      <c r="C604" s="138"/>
      <c r="D604" s="138"/>
      <c r="E604" s="139"/>
      <c r="F604" s="154"/>
      <c r="G604" s="154" t="str">
        <f t="shared" si="4"/>
        <v/>
      </c>
      <c r="H604" s="138"/>
    </row>
    <row r="605" spans="1:8" x14ac:dyDescent="0.25">
      <c r="A605" s="137"/>
      <c r="B605" s="138"/>
      <c r="C605" s="138"/>
      <c r="D605" s="138"/>
      <c r="E605" s="139"/>
      <c r="F605" s="154"/>
      <c r="G605" s="154" t="str">
        <f t="shared" si="4"/>
        <v/>
      </c>
      <c r="H605" s="138"/>
    </row>
    <row r="606" spans="1:8" x14ac:dyDescent="0.25">
      <c r="A606" s="137"/>
      <c r="B606" s="138"/>
      <c r="C606" s="138"/>
      <c r="D606" s="138"/>
      <c r="E606" s="139"/>
      <c r="F606" s="154"/>
      <c r="G606" s="154" t="str">
        <f t="shared" si="4"/>
        <v/>
      </c>
      <c r="H606" s="138"/>
    </row>
    <row r="607" spans="1:8" x14ac:dyDescent="0.25">
      <c r="A607" s="137"/>
      <c r="B607" s="138"/>
      <c r="C607" s="138"/>
      <c r="D607" s="138"/>
      <c r="E607" s="139"/>
      <c r="F607" s="154"/>
      <c r="G607" s="154" t="str">
        <f t="shared" si="4"/>
        <v/>
      </c>
      <c r="H607" s="138"/>
    </row>
    <row r="608" spans="1:8" x14ac:dyDescent="0.25">
      <c r="A608" s="137"/>
      <c r="B608" s="138"/>
      <c r="C608" s="138"/>
      <c r="D608" s="138"/>
      <c r="E608" s="139"/>
      <c r="F608" s="154"/>
      <c r="G608" s="154" t="str">
        <f t="shared" si="4"/>
        <v/>
      </c>
      <c r="H608" s="138"/>
    </row>
    <row r="609" spans="1:8" x14ac:dyDescent="0.25">
      <c r="A609" s="137"/>
      <c r="B609" s="138"/>
      <c r="C609" s="138"/>
      <c r="D609" s="138"/>
      <c r="E609" s="139"/>
      <c r="F609" s="154"/>
      <c r="G609" s="154" t="str">
        <f t="shared" si="4"/>
        <v/>
      </c>
      <c r="H609" s="138"/>
    </row>
    <row r="610" spans="1:8" x14ac:dyDescent="0.25">
      <c r="A610" s="137"/>
      <c r="B610" s="138"/>
      <c r="C610" s="138"/>
      <c r="D610" s="138"/>
      <c r="E610" s="139"/>
      <c r="F610" s="154"/>
      <c r="G610" s="154" t="str">
        <f t="shared" si="4"/>
        <v/>
      </c>
      <c r="H610" s="138"/>
    </row>
    <row r="611" spans="1:8" x14ac:dyDescent="0.25">
      <c r="A611" s="137"/>
      <c r="B611" s="138"/>
      <c r="C611" s="138"/>
      <c r="D611" s="138"/>
      <c r="E611" s="139"/>
      <c r="F611" s="154"/>
      <c r="G611" s="154" t="str">
        <f t="shared" si="4"/>
        <v/>
      </c>
      <c r="H611" s="138"/>
    </row>
    <row r="612" spans="1:8" x14ac:dyDescent="0.25">
      <c r="A612" s="137"/>
      <c r="B612" s="138"/>
      <c r="C612" s="138"/>
      <c r="D612" s="138"/>
      <c r="E612" s="139"/>
      <c r="F612" s="154"/>
      <c r="G612" s="154" t="str">
        <f t="shared" si="4"/>
        <v/>
      </c>
      <c r="H612" s="138"/>
    </row>
    <row r="613" spans="1:8" x14ac:dyDescent="0.25">
      <c r="A613" s="137"/>
      <c r="B613" s="138"/>
      <c r="C613" s="138"/>
      <c r="D613" s="138"/>
      <c r="E613" s="139"/>
      <c r="F613" s="154"/>
      <c r="G613" s="154" t="str">
        <f t="shared" si="4"/>
        <v/>
      </c>
      <c r="H613" s="138"/>
    </row>
    <row r="614" spans="1:8" x14ac:dyDescent="0.25">
      <c r="A614" s="137"/>
      <c r="B614" s="138"/>
      <c r="C614" s="138"/>
      <c r="D614" s="138"/>
      <c r="E614" s="139"/>
      <c r="F614" s="154"/>
      <c r="G614" s="154" t="str">
        <f t="shared" si="4"/>
        <v/>
      </c>
      <c r="H614" s="138"/>
    </row>
    <row r="615" spans="1:8" x14ac:dyDescent="0.25">
      <c r="A615" s="137"/>
      <c r="B615" s="138"/>
      <c r="C615" s="138"/>
      <c r="D615" s="138"/>
      <c r="E615" s="139"/>
      <c r="F615" s="154"/>
      <c r="G615" s="154" t="str">
        <f t="shared" si="4"/>
        <v/>
      </c>
      <c r="H615" s="138"/>
    </row>
    <row r="616" spans="1:8" x14ac:dyDescent="0.25">
      <c r="A616" s="137"/>
      <c r="B616" s="138"/>
      <c r="C616" s="138"/>
      <c r="D616" s="138"/>
      <c r="E616" s="139"/>
      <c r="F616" s="154"/>
      <c r="G616" s="154" t="str">
        <f t="shared" si="4"/>
        <v/>
      </c>
      <c r="H616" s="138"/>
    </row>
    <row r="617" spans="1:8" x14ac:dyDescent="0.25">
      <c r="A617" s="137"/>
      <c r="B617" s="138"/>
      <c r="C617" s="138"/>
      <c r="D617" s="138"/>
      <c r="E617" s="139"/>
      <c r="F617" s="154"/>
      <c r="G617" s="154" t="str">
        <f t="shared" si="4"/>
        <v/>
      </c>
      <c r="H617" s="138"/>
    </row>
    <row r="618" spans="1:8" x14ac:dyDescent="0.25">
      <c r="A618" s="137"/>
      <c r="B618" s="138"/>
      <c r="C618" s="138"/>
      <c r="D618" s="138"/>
      <c r="E618" s="139"/>
      <c r="F618" s="154"/>
      <c r="G618" s="154" t="str">
        <f t="shared" si="4"/>
        <v/>
      </c>
      <c r="H618" s="138"/>
    </row>
    <row r="619" spans="1:8" x14ac:dyDescent="0.25">
      <c r="A619" s="137"/>
      <c r="B619" s="138"/>
      <c r="C619" s="138"/>
      <c r="D619" s="138"/>
      <c r="E619" s="139"/>
      <c r="F619" s="154"/>
      <c r="G619" s="154" t="str">
        <f t="shared" si="4"/>
        <v/>
      </c>
      <c r="H619" s="138"/>
    </row>
    <row r="620" spans="1:8" x14ac:dyDescent="0.25">
      <c r="A620" s="137"/>
      <c r="B620" s="138"/>
      <c r="C620" s="138"/>
      <c r="D620" s="138"/>
      <c r="E620" s="139"/>
      <c r="F620" s="154"/>
      <c r="G620" s="154" t="str">
        <f t="shared" si="4"/>
        <v/>
      </c>
      <c r="H620" s="138"/>
    </row>
    <row r="621" spans="1:8" x14ac:dyDescent="0.25">
      <c r="A621" s="137"/>
      <c r="B621" s="138"/>
      <c r="C621" s="138"/>
      <c r="D621" s="138"/>
      <c r="E621" s="139"/>
      <c r="F621" s="154"/>
      <c r="G621" s="154" t="str">
        <f t="shared" si="4"/>
        <v/>
      </c>
      <c r="H621" s="138"/>
    </row>
    <row r="622" spans="1:8" x14ac:dyDescent="0.25">
      <c r="A622" s="137"/>
      <c r="B622" s="138"/>
      <c r="C622" s="138"/>
      <c r="D622" s="138"/>
      <c r="E622" s="139"/>
      <c r="F622" s="154"/>
      <c r="G622" s="154" t="str">
        <f t="shared" si="4"/>
        <v/>
      </c>
      <c r="H622" s="138"/>
    </row>
    <row r="623" spans="1:8" x14ac:dyDescent="0.25">
      <c r="A623" s="137"/>
      <c r="B623" s="138"/>
      <c r="C623" s="138"/>
      <c r="D623" s="138"/>
      <c r="E623" s="139"/>
      <c r="F623" s="154"/>
      <c r="G623" s="154" t="str">
        <f t="shared" si="4"/>
        <v/>
      </c>
      <c r="H623" s="138"/>
    </row>
    <row r="624" spans="1:8" x14ac:dyDescent="0.25">
      <c r="A624" s="137"/>
      <c r="B624" s="138"/>
      <c r="C624" s="138"/>
      <c r="D624" s="138"/>
      <c r="E624" s="139"/>
      <c r="F624" s="154"/>
      <c r="G624" s="154" t="str">
        <f t="shared" si="4"/>
        <v/>
      </c>
      <c r="H624" s="138"/>
    </row>
    <row r="625" spans="1:8" x14ac:dyDescent="0.25">
      <c r="A625" s="137"/>
      <c r="B625" s="138"/>
      <c r="C625" s="138"/>
      <c r="D625" s="138"/>
      <c r="E625" s="139"/>
      <c r="F625" s="154"/>
      <c r="G625" s="154" t="str">
        <f t="shared" si="4"/>
        <v/>
      </c>
      <c r="H625" s="138"/>
    </row>
    <row r="626" spans="1:8" x14ac:dyDescent="0.25">
      <c r="A626" s="137"/>
      <c r="B626" s="138"/>
      <c r="C626" s="138"/>
      <c r="D626" s="138"/>
      <c r="E626" s="139"/>
      <c r="F626" s="154"/>
      <c r="G626" s="154" t="str">
        <f t="shared" si="4"/>
        <v/>
      </c>
      <c r="H626" s="138"/>
    </row>
    <row r="627" spans="1:8" x14ac:dyDescent="0.25">
      <c r="A627" s="137"/>
      <c r="B627" s="138"/>
      <c r="C627" s="138"/>
      <c r="D627" s="138"/>
      <c r="E627" s="139"/>
      <c r="F627" s="154"/>
      <c r="G627" s="154" t="str">
        <f t="shared" si="4"/>
        <v/>
      </c>
      <c r="H627" s="138"/>
    </row>
    <row r="628" spans="1:8" x14ac:dyDescent="0.25">
      <c r="A628" s="137"/>
      <c r="B628" s="138"/>
      <c r="C628" s="138"/>
      <c r="D628" s="138"/>
      <c r="E628" s="139"/>
      <c r="F628" s="154"/>
      <c r="G628" s="154" t="str">
        <f t="shared" si="4"/>
        <v/>
      </c>
      <c r="H628" s="138"/>
    </row>
    <row r="629" spans="1:8" x14ac:dyDescent="0.25">
      <c r="A629" s="137"/>
      <c r="B629" s="138"/>
      <c r="C629" s="138"/>
      <c r="D629" s="138"/>
      <c r="E629" s="139"/>
      <c r="F629" s="154"/>
      <c r="G629" s="154" t="str">
        <f t="shared" si="4"/>
        <v/>
      </c>
      <c r="H629" s="138"/>
    </row>
    <row r="630" spans="1:8" x14ac:dyDescent="0.25">
      <c r="A630" s="137"/>
      <c r="B630" s="138"/>
      <c r="C630" s="138"/>
      <c r="D630" s="138"/>
      <c r="E630" s="139"/>
      <c r="F630" s="154"/>
      <c r="G630" s="154" t="str">
        <f t="shared" si="4"/>
        <v/>
      </c>
      <c r="H630" s="138"/>
    </row>
    <row r="631" spans="1:8" x14ac:dyDescent="0.25">
      <c r="A631" s="137"/>
      <c r="B631" s="138"/>
      <c r="C631" s="138"/>
      <c r="D631" s="138"/>
      <c r="E631" s="139"/>
      <c r="F631" s="154"/>
      <c r="G631" s="154" t="str">
        <f t="shared" si="4"/>
        <v/>
      </c>
      <c r="H631" s="138"/>
    </row>
    <row r="632" spans="1:8" x14ac:dyDescent="0.25">
      <c r="A632" s="137"/>
      <c r="B632" s="138"/>
      <c r="C632" s="138"/>
      <c r="D632" s="138"/>
      <c r="E632" s="139"/>
      <c r="F632" s="154"/>
      <c r="G632" s="154" t="str">
        <f t="shared" si="4"/>
        <v/>
      </c>
      <c r="H632" s="138"/>
    </row>
    <row r="633" spans="1:8" x14ac:dyDescent="0.25">
      <c r="A633" s="137"/>
      <c r="B633" s="138"/>
      <c r="C633" s="138"/>
      <c r="D633" s="138"/>
      <c r="E633" s="139"/>
      <c r="F633" s="154"/>
      <c r="G633" s="154" t="str">
        <f t="shared" si="4"/>
        <v/>
      </c>
      <c r="H633" s="138"/>
    </row>
    <row r="634" spans="1:8" x14ac:dyDescent="0.25">
      <c r="A634" s="137"/>
      <c r="B634" s="138"/>
      <c r="C634" s="138"/>
      <c r="D634" s="138"/>
      <c r="E634" s="139"/>
      <c r="F634" s="154"/>
      <c r="G634" s="154" t="str">
        <f t="shared" si="4"/>
        <v/>
      </c>
      <c r="H634" s="138"/>
    </row>
    <row r="635" spans="1:8" x14ac:dyDescent="0.25">
      <c r="A635" s="137"/>
      <c r="B635" s="138"/>
      <c r="C635" s="138"/>
      <c r="D635" s="138"/>
      <c r="E635" s="139"/>
      <c r="F635" s="154"/>
      <c r="G635" s="154" t="str">
        <f t="shared" si="4"/>
        <v/>
      </c>
      <c r="H635" s="138"/>
    </row>
    <row r="636" spans="1:8" x14ac:dyDescent="0.25">
      <c r="A636" s="137"/>
      <c r="B636" s="138"/>
      <c r="C636" s="138"/>
      <c r="D636" s="138"/>
      <c r="E636" s="139"/>
      <c r="F636" s="154"/>
      <c r="G636" s="154" t="str">
        <f t="shared" si="4"/>
        <v/>
      </c>
      <c r="H636" s="138"/>
    </row>
    <row r="637" spans="1:8" x14ac:dyDescent="0.25">
      <c r="A637" s="137"/>
      <c r="B637" s="138"/>
      <c r="C637" s="138"/>
      <c r="D637" s="138"/>
      <c r="E637" s="139"/>
      <c r="F637" s="154"/>
      <c r="G637" s="154" t="str">
        <f t="shared" si="4"/>
        <v/>
      </c>
      <c r="H637" s="138"/>
    </row>
    <row r="638" spans="1:8" x14ac:dyDescent="0.25">
      <c r="A638" s="137"/>
      <c r="B638" s="138"/>
      <c r="C638" s="138"/>
      <c r="D638" s="138"/>
      <c r="E638" s="139"/>
      <c r="F638" s="154"/>
      <c r="G638" s="154" t="str">
        <f t="shared" si="4"/>
        <v/>
      </c>
      <c r="H638" s="138"/>
    </row>
    <row r="639" spans="1:8" x14ac:dyDescent="0.25">
      <c r="A639" s="137"/>
      <c r="B639" s="138"/>
      <c r="C639" s="138"/>
      <c r="D639" s="138"/>
      <c r="E639" s="139"/>
      <c r="F639" s="154"/>
      <c r="G639" s="154" t="str">
        <f t="shared" si="4"/>
        <v/>
      </c>
      <c r="H639" s="138"/>
    </row>
    <row r="640" spans="1:8" x14ac:dyDescent="0.25">
      <c r="A640" s="137"/>
      <c r="B640" s="138"/>
      <c r="C640" s="138"/>
      <c r="D640" s="138"/>
      <c r="E640" s="139"/>
      <c r="F640" s="154"/>
      <c r="G640" s="154" t="str">
        <f t="shared" si="4"/>
        <v/>
      </c>
      <c r="H640" s="138"/>
    </row>
    <row r="641" spans="1:8" x14ac:dyDescent="0.25">
      <c r="A641" s="137"/>
      <c r="B641" s="138"/>
      <c r="C641" s="138"/>
      <c r="D641" s="138"/>
      <c r="E641" s="139"/>
      <c r="F641" s="154"/>
      <c r="G641" s="154" t="str">
        <f t="shared" ref="G641:G704" si="5">IF(AND(ISNUMBER(E641), ISNUMBER(F641), E641&gt;0, F641&gt;0), ROUND(E641*F641, 2), IF(ISNUMBER(F641), F641, ""))</f>
        <v/>
      </c>
      <c r="H641" s="138"/>
    </row>
    <row r="642" spans="1:8" x14ac:dyDescent="0.25">
      <c r="A642" s="137"/>
      <c r="B642" s="138"/>
      <c r="C642" s="138"/>
      <c r="D642" s="138"/>
      <c r="E642" s="139"/>
      <c r="F642" s="154"/>
      <c r="G642" s="154" t="str">
        <f t="shared" si="5"/>
        <v/>
      </c>
      <c r="H642" s="138"/>
    </row>
    <row r="643" spans="1:8" x14ac:dyDescent="0.25">
      <c r="A643" s="137"/>
      <c r="B643" s="138"/>
      <c r="C643" s="138"/>
      <c r="D643" s="138"/>
      <c r="E643" s="139"/>
      <c r="F643" s="154"/>
      <c r="G643" s="154" t="str">
        <f t="shared" si="5"/>
        <v/>
      </c>
      <c r="H643" s="138"/>
    </row>
    <row r="644" spans="1:8" x14ac:dyDescent="0.25">
      <c r="A644" s="137"/>
      <c r="B644" s="138"/>
      <c r="C644" s="138"/>
      <c r="D644" s="138"/>
      <c r="E644" s="139"/>
      <c r="F644" s="154"/>
      <c r="G644" s="154" t="str">
        <f t="shared" si="5"/>
        <v/>
      </c>
      <c r="H644" s="138"/>
    </row>
    <row r="645" spans="1:8" x14ac:dyDescent="0.25">
      <c r="A645" s="137"/>
      <c r="B645" s="138"/>
      <c r="C645" s="138"/>
      <c r="D645" s="138"/>
      <c r="E645" s="139"/>
      <c r="F645" s="154"/>
      <c r="G645" s="154" t="str">
        <f t="shared" si="5"/>
        <v/>
      </c>
      <c r="H645" s="138"/>
    </row>
    <row r="646" spans="1:8" x14ac:dyDescent="0.25">
      <c r="A646" s="137"/>
      <c r="B646" s="138"/>
      <c r="C646" s="138"/>
      <c r="D646" s="138"/>
      <c r="E646" s="139"/>
      <c r="F646" s="154"/>
      <c r="G646" s="154" t="str">
        <f t="shared" si="5"/>
        <v/>
      </c>
      <c r="H646" s="138"/>
    </row>
    <row r="647" spans="1:8" x14ac:dyDescent="0.25">
      <c r="A647" s="137"/>
      <c r="B647" s="138"/>
      <c r="C647" s="138"/>
      <c r="D647" s="138"/>
      <c r="E647" s="139"/>
      <c r="F647" s="154"/>
      <c r="G647" s="154" t="str">
        <f t="shared" si="5"/>
        <v/>
      </c>
      <c r="H647" s="138"/>
    </row>
    <row r="648" spans="1:8" x14ac:dyDescent="0.25">
      <c r="A648" s="137"/>
      <c r="B648" s="138"/>
      <c r="C648" s="138"/>
      <c r="D648" s="138"/>
      <c r="E648" s="139"/>
      <c r="F648" s="154"/>
      <c r="G648" s="154" t="str">
        <f t="shared" si="5"/>
        <v/>
      </c>
      <c r="H648" s="138"/>
    </row>
    <row r="649" spans="1:8" x14ac:dyDescent="0.25">
      <c r="A649" s="137"/>
      <c r="B649" s="138"/>
      <c r="C649" s="138"/>
      <c r="D649" s="138"/>
      <c r="E649" s="139"/>
      <c r="F649" s="154"/>
      <c r="G649" s="154" t="str">
        <f t="shared" si="5"/>
        <v/>
      </c>
      <c r="H649" s="138"/>
    </row>
    <row r="650" spans="1:8" x14ac:dyDescent="0.25">
      <c r="A650" s="137"/>
      <c r="B650" s="138"/>
      <c r="C650" s="138"/>
      <c r="D650" s="138"/>
      <c r="E650" s="139"/>
      <c r="F650" s="154"/>
      <c r="G650" s="154" t="str">
        <f t="shared" si="5"/>
        <v/>
      </c>
      <c r="H650" s="138"/>
    </row>
    <row r="651" spans="1:8" x14ac:dyDescent="0.25">
      <c r="A651" s="137"/>
      <c r="B651" s="138"/>
      <c r="C651" s="138"/>
      <c r="D651" s="138"/>
      <c r="E651" s="139"/>
      <c r="F651" s="154"/>
      <c r="G651" s="154" t="str">
        <f t="shared" si="5"/>
        <v/>
      </c>
      <c r="H651" s="138"/>
    </row>
    <row r="652" spans="1:8" x14ac:dyDescent="0.25">
      <c r="A652" s="137"/>
      <c r="B652" s="138"/>
      <c r="C652" s="138"/>
      <c r="D652" s="138"/>
      <c r="E652" s="139"/>
      <c r="F652" s="154"/>
      <c r="G652" s="154" t="str">
        <f t="shared" si="5"/>
        <v/>
      </c>
      <c r="H652" s="138"/>
    </row>
    <row r="653" spans="1:8" x14ac:dyDescent="0.25">
      <c r="A653" s="137"/>
      <c r="B653" s="138"/>
      <c r="C653" s="138"/>
      <c r="D653" s="138"/>
      <c r="E653" s="139"/>
      <c r="F653" s="154"/>
      <c r="G653" s="154" t="str">
        <f t="shared" si="5"/>
        <v/>
      </c>
      <c r="H653" s="138"/>
    </row>
    <row r="654" spans="1:8" x14ac:dyDescent="0.25">
      <c r="A654" s="137"/>
      <c r="B654" s="138"/>
      <c r="C654" s="138"/>
      <c r="D654" s="138"/>
      <c r="E654" s="139"/>
      <c r="F654" s="154"/>
      <c r="G654" s="154" t="str">
        <f t="shared" si="5"/>
        <v/>
      </c>
      <c r="H654" s="138"/>
    </row>
    <row r="655" spans="1:8" x14ac:dyDescent="0.25">
      <c r="A655" s="137"/>
      <c r="B655" s="138"/>
      <c r="C655" s="138"/>
      <c r="D655" s="138"/>
      <c r="E655" s="139"/>
      <c r="F655" s="154"/>
      <c r="G655" s="154" t="str">
        <f t="shared" si="5"/>
        <v/>
      </c>
      <c r="H655" s="138"/>
    </row>
    <row r="656" spans="1:8" x14ac:dyDescent="0.25">
      <c r="A656" s="137"/>
      <c r="B656" s="138"/>
      <c r="C656" s="138"/>
      <c r="D656" s="138"/>
      <c r="E656" s="139"/>
      <c r="F656" s="154"/>
      <c r="G656" s="154" t="str">
        <f t="shared" si="5"/>
        <v/>
      </c>
      <c r="H656" s="138"/>
    </row>
    <row r="657" spans="1:8" x14ac:dyDescent="0.25">
      <c r="A657" s="137"/>
      <c r="B657" s="138"/>
      <c r="C657" s="138"/>
      <c r="D657" s="138"/>
      <c r="E657" s="139"/>
      <c r="F657" s="154"/>
      <c r="G657" s="154" t="str">
        <f t="shared" si="5"/>
        <v/>
      </c>
      <c r="H657" s="138"/>
    </row>
    <row r="658" spans="1:8" x14ac:dyDescent="0.25">
      <c r="A658" s="137"/>
      <c r="B658" s="138"/>
      <c r="C658" s="138"/>
      <c r="D658" s="138"/>
      <c r="E658" s="139"/>
      <c r="F658" s="154"/>
      <c r="G658" s="154" t="str">
        <f t="shared" si="5"/>
        <v/>
      </c>
      <c r="H658" s="138"/>
    </row>
    <row r="659" spans="1:8" x14ac:dyDescent="0.25">
      <c r="A659" s="137"/>
      <c r="B659" s="138"/>
      <c r="C659" s="138"/>
      <c r="D659" s="138"/>
      <c r="E659" s="139"/>
      <c r="F659" s="154"/>
      <c r="G659" s="154" t="str">
        <f t="shared" si="5"/>
        <v/>
      </c>
      <c r="H659" s="138"/>
    </row>
    <row r="660" spans="1:8" x14ac:dyDescent="0.25">
      <c r="A660" s="137"/>
      <c r="B660" s="138"/>
      <c r="C660" s="138"/>
      <c r="D660" s="138"/>
      <c r="E660" s="139"/>
      <c r="F660" s="154"/>
      <c r="G660" s="154" t="str">
        <f t="shared" si="5"/>
        <v/>
      </c>
      <c r="H660" s="138"/>
    </row>
    <row r="661" spans="1:8" x14ac:dyDescent="0.25">
      <c r="A661" s="137"/>
      <c r="B661" s="138"/>
      <c r="C661" s="138"/>
      <c r="D661" s="138"/>
      <c r="E661" s="139"/>
      <c r="F661" s="154"/>
      <c r="G661" s="154" t="str">
        <f t="shared" si="5"/>
        <v/>
      </c>
      <c r="H661" s="138"/>
    </row>
    <row r="662" spans="1:8" x14ac:dyDescent="0.25">
      <c r="A662" s="137"/>
      <c r="B662" s="138"/>
      <c r="C662" s="138"/>
      <c r="D662" s="138"/>
      <c r="E662" s="139"/>
      <c r="F662" s="154"/>
      <c r="G662" s="154" t="str">
        <f t="shared" si="5"/>
        <v/>
      </c>
      <c r="H662" s="138"/>
    </row>
    <row r="663" spans="1:8" x14ac:dyDescent="0.25">
      <c r="A663" s="137"/>
      <c r="B663" s="138"/>
      <c r="C663" s="138"/>
      <c r="D663" s="138"/>
      <c r="E663" s="139"/>
      <c r="F663" s="154"/>
      <c r="G663" s="154" t="str">
        <f t="shared" si="5"/>
        <v/>
      </c>
      <c r="H663" s="138"/>
    </row>
    <row r="664" spans="1:8" x14ac:dyDescent="0.25">
      <c r="A664" s="137"/>
      <c r="B664" s="138"/>
      <c r="C664" s="138"/>
      <c r="D664" s="138"/>
      <c r="E664" s="139"/>
      <c r="F664" s="154"/>
      <c r="G664" s="154" t="str">
        <f t="shared" si="5"/>
        <v/>
      </c>
      <c r="H664" s="138"/>
    </row>
    <row r="665" spans="1:8" x14ac:dyDescent="0.25">
      <c r="A665" s="137"/>
      <c r="B665" s="138"/>
      <c r="C665" s="138"/>
      <c r="D665" s="138"/>
      <c r="E665" s="139"/>
      <c r="F665" s="154"/>
      <c r="G665" s="154" t="str">
        <f t="shared" si="5"/>
        <v/>
      </c>
      <c r="H665" s="138"/>
    </row>
    <row r="666" spans="1:8" x14ac:dyDescent="0.25">
      <c r="A666" s="137"/>
      <c r="B666" s="138"/>
      <c r="C666" s="138"/>
      <c r="D666" s="138"/>
      <c r="E666" s="139"/>
      <c r="F666" s="154"/>
      <c r="G666" s="154" t="str">
        <f t="shared" si="5"/>
        <v/>
      </c>
      <c r="H666" s="138"/>
    </row>
    <row r="667" spans="1:8" x14ac:dyDescent="0.25">
      <c r="A667" s="137"/>
      <c r="B667" s="138"/>
      <c r="C667" s="138"/>
      <c r="D667" s="138"/>
      <c r="E667" s="139"/>
      <c r="F667" s="154"/>
      <c r="G667" s="154" t="str">
        <f t="shared" si="5"/>
        <v/>
      </c>
      <c r="H667" s="138"/>
    </row>
    <row r="668" spans="1:8" x14ac:dyDescent="0.25">
      <c r="A668" s="137"/>
      <c r="B668" s="138"/>
      <c r="C668" s="138"/>
      <c r="D668" s="138"/>
      <c r="E668" s="139"/>
      <c r="F668" s="154"/>
      <c r="G668" s="154" t="str">
        <f t="shared" si="5"/>
        <v/>
      </c>
      <c r="H668" s="138"/>
    </row>
    <row r="669" spans="1:8" x14ac:dyDescent="0.25">
      <c r="A669" s="137"/>
      <c r="B669" s="138"/>
      <c r="C669" s="138"/>
      <c r="D669" s="138"/>
      <c r="E669" s="139"/>
      <c r="F669" s="154"/>
      <c r="G669" s="154" t="str">
        <f t="shared" si="5"/>
        <v/>
      </c>
      <c r="H669" s="138"/>
    </row>
    <row r="670" spans="1:8" x14ac:dyDescent="0.25">
      <c r="A670" s="137"/>
      <c r="B670" s="138"/>
      <c r="C670" s="138"/>
      <c r="D670" s="138"/>
      <c r="E670" s="139"/>
      <c r="F670" s="154"/>
      <c r="G670" s="154" t="str">
        <f t="shared" si="5"/>
        <v/>
      </c>
      <c r="H670" s="138"/>
    </row>
    <row r="671" spans="1:8" x14ac:dyDescent="0.25">
      <c r="A671" s="137"/>
      <c r="B671" s="138"/>
      <c r="C671" s="138"/>
      <c r="D671" s="138"/>
      <c r="E671" s="139"/>
      <c r="F671" s="154"/>
      <c r="G671" s="154" t="str">
        <f t="shared" si="5"/>
        <v/>
      </c>
      <c r="H671" s="138"/>
    </row>
    <row r="672" spans="1:8" x14ac:dyDescent="0.25">
      <c r="A672" s="137"/>
      <c r="B672" s="138"/>
      <c r="C672" s="138"/>
      <c r="D672" s="138"/>
      <c r="E672" s="139"/>
      <c r="F672" s="154"/>
      <c r="G672" s="154" t="str">
        <f t="shared" si="5"/>
        <v/>
      </c>
      <c r="H672" s="138"/>
    </row>
    <row r="673" spans="1:8" x14ac:dyDescent="0.25">
      <c r="A673" s="137"/>
      <c r="B673" s="138"/>
      <c r="C673" s="138"/>
      <c r="D673" s="138"/>
      <c r="E673" s="139"/>
      <c r="F673" s="154"/>
      <c r="G673" s="154" t="str">
        <f t="shared" si="5"/>
        <v/>
      </c>
      <c r="H673" s="138"/>
    </row>
    <row r="674" spans="1:8" x14ac:dyDescent="0.25">
      <c r="A674" s="137"/>
      <c r="B674" s="138"/>
      <c r="C674" s="138"/>
      <c r="D674" s="138"/>
      <c r="E674" s="139"/>
      <c r="F674" s="154"/>
      <c r="G674" s="154" t="str">
        <f t="shared" si="5"/>
        <v/>
      </c>
      <c r="H674" s="138"/>
    </row>
    <row r="675" spans="1:8" x14ac:dyDescent="0.25">
      <c r="A675" s="137"/>
      <c r="B675" s="138"/>
      <c r="C675" s="138"/>
      <c r="D675" s="138"/>
      <c r="E675" s="139"/>
      <c r="F675" s="154"/>
      <c r="G675" s="154" t="str">
        <f t="shared" si="5"/>
        <v/>
      </c>
      <c r="H675" s="138"/>
    </row>
    <row r="676" spans="1:8" x14ac:dyDescent="0.25">
      <c r="A676" s="137"/>
      <c r="B676" s="138"/>
      <c r="C676" s="138"/>
      <c r="D676" s="138"/>
      <c r="E676" s="139"/>
      <c r="F676" s="154"/>
      <c r="G676" s="154" t="str">
        <f t="shared" si="5"/>
        <v/>
      </c>
      <c r="H676" s="138"/>
    </row>
    <row r="677" spans="1:8" x14ac:dyDescent="0.25">
      <c r="A677" s="137"/>
      <c r="B677" s="138"/>
      <c r="C677" s="138"/>
      <c r="D677" s="138"/>
      <c r="E677" s="139"/>
      <c r="F677" s="154"/>
      <c r="G677" s="154" t="str">
        <f t="shared" si="5"/>
        <v/>
      </c>
      <c r="H677" s="138"/>
    </row>
    <row r="678" spans="1:8" x14ac:dyDescent="0.25">
      <c r="A678" s="137"/>
      <c r="B678" s="138"/>
      <c r="C678" s="138"/>
      <c r="D678" s="138"/>
      <c r="E678" s="139"/>
      <c r="F678" s="154"/>
      <c r="G678" s="154" t="str">
        <f t="shared" si="5"/>
        <v/>
      </c>
      <c r="H678" s="138"/>
    </row>
    <row r="679" spans="1:8" x14ac:dyDescent="0.25">
      <c r="A679" s="137"/>
      <c r="B679" s="138"/>
      <c r="C679" s="138"/>
      <c r="D679" s="138"/>
      <c r="E679" s="139"/>
      <c r="F679" s="154"/>
      <c r="G679" s="154" t="str">
        <f t="shared" si="5"/>
        <v/>
      </c>
      <c r="H679" s="138"/>
    </row>
    <row r="680" spans="1:8" x14ac:dyDescent="0.25">
      <c r="A680" s="137"/>
      <c r="B680" s="138"/>
      <c r="C680" s="138"/>
      <c r="D680" s="138"/>
      <c r="E680" s="139"/>
      <c r="F680" s="154"/>
      <c r="G680" s="154" t="str">
        <f t="shared" si="5"/>
        <v/>
      </c>
      <c r="H680" s="138"/>
    </row>
    <row r="681" spans="1:8" x14ac:dyDescent="0.25">
      <c r="A681" s="137"/>
      <c r="B681" s="138"/>
      <c r="C681" s="138"/>
      <c r="D681" s="138"/>
      <c r="E681" s="139"/>
      <c r="F681" s="154"/>
      <c r="G681" s="154" t="str">
        <f t="shared" si="5"/>
        <v/>
      </c>
      <c r="H681" s="138"/>
    </row>
    <row r="682" spans="1:8" x14ac:dyDescent="0.25">
      <c r="A682" s="137"/>
      <c r="B682" s="138"/>
      <c r="C682" s="138"/>
      <c r="D682" s="138"/>
      <c r="E682" s="139"/>
      <c r="F682" s="154"/>
      <c r="G682" s="154" t="str">
        <f t="shared" si="5"/>
        <v/>
      </c>
      <c r="H682" s="138"/>
    </row>
    <row r="683" spans="1:8" x14ac:dyDescent="0.25">
      <c r="A683" s="137"/>
      <c r="B683" s="138"/>
      <c r="C683" s="138"/>
      <c r="D683" s="138"/>
      <c r="E683" s="139"/>
      <c r="F683" s="154"/>
      <c r="G683" s="154" t="str">
        <f t="shared" si="5"/>
        <v/>
      </c>
      <c r="H683" s="138"/>
    </row>
    <row r="684" spans="1:8" x14ac:dyDescent="0.25">
      <c r="A684" s="137"/>
      <c r="B684" s="138"/>
      <c r="C684" s="138"/>
      <c r="D684" s="138"/>
      <c r="E684" s="139"/>
      <c r="F684" s="154"/>
      <c r="G684" s="154" t="str">
        <f t="shared" si="5"/>
        <v/>
      </c>
      <c r="H684" s="138"/>
    </row>
    <row r="685" spans="1:8" x14ac:dyDescent="0.25">
      <c r="A685" s="137"/>
      <c r="B685" s="138"/>
      <c r="C685" s="138"/>
      <c r="D685" s="138"/>
      <c r="E685" s="139"/>
      <c r="F685" s="154"/>
      <c r="G685" s="154" t="str">
        <f t="shared" si="5"/>
        <v/>
      </c>
      <c r="H685" s="138"/>
    </row>
    <row r="686" spans="1:8" x14ac:dyDescent="0.25">
      <c r="A686" s="137"/>
      <c r="B686" s="138"/>
      <c r="C686" s="138"/>
      <c r="D686" s="138"/>
      <c r="E686" s="139"/>
      <c r="F686" s="154"/>
      <c r="G686" s="154" t="str">
        <f t="shared" si="5"/>
        <v/>
      </c>
      <c r="H686" s="138"/>
    </row>
    <row r="687" spans="1:8" x14ac:dyDescent="0.25">
      <c r="A687" s="137"/>
      <c r="B687" s="138"/>
      <c r="C687" s="138"/>
      <c r="D687" s="138"/>
      <c r="E687" s="139"/>
      <c r="F687" s="154"/>
      <c r="G687" s="154" t="str">
        <f t="shared" si="5"/>
        <v/>
      </c>
      <c r="H687" s="138"/>
    </row>
    <row r="688" spans="1:8" x14ac:dyDescent="0.25">
      <c r="A688" s="137"/>
      <c r="B688" s="138"/>
      <c r="C688" s="138"/>
      <c r="D688" s="138"/>
      <c r="E688" s="139"/>
      <c r="F688" s="154"/>
      <c r="G688" s="154" t="str">
        <f t="shared" si="5"/>
        <v/>
      </c>
      <c r="H688" s="138"/>
    </row>
    <row r="689" spans="1:8" x14ac:dyDescent="0.25">
      <c r="A689" s="137"/>
      <c r="B689" s="138"/>
      <c r="C689" s="138"/>
      <c r="D689" s="138"/>
      <c r="E689" s="139"/>
      <c r="F689" s="154"/>
      <c r="G689" s="154" t="str">
        <f t="shared" si="5"/>
        <v/>
      </c>
      <c r="H689" s="138"/>
    </row>
    <row r="690" spans="1:8" x14ac:dyDescent="0.25">
      <c r="A690" s="137"/>
      <c r="B690" s="138"/>
      <c r="C690" s="138"/>
      <c r="D690" s="138"/>
      <c r="E690" s="139"/>
      <c r="F690" s="154"/>
      <c r="G690" s="154" t="str">
        <f t="shared" si="5"/>
        <v/>
      </c>
      <c r="H690" s="138"/>
    </row>
    <row r="691" spans="1:8" x14ac:dyDescent="0.25">
      <c r="A691" s="137"/>
      <c r="B691" s="138"/>
      <c r="C691" s="138"/>
      <c r="D691" s="138"/>
      <c r="E691" s="139"/>
      <c r="F691" s="154"/>
      <c r="G691" s="154" t="str">
        <f t="shared" si="5"/>
        <v/>
      </c>
      <c r="H691" s="138"/>
    </row>
    <row r="692" spans="1:8" x14ac:dyDescent="0.25">
      <c r="A692" s="137"/>
      <c r="B692" s="138"/>
      <c r="C692" s="138"/>
      <c r="D692" s="138"/>
      <c r="E692" s="139"/>
      <c r="F692" s="154"/>
      <c r="G692" s="154" t="str">
        <f t="shared" si="5"/>
        <v/>
      </c>
      <c r="H692" s="138"/>
    </row>
    <row r="693" spans="1:8" x14ac:dyDescent="0.25">
      <c r="A693" s="137"/>
      <c r="B693" s="138"/>
      <c r="C693" s="138"/>
      <c r="D693" s="138"/>
      <c r="E693" s="139"/>
      <c r="F693" s="154"/>
      <c r="G693" s="154" t="str">
        <f t="shared" si="5"/>
        <v/>
      </c>
      <c r="H693" s="138"/>
    </row>
    <row r="694" spans="1:8" x14ac:dyDescent="0.25">
      <c r="A694" s="137"/>
      <c r="B694" s="138"/>
      <c r="C694" s="138"/>
      <c r="D694" s="138"/>
      <c r="E694" s="139"/>
      <c r="F694" s="154"/>
      <c r="G694" s="154" t="str">
        <f t="shared" si="5"/>
        <v/>
      </c>
      <c r="H694" s="138"/>
    </row>
    <row r="695" spans="1:8" x14ac:dyDescent="0.25">
      <c r="A695" s="137"/>
      <c r="B695" s="138"/>
      <c r="C695" s="138"/>
      <c r="D695" s="138"/>
      <c r="E695" s="139"/>
      <c r="F695" s="154"/>
      <c r="G695" s="154" t="str">
        <f t="shared" si="5"/>
        <v/>
      </c>
      <c r="H695" s="138"/>
    </row>
    <row r="696" spans="1:8" x14ac:dyDescent="0.25">
      <c r="A696" s="137"/>
      <c r="B696" s="138"/>
      <c r="C696" s="138"/>
      <c r="D696" s="138"/>
      <c r="E696" s="139"/>
      <c r="F696" s="154"/>
      <c r="G696" s="154" t="str">
        <f t="shared" si="5"/>
        <v/>
      </c>
      <c r="H696" s="138"/>
    </row>
    <row r="697" spans="1:8" x14ac:dyDescent="0.25">
      <c r="A697" s="137"/>
      <c r="B697" s="138"/>
      <c r="C697" s="138"/>
      <c r="D697" s="138"/>
      <c r="E697" s="139"/>
      <c r="F697" s="154"/>
      <c r="G697" s="154" t="str">
        <f t="shared" si="5"/>
        <v/>
      </c>
      <c r="H697" s="138"/>
    </row>
    <row r="698" spans="1:8" x14ac:dyDescent="0.25">
      <c r="A698" s="137"/>
      <c r="B698" s="138"/>
      <c r="C698" s="138"/>
      <c r="D698" s="138"/>
      <c r="E698" s="139"/>
      <c r="F698" s="154"/>
      <c r="G698" s="154" t="str">
        <f t="shared" si="5"/>
        <v/>
      </c>
      <c r="H698" s="138"/>
    </row>
    <row r="699" spans="1:8" x14ac:dyDescent="0.25">
      <c r="A699" s="137"/>
      <c r="B699" s="138"/>
      <c r="C699" s="138"/>
      <c r="D699" s="138"/>
      <c r="E699" s="139"/>
      <c r="F699" s="154"/>
      <c r="G699" s="154" t="str">
        <f t="shared" si="5"/>
        <v/>
      </c>
      <c r="H699" s="138"/>
    </row>
    <row r="700" spans="1:8" x14ac:dyDescent="0.25">
      <c r="A700" s="137"/>
      <c r="B700" s="138"/>
      <c r="C700" s="138"/>
      <c r="D700" s="138"/>
      <c r="E700" s="139"/>
      <c r="F700" s="154"/>
      <c r="G700" s="154" t="str">
        <f t="shared" si="5"/>
        <v/>
      </c>
      <c r="H700" s="138"/>
    </row>
    <row r="701" spans="1:8" x14ac:dyDescent="0.25">
      <c r="A701" s="137"/>
      <c r="B701" s="138"/>
      <c r="C701" s="138"/>
      <c r="D701" s="138"/>
      <c r="E701" s="139"/>
      <c r="F701" s="154"/>
      <c r="G701" s="154" t="str">
        <f t="shared" si="5"/>
        <v/>
      </c>
      <c r="H701" s="138"/>
    </row>
    <row r="702" spans="1:8" x14ac:dyDescent="0.25">
      <c r="A702" s="137"/>
      <c r="B702" s="138"/>
      <c r="C702" s="138"/>
      <c r="D702" s="138"/>
      <c r="E702" s="139"/>
      <c r="F702" s="154"/>
      <c r="G702" s="154" t="str">
        <f t="shared" si="5"/>
        <v/>
      </c>
      <c r="H702" s="138"/>
    </row>
    <row r="703" spans="1:8" x14ac:dyDescent="0.25">
      <c r="A703" s="137"/>
      <c r="B703" s="138"/>
      <c r="C703" s="138"/>
      <c r="D703" s="138"/>
      <c r="E703" s="139"/>
      <c r="F703" s="154"/>
      <c r="G703" s="154" t="str">
        <f t="shared" si="5"/>
        <v/>
      </c>
      <c r="H703" s="138"/>
    </row>
    <row r="704" spans="1:8" x14ac:dyDescent="0.25">
      <c r="A704" s="137"/>
      <c r="B704" s="138"/>
      <c r="C704" s="138"/>
      <c r="D704" s="138"/>
      <c r="E704" s="139"/>
      <c r="F704" s="154"/>
      <c r="G704" s="154" t="str">
        <f t="shared" si="5"/>
        <v/>
      </c>
      <c r="H704" s="138"/>
    </row>
    <row r="705" spans="1:8" x14ac:dyDescent="0.25">
      <c r="A705" s="137"/>
      <c r="B705" s="138"/>
      <c r="C705" s="138"/>
      <c r="D705" s="138"/>
      <c r="E705" s="139"/>
      <c r="F705" s="154"/>
      <c r="G705" s="154" t="str">
        <f t="shared" ref="G705:G768" si="6">IF(AND(ISNUMBER(E705), ISNUMBER(F705), E705&gt;0, F705&gt;0), ROUND(E705*F705, 2), IF(ISNUMBER(F705), F705, ""))</f>
        <v/>
      </c>
      <c r="H705" s="138"/>
    </row>
    <row r="706" spans="1:8" x14ac:dyDescent="0.25">
      <c r="A706" s="137"/>
      <c r="B706" s="138"/>
      <c r="C706" s="138"/>
      <c r="D706" s="138"/>
      <c r="E706" s="139"/>
      <c r="F706" s="154"/>
      <c r="G706" s="154" t="str">
        <f t="shared" si="6"/>
        <v/>
      </c>
      <c r="H706" s="138"/>
    </row>
    <row r="707" spans="1:8" x14ac:dyDescent="0.25">
      <c r="A707" s="137"/>
      <c r="B707" s="138"/>
      <c r="C707" s="138"/>
      <c r="D707" s="138"/>
      <c r="E707" s="139"/>
      <c r="F707" s="154"/>
      <c r="G707" s="154" t="str">
        <f t="shared" si="6"/>
        <v/>
      </c>
      <c r="H707" s="138"/>
    </row>
    <row r="708" spans="1:8" x14ac:dyDescent="0.25">
      <c r="A708" s="137"/>
      <c r="B708" s="138"/>
      <c r="C708" s="138"/>
      <c r="D708" s="138"/>
      <c r="E708" s="139"/>
      <c r="F708" s="154"/>
      <c r="G708" s="154" t="str">
        <f t="shared" si="6"/>
        <v/>
      </c>
      <c r="H708" s="138"/>
    </row>
    <row r="709" spans="1:8" x14ac:dyDescent="0.25">
      <c r="A709" s="137"/>
      <c r="B709" s="138"/>
      <c r="C709" s="138"/>
      <c r="D709" s="138"/>
      <c r="E709" s="139"/>
      <c r="F709" s="154"/>
      <c r="G709" s="154" t="str">
        <f t="shared" si="6"/>
        <v/>
      </c>
      <c r="H709" s="138"/>
    </row>
    <row r="710" spans="1:8" x14ac:dyDescent="0.25">
      <c r="A710" s="137"/>
      <c r="B710" s="138"/>
      <c r="C710" s="138"/>
      <c r="D710" s="138"/>
      <c r="E710" s="139"/>
      <c r="F710" s="154"/>
      <c r="G710" s="154" t="str">
        <f t="shared" si="6"/>
        <v/>
      </c>
      <c r="H710" s="138"/>
    </row>
    <row r="711" spans="1:8" x14ac:dyDescent="0.25">
      <c r="A711" s="137"/>
      <c r="B711" s="138"/>
      <c r="C711" s="138"/>
      <c r="D711" s="138"/>
      <c r="E711" s="139"/>
      <c r="F711" s="154"/>
      <c r="G711" s="154" t="str">
        <f t="shared" si="6"/>
        <v/>
      </c>
      <c r="H711" s="138"/>
    </row>
    <row r="712" spans="1:8" x14ac:dyDescent="0.25">
      <c r="A712" s="137"/>
      <c r="B712" s="138"/>
      <c r="C712" s="138"/>
      <c r="D712" s="138"/>
      <c r="E712" s="139"/>
      <c r="F712" s="154"/>
      <c r="G712" s="154" t="str">
        <f t="shared" si="6"/>
        <v/>
      </c>
      <c r="H712" s="138"/>
    </row>
    <row r="713" spans="1:8" x14ac:dyDescent="0.25">
      <c r="A713" s="137"/>
      <c r="B713" s="138"/>
      <c r="C713" s="138"/>
      <c r="D713" s="138"/>
      <c r="E713" s="139"/>
      <c r="F713" s="154"/>
      <c r="G713" s="154" t="str">
        <f t="shared" si="6"/>
        <v/>
      </c>
      <c r="H713" s="138"/>
    </row>
    <row r="714" spans="1:8" x14ac:dyDescent="0.25">
      <c r="A714" s="137"/>
      <c r="B714" s="138"/>
      <c r="C714" s="138"/>
      <c r="D714" s="138"/>
      <c r="E714" s="139"/>
      <c r="F714" s="154"/>
      <c r="G714" s="154" t="str">
        <f t="shared" si="6"/>
        <v/>
      </c>
      <c r="H714" s="138"/>
    </row>
    <row r="715" spans="1:8" x14ac:dyDescent="0.25">
      <c r="A715" s="137"/>
      <c r="B715" s="138"/>
      <c r="C715" s="138"/>
      <c r="D715" s="138"/>
      <c r="E715" s="139"/>
      <c r="F715" s="154"/>
      <c r="G715" s="154" t="str">
        <f t="shared" si="6"/>
        <v/>
      </c>
      <c r="H715" s="138"/>
    </row>
    <row r="716" spans="1:8" x14ac:dyDescent="0.25">
      <c r="A716" s="137"/>
      <c r="B716" s="138"/>
      <c r="C716" s="138"/>
      <c r="D716" s="138"/>
      <c r="E716" s="139"/>
      <c r="F716" s="154"/>
      <c r="G716" s="154" t="str">
        <f t="shared" si="6"/>
        <v/>
      </c>
      <c r="H716" s="138"/>
    </row>
    <row r="717" spans="1:8" x14ac:dyDescent="0.25">
      <c r="A717" s="137"/>
      <c r="B717" s="138"/>
      <c r="C717" s="138"/>
      <c r="D717" s="138"/>
      <c r="E717" s="139"/>
      <c r="F717" s="154"/>
      <c r="G717" s="154" t="str">
        <f t="shared" si="6"/>
        <v/>
      </c>
      <c r="H717" s="138"/>
    </row>
    <row r="718" spans="1:8" x14ac:dyDescent="0.25">
      <c r="A718" s="137"/>
      <c r="B718" s="138"/>
      <c r="C718" s="138"/>
      <c r="D718" s="138"/>
      <c r="E718" s="139"/>
      <c r="F718" s="154"/>
      <c r="G718" s="154" t="str">
        <f t="shared" si="6"/>
        <v/>
      </c>
      <c r="H718" s="138"/>
    </row>
    <row r="719" spans="1:8" x14ac:dyDescent="0.25">
      <c r="A719" s="137"/>
      <c r="B719" s="138"/>
      <c r="C719" s="138"/>
      <c r="D719" s="138"/>
      <c r="E719" s="139"/>
      <c r="F719" s="154"/>
      <c r="G719" s="154" t="str">
        <f t="shared" si="6"/>
        <v/>
      </c>
      <c r="H719" s="138"/>
    </row>
    <row r="720" spans="1:8" x14ac:dyDescent="0.25">
      <c r="A720" s="137"/>
      <c r="B720" s="138"/>
      <c r="C720" s="138"/>
      <c r="D720" s="138"/>
      <c r="E720" s="139"/>
      <c r="F720" s="154"/>
      <c r="G720" s="154" t="str">
        <f t="shared" si="6"/>
        <v/>
      </c>
      <c r="H720" s="138"/>
    </row>
    <row r="721" spans="1:8" x14ac:dyDescent="0.25">
      <c r="A721" s="137"/>
      <c r="B721" s="138"/>
      <c r="C721" s="138"/>
      <c r="D721" s="138"/>
      <c r="E721" s="139"/>
      <c r="F721" s="154"/>
      <c r="G721" s="154" t="str">
        <f t="shared" si="6"/>
        <v/>
      </c>
      <c r="H721" s="138"/>
    </row>
    <row r="722" spans="1:8" x14ac:dyDescent="0.25">
      <c r="A722" s="137"/>
      <c r="B722" s="138"/>
      <c r="C722" s="138"/>
      <c r="D722" s="138"/>
      <c r="E722" s="139"/>
      <c r="F722" s="154"/>
      <c r="G722" s="154" t="str">
        <f t="shared" si="6"/>
        <v/>
      </c>
      <c r="H722" s="138"/>
    </row>
    <row r="723" spans="1:8" x14ac:dyDescent="0.25">
      <c r="A723" s="137"/>
      <c r="B723" s="138"/>
      <c r="C723" s="138"/>
      <c r="D723" s="138"/>
      <c r="E723" s="139"/>
      <c r="F723" s="154"/>
      <c r="G723" s="154" t="str">
        <f t="shared" si="6"/>
        <v/>
      </c>
      <c r="H723" s="138"/>
    </row>
    <row r="724" spans="1:8" x14ac:dyDescent="0.25">
      <c r="A724" s="137"/>
      <c r="B724" s="138"/>
      <c r="C724" s="138"/>
      <c r="D724" s="138"/>
      <c r="E724" s="139"/>
      <c r="F724" s="154"/>
      <c r="G724" s="154" t="str">
        <f t="shared" si="6"/>
        <v/>
      </c>
      <c r="H724" s="138"/>
    </row>
    <row r="725" spans="1:8" x14ac:dyDescent="0.25">
      <c r="A725" s="137"/>
      <c r="B725" s="138"/>
      <c r="C725" s="138"/>
      <c r="D725" s="138"/>
      <c r="E725" s="139"/>
      <c r="F725" s="154"/>
      <c r="G725" s="154" t="str">
        <f t="shared" si="6"/>
        <v/>
      </c>
      <c r="H725" s="138"/>
    </row>
    <row r="726" spans="1:8" x14ac:dyDescent="0.25">
      <c r="A726" s="137"/>
      <c r="B726" s="138"/>
      <c r="C726" s="138"/>
      <c r="D726" s="138"/>
      <c r="E726" s="139"/>
      <c r="F726" s="154"/>
      <c r="G726" s="154" t="str">
        <f t="shared" si="6"/>
        <v/>
      </c>
      <c r="H726" s="138"/>
    </row>
    <row r="727" spans="1:8" x14ac:dyDescent="0.25">
      <c r="A727" s="137"/>
      <c r="B727" s="138"/>
      <c r="C727" s="138"/>
      <c r="D727" s="138"/>
      <c r="E727" s="139"/>
      <c r="F727" s="154"/>
      <c r="G727" s="154" t="str">
        <f t="shared" si="6"/>
        <v/>
      </c>
      <c r="H727" s="138"/>
    </row>
    <row r="728" spans="1:8" x14ac:dyDescent="0.25">
      <c r="A728" s="137"/>
      <c r="B728" s="138"/>
      <c r="C728" s="138"/>
      <c r="D728" s="138"/>
      <c r="E728" s="139"/>
      <c r="F728" s="154"/>
      <c r="G728" s="154" t="str">
        <f t="shared" si="6"/>
        <v/>
      </c>
      <c r="H728" s="138"/>
    </row>
    <row r="729" spans="1:8" x14ac:dyDescent="0.25">
      <c r="A729" s="137"/>
      <c r="B729" s="138"/>
      <c r="C729" s="138"/>
      <c r="D729" s="138"/>
      <c r="E729" s="139"/>
      <c r="F729" s="154"/>
      <c r="G729" s="154" t="str">
        <f t="shared" si="6"/>
        <v/>
      </c>
      <c r="H729" s="138"/>
    </row>
    <row r="730" spans="1:8" x14ac:dyDescent="0.25">
      <c r="A730" s="137"/>
      <c r="B730" s="138"/>
      <c r="C730" s="138"/>
      <c r="D730" s="138"/>
      <c r="E730" s="139"/>
      <c r="F730" s="154"/>
      <c r="G730" s="154" t="str">
        <f t="shared" si="6"/>
        <v/>
      </c>
      <c r="H730" s="138"/>
    </row>
    <row r="731" spans="1:8" x14ac:dyDescent="0.25">
      <c r="A731" s="137"/>
      <c r="B731" s="138"/>
      <c r="C731" s="138"/>
      <c r="D731" s="138"/>
      <c r="E731" s="139"/>
      <c r="F731" s="154"/>
      <c r="G731" s="154" t="str">
        <f t="shared" si="6"/>
        <v/>
      </c>
      <c r="H731" s="138"/>
    </row>
    <row r="732" spans="1:8" x14ac:dyDescent="0.25">
      <c r="A732" s="137"/>
      <c r="B732" s="138"/>
      <c r="C732" s="138"/>
      <c r="D732" s="138"/>
      <c r="E732" s="139"/>
      <c r="F732" s="154"/>
      <c r="G732" s="154" t="str">
        <f t="shared" si="6"/>
        <v/>
      </c>
      <c r="H732" s="138"/>
    </row>
    <row r="733" spans="1:8" x14ac:dyDescent="0.25">
      <c r="A733" s="137"/>
      <c r="B733" s="138"/>
      <c r="C733" s="138"/>
      <c r="D733" s="138"/>
      <c r="E733" s="139"/>
      <c r="F733" s="154"/>
      <c r="G733" s="154" t="str">
        <f t="shared" si="6"/>
        <v/>
      </c>
      <c r="H733" s="138"/>
    </row>
    <row r="734" spans="1:8" x14ac:dyDescent="0.25">
      <c r="A734" s="137"/>
      <c r="B734" s="138"/>
      <c r="C734" s="138"/>
      <c r="D734" s="138"/>
      <c r="E734" s="139"/>
      <c r="F734" s="154"/>
      <c r="G734" s="154" t="str">
        <f t="shared" si="6"/>
        <v/>
      </c>
      <c r="H734" s="138"/>
    </row>
    <row r="735" spans="1:8" x14ac:dyDescent="0.25">
      <c r="A735" s="137"/>
      <c r="B735" s="138"/>
      <c r="C735" s="138"/>
      <c r="D735" s="138"/>
      <c r="E735" s="139"/>
      <c r="F735" s="154"/>
      <c r="G735" s="154" t="str">
        <f t="shared" si="6"/>
        <v/>
      </c>
      <c r="H735" s="138"/>
    </row>
    <row r="736" spans="1:8" x14ac:dyDescent="0.25">
      <c r="A736" s="137"/>
      <c r="B736" s="138"/>
      <c r="C736" s="138"/>
      <c r="D736" s="138"/>
      <c r="E736" s="139"/>
      <c r="F736" s="154"/>
      <c r="G736" s="154" t="str">
        <f t="shared" si="6"/>
        <v/>
      </c>
      <c r="H736" s="138"/>
    </row>
    <row r="737" spans="1:8" x14ac:dyDescent="0.25">
      <c r="A737" s="137"/>
      <c r="B737" s="138"/>
      <c r="C737" s="138"/>
      <c r="D737" s="138"/>
      <c r="E737" s="139"/>
      <c r="F737" s="154"/>
      <c r="G737" s="154" t="str">
        <f t="shared" si="6"/>
        <v/>
      </c>
      <c r="H737" s="138"/>
    </row>
    <row r="738" spans="1:8" x14ac:dyDescent="0.25">
      <c r="A738" s="137"/>
      <c r="B738" s="138"/>
      <c r="C738" s="138"/>
      <c r="D738" s="138"/>
      <c r="E738" s="139"/>
      <c r="F738" s="154"/>
      <c r="G738" s="154" t="str">
        <f t="shared" si="6"/>
        <v/>
      </c>
      <c r="H738" s="138"/>
    </row>
    <row r="739" spans="1:8" x14ac:dyDescent="0.25">
      <c r="A739" s="137"/>
      <c r="B739" s="138"/>
      <c r="C739" s="138"/>
      <c r="D739" s="138"/>
      <c r="E739" s="139"/>
      <c r="F739" s="154"/>
      <c r="G739" s="154" t="str">
        <f t="shared" si="6"/>
        <v/>
      </c>
      <c r="H739" s="138"/>
    </row>
    <row r="740" spans="1:8" x14ac:dyDescent="0.25">
      <c r="A740" s="137"/>
      <c r="B740" s="138"/>
      <c r="C740" s="138"/>
      <c r="D740" s="138"/>
      <c r="E740" s="139"/>
      <c r="F740" s="154"/>
      <c r="G740" s="154" t="str">
        <f t="shared" si="6"/>
        <v/>
      </c>
      <c r="H740" s="138"/>
    </row>
    <row r="741" spans="1:8" x14ac:dyDescent="0.25">
      <c r="A741" s="137"/>
      <c r="B741" s="138"/>
      <c r="C741" s="138"/>
      <c r="D741" s="138"/>
      <c r="E741" s="139"/>
      <c r="F741" s="154"/>
      <c r="G741" s="154" t="str">
        <f t="shared" si="6"/>
        <v/>
      </c>
      <c r="H741" s="138"/>
    </row>
    <row r="742" spans="1:8" x14ac:dyDescent="0.25">
      <c r="A742" s="137"/>
      <c r="B742" s="138"/>
      <c r="C742" s="138"/>
      <c r="D742" s="138"/>
      <c r="E742" s="139"/>
      <c r="F742" s="154"/>
      <c r="G742" s="154" t="str">
        <f t="shared" si="6"/>
        <v/>
      </c>
      <c r="H742" s="138"/>
    </row>
    <row r="743" spans="1:8" x14ac:dyDescent="0.25">
      <c r="A743" s="137"/>
      <c r="B743" s="138"/>
      <c r="C743" s="138"/>
      <c r="D743" s="138"/>
      <c r="E743" s="139"/>
      <c r="F743" s="154"/>
      <c r="G743" s="154" t="str">
        <f t="shared" si="6"/>
        <v/>
      </c>
      <c r="H743" s="138"/>
    </row>
    <row r="744" spans="1:8" x14ac:dyDescent="0.25">
      <c r="A744" s="137"/>
      <c r="B744" s="138"/>
      <c r="C744" s="138"/>
      <c r="D744" s="138"/>
      <c r="E744" s="139"/>
      <c r="F744" s="154"/>
      <c r="G744" s="154" t="str">
        <f t="shared" si="6"/>
        <v/>
      </c>
      <c r="H744" s="138"/>
    </row>
    <row r="745" spans="1:8" x14ac:dyDescent="0.25">
      <c r="A745" s="137"/>
      <c r="B745" s="138"/>
      <c r="C745" s="138"/>
      <c r="D745" s="138"/>
      <c r="E745" s="139"/>
      <c r="F745" s="154"/>
      <c r="G745" s="154" t="str">
        <f t="shared" si="6"/>
        <v/>
      </c>
      <c r="H745" s="138"/>
    </row>
    <row r="746" spans="1:8" x14ac:dyDescent="0.25">
      <c r="A746" s="137"/>
      <c r="B746" s="138"/>
      <c r="C746" s="138"/>
      <c r="D746" s="138"/>
      <c r="E746" s="139"/>
      <c r="F746" s="154"/>
      <c r="G746" s="154" t="str">
        <f t="shared" si="6"/>
        <v/>
      </c>
      <c r="H746" s="138"/>
    </row>
    <row r="747" spans="1:8" x14ac:dyDescent="0.25">
      <c r="A747" s="137"/>
      <c r="B747" s="138"/>
      <c r="C747" s="138"/>
      <c r="D747" s="138"/>
      <c r="E747" s="139"/>
      <c r="F747" s="154"/>
      <c r="G747" s="154" t="str">
        <f t="shared" si="6"/>
        <v/>
      </c>
      <c r="H747" s="138"/>
    </row>
    <row r="748" spans="1:8" x14ac:dyDescent="0.25">
      <c r="A748" s="137"/>
      <c r="B748" s="138"/>
      <c r="C748" s="138"/>
      <c r="D748" s="138"/>
      <c r="E748" s="139"/>
      <c r="F748" s="154"/>
      <c r="G748" s="154" t="str">
        <f t="shared" si="6"/>
        <v/>
      </c>
      <c r="H748" s="138"/>
    </row>
    <row r="749" spans="1:8" x14ac:dyDescent="0.25">
      <c r="A749" s="137"/>
      <c r="B749" s="138"/>
      <c r="C749" s="138"/>
      <c r="D749" s="138"/>
      <c r="E749" s="139"/>
      <c r="F749" s="154"/>
      <c r="G749" s="154" t="str">
        <f t="shared" si="6"/>
        <v/>
      </c>
      <c r="H749" s="138"/>
    </row>
    <row r="750" spans="1:8" x14ac:dyDescent="0.25">
      <c r="A750" s="137"/>
      <c r="B750" s="138"/>
      <c r="C750" s="138"/>
      <c r="D750" s="138"/>
      <c r="E750" s="139"/>
      <c r="F750" s="154"/>
      <c r="G750" s="154" t="str">
        <f t="shared" si="6"/>
        <v/>
      </c>
      <c r="H750" s="138"/>
    </row>
    <row r="751" spans="1:8" x14ac:dyDescent="0.25">
      <c r="A751" s="137"/>
      <c r="B751" s="138"/>
      <c r="C751" s="138"/>
      <c r="D751" s="138"/>
      <c r="E751" s="139"/>
      <c r="F751" s="154"/>
      <c r="G751" s="154" t="str">
        <f t="shared" si="6"/>
        <v/>
      </c>
      <c r="H751" s="138"/>
    </row>
    <row r="752" spans="1:8" x14ac:dyDescent="0.25">
      <c r="A752" s="137"/>
      <c r="B752" s="138"/>
      <c r="C752" s="138"/>
      <c r="D752" s="138"/>
      <c r="E752" s="139"/>
      <c r="F752" s="154"/>
      <c r="G752" s="154" t="str">
        <f t="shared" si="6"/>
        <v/>
      </c>
      <c r="H752" s="138"/>
    </row>
    <row r="753" spans="1:8" x14ac:dyDescent="0.25">
      <c r="A753" s="137"/>
      <c r="B753" s="138"/>
      <c r="C753" s="138"/>
      <c r="D753" s="138"/>
      <c r="E753" s="139"/>
      <c r="F753" s="154"/>
      <c r="G753" s="154" t="str">
        <f t="shared" si="6"/>
        <v/>
      </c>
      <c r="H753" s="138"/>
    </row>
    <row r="754" spans="1:8" x14ac:dyDescent="0.25">
      <c r="A754" s="137"/>
      <c r="B754" s="138"/>
      <c r="C754" s="138"/>
      <c r="D754" s="138"/>
      <c r="E754" s="139"/>
      <c r="F754" s="154"/>
      <c r="G754" s="154" t="str">
        <f t="shared" si="6"/>
        <v/>
      </c>
      <c r="H754" s="138"/>
    </row>
    <row r="755" spans="1:8" x14ac:dyDescent="0.25">
      <c r="A755" s="137"/>
      <c r="B755" s="138"/>
      <c r="C755" s="138"/>
      <c r="D755" s="138"/>
      <c r="E755" s="139"/>
      <c r="F755" s="154"/>
      <c r="G755" s="154" t="str">
        <f t="shared" si="6"/>
        <v/>
      </c>
      <c r="H755" s="138"/>
    </row>
    <row r="756" spans="1:8" x14ac:dyDescent="0.25">
      <c r="A756" s="137"/>
      <c r="B756" s="138"/>
      <c r="C756" s="138"/>
      <c r="D756" s="138"/>
      <c r="E756" s="139"/>
      <c r="F756" s="154"/>
      <c r="G756" s="154" t="str">
        <f t="shared" si="6"/>
        <v/>
      </c>
      <c r="H756" s="138"/>
    </row>
    <row r="757" spans="1:8" x14ac:dyDescent="0.25">
      <c r="A757" s="137"/>
      <c r="B757" s="138"/>
      <c r="C757" s="138"/>
      <c r="D757" s="138"/>
      <c r="E757" s="139"/>
      <c r="F757" s="154"/>
      <c r="G757" s="154" t="str">
        <f t="shared" si="6"/>
        <v/>
      </c>
      <c r="H757" s="138"/>
    </row>
    <row r="758" spans="1:8" x14ac:dyDescent="0.25">
      <c r="A758" s="137"/>
      <c r="B758" s="138"/>
      <c r="C758" s="138"/>
      <c r="D758" s="138"/>
      <c r="E758" s="139"/>
      <c r="F758" s="154"/>
      <c r="G758" s="154" t="str">
        <f t="shared" si="6"/>
        <v/>
      </c>
      <c r="H758" s="138"/>
    </row>
    <row r="759" spans="1:8" x14ac:dyDescent="0.25">
      <c r="A759" s="137"/>
      <c r="B759" s="138"/>
      <c r="C759" s="138"/>
      <c r="D759" s="138"/>
      <c r="E759" s="139"/>
      <c r="F759" s="154"/>
      <c r="G759" s="154" t="str">
        <f t="shared" si="6"/>
        <v/>
      </c>
      <c r="H759" s="138"/>
    </row>
    <row r="760" spans="1:8" x14ac:dyDescent="0.25">
      <c r="A760" s="137"/>
      <c r="B760" s="138"/>
      <c r="C760" s="138"/>
      <c r="D760" s="138"/>
      <c r="E760" s="139"/>
      <c r="F760" s="154"/>
      <c r="G760" s="154" t="str">
        <f t="shared" si="6"/>
        <v/>
      </c>
      <c r="H760" s="138"/>
    </row>
    <row r="761" spans="1:8" x14ac:dyDescent="0.25">
      <c r="A761" s="137"/>
      <c r="B761" s="138"/>
      <c r="C761" s="138"/>
      <c r="D761" s="138"/>
      <c r="E761" s="139"/>
      <c r="F761" s="154"/>
      <c r="G761" s="154" t="str">
        <f t="shared" si="6"/>
        <v/>
      </c>
      <c r="H761" s="138"/>
    </row>
    <row r="762" spans="1:8" x14ac:dyDescent="0.25">
      <c r="A762" s="137"/>
      <c r="B762" s="138"/>
      <c r="C762" s="138"/>
      <c r="D762" s="138"/>
      <c r="E762" s="139"/>
      <c r="F762" s="154"/>
      <c r="G762" s="154" t="str">
        <f t="shared" si="6"/>
        <v/>
      </c>
      <c r="H762" s="138"/>
    </row>
    <row r="763" spans="1:8" x14ac:dyDescent="0.25">
      <c r="A763" s="137"/>
      <c r="B763" s="138"/>
      <c r="C763" s="138"/>
      <c r="D763" s="138"/>
      <c r="E763" s="139"/>
      <c r="F763" s="154"/>
      <c r="G763" s="154" t="str">
        <f t="shared" si="6"/>
        <v/>
      </c>
      <c r="H763" s="138"/>
    </row>
    <row r="764" spans="1:8" x14ac:dyDescent="0.25">
      <c r="A764" s="137"/>
      <c r="B764" s="138"/>
      <c r="C764" s="138"/>
      <c r="D764" s="138"/>
      <c r="E764" s="139"/>
      <c r="F764" s="154"/>
      <c r="G764" s="154" t="str">
        <f t="shared" si="6"/>
        <v/>
      </c>
      <c r="H764" s="138"/>
    </row>
    <row r="765" spans="1:8" x14ac:dyDescent="0.25">
      <c r="A765" s="137"/>
      <c r="B765" s="138"/>
      <c r="C765" s="138"/>
      <c r="D765" s="138"/>
      <c r="E765" s="139"/>
      <c r="F765" s="154"/>
      <c r="G765" s="154" t="str">
        <f t="shared" si="6"/>
        <v/>
      </c>
      <c r="H765" s="138"/>
    </row>
    <row r="766" spans="1:8" x14ac:dyDescent="0.25">
      <c r="A766" s="137"/>
      <c r="B766" s="138"/>
      <c r="C766" s="138"/>
      <c r="D766" s="138"/>
      <c r="E766" s="139"/>
      <c r="F766" s="154"/>
      <c r="G766" s="154" t="str">
        <f t="shared" si="6"/>
        <v/>
      </c>
      <c r="H766" s="138"/>
    </row>
    <row r="767" spans="1:8" x14ac:dyDescent="0.25">
      <c r="A767" s="137"/>
      <c r="B767" s="138"/>
      <c r="C767" s="138"/>
      <c r="D767" s="138"/>
      <c r="E767" s="139"/>
      <c r="F767" s="154"/>
      <c r="G767" s="154" t="str">
        <f t="shared" si="6"/>
        <v/>
      </c>
      <c r="H767" s="138"/>
    </row>
    <row r="768" spans="1:8" x14ac:dyDescent="0.25">
      <c r="A768" s="137"/>
      <c r="B768" s="138"/>
      <c r="C768" s="138"/>
      <c r="D768" s="138"/>
      <c r="E768" s="139"/>
      <c r="F768" s="154"/>
      <c r="G768" s="154" t="str">
        <f t="shared" si="6"/>
        <v/>
      </c>
      <c r="H768" s="138"/>
    </row>
    <row r="769" spans="1:8" x14ac:dyDescent="0.25">
      <c r="A769" s="137"/>
      <c r="B769" s="138"/>
      <c r="C769" s="138"/>
      <c r="D769" s="138"/>
      <c r="E769" s="139"/>
      <c r="F769" s="154"/>
      <c r="G769" s="154" t="str">
        <f t="shared" ref="G769:G832" si="7">IF(AND(ISNUMBER(E769), ISNUMBER(F769), E769&gt;0, F769&gt;0), ROUND(E769*F769, 2), IF(ISNUMBER(F769), F769, ""))</f>
        <v/>
      </c>
      <c r="H769" s="138"/>
    </row>
    <row r="770" spans="1:8" x14ac:dyDescent="0.25">
      <c r="A770" s="137"/>
      <c r="B770" s="138"/>
      <c r="C770" s="138"/>
      <c r="D770" s="138"/>
      <c r="E770" s="139"/>
      <c r="F770" s="154"/>
      <c r="G770" s="154" t="str">
        <f t="shared" si="7"/>
        <v/>
      </c>
      <c r="H770" s="138"/>
    </row>
    <row r="771" spans="1:8" x14ac:dyDescent="0.25">
      <c r="A771" s="137"/>
      <c r="B771" s="138"/>
      <c r="C771" s="138"/>
      <c r="D771" s="138"/>
      <c r="E771" s="139"/>
      <c r="F771" s="154"/>
      <c r="G771" s="154" t="str">
        <f t="shared" si="7"/>
        <v/>
      </c>
      <c r="H771" s="138"/>
    </row>
    <row r="772" spans="1:8" x14ac:dyDescent="0.25">
      <c r="A772" s="137"/>
      <c r="B772" s="138"/>
      <c r="C772" s="138"/>
      <c r="D772" s="138"/>
      <c r="E772" s="139"/>
      <c r="F772" s="154"/>
      <c r="G772" s="154" t="str">
        <f t="shared" si="7"/>
        <v/>
      </c>
      <c r="H772" s="138"/>
    </row>
    <row r="773" spans="1:8" x14ac:dyDescent="0.25">
      <c r="A773" s="137"/>
      <c r="B773" s="138"/>
      <c r="C773" s="138"/>
      <c r="D773" s="138"/>
      <c r="E773" s="139"/>
      <c r="F773" s="154"/>
      <c r="G773" s="154" t="str">
        <f t="shared" si="7"/>
        <v/>
      </c>
      <c r="H773" s="138"/>
    </row>
    <row r="774" spans="1:8" x14ac:dyDescent="0.25">
      <c r="A774" s="137"/>
      <c r="B774" s="138"/>
      <c r="C774" s="138"/>
      <c r="D774" s="138"/>
      <c r="E774" s="139"/>
      <c r="F774" s="154"/>
      <c r="G774" s="154" t="str">
        <f t="shared" si="7"/>
        <v/>
      </c>
      <c r="H774" s="138"/>
    </row>
    <row r="775" spans="1:8" x14ac:dyDescent="0.25">
      <c r="A775" s="137"/>
      <c r="B775" s="138"/>
      <c r="C775" s="138"/>
      <c r="D775" s="138"/>
      <c r="E775" s="139"/>
      <c r="F775" s="154"/>
      <c r="G775" s="154" t="str">
        <f t="shared" si="7"/>
        <v/>
      </c>
      <c r="H775" s="138"/>
    </row>
    <row r="776" spans="1:8" x14ac:dyDescent="0.25">
      <c r="A776" s="137"/>
      <c r="B776" s="138"/>
      <c r="C776" s="138"/>
      <c r="D776" s="138"/>
      <c r="E776" s="139"/>
      <c r="F776" s="154"/>
      <c r="G776" s="154" t="str">
        <f t="shared" si="7"/>
        <v/>
      </c>
      <c r="H776" s="138"/>
    </row>
    <row r="777" spans="1:8" x14ac:dyDescent="0.25">
      <c r="A777" s="137"/>
      <c r="B777" s="138"/>
      <c r="C777" s="138"/>
      <c r="D777" s="138"/>
      <c r="E777" s="139"/>
      <c r="F777" s="154"/>
      <c r="G777" s="154" t="str">
        <f t="shared" si="7"/>
        <v/>
      </c>
      <c r="H777" s="138"/>
    </row>
    <row r="778" spans="1:8" x14ac:dyDescent="0.25">
      <c r="A778" s="137"/>
      <c r="B778" s="138"/>
      <c r="C778" s="138"/>
      <c r="D778" s="138"/>
      <c r="E778" s="139"/>
      <c r="F778" s="154"/>
      <c r="G778" s="154" t="str">
        <f t="shared" si="7"/>
        <v/>
      </c>
      <c r="H778" s="138"/>
    </row>
    <row r="779" spans="1:8" x14ac:dyDescent="0.25">
      <c r="A779" s="137"/>
      <c r="B779" s="138"/>
      <c r="C779" s="138"/>
      <c r="D779" s="138"/>
      <c r="E779" s="139"/>
      <c r="F779" s="154"/>
      <c r="G779" s="154" t="str">
        <f t="shared" si="7"/>
        <v/>
      </c>
      <c r="H779" s="138"/>
    </row>
    <row r="780" spans="1:8" x14ac:dyDescent="0.25">
      <c r="A780" s="137"/>
      <c r="B780" s="138"/>
      <c r="C780" s="138"/>
      <c r="D780" s="138"/>
      <c r="E780" s="139"/>
      <c r="F780" s="154"/>
      <c r="G780" s="154" t="str">
        <f t="shared" si="7"/>
        <v/>
      </c>
      <c r="H780" s="138"/>
    </row>
    <row r="781" spans="1:8" x14ac:dyDescent="0.25">
      <c r="A781" s="137"/>
      <c r="B781" s="138"/>
      <c r="C781" s="138"/>
      <c r="D781" s="138"/>
      <c r="E781" s="139"/>
      <c r="F781" s="154"/>
      <c r="G781" s="154" t="str">
        <f t="shared" si="7"/>
        <v/>
      </c>
      <c r="H781" s="138"/>
    </row>
    <row r="782" spans="1:8" x14ac:dyDescent="0.25">
      <c r="A782" s="137"/>
      <c r="B782" s="138"/>
      <c r="C782" s="138"/>
      <c r="D782" s="138"/>
      <c r="E782" s="139"/>
      <c r="F782" s="154"/>
      <c r="G782" s="154" t="str">
        <f t="shared" si="7"/>
        <v/>
      </c>
      <c r="H782" s="138"/>
    </row>
    <row r="783" spans="1:8" x14ac:dyDescent="0.25">
      <c r="A783" s="137"/>
      <c r="B783" s="138"/>
      <c r="C783" s="138"/>
      <c r="D783" s="138"/>
      <c r="E783" s="139"/>
      <c r="F783" s="154"/>
      <c r="G783" s="154" t="str">
        <f t="shared" si="7"/>
        <v/>
      </c>
      <c r="H783" s="138"/>
    </row>
    <row r="784" spans="1:8" x14ac:dyDescent="0.25">
      <c r="A784" s="137"/>
      <c r="B784" s="138"/>
      <c r="C784" s="138"/>
      <c r="D784" s="138"/>
      <c r="E784" s="139"/>
      <c r="F784" s="154"/>
      <c r="G784" s="154" t="str">
        <f t="shared" si="7"/>
        <v/>
      </c>
      <c r="H784" s="138"/>
    </row>
    <row r="785" spans="1:8" x14ac:dyDescent="0.25">
      <c r="A785" s="137"/>
      <c r="B785" s="138"/>
      <c r="C785" s="138"/>
      <c r="D785" s="138"/>
      <c r="E785" s="139"/>
      <c r="F785" s="154"/>
      <c r="G785" s="154" t="str">
        <f t="shared" si="7"/>
        <v/>
      </c>
      <c r="H785" s="138"/>
    </row>
    <row r="786" spans="1:8" x14ac:dyDescent="0.25">
      <c r="A786" s="137"/>
      <c r="B786" s="138"/>
      <c r="C786" s="138"/>
      <c r="D786" s="138"/>
      <c r="E786" s="139"/>
      <c r="F786" s="154"/>
      <c r="G786" s="154" t="str">
        <f t="shared" si="7"/>
        <v/>
      </c>
      <c r="H786" s="138"/>
    </row>
    <row r="787" spans="1:8" x14ac:dyDescent="0.25">
      <c r="A787" s="137"/>
      <c r="B787" s="138"/>
      <c r="C787" s="138"/>
      <c r="D787" s="138"/>
      <c r="E787" s="139"/>
      <c r="F787" s="154"/>
      <c r="G787" s="154" t="str">
        <f t="shared" si="7"/>
        <v/>
      </c>
      <c r="H787" s="138"/>
    </row>
    <row r="788" spans="1:8" x14ac:dyDescent="0.25">
      <c r="A788" s="137"/>
      <c r="B788" s="138"/>
      <c r="C788" s="138"/>
      <c r="D788" s="138"/>
      <c r="E788" s="139"/>
      <c r="F788" s="154"/>
      <c r="G788" s="154" t="str">
        <f t="shared" si="7"/>
        <v/>
      </c>
      <c r="H788" s="138"/>
    </row>
    <row r="789" spans="1:8" x14ac:dyDescent="0.25">
      <c r="A789" s="137"/>
      <c r="B789" s="138"/>
      <c r="C789" s="138"/>
      <c r="D789" s="138"/>
      <c r="E789" s="139"/>
      <c r="F789" s="154"/>
      <c r="G789" s="154" t="str">
        <f t="shared" si="7"/>
        <v/>
      </c>
      <c r="H789" s="138"/>
    </row>
    <row r="790" spans="1:8" x14ac:dyDescent="0.25">
      <c r="A790" s="137"/>
      <c r="B790" s="138"/>
      <c r="C790" s="138"/>
      <c r="D790" s="138"/>
      <c r="E790" s="139"/>
      <c r="F790" s="154"/>
      <c r="G790" s="154" t="str">
        <f t="shared" si="7"/>
        <v/>
      </c>
      <c r="H790" s="138"/>
    </row>
    <row r="791" spans="1:8" x14ac:dyDescent="0.25">
      <c r="A791" s="137"/>
      <c r="B791" s="138"/>
      <c r="C791" s="138"/>
      <c r="D791" s="138"/>
      <c r="E791" s="139"/>
      <c r="F791" s="154"/>
      <c r="G791" s="154" t="str">
        <f t="shared" si="7"/>
        <v/>
      </c>
      <c r="H791" s="138"/>
    </row>
    <row r="792" spans="1:8" x14ac:dyDescent="0.25">
      <c r="A792" s="137"/>
      <c r="B792" s="138"/>
      <c r="C792" s="138"/>
      <c r="D792" s="138"/>
      <c r="E792" s="139"/>
      <c r="F792" s="154"/>
      <c r="G792" s="154" t="str">
        <f t="shared" si="7"/>
        <v/>
      </c>
      <c r="H792" s="138"/>
    </row>
    <row r="793" spans="1:8" x14ac:dyDescent="0.25">
      <c r="A793" s="137"/>
      <c r="B793" s="138"/>
      <c r="C793" s="138"/>
      <c r="D793" s="138"/>
      <c r="E793" s="139"/>
      <c r="F793" s="154"/>
      <c r="G793" s="154" t="str">
        <f t="shared" si="7"/>
        <v/>
      </c>
      <c r="H793" s="138"/>
    </row>
    <row r="794" spans="1:8" x14ac:dyDescent="0.25">
      <c r="A794" s="137"/>
      <c r="B794" s="138"/>
      <c r="C794" s="138"/>
      <c r="D794" s="138"/>
      <c r="E794" s="139"/>
      <c r="F794" s="154"/>
      <c r="G794" s="154" t="str">
        <f t="shared" si="7"/>
        <v/>
      </c>
      <c r="H794" s="138"/>
    </row>
    <row r="795" spans="1:8" x14ac:dyDescent="0.25">
      <c r="A795" s="137"/>
      <c r="B795" s="138"/>
      <c r="C795" s="138"/>
      <c r="D795" s="138"/>
      <c r="E795" s="139"/>
      <c r="F795" s="154"/>
      <c r="G795" s="154" t="str">
        <f t="shared" si="7"/>
        <v/>
      </c>
      <c r="H795" s="138"/>
    </row>
    <row r="796" spans="1:8" x14ac:dyDescent="0.25">
      <c r="A796" s="137"/>
      <c r="B796" s="138"/>
      <c r="C796" s="138"/>
      <c r="D796" s="138"/>
      <c r="E796" s="139"/>
      <c r="F796" s="154"/>
      <c r="G796" s="154" t="str">
        <f t="shared" si="7"/>
        <v/>
      </c>
      <c r="H796" s="138"/>
    </row>
    <row r="797" spans="1:8" x14ac:dyDescent="0.25">
      <c r="A797" s="137"/>
      <c r="B797" s="138"/>
      <c r="C797" s="138"/>
      <c r="D797" s="138"/>
      <c r="E797" s="139"/>
      <c r="F797" s="154"/>
      <c r="G797" s="154" t="str">
        <f t="shared" si="7"/>
        <v/>
      </c>
      <c r="H797" s="138"/>
    </row>
    <row r="798" spans="1:8" x14ac:dyDescent="0.25">
      <c r="A798" s="137"/>
      <c r="B798" s="138"/>
      <c r="C798" s="138"/>
      <c r="D798" s="138"/>
      <c r="E798" s="139"/>
      <c r="F798" s="154"/>
      <c r="G798" s="154" t="str">
        <f t="shared" si="7"/>
        <v/>
      </c>
      <c r="H798" s="138"/>
    </row>
    <row r="799" spans="1:8" x14ac:dyDescent="0.25">
      <c r="A799" s="137"/>
      <c r="B799" s="138"/>
      <c r="C799" s="138"/>
      <c r="D799" s="138"/>
      <c r="E799" s="139"/>
      <c r="F799" s="154"/>
      <c r="G799" s="154" t="str">
        <f t="shared" si="7"/>
        <v/>
      </c>
      <c r="H799" s="138"/>
    </row>
    <row r="800" spans="1:8" x14ac:dyDescent="0.25">
      <c r="A800" s="137"/>
      <c r="B800" s="138"/>
      <c r="C800" s="138"/>
      <c r="D800" s="138"/>
      <c r="E800" s="139"/>
      <c r="F800" s="154"/>
      <c r="G800" s="154" t="str">
        <f t="shared" si="7"/>
        <v/>
      </c>
      <c r="H800" s="138"/>
    </row>
    <row r="801" spans="1:8" x14ac:dyDescent="0.25">
      <c r="A801" s="137"/>
      <c r="B801" s="138"/>
      <c r="C801" s="138"/>
      <c r="D801" s="138"/>
      <c r="E801" s="139"/>
      <c r="F801" s="154"/>
      <c r="G801" s="154" t="str">
        <f t="shared" si="7"/>
        <v/>
      </c>
      <c r="H801" s="138"/>
    </row>
    <row r="802" spans="1:8" x14ac:dyDescent="0.25">
      <c r="A802" s="137"/>
      <c r="B802" s="138"/>
      <c r="C802" s="138"/>
      <c r="D802" s="138"/>
      <c r="E802" s="139"/>
      <c r="F802" s="154"/>
      <c r="G802" s="154" t="str">
        <f t="shared" si="7"/>
        <v/>
      </c>
      <c r="H802" s="138"/>
    </row>
    <row r="803" spans="1:8" x14ac:dyDescent="0.25">
      <c r="A803" s="137"/>
      <c r="B803" s="138"/>
      <c r="C803" s="138"/>
      <c r="D803" s="138"/>
      <c r="E803" s="139"/>
      <c r="F803" s="154"/>
      <c r="G803" s="154" t="str">
        <f t="shared" si="7"/>
        <v/>
      </c>
      <c r="H803" s="138"/>
    </row>
    <row r="804" spans="1:8" x14ac:dyDescent="0.25">
      <c r="A804" s="137"/>
      <c r="B804" s="138"/>
      <c r="C804" s="138"/>
      <c r="D804" s="138"/>
      <c r="E804" s="139"/>
      <c r="F804" s="154"/>
      <c r="G804" s="154" t="str">
        <f t="shared" si="7"/>
        <v/>
      </c>
      <c r="H804" s="138"/>
    </row>
    <row r="805" spans="1:8" x14ac:dyDescent="0.25">
      <c r="A805" s="137"/>
      <c r="B805" s="138"/>
      <c r="C805" s="138"/>
      <c r="D805" s="138"/>
      <c r="E805" s="139"/>
      <c r="F805" s="154"/>
      <c r="G805" s="154" t="str">
        <f t="shared" si="7"/>
        <v/>
      </c>
      <c r="H805" s="138"/>
    </row>
    <row r="806" spans="1:8" x14ac:dyDescent="0.25">
      <c r="A806" s="137"/>
      <c r="B806" s="138"/>
      <c r="C806" s="138"/>
      <c r="D806" s="138"/>
      <c r="E806" s="139"/>
      <c r="F806" s="154"/>
      <c r="G806" s="154" t="str">
        <f t="shared" si="7"/>
        <v/>
      </c>
      <c r="H806" s="138"/>
    </row>
    <row r="807" spans="1:8" x14ac:dyDescent="0.25">
      <c r="A807" s="137"/>
      <c r="B807" s="138"/>
      <c r="C807" s="138"/>
      <c r="D807" s="138"/>
      <c r="E807" s="139"/>
      <c r="F807" s="154"/>
      <c r="G807" s="154" t="str">
        <f t="shared" si="7"/>
        <v/>
      </c>
      <c r="H807" s="138"/>
    </row>
    <row r="808" spans="1:8" x14ac:dyDescent="0.25">
      <c r="A808" s="137"/>
      <c r="B808" s="138"/>
      <c r="C808" s="138"/>
      <c r="D808" s="138"/>
      <c r="E808" s="139"/>
      <c r="F808" s="154"/>
      <c r="G808" s="154" t="str">
        <f t="shared" si="7"/>
        <v/>
      </c>
      <c r="H808" s="138"/>
    </row>
    <row r="809" spans="1:8" x14ac:dyDescent="0.25">
      <c r="A809" s="137"/>
      <c r="B809" s="138"/>
      <c r="C809" s="138"/>
      <c r="D809" s="138"/>
      <c r="E809" s="139"/>
      <c r="F809" s="154"/>
      <c r="G809" s="154" t="str">
        <f t="shared" si="7"/>
        <v/>
      </c>
      <c r="H809" s="138"/>
    </row>
    <row r="810" spans="1:8" x14ac:dyDescent="0.25">
      <c r="A810" s="137"/>
      <c r="B810" s="138"/>
      <c r="C810" s="138"/>
      <c r="D810" s="138"/>
      <c r="E810" s="139"/>
      <c r="F810" s="154"/>
      <c r="G810" s="154" t="str">
        <f t="shared" si="7"/>
        <v/>
      </c>
      <c r="H810" s="138"/>
    </row>
    <row r="811" spans="1:8" x14ac:dyDescent="0.25">
      <c r="A811" s="137"/>
      <c r="B811" s="138"/>
      <c r="C811" s="138"/>
      <c r="D811" s="138"/>
      <c r="E811" s="139"/>
      <c r="F811" s="154"/>
      <c r="G811" s="154" t="str">
        <f t="shared" si="7"/>
        <v/>
      </c>
      <c r="H811" s="138"/>
    </row>
    <row r="812" spans="1:8" x14ac:dyDescent="0.25">
      <c r="A812" s="137"/>
      <c r="B812" s="138"/>
      <c r="C812" s="138"/>
      <c r="D812" s="138"/>
      <c r="E812" s="139"/>
      <c r="F812" s="154"/>
      <c r="G812" s="154" t="str">
        <f t="shared" si="7"/>
        <v/>
      </c>
      <c r="H812" s="138"/>
    </row>
    <row r="813" spans="1:8" x14ac:dyDescent="0.25">
      <c r="A813" s="137"/>
      <c r="B813" s="138"/>
      <c r="C813" s="138"/>
      <c r="D813" s="138"/>
      <c r="E813" s="139"/>
      <c r="F813" s="154"/>
      <c r="G813" s="154" t="str">
        <f t="shared" si="7"/>
        <v/>
      </c>
      <c r="H813" s="138"/>
    </row>
    <row r="814" spans="1:8" x14ac:dyDescent="0.25">
      <c r="A814" s="137"/>
      <c r="B814" s="138"/>
      <c r="C814" s="138"/>
      <c r="D814" s="138"/>
      <c r="E814" s="139"/>
      <c r="F814" s="154"/>
      <c r="G814" s="154" t="str">
        <f t="shared" si="7"/>
        <v/>
      </c>
      <c r="H814" s="138"/>
    </row>
    <row r="815" spans="1:8" x14ac:dyDescent="0.25">
      <c r="A815" s="137"/>
      <c r="B815" s="138"/>
      <c r="C815" s="138"/>
      <c r="D815" s="138"/>
      <c r="E815" s="139"/>
      <c r="F815" s="154"/>
      <c r="G815" s="154" t="str">
        <f t="shared" si="7"/>
        <v/>
      </c>
      <c r="H815" s="138"/>
    </row>
    <row r="816" spans="1:8" x14ac:dyDescent="0.25">
      <c r="A816" s="137"/>
      <c r="B816" s="138"/>
      <c r="C816" s="138"/>
      <c r="D816" s="138"/>
      <c r="E816" s="139"/>
      <c r="F816" s="154"/>
      <c r="G816" s="154" t="str">
        <f t="shared" si="7"/>
        <v/>
      </c>
      <c r="H816" s="138"/>
    </row>
    <row r="817" spans="1:8" x14ac:dyDescent="0.25">
      <c r="A817" s="137"/>
      <c r="B817" s="138"/>
      <c r="C817" s="138"/>
      <c r="D817" s="138"/>
      <c r="E817" s="139"/>
      <c r="F817" s="154"/>
      <c r="G817" s="154" t="str">
        <f t="shared" si="7"/>
        <v/>
      </c>
      <c r="H817" s="138"/>
    </row>
    <row r="818" spans="1:8" x14ac:dyDescent="0.25">
      <c r="A818" s="137"/>
      <c r="B818" s="138"/>
      <c r="C818" s="138"/>
      <c r="D818" s="138"/>
      <c r="E818" s="139"/>
      <c r="F818" s="154"/>
      <c r="G818" s="154" t="str">
        <f t="shared" si="7"/>
        <v/>
      </c>
      <c r="H818" s="138"/>
    </row>
    <row r="819" spans="1:8" x14ac:dyDescent="0.25">
      <c r="A819" s="137"/>
      <c r="B819" s="138"/>
      <c r="C819" s="138"/>
      <c r="D819" s="138"/>
      <c r="E819" s="139"/>
      <c r="F819" s="154"/>
      <c r="G819" s="154" t="str">
        <f t="shared" si="7"/>
        <v/>
      </c>
      <c r="H819" s="138"/>
    </row>
    <row r="820" spans="1:8" x14ac:dyDescent="0.25">
      <c r="A820" s="137"/>
      <c r="B820" s="138"/>
      <c r="C820" s="138"/>
      <c r="D820" s="138"/>
      <c r="E820" s="139"/>
      <c r="F820" s="154"/>
      <c r="G820" s="154" t="str">
        <f t="shared" si="7"/>
        <v/>
      </c>
      <c r="H820" s="138"/>
    </row>
    <row r="821" spans="1:8" x14ac:dyDescent="0.25">
      <c r="A821" s="137"/>
      <c r="B821" s="138"/>
      <c r="C821" s="138"/>
      <c r="D821" s="138"/>
      <c r="E821" s="139"/>
      <c r="F821" s="154"/>
      <c r="G821" s="154" t="str">
        <f t="shared" si="7"/>
        <v/>
      </c>
      <c r="H821" s="138"/>
    </row>
    <row r="822" spans="1:8" x14ac:dyDescent="0.25">
      <c r="A822" s="137"/>
      <c r="B822" s="138"/>
      <c r="C822" s="138"/>
      <c r="D822" s="138"/>
      <c r="E822" s="139"/>
      <c r="F822" s="154"/>
      <c r="G822" s="154" t="str">
        <f t="shared" si="7"/>
        <v/>
      </c>
      <c r="H822" s="138"/>
    </row>
    <row r="823" spans="1:8" x14ac:dyDescent="0.25">
      <c r="A823" s="137"/>
      <c r="B823" s="138"/>
      <c r="C823" s="138"/>
      <c r="D823" s="138"/>
      <c r="E823" s="139"/>
      <c r="F823" s="154"/>
      <c r="G823" s="154" t="str">
        <f t="shared" si="7"/>
        <v/>
      </c>
      <c r="H823" s="138"/>
    </row>
    <row r="824" spans="1:8" x14ac:dyDescent="0.25">
      <c r="A824" s="137"/>
      <c r="B824" s="138"/>
      <c r="C824" s="138"/>
      <c r="D824" s="138"/>
      <c r="E824" s="139"/>
      <c r="F824" s="154"/>
      <c r="G824" s="154" t="str">
        <f t="shared" si="7"/>
        <v/>
      </c>
      <c r="H824" s="138"/>
    </row>
    <row r="825" spans="1:8" x14ac:dyDescent="0.25">
      <c r="A825" s="137"/>
      <c r="B825" s="138"/>
      <c r="C825" s="138"/>
      <c r="D825" s="138"/>
      <c r="E825" s="139"/>
      <c r="F825" s="154"/>
      <c r="G825" s="154" t="str">
        <f t="shared" si="7"/>
        <v/>
      </c>
      <c r="H825" s="138"/>
    </row>
    <row r="826" spans="1:8" x14ac:dyDescent="0.25">
      <c r="A826" s="137"/>
      <c r="B826" s="138"/>
      <c r="C826" s="138"/>
      <c r="D826" s="138"/>
      <c r="E826" s="139"/>
      <c r="F826" s="154"/>
      <c r="G826" s="154" t="str">
        <f t="shared" si="7"/>
        <v/>
      </c>
      <c r="H826" s="138"/>
    </row>
    <row r="827" spans="1:8" x14ac:dyDescent="0.25">
      <c r="A827" s="137"/>
      <c r="B827" s="138"/>
      <c r="C827" s="138"/>
      <c r="D827" s="138"/>
      <c r="E827" s="139"/>
      <c r="F827" s="154"/>
      <c r="G827" s="154" t="str">
        <f t="shared" si="7"/>
        <v/>
      </c>
      <c r="H827" s="138"/>
    </row>
    <row r="828" spans="1:8" x14ac:dyDescent="0.25">
      <c r="A828" s="137"/>
      <c r="B828" s="138"/>
      <c r="C828" s="138"/>
      <c r="D828" s="138"/>
      <c r="E828" s="139"/>
      <c r="F828" s="154"/>
      <c r="G828" s="154" t="str">
        <f t="shared" si="7"/>
        <v/>
      </c>
      <c r="H828" s="138"/>
    </row>
    <row r="829" spans="1:8" x14ac:dyDescent="0.25">
      <c r="A829" s="137"/>
      <c r="B829" s="138"/>
      <c r="C829" s="138"/>
      <c r="D829" s="138"/>
      <c r="E829" s="139"/>
      <c r="F829" s="154"/>
      <c r="G829" s="154" t="str">
        <f t="shared" si="7"/>
        <v/>
      </c>
      <c r="H829" s="138"/>
    </row>
    <row r="830" spans="1:8" x14ac:dyDescent="0.25">
      <c r="A830" s="137"/>
      <c r="B830" s="138"/>
      <c r="C830" s="138"/>
      <c r="D830" s="138"/>
      <c r="E830" s="139"/>
      <c r="F830" s="154"/>
      <c r="G830" s="154" t="str">
        <f t="shared" si="7"/>
        <v/>
      </c>
      <c r="H830" s="138"/>
    </row>
    <row r="831" spans="1:8" x14ac:dyDescent="0.25">
      <c r="A831" s="137"/>
      <c r="B831" s="138"/>
      <c r="C831" s="138"/>
      <c r="D831" s="138"/>
      <c r="E831" s="139"/>
      <c r="F831" s="154"/>
      <c r="G831" s="154" t="str">
        <f t="shared" si="7"/>
        <v/>
      </c>
      <c r="H831" s="138"/>
    </row>
    <row r="832" spans="1:8" x14ac:dyDescent="0.25">
      <c r="A832" s="137"/>
      <c r="B832" s="138"/>
      <c r="C832" s="138"/>
      <c r="D832" s="138"/>
      <c r="E832" s="139"/>
      <c r="F832" s="154"/>
      <c r="G832" s="154" t="str">
        <f t="shared" si="7"/>
        <v/>
      </c>
      <c r="H832" s="138"/>
    </row>
    <row r="833" spans="1:8" x14ac:dyDescent="0.25">
      <c r="A833" s="137"/>
      <c r="B833" s="138"/>
      <c r="C833" s="138"/>
      <c r="D833" s="138"/>
      <c r="E833" s="139"/>
      <c r="F833" s="154"/>
      <c r="G833" s="154" t="str">
        <f t="shared" ref="G833:G896" si="8">IF(AND(ISNUMBER(E833), ISNUMBER(F833), E833&gt;0, F833&gt;0), ROUND(E833*F833, 2), IF(ISNUMBER(F833), F833, ""))</f>
        <v/>
      </c>
      <c r="H833" s="138"/>
    </row>
    <row r="834" spans="1:8" x14ac:dyDescent="0.25">
      <c r="A834" s="137"/>
      <c r="B834" s="138"/>
      <c r="C834" s="138"/>
      <c r="D834" s="138"/>
      <c r="E834" s="139"/>
      <c r="F834" s="154"/>
      <c r="G834" s="154" t="str">
        <f t="shared" si="8"/>
        <v/>
      </c>
      <c r="H834" s="138"/>
    </row>
    <row r="835" spans="1:8" x14ac:dyDescent="0.25">
      <c r="A835" s="137"/>
      <c r="B835" s="138"/>
      <c r="C835" s="138"/>
      <c r="D835" s="138"/>
      <c r="E835" s="139"/>
      <c r="F835" s="154"/>
      <c r="G835" s="154" t="str">
        <f t="shared" si="8"/>
        <v/>
      </c>
      <c r="H835" s="138"/>
    </row>
    <row r="836" spans="1:8" x14ac:dyDescent="0.25">
      <c r="A836" s="137"/>
      <c r="B836" s="138"/>
      <c r="C836" s="138"/>
      <c r="D836" s="138"/>
      <c r="E836" s="139"/>
      <c r="F836" s="154"/>
      <c r="G836" s="154" t="str">
        <f t="shared" si="8"/>
        <v/>
      </c>
      <c r="H836" s="138"/>
    </row>
    <row r="837" spans="1:8" x14ac:dyDescent="0.25">
      <c r="A837" s="137"/>
      <c r="B837" s="138"/>
      <c r="C837" s="138"/>
      <c r="D837" s="138"/>
      <c r="E837" s="139"/>
      <c r="F837" s="154"/>
      <c r="G837" s="154" t="str">
        <f t="shared" si="8"/>
        <v/>
      </c>
      <c r="H837" s="138"/>
    </row>
    <row r="838" spans="1:8" x14ac:dyDescent="0.25">
      <c r="A838" s="137"/>
      <c r="B838" s="138"/>
      <c r="C838" s="138"/>
      <c r="D838" s="138"/>
      <c r="E838" s="139"/>
      <c r="F838" s="154"/>
      <c r="G838" s="154" t="str">
        <f t="shared" si="8"/>
        <v/>
      </c>
      <c r="H838" s="138"/>
    </row>
    <row r="839" spans="1:8" x14ac:dyDescent="0.25">
      <c r="A839" s="137"/>
      <c r="B839" s="138"/>
      <c r="C839" s="138"/>
      <c r="D839" s="138"/>
      <c r="E839" s="139"/>
      <c r="F839" s="154"/>
      <c r="G839" s="154" t="str">
        <f t="shared" si="8"/>
        <v/>
      </c>
      <c r="H839" s="138"/>
    </row>
    <row r="840" spans="1:8" x14ac:dyDescent="0.25">
      <c r="A840" s="137"/>
      <c r="B840" s="138"/>
      <c r="C840" s="138"/>
      <c r="D840" s="138"/>
      <c r="E840" s="139"/>
      <c r="F840" s="154"/>
      <c r="G840" s="154" t="str">
        <f t="shared" si="8"/>
        <v/>
      </c>
      <c r="H840" s="138"/>
    </row>
    <row r="841" spans="1:8" x14ac:dyDescent="0.25">
      <c r="A841" s="137"/>
      <c r="B841" s="138"/>
      <c r="C841" s="138"/>
      <c r="D841" s="138"/>
      <c r="E841" s="139"/>
      <c r="F841" s="154"/>
      <c r="G841" s="154" t="str">
        <f t="shared" si="8"/>
        <v/>
      </c>
      <c r="H841" s="138"/>
    </row>
    <row r="842" spans="1:8" x14ac:dyDescent="0.25">
      <c r="A842" s="137"/>
      <c r="B842" s="138"/>
      <c r="C842" s="138"/>
      <c r="D842" s="138"/>
      <c r="E842" s="139"/>
      <c r="F842" s="154"/>
      <c r="G842" s="154" t="str">
        <f t="shared" si="8"/>
        <v/>
      </c>
      <c r="H842" s="138"/>
    </row>
    <row r="843" spans="1:8" x14ac:dyDescent="0.25">
      <c r="A843" s="137"/>
      <c r="B843" s="138"/>
      <c r="C843" s="138"/>
      <c r="D843" s="138"/>
      <c r="E843" s="139"/>
      <c r="F843" s="154"/>
      <c r="G843" s="154" t="str">
        <f t="shared" si="8"/>
        <v/>
      </c>
      <c r="H843" s="138"/>
    </row>
    <row r="844" spans="1:8" x14ac:dyDescent="0.25">
      <c r="A844" s="137"/>
      <c r="B844" s="138"/>
      <c r="C844" s="138"/>
      <c r="D844" s="138"/>
      <c r="E844" s="139"/>
      <c r="F844" s="154"/>
      <c r="G844" s="154" t="str">
        <f t="shared" si="8"/>
        <v/>
      </c>
      <c r="H844" s="138"/>
    </row>
    <row r="845" spans="1:8" x14ac:dyDescent="0.25">
      <c r="A845" s="137"/>
      <c r="B845" s="138"/>
      <c r="C845" s="138"/>
      <c r="D845" s="138"/>
      <c r="E845" s="139"/>
      <c r="F845" s="154"/>
      <c r="G845" s="154" t="str">
        <f t="shared" si="8"/>
        <v/>
      </c>
      <c r="H845" s="138"/>
    </row>
    <row r="846" spans="1:8" x14ac:dyDescent="0.25">
      <c r="A846" s="137"/>
      <c r="B846" s="138"/>
      <c r="C846" s="138"/>
      <c r="D846" s="138"/>
      <c r="E846" s="139"/>
      <c r="F846" s="154"/>
      <c r="G846" s="154" t="str">
        <f t="shared" si="8"/>
        <v/>
      </c>
      <c r="H846" s="138"/>
    </row>
    <row r="847" spans="1:8" x14ac:dyDescent="0.25">
      <c r="A847" s="137"/>
      <c r="B847" s="138"/>
      <c r="C847" s="138"/>
      <c r="D847" s="138"/>
      <c r="E847" s="139"/>
      <c r="F847" s="154"/>
      <c r="G847" s="154" t="str">
        <f t="shared" si="8"/>
        <v/>
      </c>
      <c r="H847" s="138"/>
    </row>
    <row r="848" spans="1:8" x14ac:dyDescent="0.25">
      <c r="A848" s="137"/>
      <c r="B848" s="138"/>
      <c r="C848" s="138"/>
      <c r="D848" s="138"/>
      <c r="E848" s="139"/>
      <c r="F848" s="154"/>
      <c r="G848" s="154" t="str">
        <f t="shared" si="8"/>
        <v/>
      </c>
      <c r="H848" s="138"/>
    </row>
    <row r="849" spans="1:8" x14ac:dyDescent="0.25">
      <c r="A849" s="137"/>
      <c r="B849" s="138"/>
      <c r="C849" s="138"/>
      <c r="D849" s="138"/>
      <c r="E849" s="139"/>
      <c r="F849" s="154"/>
      <c r="G849" s="154" t="str">
        <f t="shared" si="8"/>
        <v/>
      </c>
      <c r="H849" s="138"/>
    </row>
    <row r="850" spans="1:8" x14ac:dyDescent="0.25">
      <c r="A850" s="137"/>
      <c r="B850" s="138"/>
      <c r="C850" s="138"/>
      <c r="D850" s="138"/>
      <c r="E850" s="139"/>
      <c r="F850" s="154"/>
      <c r="G850" s="154" t="str">
        <f t="shared" si="8"/>
        <v/>
      </c>
      <c r="H850" s="138"/>
    </row>
    <row r="851" spans="1:8" x14ac:dyDescent="0.25">
      <c r="A851" s="137"/>
      <c r="B851" s="138"/>
      <c r="C851" s="138"/>
      <c r="D851" s="138"/>
      <c r="E851" s="139"/>
      <c r="F851" s="154"/>
      <c r="G851" s="154" t="str">
        <f t="shared" si="8"/>
        <v/>
      </c>
      <c r="H851" s="138"/>
    </row>
    <row r="852" spans="1:8" x14ac:dyDescent="0.25">
      <c r="A852" s="137"/>
      <c r="B852" s="138"/>
      <c r="C852" s="138"/>
      <c r="D852" s="138"/>
      <c r="E852" s="139"/>
      <c r="F852" s="154"/>
      <c r="G852" s="154" t="str">
        <f t="shared" si="8"/>
        <v/>
      </c>
      <c r="H852" s="138"/>
    </row>
    <row r="853" spans="1:8" x14ac:dyDescent="0.25">
      <c r="A853" s="137"/>
      <c r="B853" s="138"/>
      <c r="C853" s="138"/>
      <c r="D853" s="138"/>
      <c r="E853" s="139"/>
      <c r="F853" s="154"/>
      <c r="G853" s="154" t="str">
        <f t="shared" si="8"/>
        <v/>
      </c>
      <c r="H853" s="138"/>
    </row>
    <row r="854" spans="1:8" x14ac:dyDescent="0.25">
      <c r="A854" s="137"/>
      <c r="B854" s="138"/>
      <c r="C854" s="138"/>
      <c r="D854" s="138"/>
      <c r="E854" s="139"/>
      <c r="F854" s="154"/>
      <c r="G854" s="154" t="str">
        <f t="shared" si="8"/>
        <v/>
      </c>
      <c r="H854" s="138"/>
    </row>
    <row r="855" spans="1:8" x14ac:dyDescent="0.25">
      <c r="A855" s="137"/>
      <c r="B855" s="138"/>
      <c r="C855" s="138"/>
      <c r="D855" s="138"/>
      <c r="E855" s="139"/>
      <c r="F855" s="154"/>
      <c r="G855" s="154" t="str">
        <f t="shared" si="8"/>
        <v/>
      </c>
      <c r="H855" s="138"/>
    </row>
    <row r="856" spans="1:8" x14ac:dyDescent="0.25">
      <c r="A856" s="137"/>
      <c r="B856" s="138"/>
      <c r="C856" s="138"/>
      <c r="D856" s="138"/>
      <c r="E856" s="139"/>
      <c r="F856" s="154"/>
      <c r="G856" s="154" t="str">
        <f t="shared" si="8"/>
        <v/>
      </c>
      <c r="H856" s="138"/>
    </row>
    <row r="857" spans="1:8" x14ac:dyDescent="0.25">
      <c r="A857" s="137"/>
      <c r="B857" s="138"/>
      <c r="C857" s="138"/>
      <c r="D857" s="138"/>
      <c r="E857" s="139"/>
      <c r="F857" s="154"/>
      <c r="G857" s="154" t="str">
        <f t="shared" si="8"/>
        <v/>
      </c>
      <c r="H857" s="138"/>
    </row>
    <row r="858" spans="1:8" x14ac:dyDescent="0.25">
      <c r="A858" s="137"/>
      <c r="B858" s="138"/>
      <c r="C858" s="138"/>
      <c r="D858" s="138"/>
      <c r="E858" s="139"/>
      <c r="F858" s="154"/>
      <c r="G858" s="154" t="str">
        <f t="shared" si="8"/>
        <v/>
      </c>
      <c r="H858" s="138"/>
    </row>
    <row r="859" spans="1:8" x14ac:dyDescent="0.25">
      <c r="A859" s="137"/>
      <c r="B859" s="138"/>
      <c r="C859" s="138"/>
      <c r="D859" s="138"/>
      <c r="E859" s="139"/>
      <c r="F859" s="154"/>
      <c r="G859" s="154" t="str">
        <f t="shared" si="8"/>
        <v/>
      </c>
      <c r="H859" s="138"/>
    </row>
    <row r="860" spans="1:8" x14ac:dyDescent="0.25">
      <c r="A860" s="137"/>
      <c r="B860" s="138"/>
      <c r="C860" s="138"/>
      <c r="D860" s="138"/>
      <c r="E860" s="139"/>
      <c r="F860" s="154"/>
      <c r="G860" s="154" t="str">
        <f t="shared" si="8"/>
        <v/>
      </c>
      <c r="H860" s="138"/>
    </row>
    <row r="861" spans="1:8" x14ac:dyDescent="0.25">
      <c r="A861" s="137"/>
      <c r="B861" s="138"/>
      <c r="C861" s="138"/>
      <c r="D861" s="138"/>
      <c r="E861" s="139"/>
      <c r="F861" s="154"/>
      <c r="G861" s="154" t="str">
        <f t="shared" si="8"/>
        <v/>
      </c>
      <c r="H861" s="138"/>
    </row>
    <row r="862" spans="1:8" x14ac:dyDescent="0.25">
      <c r="A862" s="137"/>
      <c r="B862" s="138"/>
      <c r="C862" s="138"/>
      <c r="D862" s="138"/>
      <c r="E862" s="139"/>
      <c r="F862" s="154"/>
      <c r="G862" s="154" t="str">
        <f t="shared" si="8"/>
        <v/>
      </c>
      <c r="H862" s="138"/>
    </row>
    <row r="863" spans="1:8" x14ac:dyDescent="0.25">
      <c r="A863" s="137"/>
      <c r="B863" s="138"/>
      <c r="C863" s="138"/>
      <c r="D863" s="138"/>
      <c r="E863" s="139"/>
      <c r="F863" s="154"/>
      <c r="G863" s="154" t="str">
        <f t="shared" si="8"/>
        <v/>
      </c>
      <c r="H863" s="138"/>
    </row>
    <row r="864" spans="1:8" x14ac:dyDescent="0.25">
      <c r="A864" s="137"/>
      <c r="B864" s="138"/>
      <c r="C864" s="138"/>
      <c r="D864" s="138"/>
      <c r="E864" s="139"/>
      <c r="F864" s="154"/>
      <c r="G864" s="154" t="str">
        <f t="shared" si="8"/>
        <v/>
      </c>
      <c r="H864" s="138"/>
    </row>
    <row r="865" spans="1:8" x14ac:dyDescent="0.25">
      <c r="A865" s="137"/>
      <c r="B865" s="138"/>
      <c r="C865" s="138"/>
      <c r="D865" s="138"/>
      <c r="E865" s="139"/>
      <c r="F865" s="154"/>
      <c r="G865" s="154" t="str">
        <f t="shared" si="8"/>
        <v/>
      </c>
      <c r="H865" s="138"/>
    </row>
    <row r="866" spans="1:8" x14ac:dyDescent="0.25">
      <c r="A866" s="137"/>
      <c r="B866" s="138"/>
      <c r="C866" s="138"/>
      <c r="D866" s="138"/>
      <c r="E866" s="139"/>
      <c r="F866" s="154"/>
      <c r="G866" s="154" t="str">
        <f t="shared" si="8"/>
        <v/>
      </c>
      <c r="H866" s="138"/>
    </row>
    <row r="867" spans="1:8" x14ac:dyDescent="0.25">
      <c r="A867" s="137"/>
      <c r="B867" s="138"/>
      <c r="C867" s="138"/>
      <c r="D867" s="138"/>
      <c r="E867" s="139"/>
      <c r="F867" s="154"/>
      <c r="G867" s="154" t="str">
        <f t="shared" si="8"/>
        <v/>
      </c>
      <c r="H867" s="138"/>
    </row>
    <row r="868" spans="1:8" x14ac:dyDescent="0.25">
      <c r="A868" s="137"/>
      <c r="B868" s="138"/>
      <c r="C868" s="138"/>
      <c r="D868" s="138"/>
      <c r="E868" s="139"/>
      <c r="F868" s="154"/>
      <c r="G868" s="154" t="str">
        <f t="shared" si="8"/>
        <v/>
      </c>
      <c r="H868" s="138"/>
    </row>
    <row r="869" spans="1:8" x14ac:dyDescent="0.25">
      <c r="A869" s="137"/>
      <c r="B869" s="138"/>
      <c r="C869" s="138"/>
      <c r="D869" s="138"/>
      <c r="E869" s="139"/>
      <c r="F869" s="154"/>
      <c r="G869" s="154" t="str">
        <f t="shared" si="8"/>
        <v/>
      </c>
      <c r="H869" s="138"/>
    </row>
    <row r="870" spans="1:8" x14ac:dyDescent="0.25">
      <c r="A870" s="137"/>
      <c r="B870" s="138"/>
      <c r="C870" s="138"/>
      <c r="D870" s="138"/>
      <c r="E870" s="139"/>
      <c r="F870" s="154"/>
      <c r="G870" s="154" t="str">
        <f t="shared" si="8"/>
        <v/>
      </c>
      <c r="H870" s="138"/>
    </row>
    <row r="871" spans="1:8" x14ac:dyDescent="0.25">
      <c r="A871" s="137"/>
      <c r="B871" s="138"/>
      <c r="C871" s="138"/>
      <c r="D871" s="138"/>
      <c r="E871" s="139"/>
      <c r="F871" s="154"/>
      <c r="G871" s="154" t="str">
        <f t="shared" si="8"/>
        <v/>
      </c>
      <c r="H871" s="138"/>
    </row>
    <row r="872" spans="1:8" x14ac:dyDescent="0.25">
      <c r="A872" s="137"/>
      <c r="B872" s="138"/>
      <c r="C872" s="138"/>
      <c r="D872" s="138"/>
      <c r="E872" s="139"/>
      <c r="F872" s="154"/>
      <c r="G872" s="154" t="str">
        <f t="shared" si="8"/>
        <v/>
      </c>
      <c r="H872" s="138"/>
    </row>
    <row r="873" spans="1:8" x14ac:dyDescent="0.25">
      <c r="A873" s="137"/>
      <c r="B873" s="138"/>
      <c r="C873" s="138"/>
      <c r="D873" s="138"/>
      <c r="E873" s="139"/>
      <c r="F873" s="154"/>
      <c r="G873" s="154" t="str">
        <f t="shared" si="8"/>
        <v/>
      </c>
      <c r="H873" s="138"/>
    </row>
    <row r="874" spans="1:8" x14ac:dyDescent="0.25">
      <c r="A874" s="137"/>
      <c r="B874" s="138"/>
      <c r="C874" s="138"/>
      <c r="D874" s="138"/>
      <c r="E874" s="139"/>
      <c r="F874" s="154"/>
      <c r="G874" s="154" t="str">
        <f t="shared" si="8"/>
        <v/>
      </c>
      <c r="H874" s="138"/>
    </row>
    <row r="875" spans="1:8" x14ac:dyDescent="0.25">
      <c r="A875" s="137"/>
      <c r="B875" s="138"/>
      <c r="C875" s="138"/>
      <c r="D875" s="138"/>
      <c r="E875" s="139"/>
      <c r="F875" s="154"/>
      <c r="G875" s="154" t="str">
        <f t="shared" si="8"/>
        <v/>
      </c>
      <c r="H875" s="138"/>
    </row>
    <row r="876" spans="1:8" x14ac:dyDescent="0.25">
      <c r="A876" s="137"/>
      <c r="B876" s="138"/>
      <c r="C876" s="138"/>
      <c r="D876" s="138"/>
      <c r="E876" s="139"/>
      <c r="F876" s="154"/>
      <c r="G876" s="154" t="str">
        <f t="shared" si="8"/>
        <v/>
      </c>
      <c r="H876" s="138"/>
    </row>
    <row r="877" spans="1:8" x14ac:dyDescent="0.25">
      <c r="A877" s="137"/>
      <c r="B877" s="138"/>
      <c r="C877" s="138"/>
      <c r="D877" s="138"/>
      <c r="E877" s="139"/>
      <c r="F877" s="154"/>
      <c r="G877" s="154" t="str">
        <f t="shared" si="8"/>
        <v/>
      </c>
      <c r="H877" s="138"/>
    </row>
    <row r="878" spans="1:8" x14ac:dyDescent="0.25">
      <c r="A878" s="137"/>
      <c r="B878" s="138"/>
      <c r="C878" s="138"/>
      <c r="D878" s="138"/>
      <c r="E878" s="139"/>
      <c r="F878" s="154"/>
      <c r="G878" s="154" t="str">
        <f t="shared" si="8"/>
        <v/>
      </c>
      <c r="H878" s="138"/>
    </row>
    <row r="879" spans="1:8" x14ac:dyDescent="0.25">
      <c r="A879" s="137"/>
      <c r="B879" s="138"/>
      <c r="C879" s="138"/>
      <c r="D879" s="138"/>
      <c r="E879" s="139"/>
      <c r="F879" s="154"/>
      <c r="G879" s="154" t="str">
        <f t="shared" si="8"/>
        <v/>
      </c>
      <c r="H879" s="138"/>
    </row>
    <row r="880" spans="1:8" x14ac:dyDescent="0.25">
      <c r="A880" s="137"/>
      <c r="B880" s="138"/>
      <c r="C880" s="138"/>
      <c r="D880" s="138"/>
      <c r="E880" s="139"/>
      <c r="F880" s="154"/>
      <c r="G880" s="154" t="str">
        <f t="shared" si="8"/>
        <v/>
      </c>
      <c r="H880" s="138"/>
    </row>
    <row r="881" spans="1:8" x14ac:dyDescent="0.25">
      <c r="A881" s="137"/>
      <c r="B881" s="138"/>
      <c r="C881" s="138"/>
      <c r="D881" s="138"/>
      <c r="E881" s="139"/>
      <c r="F881" s="154"/>
      <c r="G881" s="154" t="str">
        <f t="shared" si="8"/>
        <v/>
      </c>
      <c r="H881" s="138"/>
    </row>
    <row r="882" spans="1:8" x14ac:dyDescent="0.25">
      <c r="A882" s="137"/>
      <c r="B882" s="138"/>
      <c r="C882" s="138"/>
      <c r="D882" s="138"/>
      <c r="E882" s="139"/>
      <c r="F882" s="154"/>
      <c r="G882" s="154" t="str">
        <f t="shared" si="8"/>
        <v/>
      </c>
      <c r="H882" s="138"/>
    </row>
    <row r="883" spans="1:8" x14ac:dyDescent="0.25">
      <c r="A883" s="137"/>
      <c r="B883" s="138"/>
      <c r="C883" s="138"/>
      <c r="D883" s="138"/>
      <c r="E883" s="139"/>
      <c r="F883" s="154"/>
      <c r="G883" s="154" t="str">
        <f t="shared" si="8"/>
        <v/>
      </c>
      <c r="H883" s="138"/>
    </row>
    <row r="884" spans="1:8" x14ac:dyDescent="0.25">
      <c r="A884" s="137"/>
      <c r="B884" s="138"/>
      <c r="C884" s="138"/>
      <c r="D884" s="138"/>
      <c r="E884" s="139"/>
      <c r="F884" s="154"/>
      <c r="G884" s="154" t="str">
        <f t="shared" si="8"/>
        <v/>
      </c>
      <c r="H884" s="138"/>
    </row>
    <row r="885" spans="1:8" x14ac:dyDescent="0.25">
      <c r="A885" s="137"/>
      <c r="B885" s="138"/>
      <c r="C885" s="138"/>
      <c r="D885" s="138"/>
      <c r="E885" s="139"/>
      <c r="F885" s="154"/>
      <c r="G885" s="154" t="str">
        <f t="shared" si="8"/>
        <v/>
      </c>
      <c r="H885" s="138"/>
    </row>
    <row r="886" spans="1:8" x14ac:dyDescent="0.25">
      <c r="A886" s="137"/>
      <c r="B886" s="138"/>
      <c r="C886" s="138"/>
      <c r="D886" s="138"/>
      <c r="E886" s="139"/>
      <c r="F886" s="154"/>
      <c r="G886" s="154" t="str">
        <f t="shared" si="8"/>
        <v/>
      </c>
      <c r="H886" s="138"/>
    </row>
    <row r="887" spans="1:8" x14ac:dyDescent="0.25">
      <c r="A887" s="137"/>
      <c r="B887" s="138"/>
      <c r="C887" s="138"/>
      <c r="D887" s="138"/>
      <c r="E887" s="139"/>
      <c r="F887" s="154"/>
      <c r="G887" s="154" t="str">
        <f t="shared" si="8"/>
        <v/>
      </c>
      <c r="H887" s="138"/>
    </row>
    <row r="888" spans="1:8" x14ac:dyDescent="0.25">
      <c r="A888" s="137"/>
      <c r="B888" s="138"/>
      <c r="C888" s="138"/>
      <c r="D888" s="138"/>
      <c r="E888" s="139"/>
      <c r="F888" s="154"/>
      <c r="G888" s="154" t="str">
        <f t="shared" si="8"/>
        <v/>
      </c>
      <c r="H888" s="138"/>
    </row>
    <row r="889" spans="1:8" x14ac:dyDescent="0.25">
      <c r="A889" s="137"/>
      <c r="B889" s="138"/>
      <c r="C889" s="138"/>
      <c r="D889" s="138"/>
      <c r="E889" s="139"/>
      <c r="F889" s="154"/>
      <c r="G889" s="154" t="str">
        <f t="shared" si="8"/>
        <v/>
      </c>
      <c r="H889" s="138"/>
    </row>
    <row r="890" spans="1:8" x14ac:dyDescent="0.25">
      <c r="A890" s="137"/>
      <c r="B890" s="138"/>
      <c r="C890" s="138"/>
      <c r="D890" s="138"/>
      <c r="E890" s="139"/>
      <c r="F890" s="154"/>
      <c r="G890" s="154" t="str">
        <f t="shared" si="8"/>
        <v/>
      </c>
      <c r="H890" s="138"/>
    </row>
    <row r="891" spans="1:8" x14ac:dyDescent="0.25">
      <c r="A891" s="137"/>
      <c r="B891" s="138"/>
      <c r="C891" s="138"/>
      <c r="D891" s="138"/>
      <c r="E891" s="139"/>
      <c r="F891" s="154"/>
      <c r="G891" s="154" t="str">
        <f t="shared" si="8"/>
        <v/>
      </c>
      <c r="H891" s="138"/>
    </row>
    <row r="892" spans="1:8" x14ac:dyDescent="0.25">
      <c r="A892" s="137"/>
      <c r="B892" s="138"/>
      <c r="C892" s="138"/>
      <c r="D892" s="138"/>
      <c r="E892" s="139"/>
      <c r="F892" s="154"/>
      <c r="G892" s="154" t="str">
        <f t="shared" si="8"/>
        <v/>
      </c>
      <c r="H892" s="138"/>
    </row>
    <row r="893" spans="1:8" x14ac:dyDescent="0.25">
      <c r="A893" s="137"/>
      <c r="B893" s="138"/>
      <c r="C893" s="138"/>
      <c r="D893" s="138"/>
      <c r="E893" s="139"/>
      <c r="F893" s="154"/>
      <c r="G893" s="154" t="str">
        <f t="shared" si="8"/>
        <v/>
      </c>
      <c r="H893" s="138"/>
    </row>
    <row r="894" spans="1:8" x14ac:dyDescent="0.25">
      <c r="A894" s="137"/>
      <c r="B894" s="138"/>
      <c r="C894" s="138"/>
      <c r="D894" s="138"/>
      <c r="E894" s="139"/>
      <c r="F894" s="154"/>
      <c r="G894" s="154" t="str">
        <f t="shared" si="8"/>
        <v/>
      </c>
      <c r="H894" s="138"/>
    </row>
    <row r="895" spans="1:8" x14ac:dyDescent="0.25">
      <c r="A895" s="137"/>
      <c r="B895" s="138"/>
      <c r="C895" s="138"/>
      <c r="D895" s="138"/>
      <c r="E895" s="139"/>
      <c r="F895" s="154"/>
      <c r="G895" s="154" t="str">
        <f t="shared" si="8"/>
        <v/>
      </c>
      <c r="H895" s="138"/>
    </row>
    <row r="896" spans="1:8" x14ac:dyDescent="0.25">
      <c r="A896" s="137"/>
      <c r="B896" s="138"/>
      <c r="C896" s="138"/>
      <c r="D896" s="138"/>
      <c r="E896" s="139"/>
      <c r="F896" s="154"/>
      <c r="G896" s="154" t="str">
        <f t="shared" si="8"/>
        <v/>
      </c>
      <c r="H896" s="138"/>
    </row>
    <row r="897" spans="1:8" x14ac:dyDescent="0.25">
      <c r="A897" s="137"/>
      <c r="B897" s="138"/>
      <c r="C897" s="138"/>
      <c r="D897" s="138"/>
      <c r="E897" s="139"/>
      <c r="F897" s="154"/>
      <c r="G897" s="154" t="str">
        <f t="shared" ref="G897:G960" si="9">IF(AND(ISNUMBER(E897), ISNUMBER(F897), E897&gt;0, F897&gt;0), ROUND(E897*F897, 2), IF(ISNUMBER(F897), F897, ""))</f>
        <v/>
      </c>
      <c r="H897" s="138"/>
    </row>
    <row r="898" spans="1:8" x14ac:dyDescent="0.25">
      <c r="A898" s="137"/>
      <c r="B898" s="138"/>
      <c r="C898" s="138"/>
      <c r="D898" s="138"/>
      <c r="E898" s="139"/>
      <c r="F898" s="154"/>
      <c r="G898" s="154" t="str">
        <f t="shared" si="9"/>
        <v/>
      </c>
      <c r="H898" s="138"/>
    </row>
    <row r="899" spans="1:8" x14ac:dyDescent="0.25">
      <c r="A899" s="137"/>
      <c r="B899" s="138"/>
      <c r="C899" s="138"/>
      <c r="D899" s="138"/>
      <c r="E899" s="139"/>
      <c r="F899" s="154"/>
      <c r="G899" s="154" t="str">
        <f t="shared" si="9"/>
        <v/>
      </c>
      <c r="H899" s="138"/>
    </row>
    <row r="900" spans="1:8" x14ac:dyDescent="0.25">
      <c r="A900" s="137"/>
      <c r="B900" s="138"/>
      <c r="C900" s="138"/>
      <c r="D900" s="138"/>
      <c r="E900" s="139"/>
      <c r="F900" s="154"/>
      <c r="G900" s="154" t="str">
        <f t="shared" si="9"/>
        <v/>
      </c>
      <c r="H900" s="138"/>
    </row>
    <row r="901" spans="1:8" x14ac:dyDescent="0.25">
      <c r="A901" s="137"/>
      <c r="B901" s="138"/>
      <c r="C901" s="138"/>
      <c r="D901" s="138"/>
      <c r="E901" s="139"/>
      <c r="F901" s="154"/>
      <c r="G901" s="154" t="str">
        <f t="shared" si="9"/>
        <v/>
      </c>
      <c r="H901" s="138"/>
    </row>
    <row r="902" spans="1:8" x14ac:dyDescent="0.25">
      <c r="A902" s="137"/>
      <c r="B902" s="138"/>
      <c r="C902" s="138"/>
      <c r="D902" s="138"/>
      <c r="E902" s="139"/>
      <c r="F902" s="154"/>
      <c r="G902" s="154" t="str">
        <f t="shared" si="9"/>
        <v/>
      </c>
      <c r="H902" s="138"/>
    </row>
    <row r="903" spans="1:8" x14ac:dyDescent="0.25">
      <c r="A903" s="137"/>
      <c r="B903" s="138"/>
      <c r="C903" s="138"/>
      <c r="D903" s="138"/>
      <c r="E903" s="139"/>
      <c r="F903" s="154"/>
      <c r="G903" s="154" t="str">
        <f t="shared" si="9"/>
        <v/>
      </c>
      <c r="H903" s="138"/>
    </row>
    <row r="904" spans="1:8" x14ac:dyDescent="0.25">
      <c r="A904" s="137"/>
      <c r="B904" s="138"/>
      <c r="C904" s="138"/>
      <c r="D904" s="138"/>
      <c r="E904" s="139"/>
      <c r="F904" s="154"/>
      <c r="G904" s="154" t="str">
        <f t="shared" si="9"/>
        <v/>
      </c>
      <c r="H904" s="138"/>
    </row>
    <row r="905" spans="1:8" x14ac:dyDescent="0.25">
      <c r="A905" s="137"/>
      <c r="B905" s="138"/>
      <c r="C905" s="138"/>
      <c r="D905" s="138"/>
      <c r="E905" s="139"/>
      <c r="F905" s="154"/>
      <c r="G905" s="154" t="str">
        <f t="shared" si="9"/>
        <v/>
      </c>
      <c r="H905" s="138"/>
    </row>
    <row r="906" spans="1:8" x14ac:dyDescent="0.25">
      <c r="A906" s="137"/>
      <c r="B906" s="138"/>
      <c r="C906" s="138"/>
      <c r="D906" s="138"/>
      <c r="E906" s="139"/>
      <c r="F906" s="154"/>
      <c r="G906" s="154" t="str">
        <f t="shared" si="9"/>
        <v/>
      </c>
      <c r="H906" s="138"/>
    </row>
    <row r="907" spans="1:8" x14ac:dyDescent="0.25">
      <c r="A907" s="137"/>
      <c r="B907" s="138"/>
      <c r="C907" s="138"/>
      <c r="D907" s="138"/>
      <c r="E907" s="139"/>
      <c r="F907" s="154"/>
      <c r="G907" s="154" t="str">
        <f t="shared" si="9"/>
        <v/>
      </c>
      <c r="H907" s="138"/>
    </row>
    <row r="908" spans="1:8" x14ac:dyDescent="0.25">
      <c r="A908" s="137"/>
      <c r="B908" s="138"/>
      <c r="C908" s="138"/>
      <c r="D908" s="138"/>
      <c r="E908" s="139"/>
      <c r="F908" s="154"/>
      <c r="G908" s="154" t="str">
        <f t="shared" si="9"/>
        <v/>
      </c>
      <c r="H908" s="138"/>
    </row>
    <row r="909" spans="1:8" x14ac:dyDescent="0.25">
      <c r="A909" s="137"/>
      <c r="B909" s="138"/>
      <c r="C909" s="138"/>
      <c r="D909" s="138"/>
      <c r="E909" s="139"/>
      <c r="F909" s="154"/>
      <c r="G909" s="154" t="str">
        <f t="shared" si="9"/>
        <v/>
      </c>
      <c r="H909" s="138"/>
    </row>
    <row r="910" spans="1:8" x14ac:dyDescent="0.25">
      <c r="A910" s="137"/>
      <c r="B910" s="138"/>
      <c r="C910" s="138"/>
      <c r="D910" s="138"/>
      <c r="E910" s="139"/>
      <c r="F910" s="154"/>
      <c r="G910" s="154" t="str">
        <f t="shared" si="9"/>
        <v/>
      </c>
      <c r="H910" s="138"/>
    </row>
    <row r="911" spans="1:8" x14ac:dyDescent="0.25">
      <c r="A911" s="137"/>
      <c r="B911" s="138"/>
      <c r="C911" s="138"/>
      <c r="D911" s="138"/>
      <c r="E911" s="139"/>
      <c r="F911" s="154"/>
      <c r="G911" s="154" t="str">
        <f t="shared" si="9"/>
        <v/>
      </c>
      <c r="H911" s="138"/>
    </row>
    <row r="912" spans="1:8" x14ac:dyDescent="0.25">
      <c r="A912" s="137"/>
      <c r="B912" s="138"/>
      <c r="C912" s="138"/>
      <c r="D912" s="138"/>
      <c r="E912" s="139"/>
      <c r="F912" s="154"/>
      <c r="G912" s="154" t="str">
        <f t="shared" si="9"/>
        <v/>
      </c>
      <c r="H912" s="138"/>
    </row>
    <row r="913" spans="1:8" x14ac:dyDescent="0.25">
      <c r="A913" s="137"/>
      <c r="B913" s="138"/>
      <c r="C913" s="138"/>
      <c r="D913" s="138"/>
      <c r="E913" s="139"/>
      <c r="F913" s="154"/>
      <c r="G913" s="154" t="str">
        <f t="shared" si="9"/>
        <v/>
      </c>
      <c r="H913" s="138"/>
    </row>
    <row r="914" spans="1:8" x14ac:dyDescent="0.25">
      <c r="A914" s="137"/>
      <c r="B914" s="138"/>
      <c r="C914" s="138"/>
      <c r="D914" s="138"/>
      <c r="E914" s="139"/>
      <c r="F914" s="154"/>
      <c r="G914" s="154" t="str">
        <f t="shared" si="9"/>
        <v/>
      </c>
      <c r="H914" s="138"/>
    </row>
    <row r="915" spans="1:8" x14ac:dyDescent="0.25">
      <c r="A915" s="137"/>
      <c r="B915" s="138"/>
      <c r="C915" s="138"/>
      <c r="D915" s="138"/>
      <c r="E915" s="139"/>
      <c r="F915" s="154"/>
      <c r="G915" s="154" t="str">
        <f t="shared" si="9"/>
        <v/>
      </c>
      <c r="H915" s="138"/>
    </row>
    <row r="916" spans="1:8" x14ac:dyDescent="0.25">
      <c r="A916" s="137"/>
      <c r="B916" s="138"/>
      <c r="C916" s="138"/>
      <c r="D916" s="138"/>
      <c r="E916" s="139"/>
      <c r="F916" s="154"/>
      <c r="G916" s="154" t="str">
        <f t="shared" si="9"/>
        <v/>
      </c>
      <c r="H916" s="138"/>
    </row>
    <row r="917" spans="1:8" x14ac:dyDescent="0.25">
      <c r="A917" s="137"/>
      <c r="B917" s="138"/>
      <c r="C917" s="138"/>
      <c r="D917" s="138"/>
      <c r="E917" s="139"/>
      <c r="F917" s="154"/>
      <c r="G917" s="154" t="str">
        <f t="shared" si="9"/>
        <v/>
      </c>
      <c r="H917" s="138"/>
    </row>
    <row r="918" spans="1:8" x14ac:dyDescent="0.25">
      <c r="A918" s="137"/>
      <c r="B918" s="138"/>
      <c r="C918" s="138"/>
      <c r="D918" s="138"/>
      <c r="E918" s="139"/>
      <c r="F918" s="154"/>
      <c r="G918" s="154" t="str">
        <f t="shared" si="9"/>
        <v/>
      </c>
      <c r="H918" s="138"/>
    </row>
    <row r="919" spans="1:8" x14ac:dyDescent="0.25">
      <c r="A919" s="137"/>
      <c r="B919" s="138"/>
      <c r="C919" s="138"/>
      <c r="D919" s="138"/>
      <c r="E919" s="139"/>
      <c r="F919" s="154"/>
      <c r="G919" s="154" t="str">
        <f t="shared" si="9"/>
        <v/>
      </c>
      <c r="H919" s="138"/>
    </row>
    <row r="920" spans="1:8" x14ac:dyDescent="0.25">
      <c r="A920" s="137"/>
      <c r="B920" s="138"/>
      <c r="C920" s="138"/>
      <c r="D920" s="138"/>
      <c r="E920" s="139"/>
      <c r="F920" s="154"/>
      <c r="G920" s="154" t="str">
        <f t="shared" si="9"/>
        <v/>
      </c>
      <c r="H920" s="138"/>
    </row>
    <row r="921" spans="1:8" x14ac:dyDescent="0.25">
      <c r="A921" s="137"/>
      <c r="B921" s="138"/>
      <c r="C921" s="138"/>
      <c r="D921" s="138"/>
      <c r="E921" s="139"/>
      <c r="F921" s="154"/>
      <c r="G921" s="154" t="str">
        <f t="shared" si="9"/>
        <v/>
      </c>
      <c r="H921" s="138"/>
    </row>
    <row r="922" spans="1:8" x14ac:dyDescent="0.25">
      <c r="A922" s="137"/>
      <c r="B922" s="138"/>
      <c r="C922" s="138"/>
      <c r="D922" s="138"/>
      <c r="E922" s="139"/>
      <c r="F922" s="154"/>
      <c r="G922" s="154" t="str">
        <f t="shared" si="9"/>
        <v/>
      </c>
      <c r="H922" s="138"/>
    </row>
    <row r="923" spans="1:8" x14ac:dyDescent="0.25">
      <c r="A923" s="137"/>
      <c r="B923" s="138"/>
      <c r="C923" s="138"/>
      <c r="D923" s="138"/>
      <c r="E923" s="139"/>
      <c r="F923" s="154"/>
      <c r="G923" s="154" t="str">
        <f t="shared" si="9"/>
        <v/>
      </c>
      <c r="H923" s="138"/>
    </row>
    <row r="924" spans="1:8" x14ac:dyDescent="0.25">
      <c r="A924" s="137"/>
      <c r="B924" s="138"/>
      <c r="C924" s="138"/>
      <c r="D924" s="138"/>
      <c r="E924" s="139"/>
      <c r="F924" s="154"/>
      <c r="G924" s="154" t="str">
        <f t="shared" si="9"/>
        <v/>
      </c>
      <c r="H924" s="138"/>
    </row>
    <row r="925" spans="1:8" x14ac:dyDescent="0.25">
      <c r="A925" s="137"/>
      <c r="B925" s="138"/>
      <c r="C925" s="138"/>
      <c r="D925" s="138"/>
      <c r="E925" s="139"/>
      <c r="F925" s="154"/>
      <c r="G925" s="154" t="str">
        <f t="shared" si="9"/>
        <v/>
      </c>
      <c r="H925" s="138"/>
    </row>
    <row r="926" spans="1:8" x14ac:dyDescent="0.25">
      <c r="A926" s="137"/>
      <c r="B926" s="138"/>
      <c r="C926" s="138"/>
      <c r="D926" s="138"/>
      <c r="E926" s="139"/>
      <c r="F926" s="154"/>
      <c r="G926" s="154" t="str">
        <f t="shared" si="9"/>
        <v/>
      </c>
      <c r="H926" s="138"/>
    </row>
    <row r="927" spans="1:8" x14ac:dyDescent="0.25">
      <c r="A927" s="137"/>
      <c r="B927" s="138"/>
      <c r="C927" s="138"/>
      <c r="D927" s="138"/>
      <c r="E927" s="139"/>
      <c r="F927" s="154"/>
      <c r="G927" s="154" t="str">
        <f t="shared" si="9"/>
        <v/>
      </c>
      <c r="H927" s="138"/>
    </row>
    <row r="928" spans="1:8" x14ac:dyDescent="0.25">
      <c r="A928" s="137"/>
      <c r="B928" s="138"/>
      <c r="C928" s="138"/>
      <c r="D928" s="138"/>
      <c r="E928" s="139"/>
      <c r="F928" s="154"/>
      <c r="G928" s="154" t="str">
        <f t="shared" si="9"/>
        <v/>
      </c>
      <c r="H928" s="138"/>
    </row>
    <row r="929" spans="1:8" x14ac:dyDescent="0.25">
      <c r="A929" s="137"/>
      <c r="B929" s="138"/>
      <c r="C929" s="138"/>
      <c r="D929" s="138"/>
      <c r="E929" s="139"/>
      <c r="F929" s="154"/>
      <c r="G929" s="154" t="str">
        <f t="shared" si="9"/>
        <v/>
      </c>
      <c r="H929" s="138"/>
    </row>
    <row r="930" spans="1:8" x14ac:dyDescent="0.25">
      <c r="A930" s="137"/>
      <c r="B930" s="138"/>
      <c r="C930" s="138"/>
      <c r="D930" s="138"/>
      <c r="E930" s="139"/>
      <c r="F930" s="154"/>
      <c r="G930" s="154" t="str">
        <f t="shared" si="9"/>
        <v/>
      </c>
      <c r="H930" s="138"/>
    </row>
    <row r="931" spans="1:8" x14ac:dyDescent="0.25">
      <c r="A931" s="137"/>
      <c r="B931" s="138"/>
      <c r="C931" s="138"/>
      <c r="D931" s="138"/>
      <c r="E931" s="139"/>
      <c r="F931" s="154"/>
      <c r="G931" s="154" t="str">
        <f t="shared" si="9"/>
        <v/>
      </c>
      <c r="H931" s="138"/>
    </row>
    <row r="932" spans="1:8" x14ac:dyDescent="0.25">
      <c r="A932" s="137"/>
      <c r="B932" s="138"/>
      <c r="C932" s="138"/>
      <c r="D932" s="138"/>
      <c r="E932" s="139"/>
      <c r="F932" s="154"/>
      <c r="G932" s="154" t="str">
        <f t="shared" si="9"/>
        <v/>
      </c>
      <c r="H932" s="138"/>
    </row>
    <row r="933" spans="1:8" x14ac:dyDescent="0.25">
      <c r="A933" s="137"/>
      <c r="B933" s="138"/>
      <c r="C933" s="138"/>
      <c r="D933" s="138"/>
      <c r="E933" s="139"/>
      <c r="F933" s="154"/>
      <c r="G933" s="154" t="str">
        <f t="shared" si="9"/>
        <v/>
      </c>
      <c r="H933" s="138"/>
    </row>
    <row r="934" spans="1:8" x14ac:dyDescent="0.25">
      <c r="A934" s="137"/>
      <c r="B934" s="138"/>
      <c r="C934" s="138"/>
      <c r="D934" s="138"/>
      <c r="E934" s="139"/>
      <c r="F934" s="154"/>
      <c r="G934" s="154" t="str">
        <f t="shared" si="9"/>
        <v/>
      </c>
      <c r="H934" s="138"/>
    </row>
    <row r="935" spans="1:8" x14ac:dyDescent="0.25">
      <c r="A935" s="137"/>
      <c r="B935" s="138"/>
      <c r="C935" s="138"/>
      <c r="D935" s="138"/>
      <c r="E935" s="139"/>
      <c r="F935" s="154"/>
      <c r="G935" s="154" t="str">
        <f t="shared" si="9"/>
        <v/>
      </c>
      <c r="H935" s="138"/>
    </row>
    <row r="936" spans="1:8" x14ac:dyDescent="0.25">
      <c r="A936" s="137"/>
      <c r="B936" s="138"/>
      <c r="C936" s="138"/>
      <c r="D936" s="138"/>
      <c r="E936" s="139"/>
      <c r="F936" s="154"/>
      <c r="G936" s="154" t="str">
        <f t="shared" si="9"/>
        <v/>
      </c>
      <c r="H936" s="138"/>
    </row>
    <row r="937" spans="1:8" x14ac:dyDescent="0.25">
      <c r="A937" s="137"/>
      <c r="B937" s="138"/>
      <c r="C937" s="138"/>
      <c r="D937" s="138"/>
      <c r="E937" s="139"/>
      <c r="F937" s="154"/>
      <c r="G937" s="154" t="str">
        <f t="shared" si="9"/>
        <v/>
      </c>
      <c r="H937" s="138"/>
    </row>
    <row r="938" spans="1:8" x14ac:dyDescent="0.25">
      <c r="A938" s="137"/>
      <c r="B938" s="138"/>
      <c r="C938" s="138"/>
      <c r="D938" s="138"/>
      <c r="E938" s="139"/>
      <c r="F938" s="154"/>
      <c r="G938" s="154" t="str">
        <f t="shared" si="9"/>
        <v/>
      </c>
      <c r="H938" s="138"/>
    </row>
    <row r="939" spans="1:8" x14ac:dyDescent="0.25">
      <c r="A939" s="137"/>
      <c r="B939" s="138"/>
      <c r="C939" s="138"/>
      <c r="D939" s="138"/>
      <c r="E939" s="139"/>
      <c r="F939" s="154"/>
      <c r="G939" s="154" t="str">
        <f t="shared" si="9"/>
        <v/>
      </c>
      <c r="H939" s="138"/>
    </row>
    <row r="940" spans="1:8" x14ac:dyDescent="0.25">
      <c r="A940" s="137"/>
      <c r="B940" s="138"/>
      <c r="C940" s="138"/>
      <c r="D940" s="138"/>
      <c r="E940" s="139"/>
      <c r="F940" s="154"/>
      <c r="G940" s="154" t="str">
        <f t="shared" si="9"/>
        <v/>
      </c>
      <c r="H940" s="138"/>
    </row>
    <row r="941" spans="1:8" x14ac:dyDescent="0.25">
      <c r="A941" s="137"/>
      <c r="B941" s="138"/>
      <c r="C941" s="138"/>
      <c r="D941" s="138"/>
      <c r="E941" s="139"/>
      <c r="F941" s="154"/>
      <c r="G941" s="154" t="str">
        <f t="shared" si="9"/>
        <v/>
      </c>
      <c r="H941" s="138"/>
    </row>
    <row r="942" spans="1:8" x14ac:dyDescent="0.25">
      <c r="A942" s="137"/>
      <c r="B942" s="138"/>
      <c r="C942" s="138"/>
      <c r="D942" s="138"/>
      <c r="E942" s="139"/>
      <c r="F942" s="154"/>
      <c r="G942" s="154" t="str">
        <f t="shared" si="9"/>
        <v/>
      </c>
      <c r="H942" s="138"/>
    </row>
    <row r="943" spans="1:8" x14ac:dyDescent="0.25">
      <c r="A943" s="137"/>
      <c r="B943" s="138"/>
      <c r="C943" s="138"/>
      <c r="D943" s="138"/>
      <c r="E943" s="139"/>
      <c r="F943" s="154"/>
      <c r="G943" s="154" t="str">
        <f t="shared" si="9"/>
        <v/>
      </c>
      <c r="H943" s="138"/>
    </row>
    <row r="944" spans="1:8" x14ac:dyDescent="0.25">
      <c r="A944" s="137"/>
      <c r="B944" s="138"/>
      <c r="C944" s="138"/>
      <c r="D944" s="138"/>
      <c r="E944" s="139"/>
      <c r="F944" s="154"/>
      <c r="G944" s="154" t="str">
        <f t="shared" si="9"/>
        <v/>
      </c>
      <c r="H944" s="138"/>
    </row>
    <row r="945" spans="1:8" x14ac:dyDescent="0.25">
      <c r="A945" s="137"/>
      <c r="B945" s="138"/>
      <c r="C945" s="138"/>
      <c r="D945" s="138"/>
      <c r="E945" s="139"/>
      <c r="F945" s="154"/>
      <c r="G945" s="154" t="str">
        <f t="shared" si="9"/>
        <v/>
      </c>
      <c r="H945" s="138"/>
    </row>
    <row r="946" spans="1:8" x14ac:dyDescent="0.25">
      <c r="A946" s="137"/>
      <c r="B946" s="138"/>
      <c r="C946" s="138"/>
      <c r="D946" s="138"/>
      <c r="E946" s="139"/>
      <c r="F946" s="154"/>
      <c r="G946" s="154" t="str">
        <f t="shared" si="9"/>
        <v/>
      </c>
      <c r="H946" s="138"/>
    </row>
    <row r="947" spans="1:8" x14ac:dyDescent="0.25">
      <c r="A947" s="137"/>
      <c r="B947" s="138"/>
      <c r="C947" s="138"/>
      <c r="D947" s="138"/>
      <c r="E947" s="139"/>
      <c r="F947" s="154"/>
      <c r="G947" s="154" t="str">
        <f t="shared" si="9"/>
        <v/>
      </c>
      <c r="H947" s="138"/>
    </row>
    <row r="948" spans="1:8" x14ac:dyDescent="0.25">
      <c r="A948" s="137"/>
      <c r="B948" s="138"/>
      <c r="C948" s="138"/>
      <c r="D948" s="138"/>
      <c r="E948" s="139"/>
      <c r="F948" s="154"/>
      <c r="G948" s="154" t="str">
        <f t="shared" si="9"/>
        <v/>
      </c>
      <c r="H948" s="138"/>
    </row>
    <row r="949" spans="1:8" x14ac:dyDescent="0.25">
      <c r="A949" s="137"/>
      <c r="B949" s="138"/>
      <c r="C949" s="138"/>
      <c r="D949" s="138"/>
      <c r="E949" s="139"/>
      <c r="F949" s="154"/>
      <c r="G949" s="154" t="str">
        <f t="shared" si="9"/>
        <v/>
      </c>
      <c r="H949" s="138"/>
    </row>
    <row r="950" spans="1:8" x14ac:dyDescent="0.25">
      <c r="A950" s="137"/>
      <c r="B950" s="138"/>
      <c r="C950" s="138"/>
      <c r="D950" s="138"/>
      <c r="E950" s="139"/>
      <c r="F950" s="154"/>
      <c r="G950" s="154" t="str">
        <f t="shared" si="9"/>
        <v/>
      </c>
      <c r="H950" s="138"/>
    </row>
    <row r="951" spans="1:8" x14ac:dyDescent="0.25">
      <c r="A951" s="137"/>
      <c r="B951" s="138"/>
      <c r="C951" s="138"/>
      <c r="D951" s="138"/>
      <c r="E951" s="139"/>
      <c r="F951" s="154"/>
      <c r="G951" s="154" t="str">
        <f t="shared" si="9"/>
        <v/>
      </c>
      <c r="H951" s="138"/>
    </row>
    <row r="952" spans="1:8" x14ac:dyDescent="0.25">
      <c r="A952" s="137"/>
      <c r="B952" s="138"/>
      <c r="C952" s="138"/>
      <c r="D952" s="138"/>
      <c r="E952" s="139"/>
      <c r="F952" s="154"/>
      <c r="G952" s="154" t="str">
        <f t="shared" si="9"/>
        <v/>
      </c>
      <c r="H952" s="138"/>
    </row>
    <row r="953" spans="1:8" x14ac:dyDescent="0.25">
      <c r="A953" s="137"/>
      <c r="B953" s="138"/>
      <c r="C953" s="138"/>
      <c r="D953" s="138"/>
      <c r="E953" s="139"/>
      <c r="F953" s="154"/>
      <c r="G953" s="154" t="str">
        <f t="shared" si="9"/>
        <v/>
      </c>
      <c r="H953" s="138"/>
    </row>
    <row r="954" spans="1:8" x14ac:dyDescent="0.25">
      <c r="A954" s="137"/>
      <c r="B954" s="138"/>
      <c r="C954" s="138"/>
      <c r="D954" s="138"/>
      <c r="E954" s="139"/>
      <c r="F954" s="154"/>
      <c r="G954" s="154" t="str">
        <f t="shared" si="9"/>
        <v/>
      </c>
      <c r="H954" s="138"/>
    </row>
    <row r="955" spans="1:8" x14ac:dyDescent="0.25">
      <c r="A955" s="137"/>
      <c r="B955" s="138"/>
      <c r="C955" s="138"/>
      <c r="D955" s="138"/>
      <c r="E955" s="139"/>
      <c r="F955" s="154"/>
      <c r="G955" s="154" t="str">
        <f t="shared" si="9"/>
        <v/>
      </c>
      <c r="H955" s="138"/>
    </row>
    <row r="956" spans="1:8" x14ac:dyDescent="0.25">
      <c r="A956" s="137"/>
      <c r="B956" s="138"/>
      <c r="C956" s="138"/>
      <c r="D956" s="138"/>
      <c r="E956" s="139"/>
      <c r="F956" s="154"/>
      <c r="G956" s="154" t="str">
        <f t="shared" si="9"/>
        <v/>
      </c>
      <c r="H956" s="138"/>
    </row>
    <row r="957" spans="1:8" x14ac:dyDescent="0.25">
      <c r="A957" s="137"/>
      <c r="B957" s="138"/>
      <c r="C957" s="138"/>
      <c r="D957" s="138"/>
      <c r="E957" s="139"/>
      <c r="F957" s="154"/>
      <c r="G957" s="154" t="str">
        <f t="shared" si="9"/>
        <v/>
      </c>
      <c r="H957" s="138"/>
    </row>
    <row r="958" spans="1:8" x14ac:dyDescent="0.25">
      <c r="A958" s="137"/>
      <c r="B958" s="138"/>
      <c r="C958" s="138"/>
      <c r="D958" s="138"/>
      <c r="E958" s="139"/>
      <c r="F958" s="154"/>
      <c r="G958" s="154" t="str">
        <f t="shared" si="9"/>
        <v/>
      </c>
      <c r="H958" s="138"/>
    </row>
    <row r="959" spans="1:8" x14ac:dyDescent="0.25">
      <c r="A959" s="137"/>
      <c r="B959" s="138"/>
      <c r="C959" s="138"/>
      <c r="D959" s="138"/>
      <c r="E959" s="139"/>
      <c r="F959" s="154"/>
      <c r="G959" s="154" t="str">
        <f t="shared" si="9"/>
        <v/>
      </c>
      <c r="H959" s="138"/>
    </row>
    <row r="960" spans="1:8" x14ac:dyDescent="0.25">
      <c r="A960" s="137"/>
      <c r="B960" s="138"/>
      <c r="C960" s="138"/>
      <c r="D960" s="138"/>
      <c r="E960" s="139"/>
      <c r="F960" s="154"/>
      <c r="G960" s="154" t="str">
        <f t="shared" si="9"/>
        <v/>
      </c>
      <c r="H960" s="138"/>
    </row>
    <row r="961" spans="1:8" x14ac:dyDescent="0.25">
      <c r="A961" s="137"/>
      <c r="B961" s="138"/>
      <c r="C961" s="138"/>
      <c r="D961" s="138"/>
      <c r="E961" s="139"/>
      <c r="F961" s="154"/>
      <c r="G961" s="154" t="str">
        <f t="shared" ref="G961:G1000" si="10">IF(AND(ISNUMBER(E961), ISNUMBER(F961), E961&gt;0, F961&gt;0), ROUND(E961*F961, 2), IF(ISNUMBER(F961), F961, ""))</f>
        <v/>
      </c>
      <c r="H961" s="138"/>
    </row>
    <row r="962" spans="1:8" x14ac:dyDescent="0.25">
      <c r="A962" s="137"/>
      <c r="B962" s="138"/>
      <c r="C962" s="138"/>
      <c r="D962" s="138"/>
      <c r="E962" s="139"/>
      <c r="F962" s="154"/>
      <c r="G962" s="154" t="str">
        <f t="shared" si="10"/>
        <v/>
      </c>
      <c r="H962" s="138"/>
    </row>
    <row r="963" spans="1:8" x14ac:dyDescent="0.25">
      <c r="A963" s="137"/>
      <c r="B963" s="138"/>
      <c r="C963" s="138"/>
      <c r="D963" s="138"/>
      <c r="E963" s="139"/>
      <c r="F963" s="154"/>
      <c r="G963" s="154" t="str">
        <f t="shared" si="10"/>
        <v/>
      </c>
      <c r="H963" s="138"/>
    </row>
    <row r="964" spans="1:8" x14ac:dyDescent="0.25">
      <c r="A964" s="137"/>
      <c r="B964" s="138"/>
      <c r="C964" s="138"/>
      <c r="D964" s="138"/>
      <c r="E964" s="139"/>
      <c r="F964" s="154"/>
      <c r="G964" s="154" t="str">
        <f t="shared" si="10"/>
        <v/>
      </c>
      <c r="H964" s="138"/>
    </row>
    <row r="965" spans="1:8" x14ac:dyDescent="0.25">
      <c r="A965" s="137"/>
      <c r="B965" s="138"/>
      <c r="C965" s="138"/>
      <c r="D965" s="138"/>
      <c r="E965" s="139"/>
      <c r="F965" s="154"/>
      <c r="G965" s="154" t="str">
        <f t="shared" si="10"/>
        <v/>
      </c>
      <c r="H965" s="138"/>
    </row>
    <row r="966" spans="1:8" x14ac:dyDescent="0.25">
      <c r="A966" s="137"/>
      <c r="B966" s="138"/>
      <c r="C966" s="138"/>
      <c r="D966" s="138"/>
      <c r="E966" s="139"/>
      <c r="F966" s="154"/>
      <c r="G966" s="154" t="str">
        <f t="shared" si="10"/>
        <v/>
      </c>
      <c r="H966" s="138"/>
    </row>
    <row r="967" spans="1:8" x14ac:dyDescent="0.25">
      <c r="A967" s="137"/>
      <c r="B967" s="138"/>
      <c r="C967" s="138"/>
      <c r="D967" s="138"/>
      <c r="E967" s="139"/>
      <c r="F967" s="154"/>
      <c r="G967" s="154" t="str">
        <f t="shared" si="10"/>
        <v/>
      </c>
      <c r="H967" s="138"/>
    </row>
    <row r="968" spans="1:8" x14ac:dyDescent="0.25">
      <c r="A968" s="137"/>
      <c r="B968" s="138"/>
      <c r="C968" s="138"/>
      <c r="D968" s="138"/>
      <c r="E968" s="139"/>
      <c r="F968" s="154"/>
      <c r="G968" s="154" t="str">
        <f t="shared" si="10"/>
        <v/>
      </c>
      <c r="H968" s="138"/>
    </row>
    <row r="969" spans="1:8" x14ac:dyDescent="0.25">
      <c r="A969" s="137"/>
      <c r="B969" s="138"/>
      <c r="C969" s="138"/>
      <c r="D969" s="138"/>
      <c r="E969" s="139"/>
      <c r="F969" s="154"/>
      <c r="G969" s="154" t="str">
        <f t="shared" si="10"/>
        <v/>
      </c>
      <c r="H969" s="138"/>
    </row>
    <row r="970" spans="1:8" x14ac:dyDescent="0.25">
      <c r="A970" s="137"/>
      <c r="B970" s="138"/>
      <c r="C970" s="138"/>
      <c r="D970" s="138"/>
      <c r="E970" s="139"/>
      <c r="F970" s="154"/>
      <c r="G970" s="154" t="str">
        <f t="shared" si="10"/>
        <v/>
      </c>
      <c r="H970" s="138"/>
    </row>
    <row r="971" spans="1:8" x14ac:dyDescent="0.25">
      <c r="A971" s="137"/>
      <c r="B971" s="138"/>
      <c r="C971" s="138"/>
      <c r="D971" s="138"/>
      <c r="E971" s="139"/>
      <c r="F971" s="154"/>
      <c r="G971" s="154" t="str">
        <f t="shared" si="10"/>
        <v/>
      </c>
      <c r="H971" s="138"/>
    </row>
    <row r="972" spans="1:8" x14ac:dyDescent="0.25">
      <c r="A972" s="137"/>
      <c r="B972" s="138"/>
      <c r="C972" s="138"/>
      <c r="D972" s="138"/>
      <c r="E972" s="139"/>
      <c r="F972" s="154"/>
      <c r="G972" s="154" t="str">
        <f t="shared" si="10"/>
        <v/>
      </c>
      <c r="H972" s="138"/>
    </row>
    <row r="973" spans="1:8" x14ac:dyDescent="0.25">
      <c r="A973" s="137"/>
      <c r="B973" s="138"/>
      <c r="C973" s="138"/>
      <c r="D973" s="138"/>
      <c r="E973" s="139"/>
      <c r="F973" s="154"/>
      <c r="G973" s="154" t="str">
        <f t="shared" si="10"/>
        <v/>
      </c>
      <c r="H973" s="138"/>
    </row>
    <row r="974" spans="1:8" x14ac:dyDescent="0.25">
      <c r="A974" s="137"/>
      <c r="B974" s="138"/>
      <c r="C974" s="138"/>
      <c r="D974" s="138"/>
      <c r="E974" s="139"/>
      <c r="F974" s="154"/>
      <c r="G974" s="154" t="str">
        <f t="shared" si="10"/>
        <v/>
      </c>
      <c r="H974" s="138"/>
    </row>
    <row r="975" spans="1:8" x14ac:dyDescent="0.25">
      <c r="A975" s="137"/>
      <c r="B975" s="138"/>
      <c r="C975" s="138"/>
      <c r="D975" s="138"/>
      <c r="E975" s="139"/>
      <c r="F975" s="154"/>
      <c r="G975" s="154" t="str">
        <f t="shared" si="10"/>
        <v/>
      </c>
      <c r="H975" s="138"/>
    </row>
    <row r="976" spans="1:8" x14ac:dyDescent="0.25">
      <c r="A976" s="137"/>
      <c r="B976" s="138"/>
      <c r="C976" s="138"/>
      <c r="D976" s="138"/>
      <c r="E976" s="139"/>
      <c r="F976" s="154"/>
      <c r="G976" s="154" t="str">
        <f t="shared" si="10"/>
        <v/>
      </c>
      <c r="H976" s="138"/>
    </row>
    <row r="977" spans="1:8" x14ac:dyDescent="0.25">
      <c r="A977" s="137"/>
      <c r="B977" s="138"/>
      <c r="C977" s="138"/>
      <c r="D977" s="138"/>
      <c r="E977" s="139"/>
      <c r="F977" s="154"/>
      <c r="G977" s="154" t="str">
        <f t="shared" si="10"/>
        <v/>
      </c>
      <c r="H977" s="138"/>
    </row>
    <row r="978" spans="1:8" x14ac:dyDescent="0.25">
      <c r="A978" s="137"/>
      <c r="B978" s="138"/>
      <c r="C978" s="138"/>
      <c r="D978" s="138"/>
      <c r="E978" s="139"/>
      <c r="F978" s="154"/>
      <c r="G978" s="154" t="str">
        <f t="shared" si="10"/>
        <v/>
      </c>
      <c r="H978" s="138"/>
    </row>
    <row r="979" spans="1:8" x14ac:dyDescent="0.25">
      <c r="A979" s="137"/>
      <c r="B979" s="138"/>
      <c r="C979" s="138"/>
      <c r="D979" s="138"/>
      <c r="E979" s="139"/>
      <c r="F979" s="154"/>
      <c r="G979" s="154" t="str">
        <f t="shared" si="10"/>
        <v/>
      </c>
      <c r="H979" s="138"/>
    </row>
    <row r="980" spans="1:8" x14ac:dyDescent="0.25">
      <c r="A980" s="137"/>
      <c r="B980" s="138"/>
      <c r="C980" s="138"/>
      <c r="D980" s="138"/>
      <c r="E980" s="139"/>
      <c r="F980" s="154"/>
      <c r="G980" s="154" t="str">
        <f t="shared" si="10"/>
        <v/>
      </c>
      <c r="H980" s="138"/>
    </row>
    <row r="981" spans="1:8" x14ac:dyDescent="0.25">
      <c r="A981" s="137"/>
      <c r="B981" s="138"/>
      <c r="C981" s="138"/>
      <c r="D981" s="138"/>
      <c r="E981" s="139"/>
      <c r="F981" s="154"/>
      <c r="G981" s="154" t="str">
        <f t="shared" si="10"/>
        <v/>
      </c>
      <c r="H981" s="138"/>
    </row>
    <row r="982" spans="1:8" x14ac:dyDescent="0.25">
      <c r="A982" s="137"/>
      <c r="B982" s="138"/>
      <c r="C982" s="138"/>
      <c r="D982" s="138"/>
      <c r="E982" s="139"/>
      <c r="F982" s="154"/>
      <c r="G982" s="154" t="str">
        <f t="shared" si="10"/>
        <v/>
      </c>
      <c r="H982" s="138"/>
    </row>
    <row r="983" spans="1:8" x14ac:dyDescent="0.25">
      <c r="A983" s="137"/>
      <c r="B983" s="138"/>
      <c r="C983" s="138"/>
      <c r="D983" s="138"/>
      <c r="E983" s="139"/>
      <c r="F983" s="154"/>
      <c r="G983" s="154" t="str">
        <f t="shared" si="10"/>
        <v/>
      </c>
      <c r="H983" s="138"/>
    </row>
    <row r="984" spans="1:8" x14ac:dyDescent="0.25">
      <c r="A984" s="137"/>
      <c r="B984" s="138"/>
      <c r="C984" s="138"/>
      <c r="D984" s="138"/>
      <c r="E984" s="139"/>
      <c r="F984" s="154"/>
      <c r="G984" s="154" t="str">
        <f t="shared" si="10"/>
        <v/>
      </c>
      <c r="H984" s="138"/>
    </row>
    <row r="985" spans="1:8" x14ac:dyDescent="0.25">
      <c r="A985" s="137"/>
      <c r="B985" s="138"/>
      <c r="C985" s="138"/>
      <c r="D985" s="138"/>
      <c r="E985" s="139"/>
      <c r="F985" s="154"/>
      <c r="G985" s="154" t="str">
        <f t="shared" si="10"/>
        <v/>
      </c>
      <c r="H985" s="138"/>
    </row>
    <row r="986" spans="1:8" x14ac:dyDescent="0.25">
      <c r="A986" s="137"/>
      <c r="B986" s="138"/>
      <c r="C986" s="138"/>
      <c r="D986" s="138"/>
      <c r="E986" s="139"/>
      <c r="F986" s="154"/>
      <c r="G986" s="154" t="str">
        <f t="shared" si="10"/>
        <v/>
      </c>
      <c r="H986" s="138"/>
    </row>
    <row r="987" spans="1:8" x14ac:dyDescent="0.25">
      <c r="A987" s="137"/>
      <c r="B987" s="138"/>
      <c r="C987" s="138"/>
      <c r="D987" s="138"/>
      <c r="E987" s="139"/>
      <c r="F987" s="154"/>
      <c r="G987" s="154" t="str">
        <f t="shared" si="10"/>
        <v/>
      </c>
      <c r="H987" s="138"/>
    </row>
    <row r="988" spans="1:8" x14ac:dyDescent="0.25">
      <c r="A988" s="137"/>
      <c r="B988" s="138"/>
      <c r="C988" s="138"/>
      <c r="D988" s="138"/>
      <c r="E988" s="139"/>
      <c r="F988" s="154"/>
      <c r="G988" s="154" t="str">
        <f t="shared" si="10"/>
        <v/>
      </c>
      <c r="H988" s="138"/>
    </row>
    <row r="989" spans="1:8" x14ac:dyDescent="0.25">
      <c r="A989" s="137"/>
      <c r="B989" s="138"/>
      <c r="C989" s="138"/>
      <c r="D989" s="138"/>
      <c r="E989" s="139"/>
      <c r="F989" s="154"/>
      <c r="G989" s="154" t="str">
        <f t="shared" si="10"/>
        <v/>
      </c>
      <c r="H989" s="138"/>
    </row>
    <row r="990" spans="1:8" x14ac:dyDescent="0.25">
      <c r="A990" s="137"/>
      <c r="B990" s="138"/>
      <c r="C990" s="138"/>
      <c r="D990" s="138"/>
      <c r="E990" s="139"/>
      <c r="F990" s="154"/>
      <c r="G990" s="154" t="str">
        <f t="shared" si="10"/>
        <v/>
      </c>
      <c r="H990" s="138"/>
    </row>
    <row r="991" spans="1:8" x14ac:dyDescent="0.25">
      <c r="A991" s="137"/>
      <c r="B991" s="138"/>
      <c r="C991" s="138"/>
      <c r="D991" s="138"/>
      <c r="E991" s="139"/>
      <c r="F991" s="154"/>
      <c r="G991" s="154" t="str">
        <f t="shared" si="10"/>
        <v/>
      </c>
      <c r="H991" s="138"/>
    </row>
    <row r="992" spans="1:8" x14ac:dyDescent="0.25">
      <c r="A992" s="137"/>
      <c r="B992" s="138"/>
      <c r="C992" s="138"/>
      <c r="D992" s="138"/>
      <c r="E992" s="139"/>
      <c r="F992" s="154"/>
      <c r="G992" s="154" t="str">
        <f t="shared" si="10"/>
        <v/>
      </c>
      <c r="H992" s="138"/>
    </row>
    <row r="993" spans="1:8" x14ac:dyDescent="0.25">
      <c r="A993" s="137"/>
      <c r="B993" s="138"/>
      <c r="C993" s="138"/>
      <c r="D993" s="138"/>
      <c r="E993" s="139"/>
      <c r="F993" s="154"/>
      <c r="G993" s="154" t="str">
        <f t="shared" si="10"/>
        <v/>
      </c>
      <c r="H993" s="138"/>
    </row>
    <row r="994" spans="1:8" x14ac:dyDescent="0.25">
      <c r="A994" s="137"/>
      <c r="B994" s="138"/>
      <c r="C994" s="138"/>
      <c r="D994" s="138"/>
      <c r="E994" s="139"/>
      <c r="F994" s="154"/>
      <c r="G994" s="154" t="str">
        <f t="shared" si="10"/>
        <v/>
      </c>
      <c r="H994" s="138"/>
    </row>
    <row r="995" spans="1:8" x14ac:dyDescent="0.25">
      <c r="A995" s="137"/>
      <c r="B995" s="138"/>
      <c r="C995" s="138"/>
      <c r="D995" s="138"/>
      <c r="E995" s="139"/>
      <c r="F995" s="154"/>
      <c r="G995" s="154" t="str">
        <f t="shared" si="10"/>
        <v/>
      </c>
      <c r="H995" s="138"/>
    </row>
    <row r="996" spans="1:8" x14ac:dyDescent="0.25">
      <c r="A996" s="137"/>
      <c r="B996" s="138"/>
      <c r="C996" s="138"/>
      <c r="D996" s="138"/>
      <c r="E996" s="139"/>
      <c r="F996" s="154"/>
      <c r="G996" s="154" t="str">
        <f t="shared" si="10"/>
        <v/>
      </c>
      <c r="H996" s="138"/>
    </row>
    <row r="997" spans="1:8" x14ac:dyDescent="0.25">
      <c r="A997" s="137"/>
      <c r="B997" s="138"/>
      <c r="C997" s="138"/>
      <c r="D997" s="138"/>
      <c r="E997" s="139"/>
      <c r="F997" s="154"/>
      <c r="G997" s="154" t="str">
        <f t="shared" si="10"/>
        <v/>
      </c>
      <c r="H997" s="138"/>
    </row>
    <row r="998" spans="1:8" x14ac:dyDescent="0.25">
      <c r="A998" s="137"/>
      <c r="B998" s="138"/>
      <c r="C998" s="138"/>
      <c r="D998" s="138"/>
      <c r="E998" s="139"/>
      <c r="F998" s="154"/>
      <c r="G998" s="154" t="str">
        <f t="shared" si="10"/>
        <v/>
      </c>
      <c r="H998" s="138"/>
    </row>
    <row r="999" spans="1:8" x14ac:dyDescent="0.25">
      <c r="A999" s="137"/>
      <c r="B999" s="138"/>
      <c r="C999" s="138"/>
      <c r="D999" s="138"/>
      <c r="E999" s="139"/>
      <c r="F999" s="154"/>
      <c r="G999" s="154" t="str">
        <f t="shared" si="10"/>
        <v/>
      </c>
      <c r="H999" s="138"/>
    </row>
    <row r="1000" spans="1:8" x14ac:dyDescent="0.25">
      <c r="A1000" s="137"/>
      <c r="B1000" s="138"/>
      <c r="C1000" s="138"/>
      <c r="D1000" s="138"/>
      <c r="E1000" s="139"/>
      <c r="F1000" s="154"/>
      <c r="G1000" s="154" t="str">
        <f t="shared" si="10"/>
        <v/>
      </c>
      <c r="H1000" s="138"/>
    </row>
  </sheetData>
  <autoFilter ref="A1:G884" xr:uid="{00000000-0009-0000-0000-000004000000}">
    <sortState xmlns:xlrd2="http://schemas.microsoft.com/office/spreadsheetml/2017/richdata2" ref="A20:G156">
      <sortCondition ref="B1:B884"/>
    </sortState>
  </autoFilter>
  <dataValidations count="1">
    <dataValidation type="list" errorTitle="Categoría Inválida" error="Por favor seleccione una categoría válida de la lista." promptTitle="Categoría de Gasto/Costo" prompt="Seleccione una categoría:" sqref="B2:B1000" xr:uid="{00000000-0002-0000-0400-000000000000}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8"/>
  <sheetViews>
    <sheetView workbookViewId="0">
      <selection activeCell="D1" sqref="D1"/>
    </sheetView>
  </sheetViews>
  <sheetFormatPr baseColWidth="10" defaultRowHeight="15" x14ac:dyDescent="0.25"/>
  <cols>
    <col min="4" max="4" width="115.28515625" style="165" bestFit="1" customWidth="1"/>
  </cols>
  <sheetData>
    <row r="1" spans="1:7" x14ac:dyDescent="0.25">
      <c r="A1" s="55" t="s">
        <v>35</v>
      </c>
      <c r="B1" s="55" t="s">
        <v>954</v>
      </c>
      <c r="C1" s="55" t="s">
        <v>955</v>
      </c>
      <c r="D1" s="60" t="s">
        <v>470</v>
      </c>
      <c r="E1" s="56" t="s">
        <v>546</v>
      </c>
      <c r="F1" s="55" t="s">
        <v>319</v>
      </c>
      <c r="G1" s="55" t="s">
        <v>956</v>
      </c>
    </row>
    <row r="2" spans="1:7" x14ac:dyDescent="0.25">
      <c r="A2">
        <v>23</v>
      </c>
      <c r="B2" t="s">
        <v>24</v>
      </c>
      <c r="C2" t="s">
        <v>357</v>
      </c>
      <c r="D2" t="s">
        <v>957</v>
      </c>
      <c r="E2">
        <v>5.25</v>
      </c>
      <c r="F2">
        <v>33000</v>
      </c>
      <c r="G2">
        <v>173250</v>
      </c>
    </row>
    <row r="3" spans="1:7" x14ac:dyDescent="0.25">
      <c r="A3">
        <v>23</v>
      </c>
      <c r="B3" t="s">
        <v>24</v>
      </c>
      <c r="C3" t="s">
        <v>958</v>
      </c>
      <c r="D3" t="s">
        <v>959</v>
      </c>
      <c r="E3">
        <v>5.35</v>
      </c>
      <c r="F3">
        <v>21500</v>
      </c>
      <c r="G3">
        <v>115025</v>
      </c>
    </row>
    <row r="4" spans="1:7" x14ac:dyDescent="0.25">
      <c r="A4">
        <v>14</v>
      </c>
      <c r="B4" t="s">
        <v>24</v>
      </c>
      <c r="C4" t="s">
        <v>367</v>
      </c>
      <c r="D4" t="s">
        <v>960</v>
      </c>
      <c r="E4">
        <v>10</v>
      </c>
      <c r="F4">
        <v>53000</v>
      </c>
      <c r="G4">
        <v>530000</v>
      </c>
    </row>
    <row r="5" spans="1:7" x14ac:dyDescent="0.25">
      <c r="A5">
        <v>20</v>
      </c>
      <c r="B5" t="s">
        <v>24</v>
      </c>
      <c r="C5" t="s">
        <v>68</v>
      </c>
      <c r="D5" t="s">
        <v>961</v>
      </c>
      <c r="E5">
        <v>6.1</v>
      </c>
      <c r="F5">
        <v>30000</v>
      </c>
      <c r="G5">
        <v>183000</v>
      </c>
    </row>
    <row r="6" spans="1:7" x14ac:dyDescent="0.25">
      <c r="A6">
        <v>20</v>
      </c>
      <c r="B6" t="s">
        <v>24</v>
      </c>
      <c r="C6" t="s">
        <v>367</v>
      </c>
      <c r="D6" t="s">
        <v>962</v>
      </c>
      <c r="E6">
        <v>14.05</v>
      </c>
      <c r="F6">
        <v>53000</v>
      </c>
      <c r="G6">
        <v>744650</v>
      </c>
    </row>
    <row r="7" spans="1:7" x14ac:dyDescent="0.25">
      <c r="A7">
        <v>20</v>
      </c>
      <c r="B7" t="s">
        <v>24</v>
      </c>
      <c r="C7" t="s">
        <v>406</v>
      </c>
      <c r="D7" t="s">
        <v>963</v>
      </c>
      <c r="E7">
        <v>11.375</v>
      </c>
      <c r="F7">
        <v>28000</v>
      </c>
      <c r="G7">
        <v>318500</v>
      </c>
    </row>
    <row r="8" spans="1:7" x14ac:dyDescent="0.25">
      <c r="A8">
        <v>20</v>
      </c>
      <c r="B8" t="s">
        <v>24</v>
      </c>
      <c r="C8" t="s">
        <v>367</v>
      </c>
      <c r="D8" t="s">
        <v>964</v>
      </c>
      <c r="E8">
        <v>14.05</v>
      </c>
      <c r="F8">
        <v>53000</v>
      </c>
      <c r="G8">
        <v>744650</v>
      </c>
    </row>
    <row r="9" spans="1:7" x14ac:dyDescent="0.25">
      <c r="A9">
        <v>20</v>
      </c>
      <c r="B9" t="s">
        <v>24</v>
      </c>
      <c r="C9" t="s">
        <v>68</v>
      </c>
      <c r="D9" t="s">
        <v>965</v>
      </c>
      <c r="E9">
        <v>6.1</v>
      </c>
      <c r="F9">
        <v>30000</v>
      </c>
      <c r="G9">
        <v>183000</v>
      </c>
    </row>
    <row r="10" spans="1:7" x14ac:dyDescent="0.25">
      <c r="A10">
        <v>20</v>
      </c>
      <c r="B10" t="s">
        <v>24</v>
      </c>
      <c r="C10" t="s">
        <v>406</v>
      </c>
      <c r="D10" t="s">
        <v>966</v>
      </c>
      <c r="E10">
        <v>11.38</v>
      </c>
      <c r="F10">
        <v>28000</v>
      </c>
      <c r="G10">
        <v>318500</v>
      </c>
    </row>
    <row r="11" spans="1:7" x14ac:dyDescent="0.25">
      <c r="A11">
        <v>19</v>
      </c>
      <c r="B11" t="s">
        <v>24</v>
      </c>
      <c r="C11" t="s">
        <v>357</v>
      </c>
      <c r="D11" t="s">
        <v>967</v>
      </c>
      <c r="E11">
        <v>4.3499999999999996</v>
      </c>
      <c r="F11">
        <v>34000</v>
      </c>
      <c r="G11">
        <v>147900</v>
      </c>
    </row>
    <row r="12" spans="1:7" x14ac:dyDescent="0.25">
      <c r="A12">
        <v>19</v>
      </c>
      <c r="B12" t="s">
        <v>24</v>
      </c>
      <c r="C12" t="s">
        <v>387</v>
      </c>
      <c r="D12" t="s">
        <v>968</v>
      </c>
      <c r="E12">
        <v>7.15</v>
      </c>
      <c r="F12">
        <v>18000</v>
      </c>
      <c r="G12">
        <v>128700</v>
      </c>
    </row>
    <row r="13" spans="1:7" x14ac:dyDescent="0.25">
      <c r="A13">
        <v>19</v>
      </c>
      <c r="B13" t="s">
        <v>24</v>
      </c>
      <c r="C13" t="s">
        <v>68</v>
      </c>
      <c r="D13" t="s">
        <v>969</v>
      </c>
      <c r="E13">
        <v>10</v>
      </c>
      <c r="F13">
        <v>30000</v>
      </c>
      <c r="G13">
        <v>300000</v>
      </c>
    </row>
    <row r="14" spans="1:7" x14ac:dyDescent="0.25">
      <c r="A14">
        <v>19</v>
      </c>
      <c r="B14" t="s">
        <v>24</v>
      </c>
      <c r="C14" t="s">
        <v>387</v>
      </c>
      <c r="D14" t="s">
        <v>968</v>
      </c>
      <c r="E14">
        <v>20</v>
      </c>
      <c r="F14">
        <v>20000</v>
      </c>
      <c r="G14">
        <v>400000</v>
      </c>
    </row>
    <row r="15" spans="1:7" x14ac:dyDescent="0.25">
      <c r="A15">
        <v>24</v>
      </c>
      <c r="B15" t="s">
        <v>24</v>
      </c>
      <c r="C15" t="s">
        <v>68</v>
      </c>
      <c r="D15" t="s">
        <v>970</v>
      </c>
      <c r="E15">
        <v>10.6</v>
      </c>
      <c r="F15">
        <v>30000</v>
      </c>
      <c r="G15">
        <v>318000</v>
      </c>
    </row>
    <row r="16" spans="1:7" x14ac:dyDescent="0.25">
      <c r="A16">
        <v>24</v>
      </c>
      <c r="B16" t="s">
        <v>24</v>
      </c>
      <c r="C16" t="s">
        <v>357</v>
      </c>
      <c r="D16" t="s">
        <v>971</v>
      </c>
      <c r="E16">
        <v>4.3</v>
      </c>
      <c r="F16">
        <v>33000</v>
      </c>
      <c r="G16">
        <v>141900</v>
      </c>
    </row>
    <row r="17" spans="1:7" x14ac:dyDescent="0.25">
      <c r="A17">
        <v>22</v>
      </c>
      <c r="B17" t="s">
        <v>24</v>
      </c>
      <c r="C17" t="s">
        <v>68</v>
      </c>
      <c r="D17" t="s">
        <v>972</v>
      </c>
      <c r="E17">
        <v>16.149999999999999</v>
      </c>
      <c r="F17">
        <v>30000</v>
      </c>
      <c r="G17">
        <v>484500</v>
      </c>
    </row>
    <row r="18" spans="1:7" x14ac:dyDescent="0.25">
      <c r="A18">
        <v>31</v>
      </c>
      <c r="B18" t="s">
        <v>30</v>
      </c>
      <c r="C18" t="s">
        <v>553</v>
      </c>
      <c r="D18" t="s">
        <v>973</v>
      </c>
      <c r="E18">
        <v>200</v>
      </c>
      <c r="F18">
        <v>150</v>
      </c>
      <c r="G18">
        <v>30000</v>
      </c>
    </row>
  </sheetData>
  <autoFilter ref="A1:G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1"/>
  <sheetViews>
    <sheetView workbookViewId="0">
      <selection activeCell="D1" sqref="D1"/>
    </sheetView>
  </sheetViews>
  <sheetFormatPr baseColWidth="10" defaultColWidth="9.140625" defaultRowHeight="15" x14ac:dyDescent="0.25"/>
  <cols>
    <col min="1" max="1" width="8" style="165" customWidth="1"/>
    <col min="2" max="2" width="15" style="165" customWidth="1"/>
    <col min="3" max="3" width="30" style="165" customWidth="1"/>
    <col min="4" max="4" width="55" style="165" customWidth="1"/>
    <col min="5" max="5" width="12" style="165" customWidth="1"/>
    <col min="6" max="6" width="16" style="165" customWidth="1"/>
    <col min="7" max="7" width="18" style="165" customWidth="1"/>
    <col min="8" max="8" width="22" style="165" customWidth="1"/>
  </cols>
  <sheetData>
    <row r="1" spans="1:8" x14ac:dyDescent="0.25">
      <c r="A1" s="104" t="s">
        <v>35</v>
      </c>
      <c r="B1" s="104" t="s">
        <v>21</v>
      </c>
      <c r="C1" s="104" t="s">
        <v>545</v>
      </c>
      <c r="D1" s="104" t="s">
        <v>974</v>
      </c>
      <c r="E1" s="104" t="s">
        <v>546</v>
      </c>
      <c r="F1" s="104" t="s">
        <v>319</v>
      </c>
      <c r="G1" s="104" t="s">
        <v>547</v>
      </c>
      <c r="H1" s="104" t="s">
        <v>315</v>
      </c>
    </row>
    <row r="2" spans="1:8" x14ac:dyDescent="0.25">
      <c r="A2" s="103">
        <v>1</v>
      </c>
      <c r="B2" s="96" t="s">
        <v>31</v>
      </c>
      <c r="C2" s="97" t="s">
        <v>478</v>
      </c>
      <c r="D2" s="97" t="s">
        <v>975</v>
      </c>
      <c r="E2" s="101">
        <v>1</v>
      </c>
      <c r="F2" s="99">
        <v>92200</v>
      </c>
      <c r="G2" s="99">
        <v>92200</v>
      </c>
      <c r="H2" s="96" t="s">
        <v>477</v>
      </c>
    </row>
    <row r="3" spans="1:8" x14ac:dyDescent="0.25">
      <c r="A3" s="103">
        <v>1</v>
      </c>
      <c r="B3" s="96" t="s">
        <v>31</v>
      </c>
      <c r="C3" s="97" t="s">
        <v>480</v>
      </c>
      <c r="D3" s="97" t="s">
        <v>976</v>
      </c>
      <c r="E3" s="101">
        <v>1</v>
      </c>
      <c r="F3" s="99">
        <v>77500</v>
      </c>
      <c r="G3" s="99">
        <v>77500</v>
      </c>
      <c r="H3" s="96" t="s">
        <v>477</v>
      </c>
    </row>
    <row r="4" spans="1:8" x14ac:dyDescent="0.25">
      <c r="A4" s="103">
        <v>1</v>
      </c>
      <c r="B4" s="96" t="s">
        <v>31</v>
      </c>
      <c r="C4" s="97" t="s">
        <v>482</v>
      </c>
      <c r="D4" s="97" t="s">
        <v>977</v>
      </c>
      <c r="E4" s="101">
        <v>1</v>
      </c>
      <c r="F4" s="99">
        <v>93000</v>
      </c>
      <c r="G4" s="99">
        <v>93000</v>
      </c>
      <c r="H4" s="96" t="s">
        <v>477</v>
      </c>
    </row>
    <row r="5" spans="1:8" x14ac:dyDescent="0.25">
      <c r="A5" s="103">
        <v>1</v>
      </c>
      <c r="B5" s="96" t="s">
        <v>31</v>
      </c>
      <c r="C5" s="97" t="s">
        <v>484</v>
      </c>
      <c r="D5" s="97" t="s">
        <v>978</v>
      </c>
      <c r="E5" s="101">
        <v>2</v>
      </c>
      <c r="F5" s="99">
        <v>74500</v>
      </c>
      <c r="G5" s="99">
        <v>149000</v>
      </c>
      <c r="H5" s="96" t="s">
        <v>477</v>
      </c>
    </row>
    <row r="6" spans="1:8" x14ac:dyDescent="0.25">
      <c r="A6" s="103">
        <v>1</v>
      </c>
      <c r="B6" s="96" t="s">
        <v>24</v>
      </c>
      <c r="C6" s="97" t="s">
        <v>322</v>
      </c>
      <c r="D6" s="97" t="s">
        <v>979</v>
      </c>
      <c r="E6" s="101">
        <v>20</v>
      </c>
      <c r="F6" s="99">
        <v>16500</v>
      </c>
      <c r="G6" s="99">
        <v>330000</v>
      </c>
      <c r="H6" s="96" t="s">
        <v>321</v>
      </c>
    </row>
    <row r="7" spans="1:8" x14ac:dyDescent="0.25">
      <c r="A7" s="103">
        <v>2</v>
      </c>
      <c r="B7" s="96" t="s">
        <v>31</v>
      </c>
      <c r="C7" s="97" t="s">
        <v>488</v>
      </c>
      <c r="D7" s="97" t="s">
        <v>980</v>
      </c>
      <c r="E7" s="101">
        <v>2</v>
      </c>
      <c r="F7" s="99">
        <v>39000</v>
      </c>
      <c r="G7" s="99">
        <v>78000</v>
      </c>
      <c r="H7" s="96" t="s">
        <v>487</v>
      </c>
    </row>
    <row r="8" spans="1:8" x14ac:dyDescent="0.25">
      <c r="A8" s="103">
        <v>2</v>
      </c>
      <c r="B8" s="96" t="s">
        <v>31</v>
      </c>
      <c r="C8" s="97" t="s">
        <v>490</v>
      </c>
      <c r="D8" s="97" t="s">
        <v>981</v>
      </c>
      <c r="E8" s="101">
        <v>2</v>
      </c>
      <c r="F8" s="99">
        <v>32500</v>
      </c>
      <c r="G8" s="99">
        <v>65000</v>
      </c>
      <c r="H8" s="96" t="s">
        <v>487</v>
      </c>
    </row>
    <row r="9" spans="1:8" x14ac:dyDescent="0.25">
      <c r="A9" s="103">
        <v>2</v>
      </c>
      <c r="B9" s="96" t="s">
        <v>31</v>
      </c>
      <c r="C9" s="97" t="s">
        <v>492</v>
      </c>
      <c r="D9" s="97" t="s">
        <v>982</v>
      </c>
      <c r="E9" s="101">
        <v>1</v>
      </c>
      <c r="F9" s="99">
        <v>51600</v>
      </c>
      <c r="G9" s="99">
        <v>51600</v>
      </c>
      <c r="H9" s="96" t="s">
        <v>487</v>
      </c>
    </row>
    <row r="10" spans="1:8" x14ac:dyDescent="0.25">
      <c r="A10" s="103">
        <v>2</v>
      </c>
      <c r="B10" s="96" t="s">
        <v>28</v>
      </c>
      <c r="C10" s="97" t="s">
        <v>582</v>
      </c>
      <c r="D10" s="97" t="s">
        <v>983</v>
      </c>
      <c r="E10" s="101">
        <v>4</v>
      </c>
      <c r="F10" s="99">
        <v>18200</v>
      </c>
      <c r="G10" s="99">
        <v>72800</v>
      </c>
      <c r="H10" s="96" t="s">
        <v>571</v>
      </c>
    </row>
    <row r="11" spans="1:8" x14ac:dyDescent="0.25">
      <c r="A11" s="103">
        <v>2</v>
      </c>
      <c r="B11" s="96" t="s">
        <v>30</v>
      </c>
      <c r="C11" s="97" t="s">
        <v>569</v>
      </c>
      <c r="D11" s="97" t="s">
        <v>984</v>
      </c>
      <c r="E11" s="101">
        <v>5</v>
      </c>
      <c r="F11" s="99">
        <v>3105.6</v>
      </c>
      <c r="G11" s="99">
        <v>15528</v>
      </c>
      <c r="H11" s="96" t="s">
        <v>571</v>
      </c>
    </row>
    <row r="12" spans="1:8" x14ac:dyDescent="0.25">
      <c r="A12" s="103">
        <v>2</v>
      </c>
      <c r="B12" s="96" t="s">
        <v>30</v>
      </c>
      <c r="C12" s="97" t="s">
        <v>569</v>
      </c>
      <c r="D12" s="97" t="s">
        <v>985</v>
      </c>
      <c r="E12" s="101">
        <v>5</v>
      </c>
      <c r="F12" s="99">
        <v>3105.6</v>
      </c>
      <c r="G12" s="99">
        <v>15528</v>
      </c>
      <c r="H12" s="96" t="s">
        <v>571</v>
      </c>
    </row>
    <row r="13" spans="1:8" x14ac:dyDescent="0.25">
      <c r="A13" s="103">
        <v>2</v>
      </c>
      <c r="B13" s="96" t="s">
        <v>30</v>
      </c>
      <c r="C13" s="97" t="s">
        <v>569</v>
      </c>
      <c r="D13" s="97" t="s">
        <v>986</v>
      </c>
      <c r="E13" s="101">
        <v>5</v>
      </c>
      <c r="F13" s="99">
        <v>1309</v>
      </c>
      <c r="G13" s="99">
        <v>6545</v>
      </c>
      <c r="H13" s="96" t="s">
        <v>571</v>
      </c>
    </row>
    <row r="14" spans="1:8" x14ac:dyDescent="0.25">
      <c r="A14" s="103">
        <v>2</v>
      </c>
      <c r="B14" s="96" t="s">
        <v>30</v>
      </c>
      <c r="C14" s="97" t="s">
        <v>569</v>
      </c>
      <c r="D14" s="97" t="s">
        <v>987</v>
      </c>
      <c r="E14" s="101">
        <v>5</v>
      </c>
      <c r="F14" s="99">
        <v>2570.4</v>
      </c>
      <c r="G14" s="99">
        <v>12852</v>
      </c>
      <c r="H14" s="96" t="s">
        <v>571</v>
      </c>
    </row>
    <row r="15" spans="1:8" x14ac:dyDescent="0.25">
      <c r="A15" s="103">
        <v>2</v>
      </c>
      <c r="B15" s="96" t="s">
        <v>30</v>
      </c>
      <c r="C15" s="97" t="s">
        <v>569</v>
      </c>
      <c r="D15" s="97" t="s">
        <v>988</v>
      </c>
      <c r="E15" s="101">
        <v>3</v>
      </c>
      <c r="F15" s="99">
        <v>3760.33</v>
      </c>
      <c r="G15" s="99">
        <v>11281</v>
      </c>
      <c r="H15" s="96" t="s">
        <v>571</v>
      </c>
    </row>
    <row r="16" spans="1:8" x14ac:dyDescent="0.25">
      <c r="A16" s="103">
        <v>2</v>
      </c>
      <c r="B16" s="96" t="s">
        <v>30</v>
      </c>
      <c r="C16" s="97" t="s">
        <v>569</v>
      </c>
      <c r="D16" s="97" t="s">
        <v>989</v>
      </c>
      <c r="E16" s="101">
        <v>3</v>
      </c>
      <c r="F16" s="99">
        <v>3760.33</v>
      </c>
      <c r="G16" s="99">
        <v>11281</v>
      </c>
      <c r="H16" s="96" t="s">
        <v>571</v>
      </c>
    </row>
    <row r="17" spans="1:8" x14ac:dyDescent="0.25">
      <c r="A17" s="103">
        <v>2</v>
      </c>
      <c r="B17" s="96" t="s">
        <v>30</v>
      </c>
      <c r="C17" s="97" t="s">
        <v>577</v>
      </c>
      <c r="D17" s="97" t="s">
        <v>990</v>
      </c>
      <c r="E17" s="101">
        <v>70</v>
      </c>
      <c r="F17" s="99">
        <v>4180</v>
      </c>
      <c r="G17" s="99">
        <v>292600</v>
      </c>
      <c r="H17" s="96" t="s">
        <v>571</v>
      </c>
    </row>
    <row r="18" spans="1:8" x14ac:dyDescent="0.25">
      <c r="A18" s="103">
        <v>3</v>
      </c>
      <c r="B18" s="96" t="s">
        <v>31</v>
      </c>
      <c r="C18" s="97" t="s">
        <v>496</v>
      </c>
      <c r="D18" s="97" t="s">
        <v>991</v>
      </c>
      <c r="E18" s="101">
        <v>1</v>
      </c>
      <c r="F18" s="99">
        <v>32000</v>
      </c>
      <c r="G18" s="99">
        <v>32000</v>
      </c>
      <c r="H18" s="96" t="s">
        <v>992</v>
      </c>
    </row>
    <row r="19" spans="1:8" x14ac:dyDescent="0.25">
      <c r="A19" s="103">
        <v>3</v>
      </c>
      <c r="B19" s="96" t="s">
        <v>31</v>
      </c>
      <c r="C19" s="97" t="s">
        <v>498</v>
      </c>
      <c r="D19" s="97" t="s">
        <v>993</v>
      </c>
      <c r="E19" s="101">
        <v>2</v>
      </c>
      <c r="F19" s="99">
        <v>65000</v>
      </c>
      <c r="G19" s="99">
        <v>130000</v>
      </c>
      <c r="H19" s="96" t="s">
        <v>992</v>
      </c>
    </row>
    <row r="20" spans="1:8" x14ac:dyDescent="0.25">
      <c r="A20" s="103">
        <v>3</v>
      </c>
      <c r="B20" s="96" t="s">
        <v>31</v>
      </c>
      <c r="C20" s="97" t="s">
        <v>500</v>
      </c>
      <c r="D20" s="97" t="s">
        <v>994</v>
      </c>
      <c r="E20" s="101">
        <v>2</v>
      </c>
      <c r="F20" s="99">
        <v>65000</v>
      </c>
      <c r="G20" s="99">
        <v>130000</v>
      </c>
      <c r="H20" s="96" t="s">
        <v>992</v>
      </c>
    </row>
    <row r="21" spans="1:8" x14ac:dyDescent="0.25">
      <c r="A21" s="103">
        <v>3</v>
      </c>
      <c r="B21" s="96" t="s">
        <v>31</v>
      </c>
      <c r="C21" s="97" t="s">
        <v>502</v>
      </c>
      <c r="D21" s="97" t="s">
        <v>995</v>
      </c>
      <c r="E21" s="101">
        <v>10</v>
      </c>
      <c r="F21" s="99">
        <v>28800</v>
      </c>
      <c r="G21" s="99">
        <v>288000</v>
      </c>
      <c r="H21" s="96" t="s">
        <v>992</v>
      </c>
    </row>
    <row r="22" spans="1:8" x14ac:dyDescent="0.25">
      <c r="A22" s="103">
        <v>3</v>
      </c>
      <c r="B22" s="96" t="s">
        <v>31</v>
      </c>
      <c r="C22" s="97" t="s">
        <v>504</v>
      </c>
      <c r="D22" s="97" t="s">
        <v>996</v>
      </c>
      <c r="E22" s="101">
        <v>8</v>
      </c>
      <c r="F22" s="99">
        <v>30000</v>
      </c>
      <c r="G22" s="99">
        <v>240000</v>
      </c>
      <c r="H22" s="96" t="s">
        <v>992</v>
      </c>
    </row>
    <row r="23" spans="1:8" x14ac:dyDescent="0.25">
      <c r="A23" s="103">
        <v>3</v>
      </c>
      <c r="B23" s="96" t="s">
        <v>31</v>
      </c>
      <c r="C23" s="97" t="s">
        <v>507</v>
      </c>
      <c r="D23" s="97" t="s">
        <v>997</v>
      </c>
      <c r="E23" s="101">
        <v>2</v>
      </c>
      <c r="F23" s="99">
        <v>25100</v>
      </c>
      <c r="G23" s="99">
        <v>50200</v>
      </c>
      <c r="H23" s="96" t="s">
        <v>992</v>
      </c>
    </row>
    <row r="24" spans="1:8" x14ac:dyDescent="0.25">
      <c r="A24" s="103">
        <v>3</v>
      </c>
      <c r="B24" s="96" t="s">
        <v>31</v>
      </c>
      <c r="C24" s="97" t="s">
        <v>507</v>
      </c>
      <c r="D24" s="97" t="s">
        <v>998</v>
      </c>
      <c r="E24" s="101">
        <v>2</v>
      </c>
      <c r="F24" s="99">
        <v>25100</v>
      </c>
      <c r="G24" s="99">
        <v>50200</v>
      </c>
      <c r="H24" s="96" t="s">
        <v>992</v>
      </c>
    </row>
    <row r="25" spans="1:8" x14ac:dyDescent="0.25">
      <c r="A25" s="103">
        <v>3</v>
      </c>
      <c r="B25" s="96" t="s">
        <v>31</v>
      </c>
      <c r="C25" s="97" t="s">
        <v>507</v>
      </c>
      <c r="D25" s="97" t="s">
        <v>999</v>
      </c>
      <c r="E25" s="101">
        <v>2</v>
      </c>
      <c r="F25" s="99">
        <v>25100</v>
      </c>
      <c r="G25" s="99">
        <v>50200</v>
      </c>
      <c r="H25" s="96" t="s">
        <v>992</v>
      </c>
    </row>
    <row r="26" spans="1:8" x14ac:dyDescent="0.25">
      <c r="A26" s="103">
        <v>3</v>
      </c>
      <c r="B26" s="96" t="s">
        <v>29</v>
      </c>
      <c r="C26" s="97" t="s">
        <v>598</v>
      </c>
      <c r="D26" s="97" t="s">
        <v>1000</v>
      </c>
      <c r="E26" s="101">
        <v>4</v>
      </c>
      <c r="F26" s="99">
        <v>26000</v>
      </c>
      <c r="G26" s="99">
        <v>104000</v>
      </c>
      <c r="H26" s="96" t="s">
        <v>600</v>
      </c>
    </row>
    <row r="27" spans="1:8" x14ac:dyDescent="0.25">
      <c r="A27" s="103">
        <v>4</v>
      </c>
      <c r="B27" s="96" t="s">
        <v>24</v>
      </c>
      <c r="C27" s="97" t="s">
        <v>70</v>
      </c>
      <c r="D27" s="97" t="s">
        <v>1001</v>
      </c>
      <c r="E27" s="98">
        <v>26.5</v>
      </c>
      <c r="F27" s="99">
        <v>19500</v>
      </c>
      <c r="G27" s="99">
        <v>516750</v>
      </c>
      <c r="H27" s="96" t="s">
        <v>376</v>
      </c>
    </row>
    <row r="28" spans="1:8" x14ac:dyDescent="0.25">
      <c r="A28" s="103">
        <v>5</v>
      </c>
      <c r="B28" s="96" t="s">
        <v>24</v>
      </c>
      <c r="C28" s="97" t="s">
        <v>78</v>
      </c>
      <c r="D28" s="97" t="s">
        <v>1002</v>
      </c>
      <c r="E28" s="98">
        <v>19.7</v>
      </c>
      <c r="F28" s="99">
        <v>22900</v>
      </c>
      <c r="G28" s="99">
        <v>451130</v>
      </c>
      <c r="H28" s="96" t="s">
        <v>385</v>
      </c>
    </row>
    <row r="29" spans="1:8" x14ac:dyDescent="0.25">
      <c r="A29" s="103">
        <v>5</v>
      </c>
      <c r="B29" s="96" t="s">
        <v>24</v>
      </c>
      <c r="C29" s="97" t="s">
        <v>387</v>
      </c>
      <c r="D29" s="97" t="s">
        <v>1003</v>
      </c>
      <c r="E29" s="98">
        <v>26.1</v>
      </c>
      <c r="F29" s="99">
        <v>18500</v>
      </c>
      <c r="G29" s="99">
        <v>482850</v>
      </c>
      <c r="H29" s="96" t="s">
        <v>385</v>
      </c>
    </row>
    <row r="30" spans="1:8" x14ac:dyDescent="0.25">
      <c r="A30" s="103">
        <v>5</v>
      </c>
      <c r="B30" s="96" t="s">
        <v>24</v>
      </c>
      <c r="C30" s="97" t="s">
        <v>389</v>
      </c>
      <c r="D30" s="97" t="s">
        <v>1004</v>
      </c>
      <c r="E30" s="98">
        <v>30.66</v>
      </c>
      <c r="F30" s="99">
        <v>18900</v>
      </c>
      <c r="G30" s="99">
        <v>579474</v>
      </c>
      <c r="H30" s="96" t="s">
        <v>385</v>
      </c>
    </row>
    <row r="31" spans="1:8" x14ac:dyDescent="0.25">
      <c r="A31" s="103">
        <v>5</v>
      </c>
      <c r="B31" s="96" t="s">
        <v>24</v>
      </c>
      <c r="C31" s="97" t="s">
        <v>80</v>
      </c>
      <c r="D31" s="97" t="s">
        <v>1005</v>
      </c>
      <c r="E31" s="98">
        <v>21.55</v>
      </c>
      <c r="F31" s="99">
        <v>42000</v>
      </c>
      <c r="G31" s="99">
        <v>905100</v>
      </c>
      <c r="H31" s="96" t="s">
        <v>385</v>
      </c>
    </row>
    <row r="32" spans="1:8" x14ac:dyDescent="0.25">
      <c r="A32" s="103">
        <v>5</v>
      </c>
      <c r="B32" s="96" t="s">
        <v>24</v>
      </c>
      <c r="C32" s="97" t="s">
        <v>392</v>
      </c>
      <c r="D32" s="97" t="s">
        <v>1006</v>
      </c>
      <c r="E32" s="98">
        <v>18</v>
      </c>
      <c r="F32" s="99">
        <v>44000</v>
      </c>
      <c r="G32" s="99">
        <v>792000</v>
      </c>
      <c r="H32" s="96" t="s">
        <v>385</v>
      </c>
    </row>
    <row r="33" spans="1:8" x14ac:dyDescent="0.25">
      <c r="A33" s="103">
        <v>5</v>
      </c>
      <c r="B33" s="96" t="s">
        <v>24</v>
      </c>
      <c r="C33" s="97" t="s">
        <v>64</v>
      </c>
      <c r="D33" s="97" t="s">
        <v>1007</v>
      </c>
      <c r="E33" s="98">
        <v>20.239999999999998</v>
      </c>
      <c r="F33" s="99">
        <v>25900</v>
      </c>
      <c r="G33" s="99">
        <v>524216</v>
      </c>
      <c r="H33" s="96" t="s">
        <v>385</v>
      </c>
    </row>
    <row r="34" spans="1:8" x14ac:dyDescent="0.25">
      <c r="A34" s="103">
        <v>5</v>
      </c>
      <c r="B34" s="96" t="s">
        <v>24</v>
      </c>
      <c r="C34" s="97" t="s">
        <v>68</v>
      </c>
      <c r="D34" s="97" t="s">
        <v>1008</v>
      </c>
      <c r="E34" s="98">
        <v>9</v>
      </c>
      <c r="F34" s="99">
        <v>34500</v>
      </c>
      <c r="G34" s="99">
        <v>310500</v>
      </c>
      <c r="H34" s="96" t="s">
        <v>385</v>
      </c>
    </row>
    <row r="35" spans="1:8" x14ac:dyDescent="0.25">
      <c r="A35" s="103">
        <v>5</v>
      </c>
      <c r="B35" s="96" t="s">
        <v>24</v>
      </c>
      <c r="C35" s="97" t="s">
        <v>62</v>
      </c>
      <c r="D35" s="97" t="s">
        <v>1009</v>
      </c>
      <c r="E35" s="98">
        <v>150.9</v>
      </c>
      <c r="F35" s="99">
        <v>21900</v>
      </c>
      <c r="G35" s="99">
        <v>3304710</v>
      </c>
      <c r="H35" s="96" t="s">
        <v>385</v>
      </c>
    </row>
    <row r="36" spans="1:8" x14ac:dyDescent="0.25">
      <c r="A36" s="103">
        <v>5</v>
      </c>
      <c r="B36" s="96" t="s">
        <v>29</v>
      </c>
      <c r="C36" s="97" t="s">
        <v>551</v>
      </c>
      <c r="D36" s="97" t="s">
        <v>1010</v>
      </c>
      <c r="E36" s="101">
        <v>12</v>
      </c>
      <c r="F36" s="99">
        <v>19500</v>
      </c>
      <c r="G36" s="99">
        <v>234000</v>
      </c>
      <c r="H36" s="96" t="s">
        <v>385</v>
      </c>
    </row>
    <row r="37" spans="1:8" x14ac:dyDescent="0.25">
      <c r="A37" s="103">
        <v>7</v>
      </c>
      <c r="B37" s="96" t="s">
        <v>24</v>
      </c>
      <c r="C37" s="97" t="s">
        <v>406</v>
      </c>
      <c r="D37" s="97" t="s">
        <v>1011</v>
      </c>
      <c r="E37" s="98">
        <v>5.5919999999999996</v>
      </c>
      <c r="F37" s="99">
        <v>26900</v>
      </c>
      <c r="G37" s="99">
        <v>150425</v>
      </c>
      <c r="H37" s="96" t="s">
        <v>405</v>
      </c>
    </row>
    <row r="38" spans="1:8" x14ac:dyDescent="0.25">
      <c r="A38" s="103">
        <v>7</v>
      </c>
      <c r="B38" s="96" t="s">
        <v>24</v>
      </c>
      <c r="C38" s="97" t="s">
        <v>64</v>
      </c>
      <c r="D38" s="97" t="s">
        <v>1012</v>
      </c>
      <c r="E38" s="98">
        <v>21.61</v>
      </c>
      <c r="F38" s="99">
        <v>25900</v>
      </c>
      <c r="G38" s="99">
        <v>559699</v>
      </c>
      <c r="H38" s="96" t="s">
        <v>405</v>
      </c>
    </row>
    <row r="39" spans="1:8" x14ac:dyDescent="0.25">
      <c r="A39" s="103">
        <v>7</v>
      </c>
      <c r="B39" s="96" t="s">
        <v>24</v>
      </c>
      <c r="C39" s="97" t="s">
        <v>68</v>
      </c>
      <c r="D39" s="97" t="s">
        <v>1013</v>
      </c>
      <c r="E39" s="98">
        <v>20.565000000000001</v>
      </c>
      <c r="F39" s="99">
        <v>34500</v>
      </c>
      <c r="G39" s="99">
        <v>709493</v>
      </c>
      <c r="H39" s="96" t="s">
        <v>405</v>
      </c>
    </row>
    <row r="40" spans="1:8" x14ac:dyDescent="0.25">
      <c r="A40" s="103">
        <v>7</v>
      </c>
      <c r="B40" s="96" t="s">
        <v>29</v>
      </c>
      <c r="C40" s="97" t="s">
        <v>779</v>
      </c>
      <c r="D40" s="97" t="s">
        <v>1014</v>
      </c>
      <c r="E40" s="101">
        <v>10</v>
      </c>
      <c r="F40" s="99">
        <v>10900</v>
      </c>
      <c r="G40" s="99">
        <v>109000</v>
      </c>
      <c r="H40" s="96" t="s">
        <v>405</v>
      </c>
    </row>
    <row r="41" spans="1:8" x14ac:dyDescent="0.25">
      <c r="A41" s="103">
        <v>20</v>
      </c>
      <c r="B41" s="96" t="s">
        <v>24</v>
      </c>
      <c r="C41" s="97" t="s">
        <v>367</v>
      </c>
      <c r="D41" s="97" t="s">
        <v>964</v>
      </c>
      <c r="E41" s="98">
        <v>14.05</v>
      </c>
      <c r="F41" s="99">
        <v>53000</v>
      </c>
      <c r="G41" s="99">
        <v>744650</v>
      </c>
      <c r="H41" s="96" t="s">
        <v>1015</v>
      </c>
    </row>
    <row r="42" spans="1:8" x14ac:dyDescent="0.25">
      <c r="A42" s="103">
        <v>20</v>
      </c>
      <c r="B42" s="96" t="s">
        <v>24</v>
      </c>
      <c r="C42" s="97" t="s">
        <v>406</v>
      </c>
      <c r="D42" s="97" t="s">
        <v>966</v>
      </c>
      <c r="E42" s="98">
        <v>11.38</v>
      </c>
      <c r="F42" s="99">
        <v>28000</v>
      </c>
      <c r="G42" s="99">
        <v>318500</v>
      </c>
      <c r="H42" s="96" t="s">
        <v>1015</v>
      </c>
    </row>
    <row r="43" spans="1:8" x14ac:dyDescent="0.25">
      <c r="A43" s="103">
        <v>20</v>
      </c>
      <c r="B43" s="96" t="s">
        <v>24</v>
      </c>
      <c r="C43" s="97" t="s">
        <v>68</v>
      </c>
      <c r="D43" s="97" t="s">
        <v>965</v>
      </c>
      <c r="E43" s="98">
        <v>6.1</v>
      </c>
      <c r="F43" s="99">
        <v>30000</v>
      </c>
      <c r="G43" s="99">
        <v>183000</v>
      </c>
      <c r="H43" s="96" t="s">
        <v>1015</v>
      </c>
    </row>
    <row r="44" spans="1:8" x14ac:dyDescent="0.25">
      <c r="A44" s="103">
        <v>22</v>
      </c>
      <c r="B44" s="96" t="s">
        <v>24</v>
      </c>
      <c r="C44" s="97" t="s">
        <v>68</v>
      </c>
      <c r="D44" s="97" t="s">
        <v>972</v>
      </c>
      <c r="E44" s="98">
        <v>16.149999999999999</v>
      </c>
      <c r="F44" s="99">
        <v>30000</v>
      </c>
      <c r="G44" s="99">
        <v>484500</v>
      </c>
      <c r="H44" s="96" t="s">
        <v>1016</v>
      </c>
    </row>
    <row r="45" spans="1:8" x14ac:dyDescent="0.25">
      <c r="A45" s="103">
        <v>23</v>
      </c>
      <c r="B45" s="96" t="s">
        <v>24</v>
      </c>
      <c r="C45" s="97" t="s">
        <v>357</v>
      </c>
      <c r="D45" s="97" t="s">
        <v>957</v>
      </c>
      <c r="E45" s="98">
        <v>5.25</v>
      </c>
      <c r="F45" s="99">
        <v>33000</v>
      </c>
      <c r="G45" s="99">
        <v>173250</v>
      </c>
      <c r="H45" s="96" t="s">
        <v>1017</v>
      </c>
    </row>
    <row r="46" spans="1:8" x14ac:dyDescent="0.25">
      <c r="A46" s="103">
        <v>23</v>
      </c>
      <c r="B46" s="96" t="s">
        <v>24</v>
      </c>
      <c r="C46" s="97" t="s">
        <v>958</v>
      </c>
      <c r="D46" s="97" t="s">
        <v>959</v>
      </c>
      <c r="E46" s="98">
        <v>5.35</v>
      </c>
      <c r="F46" s="99">
        <v>21500</v>
      </c>
      <c r="G46" s="99">
        <v>115025</v>
      </c>
      <c r="H46" s="96" t="s">
        <v>1017</v>
      </c>
    </row>
    <row r="47" spans="1:8" x14ac:dyDescent="0.25">
      <c r="A47" s="103">
        <v>24</v>
      </c>
      <c r="B47" s="96" t="s">
        <v>24</v>
      </c>
      <c r="C47" s="97" t="s">
        <v>357</v>
      </c>
      <c r="D47" s="97" t="s">
        <v>971</v>
      </c>
      <c r="E47" s="98">
        <v>4.3</v>
      </c>
      <c r="F47" s="99">
        <v>33000</v>
      </c>
      <c r="G47" s="99">
        <v>141900</v>
      </c>
      <c r="H47" s="96" t="s">
        <v>1018</v>
      </c>
    </row>
    <row r="48" spans="1:8" x14ac:dyDescent="0.25">
      <c r="A48" s="103">
        <v>24</v>
      </c>
      <c r="B48" s="96" t="s">
        <v>24</v>
      </c>
      <c r="C48" s="97" t="s">
        <v>68</v>
      </c>
      <c r="D48" s="97" t="s">
        <v>970</v>
      </c>
      <c r="E48" s="98">
        <v>10.6</v>
      </c>
      <c r="F48" s="99">
        <v>30000</v>
      </c>
      <c r="G48" s="99">
        <v>318000</v>
      </c>
      <c r="H48" s="96" t="s">
        <v>1018</v>
      </c>
    </row>
    <row r="49" spans="1:8" x14ac:dyDescent="0.25">
      <c r="A49" s="117">
        <v>4</v>
      </c>
      <c r="B49" s="121" t="s">
        <v>26</v>
      </c>
      <c r="C49" s="121" t="s">
        <v>69</v>
      </c>
      <c r="D49" s="121" t="s">
        <v>1019</v>
      </c>
      <c r="E49" s="119">
        <v>1</v>
      </c>
      <c r="F49" s="153">
        <v>30000</v>
      </c>
      <c r="G49" s="153">
        <v>30000</v>
      </c>
      <c r="H49" s="121" t="s">
        <v>648</v>
      </c>
    </row>
    <row r="50" spans="1:8" x14ac:dyDescent="0.25">
      <c r="A50" s="140">
        <v>3</v>
      </c>
      <c r="B50" s="141" t="s">
        <v>24</v>
      </c>
      <c r="C50" s="142" t="s">
        <v>370</v>
      </c>
      <c r="D50" s="142" t="s">
        <v>1020</v>
      </c>
      <c r="E50" s="143">
        <v>5</v>
      </c>
      <c r="F50" s="144">
        <v>47600</v>
      </c>
      <c r="G50" s="144">
        <v>238000</v>
      </c>
      <c r="H50" s="141" t="s">
        <v>369</v>
      </c>
    </row>
    <row r="51" spans="1:8" x14ac:dyDescent="0.25">
      <c r="A51" s="140">
        <v>6</v>
      </c>
      <c r="B51" s="141" t="s">
        <v>29</v>
      </c>
      <c r="C51" s="142" t="s">
        <v>548</v>
      </c>
      <c r="D51" s="142" t="s">
        <v>1021</v>
      </c>
      <c r="E51" s="143">
        <v>1</v>
      </c>
      <c r="F51" s="144">
        <v>200000</v>
      </c>
      <c r="G51" s="144">
        <v>200000</v>
      </c>
      <c r="H51" s="141" t="s">
        <v>1022</v>
      </c>
    </row>
  </sheetData>
  <autoFilter ref="A1:H1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Dashboard</vt:lpstr>
      <vt:lpstr>Auditoría Cuaderno vs Excel</vt:lpstr>
      <vt:lpstr>Dashboard Carnes</vt:lpstr>
      <vt:lpstr>Dashboard Bebidas</vt:lpstr>
      <vt:lpstr>Detalle Compras Septiembre 2026</vt:lpstr>
      <vt:lpstr>Agosto 2026</vt:lpstr>
      <vt:lpstr>Transacciones Repetidas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USUARIO</cp:lastModifiedBy>
  <cp:lastPrinted>2026-09-05T18:53:26Z</cp:lastPrinted>
  <dcterms:created xsi:type="dcterms:W3CDTF">2026-09-04T03:02:21Z</dcterms:created>
  <dcterms:modified xsi:type="dcterms:W3CDTF">2026-09-12T17:38:39Z</dcterms:modified>
</cp:coreProperties>
</file>