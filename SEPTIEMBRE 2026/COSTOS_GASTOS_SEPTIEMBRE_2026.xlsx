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ome\Desktop\COSTOS LA FINCA\SEPTIEMBRE 2026\"/>
    </mc:Choice>
  </mc:AlternateContent>
  <xr:revisionPtr revIDLastSave="0" documentId="13_ncr:1_{6DBF5963-DADC-47AE-9EF2-DB84F25FB5D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Dashboard Carnes" sheetId="2" r:id="rId2"/>
    <sheet name="Dashboard Bebidas" sheetId="3" r:id="rId3"/>
    <sheet name="Detalle Compras Septiembre 2026" sheetId="4" r:id="rId4"/>
  </sheets>
  <definedNames>
    <definedName name="_xlnm._FilterDatabase" localSheetId="3" hidden="1">'Detalle Compras Septiembre 2026'!$A$1:$G$910</definedName>
    <definedName name="_xlnm.Print_Area" localSheetId="0">Dashboard!$B$2:$N$78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48" i="3" l="1"/>
  <c r="N48" i="3"/>
  <c r="M48" i="3"/>
  <c r="O48" i="3" s="1"/>
  <c r="Q47" i="3"/>
  <c r="N47" i="3"/>
  <c r="M47" i="3"/>
  <c r="O47" i="3" s="1"/>
  <c r="Q46" i="3"/>
  <c r="N46" i="3"/>
  <c r="M46" i="3"/>
  <c r="O46" i="3" s="1"/>
  <c r="Q45" i="3"/>
  <c r="N45" i="3"/>
  <c r="M45" i="3"/>
  <c r="O45" i="3" s="1"/>
  <c r="Q44" i="3"/>
  <c r="N44" i="3"/>
  <c r="M44" i="3"/>
  <c r="O44" i="3" s="1"/>
  <c r="Q43" i="3"/>
  <c r="N43" i="3"/>
  <c r="M43" i="3"/>
  <c r="O43" i="3" s="1"/>
  <c r="Q42" i="3"/>
  <c r="N42" i="3"/>
  <c r="M42" i="3"/>
  <c r="Q41" i="3"/>
  <c r="N41" i="3"/>
  <c r="M41" i="3"/>
  <c r="Q40" i="3"/>
  <c r="N40" i="3"/>
  <c r="M40" i="3"/>
  <c r="O40" i="3" s="1"/>
  <c r="Q39" i="3"/>
  <c r="N39" i="3"/>
  <c r="M39" i="3"/>
  <c r="O39" i="3" s="1"/>
  <c r="G39" i="3"/>
  <c r="D39" i="3"/>
  <c r="E39" i="3" s="1"/>
  <c r="C39" i="3"/>
  <c r="Q38" i="3"/>
  <c r="N38" i="3"/>
  <c r="M38" i="3"/>
  <c r="G38" i="3"/>
  <c r="D38" i="3"/>
  <c r="E38" i="3" s="1"/>
  <c r="C38" i="3"/>
  <c r="Q37" i="3"/>
  <c r="N37" i="3"/>
  <c r="M37" i="3"/>
  <c r="O37" i="3" s="1"/>
  <c r="G37" i="3"/>
  <c r="D37" i="3"/>
  <c r="E37" i="3" s="1"/>
  <c r="C37" i="3"/>
  <c r="Q36" i="3"/>
  <c r="N36" i="3"/>
  <c r="M36" i="3"/>
  <c r="O36" i="3" s="1"/>
  <c r="G36" i="3"/>
  <c r="D36" i="3"/>
  <c r="E36" i="3" s="1"/>
  <c r="C36" i="3"/>
  <c r="Q35" i="3"/>
  <c r="N35" i="3"/>
  <c r="M35" i="3"/>
  <c r="G35" i="3"/>
  <c r="D35" i="3"/>
  <c r="E35" i="3" s="1"/>
  <c r="C35" i="3"/>
  <c r="Q34" i="3"/>
  <c r="N34" i="3"/>
  <c r="M34" i="3"/>
  <c r="O34" i="3" s="1"/>
  <c r="G34" i="3"/>
  <c r="D34" i="3"/>
  <c r="E34" i="3" s="1"/>
  <c r="C34" i="3"/>
  <c r="Q33" i="3"/>
  <c r="N33" i="3"/>
  <c r="M33" i="3"/>
  <c r="O33" i="3" s="1"/>
  <c r="G33" i="3"/>
  <c r="D33" i="3"/>
  <c r="E33" i="3" s="1"/>
  <c r="C33" i="3"/>
  <c r="Q32" i="3"/>
  <c r="N32" i="3"/>
  <c r="M32" i="3"/>
  <c r="O32" i="3" s="1"/>
  <c r="G32" i="3"/>
  <c r="D32" i="3"/>
  <c r="E32" i="3" s="1"/>
  <c r="C32" i="3"/>
  <c r="Q31" i="3"/>
  <c r="N31" i="3"/>
  <c r="M31" i="3"/>
  <c r="O31" i="3" s="1"/>
  <c r="G31" i="3"/>
  <c r="D31" i="3"/>
  <c r="E31" i="3" s="1"/>
  <c r="C31" i="3"/>
  <c r="Q30" i="3"/>
  <c r="N30" i="3"/>
  <c r="M30" i="3"/>
  <c r="O30" i="3" s="1"/>
  <c r="G30" i="3"/>
  <c r="D30" i="3"/>
  <c r="E30" i="3" s="1"/>
  <c r="C30" i="3"/>
  <c r="Q29" i="3"/>
  <c r="N29" i="3"/>
  <c r="M29" i="3"/>
  <c r="O29" i="3" s="1"/>
  <c r="G29" i="3"/>
  <c r="D29" i="3"/>
  <c r="E29" i="3" s="1"/>
  <c r="C29" i="3"/>
  <c r="Q28" i="3"/>
  <c r="N28" i="3"/>
  <c r="M28" i="3"/>
  <c r="O28" i="3" s="1"/>
  <c r="G28" i="3"/>
  <c r="D28" i="3"/>
  <c r="E28" i="3" s="1"/>
  <c r="C28" i="3"/>
  <c r="Q27" i="3"/>
  <c r="N27" i="3"/>
  <c r="M27" i="3"/>
  <c r="O27" i="3" s="1"/>
  <c r="G27" i="3"/>
  <c r="D27" i="3"/>
  <c r="E27" i="3" s="1"/>
  <c r="C27" i="3"/>
  <c r="Q26" i="3"/>
  <c r="N26" i="3"/>
  <c r="M26" i="3"/>
  <c r="O26" i="3" s="1"/>
  <c r="G26" i="3"/>
  <c r="D26" i="3"/>
  <c r="E26" i="3" s="1"/>
  <c r="C26" i="3"/>
  <c r="Q25" i="3"/>
  <c r="N25" i="3"/>
  <c r="M25" i="3"/>
  <c r="O25" i="3" s="1"/>
  <c r="G25" i="3"/>
  <c r="D25" i="3"/>
  <c r="E25" i="3" s="1"/>
  <c r="C25" i="3"/>
  <c r="Q24" i="3"/>
  <c r="N24" i="3"/>
  <c r="M24" i="3"/>
  <c r="O24" i="3" s="1"/>
  <c r="G24" i="3"/>
  <c r="D24" i="3"/>
  <c r="E24" i="3" s="1"/>
  <c r="C24" i="3"/>
  <c r="Q23" i="3"/>
  <c r="N23" i="3"/>
  <c r="M23" i="3"/>
  <c r="O23" i="3" s="1"/>
  <c r="G23" i="3"/>
  <c r="D23" i="3"/>
  <c r="E23" i="3" s="1"/>
  <c r="C23" i="3"/>
  <c r="Q22" i="3"/>
  <c r="N22" i="3"/>
  <c r="M22" i="3"/>
  <c r="G22" i="3"/>
  <c r="D22" i="3"/>
  <c r="E22" i="3" s="1"/>
  <c r="C22" i="3"/>
  <c r="Q21" i="3"/>
  <c r="N21" i="3"/>
  <c r="M21" i="3"/>
  <c r="G21" i="3"/>
  <c r="D21" i="3"/>
  <c r="E21" i="3" s="1"/>
  <c r="C21" i="3"/>
  <c r="Q20" i="3"/>
  <c r="N20" i="3"/>
  <c r="M20" i="3"/>
  <c r="G20" i="3"/>
  <c r="D20" i="3"/>
  <c r="E20" i="3" s="1"/>
  <c r="C20" i="3"/>
  <c r="Q19" i="3"/>
  <c r="N19" i="3"/>
  <c r="M19" i="3"/>
  <c r="G19" i="3"/>
  <c r="D19" i="3"/>
  <c r="E19" i="3" s="1"/>
  <c r="C19" i="3"/>
  <c r="Q18" i="3"/>
  <c r="N18" i="3"/>
  <c r="M18" i="3"/>
  <c r="G18" i="3"/>
  <c r="D18" i="3"/>
  <c r="E18" i="3" s="1"/>
  <c r="C18" i="3"/>
  <c r="Q17" i="3"/>
  <c r="N17" i="3"/>
  <c r="M17" i="3"/>
  <c r="O17" i="3" s="1"/>
  <c r="G17" i="3"/>
  <c r="D17" i="3"/>
  <c r="E17" i="3" s="1"/>
  <c r="C17" i="3"/>
  <c r="Q16" i="3"/>
  <c r="N16" i="3"/>
  <c r="M16" i="3"/>
  <c r="O16" i="3" s="1"/>
  <c r="G16" i="3"/>
  <c r="D16" i="3"/>
  <c r="E16" i="3" s="1"/>
  <c r="C16" i="3"/>
  <c r="Q15" i="3"/>
  <c r="N15" i="3"/>
  <c r="M15" i="3"/>
  <c r="O15" i="3" s="1"/>
  <c r="G15" i="3"/>
  <c r="D15" i="3"/>
  <c r="E15" i="3" s="1"/>
  <c r="C15" i="3"/>
  <c r="Q14" i="3"/>
  <c r="N14" i="3"/>
  <c r="M14" i="3"/>
  <c r="O14" i="3" s="1"/>
  <c r="G14" i="3"/>
  <c r="D14" i="3"/>
  <c r="E14" i="3" s="1"/>
  <c r="C14" i="3"/>
  <c r="Q13" i="3"/>
  <c r="N13" i="3"/>
  <c r="M13" i="3"/>
  <c r="G13" i="3"/>
  <c r="D13" i="3"/>
  <c r="E13" i="3" s="1"/>
  <c r="C13" i="3"/>
  <c r="Q12" i="3"/>
  <c r="N12" i="3"/>
  <c r="M12" i="3"/>
  <c r="G12" i="3"/>
  <c r="D12" i="3"/>
  <c r="C12" i="3"/>
  <c r="Q11" i="3"/>
  <c r="N11" i="3"/>
  <c r="M11" i="3"/>
  <c r="G11" i="3"/>
  <c r="D11" i="3"/>
  <c r="C11" i="3"/>
  <c r="Q10" i="3"/>
  <c r="N10" i="3"/>
  <c r="M10" i="3"/>
  <c r="G10" i="3"/>
  <c r="D10" i="3"/>
  <c r="C10" i="3"/>
  <c r="G6" i="3"/>
  <c r="D6" i="3"/>
  <c r="B6" i="3"/>
  <c r="P41" i="2"/>
  <c r="M41" i="2"/>
  <c r="L41" i="2"/>
  <c r="N41" i="2" s="1"/>
  <c r="P40" i="2"/>
  <c r="M40" i="2"/>
  <c r="L40" i="2"/>
  <c r="N40" i="2" s="1"/>
  <c r="P39" i="2"/>
  <c r="M39" i="2"/>
  <c r="L39" i="2"/>
  <c r="N39" i="2" s="1"/>
  <c r="G39" i="2"/>
  <c r="D39" i="2"/>
  <c r="E39" i="2" s="1"/>
  <c r="C39" i="2"/>
  <c r="P38" i="2"/>
  <c r="M38" i="2"/>
  <c r="L38" i="2"/>
  <c r="N38" i="2" s="1"/>
  <c r="G38" i="2"/>
  <c r="D38" i="2"/>
  <c r="E38" i="2" s="1"/>
  <c r="C38" i="2"/>
  <c r="P37" i="2"/>
  <c r="M37" i="2"/>
  <c r="L37" i="2"/>
  <c r="N37" i="2" s="1"/>
  <c r="G37" i="2"/>
  <c r="D37" i="2"/>
  <c r="E37" i="2" s="1"/>
  <c r="C37" i="2"/>
  <c r="P36" i="2"/>
  <c r="M36" i="2"/>
  <c r="L36" i="2"/>
  <c r="N36" i="2" s="1"/>
  <c r="G36" i="2"/>
  <c r="D36" i="2"/>
  <c r="E36" i="2" s="1"/>
  <c r="C36" i="2"/>
  <c r="P35" i="2"/>
  <c r="M35" i="2"/>
  <c r="L35" i="2"/>
  <c r="N35" i="2" s="1"/>
  <c r="G35" i="2"/>
  <c r="D35" i="2"/>
  <c r="E35" i="2" s="1"/>
  <c r="C35" i="2"/>
  <c r="P34" i="2"/>
  <c r="M34" i="2"/>
  <c r="L34" i="2"/>
  <c r="N34" i="2" s="1"/>
  <c r="G34" i="2"/>
  <c r="D34" i="2"/>
  <c r="E34" i="2" s="1"/>
  <c r="C34" i="2"/>
  <c r="P33" i="2"/>
  <c r="M33" i="2"/>
  <c r="L33" i="2"/>
  <c r="G33" i="2"/>
  <c r="D33" i="2"/>
  <c r="E33" i="2" s="1"/>
  <c r="C33" i="2"/>
  <c r="P32" i="2"/>
  <c r="M32" i="2"/>
  <c r="L32" i="2"/>
  <c r="G32" i="2"/>
  <c r="D32" i="2"/>
  <c r="E32" i="2" s="1"/>
  <c r="C32" i="2"/>
  <c r="P31" i="2"/>
  <c r="M31" i="2"/>
  <c r="L31" i="2"/>
  <c r="G31" i="2"/>
  <c r="D31" i="2"/>
  <c r="E31" i="2" s="1"/>
  <c r="C31" i="2"/>
  <c r="P30" i="2"/>
  <c r="M30" i="2"/>
  <c r="L30" i="2"/>
  <c r="G30" i="2"/>
  <c r="D30" i="2"/>
  <c r="E30" i="2" s="1"/>
  <c r="C30" i="2"/>
  <c r="P29" i="2"/>
  <c r="M29" i="2"/>
  <c r="L29" i="2"/>
  <c r="G29" i="2"/>
  <c r="D29" i="2"/>
  <c r="E29" i="2" s="1"/>
  <c r="C29" i="2"/>
  <c r="P28" i="2"/>
  <c r="M28" i="2"/>
  <c r="L28" i="2"/>
  <c r="G28" i="2"/>
  <c r="D28" i="2"/>
  <c r="E28" i="2" s="1"/>
  <c r="C28" i="2"/>
  <c r="P27" i="2"/>
  <c r="M27" i="2"/>
  <c r="L27" i="2"/>
  <c r="G27" i="2"/>
  <c r="D27" i="2"/>
  <c r="E27" i="2" s="1"/>
  <c r="C27" i="2"/>
  <c r="P26" i="2"/>
  <c r="M26" i="2"/>
  <c r="L26" i="2"/>
  <c r="G26" i="2"/>
  <c r="D26" i="2"/>
  <c r="E26" i="2" s="1"/>
  <c r="C26" i="2"/>
  <c r="P25" i="2"/>
  <c r="M25" i="2"/>
  <c r="L25" i="2"/>
  <c r="G25" i="2"/>
  <c r="D25" i="2"/>
  <c r="E25" i="2" s="1"/>
  <c r="C25" i="2"/>
  <c r="P24" i="2"/>
  <c r="M24" i="2"/>
  <c r="L24" i="2"/>
  <c r="G24" i="2"/>
  <c r="D24" i="2"/>
  <c r="E24" i="2" s="1"/>
  <c r="C24" i="2"/>
  <c r="P23" i="2"/>
  <c r="M23" i="2"/>
  <c r="L23" i="2"/>
  <c r="G23" i="2"/>
  <c r="D23" i="2"/>
  <c r="E23" i="2" s="1"/>
  <c r="C23" i="2"/>
  <c r="P22" i="2"/>
  <c r="M22" i="2"/>
  <c r="L22" i="2"/>
  <c r="G22" i="2"/>
  <c r="D22" i="2"/>
  <c r="E22" i="2" s="1"/>
  <c r="C22" i="2"/>
  <c r="P21" i="2"/>
  <c r="M21" i="2"/>
  <c r="L21" i="2"/>
  <c r="N21" i="2" s="1"/>
  <c r="G21" i="2"/>
  <c r="D21" i="2"/>
  <c r="E21" i="2" s="1"/>
  <c r="C21" i="2"/>
  <c r="P20" i="2"/>
  <c r="M20" i="2"/>
  <c r="L20" i="2"/>
  <c r="N20" i="2" s="1"/>
  <c r="G20" i="2"/>
  <c r="D20" i="2"/>
  <c r="E20" i="2" s="1"/>
  <c r="C20" i="2"/>
  <c r="P19" i="2"/>
  <c r="M19" i="2"/>
  <c r="L19" i="2"/>
  <c r="G19" i="2"/>
  <c r="D19" i="2"/>
  <c r="E19" i="2" s="1"/>
  <c r="C19" i="2"/>
  <c r="P18" i="2"/>
  <c r="M18" i="2"/>
  <c r="L18" i="2"/>
  <c r="G18" i="2"/>
  <c r="D18" i="2"/>
  <c r="E18" i="2" s="1"/>
  <c r="C18" i="2"/>
  <c r="P17" i="2"/>
  <c r="M17" i="2"/>
  <c r="L17" i="2"/>
  <c r="N17" i="2" s="1"/>
  <c r="G17" i="2"/>
  <c r="E17" i="2"/>
  <c r="D17" i="2"/>
  <c r="C17" i="2"/>
  <c r="P16" i="2"/>
  <c r="M16" i="2"/>
  <c r="L16" i="2"/>
  <c r="N16" i="2" s="1"/>
  <c r="G16" i="2"/>
  <c r="D16" i="2"/>
  <c r="C16" i="2"/>
  <c r="P15" i="2"/>
  <c r="M15" i="2"/>
  <c r="L15" i="2"/>
  <c r="G15" i="2"/>
  <c r="D15" i="2"/>
  <c r="E15" i="2" s="1"/>
  <c r="C15" i="2"/>
  <c r="P14" i="2"/>
  <c r="M14" i="2"/>
  <c r="L14" i="2"/>
  <c r="G14" i="2"/>
  <c r="D14" i="2"/>
  <c r="C14" i="2"/>
  <c r="P13" i="2"/>
  <c r="M13" i="2"/>
  <c r="L13" i="2"/>
  <c r="G13" i="2"/>
  <c r="D13" i="2"/>
  <c r="C13" i="2"/>
  <c r="P12" i="2"/>
  <c r="M12" i="2"/>
  <c r="L12" i="2"/>
  <c r="G12" i="2"/>
  <c r="D12" i="2"/>
  <c r="C12" i="2"/>
  <c r="P11" i="2"/>
  <c r="M11" i="2"/>
  <c r="L11" i="2"/>
  <c r="G11" i="2"/>
  <c r="D11" i="2"/>
  <c r="E11" i="2" s="1"/>
  <c r="C11" i="2"/>
  <c r="P10" i="2"/>
  <c r="M10" i="2"/>
  <c r="L10" i="2"/>
  <c r="G10" i="2"/>
  <c r="D10" i="2"/>
  <c r="C10" i="2"/>
  <c r="G6" i="2"/>
  <c r="D6" i="2"/>
  <c r="B6" i="2"/>
  <c r="M78" i="1"/>
  <c r="L78" i="1"/>
  <c r="F78" i="1"/>
  <c r="E78" i="1"/>
  <c r="M77" i="1"/>
  <c r="L77" i="1"/>
  <c r="F77" i="1"/>
  <c r="E77" i="1"/>
  <c r="M76" i="1"/>
  <c r="L76" i="1"/>
  <c r="F76" i="1"/>
  <c r="E76" i="1"/>
  <c r="M75" i="1"/>
  <c r="L75" i="1"/>
  <c r="F75" i="1"/>
  <c r="E75" i="1"/>
  <c r="M74" i="1"/>
  <c r="L74" i="1"/>
  <c r="F74" i="1"/>
  <c r="E74" i="1"/>
  <c r="M73" i="1"/>
  <c r="L73" i="1"/>
  <c r="F73" i="1"/>
  <c r="E73" i="1"/>
  <c r="M72" i="1"/>
  <c r="L72" i="1"/>
  <c r="F72" i="1"/>
  <c r="E72" i="1"/>
  <c r="M71" i="1"/>
  <c r="L71" i="1"/>
  <c r="F71" i="1"/>
  <c r="E71" i="1"/>
  <c r="M70" i="1"/>
  <c r="L70" i="1"/>
  <c r="F70" i="1"/>
  <c r="E70" i="1"/>
  <c r="M69" i="1"/>
  <c r="L69" i="1"/>
  <c r="F69" i="1"/>
  <c r="E69" i="1"/>
  <c r="M68" i="1"/>
  <c r="L68" i="1"/>
  <c r="F68" i="1"/>
  <c r="E68" i="1"/>
  <c r="N57" i="1"/>
  <c r="M57" i="1"/>
  <c r="L57" i="1"/>
  <c r="K57" i="1"/>
  <c r="J57" i="1"/>
  <c r="I57" i="1"/>
  <c r="H57" i="1"/>
  <c r="D57" i="1"/>
  <c r="C57" i="1"/>
  <c r="N56" i="1"/>
  <c r="M56" i="1"/>
  <c r="L56" i="1"/>
  <c r="K56" i="1"/>
  <c r="J56" i="1"/>
  <c r="I56" i="1"/>
  <c r="H56" i="1"/>
  <c r="D56" i="1"/>
  <c r="C56" i="1"/>
  <c r="N55" i="1"/>
  <c r="M55" i="1"/>
  <c r="L55" i="1"/>
  <c r="K55" i="1"/>
  <c r="J55" i="1"/>
  <c r="I55" i="1"/>
  <c r="H55" i="1"/>
  <c r="D55" i="1"/>
  <c r="C55" i="1"/>
  <c r="N54" i="1"/>
  <c r="M54" i="1"/>
  <c r="L54" i="1"/>
  <c r="K54" i="1"/>
  <c r="J54" i="1"/>
  <c r="I54" i="1"/>
  <c r="H54" i="1"/>
  <c r="D54" i="1"/>
  <c r="C54" i="1"/>
  <c r="N53" i="1"/>
  <c r="M53" i="1"/>
  <c r="L53" i="1"/>
  <c r="K53" i="1"/>
  <c r="J53" i="1"/>
  <c r="I53" i="1"/>
  <c r="H53" i="1"/>
  <c r="D53" i="1"/>
  <c r="C53" i="1"/>
  <c r="N52" i="1"/>
  <c r="M52" i="1"/>
  <c r="L52" i="1"/>
  <c r="K52" i="1"/>
  <c r="J52" i="1"/>
  <c r="I52" i="1"/>
  <c r="H52" i="1"/>
  <c r="D52" i="1"/>
  <c r="C52" i="1"/>
  <c r="N51" i="1"/>
  <c r="M51" i="1"/>
  <c r="L51" i="1"/>
  <c r="K51" i="1"/>
  <c r="J51" i="1"/>
  <c r="I51" i="1"/>
  <c r="H51" i="1"/>
  <c r="D51" i="1"/>
  <c r="C51" i="1"/>
  <c r="N50" i="1"/>
  <c r="M50" i="1"/>
  <c r="L50" i="1"/>
  <c r="K50" i="1"/>
  <c r="J50" i="1"/>
  <c r="I50" i="1"/>
  <c r="H50" i="1"/>
  <c r="D50" i="1"/>
  <c r="C50" i="1"/>
  <c r="N49" i="1"/>
  <c r="M49" i="1"/>
  <c r="L49" i="1"/>
  <c r="K49" i="1"/>
  <c r="J49" i="1"/>
  <c r="I49" i="1"/>
  <c r="H49" i="1"/>
  <c r="D49" i="1"/>
  <c r="C49" i="1"/>
  <c r="N48" i="1"/>
  <c r="M48" i="1"/>
  <c r="L48" i="1"/>
  <c r="K48" i="1"/>
  <c r="J48" i="1"/>
  <c r="I48" i="1"/>
  <c r="H48" i="1"/>
  <c r="D48" i="1"/>
  <c r="C48" i="1"/>
  <c r="N47" i="1"/>
  <c r="M47" i="1"/>
  <c r="L47" i="1"/>
  <c r="K47" i="1"/>
  <c r="J47" i="1"/>
  <c r="I47" i="1"/>
  <c r="H47" i="1"/>
  <c r="D47" i="1"/>
  <c r="C47" i="1"/>
  <c r="N46" i="1"/>
  <c r="M46" i="1"/>
  <c r="L46" i="1"/>
  <c r="K46" i="1"/>
  <c r="J46" i="1"/>
  <c r="I46" i="1"/>
  <c r="H46" i="1"/>
  <c r="D46" i="1"/>
  <c r="C46" i="1"/>
  <c r="N45" i="1"/>
  <c r="M45" i="1"/>
  <c r="L45" i="1"/>
  <c r="K45" i="1"/>
  <c r="J45" i="1"/>
  <c r="I45" i="1"/>
  <c r="H45" i="1"/>
  <c r="D45" i="1"/>
  <c r="C45" i="1"/>
  <c r="N44" i="1"/>
  <c r="M44" i="1"/>
  <c r="L44" i="1"/>
  <c r="K44" i="1"/>
  <c r="J44" i="1"/>
  <c r="I44" i="1"/>
  <c r="H44" i="1"/>
  <c r="D44" i="1"/>
  <c r="C44" i="1"/>
  <c r="N43" i="1"/>
  <c r="M43" i="1"/>
  <c r="L43" i="1"/>
  <c r="K43" i="1"/>
  <c r="J43" i="1"/>
  <c r="I43" i="1"/>
  <c r="H43" i="1"/>
  <c r="D43" i="1"/>
  <c r="C43" i="1"/>
  <c r="N42" i="1"/>
  <c r="M42" i="1"/>
  <c r="L42" i="1"/>
  <c r="K42" i="1"/>
  <c r="J42" i="1"/>
  <c r="I42" i="1"/>
  <c r="H42" i="1"/>
  <c r="D42" i="1"/>
  <c r="C42" i="1"/>
  <c r="N41" i="1"/>
  <c r="M41" i="1"/>
  <c r="L41" i="1"/>
  <c r="K41" i="1"/>
  <c r="J41" i="1"/>
  <c r="I41" i="1"/>
  <c r="H41" i="1"/>
  <c r="D41" i="1"/>
  <c r="C41" i="1"/>
  <c r="N40" i="1"/>
  <c r="M40" i="1"/>
  <c r="L40" i="1"/>
  <c r="K40" i="1"/>
  <c r="J40" i="1"/>
  <c r="I40" i="1"/>
  <c r="H40" i="1"/>
  <c r="D40" i="1"/>
  <c r="C40" i="1"/>
  <c r="N39" i="1"/>
  <c r="M39" i="1"/>
  <c r="L39" i="1"/>
  <c r="K39" i="1"/>
  <c r="J39" i="1"/>
  <c r="I39" i="1"/>
  <c r="H39" i="1"/>
  <c r="D39" i="1"/>
  <c r="C39" i="1"/>
  <c r="N38" i="1"/>
  <c r="M38" i="1"/>
  <c r="L38" i="1"/>
  <c r="K38" i="1"/>
  <c r="J38" i="1"/>
  <c r="I38" i="1"/>
  <c r="H38" i="1"/>
  <c r="D38" i="1"/>
  <c r="C38" i="1"/>
  <c r="N37" i="1"/>
  <c r="M37" i="1"/>
  <c r="L37" i="1"/>
  <c r="K37" i="1"/>
  <c r="J37" i="1"/>
  <c r="I37" i="1"/>
  <c r="H37" i="1"/>
  <c r="D37" i="1"/>
  <c r="C37" i="1"/>
  <c r="N36" i="1"/>
  <c r="M36" i="1"/>
  <c r="L36" i="1"/>
  <c r="K36" i="1"/>
  <c r="J36" i="1"/>
  <c r="I36" i="1"/>
  <c r="H36" i="1"/>
  <c r="D36" i="1"/>
  <c r="C36" i="1"/>
  <c r="N35" i="1"/>
  <c r="M35" i="1"/>
  <c r="L35" i="1"/>
  <c r="K35" i="1"/>
  <c r="J35" i="1"/>
  <c r="I35" i="1"/>
  <c r="H35" i="1"/>
  <c r="D35" i="1"/>
  <c r="C35" i="1"/>
  <c r="N34" i="1"/>
  <c r="M34" i="1"/>
  <c r="L34" i="1"/>
  <c r="K34" i="1"/>
  <c r="J34" i="1"/>
  <c r="I34" i="1"/>
  <c r="H34" i="1"/>
  <c r="D34" i="1"/>
  <c r="C34" i="1"/>
  <c r="N33" i="1"/>
  <c r="M33" i="1"/>
  <c r="L33" i="1"/>
  <c r="K33" i="1"/>
  <c r="J33" i="1"/>
  <c r="I33" i="1"/>
  <c r="H33" i="1"/>
  <c r="D33" i="1"/>
  <c r="C33" i="1"/>
  <c r="N32" i="1"/>
  <c r="M32" i="1"/>
  <c r="L32" i="1"/>
  <c r="K32" i="1"/>
  <c r="J32" i="1"/>
  <c r="I32" i="1"/>
  <c r="H32" i="1"/>
  <c r="D32" i="1"/>
  <c r="C32" i="1"/>
  <c r="N31" i="1"/>
  <c r="M31" i="1"/>
  <c r="L31" i="1"/>
  <c r="K31" i="1"/>
  <c r="J31" i="1"/>
  <c r="I31" i="1"/>
  <c r="H31" i="1"/>
  <c r="D31" i="1"/>
  <c r="C31" i="1"/>
  <c r="N30" i="1"/>
  <c r="M30" i="1"/>
  <c r="L30" i="1"/>
  <c r="K30" i="1"/>
  <c r="J30" i="1"/>
  <c r="I30" i="1"/>
  <c r="H30" i="1"/>
  <c r="D30" i="1"/>
  <c r="C30" i="1"/>
  <c r="N29" i="1"/>
  <c r="M29" i="1"/>
  <c r="L29" i="1"/>
  <c r="K29" i="1"/>
  <c r="J29" i="1"/>
  <c r="I29" i="1"/>
  <c r="H29" i="1"/>
  <c r="D29" i="1"/>
  <c r="C29" i="1"/>
  <c r="N28" i="1"/>
  <c r="M28" i="1"/>
  <c r="L28" i="1"/>
  <c r="K28" i="1"/>
  <c r="J28" i="1"/>
  <c r="I28" i="1"/>
  <c r="H28" i="1"/>
  <c r="D28" i="1"/>
  <c r="C28" i="1"/>
  <c r="D22" i="1"/>
  <c r="D21" i="1"/>
  <c r="D20" i="1"/>
  <c r="D19" i="1"/>
  <c r="D18" i="1"/>
  <c r="D17" i="1"/>
  <c r="D12" i="1"/>
  <c r="D11" i="1"/>
  <c r="D13" i="1" s="1"/>
  <c r="E13" i="2" l="1"/>
  <c r="N18" i="2"/>
  <c r="E48" i="1"/>
  <c r="E14" i="2"/>
  <c r="O18" i="3"/>
  <c r="E37" i="1"/>
  <c r="F37" i="1" s="1"/>
  <c r="F6" i="2"/>
  <c r="E10" i="3"/>
  <c r="E39" i="1"/>
  <c r="E36" i="1"/>
  <c r="F36" i="1" s="1"/>
  <c r="E44" i="1"/>
  <c r="G44" i="1" s="1"/>
  <c r="O11" i="3"/>
  <c r="E12" i="2"/>
  <c r="O42" i="3"/>
  <c r="E40" i="1"/>
  <c r="N26" i="2"/>
  <c r="N30" i="2"/>
  <c r="O13" i="3"/>
  <c r="E34" i="1"/>
  <c r="G34" i="1" s="1"/>
  <c r="E41" i="1"/>
  <c r="G41" i="1" s="1"/>
  <c r="E42" i="1"/>
  <c r="G42" i="1" s="1"/>
  <c r="O12" i="3"/>
  <c r="E51" i="1"/>
  <c r="F51" i="1" s="1"/>
  <c r="E43" i="1"/>
  <c r="F43" i="1" s="1"/>
  <c r="E16" i="2"/>
  <c r="N22" i="2"/>
  <c r="O20" i="3"/>
  <c r="D23" i="1"/>
  <c r="D24" i="1" s="1"/>
  <c r="N61" i="1"/>
  <c r="E52" i="1"/>
  <c r="G52" i="1" s="1"/>
  <c r="N25" i="2"/>
  <c r="N29" i="2"/>
  <c r="O10" i="3"/>
  <c r="O19" i="3"/>
  <c r="N33" i="2"/>
  <c r="Q49" i="3"/>
  <c r="O22" i="3"/>
  <c r="E32" i="1"/>
  <c r="G32" i="1" s="1"/>
  <c r="N14" i="2"/>
  <c r="O41" i="3"/>
  <c r="E12" i="3"/>
  <c r="N60" i="1"/>
  <c r="F6" i="3"/>
  <c r="M58" i="1"/>
  <c r="E18" i="1" s="1"/>
  <c r="E33" i="1"/>
  <c r="E46" i="1"/>
  <c r="G46" i="1" s="1"/>
  <c r="E54" i="1"/>
  <c r="L42" i="2"/>
  <c r="N23" i="2"/>
  <c r="N28" i="2"/>
  <c r="G40" i="3"/>
  <c r="E56" i="1"/>
  <c r="F56" i="1" s="1"/>
  <c r="N31" i="2"/>
  <c r="O21" i="3"/>
  <c r="L58" i="1"/>
  <c r="E19" i="1" s="1"/>
  <c r="D58" i="1"/>
  <c r="N68" i="1" s="1"/>
  <c r="E29" i="1"/>
  <c r="F29" i="1" s="1"/>
  <c r="E55" i="1"/>
  <c r="F55" i="1" s="1"/>
  <c r="P42" i="2"/>
  <c r="N27" i="2"/>
  <c r="N32" i="2"/>
  <c r="N49" i="3"/>
  <c r="E30" i="1"/>
  <c r="N15" i="2"/>
  <c r="O35" i="3"/>
  <c r="E31" i="1"/>
  <c r="G31" i="1" s="1"/>
  <c r="C40" i="2"/>
  <c r="F16" i="2" s="1"/>
  <c r="E11" i="3"/>
  <c r="J60" i="1"/>
  <c r="E38" i="1"/>
  <c r="G38" i="1" s="1"/>
  <c r="N12" i="2"/>
  <c r="N13" i="2"/>
  <c r="N19" i="2"/>
  <c r="N24" i="2"/>
  <c r="C40" i="3"/>
  <c r="P35" i="3" s="1"/>
  <c r="O38" i="3"/>
  <c r="F39" i="1"/>
  <c r="G39" i="1"/>
  <c r="N71" i="1"/>
  <c r="G30" i="1"/>
  <c r="F30" i="1"/>
  <c r="C61" i="1"/>
  <c r="C60" i="1"/>
  <c r="G36" i="1"/>
  <c r="N58" i="1"/>
  <c r="M61" i="1"/>
  <c r="E47" i="1"/>
  <c r="M42" i="2"/>
  <c r="E28" i="1"/>
  <c r="G29" i="1"/>
  <c r="K60" i="1"/>
  <c r="K61" i="1"/>
  <c r="K58" i="1"/>
  <c r="E22" i="1" s="1"/>
  <c r="F34" i="1"/>
  <c r="C58" i="1"/>
  <c r="N10" i="2"/>
  <c r="L60" i="1"/>
  <c r="E35" i="1"/>
  <c r="G48" i="1"/>
  <c r="F48" i="1"/>
  <c r="M60" i="1"/>
  <c r="G40" i="1"/>
  <c r="F40" i="1"/>
  <c r="D61" i="1"/>
  <c r="D60" i="1"/>
  <c r="F44" i="1"/>
  <c r="E50" i="1"/>
  <c r="L61" i="1"/>
  <c r="H61" i="1"/>
  <c r="F33" i="1"/>
  <c r="G33" i="1"/>
  <c r="N11" i="2"/>
  <c r="D40" i="2"/>
  <c r="I61" i="1"/>
  <c r="I58" i="1"/>
  <c r="E20" i="1" s="1"/>
  <c r="H58" i="1"/>
  <c r="E17" i="1" s="1"/>
  <c r="H60" i="1"/>
  <c r="E10" i="2"/>
  <c r="J61" i="1"/>
  <c r="E49" i="1"/>
  <c r="G51" i="1"/>
  <c r="E57" i="1"/>
  <c r="I60" i="1"/>
  <c r="G40" i="2"/>
  <c r="E45" i="1"/>
  <c r="E53" i="1"/>
  <c r="D40" i="3"/>
  <c r="M49" i="3"/>
  <c r="J58" i="1"/>
  <c r="E21" i="1" s="1"/>
  <c r="N69" i="1" l="1"/>
  <c r="F38" i="1"/>
  <c r="G37" i="1"/>
  <c r="N72" i="1"/>
  <c r="N73" i="1"/>
  <c r="G43" i="1"/>
  <c r="N74" i="1"/>
  <c r="F46" i="1"/>
  <c r="F19" i="3"/>
  <c r="O49" i="3"/>
  <c r="F25" i="2"/>
  <c r="P44" i="3"/>
  <c r="F35" i="2"/>
  <c r="F41" i="1"/>
  <c r="F20" i="2"/>
  <c r="F42" i="1"/>
  <c r="P17" i="3"/>
  <c r="P41" i="3"/>
  <c r="F26" i="3"/>
  <c r="P39" i="3"/>
  <c r="O15" i="2"/>
  <c r="F17" i="2"/>
  <c r="P24" i="3"/>
  <c r="O31" i="2"/>
  <c r="F16" i="3"/>
  <c r="F34" i="2"/>
  <c r="P10" i="3"/>
  <c r="O32" i="2"/>
  <c r="G56" i="1"/>
  <c r="P21" i="3"/>
  <c r="P11" i="3"/>
  <c r="F38" i="2"/>
  <c r="F34" i="3"/>
  <c r="P32" i="3"/>
  <c r="F27" i="3"/>
  <c r="P25" i="3"/>
  <c r="F24" i="3"/>
  <c r="P18" i="3"/>
  <c r="F17" i="3"/>
  <c r="P15" i="3"/>
  <c r="O18" i="2"/>
  <c r="F11" i="2"/>
  <c r="O13" i="2"/>
  <c r="F33" i="2"/>
  <c r="O39" i="2"/>
  <c r="F10" i="2"/>
  <c r="O40" i="2"/>
  <c r="O21" i="2"/>
  <c r="F28" i="2"/>
  <c r="N70" i="1"/>
  <c r="N77" i="1"/>
  <c r="F20" i="3"/>
  <c r="O14" i="2"/>
  <c r="F21" i="3"/>
  <c r="F37" i="2"/>
  <c r="F32" i="2"/>
  <c r="F52" i="1"/>
  <c r="F32" i="1"/>
  <c r="P28" i="3"/>
  <c r="P14" i="3"/>
  <c r="P46" i="3"/>
  <c r="F39" i="2"/>
  <c r="F31" i="3"/>
  <c r="F15" i="2"/>
  <c r="F10" i="3"/>
  <c r="P43" i="3"/>
  <c r="P40" i="3"/>
  <c r="F35" i="3"/>
  <c r="P33" i="3"/>
  <c r="F32" i="3"/>
  <c r="P26" i="3"/>
  <c r="F25" i="3"/>
  <c r="P23" i="3"/>
  <c r="O10" i="2"/>
  <c r="O26" i="2"/>
  <c r="O41" i="2"/>
  <c r="F18" i="2"/>
  <c r="O16" i="2"/>
  <c r="F19" i="2"/>
  <c r="O29" i="2"/>
  <c r="F36" i="2"/>
  <c r="E12" i="1"/>
  <c r="F13" i="3"/>
  <c r="F21" i="2"/>
  <c r="O36" i="2"/>
  <c r="F38" i="3"/>
  <c r="E40" i="2"/>
  <c r="F36" i="3"/>
  <c r="O30" i="2"/>
  <c r="O19" i="2"/>
  <c r="F22" i="2"/>
  <c r="F23" i="2"/>
  <c r="O33" i="2"/>
  <c r="F40" i="2"/>
  <c r="N75" i="1"/>
  <c r="F23" i="3"/>
  <c r="O35" i="2"/>
  <c r="E40" i="3"/>
  <c r="P36" i="3"/>
  <c r="P29" i="3"/>
  <c r="P22" i="3"/>
  <c r="P19" i="3"/>
  <c r="O11" i="2"/>
  <c r="F14" i="2"/>
  <c r="O12" i="2"/>
  <c r="O25" i="2"/>
  <c r="P12" i="3"/>
  <c r="F39" i="3"/>
  <c r="P30" i="3"/>
  <c r="P27" i="3"/>
  <c r="O20" i="2"/>
  <c r="F18" i="3"/>
  <c r="P16" i="3"/>
  <c r="F11" i="3"/>
  <c r="P45" i="3"/>
  <c r="P42" i="3"/>
  <c r="F40" i="3"/>
  <c r="P34" i="3"/>
  <c r="F33" i="3"/>
  <c r="P31" i="3"/>
  <c r="O34" i="2"/>
  <c r="O23" i="2"/>
  <c r="F26" i="2"/>
  <c r="O24" i="2"/>
  <c r="F27" i="2"/>
  <c r="O37" i="2"/>
  <c r="N76" i="1"/>
  <c r="F30" i="3"/>
  <c r="F29" i="2"/>
  <c r="F24" i="2"/>
  <c r="F28" i="3"/>
  <c r="F14" i="3"/>
  <c r="P48" i="3"/>
  <c r="P37" i="3"/>
  <c r="F29" i="3"/>
  <c r="F22" i="3"/>
  <c r="P20" i="3"/>
  <c r="F15" i="3"/>
  <c r="P13" i="3"/>
  <c r="F12" i="3"/>
  <c r="P47" i="3"/>
  <c r="P38" i="3"/>
  <c r="F37" i="3"/>
  <c r="O22" i="2"/>
  <c r="O17" i="2"/>
  <c r="O38" i="2"/>
  <c r="O27" i="2"/>
  <c r="F30" i="2"/>
  <c r="O28" i="2"/>
  <c r="F31" i="2"/>
  <c r="N42" i="2"/>
  <c r="H6" i="1"/>
  <c r="F31" i="1"/>
  <c r="F13" i="2"/>
  <c r="F12" i="2"/>
  <c r="E23" i="1"/>
  <c r="E24" i="1" s="1"/>
  <c r="N78" i="1"/>
  <c r="F54" i="1"/>
  <c r="G54" i="1"/>
  <c r="G55" i="1"/>
  <c r="N59" i="1"/>
  <c r="M59" i="1"/>
  <c r="G18" i="1" s="1"/>
  <c r="C59" i="1"/>
  <c r="E58" i="1"/>
  <c r="F28" i="1"/>
  <c r="I59" i="1"/>
  <c r="G20" i="1" s="1"/>
  <c r="H59" i="1"/>
  <c r="G17" i="1" s="1"/>
  <c r="E61" i="1"/>
  <c r="E60" i="1"/>
  <c r="D59" i="1"/>
  <c r="G12" i="1" s="1"/>
  <c r="G28" i="1"/>
  <c r="J59" i="1"/>
  <c r="G21" i="1" s="1"/>
  <c r="L59" i="1"/>
  <c r="G19" i="1" s="1"/>
  <c r="K59" i="1"/>
  <c r="G22" i="1" s="1"/>
  <c r="G76" i="1"/>
  <c r="G72" i="1"/>
  <c r="G68" i="1"/>
  <c r="G78" i="1"/>
  <c r="G75" i="1"/>
  <c r="E11" i="1"/>
  <c r="G70" i="1"/>
  <c r="G77" i="1"/>
  <c r="G74" i="1"/>
  <c r="G71" i="1"/>
  <c r="E6" i="1"/>
  <c r="G73" i="1"/>
  <c r="G69" i="1"/>
  <c r="G50" i="1"/>
  <c r="F50" i="1"/>
  <c r="F47" i="1"/>
  <c r="G47" i="1"/>
  <c r="F53" i="1"/>
  <c r="G53" i="1"/>
  <c r="F57" i="1"/>
  <c r="G57" i="1"/>
  <c r="F35" i="1"/>
  <c r="G35" i="1"/>
  <c r="F45" i="1"/>
  <c r="G45" i="1"/>
  <c r="F49" i="1"/>
  <c r="G49" i="1"/>
  <c r="F21" i="1" l="1"/>
  <c r="F20" i="1"/>
  <c r="F18" i="1"/>
  <c r="F19" i="1"/>
  <c r="F22" i="1"/>
  <c r="P49" i="3"/>
  <c r="O42" i="2"/>
  <c r="F17" i="1"/>
  <c r="F23" i="1" s="1"/>
  <c r="F24" i="1" s="1"/>
  <c r="G23" i="1"/>
  <c r="H6" i="3"/>
  <c r="H6" i="2"/>
  <c r="F12" i="1"/>
  <c r="E7" i="1"/>
  <c r="G58" i="1"/>
  <c r="F58" i="1"/>
  <c r="F11" i="1"/>
  <c r="H7" i="1"/>
  <c r="E13" i="1"/>
  <c r="F13" i="1" s="1"/>
  <c r="B6" i="1"/>
  <c r="G11" i="1"/>
  <c r="K7" i="1"/>
  <c r="E59" i="1"/>
  <c r="G24" i="1"/>
  <c r="F59" i="1" l="1"/>
  <c r="G13" i="1"/>
  <c r="K6" i="1"/>
  <c r="G59" i="1"/>
</calcChain>
</file>

<file path=xl/sharedStrings.xml><?xml version="1.0" encoding="utf-8"?>
<sst xmlns="http://schemas.openxmlformats.org/spreadsheetml/2006/main" count="539" uniqueCount="293">
  <si>
    <t>RESTAURANTE CHOCLOS Y ASADOS LA FINCA</t>
  </si>
  <si>
    <t>DASHBOARD GERENCIAL DE COSTOS Y GASTOS - INFORME MENSUAL Y DIARIO SEPTIEMBRE 2026</t>
  </si>
  <si>
    <t>TOTAL COMPRAS Y EGRESOS</t>
  </si>
  <si>
    <t>TOTAL COSTOS DIRECTOS</t>
  </si>
  <si>
    <t>TOTAL GASTOS OPERACIONALES</t>
  </si>
  <si>
    <t>PROMEDIO DIARIO TOTAL</t>
  </si>
  <si>
    <t>100% Consolidado del Mes</t>
  </si>
  <si>
    <t>1. CLASIFICACIÓN GERENCIAL: COSTOS DIRECTOS VS GASTOS OPERACIONALES</t>
  </si>
  <si>
    <t>Tipo</t>
  </si>
  <si>
    <t>Naturaleza / Componentes</t>
  </si>
  <si>
    <t>Registros</t>
  </si>
  <si>
    <t>Total Mes ($)</t>
  </si>
  <si>
    <t>% Total</t>
  </si>
  <si>
    <t>Promedio Diario</t>
  </si>
  <si>
    <t>Costos Directos (COGS)</t>
  </si>
  <si>
    <t>Materia Prima (Carnes, Verduras, Grano, Bebidas, Desechables)</t>
  </si>
  <si>
    <t>Gastos Operacionales</t>
  </si>
  <si>
    <t>Servicios Públicos, Nómina, Turnos, Mantenimiento, Taxis</t>
  </si>
  <si>
    <t>TOTAL CONSOLIDADO MES</t>
  </si>
  <si>
    <t>100% Egresos Registrados en Septiembre</t>
  </si>
  <si>
    <t>2. ESTRUCTURA DE COSTOS Y GASTOS POR CATEGORÍA</t>
  </si>
  <si>
    <t>Categoría</t>
  </si>
  <si>
    <t>Tipo Contable</t>
  </si>
  <si>
    <t>N° Compras</t>
  </si>
  <si>
    <t>Carnes</t>
  </si>
  <si>
    <t>Costo Directo</t>
  </si>
  <si>
    <t>Servicios</t>
  </si>
  <si>
    <t>Gasto Operacional</t>
  </si>
  <si>
    <t>Desechables</t>
  </si>
  <si>
    <t>Verduras</t>
  </si>
  <si>
    <t>Grano</t>
  </si>
  <si>
    <t>Bebidas</t>
  </si>
  <si>
    <t>TOTAL CATEGORÍAS</t>
  </si>
  <si>
    <t>Consolidado General</t>
  </si>
  <si>
    <t>3. TOTALIZACIÓN DIARIA: COSTOS Y GASTOS DÍA A DÍA (AGOSTO 2026)</t>
  </si>
  <si>
    <t>Día</t>
  </si>
  <si>
    <t>Costos ($)</t>
  </si>
  <si>
    <t>Gastos ($)</t>
  </si>
  <si>
    <t>Total Día ($)</t>
  </si>
  <si>
    <t>% Costo</t>
  </si>
  <si>
    <t>% Gasto</t>
  </si>
  <si>
    <t>Carnes ($)</t>
  </si>
  <si>
    <t>Verduras ($)</t>
  </si>
  <si>
    <t>Grano ($)</t>
  </si>
  <si>
    <t>Bebidas ($)</t>
  </si>
  <si>
    <t>Desechables ($)</t>
  </si>
  <si>
    <t>Servicios ($)</t>
  </si>
  <si>
    <t>TOTAL MES</t>
  </si>
  <si>
    <t>PROMEDIO DIARIO</t>
  </si>
  <si>
    <t>MÁXIMO DIARIO (PICO)</t>
  </si>
  <si>
    <t>-</t>
  </si>
  <si>
    <t>MÍNIMO DIARIO</t>
  </si>
  <si>
    <t>4. TOP 10 INSUMOS DE MAYOR COSTO (MATERIA PRIMA)</t>
  </si>
  <si>
    <t>5. TOP 10 GASTOS OPERACIONALES CLAVE (SERVICIOS Y NÓMINA)</t>
  </si>
  <si>
    <t>#</t>
  </si>
  <si>
    <t>Ítem / Insumo</t>
  </si>
  <si>
    <t>Concepto de Gasto</t>
  </si>
  <si>
    <t>Tocineta barril</t>
  </si>
  <si>
    <t>Servicios temporales</t>
  </si>
  <si>
    <t>Tocino barril</t>
  </si>
  <si>
    <t>Servicios Públicos</t>
  </si>
  <si>
    <t>Punta de anca</t>
  </si>
  <si>
    <t>Quincena Antonio Diaz</t>
  </si>
  <si>
    <t>Sobaco</t>
  </si>
  <si>
    <t>Pago turnos</t>
  </si>
  <si>
    <t>Costilla de cerdo especial</t>
  </si>
  <si>
    <t>Arreglo Tubos x Materiales</t>
  </si>
  <si>
    <t>Lomo de cerdo</t>
  </si>
  <si>
    <t>TV Challenger 40</t>
  </si>
  <si>
    <t>Sobrebarriga delgada</t>
  </si>
  <si>
    <t>Otros servicios de salud</t>
  </si>
  <si>
    <t>Lomo de caracho</t>
  </si>
  <si>
    <t>Acopi</t>
  </si>
  <si>
    <t>Filete de pollo x 350</t>
  </si>
  <si>
    <t>Prestamo Enith Mosquera</t>
  </si>
  <si>
    <t>Costilla san luis jr</t>
  </si>
  <si>
    <t>Pn sr</t>
  </si>
  <si>
    <t>DASHBOARD Y SEGUIMIENTO DE CARNES - SEPTIEMBRE 2026</t>
  </si>
  <si>
    <t>Control analítico de cortes, kilogramos comprados, costos unitarios y participación de gasto</t>
  </si>
  <si>
    <t>TOTAL INVERSIÓN CARNES</t>
  </si>
  <si>
    <t>TOTAL KILOGRAMOS</t>
  </si>
  <si>
    <t>COSTO PROM. / KG</t>
  </si>
  <si>
    <t>N° COMPRAS</t>
  </si>
  <si>
    <t>% TOTAL RESTAURANTE</t>
  </si>
  <si>
    <t>1. SEGUIMIENTO DIARIO DE COMPRAS DE CARNE</t>
  </si>
  <si>
    <t>2. MATRIZ DETALLADA POR CORTE Y TIPO DE CARNE</t>
  </si>
  <si>
    <t>Total Comprado ($)</t>
  </si>
  <si>
    <t>Kilogramos (Kg)</t>
  </si>
  <si>
    <t>Costo Prom. ($/Kg)</t>
  </si>
  <si>
    <t>% del Mes</t>
  </si>
  <si>
    <t>Corte / Producto</t>
  </si>
  <si>
    <t>Tipo de Carne</t>
  </si>
  <si>
    <t>Total Kg / Cant</t>
  </si>
  <si>
    <t>Total Invertido ($)</t>
  </si>
  <si>
    <t>% Part. Carnes</t>
  </si>
  <si>
    <t>N° Facturas</t>
  </si>
  <si>
    <t>Cerdo</t>
  </si>
  <si>
    <t>Costilla especial</t>
  </si>
  <si>
    <t>Costilla ahumada</t>
  </si>
  <si>
    <t>Res</t>
  </si>
  <si>
    <t>Lomo caracho</t>
  </si>
  <si>
    <t>Lomo viche</t>
  </si>
  <si>
    <t>Costilla de res</t>
  </si>
  <si>
    <t>Costilla Especial</t>
  </si>
  <si>
    <t>Caderita</t>
  </si>
  <si>
    <t>Morrillo</t>
  </si>
  <si>
    <t>Lengua de res</t>
  </si>
  <si>
    <t xml:space="preserve">Higado </t>
  </si>
  <si>
    <t>Menudencia</t>
  </si>
  <si>
    <t>Callo</t>
  </si>
  <si>
    <t>Bagre de mar</t>
  </si>
  <si>
    <t>Pescados y Mariscos</t>
  </si>
  <si>
    <t>Salmon</t>
  </si>
  <si>
    <t>Tilapia y truchas</t>
  </si>
  <si>
    <t>Camaron precocido</t>
  </si>
  <si>
    <t>Alas de pollo</t>
  </si>
  <si>
    <t>Pollo</t>
  </si>
  <si>
    <t>Filete de pollo x 120</t>
  </si>
  <si>
    <t>Pechuga mcpollo</t>
  </si>
  <si>
    <t>Pernil de pollo</t>
  </si>
  <si>
    <t>Chorizo Premium</t>
  </si>
  <si>
    <t>Embutidos</t>
  </si>
  <si>
    <t>Chorizo paisa</t>
  </si>
  <si>
    <t>Salchicha ranchera</t>
  </si>
  <si>
    <t>TOTAL MATRIZ CARNES</t>
  </si>
  <si>
    <t>DASHBOARD Y SEGUIMIENTO DE BEBIDAS - SEPTIEMBRE 2026</t>
  </si>
  <si>
    <t>Control analítico exclusivo de bebidas de tomar (cervezas, gaseosas, aguas, hidratantes, maltas)</t>
  </si>
  <si>
    <t>TOTAL INVERSIÓN BEBIDAS</t>
  </si>
  <si>
    <t>TOTAL UNIDADES / CAJAS</t>
  </si>
  <si>
    <t>COSTO PROM. / UND</t>
  </si>
  <si>
    <t>N° PEDIDOS</t>
  </si>
  <si>
    <t>1. SEGUIMIENTO DIARIO DE BEBIDAS</t>
  </si>
  <si>
    <t>2. MATRIZ DETALLADA POR PRODUCTO (BOTELLAS, LATAS, CAJAS Y COSTOS)</t>
  </si>
  <si>
    <t>Cantidad (Caj/Und)</t>
  </si>
  <si>
    <t>Costo Prom. ($)</t>
  </si>
  <si>
    <t>N° Pedidos</t>
  </si>
  <si>
    <t>Producto / Referencia</t>
  </si>
  <si>
    <t>Subtipo</t>
  </si>
  <si>
    <t>Presentación</t>
  </si>
  <si>
    <t>Cant. Comprada</t>
  </si>
  <si>
    <t>Costo Prom. Unit ($)</t>
  </si>
  <si>
    <t>% Part. Bebidas</t>
  </si>
  <si>
    <t>Poker</t>
  </si>
  <si>
    <t>Cerveza</t>
  </si>
  <si>
    <t>Lata 330ml / Caja</t>
  </si>
  <si>
    <t>Club colombia</t>
  </si>
  <si>
    <t>Corona</t>
  </si>
  <si>
    <t>Botella 330ml / Caja</t>
  </si>
  <si>
    <t>Cerv Stel Artois</t>
  </si>
  <si>
    <t>Botella 300ml / Caja</t>
  </si>
  <si>
    <t>Stella</t>
  </si>
  <si>
    <t>Costeñita</t>
  </si>
  <si>
    <t>Botella 175ml / Caja</t>
  </si>
  <si>
    <t>Cerveza costeña x caja</t>
  </si>
  <si>
    <t>Caja</t>
  </si>
  <si>
    <t>Cerveza Light</t>
  </si>
  <si>
    <t>Botella / Caja</t>
  </si>
  <si>
    <t>Coca-cola 400 ml pet (24)</t>
  </si>
  <si>
    <t>Gaseosa</t>
  </si>
  <si>
    <t>Pet 400ml x 12/24</t>
  </si>
  <si>
    <t>Coca cola zero 400ml pet(12)kz</t>
  </si>
  <si>
    <t>Pet 400ml x 12</t>
  </si>
  <si>
    <t>Gaseosa 400 ml</t>
  </si>
  <si>
    <t>Pet/NR 400ml x 12</t>
  </si>
  <si>
    <t>Coca cola 1,5 lt pet (12) nvo</t>
  </si>
  <si>
    <t>Pet 1.5L x 12</t>
  </si>
  <si>
    <t>Coca cola zero 1,5 ltrs</t>
  </si>
  <si>
    <t>Gaseosa 1.5 lit</t>
  </si>
  <si>
    <t>Coca cola 350</t>
  </si>
  <si>
    <t>Vidrio 350ml x 30</t>
  </si>
  <si>
    <t>Coca cola zero 350</t>
  </si>
  <si>
    <t>Gaseosa 350 ml</t>
  </si>
  <si>
    <t>Coca cola 3ltrs pet</t>
  </si>
  <si>
    <t>Pet 3.0L x 6</t>
  </si>
  <si>
    <t>Coca cola 3 litros</t>
  </si>
  <si>
    <t>Gaseosa 3 litros</t>
  </si>
  <si>
    <t>Manzana postobo n 350 ml vidrio r x 30</t>
  </si>
  <si>
    <t>Manzana postobo n 1.500 ml pet x 12 p.e.</t>
  </si>
  <si>
    <t>Itamarindo postobo n 350 ml vidrio r x 30</t>
  </si>
  <si>
    <t>Itamarindo postobo n 1500 ml pet x 12</t>
  </si>
  <si>
    <t>Piña nacional 350 ml vidrio r x 30</t>
  </si>
  <si>
    <t>Brisa 600 ml</t>
  </si>
  <si>
    <t>Agua</t>
  </si>
  <si>
    <t>Pet 600ml x 24</t>
  </si>
  <si>
    <t>Pet 600ml / Botella</t>
  </si>
  <si>
    <t>Agua con gas</t>
  </si>
  <si>
    <t>H2o</t>
  </si>
  <si>
    <t>Agua Saborizada</t>
  </si>
  <si>
    <t>Pet 600ml x 15</t>
  </si>
  <si>
    <t>Soda bretaña</t>
  </si>
  <si>
    <t>Soda</t>
  </si>
  <si>
    <t>Vidrio 300ml x 24</t>
  </si>
  <si>
    <t>Botella / Lata</t>
  </si>
  <si>
    <t>Vive 100</t>
  </si>
  <si>
    <t>Energizante</t>
  </si>
  <si>
    <t>Pet 380ml / Caja</t>
  </si>
  <si>
    <t>Gatorade</t>
  </si>
  <si>
    <t>Hidratante</t>
  </si>
  <si>
    <t>Pet 500ml x 12/24</t>
  </si>
  <si>
    <t>Pony malta x caja</t>
  </si>
  <si>
    <t>Malta</t>
  </si>
  <si>
    <t>Pet 330ml / Caja</t>
  </si>
  <si>
    <t>Pany malta</t>
  </si>
  <si>
    <t>Hit nr</t>
  </si>
  <si>
    <t>Jugo</t>
  </si>
  <si>
    <t>Pet 500ml</t>
  </si>
  <si>
    <t>Hit vidrio</t>
  </si>
  <si>
    <t>Vidrio 237ml x 24</t>
  </si>
  <si>
    <t>Jug del valle</t>
  </si>
  <si>
    <t>Botella / Tetra</t>
  </si>
  <si>
    <t>Mr. tea</t>
  </si>
  <si>
    <t>Té</t>
  </si>
  <si>
    <t>TOTAL MATRIZ BEBIDAS</t>
  </si>
  <si>
    <t>Categoría (Pestaña)</t>
  </si>
  <si>
    <t>Ítem (Exacto en tu Excel)</t>
  </si>
  <si>
    <t>Descripción Original (PDF)</t>
  </si>
  <si>
    <t>Cantidad</t>
  </si>
  <si>
    <t>Costo Unitario</t>
  </si>
  <si>
    <t>Vr. Compra (Total)</t>
  </si>
  <si>
    <t>COSTILLA DE CERDO IBP 244M (Carnes Los Monos - YP24140)</t>
  </si>
  <si>
    <t>SOBACO (Carnes Los Monos - YP24140)</t>
  </si>
  <si>
    <t>Papa a la francesa paq 2.5 kl</t>
  </si>
  <si>
    <t>PAPA A LA FRANCESA PAQ 2.5 KL (Carnes Los Monos - YP24140)</t>
  </si>
  <si>
    <t>SOBREBARRIGA DELGADA (Carnes Los Monos - YP24140)</t>
  </si>
  <si>
    <t>LENGUA DE RES IMP X KL (Carnes Los Monos - YP24140)</t>
  </si>
  <si>
    <t>Filete de Salmon Grande (Frio Sabor FVE-121)</t>
  </si>
  <si>
    <t>Tilapia Roja (Frio Sabor FVE-121)</t>
  </si>
  <si>
    <t>Bloque media</t>
  </si>
  <si>
    <t>BLOQUE MEDIA (Hielo El Nevado NV202121)</t>
  </si>
  <si>
    <t>Bolsa 5kl tubular</t>
  </si>
  <si>
    <t>BOLSA X 5 KL TUBULAR (Hielo El Nevado NV202121)</t>
  </si>
  <si>
    <t>TOCINETA BARRIL (Carnes Los Monos - YP24152)</t>
  </si>
  <si>
    <t>Crema de leche</t>
  </si>
  <si>
    <t>CREMA DE LECHE 1000G (Alquería - FEPL-3167991)</t>
  </si>
  <si>
    <t>Leche entera</t>
  </si>
  <si>
    <t>AVENA PRO CUBANA VASO 220G (Alquería - FEPL-3167991)</t>
  </si>
  <si>
    <t>AVENA PRO AUTENTICA VASO 220G (Alquería - FEPL-3167991)</t>
  </si>
  <si>
    <t>Sabor original</t>
  </si>
  <si>
    <t>SABOR ORIGINAL INSTITUCIONAL 1100ML (Alquería - FEPL-3167991)</t>
  </si>
  <si>
    <t>TANGELO BOTELLA 400 ML (Alquería - FEPL-3167991)</t>
  </si>
  <si>
    <t>ACTIGEST VAS 140G PIT CCB TT (Alquería - FEPL-3167991)</t>
  </si>
  <si>
    <t>ALQUERIA CER 170G FLIPS (Alquería - FEPL-3167991)</t>
  </si>
  <si>
    <t>ALQUERÍA HOJUELAS 170GR (Alquería - FEPL-3167991)</t>
  </si>
  <si>
    <t>CERV.CLUB DOR LATA*330 (Global Liquors VC242247)</t>
  </si>
  <si>
    <t>CERV.POKER*330 LATA (Global Liquors VC242247)</t>
  </si>
  <si>
    <t>CERV.CORONA*330ml (Global Liquors VC242247)</t>
  </si>
  <si>
    <t>CERV.STEL ARTOIS*300ml BOT (Global Liquors VC242247)</t>
  </si>
  <si>
    <t>BAGRE DE MAR (Gabriel Ramirez Cubillos - FAC-188)</t>
  </si>
  <si>
    <t>BLOQUE MEDIA (Hielo El Nevado - NV202360)</t>
  </si>
  <si>
    <t>HIGADO DE RES (MYC - FE01570)</t>
  </si>
  <si>
    <t>LOMO VICHE ESPECIAL DE RES (MYC - FE01570)</t>
  </si>
  <si>
    <t>COSTILLA ESPECIAL DE RES (MYC - FE01569)</t>
  </si>
  <si>
    <t>CADERITA DE RES (MYC - FE01569)</t>
  </si>
  <si>
    <t>Limonada coco</t>
  </si>
  <si>
    <t>LIMONADA DE COCO FUSIONADA X 10 (Henry Castaño - FEC 2928)</t>
  </si>
  <si>
    <t>BEB.EN.*380 VIVE100 (Global Liquors - VC242401)</t>
  </si>
  <si>
    <t>BEB.GATORADE*500ml SURT. (Global Liquors - VC242401)</t>
  </si>
  <si>
    <t>AGUA H2O*600ml SURTIDA (Global Liquors VC242401 c/ NC NX8465)</t>
  </si>
  <si>
    <t>BLOQUE MEDIA (Hielo El Nevado - NV202202)</t>
  </si>
  <si>
    <t>BOLSA X 5 KL TUBULAR (Hielo El Nevado - NV202202)</t>
  </si>
  <si>
    <t>COCA-COLA 400ML PET (12) (Coca-Cola FEMSA - 5571323390)</t>
  </si>
  <si>
    <t>AGUA BRISA PET 600ML (24) (Coca-Cola FEMSA - 5571323390)</t>
  </si>
  <si>
    <t>COCA COLA ZERO 400ML PET(12)KZ (Coca-Cola FEMSA - 5571323390)</t>
  </si>
  <si>
    <t>COCA COLA ZERO 1.5LT PET(12)KZ (Coca-Cola FEMSA - 5571323390)</t>
  </si>
  <si>
    <t>COCA COLA 1.5LT PET(12) Nvo (Coca-Cola FEMSA - 5571323390)</t>
  </si>
  <si>
    <t>QUATRO CHOICE 400ML NR (12) (Coca-Cola FEMSA - 5571323389)</t>
  </si>
  <si>
    <t>PREMIO ROJO FNT 400 ML PET(12) (Coca-Cola FEMSA - 5571323389)</t>
  </si>
  <si>
    <t>SPRITE 400 ML NR (12) (Coca-Cola FEMSA - 5571323389)</t>
  </si>
  <si>
    <t>CALLO DE RES (MYC - FE01576)</t>
  </si>
  <si>
    <t>CADERITA DE RES (MYC - FE01576)</t>
  </si>
  <si>
    <t>Arroz</t>
  </si>
  <si>
    <t>ARROZ PROARROZ X 50 KL (Factura DP-4833)</t>
  </si>
  <si>
    <t>Azucar</t>
  </si>
  <si>
    <t>AZUCAR INCAUCA X 50 KL (Factura DP-4833)</t>
  </si>
  <si>
    <t>Sal</t>
  </si>
  <si>
    <t>SAL NATUSAL X 50 KL (Factura DP-4833)</t>
  </si>
  <si>
    <t>LOMO DE CERDO (Fabian Bonilla - FEBF-33)</t>
  </si>
  <si>
    <t>SOBACO (Carnes Los Monos - YP24244)</t>
  </si>
  <si>
    <t>SOBREBARRIGA DELGADA (Carnes Los Monos - YP24244)</t>
  </si>
  <si>
    <t>CAMARON DE CULTIVO PRECOCIDO 91-110P (Carnes Los Monos - YP24244)</t>
  </si>
  <si>
    <t>PAPA A LA FRANCESA PAQ 2.5 KL (Carnes Los Monos - YP24244)</t>
  </si>
  <si>
    <t>TOCINETA BARRIL (Carnes Los Monos - YP24244)</t>
  </si>
  <si>
    <t>PUNTA DE ANCA IMP PORC. PARRILLA (Carnes Los Monos - YP24244)</t>
  </si>
  <si>
    <t>LOMO CARACHO PORCIONADO PARRILLA (Carnes Los Monos - YP24244)</t>
  </si>
  <si>
    <t>COSTILLA SAN LUIS JUNIOR T/M (Carnes Los Monos - YP24244)</t>
  </si>
  <si>
    <t>COSTILLA DE RES DELANTERA (Carnes Los Monos - YP24244)</t>
  </si>
  <si>
    <t>BLOQUE MEDIA (Hielo El Nevado - NV202582)</t>
  </si>
  <si>
    <t>BOLSA X 5 KL TUBULAR (Hielo El Nevado - NV202582)</t>
  </si>
  <si>
    <t>SOBREBARRIGA DELGADA (Carnes Los Monos - MY8683)</t>
  </si>
  <si>
    <t>SOBACO (Carnes Los Monos - MY8683)</t>
  </si>
  <si>
    <t>MORRILLO DE RES (Carnes Los Monos - MY8683)</t>
  </si>
  <si>
    <t>Ajo pelado</t>
  </si>
  <si>
    <t>AJO PELADO X 1KG (Carnes Los Monos - MY8683)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</si>
</sst>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164" formatCode="\$#,##0"/>
    <numFmt numFmtId="165" formatCode="0.0%"/>
    <numFmt numFmtId="166" formatCode="#,##0.0"/>
    <numFmt numFmtId="167" formatCode="_-&quot;$&quot;\ * #,##0_-;\-&quot;$&quot;\ * #,##0_-;_-&quot;$&quot;\ * &quot;-&quot;??_-;_-@_-"/>
    <numFmt numFmtId="168" formatCode="#,##0.00\ &quot;Kg&quot;"/>
    <numFmt numFmtId="169" formatCode="0\ &quot;Reg&quot;"/>
    <numFmt numFmtId="170" formatCode="#,##0\ &quot;Und/Caj&quot;"/>
  </numFmts>
  <fonts count="25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rgb="FFFFFFFF"/>
      <name val="Calibri"/>
    </font>
    <font>
      <i/>
      <sz val="10"/>
      <color rgb="FFFFFFFF"/>
      <name val="Calibri"/>
    </font>
    <font>
      <b/>
      <sz val="9"/>
      <color rgb="FF595959"/>
      <name val="Calibri"/>
    </font>
    <font>
      <b/>
      <sz val="18"/>
      <color rgb="FF1B365D"/>
      <name val="Calibri"/>
    </font>
    <font>
      <i/>
      <sz val="9"/>
      <color rgb="FF7F7F7F"/>
      <name val="Calibri"/>
    </font>
    <font>
      <b/>
      <sz val="18"/>
      <color rgb="FF2E75B6"/>
      <name val="Calibri"/>
    </font>
    <font>
      <b/>
      <sz val="18"/>
      <color rgb="FFC00000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b/>
      <sz val="10"/>
      <color rgb="FF1B365D"/>
      <name val="Calibri"/>
    </font>
    <font>
      <sz val="10"/>
      <name val="Calibri"/>
    </font>
    <font>
      <b/>
      <sz val="10"/>
      <name val="Calibri"/>
    </font>
    <font>
      <b/>
      <sz val="10"/>
      <color rgb="FFC00000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i/>
      <sz val="10"/>
      <color rgb="FFE0E0E0"/>
      <name val="Calibri"/>
    </font>
    <font>
      <b/>
      <sz val="9"/>
      <color rgb="FF922B21"/>
      <name val="Calibri"/>
    </font>
    <font>
      <b/>
      <sz val="14"/>
      <color rgb="FF78281F"/>
      <name val="Calibri"/>
    </font>
    <font>
      <b/>
      <sz val="11"/>
      <color rgb="FF8B0000"/>
      <name val="Calibri"/>
    </font>
    <font>
      <b/>
      <sz val="11"/>
      <color rgb="FFFFFFFF"/>
      <name val="Calibri"/>
    </font>
    <font>
      <b/>
      <sz val="9"/>
      <color rgb="FF5D6D7E"/>
      <name val="Calibri"/>
    </font>
    <font>
      <b/>
      <sz val="14"/>
      <color rgb="FF1B4F72"/>
      <name val="Calibri"/>
    </font>
    <font>
      <b/>
      <sz val="11"/>
      <color rgb="FF1F4E78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E75B6"/>
        <bgColor rgb="FF2E75B6"/>
      </patternFill>
    </fill>
    <fill>
      <patternFill patternType="solid">
        <fgColor rgb="FFF2F4F8"/>
        <bgColor rgb="FFF2F4F8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AEEF3"/>
        <bgColor rgb="FFEAEEF3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  <fill>
      <patternFill patternType="solid">
        <fgColor rgb="FF1B365D"/>
        <bgColor rgb="FF1B365D"/>
      </patternFill>
    </fill>
    <fill>
      <patternFill patternType="solid">
        <fgColor rgb="FF8B0000"/>
        <bgColor rgb="FF8B0000"/>
      </patternFill>
    </fill>
    <fill>
      <patternFill patternType="solid">
        <fgColor rgb="FFFDEDEC"/>
        <bgColor rgb="FFFDEDEC"/>
      </patternFill>
    </fill>
    <fill>
      <patternFill patternType="solid">
        <fgColor rgb="FFFAF0F0"/>
        <bgColor rgb="FFFAF0F0"/>
      </patternFill>
    </fill>
    <fill>
      <patternFill patternType="solid">
        <fgColor rgb="FFE6B8B8"/>
        <bgColor rgb="FFE6B8B8"/>
      </patternFill>
    </fill>
    <fill>
      <patternFill patternType="solid">
        <fgColor rgb="FF1F4E78"/>
        <bgColor rgb="FF1F4E78"/>
      </patternFill>
    </fill>
    <fill>
      <patternFill patternType="solid">
        <fgColor rgb="FFEBF5FB"/>
        <bgColor rgb="FFEBF5FB"/>
      </patternFill>
    </fill>
    <fill>
      <patternFill patternType="solid">
        <fgColor rgb="FFF4F8FB"/>
        <bgColor rgb="FFF4F8FB"/>
      </patternFill>
    </fill>
    <fill>
      <patternFill patternType="solid">
        <fgColor rgb="FFBDD7EE"/>
        <bgColor rgb="FFBDD7EE"/>
      </patternFill>
    </fill>
  </fills>
  <borders count="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B365D"/>
      </top>
      <bottom style="double">
        <color rgb="FF1B365D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 style="thin">
        <color rgb="FF000000"/>
      </top>
      <bottom style="double">
        <color rgb="FF000000"/>
      </bottom>
      <diagonal/>
    </border>
  </borders>
  <cellStyleXfs count="2">
    <xf numFmtId="0" fontId="0" fillId="0" borderId="0"/>
    <xf numFmtId="44" fontId="1" fillId="0" borderId="0"/>
  </cellStyleXfs>
  <cellXfs count="134">
    <xf numFmtId="0" fontId="0" fillId="0" borderId="0" xfId="0"/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0" fontId="11" fillId="5" borderId="1" xfId="0" applyFont="1" applyFill="1" applyBorder="1"/>
    <xf numFmtId="0" fontId="12" fillId="0" borderId="1" xfId="0" applyFont="1" applyBorder="1"/>
    <xf numFmtId="3" fontId="13" fillId="0" borderId="1" xfId="0" applyNumberFormat="1" applyFont="1" applyBorder="1" applyAlignment="1">
      <alignment horizontal="center"/>
    </xf>
    <xf numFmtId="164" fontId="11" fillId="5" borderId="1" xfId="0" applyNumberFormat="1" applyFont="1" applyFill="1" applyBorder="1" applyAlignment="1">
      <alignment horizontal="right"/>
    </xf>
    <xf numFmtId="165" fontId="11" fillId="5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0" fontId="14" fillId="6" borderId="1" xfId="0" applyFont="1" applyFill="1" applyBorder="1"/>
    <xf numFmtId="164" fontId="14" fillId="6" borderId="1" xfId="0" applyNumberFormat="1" applyFont="1" applyFill="1" applyBorder="1" applyAlignment="1">
      <alignment horizontal="right"/>
    </xf>
    <xf numFmtId="165" fontId="14" fillId="6" borderId="1" xfId="0" applyNumberFormat="1" applyFont="1" applyFill="1" applyBorder="1" applyAlignment="1">
      <alignment horizontal="right"/>
    </xf>
    <xf numFmtId="0" fontId="13" fillId="7" borderId="2" xfId="0" applyFont="1" applyFill="1" applyBorder="1"/>
    <xf numFmtId="0" fontId="6" fillId="7" borderId="2" xfId="0" applyFont="1" applyFill="1" applyBorder="1"/>
    <xf numFmtId="3" fontId="13" fillId="7" borderId="2" xfId="0" applyNumberFormat="1" applyFont="1" applyFill="1" applyBorder="1" applyAlignment="1">
      <alignment horizontal="center"/>
    </xf>
    <xf numFmtId="164" fontId="13" fillId="7" borderId="2" xfId="0" applyNumberFormat="1" applyFont="1" applyFill="1" applyBorder="1" applyAlignment="1">
      <alignment horizontal="right"/>
    </xf>
    <xf numFmtId="165" fontId="13" fillId="7" borderId="2" xfId="0" applyNumberFormat="1" applyFont="1" applyFill="1" applyBorder="1" applyAlignment="1">
      <alignment horizontal="right"/>
    </xf>
    <xf numFmtId="0" fontId="13" fillId="8" borderId="1" xfId="0" applyFont="1" applyFill="1" applyBorder="1"/>
    <xf numFmtId="0" fontId="11" fillId="8" borderId="1" xfId="0" applyFont="1" applyFill="1" applyBorder="1"/>
    <xf numFmtId="3" fontId="12" fillId="8" borderId="1" xfId="0" applyNumberFormat="1" applyFont="1" applyFill="1" applyBorder="1" applyAlignment="1">
      <alignment horizontal="center"/>
    </xf>
    <xf numFmtId="164" fontId="13" fillId="8" borderId="1" xfId="0" applyNumberFormat="1" applyFont="1" applyFill="1" applyBorder="1" applyAlignment="1">
      <alignment horizontal="right"/>
    </xf>
    <xf numFmtId="165" fontId="13" fillId="8" borderId="1" xfId="0" applyNumberFormat="1" applyFont="1" applyFill="1" applyBorder="1" applyAlignment="1">
      <alignment horizontal="right"/>
    </xf>
    <xf numFmtId="164" fontId="12" fillId="8" borderId="1" xfId="0" applyNumberFormat="1" applyFont="1" applyFill="1" applyBorder="1" applyAlignment="1">
      <alignment horizontal="right"/>
    </xf>
    <xf numFmtId="0" fontId="13" fillId="6" borderId="1" xfId="0" applyFont="1" applyFill="1" applyBorder="1"/>
    <xf numFmtId="3" fontId="12" fillId="6" borderId="1" xfId="0" applyNumberFormat="1" applyFont="1" applyFill="1" applyBorder="1" applyAlignment="1">
      <alignment horizontal="center"/>
    </xf>
    <xf numFmtId="164" fontId="13" fillId="6" borderId="1" xfId="0" applyNumberFormat="1" applyFont="1" applyFill="1" applyBorder="1" applyAlignment="1">
      <alignment horizontal="right"/>
    </xf>
    <xf numFmtId="165" fontId="13" fillId="6" borderId="1" xfId="0" applyNumberFormat="1" applyFont="1" applyFill="1" applyBorder="1" applyAlignment="1">
      <alignment horizontal="right"/>
    </xf>
    <xf numFmtId="164" fontId="12" fillId="6" borderId="1" xfId="0" applyNumberFormat="1" applyFont="1" applyFill="1" applyBorder="1" applyAlignment="1">
      <alignment horizontal="right"/>
    </xf>
    <xf numFmtId="0" fontId="12" fillId="8" borderId="1" xfId="0" applyFont="1" applyFill="1" applyBorder="1"/>
    <xf numFmtId="165" fontId="12" fillId="8" borderId="1" xfId="0" applyNumberFormat="1" applyFont="1" applyFill="1" applyBorder="1" applyAlignment="1">
      <alignment horizontal="right"/>
    </xf>
    <xf numFmtId="0" fontId="11" fillId="0" borderId="1" xfId="0" applyFont="1" applyBorder="1"/>
    <xf numFmtId="3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right"/>
    </xf>
    <xf numFmtId="0" fontId="10" fillId="3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164" fontId="12" fillId="5" borderId="1" xfId="0" applyNumberFormat="1" applyFont="1" applyFill="1" applyBorder="1" applyAlignment="1">
      <alignment horizontal="right"/>
    </xf>
    <xf numFmtId="164" fontId="13" fillId="4" borderId="1" xfId="0" applyNumberFormat="1" applyFont="1" applyFill="1" applyBorder="1" applyAlignment="1">
      <alignment horizontal="right"/>
    </xf>
    <xf numFmtId="0" fontId="13" fillId="8" borderId="1" xfId="0" applyFont="1" applyFill="1" applyBorder="1" applyAlignment="1">
      <alignment horizontal="center"/>
    </xf>
    <xf numFmtId="164" fontId="11" fillId="7" borderId="2" xfId="0" applyNumberFormat="1" applyFont="1" applyFill="1" applyBorder="1" applyAlignment="1">
      <alignment horizontal="right"/>
    </xf>
    <xf numFmtId="164" fontId="14" fillId="7" borderId="2" xfId="0" applyNumberFormat="1" applyFont="1" applyFill="1" applyBorder="1" applyAlignment="1">
      <alignment horizontal="right"/>
    </xf>
    <xf numFmtId="165" fontId="11" fillId="7" borderId="2" xfId="0" applyNumberFormat="1" applyFont="1" applyFill="1" applyBorder="1" applyAlignment="1">
      <alignment horizontal="right"/>
    </xf>
    <xf numFmtId="165" fontId="14" fillId="7" borderId="2" xfId="0" applyNumberFormat="1" applyFont="1" applyFill="1" applyBorder="1" applyAlignment="1">
      <alignment horizontal="right"/>
    </xf>
    <xf numFmtId="0" fontId="13" fillId="4" borderId="1" xfId="0" applyFont="1" applyFill="1" applyBorder="1" applyAlignment="1">
      <alignment horizontal="center"/>
    </xf>
    <xf numFmtId="165" fontId="13" fillId="4" borderId="1" xfId="0" applyNumberFormat="1" applyFont="1" applyFill="1" applyBorder="1" applyAlignment="1">
      <alignment horizontal="right"/>
    </xf>
    <xf numFmtId="164" fontId="12" fillId="4" borderId="1" xfId="0" applyNumberFormat="1" applyFont="1" applyFill="1" applyBorder="1" applyAlignment="1">
      <alignment horizontal="right"/>
    </xf>
    <xf numFmtId="166" fontId="12" fillId="4" borderId="1" xfId="0" applyNumberFormat="1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/>
    </xf>
    <xf numFmtId="164" fontId="13" fillId="9" borderId="1" xfId="0" applyNumberFormat="1" applyFont="1" applyFill="1" applyBorder="1" applyAlignment="1">
      <alignment horizontal="right"/>
    </xf>
    <xf numFmtId="0" fontId="0" fillId="9" borderId="1" xfId="0" applyFill="1" applyBorder="1" applyAlignment="1">
      <alignment horizontal="center"/>
    </xf>
    <xf numFmtId="164" fontId="12" fillId="9" borderId="1" xfId="0" applyNumberFormat="1" applyFont="1" applyFill="1" applyBorder="1" applyAlignment="1">
      <alignment horizontal="right"/>
    </xf>
    <xf numFmtId="3" fontId="12" fillId="9" borderId="1" xfId="0" applyNumberFormat="1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left"/>
    </xf>
    <xf numFmtId="0" fontId="12" fillId="8" borderId="1" xfId="0" applyFont="1" applyFill="1" applyBorder="1" applyAlignment="1">
      <alignment horizontal="center"/>
    </xf>
    <xf numFmtId="0" fontId="12" fillId="8" borderId="1" xfId="0" applyFont="1" applyFill="1" applyBorder="1" applyAlignment="1">
      <alignment horizontal="left"/>
    </xf>
    <xf numFmtId="0" fontId="15" fillId="10" borderId="0" xfId="0" applyFont="1" applyFill="1" applyAlignment="1">
      <alignment horizontal="center" vertical="center"/>
    </xf>
    <xf numFmtId="2" fontId="15" fillId="10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7" fontId="0" fillId="0" borderId="0" xfId="1" applyNumberFormat="1" applyFont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18" fillId="12" borderId="6" xfId="0" applyFont="1" applyFill="1" applyBorder="1" applyAlignment="1">
      <alignment horizontal="center" vertical="center"/>
    </xf>
    <xf numFmtId="164" fontId="19" fillId="12" borderId="6" xfId="0" applyNumberFormat="1" applyFont="1" applyFill="1" applyBorder="1" applyAlignment="1">
      <alignment horizontal="center" vertical="center"/>
    </xf>
    <xf numFmtId="169" fontId="19" fillId="12" borderId="6" xfId="0" applyNumberFormat="1" applyFont="1" applyFill="1" applyBorder="1" applyAlignment="1">
      <alignment horizontal="center" vertical="center"/>
    </xf>
    <xf numFmtId="165" fontId="19" fillId="12" borderId="6" xfId="0" applyNumberFormat="1" applyFont="1" applyFill="1" applyBorder="1" applyAlignment="1">
      <alignment horizontal="center" vertical="center"/>
    </xf>
    <xf numFmtId="0" fontId="21" fillId="11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/>
    </xf>
    <xf numFmtId="164" fontId="12" fillId="0" borderId="6" xfId="0" applyNumberFormat="1" applyFont="1" applyBorder="1"/>
    <xf numFmtId="4" fontId="12" fillId="0" borderId="6" xfId="0" applyNumberFormat="1" applyFont="1" applyBorder="1"/>
    <xf numFmtId="165" fontId="12" fillId="0" borderId="6" xfId="0" applyNumberFormat="1" applyFont="1" applyBorder="1"/>
    <xf numFmtId="1" fontId="12" fillId="0" borderId="6" xfId="0" applyNumberFormat="1" applyFont="1" applyBorder="1" applyAlignment="1">
      <alignment horizontal="center"/>
    </xf>
    <xf numFmtId="0" fontId="13" fillId="0" borderId="6" xfId="0" applyFont="1" applyBorder="1"/>
    <xf numFmtId="0" fontId="12" fillId="13" borderId="6" xfId="0" applyFont="1" applyFill="1" applyBorder="1" applyAlignment="1">
      <alignment horizontal="center"/>
    </xf>
    <xf numFmtId="164" fontId="12" fillId="13" borderId="6" xfId="0" applyNumberFormat="1" applyFont="1" applyFill="1" applyBorder="1"/>
    <xf numFmtId="4" fontId="12" fillId="13" borderId="6" xfId="0" applyNumberFormat="1" applyFont="1" applyFill="1" applyBorder="1"/>
    <xf numFmtId="165" fontId="12" fillId="13" borderId="6" xfId="0" applyNumberFormat="1" applyFont="1" applyFill="1" applyBorder="1"/>
    <xf numFmtId="1" fontId="12" fillId="13" borderId="6" xfId="0" applyNumberFormat="1" applyFont="1" applyFill="1" applyBorder="1" applyAlignment="1">
      <alignment horizontal="center"/>
    </xf>
    <xf numFmtId="0" fontId="13" fillId="13" borderId="6" xfId="0" applyFont="1" applyFill="1" applyBorder="1"/>
    <xf numFmtId="0" fontId="13" fillId="14" borderId="7" xfId="0" applyFont="1" applyFill="1" applyBorder="1" applyAlignment="1">
      <alignment horizontal="center"/>
    </xf>
    <xf numFmtId="164" fontId="13" fillId="14" borderId="7" xfId="0" applyNumberFormat="1" applyFont="1" applyFill="1" applyBorder="1"/>
    <xf numFmtId="4" fontId="13" fillId="14" borderId="7" xfId="0" applyNumberFormat="1" applyFont="1" applyFill="1" applyBorder="1"/>
    <xf numFmtId="165" fontId="13" fillId="14" borderId="7" xfId="0" applyNumberFormat="1" applyFont="1" applyFill="1" applyBorder="1"/>
    <xf numFmtId="1" fontId="13" fillId="14" borderId="7" xfId="0" applyNumberFormat="1" applyFont="1" applyFill="1" applyBorder="1" applyAlignment="1">
      <alignment horizontal="center"/>
    </xf>
    <xf numFmtId="0" fontId="22" fillId="16" borderId="6" xfId="0" applyFont="1" applyFill="1" applyBorder="1" applyAlignment="1">
      <alignment horizontal="center" vertical="center"/>
    </xf>
    <xf numFmtId="164" fontId="23" fillId="16" borderId="6" xfId="0" applyNumberFormat="1" applyFont="1" applyFill="1" applyBorder="1" applyAlignment="1">
      <alignment horizontal="center" vertical="center"/>
    </xf>
    <xf numFmtId="169" fontId="23" fillId="16" borderId="6" xfId="0" applyNumberFormat="1" applyFont="1" applyFill="1" applyBorder="1" applyAlignment="1">
      <alignment horizontal="center" vertical="center"/>
    </xf>
    <xf numFmtId="165" fontId="23" fillId="16" borderId="6" xfId="0" applyNumberFormat="1" applyFont="1" applyFill="1" applyBorder="1" applyAlignment="1">
      <alignment horizontal="center" vertical="center"/>
    </xf>
    <xf numFmtId="0" fontId="21" fillId="15" borderId="6" xfId="0" applyFont="1" applyFill="1" applyBorder="1" applyAlignment="1">
      <alignment horizontal="center" vertical="center"/>
    </xf>
    <xf numFmtId="3" fontId="12" fillId="0" borderId="6" xfId="0" applyNumberFormat="1" applyFont="1" applyBorder="1" applyAlignment="1">
      <alignment horizontal="center"/>
    </xf>
    <xf numFmtId="0" fontId="12" fillId="0" borderId="6" xfId="0" applyFont="1" applyBorder="1"/>
    <xf numFmtId="0" fontId="12" fillId="17" borderId="6" xfId="0" applyFont="1" applyFill="1" applyBorder="1" applyAlignment="1">
      <alignment horizontal="center"/>
    </xf>
    <xf numFmtId="164" fontId="12" fillId="17" borderId="6" xfId="0" applyNumberFormat="1" applyFont="1" applyFill="1" applyBorder="1"/>
    <xf numFmtId="3" fontId="12" fillId="17" borderId="6" xfId="0" applyNumberFormat="1" applyFont="1" applyFill="1" applyBorder="1" applyAlignment="1">
      <alignment horizontal="center"/>
    </xf>
    <xf numFmtId="165" fontId="12" fillId="17" borderId="6" xfId="0" applyNumberFormat="1" applyFont="1" applyFill="1" applyBorder="1"/>
    <xf numFmtId="1" fontId="12" fillId="17" borderId="6" xfId="0" applyNumberFormat="1" applyFont="1" applyFill="1" applyBorder="1" applyAlignment="1">
      <alignment horizontal="center"/>
    </xf>
    <xf numFmtId="0" fontId="13" fillId="17" borderId="6" xfId="0" applyFont="1" applyFill="1" applyBorder="1"/>
    <xf numFmtId="0" fontId="12" fillId="17" borderId="6" xfId="0" applyFont="1" applyFill="1" applyBorder="1"/>
    <xf numFmtId="0" fontId="13" fillId="18" borderId="7" xfId="0" applyFont="1" applyFill="1" applyBorder="1" applyAlignment="1">
      <alignment horizontal="center"/>
    </xf>
    <xf numFmtId="164" fontId="13" fillId="18" borderId="7" xfId="0" applyNumberFormat="1" applyFont="1" applyFill="1" applyBorder="1"/>
    <xf numFmtId="3" fontId="13" fillId="18" borderId="7" xfId="0" applyNumberFormat="1" applyFont="1" applyFill="1" applyBorder="1" applyAlignment="1">
      <alignment horizontal="center"/>
    </xf>
    <xf numFmtId="165" fontId="13" fillId="18" borderId="7" xfId="0" applyNumberFormat="1" applyFont="1" applyFill="1" applyBorder="1"/>
    <xf numFmtId="1" fontId="13" fillId="18" borderId="7" xfId="0" applyNumberFormat="1" applyFont="1" applyFill="1" applyBorder="1" applyAlignment="1">
      <alignment horizontal="center"/>
    </xf>
    <xf numFmtId="0" fontId="9" fillId="2" borderId="0" xfId="0" applyFont="1" applyFill="1" applyAlignment="1">
      <alignment horizontal="left" vertical="center" indent="1"/>
    </xf>
    <xf numFmtId="0" fontId="0" fillId="0" borderId="0" xfId="0"/>
    <xf numFmtId="0" fontId="6" fillId="4" borderId="5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6" fillId="6" borderId="5" xfId="0" applyFont="1" applyFill="1" applyBorder="1" applyAlignment="1">
      <alignment horizontal="center" vertical="center"/>
    </xf>
    <xf numFmtId="164" fontId="7" fillId="5" borderId="5" xfId="0" applyNumberFormat="1" applyFont="1" applyFill="1" applyBorder="1" applyAlignment="1">
      <alignment horizontal="center" vertical="center"/>
    </xf>
    <xf numFmtId="164" fontId="5" fillId="4" borderId="5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64" fontId="8" fillId="6" borderId="5" xfId="0" applyNumberFormat="1" applyFont="1" applyFill="1" applyBorder="1" applyAlignment="1">
      <alignment horizontal="center" vertical="center"/>
    </xf>
    <xf numFmtId="168" fontId="19" fillId="12" borderId="6" xfId="0" applyNumberFormat="1" applyFont="1" applyFill="1" applyBorder="1" applyAlignment="1">
      <alignment horizontal="center" vertical="center"/>
    </xf>
    <xf numFmtId="0" fontId="0" fillId="0" borderId="6" xfId="0" applyBorder="1"/>
    <xf numFmtId="164" fontId="19" fillId="12" borderId="6" xfId="0" applyNumberFormat="1" applyFont="1" applyFill="1" applyBorder="1" applyAlignment="1">
      <alignment horizontal="center" vertical="center"/>
    </xf>
    <xf numFmtId="0" fontId="13" fillId="14" borderId="7" xfId="0" applyFont="1" applyFill="1" applyBorder="1" applyAlignment="1">
      <alignment horizontal="center"/>
    </xf>
    <xf numFmtId="0" fontId="0" fillId="14" borderId="7" xfId="0" applyFill="1" applyBorder="1"/>
    <xf numFmtId="0" fontId="18" fillId="12" borderId="6" xfId="0" applyFont="1" applyFill="1" applyBorder="1" applyAlignment="1">
      <alignment horizontal="center" vertical="center"/>
    </xf>
    <xf numFmtId="0" fontId="20" fillId="0" borderId="0" xfId="0" applyFont="1"/>
    <xf numFmtId="0" fontId="16" fillId="11" borderId="0" xfId="0" applyFont="1" applyFill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170" fontId="23" fillId="16" borderId="6" xfId="0" applyNumberFormat="1" applyFont="1" applyFill="1" applyBorder="1" applyAlignment="1">
      <alignment horizontal="center" vertical="center"/>
    </xf>
    <xf numFmtId="164" fontId="23" fillId="16" borderId="6" xfId="0" applyNumberFormat="1" applyFont="1" applyFill="1" applyBorder="1" applyAlignment="1">
      <alignment horizontal="center" vertical="center"/>
    </xf>
    <xf numFmtId="0" fontId="22" fillId="16" borderId="6" xfId="0" applyFont="1" applyFill="1" applyBorder="1" applyAlignment="1">
      <alignment horizontal="center" vertical="center"/>
    </xf>
    <xf numFmtId="0" fontId="24" fillId="0" borderId="0" xfId="0" applyFont="1"/>
    <xf numFmtId="0" fontId="16" fillId="15" borderId="0" xfId="0" applyFont="1" applyFill="1" applyAlignment="1">
      <alignment horizontal="center" vertical="center"/>
    </xf>
    <xf numFmtId="0" fontId="17" fillId="15" borderId="0" xfId="0" applyFont="1" applyFill="1" applyAlignment="1">
      <alignment horizontal="center" vertical="center"/>
    </xf>
    <xf numFmtId="0" fontId="13" fillId="18" borderId="7" xfId="0" applyFont="1" applyFill="1" applyBorder="1" applyAlignment="1">
      <alignment horizontal="center"/>
    </xf>
    <xf numFmtId="0" fontId="0" fillId="18" borderId="7" xfId="0" applyFill="1" applyBorder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CO"/>
              <a:t>Egresos por Categoría (Agosto 2026)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Dashboard!$E$16</c:f>
              <c:strCache>
                <c:ptCount val="1"/>
                <c:pt idx="0">
                  <c:v>Total Mes ($)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Dashboard!$B$17:$B$22</c:f>
              <c:strCache>
                <c:ptCount val="6"/>
                <c:pt idx="0">
                  <c:v>Carnes</c:v>
                </c:pt>
                <c:pt idx="1">
                  <c:v>Servicios</c:v>
                </c:pt>
                <c:pt idx="2">
                  <c:v>Desechables</c:v>
                </c:pt>
                <c:pt idx="3">
                  <c:v>Verduras</c:v>
                </c:pt>
                <c:pt idx="4">
                  <c:v>Grano</c:v>
                </c:pt>
                <c:pt idx="5">
                  <c:v>Bebidas</c:v>
                </c:pt>
              </c:strCache>
            </c:strRef>
          </c:cat>
          <c:val>
            <c:numRef>
              <c:f>Dashboard!$E$17:$E$22</c:f>
              <c:numCache>
                <c:formatCode>\$#,##0</c:formatCode>
                <c:ptCount val="6"/>
                <c:pt idx="0">
                  <c:v>16169787</c:v>
                </c:pt>
                <c:pt idx="1">
                  <c:v>111000</c:v>
                </c:pt>
                <c:pt idx="2">
                  <c:v>72800</c:v>
                </c:pt>
                <c:pt idx="3">
                  <c:v>525000</c:v>
                </c:pt>
                <c:pt idx="4">
                  <c:v>1103615</c:v>
                </c:pt>
                <c:pt idx="5">
                  <c:v>1544400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24-4960-8D78-55B2C5BF1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Categoría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Valor ($ COP)</a:t>
                </a:r>
              </a:p>
            </c:rich>
          </c:tx>
          <c:overlay val="0"/>
        </c:title>
        <c:numFmt formatCode="\$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176482</xdr:colOff>
      <xdr:row>8</xdr:row>
      <xdr:rowOff>7421</xdr:rowOff>
    </xdr:from>
    <xdr:ext cx="6031577" cy="2764168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N78"/>
  <sheetViews>
    <sheetView topLeftCell="A13" zoomScale="85" zoomScaleNormal="85" workbookViewId="0">
      <selection activeCell="E23" sqref="E23"/>
    </sheetView>
  </sheetViews>
  <sheetFormatPr baseColWidth="10" defaultColWidth="8.7265625" defaultRowHeight="14.5" x14ac:dyDescent="0.35"/>
  <cols>
    <col min="1" max="1" width="2" customWidth="1"/>
    <col min="2" max="2" width="15.6328125" customWidth="1"/>
    <col min="3" max="3" width="18" customWidth="1"/>
    <col min="4" max="4" width="14" customWidth="1"/>
    <col min="5" max="5" width="14" bestFit="1" customWidth="1"/>
    <col min="6" max="6" width="12" customWidth="1"/>
    <col min="7" max="7" width="14" bestFit="1" customWidth="1"/>
    <col min="8" max="13" width="13" customWidth="1"/>
    <col min="14" max="14" width="11" customWidth="1"/>
    <col min="15" max="15" width="2" customWidth="1"/>
  </cols>
  <sheetData>
    <row r="1" spans="2:14" ht="8" customHeight="1" x14ac:dyDescent="0.35"/>
    <row r="2" spans="2:14" ht="26" customHeight="1" x14ac:dyDescent="0.35">
      <c r="B2" s="114" t="s">
        <v>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</row>
    <row r="3" spans="2:14" ht="18" customHeight="1" x14ac:dyDescent="0.35">
      <c r="B3" s="110" t="s">
        <v>1</v>
      </c>
      <c r="C3" s="103"/>
      <c r="D3" s="103"/>
      <c r="E3" s="103"/>
      <c r="F3" s="103"/>
      <c r="G3" s="103"/>
      <c r="H3" s="103"/>
      <c r="I3" s="103"/>
      <c r="J3" s="103"/>
      <c r="K3" s="103"/>
      <c r="L3" s="103"/>
      <c r="M3" s="103"/>
      <c r="N3" s="103"/>
    </row>
    <row r="4" spans="2:14" ht="10" customHeight="1" x14ac:dyDescent="0.35"/>
    <row r="5" spans="2:14" ht="16" customHeight="1" x14ac:dyDescent="0.35">
      <c r="B5" s="112" t="s">
        <v>2</v>
      </c>
      <c r="C5" s="105"/>
      <c r="D5" s="106"/>
      <c r="E5" s="115" t="s">
        <v>3</v>
      </c>
      <c r="F5" s="105"/>
      <c r="G5" s="106"/>
      <c r="H5" s="113" t="s">
        <v>4</v>
      </c>
      <c r="I5" s="105"/>
      <c r="J5" s="106"/>
      <c r="K5" s="112" t="s">
        <v>5</v>
      </c>
      <c r="L5" s="105"/>
      <c r="M5" s="105"/>
      <c r="N5" s="106"/>
    </row>
    <row r="6" spans="2:14" ht="28" customHeight="1" x14ac:dyDescent="0.35">
      <c r="B6" s="109">
        <f>E58</f>
        <v>19526602</v>
      </c>
      <c r="C6" s="105"/>
      <c r="D6" s="106"/>
      <c r="E6" s="108">
        <f>C58</f>
        <v>19415602</v>
      </c>
      <c r="F6" s="105"/>
      <c r="G6" s="106"/>
      <c r="H6" s="116">
        <f>D58</f>
        <v>111000</v>
      </c>
      <c r="I6" s="105"/>
      <c r="J6" s="106"/>
      <c r="K6" s="109">
        <f>E59</f>
        <v>3254433.6666666665</v>
      </c>
      <c r="L6" s="105"/>
      <c r="M6" s="105"/>
      <c r="N6" s="106"/>
    </row>
    <row r="7" spans="2:14" ht="16" customHeight="1" x14ac:dyDescent="0.35">
      <c r="B7" s="104" t="s">
        <v>6</v>
      </c>
      <c r="C7" s="105"/>
      <c r="D7" s="106"/>
      <c r="E7" s="111" t="str">
        <f>IF(E58&gt;0, TEXT(C58/E58,"0.0%") &amp; " del Total (Materia Prima/Insumos)", "0.0% del Total")</f>
        <v>99% del Total (Materia Prima/Insumos)</v>
      </c>
      <c r="F7" s="105"/>
      <c r="G7" s="106"/>
      <c r="H7" s="107" t="str">
        <f>IF(E58&gt;0, TEXT(D58/E58,"0.0%") &amp; " del Total (Servicios/Nómina)", "0.0% del Total")</f>
        <v>01% del Total (Servicios/Nómina)</v>
      </c>
      <c r="I7" s="105"/>
      <c r="J7" s="106"/>
      <c r="K7" s="104" t="str">
        <f>"Costo Prom: " &amp; TEXT(C59,"$#,##0") &amp; " | Gasto Prom: " &amp; TEXT(D59,"$#,##0")</f>
        <v>Costo Prom: $3235933,667 | Gasto Prom: $18500,0</v>
      </c>
      <c r="L7" s="105"/>
      <c r="M7" s="105"/>
      <c r="N7" s="106"/>
    </row>
    <row r="8" spans="2:14" ht="10" customHeight="1" x14ac:dyDescent="0.35"/>
    <row r="9" spans="2:14" x14ac:dyDescent="0.35">
      <c r="B9" s="102" t="s">
        <v>7</v>
      </c>
      <c r="C9" s="103"/>
      <c r="D9" s="103"/>
      <c r="E9" s="103"/>
      <c r="F9" s="103"/>
      <c r="G9" s="103"/>
    </row>
    <row r="10" spans="2:14" x14ac:dyDescent="0.35">
      <c r="B10" s="1" t="s">
        <v>8</v>
      </c>
      <c r="C10" s="1" t="s">
        <v>9</v>
      </c>
      <c r="D10" s="2" t="s">
        <v>10</v>
      </c>
      <c r="E10" s="2" t="s">
        <v>11</v>
      </c>
      <c r="F10" s="2" t="s">
        <v>12</v>
      </c>
      <c r="G10" s="2" t="s">
        <v>13</v>
      </c>
    </row>
    <row r="11" spans="2:14" x14ac:dyDescent="0.35">
      <c r="B11" s="3" t="s">
        <v>14</v>
      </c>
      <c r="C11" s="4" t="s">
        <v>15</v>
      </c>
      <c r="D11" s="5">
        <f>COUNTIF('Detalle Compras Septiembre 2026'!$B:$B, "&lt;&gt;Servicios")</f>
        <v>1048569</v>
      </c>
      <c r="E11" s="6">
        <f>C58</f>
        <v>19415602</v>
      </c>
      <c r="F11" s="7">
        <f>IF(E58&gt;0, E11/$E$58, 0)</f>
        <v>0.99431544720376852</v>
      </c>
      <c r="G11" s="8">
        <f>C59</f>
        <v>3235933.6666666665</v>
      </c>
    </row>
    <row r="12" spans="2:14" x14ac:dyDescent="0.35">
      <c r="B12" s="9" t="s">
        <v>16</v>
      </c>
      <c r="C12" s="4" t="s">
        <v>17</v>
      </c>
      <c r="D12" s="5">
        <f>COUNTIF('Detalle Compras Septiembre 2026'!$B:$B, "Servicios")</f>
        <v>7</v>
      </c>
      <c r="E12" s="10">
        <f>D58</f>
        <v>111000</v>
      </c>
      <c r="F12" s="11">
        <f>IF(E58&gt;0, E12/$E$58, 0)</f>
        <v>5.6845527962315207E-3</v>
      </c>
      <c r="G12" s="8">
        <f>D59</f>
        <v>18500</v>
      </c>
    </row>
    <row r="13" spans="2:14" x14ac:dyDescent="0.35">
      <c r="B13" s="12" t="s">
        <v>18</v>
      </c>
      <c r="C13" s="13" t="s">
        <v>19</v>
      </c>
      <c r="D13" s="14">
        <f>D11+D12</f>
        <v>1048576</v>
      </c>
      <c r="E13" s="15">
        <f>E58</f>
        <v>19526602</v>
      </c>
      <c r="F13" s="16">
        <f>IF(E58&gt;0, E13/$E$58, 0)</f>
        <v>1</v>
      </c>
      <c r="G13" s="15">
        <f>E59</f>
        <v>3254433.6666666665</v>
      </c>
    </row>
    <row r="14" spans="2:14" ht="8" customHeight="1" x14ac:dyDescent="0.35"/>
    <row r="15" spans="2:14" x14ac:dyDescent="0.35">
      <c r="B15" s="102" t="s">
        <v>20</v>
      </c>
      <c r="C15" s="103"/>
      <c r="D15" s="103"/>
      <c r="E15" s="103"/>
      <c r="F15" s="103"/>
      <c r="G15" s="103"/>
    </row>
    <row r="16" spans="2:14" x14ac:dyDescent="0.35">
      <c r="B16" s="1" t="s">
        <v>21</v>
      </c>
      <c r="C16" s="1" t="s">
        <v>22</v>
      </c>
      <c r="D16" s="2" t="s">
        <v>23</v>
      </c>
      <c r="E16" s="2" t="s">
        <v>11</v>
      </c>
      <c r="F16" s="2" t="s">
        <v>12</v>
      </c>
      <c r="G16" s="2" t="s">
        <v>13</v>
      </c>
    </row>
    <row r="17" spans="2:14" x14ac:dyDescent="0.35">
      <c r="B17" s="17" t="s">
        <v>24</v>
      </c>
      <c r="C17" s="18" t="s">
        <v>25</v>
      </c>
      <c r="D17" s="19">
        <f>COUNTIF('Detalle Compras Septiembre 2026'!$B:$B, "Carnes")</f>
        <v>26</v>
      </c>
      <c r="E17" s="20">
        <f>H58</f>
        <v>16169787</v>
      </c>
      <c r="F17" s="21">
        <f t="shared" ref="F17:F22" si="0">IF($E$23&gt;0, E17/$E$23, 0)</f>
        <v>0.82809016130917201</v>
      </c>
      <c r="G17" s="22">
        <f>H59</f>
        <v>2694964.5</v>
      </c>
    </row>
    <row r="18" spans="2:14" x14ac:dyDescent="0.35">
      <c r="B18" s="23" t="s">
        <v>26</v>
      </c>
      <c r="C18" s="9" t="s">
        <v>27</v>
      </c>
      <c r="D18" s="24">
        <f>COUNTIF('Detalle Compras Septiembre 2026'!$B:$B, "Servicios")</f>
        <v>7</v>
      </c>
      <c r="E18" s="25">
        <f>M58</f>
        <v>111000</v>
      </c>
      <c r="F18" s="26">
        <f t="shared" si="0"/>
        <v>5.6845527962315207E-3</v>
      </c>
      <c r="G18" s="27">
        <f>M59</f>
        <v>18500</v>
      </c>
    </row>
    <row r="19" spans="2:14" x14ac:dyDescent="0.35">
      <c r="B19" s="28" t="s">
        <v>28</v>
      </c>
      <c r="C19" s="18" t="s">
        <v>25</v>
      </c>
      <c r="D19" s="19">
        <f>COUNTIF('Detalle Compras Septiembre 2026'!$B:$B, "Desechables")</f>
        <v>1</v>
      </c>
      <c r="E19" s="22">
        <f>L58</f>
        <v>72800</v>
      </c>
      <c r="F19" s="29">
        <f t="shared" si="0"/>
        <v>3.7282472393302224E-3</v>
      </c>
      <c r="G19" s="22">
        <f>L59</f>
        <v>12133.333333333334</v>
      </c>
    </row>
    <row r="20" spans="2:14" x14ac:dyDescent="0.35">
      <c r="B20" s="4" t="s">
        <v>29</v>
      </c>
      <c r="C20" s="30" t="s">
        <v>25</v>
      </c>
      <c r="D20" s="31">
        <f>COUNTIF('Detalle Compras Septiembre 2026'!$B:$B, "Verduras")</f>
        <v>4</v>
      </c>
      <c r="E20" s="8">
        <f>I58</f>
        <v>525000</v>
      </c>
      <c r="F20" s="32">
        <f t="shared" si="0"/>
        <v>2.6886398360554488E-2</v>
      </c>
      <c r="G20" s="8">
        <f>I59</f>
        <v>87500</v>
      </c>
    </row>
    <row r="21" spans="2:14" x14ac:dyDescent="0.35">
      <c r="B21" s="28" t="s">
        <v>30</v>
      </c>
      <c r="C21" s="18" t="s">
        <v>25</v>
      </c>
      <c r="D21" s="19">
        <f>COUNTIF('Detalle Compras Septiembre 2026'!$B:$B, "Grano")</f>
        <v>10</v>
      </c>
      <c r="E21" s="22">
        <f>J58</f>
        <v>1103615</v>
      </c>
      <c r="F21" s="29">
        <f t="shared" si="0"/>
        <v>5.6518538146063509E-2</v>
      </c>
      <c r="G21" s="22">
        <f>J59</f>
        <v>183935.83333333334</v>
      </c>
    </row>
    <row r="22" spans="2:14" x14ac:dyDescent="0.35">
      <c r="B22" s="4" t="s">
        <v>31</v>
      </c>
      <c r="C22" s="30" t="s">
        <v>25</v>
      </c>
      <c r="D22" s="31">
        <f>COUNTIF('Detalle Compras Septiembre 2026'!$B:$B, "Bebidas")</f>
        <v>15</v>
      </c>
      <c r="E22" s="8">
        <f>K58</f>
        <v>1544400</v>
      </c>
      <c r="F22" s="32">
        <f t="shared" si="0"/>
        <v>7.9092102148648286E-2</v>
      </c>
      <c r="G22" s="8">
        <f>K59</f>
        <v>257400</v>
      </c>
    </row>
    <row r="23" spans="2:14" x14ac:dyDescent="0.35">
      <c r="B23" s="12" t="s">
        <v>32</v>
      </c>
      <c r="C23" s="13" t="s">
        <v>33</v>
      </c>
      <c r="D23" s="14">
        <f t="shared" ref="D23:G24" si="1">SUM(D17:D22)</f>
        <v>63</v>
      </c>
      <c r="E23" s="15">
        <f t="shared" si="1"/>
        <v>19526602</v>
      </c>
      <c r="F23" s="16">
        <f t="shared" si="1"/>
        <v>1</v>
      </c>
      <c r="G23" s="15">
        <f t="shared" si="1"/>
        <v>3254433.666666667</v>
      </c>
    </row>
    <row r="24" spans="2:14" x14ac:dyDescent="0.35">
      <c r="D24">
        <f t="shared" si="1"/>
        <v>100</v>
      </c>
      <c r="E24">
        <f t="shared" si="1"/>
        <v>22883417</v>
      </c>
      <c r="F24">
        <f t="shared" si="1"/>
        <v>1.171909838690828</v>
      </c>
      <c r="G24">
        <f t="shared" si="1"/>
        <v>3813902.833333334</v>
      </c>
    </row>
    <row r="25" spans="2:14" ht="10" customHeight="1" x14ac:dyDescent="0.35"/>
    <row r="26" spans="2:14" x14ac:dyDescent="0.35">
      <c r="B26" s="102" t="s">
        <v>34</v>
      </c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</row>
    <row r="27" spans="2:14" ht="24" customHeight="1" x14ac:dyDescent="0.35">
      <c r="B27" s="33" t="s">
        <v>35</v>
      </c>
      <c r="C27" s="33" t="s">
        <v>36</v>
      </c>
      <c r="D27" s="33" t="s">
        <v>37</v>
      </c>
      <c r="E27" s="33" t="s">
        <v>38</v>
      </c>
      <c r="F27" s="33" t="s">
        <v>39</v>
      </c>
      <c r="G27" s="33" t="s">
        <v>40</v>
      </c>
      <c r="H27" s="33" t="s">
        <v>41</v>
      </c>
      <c r="I27" s="33" t="s">
        <v>42</v>
      </c>
      <c r="J27" s="33" t="s">
        <v>43</v>
      </c>
      <c r="K27" s="33" t="s">
        <v>44</v>
      </c>
      <c r="L27" s="33" t="s">
        <v>45</v>
      </c>
      <c r="M27" s="33" t="s">
        <v>46</v>
      </c>
      <c r="N27" s="33" t="s">
        <v>23</v>
      </c>
    </row>
    <row r="28" spans="2:14" ht="18" customHeight="1" x14ac:dyDescent="0.35">
      <c r="B28" s="34">
        <v>1</v>
      </c>
      <c r="C28" s="35">
        <f>SUMIFS('Detalle Compras Septiembre 2026'!$G:$G, 'Detalle Compras Septiembre 2026'!$A:$A, B28, 'Detalle Compras Septiembre 2026'!$B:$B, "&lt;&gt;Servicios")</f>
        <v>6166350</v>
      </c>
      <c r="D28" s="27">
        <f>SUMIFS('Detalle Compras Septiembre 2026'!$G:$G, 'Detalle Compras Septiembre 2026'!$A:$A, B28, 'Detalle Compras Septiembre 2026'!$B:$B, "Servicios")</f>
        <v>34000</v>
      </c>
      <c r="E28" s="36">
        <f t="shared" ref="E28:E57" si="2">C28+D28</f>
        <v>6200350</v>
      </c>
      <c r="F28" s="32">
        <f t="shared" ref="F28:F59" si="3">IF(E28&gt;0, C28/E28, 0)</f>
        <v>0.9945164385881442</v>
      </c>
      <c r="G28" s="32">
        <f t="shared" ref="G28:G59" si="4">IF(E28&gt;0, D28/E28, 0)</f>
        <v>5.4835614118557826E-3</v>
      </c>
      <c r="H28" s="8">
        <f>SUMIFS('Detalle Compras Septiembre 2026'!$G:$G, 'Detalle Compras Septiembre 2026'!$A:$A, B28, 'Detalle Compras Septiembre 2026'!$B:$B, "Carnes")</f>
        <v>5676650</v>
      </c>
      <c r="I28" s="8">
        <f>SUMIFS('Detalle Compras Septiembre 2026'!$G:$G, 'Detalle Compras Septiembre 2026'!$A:$A, B28, 'Detalle Compras Septiembre 2026'!$B:$B, "Verduras")</f>
        <v>78000</v>
      </c>
      <c r="J28" s="8">
        <f>SUMIFS('Detalle Compras Septiembre 2026'!$G:$G, 'Detalle Compras Septiembre 2026'!$A:$A, B28, 'Detalle Compras Septiembre 2026'!$B:$B, "Grano")</f>
        <v>0</v>
      </c>
      <c r="K28" s="8">
        <f>SUMIFS('Detalle Compras Septiembre 2026'!$G:$G, 'Detalle Compras Septiembre 2026'!$A:$A, B28, 'Detalle Compras Septiembre 2026'!$B:$B, "Bebidas")</f>
        <v>411700</v>
      </c>
      <c r="L28" s="8">
        <f>SUMIFS('Detalle Compras Septiembre 2026'!$G:$G, 'Detalle Compras Septiembre 2026'!$A:$A, B28, 'Detalle Compras Septiembre 2026'!$B:$B, "Desechables")</f>
        <v>0</v>
      </c>
      <c r="M28" s="8">
        <f>SUMIFS('Detalle Compras Septiembre 2026'!$G:$G, 'Detalle Compras Septiembre 2026'!$A:$A, B28, 'Detalle Compras Septiembre 2026'!$B:$B, "Servicios")</f>
        <v>34000</v>
      </c>
      <c r="N28" s="31">
        <f>COUNTIF('Detalle Compras Septiembre 2026'!$A:$A, B28)</f>
        <v>15</v>
      </c>
    </row>
    <row r="29" spans="2:14" ht="18" customHeight="1" x14ac:dyDescent="0.35">
      <c r="B29" s="37">
        <v>2</v>
      </c>
      <c r="C29" s="35">
        <f>SUMIFS('Detalle Compras Septiembre 2026'!$G:$G, 'Detalle Compras Septiembre 2026'!$A:$A, B29, 'Detalle Compras Septiembre 2026'!$B:$B, "&lt;&gt;Servicios")</f>
        <v>600515</v>
      </c>
      <c r="D29" s="27">
        <f>SUMIFS('Detalle Compras Septiembre 2026'!$G:$G, 'Detalle Compras Septiembre 2026'!$A:$A, B29, 'Detalle Compras Septiembre 2026'!$B:$B, "Servicios")</f>
        <v>29000</v>
      </c>
      <c r="E29" s="36">
        <f t="shared" si="2"/>
        <v>629515</v>
      </c>
      <c r="F29" s="29">
        <f t="shared" si="3"/>
        <v>0.95393278952844651</v>
      </c>
      <c r="G29" s="29">
        <f t="shared" si="4"/>
        <v>4.6067210471553495E-2</v>
      </c>
      <c r="H29" s="22">
        <f>SUMIFS('Detalle Compras Septiembre 2026'!$G:$G, 'Detalle Compras Septiembre 2026'!$A:$A, B29, 'Detalle Compras Septiembre 2026'!$B:$B, "Carnes")</f>
        <v>0</v>
      </c>
      <c r="I29" s="22">
        <f>SUMIFS('Detalle Compras Septiembre 2026'!$G:$G, 'Detalle Compras Septiembre 2026'!$A:$A, B29, 'Detalle Compras Septiembre 2026'!$B:$B, "Verduras")</f>
        <v>0</v>
      </c>
      <c r="J29" s="22">
        <f>SUMIFS('Detalle Compras Septiembre 2026'!$G:$G, 'Detalle Compras Septiembre 2026'!$A:$A, B29, 'Detalle Compras Septiembre 2026'!$B:$B, "Grano")</f>
        <v>365615</v>
      </c>
      <c r="K29" s="22">
        <f>SUMIFS('Detalle Compras Septiembre 2026'!$G:$G, 'Detalle Compras Septiembre 2026'!$A:$A, B29, 'Detalle Compras Septiembre 2026'!$B:$B, "Bebidas")</f>
        <v>162100</v>
      </c>
      <c r="L29" s="22">
        <f>SUMIFS('Detalle Compras Septiembre 2026'!$G:$G, 'Detalle Compras Septiembre 2026'!$A:$A, B29, 'Detalle Compras Septiembre 2026'!$B:$B, "Desechables")</f>
        <v>72800</v>
      </c>
      <c r="M29" s="22">
        <f>SUMIFS('Detalle Compras Septiembre 2026'!$G:$G, 'Detalle Compras Septiembre 2026'!$A:$A, B29, 'Detalle Compras Septiembre 2026'!$B:$B, "Servicios")</f>
        <v>29000</v>
      </c>
      <c r="N29" s="19">
        <f>COUNTIF('Detalle Compras Septiembre 2026'!$A:$A, B29)</f>
        <v>13</v>
      </c>
    </row>
    <row r="30" spans="2:14" ht="18" customHeight="1" x14ac:dyDescent="0.35">
      <c r="B30" s="34">
        <v>3</v>
      </c>
      <c r="C30" s="35">
        <f>SUMIFS('Detalle Compras Septiembre 2026'!$G:$G, 'Detalle Compras Septiembre 2026'!$A:$A, B30, 'Detalle Compras Septiembre 2026'!$B:$B, "&lt;&gt;Servicios")</f>
        <v>3019390</v>
      </c>
      <c r="D30" s="27">
        <f>SUMIFS('Detalle Compras Septiembre 2026'!$G:$G, 'Detalle Compras Septiembre 2026'!$A:$A, B30, 'Detalle Compras Septiembre 2026'!$B:$B, "Servicios")</f>
        <v>19000</v>
      </c>
      <c r="E30" s="36">
        <f t="shared" si="2"/>
        <v>3038390</v>
      </c>
      <c r="F30" s="32">
        <f t="shared" si="3"/>
        <v>0.99374668821316547</v>
      </c>
      <c r="G30" s="32">
        <f t="shared" si="4"/>
        <v>6.2533117868344744E-3</v>
      </c>
      <c r="H30" s="8">
        <f>SUMIFS('Detalle Compras Septiembre 2026'!$G:$G, 'Detalle Compras Septiembre 2026'!$A:$A, B30, 'Detalle Compras Septiembre 2026'!$B:$B, "Carnes")</f>
        <v>1206790</v>
      </c>
      <c r="I30" s="8">
        <f>SUMIFS('Detalle Compras Septiembre 2026'!$G:$G, 'Detalle Compras Septiembre 2026'!$A:$A, B30, 'Detalle Compras Septiembre 2026'!$B:$B, "Verduras")</f>
        <v>104000</v>
      </c>
      <c r="J30" s="8">
        <f>SUMIFS('Detalle Compras Septiembre 2026'!$G:$G, 'Detalle Compras Septiembre 2026'!$A:$A, B30, 'Detalle Compras Septiembre 2026'!$B:$B, "Grano")</f>
        <v>738000</v>
      </c>
      <c r="K30" s="8">
        <f>SUMIFS('Detalle Compras Septiembre 2026'!$G:$G, 'Detalle Compras Septiembre 2026'!$A:$A, B30, 'Detalle Compras Septiembre 2026'!$B:$B, "Bebidas")</f>
        <v>970600</v>
      </c>
      <c r="L30" s="8">
        <f>SUMIFS('Detalle Compras Septiembre 2026'!$G:$G, 'Detalle Compras Septiembre 2026'!$A:$A, B30, 'Detalle Compras Septiembre 2026'!$B:$B, "Desechables")</f>
        <v>0</v>
      </c>
      <c r="M30" s="8">
        <f>SUMIFS('Detalle Compras Septiembre 2026'!$G:$G, 'Detalle Compras Septiembre 2026'!$A:$A, B30, 'Detalle Compras Septiembre 2026'!$B:$B, "Servicios")</f>
        <v>19000</v>
      </c>
      <c r="N30" s="31">
        <f>COUNTIF('Detalle Compras Septiembre 2026'!$A:$A, B30)</f>
        <v>19</v>
      </c>
    </row>
    <row r="31" spans="2:14" ht="18" customHeight="1" x14ac:dyDescent="0.35">
      <c r="B31" s="37">
        <v>4</v>
      </c>
      <c r="C31" s="35">
        <f>SUMIFS('Detalle Compras Septiembre 2026'!$G:$G, 'Detalle Compras Septiembre 2026'!$A:$A, B31, 'Detalle Compras Septiembre 2026'!$B:$B, "&lt;&gt;Servicios")</f>
        <v>516750</v>
      </c>
      <c r="D31" s="27">
        <f>SUMIFS('Detalle Compras Septiembre 2026'!$G:$G, 'Detalle Compras Septiembre 2026'!$A:$A, B31, 'Detalle Compras Septiembre 2026'!$B:$B, "Servicios")</f>
        <v>0</v>
      </c>
      <c r="E31" s="36">
        <f t="shared" si="2"/>
        <v>516750</v>
      </c>
      <c r="F31" s="29">
        <f t="shared" si="3"/>
        <v>1</v>
      </c>
      <c r="G31" s="29">
        <f t="shared" si="4"/>
        <v>0</v>
      </c>
      <c r="H31" s="22">
        <f>SUMIFS('Detalle Compras Septiembre 2026'!$G:$G, 'Detalle Compras Septiembre 2026'!$A:$A, B31, 'Detalle Compras Septiembre 2026'!$B:$B, "Carnes")</f>
        <v>516750</v>
      </c>
      <c r="I31" s="22">
        <f>SUMIFS('Detalle Compras Septiembre 2026'!$G:$G, 'Detalle Compras Septiembre 2026'!$A:$A, B31, 'Detalle Compras Septiembre 2026'!$B:$B, "Verduras")</f>
        <v>0</v>
      </c>
      <c r="J31" s="22">
        <f>SUMIFS('Detalle Compras Septiembre 2026'!$G:$G, 'Detalle Compras Septiembre 2026'!$A:$A, B31, 'Detalle Compras Septiembre 2026'!$B:$B, "Grano")</f>
        <v>0</v>
      </c>
      <c r="K31" s="22">
        <f>SUMIFS('Detalle Compras Septiembre 2026'!$G:$G, 'Detalle Compras Septiembre 2026'!$A:$A, B31, 'Detalle Compras Septiembre 2026'!$B:$B, "Bebidas")</f>
        <v>0</v>
      </c>
      <c r="L31" s="22">
        <f>SUMIFS('Detalle Compras Septiembre 2026'!$G:$G, 'Detalle Compras Septiembre 2026'!$A:$A, B31, 'Detalle Compras Septiembre 2026'!$B:$B, "Desechables")</f>
        <v>0</v>
      </c>
      <c r="M31" s="22">
        <f>SUMIFS('Detalle Compras Septiembre 2026'!$G:$G, 'Detalle Compras Septiembre 2026'!$A:$A, B31, 'Detalle Compras Septiembre 2026'!$B:$B, "Servicios")</f>
        <v>0</v>
      </c>
      <c r="N31" s="19">
        <f>COUNTIF('Detalle Compras Septiembre 2026'!$A:$A, B31)</f>
        <v>1</v>
      </c>
    </row>
    <row r="32" spans="2:14" ht="18" customHeight="1" x14ac:dyDescent="0.35">
      <c r="B32" s="34">
        <v>5</v>
      </c>
      <c r="C32" s="35">
        <f>SUMIFS('Detalle Compras Septiembre 2026'!$G:$G, 'Detalle Compras Septiembre 2026'!$A:$A, B32, 'Detalle Compras Septiembre 2026'!$B:$B, "&lt;&gt;Servicios")</f>
        <v>7583980</v>
      </c>
      <c r="D32" s="27">
        <f>SUMIFS('Detalle Compras Septiembre 2026'!$G:$G, 'Detalle Compras Septiembre 2026'!$A:$A, B32, 'Detalle Compras Septiembre 2026'!$B:$B, "Servicios")</f>
        <v>29000</v>
      </c>
      <c r="E32" s="36">
        <f t="shared" si="2"/>
        <v>7612980</v>
      </c>
      <c r="F32" s="32">
        <f t="shared" si="3"/>
        <v>0.99619071638175849</v>
      </c>
      <c r="G32" s="32">
        <f t="shared" si="4"/>
        <v>3.8092836182414772E-3</v>
      </c>
      <c r="H32" s="8">
        <f>SUMIFS('Detalle Compras Septiembre 2026'!$G:$G, 'Detalle Compras Septiembre 2026'!$A:$A, B32, 'Detalle Compras Septiembre 2026'!$B:$B, "Carnes")</f>
        <v>7349980</v>
      </c>
      <c r="I32" s="8">
        <f>SUMIFS('Detalle Compras Septiembre 2026'!$G:$G, 'Detalle Compras Septiembre 2026'!$A:$A, B32, 'Detalle Compras Septiembre 2026'!$B:$B, "Verduras")</f>
        <v>234000</v>
      </c>
      <c r="J32" s="8">
        <f>SUMIFS('Detalle Compras Septiembre 2026'!$G:$G, 'Detalle Compras Septiembre 2026'!$A:$A, B32, 'Detalle Compras Septiembre 2026'!$B:$B, "Grano")</f>
        <v>0</v>
      </c>
      <c r="K32" s="8">
        <f>SUMIFS('Detalle Compras Septiembre 2026'!$G:$G, 'Detalle Compras Septiembre 2026'!$A:$A, B32, 'Detalle Compras Septiembre 2026'!$B:$B, "Bebidas")</f>
        <v>0</v>
      </c>
      <c r="L32" s="8">
        <f>SUMIFS('Detalle Compras Septiembre 2026'!$G:$G, 'Detalle Compras Septiembre 2026'!$A:$A, B32, 'Detalle Compras Septiembre 2026'!$B:$B, "Desechables")</f>
        <v>0</v>
      </c>
      <c r="M32" s="8">
        <f>SUMIFS('Detalle Compras Septiembre 2026'!$G:$G, 'Detalle Compras Septiembre 2026'!$A:$A, B32, 'Detalle Compras Septiembre 2026'!$B:$B, "Servicios")</f>
        <v>29000</v>
      </c>
      <c r="N32" s="31">
        <f>COUNTIF('Detalle Compras Septiembre 2026'!$A:$A, B32)</f>
        <v>11</v>
      </c>
    </row>
    <row r="33" spans="2:14" ht="18" customHeight="1" x14ac:dyDescent="0.35">
      <c r="B33" s="37">
        <v>6</v>
      </c>
      <c r="C33" s="35">
        <f>SUMIFS('Detalle Compras Septiembre 2026'!$G:$G, 'Detalle Compras Septiembre 2026'!$A:$A, B33, 'Detalle Compras Septiembre 2026'!$B:$B, "&lt;&gt;Servicios")</f>
        <v>0</v>
      </c>
      <c r="D33" s="27">
        <f>SUMIFS('Detalle Compras Septiembre 2026'!$G:$G, 'Detalle Compras Septiembre 2026'!$A:$A, B33, 'Detalle Compras Septiembre 2026'!$B:$B, "Servicios")</f>
        <v>0</v>
      </c>
      <c r="E33" s="36">
        <f t="shared" si="2"/>
        <v>0</v>
      </c>
      <c r="F33" s="29">
        <f t="shared" si="3"/>
        <v>0</v>
      </c>
      <c r="G33" s="29">
        <f t="shared" si="4"/>
        <v>0</v>
      </c>
      <c r="H33" s="22">
        <f>SUMIFS('Detalle Compras Septiembre 2026'!$G:$G, 'Detalle Compras Septiembre 2026'!$A:$A, B33, 'Detalle Compras Septiembre 2026'!$B:$B, "Carnes")</f>
        <v>0</v>
      </c>
      <c r="I33" s="22">
        <f>SUMIFS('Detalle Compras Septiembre 2026'!$G:$G, 'Detalle Compras Septiembre 2026'!$A:$A, B33, 'Detalle Compras Septiembre 2026'!$B:$B, "Verduras")</f>
        <v>0</v>
      </c>
      <c r="J33" s="22">
        <f>SUMIFS('Detalle Compras Septiembre 2026'!$G:$G, 'Detalle Compras Septiembre 2026'!$A:$A, B33, 'Detalle Compras Septiembre 2026'!$B:$B, "Grano")</f>
        <v>0</v>
      </c>
      <c r="K33" s="22">
        <f>SUMIFS('Detalle Compras Septiembre 2026'!$G:$G, 'Detalle Compras Septiembre 2026'!$A:$A, B33, 'Detalle Compras Septiembre 2026'!$B:$B, "Bebidas")</f>
        <v>0</v>
      </c>
      <c r="L33" s="22">
        <f>SUMIFS('Detalle Compras Septiembre 2026'!$G:$G, 'Detalle Compras Septiembre 2026'!$A:$A, B33, 'Detalle Compras Septiembre 2026'!$B:$B, "Desechables")</f>
        <v>0</v>
      </c>
      <c r="M33" s="22">
        <f>SUMIFS('Detalle Compras Septiembre 2026'!$G:$G, 'Detalle Compras Septiembre 2026'!$A:$A, B33, 'Detalle Compras Septiembre 2026'!$B:$B, "Servicios")</f>
        <v>0</v>
      </c>
      <c r="N33" s="19">
        <f>COUNTIF('Detalle Compras Septiembre 2026'!$A:$A, B33)</f>
        <v>0</v>
      </c>
    </row>
    <row r="34" spans="2:14" ht="18" customHeight="1" x14ac:dyDescent="0.35">
      <c r="B34" s="34">
        <v>7</v>
      </c>
      <c r="C34" s="35">
        <f>SUMIFS('Detalle Compras Septiembre 2026'!$G:$G, 'Detalle Compras Septiembre 2026'!$A:$A, B34, 'Detalle Compras Septiembre 2026'!$B:$B, "&lt;&gt;Servicios")</f>
        <v>1528617</v>
      </c>
      <c r="D34" s="27">
        <f>SUMIFS('Detalle Compras Septiembre 2026'!$G:$G, 'Detalle Compras Septiembre 2026'!$A:$A, B34, 'Detalle Compras Septiembre 2026'!$B:$B, "Servicios")</f>
        <v>0</v>
      </c>
      <c r="E34" s="36">
        <f t="shared" si="2"/>
        <v>1528617</v>
      </c>
      <c r="F34" s="32">
        <f t="shared" si="3"/>
        <v>1</v>
      </c>
      <c r="G34" s="32">
        <f t="shared" si="4"/>
        <v>0</v>
      </c>
      <c r="H34" s="8">
        <f>SUMIFS('Detalle Compras Septiembre 2026'!$G:$G, 'Detalle Compras Septiembre 2026'!$A:$A, B34, 'Detalle Compras Septiembre 2026'!$B:$B, "Carnes")</f>
        <v>1419617</v>
      </c>
      <c r="I34" s="8">
        <f>SUMIFS('Detalle Compras Septiembre 2026'!$G:$G, 'Detalle Compras Septiembre 2026'!$A:$A, B34, 'Detalle Compras Septiembre 2026'!$B:$B, "Verduras")</f>
        <v>109000</v>
      </c>
      <c r="J34" s="8">
        <f>SUMIFS('Detalle Compras Septiembre 2026'!$G:$G, 'Detalle Compras Septiembre 2026'!$A:$A, B34, 'Detalle Compras Septiembre 2026'!$B:$B, "Grano")</f>
        <v>0</v>
      </c>
      <c r="K34" s="8">
        <f>SUMIFS('Detalle Compras Septiembre 2026'!$G:$G, 'Detalle Compras Septiembre 2026'!$A:$A, B34, 'Detalle Compras Septiembre 2026'!$B:$B, "Bebidas")</f>
        <v>0</v>
      </c>
      <c r="L34" s="8">
        <f>SUMIFS('Detalle Compras Septiembre 2026'!$G:$G, 'Detalle Compras Septiembre 2026'!$A:$A, B34, 'Detalle Compras Septiembre 2026'!$B:$B, "Desechables")</f>
        <v>0</v>
      </c>
      <c r="M34" s="8">
        <f>SUMIFS('Detalle Compras Septiembre 2026'!$G:$G, 'Detalle Compras Septiembre 2026'!$A:$A, B34, 'Detalle Compras Septiembre 2026'!$B:$B, "Servicios")</f>
        <v>0</v>
      </c>
      <c r="N34" s="31">
        <f>COUNTIF('Detalle Compras Septiembre 2026'!$A:$A, B34)</f>
        <v>4</v>
      </c>
    </row>
    <row r="35" spans="2:14" ht="18" customHeight="1" x14ac:dyDescent="0.35">
      <c r="B35" s="37">
        <v>8</v>
      </c>
      <c r="C35" s="35">
        <f>SUMIFS('Detalle Compras Septiembre 2026'!$G:$G, 'Detalle Compras Septiembre 2026'!$A:$A, B35, 'Detalle Compras Septiembre 2026'!$B:$B, "&lt;&gt;Servicios")</f>
        <v>0</v>
      </c>
      <c r="D35" s="27">
        <f>SUMIFS('Detalle Compras Septiembre 2026'!$G:$G, 'Detalle Compras Septiembre 2026'!$A:$A, B35, 'Detalle Compras Septiembre 2026'!$B:$B, "Servicios")</f>
        <v>0</v>
      </c>
      <c r="E35" s="36">
        <f t="shared" si="2"/>
        <v>0</v>
      </c>
      <c r="F35" s="29">
        <f t="shared" si="3"/>
        <v>0</v>
      </c>
      <c r="G35" s="29">
        <f t="shared" si="4"/>
        <v>0</v>
      </c>
      <c r="H35" s="22">
        <f>SUMIFS('Detalle Compras Septiembre 2026'!$G:$G, 'Detalle Compras Septiembre 2026'!$A:$A, B35, 'Detalle Compras Septiembre 2026'!$B:$B, "Carnes")</f>
        <v>0</v>
      </c>
      <c r="I35" s="22">
        <f>SUMIFS('Detalle Compras Septiembre 2026'!$G:$G, 'Detalle Compras Septiembre 2026'!$A:$A, B35, 'Detalle Compras Septiembre 2026'!$B:$B, "Verduras")</f>
        <v>0</v>
      </c>
      <c r="J35" s="22">
        <f>SUMIFS('Detalle Compras Septiembre 2026'!$G:$G, 'Detalle Compras Septiembre 2026'!$A:$A, B35, 'Detalle Compras Septiembre 2026'!$B:$B, "Grano")</f>
        <v>0</v>
      </c>
      <c r="K35" s="22">
        <f>SUMIFS('Detalle Compras Septiembre 2026'!$G:$G, 'Detalle Compras Septiembre 2026'!$A:$A, B35, 'Detalle Compras Septiembre 2026'!$B:$B, "Bebidas")</f>
        <v>0</v>
      </c>
      <c r="L35" s="22">
        <f>SUMIFS('Detalle Compras Septiembre 2026'!$G:$G, 'Detalle Compras Septiembre 2026'!$A:$A, B35, 'Detalle Compras Septiembre 2026'!$B:$B, "Desechables")</f>
        <v>0</v>
      </c>
      <c r="M35" s="22">
        <f>SUMIFS('Detalle Compras Septiembre 2026'!$G:$G, 'Detalle Compras Septiembre 2026'!$A:$A, B35, 'Detalle Compras Septiembre 2026'!$B:$B, "Servicios")</f>
        <v>0</v>
      </c>
      <c r="N35" s="19">
        <f>COUNTIF('Detalle Compras Septiembre 2026'!$A:$A, B35)</f>
        <v>0</v>
      </c>
    </row>
    <row r="36" spans="2:14" ht="18" customHeight="1" x14ac:dyDescent="0.35">
      <c r="B36" s="34">
        <v>9</v>
      </c>
      <c r="C36" s="35">
        <f>SUMIFS('Detalle Compras Septiembre 2026'!$G:$G, 'Detalle Compras Septiembre 2026'!$A:$A, B36, 'Detalle Compras Septiembre 2026'!$B:$B, "&lt;&gt;Servicios")</f>
        <v>0</v>
      </c>
      <c r="D36" s="27">
        <f>SUMIFS('Detalle Compras Septiembre 2026'!$G:$G, 'Detalle Compras Septiembre 2026'!$A:$A, B36, 'Detalle Compras Septiembre 2026'!$B:$B, "Servicios")</f>
        <v>0</v>
      </c>
      <c r="E36" s="36">
        <f t="shared" si="2"/>
        <v>0</v>
      </c>
      <c r="F36" s="32">
        <f t="shared" si="3"/>
        <v>0</v>
      </c>
      <c r="G36" s="32">
        <f t="shared" si="4"/>
        <v>0</v>
      </c>
      <c r="H36" s="8">
        <f>SUMIFS('Detalle Compras Septiembre 2026'!$G:$G, 'Detalle Compras Septiembre 2026'!$A:$A, B36, 'Detalle Compras Septiembre 2026'!$B:$B, "Carnes")</f>
        <v>0</v>
      </c>
      <c r="I36" s="8">
        <f>SUMIFS('Detalle Compras Septiembre 2026'!$G:$G, 'Detalle Compras Septiembre 2026'!$A:$A, B36, 'Detalle Compras Septiembre 2026'!$B:$B, "Verduras")</f>
        <v>0</v>
      </c>
      <c r="J36" s="8">
        <f>SUMIFS('Detalle Compras Septiembre 2026'!$G:$G, 'Detalle Compras Septiembre 2026'!$A:$A, B36, 'Detalle Compras Septiembre 2026'!$B:$B, "Grano")</f>
        <v>0</v>
      </c>
      <c r="K36" s="8">
        <f>SUMIFS('Detalle Compras Septiembre 2026'!$G:$G, 'Detalle Compras Septiembre 2026'!$A:$A, B36, 'Detalle Compras Septiembre 2026'!$B:$B, "Bebidas")</f>
        <v>0</v>
      </c>
      <c r="L36" s="8">
        <f>SUMIFS('Detalle Compras Septiembre 2026'!$G:$G, 'Detalle Compras Septiembre 2026'!$A:$A, B36, 'Detalle Compras Septiembre 2026'!$B:$B, "Desechables")</f>
        <v>0</v>
      </c>
      <c r="M36" s="8">
        <f>SUMIFS('Detalle Compras Septiembre 2026'!$G:$G, 'Detalle Compras Septiembre 2026'!$A:$A, B36, 'Detalle Compras Septiembre 2026'!$B:$B, "Servicios")</f>
        <v>0</v>
      </c>
      <c r="N36" s="31">
        <f>COUNTIF('Detalle Compras Septiembre 2026'!$A:$A, B36)</f>
        <v>0</v>
      </c>
    </row>
    <row r="37" spans="2:14" ht="18" customHeight="1" x14ac:dyDescent="0.35">
      <c r="B37" s="37">
        <v>10</v>
      </c>
      <c r="C37" s="35">
        <f>SUMIFS('Detalle Compras Septiembre 2026'!$G:$G, 'Detalle Compras Septiembre 2026'!$A:$A, B37, 'Detalle Compras Septiembre 2026'!$B:$B, "&lt;&gt;Servicios")</f>
        <v>0</v>
      </c>
      <c r="D37" s="27">
        <f>SUMIFS('Detalle Compras Septiembre 2026'!$G:$G, 'Detalle Compras Septiembre 2026'!$A:$A, B37, 'Detalle Compras Septiembre 2026'!$B:$B, "Servicios")</f>
        <v>0</v>
      </c>
      <c r="E37" s="36">
        <f t="shared" si="2"/>
        <v>0</v>
      </c>
      <c r="F37" s="29">
        <f t="shared" si="3"/>
        <v>0</v>
      </c>
      <c r="G37" s="29">
        <f t="shared" si="4"/>
        <v>0</v>
      </c>
      <c r="H37" s="22">
        <f>SUMIFS('Detalle Compras Septiembre 2026'!$G:$G, 'Detalle Compras Septiembre 2026'!$A:$A, B37, 'Detalle Compras Septiembre 2026'!$B:$B, "Carnes")</f>
        <v>0</v>
      </c>
      <c r="I37" s="22">
        <f>SUMIFS('Detalle Compras Septiembre 2026'!$G:$G, 'Detalle Compras Septiembre 2026'!$A:$A, B37, 'Detalle Compras Septiembre 2026'!$B:$B, "Verduras")</f>
        <v>0</v>
      </c>
      <c r="J37" s="22">
        <f>SUMIFS('Detalle Compras Septiembre 2026'!$G:$G, 'Detalle Compras Septiembre 2026'!$A:$A, B37, 'Detalle Compras Septiembre 2026'!$B:$B, "Grano")</f>
        <v>0</v>
      </c>
      <c r="K37" s="22">
        <f>SUMIFS('Detalle Compras Septiembre 2026'!$G:$G, 'Detalle Compras Septiembre 2026'!$A:$A, B37, 'Detalle Compras Septiembre 2026'!$B:$B, "Bebidas")</f>
        <v>0</v>
      </c>
      <c r="L37" s="22">
        <f>SUMIFS('Detalle Compras Septiembre 2026'!$G:$G, 'Detalle Compras Septiembre 2026'!$A:$A, B37, 'Detalle Compras Septiembre 2026'!$B:$B, "Desechables")</f>
        <v>0</v>
      </c>
      <c r="M37" s="22">
        <f>SUMIFS('Detalle Compras Septiembre 2026'!$G:$G, 'Detalle Compras Septiembre 2026'!$A:$A, B37, 'Detalle Compras Septiembre 2026'!$B:$B, "Servicios")</f>
        <v>0</v>
      </c>
      <c r="N37" s="19">
        <f>COUNTIF('Detalle Compras Septiembre 2026'!$A:$A, B37)</f>
        <v>0</v>
      </c>
    </row>
    <row r="38" spans="2:14" ht="18" customHeight="1" x14ac:dyDescent="0.35">
      <c r="B38" s="34">
        <v>11</v>
      </c>
      <c r="C38" s="35">
        <f>SUMIFS('Detalle Compras Septiembre 2026'!$G:$G, 'Detalle Compras Septiembre 2026'!$A:$A, B38, 'Detalle Compras Septiembre 2026'!$B:$B, "&lt;&gt;Servicios")</f>
        <v>0</v>
      </c>
      <c r="D38" s="27">
        <f>SUMIFS('Detalle Compras Septiembre 2026'!$G:$G, 'Detalle Compras Septiembre 2026'!$A:$A, B38, 'Detalle Compras Septiembre 2026'!$B:$B, "Servicios")</f>
        <v>0</v>
      </c>
      <c r="E38" s="36">
        <f t="shared" si="2"/>
        <v>0</v>
      </c>
      <c r="F38" s="32">
        <f t="shared" si="3"/>
        <v>0</v>
      </c>
      <c r="G38" s="32">
        <f t="shared" si="4"/>
        <v>0</v>
      </c>
      <c r="H38" s="8">
        <f>SUMIFS('Detalle Compras Septiembre 2026'!$G:$G, 'Detalle Compras Septiembre 2026'!$A:$A, B38, 'Detalle Compras Septiembre 2026'!$B:$B, "Carnes")</f>
        <v>0</v>
      </c>
      <c r="I38" s="8">
        <f>SUMIFS('Detalle Compras Septiembre 2026'!$G:$G, 'Detalle Compras Septiembre 2026'!$A:$A, B38, 'Detalle Compras Septiembre 2026'!$B:$B, "Verduras")</f>
        <v>0</v>
      </c>
      <c r="J38" s="8">
        <f>SUMIFS('Detalle Compras Septiembre 2026'!$G:$G, 'Detalle Compras Septiembre 2026'!$A:$A, B38, 'Detalle Compras Septiembre 2026'!$B:$B, "Grano")</f>
        <v>0</v>
      </c>
      <c r="K38" s="8">
        <f>SUMIFS('Detalle Compras Septiembre 2026'!$G:$G, 'Detalle Compras Septiembre 2026'!$A:$A, B38, 'Detalle Compras Septiembre 2026'!$B:$B, "Bebidas")</f>
        <v>0</v>
      </c>
      <c r="L38" s="8">
        <f>SUMIFS('Detalle Compras Septiembre 2026'!$G:$G, 'Detalle Compras Septiembre 2026'!$A:$A, B38, 'Detalle Compras Septiembre 2026'!$B:$B, "Desechables")</f>
        <v>0</v>
      </c>
      <c r="M38" s="8">
        <f>SUMIFS('Detalle Compras Septiembre 2026'!$G:$G, 'Detalle Compras Septiembre 2026'!$A:$A, B38, 'Detalle Compras Septiembre 2026'!$B:$B, "Servicios")</f>
        <v>0</v>
      </c>
      <c r="N38" s="31">
        <f>COUNTIF('Detalle Compras Septiembre 2026'!$A:$A, B38)</f>
        <v>0</v>
      </c>
    </row>
    <row r="39" spans="2:14" ht="18" customHeight="1" x14ac:dyDescent="0.35">
      <c r="B39" s="37">
        <v>12</v>
      </c>
      <c r="C39" s="35">
        <f>SUMIFS('Detalle Compras Septiembre 2026'!$G:$G, 'Detalle Compras Septiembre 2026'!$A:$A, B39, 'Detalle Compras Septiembre 2026'!$B:$B, "&lt;&gt;Servicios")</f>
        <v>0</v>
      </c>
      <c r="D39" s="27">
        <f>SUMIFS('Detalle Compras Septiembre 2026'!$G:$G, 'Detalle Compras Septiembre 2026'!$A:$A, B39, 'Detalle Compras Septiembre 2026'!$B:$B, "Servicios")</f>
        <v>0</v>
      </c>
      <c r="E39" s="36">
        <f t="shared" si="2"/>
        <v>0</v>
      </c>
      <c r="F39" s="29">
        <f t="shared" si="3"/>
        <v>0</v>
      </c>
      <c r="G39" s="29">
        <f t="shared" si="4"/>
        <v>0</v>
      </c>
      <c r="H39" s="22">
        <f>SUMIFS('Detalle Compras Septiembre 2026'!$G:$G, 'Detalle Compras Septiembre 2026'!$A:$A, B39, 'Detalle Compras Septiembre 2026'!$B:$B, "Carnes")</f>
        <v>0</v>
      </c>
      <c r="I39" s="22">
        <f>SUMIFS('Detalle Compras Septiembre 2026'!$G:$G, 'Detalle Compras Septiembre 2026'!$A:$A, B39, 'Detalle Compras Septiembre 2026'!$B:$B, "Verduras")</f>
        <v>0</v>
      </c>
      <c r="J39" s="22">
        <f>SUMIFS('Detalle Compras Septiembre 2026'!$G:$G, 'Detalle Compras Septiembre 2026'!$A:$A, B39, 'Detalle Compras Septiembre 2026'!$B:$B, "Grano")</f>
        <v>0</v>
      </c>
      <c r="K39" s="22">
        <f>SUMIFS('Detalle Compras Septiembre 2026'!$G:$G, 'Detalle Compras Septiembre 2026'!$A:$A, B39, 'Detalle Compras Septiembre 2026'!$B:$B, "Bebidas")</f>
        <v>0</v>
      </c>
      <c r="L39" s="22">
        <f>SUMIFS('Detalle Compras Septiembre 2026'!$G:$G, 'Detalle Compras Septiembre 2026'!$A:$A, B39, 'Detalle Compras Septiembre 2026'!$B:$B, "Desechables")</f>
        <v>0</v>
      </c>
      <c r="M39" s="22">
        <f>SUMIFS('Detalle Compras Septiembre 2026'!$G:$G, 'Detalle Compras Septiembre 2026'!$A:$A, B39, 'Detalle Compras Septiembre 2026'!$B:$B, "Servicios")</f>
        <v>0</v>
      </c>
      <c r="N39" s="19">
        <f>COUNTIF('Detalle Compras Septiembre 2026'!$A:$A, B39)</f>
        <v>0</v>
      </c>
    </row>
    <row r="40" spans="2:14" ht="18" customHeight="1" x14ac:dyDescent="0.35">
      <c r="B40" s="34">
        <v>13</v>
      </c>
      <c r="C40" s="35">
        <f>SUMIFS('Detalle Compras Septiembre 2026'!$G:$G, 'Detalle Compras Septiembre 2026'!$A:$A, B40, 'Detalle Compras Septiembre 2026'!$B:$B, "&lt;&gt;Servicios")</f>
        <v>0</v>
      </c>
      <c r="D40" s="27">
        <f>SUMIFS('Detalle Compras Septiembre 2026'!$G:$G, 'Detalle Compras Septiembre 2026'!$A:$A, B40, 'Detalle Compras Septiembre 2026'!$B:$B, "Servicios")</f>
        <v>0</v>
      </c>
      <c r="E40" s="36">
        <f t="shared" si="2"/>
        <v>0</v>
      </c>
      <c r="F40" s="32">
        <f t="shared" si="3"/>
        <v>0</v>
      </c>
      <c r="G40" s="32">
        <f t="shared" si="4"/>
        <v>0</v>
      </c>
      <c r="H40" s="8">
        <f>SUMIFS('Detalle Compras Septiembre 2026'!$G:$G, 'Detalle Compras Septiembre 2026'!$A:$A, B40, 'Detalle Compras Septiembre 2026'!$B:$B, "Carnes")</f>
        <v>0</v>
      </c>
      <c r="I40" s="8">
        <f>SUMIFS('Detalle Compras Septiembre 2026'!$G:$G, 'Detalle Compras Septiembre 2026'!$A:$A, B40, 'Detalle Compras Septiembre 2026'!$B:$B, "Verduras")</f>
        <v>0</v>
      </c>
      <c r="J40" s="8">
        <f>SUMIFS('Detalle Compras Septiembre 2026'!$G:$G, 'Detalle Compras Septiembre 2026'!$A:$A, B40, 'Detalle Compras Septiembre 2026'!$B:$B, "Grano")</f>
        <v>0</v>
      </c>
      <c r="K40" s="8">
        <f>SUMIFS('Detalle Compras Septiembre 2026'!$G:$G, 'Detalle Compras Septiembre 2026'!$A:$A, B40, 'Detalle Compras Septiembre 2026'!$B:$B, "Bebidas")</f>
        <v>0</v>
      </c>
      <c r="L40" s="8">
        <f>SUMIFS('Detalle Compras Septiembre 2026'!$G:$G, 'Detalle Compras Septiembre 2026'!$A:$A, B40, 'Detalle Compras Septiembre 2026'!$B:$B, "Desechables")</f>
        <v>0</v>
      </c>
      <c r="M40" s="8">
        <f>SUMIFS('Detalle Compras Septiembre 2026'!$G:$G, 'Detalle Compras Septiembre 2026'!$A:$A, B40, 'Detalle Compras Septiembre 2026'!$B:$B, "Servicios")</f>
        <v>0</v>
      </c>
      <c r="N40" s="31">
        <f>COUNTIF('Detalle Compras Septiembre 2026'!$A:$A, B40)</f>
        <v>0</v>
      </c>
    </row>
    <row r="41" spans="2:14" ht="18" customHeight="1" x14ac:dyDescent="0.35">
      <c r="B41" s="37">
        <v>14</v>
      </c>
      <c r="C41" s="35">
        <f>SUMIFS('Detalle Compras Septiembre 2026'!$G:$G, 'Detalle Compras Septiembre 2026'!$A:$A, B41, 'Detalle Compras Septiembre 2026'!$B:$B, "&lt;&gt;Servicios")</f>
        <v>0</v>
      </c>
      <c r="D41" s="27">
        <f>SUMIFS('Detalle Compras Septiembre 2026'!$G:$G, 'Detalle Compras Septiembre 2026'!$A:$A, B41, 'Detalle Compras Septiembre 2026'!$B:$B, "Servicios")</f>
        <v>0</v>
      </c>
      <c r="E41" s="36">
        <f t="shared" si="2"/>
        <v>0</v>
      </c>
      <c r="F41" s="29">
        <f t="shared" si="3"/>
        <v>0</v>
      </c>
      <c r="G41" s="29">
        <f t="shared" si="4"/>
        <v>0</v>
      </c>
      <c r="H41" s="22">
        <f>SUMIFS('Detalle Compras Septiembre 2026'!$G:$G, 'Detalle Compras Septiembre 2026'!$A:$A, B41, 'Detalle Compras Septiembre 2026'!$B:$B, "Carnes")</f>
        <v>0</v>
      </c>
      <c r="I41" s="22">
        <f>SUMIFS('Detalle Compras Septiembre 2026'!$G:$G, 'Detalle Compras Septiembre 2026'!$A:$A, B41, 'Detalle Compras Septiembre 2026'!$B:$B, "Verduras")</f>
        <v>0</v>
      </c>
      <c r="J41" s="22">
        <f>SUMIFS('Detalle Compras Septiembre 2026'!$G:$G, 'Detalle Compras Septiembre 2026'!$A:$A, B41, 'Detalle Compras Septiembre 2026'!$B:$B, "Grano")</f>
        <v>0</v>
      </c>
      <c r="K41" s="22">
        <f>SUMIFS('Detalle Compras Septiembre 2026'!$G:$G, 'Detalle Compras Septiembre 2026'!$A:$A, B41, 'Detalle Compras Septiembre 2026'!$B:$B, "Bebidas")</f>
        <v>0</v>
      </c>
      <c r="L41" s="22">
        <f>SUMIFS('Detalle Compras Septiembre 2026'!$G:$G, 'Detalle Compras Septiembre 2026'!$A:$A, B41, 'Detalle Compras Septiembre 2026'!$B:$B, "Desechables")</f>
        <v>0</v>
      </c>
      <c r="M41" s="22">
        <f>SUMIFS('Detalle Compras Septiembre 2026'!$G:$G, 'Detalle Compras Septiembre 2026'!$A:$A, B41, 'Detalle Compras Septiembre 2026'!$B:$B, "Servicios")</f>
        <v>0</v>
      </c>
      <c r="N41" s="19">
        <f>COUNTIF('Detalle Compras Septiembre 2026'!$A:$A, B41)</f>
        <v>0</v>
      </c>
    </row>
    <row r="42" spans="2:14" ht="18" customHeight="1" x14ac:dyDescent="0.35">
      <c r="B42" s="34">
        <v>15</v>
      </c>
      <c r="C42" s="35">
        <f>SUMIFS('Detalle Compras Septiembre 2026'!$G:$G, 'Detalle Compras Septiembre 2026'!$A:$A, B42, 'Detalle Compras Septiembre 2026'!$B:$B, "&lt;&gt;Servicios")</f>
        <v>0</v>
      </c>
      <c r="D42" s="27">
        <f>SUMIFS('Detalle Compras Septiembre 2026'!$G:$G, 'Detalle Compras Septiembre 2026'!$A:$A, B42, 'Detalle Compras Septiembre 2026'!$B:$B, "Servicios")</f>
        <v>0</v>
      </c>
      <c r="E42" s="36">
        <f t="shared" si="2"/>
        <v>0</v>
      </c>
      <c r="F42" s="32">
        <f t="shared" si="3"/>
        <v>0</v>
      </c>
      <c r="G42" s="32">
        <f t="shared" si="4"/>
        <v>0</v>
      </c>
      <c r="H42" s="8">
        <f>SUMIFS('Detalle Compras Septiembre 2026'!$G:$G, 'Detalle Compras Septiembre 2026'!$A:$A, B42, 'Detalle Compras Septiembre 2026'!$B:$B, "Carnes")</f>
        <v>0</v>
      </c>
      <c r="I42" s="8">
        <f>SUMIFS('Detalle Compras Septiembre 2026'!$G:$G, 'Detalle Compras Septiembre 2026'!$A:$A, B42, 'Detalle Compras Septiembre 2026'!$B:$B, "Verduras")</f>
        <v>0</v>
      </c>
      <c r="J42" s="8">
        <f>SUMIFS('Detalle Compras Septiembre 2026'!$G:$G, 'Detalle Compras Septiembre 2026'!$A:$A, B42, 'Detalle Compras Septiembre 2026'!$B:$B, "Grano")</f>
        <v>0</v>
      </c>
      <c r="K42" s="8">
        <f>SUMIFS('Detalle Compras Septiembre 2026'!$G:$G, 'Detalle Compras Septiembre 2026'!$A:$A, B42, 'Detalle Compras Septiembre 2026'!$B:$B, "Bebidas")</f>
        <v>0</v>
      </c>
      <c r="L42" s="8">
        <f>SUMIFS('Detalle Compras Septiembre 2026'!$G:$G, 'Detalle Compras Septiembre 2026'!$A:$A, B42, 'Detalle Compras Septiembre 2026'!$B:$B, "Desechables")</f>
        <v>0</v>
      </c>
      <c r="M42" s="8">
        <f>SUMIFS('Detalle Compras Septiembre 2026'!$G:$G, 'Detalle Compras Septiembre 2026'!$A:$A, B42, 'Detalle Compras Septiembre 2026'!$B:$B, "Servicios")</f>
        <v>0</v>
      </c>
      <c r="N42" s="31">
        <f>COUNTIF('Detalle Compras Septiembre 2026'!$A:$A, B42)</f>
        <v>0</v>
      </c>
    </row>
    <row r="43" spans="2:14" ht="18" customHeight="1" x14ac:dyDescent="0.35">
      <c r="B43" s="37">
        <v>16</v>
      </c>
      <c r="C43" s="35">
        <f>SUMIFS('Detalle Compras Septiembre 2026'!$G:$G, 'Detalle Compras Septiembre 2026'!$A:$A, B43, 'Detalle Compras Septiembre 2026'!$B:$B, "&lt;&gt;Servicios")</f>
        <v>0</v>
      </c>
      <c r="D43" s="27">
        <f>SUMIFS('Detalle Compras Septiembre 2026'!$G:$G, 'Detalle Compras Septiembre 2026'!$A:$A, B43, 'Detalle Compras Septiembre 2026'!$B:$B, "Servicios")</f>
        <v>0</v>
      </c>
      <c r="E43" s="36">
        <f t="shared" si="2"/>
        <v>0</v>
      </c>
      <c r="F43" s="29">
        <f t="shared" si="3"/>
        <v>0</v>
      </c>
      <c r="G43" s="29">
        <f t="shared" si="4"/>
        <v>0</v>
      </c>
      <c r="H43" s="22">
        <f>SUMIFS('Detalle Compras Septiembre 2026'!$G:$G, 'Detalle Compras Septiembre 2026'!$A:$A, B43, 'Detalle Compras Septiembre 2026'!$B:$B, "Carnes")</f>
        <v>0</v>
      </c>
      <c r="I43" s="22">
        <f>SUMIFS('Detalle Compras Septiembre 2026'!$G:$G, 'Detalle Compras Septiembre 2026'!$A:$A, B43, 'Detalle Compras Septiembre 2026'!$B:$B, "Verduras")</f>
        <v>0</v>
      </c>
      <c r="J43" s="22">
        <f>SUMIFS('Detalle Compras Septiembre 2026'!$G:$G, 'Detalle Compras Septiembre 2026'!$A:$A, B43, 'Detalle Compras Septiembre 2026'!$B:$B, "Grano")</f>
        <v>0</v>
      </c>
      <c r="K43" s="22">
        <f>SUMIFS('Detalle Compras Septiembre 2026'!$G:$G, 'Detalle Compras Septiembre 2026'!$A:$A, B43, 'Detalle Compras Septiembre 2026'!$B:$B, "Bebidas")</f>
        <v>0</v>
      </c>
      <c r="L43" s="22">
        <f>SUMIFS('Detalle Compras Septiembre 2026'!$G:$G, 'Detalle Compras Septiembre 2026'!$A:$A, B43, 'Detalle Compras Septiembre 2026'!$B:$B, "Desechables")</f>
        <v>0</v>
      </c>
      <c r="M43" s="22">
        <f>SUMIFS('Detalle Compras Septiembre 2026'!$G:$G, 'Detalle Compras Septiembre 2026'!$A:$A, B43, 'Detalle Compras Septiembre 2026'!$B:$B, "Servicios")</f>
        <v>0</v>
      </c>
      <c r="N43" s="19">
        <f>COUNTIF('Detalle Compras Septiembre 2026'!$A:$A, B43)</f>
        <v>0</v>
      </c>
    </row>
    <row r="44" spans="2:14" ht="18" customHeight="1" x14ac:dyDescent="0.35">
      <c r="B44" s="34">
        <v>17</v>
      </c>
      <c r="C44" s="35">
        <f>SUMIFS('Detalle Compras Septiembre 2026'!$G:$G, 'Detalle Compras Septiembre 2026'!$A:$A, B44, 'Detalle Compras Septiembre 2026'!$B:$B, "&lt;&gt;Servicios")</f>
        <v>0</v>
      </c>
      <c r="D44" s="27">
        <f>SUMIFS('Detalle Compras Septiembre 2026'!$G:$G, 'Detalle Compras Septiembre 2026'!$A:$A, B44, 'Detalle Compras Septiembre 2026'!$B:$B, "Servicios")</f>
        <v>0</v>
      </c>
      <c r="E44" s="36">
        <f t="shared" si="2"/>
        <v>0</v>
      </c>
      <c r="F44" s="32">
        <f t="shared" si="3"/>
        <v>0</v>
      </c>
      <c r="G44" s="32">
        <f t="shared" si="4"/>
        <v>0</v>
      </c>
      <c r="H44" s="8">
        <f>SUMIFS('Detalle Compras Septiembre 2026'!$G:$G, 'Detalle Compras Septiembre 2026'!$A:$A, B44, 'Detalle Compras Septiembre 2026'!$B:$B, "Carnes")</f>
        <v>0</v>
      </c>
      <c r="I44" s="8">
        <f>SUMIFS('Detalle Compras Septiembre 2026'!$G:$G, 'Detalle Compras Septiembre 2026'!$A:$A, B44, 'Detalle Compras Septiembre 2026'!$B:$B, "Verduras")</f>
        <v>0</v>
      </c>
      <c r="J44" s="8">
        <f>SUMIFS('Detalle Compras Septiembre 2026'!$G:$G, 'Detalle Compras Septiembre 2026'!$A:$A, B44, 'Detalle Compras Septiembre 2026'!$B:$B, "Grano")</f>
        <v>0</v>
      </c>
      <c r="K44" s="8">
        <f>SUMIFS('Detalle Compras Septiembre 2026'!$G:$G, 'Detalle Compras Septiembre 2026'!$A:$A, B44, 'Detalle Compras Septiembre 2026'!$B:$B, "Bebidas")</f>
        <v>0</v>
      </c>
      <c r="L44" s="8">
        <f>SUMIFS('Detalle Compras Septiembre 2026'!$G:$G, 'Detalle Compras Septiembre 2026'!$A:$A, B44, 'Detalle Compras Septiembre 2026'!$B:$B, "Desechables")</f>
        <v>0</v>
      </c>
      <c r="M44" s="8">
        <f>SUMIFS('Detalle Compras Septiembre 2026'!$G:$G, 'Detalle Compras Septiembre 2026'!$A:$A, B44, 'Detalle Compras Septiembre 2026'!$B:$B, "Servicios")</f>
        <v>0</v>
      </c>
      <c r="N44" s="31">
        <f>COUNTIF('Detalle Compras Septiembre 2026'!$A:$A, B44)</f>
        <v>0</v>
      </c>
    </row>
    <row r="45" spans="2:14" ht="18" customHeight="1" x14ac:dyDescent="0.35">
      <c r="B45" s="37">
        <v>18</v>
      </c>
      <c r="C45" s="35">
        <f>SUMIFS('Detalle Compras Septiembre 2026'!$G:$G, 'Detalle Compras Septiembre 2026'!$A:$A, B45, 'Detalle Compras Septiembre 2026'!$B:$B, "&lt;&gt;Servicios")</f>
        <v>0</v>
      </c>
      <c r="D45" s="27">
        <f>SUMIFS('Detalle Compras Septiembre 2026'!$G:$G, 'Detalle Compras Septiembre 2026'!$A:$A, B45, 'Detalle Compras Septiembre 2026'!$B:$B, "Servicios")</f>
        <v>0</v>
      </c>
      <c r="E45" s="36">
        <f t="shared" si="2"/>
        <v>0</v>
      </c>
      <c r="F45" s="29">
        <f t="shared" si="3"/>
        <v>0</v>
      </c>
      <c r="G45" s="29">
        <f t="shared" si="4"/>
        <v>0</v>
      </c>
      <c r="H45" s="22">
        <f>SUMIFS('Detalle Compras Septiembre 2026'!$G:$G, 'Detalle Compras Septiembre 2026'!$A:$A, B45, 'Detalle Compras Septiembre 2026'!$B:$B, "Carnes")</f>
        <v>0</v>
      </c>
      <c r="I45" s="22">
        <f>SUMIFS('Detalle Compras Septiembre 2026'!$G:$G, 'Detalle Compras Septiembre 2026'!$A:$A, B45, 'Detalle Compras Septiembre 2026'!$B:$B, "Verduras")</f>
        <v>0</v>
      </c>
      <c r="J45" s="22">
        <f>SUMIFS('Detalle Compras Septiembre 2026'!$G:$G, 'Detalle Compras Septiembre 2026'!$A:$A, B45, 'Detalle Compras Septiembre 2026'!$B:$B, "Grano")</f>
        <v>0</v>
      </c>
      <c r="K45" s="22">
        <f>SUMIFS('Detalle Compras Septiembre 2026'!$G:$G, 'Detalle Compras Septiembre 2026'!$A:$A, B45, 'Detalle Compras Septiembre 2026'!$B:$B, "Bebidas")</f>
        <v>0</v>
      </c>
      <c r="L45" s="22">
        <f>SUMIFS('Detalle Compras Septiembre 2026'!$G:$G, 'Detalle Compras Septiembre 2026'!$A:$A, B45, 'Detalle Compras Septiembre 2026'!$B:$B, "Desechables")</f>
        <v>0</v>
      </c>
      <c r="M45" s="22">
        <f>SUMIFS('Detalle Compras Septiembre 2026'!$G:$G, 'Detalle Compras Septiembre 2026'!$A:$A, B45, 'Detalle Compras Septiembre 2026'!$B:$B, "Servicios")</f>
        <v>0</v>
      </c>
      <c r="N45" s="19">
        <f>COUNTIF('Detalle Compras Septiembre 2026'!$A:$A, B45)</f>
        <v>0</v>
      </c>
    </row>
    <row r="46" spans="2:14" ht="18" customHeight="1" x14ac:dyDescent="0.35">
      <c r="B46" s="34">
        <v>19</v>
      </c>
      <c r="C46" s="35">
        <f>SUMIFS('Detalle Compras Septiembre 2026'!$G:$G, 'Detalle Compras Septiembre 2026'!$A:$A, B46, 'Detalle Compras Septiembre 2026'!$B:$B, "&lt;&gt;Servicios")</f>
        <v>0</v>
      </c>
      <c r="D46" s="27">
        <f>SUMIFS('Detalle Compras Septiembre 2026'!$G:$G, 'Detalle Compras Septiembre 2026'!$A:$A, B46, 'Detalle Compras Septiembre 2026'!$B:$B, "Servicios")</f>
        <v>0</v>
      </c>
      <c r="E46" s="36">
        <f t="shared" si="2"/>
        <v>0</v>
      </c>
      <c r="F46" s="32">
        <f t="shared" si="3"/>
        <v>0</v>
      </c>
      <c r="G46" s="32">
        <f t="shared" si="4"/>
        <v>0</v>
      </c>
      <c r="H46" s="8">
        <f>SUMIFS('Detalle Compras Septiembre 2026'!$G:$G, 'Detalle Compras Septiembre 2026'!$A:$A, B46, 'Detalle Compras Septiembre 2026'!$B:$B, "Carnes")</f>
        <v>0</v>
      </c>
      <c r="I46" s="8">
        <f>SUMIFS('Detalle Compras Septiembre 2026'!$G:$G, 'Detalle Compras Septiembre 2026'!$A:$A, B46, 'Detalle Compras Septiembre 2026'!$B:$B, "Verduras")</f>
        <v>0</v>
      </c>
      <c r="J46" s="8">
        <f>SUMIFS('Detalle Compras Septiembre 2026'!$G:$G, 'Detalle Compras Septiembre 2026'!$A:$A, B46, 'Detalle Compras Septiembre 2026'!$B:$B, "Grano")</f>
        <v>0</v>
      </c>
      <c r="K46" s="8">
        <f>SUMIFS('Detalle Compras Septiembre 2026'!$G:$G, 'Detalle Compras Septiembre 2026'!$A:$A, B46, 'Detalle Compras Septiembre 2026'!$B:$B, "Bebidas")</f>
        <v>0</v>
      </c>
      <c r="L46" s="8">
        <f>SUMIFS('Detalle Compras Septiembre 2026'!$G:$G, 'Detalle Compras Septiembre 2026'!$A:$A, B46, 'Detalle Compras Septiembre 2026'!$B:$B, "Desechables")</f>
        <v>0</v>
      </c>
      <c r="M46" s="8">
        <f>SUMIFS('Detalle Compras Septiembre 2026'!$G:$G, 'Detalle Compras Septiembre 2026'!$A:$A, B46, 'Detalle Compras Septiembre 2026'!$B:$B, "Servicios")</f>
        <v>0</v>
      </c>
      <c r="N46" s="31">
        <f>COUNTIF('Detalle Compras Septiembre 2026'!$A:$A, B46)</f>
        <v>0</v>
      </c>
    </row>
    <row r="47" spans="2:14" ht="18" customHeight="1" x14ac:dyDescent="0.35">
      <c r="B47" s="37">
        <v>20</v>
      </c>
      <c r="C47" s="35">
        <f>SUMIFS('Detalle Compras Septiembre 2026'!$G:$G, 'Detalle Compras Septiembre 2026'!$A:$A, B47, 'Detalle Compras Septiembre 2026'!$B:$B, "&lt;&gt;Servicios")</f>
        <v>0</v>
      </c>
      <c r="D47" s="27">
        <f>SUMIFS('Detalle Compras Septiembre 2026'!$G:$G, 'Detalle Compras Septiembre 2026'!$A:$A, B47, 'Detalle Compras Septiembre 2026'!$B:$B, "Servicios")</f>
        <v>0</v>
      </c>
      <c r="E47" s="36">
        <f t="shared" si="2"/>
        <v>0</v>
      </c>
      <c r="F47" s="29">
        <f t="shared" si="3"/>
        <v>0</v>
      </c>
      <c r="G47" s="29">
        <f t="shared" si="4"/>
        <v>0</v>
      </c>
      <c r="H47" s="22">
        <f>SUMIFS('Detalle Compras Septiembre 2026'!$G:$G, 'Detalle Compras Septiembre 2026'!$A:$A, B47, 'Detalle Compras Septiembre 2026'!$B:$B, "Carnes")</f>
        <v>0</v>
      </c>
      <c r="I47" s="22">
        <f>SUMIFS('Detalle Compras Septiembre 2026'!$G:$G, 'Detalle Compras Septiembre 2026'!$A:$A, B47, 'Detalle Compras Septiembre 2026'!$B:$B, "Verduras")</f>
        <v>0</v>
      </c>
      <c r="J47" s="22">
        <f>SUMIFS('Detalle Compras Septiembre 2026'!$G:$G, 'Detalle Compras Septiembre 2026'!$A:$A, B47, 'Detalle Compras Septiembre 2026'!$B:$B, "Grano")</f>
        <v>0</v>
      </c>
      <c r="K47" s="22">
        <f>SUMIFS('Detalle Compras Septiembre 2026'!$G:$G, 'Detalle Compras Septiembre 2026'!$A:$A, B47, 'Detalle Compras Septiembre 2026'!$B:$B, "Bebidas")</f>
        <v>0</v>
      </c>
      <c r="L47" s="22">
        <f>SUMIFS('Detalle Compras Septiembre 2026'!$G:$G, 'Detalle Compras Septiembre 2026'!$A:$A, B47, 'Detalle Compras Septiembre 2026'!$B:$B, "Desechables")</f>
        <v>0</v>
      </c>
      <c r="M47" s="22">
        <f>SUMIFS('Detalle Compras Septiembre 2026'!$G:$G, 'Detalle Compras Septiembre 2026'!$A:$A, B47, 'Detalle Compras Septiembre 2026'!$B:$B, "Servicios")</f>
        <v>0</v>
      </c>
      <c r="N47" s="19">
        <f>COUNTIF('Detalle Compras Septiembre 2026'!$A:$A, B47)</f>
        <v>0</v>
      </c>
    </row>
    <row r="48" spans="2:14" ht="18" customHeight="1" x14ac:dyDescent="0.35">
      <c r="B48" s="34">
        <v>21</v>
      </c>
      <c r="C48" s="35">
        <f>SUMIFS('Detalle Compras Septiembre 2026'!$G:$G, 'Detalle Compras Septiembre 2026'!$A:$A, B48, 'Detalle Compras Septiembre 2026'!$B:$B, "&lt;&gt;Servicios")</f>
        <v>0</v>
      </c>
      <c r="D48" s="27">
        <f>SUMIFS('Detalle Compras Septiembre 2026'!$G:$G, 'Detalle Compras Septiembre 2026'!$A:$A, B48, 'Detalle Compras Septiembre 2026'!$B:$B, "Servicios")</f>
        <v>0</v>
      </c>
      <c r="E48" s="36">
        <f t="shared" si="2"/>
        <v>0</v>
      </c>
      <c r="F48" s="32">
        <f t="shared" si="3"/>
        <v>0</v>
      </c>
      <c r="G48" s="32">
        <f t="shared" si="4"/>
        <v>0</v>
      </c>
      <c r="H48" s="8">
        <f>SUMIFS('Detalle Compras Septiembre 2026'!$G:$G, 'Detalle Compras Septiembre 2026'!$A:$A, B48, 'Detalle Compras Septiembre 2026'!$B:$B, "Carnes")</f>
        <v>0</v>
      </c>
      <c r="I48" s="8">
        <f>SUMIFS('Detalle Compras Septiembre 2026'!$G:$G, 'Detalle Compras Septiembre 2026'!$A:$A, B48, 'Detalle Compras Septiembre 2026'!$B:$B, "Verduras")</f>
        <v>0</v>
      </c>
      <c r="J48" s="8">
        <f>SUMIFS('Detalle Compras Septiembre 2026'!$G:$G, 'Detalle Compras Septiembre 2026'!$A:$A, B48, 'Detalle Compras Septiembre 2026'!$B:$B, "Grano")</f>
        <v>0</v>
      </c>
      <c r="K48" s="8">
        <f>SUMIFS('Detalle Compras Septiembre 2026'!$G:$G, 'Detalle Compras Septiembre 2026'!$A:$A, B48, 'Detalle Compras Septiembre 2026'!$B:$B, "Bebidas")</f>
        <v>0</v>
      </c>
      <c r="L48" s="8">
        <f>SUMIFS('Detalle Compras Septiembre 2026'!$G:$G, 'Detalle Compras Septiembre 2026'!$A:$A, B48, 'Detalle Compras Septiembre 2026'!$B:$B, "Desechables")</f>
        <v>0</v>
      </c>
      <c r="M48" s="8">
        <f>SUMIFS('Detalle Compras Septiembre 2026'!$G:$G, 'Detalle Compras Septiembre 2026'!$A:$A, B48, 'Detalle Compras Septiembre 2026'!$B:$B, "Servicios")</f>
        <v>0</v>
      </c>
      <c r="N48" s="31">
        <f>COUNTIF('Detalle Compras Septiembre 2026'!$A:$A, B48)</f>
        <v>0</v>
      </c>
    </row>
    <row r="49" spans="2:14" ht="18" customHeight="1" x14ac:dyDescent="0.35">
      <c r="B49" s="37">
        <v>22</v>
      </c>
      <c r="C49" s="35">
        <f>SUMIFS('Detalle Compras Septiembre 2026'!$G:$G, 'Detalle Compras Septiembre 2026'!$A:$A, B49, 'Detalle Compras Septiembre 2026'!$B:$B, "&lt;&gt;Servicios")</f>
        <v>0</v>
      </c>
      <c r="D49" s="27">
        <f>SUMIFS('Detalle Compras Septiembre 2026'!$G:$G, 'Detalle Compras Septiembre 2026'!$A:$A, B49, 'Detalle Compras Septiembre 2026'!$B:$B, "Servicios")</f>
        <v>0</v>
      </c>
      <c r="E49" s="36">
        <f t="shared" si="2"/>
        <v>0</v>
      </c>
      <c r="F49" s="29">
        <f t="shared" si="3"/>
        <v>0</v>
      </c>
      <c r="G49" s="29">
        <f t="shared" si="4"/>
        <v>0</v>
      </c>
      <c r="H49" s="22">
        <f>SUMIFS('Detalle Compras Septiembre 2026'!$G:$G, 'Detalle Compras Septiembre 2026'!$A:$A, B49, 'Detalle Compras Septiembre 2026'!$B:$B, "Carnes")</f>
        <v>0</v>
      </c>
      <c r="I49" s="22">
        <f>SUMIFS('Detalle Compras Septiembre 2026'!$G:$G, 'Detalle Compras Septiembre 2026'!$A:$A, B49, 'Detalle Compras Septiembre 2026'!$B:$B, "Verduras")</f>
        <v>0</v>
      </c>
      <c r="J49" s="22">
        <f>SUMIFS('Detalle Compras Septiembre 2026'!$G:$G, 'Detalle Compras Septiembre 2026'!$A:$A, B49, 'Detalle Compras Septiembre 2026'!$B:$B, "Grano")</f>
        <v>0</v>
      </c>
      <c r="K49" s="22">
        <f>SUMIFS('Detalle Compras Septiembre 2026'!$G:$G, 'Detalle Compras Septiembre 2026'!$A:$A, B49, 'Detalle Compras Septiembre 2026'!$B:$B, "Bebidas")</f>
        <v>0</v>
      </c>
      <c r="L49" s="22">
        <f>SUMIFS('Detalle Compras Septiembre 2026'!$G:$G, 'Detalle Compras Septiembre 2026'!$A:$A, B49, 'Detalle Compras Septiembre 2026'!$B:$B, "Desechables")</f>
        <v>0</v>
      </c>
      <c r="M49" s="22">
        <f>SUMIFS('Detalle Compras Septiembre 2026'!$G:$G, 'Detalle Compras Septiembre 2026'!$A:$A, B49, 'Detalle Compras Septiembre 2026'!$B:$B, "Servicios")</f>
        <v>0</v>
      </c>
      <c r="N49" s="19">
        <f>COUNTIF('Detalle Compras Septiembre 2026'!$A:$A, B49)</f>
        <v>0</v>
      </c>
    </row>
    <row r="50" spans="2:14" ht="18" customHeight="1" x14ac:dyDescent="0.35">
      <c r="B50" s="34">
        <v>23</v>
      </c>
      <c r="C50" s="35">
        <f>SUMIFS('Detalle Compras Septiembre 2026'!$G:$G, 'Detalle Compras Septiembre 2026'!$A:$A, B50, 'Detalle Compras Septiembre 2026'!$B:$B, "&lt;&gt;Servicios")</f>
        <v>0</v>
      </c>
      <c r="D50" s="27">
        <f>SUMIFS('Detalle Compras Septiembre 2026'!$G:$G, 'Detalle Compras Septiembre 2026'!$A:$A, B50, 'Detalle Compras Septiembre 2026'!$B:$B, "Servicios")</f>
        <v>0</v>
      </c>
      <c r="E50" s="36">
        <f t="shared" si="2"/>
        <v>0</v>
      </c>
      <c r="F50" s="32">
        <f t="shared" si="3"/>
        <v>0</v>
      </c>
      <c r="G50" s="32">
        <f t="shared" si="4"/>
        <v>0</v>
      </c>
      <c r="H50" s="8">
        <f>SUMIFS('Detalle Compras Septiembre 2026'!$G:$G, 'Detalle Compras Septiembre 2026'!$A:$A, B50, 'Detalle Compras Septiembre 2026'!$B:$B, "Carnes")</f>
        <v>0</v>
      </c>
      <c r="I50" s="8">
        <f>SUMIFS('Detalle Compras Septiembre 2026'!$G:$G, 'Detalle Compras Septiembre 2026'!$A:$A, B50, 'Detalle Compras Septiembre 2026'!$B:$B, "Verduras")</f>
        <v>0</v>
      </c>
      <c r="J50" s="8">
        <f>SUMIFS('Detalle Compras Septiembre 2026'!$G:$G, 'Detalle Compras Septiembre 2026'!$A:$A, B50, 'Detalle Compras Septiembre 2026'!$B:$B, "Grano")</f>
        <v>0</v>
      </c>
      <c r="K50" s="8">
        <f>SUMIFS('Detalle Compras Septiembre 2026'!$G:$G, 'Detalle Compras Septiembre 2026'!$A:$A, B50, 'Detalle Compras Septiembre 2026'!$B:$B, "Bebidas")</f>
        <v>0</v>
      </c>
      <c r="L50" s="8">
        <f>SUMIFS('Detalle Compras Septiembre 2026'!$G:$G, 'Detalle Compras Septiembre 2026'!$A:$A, B50, 'Detalle Compras Septiembre 2026'!$B:$B, "Desechables")</f>
        <v>0</v>
      </c>
      <c r="M50" s="8">
        <f>SUMIFS('Detalle Compras Septiembre 2026'!$G:$G, 'Detalle Compras Septiembre 2026'!$A:$A, B50, 'Detalle Compras Septiembre 2026'!$B:$B, "Servicios")</f>
        <v>0</v>
      </c>
      <c r="N50" s="31">
        <f>COUNTIF('Detalle Compras Septiembre 2026'!$A:$A, B50)</f>
        <v>0</v>
      </c>
    </row>
    <row r="51" spans="2:14" ht="18" customHeight="1" x14ac:dyDescent="0.35">
      <c r="B51" s="37">
        <v>24</v>
      </c>
      <c r="C51" s="35">
        <f>SUMIFS('Detalle Compras Septiembre 2026'!$G:$G, 'Detalle Compras Septiembre 2026'!$A:$A, B51, 'Detalle Compras Septiembre 2026'!$B:$B, "&lt;&gt;Servicios")</f>
        <v>0</v>
      </c>
      <c r="D51" s="27">
        <f>SUMIFS('Detalle Compras Septiembre 2026'!$G:$G, 'Detalle Compras Septiembre 2026'!$A:$A, B51, 'Detalle Compras Septiembre 2026'!$B:$B, "Servicios")</f>
        <v>0</v>
      </c>
      <c r="E51" s="36">
        <f t="shared" si="2"/>
        <v>0</v>
      </c>
      <c r="F51" s="29">
        <f t="shared" si="3"/>
        <v>0</v>
      </c>
      <c r="G51" s="29">
        <f t="shared" si="4"/>
        <v>0</v>
      </c>
      <c r="H51" s="22">
        <f>SUMIFS('Detalle Compras Septiembre 2026'!$G:$G, 'Detalle Compras Septiembre 2026'!$A:$A, B51, 'Detalle Compras Septiembre 2026'!$B:$B, "Carnes")</f>
        <v>0</v>
      </c>
      <c r="I51" s="22">
        <f>SUMIFS('Detalle Compras Septiembre 2026'!$G:$G, 'Detalle Compras Septiembre 2026'!$A:$A, B51, 'Detalle Compras Septiembre 2026'!$B:$B, "Verduras")</f>
        <v>0</v>
      </c>
      <c r="J51" s="22">
        <f>SUMIFS('Detalle Compras Septiembre 2026'!$G:$G, 'Detalle Compras Septiembre 2026'!$A:$A, B51, 'Detalle Compras Septiembre 2026'!$B:$B, "Grano")</f>
        <v>0</v>
      </c>
      <c r="K51" s="22">
        <f>SUMIFS('Detalle Compras Septiembre 2026'!$G:$G, 'Detalle Compras Septiembre 2026'!$A:$A, B51, 'Detalle Compras Septiembre 2026'!$B:$B, "Bebidas")</f>
        <v>0</v>
      </c>
      <c r="L51" s="22">
        <f>SUMIFS('Detalle Compras Septiembre 2026'!$G:$G, 'Detalle Compras Septiembre 2026'!$A:$A, B51, 'Detalle Compras Septiembre 2026'!$B:$B, "Desechables")</f>
        <v>0</v>
      </c>
      <c r="M51" s="22">
        <f>SUMIFS('Detalle Compras Septiembre 2026'!$G:$G, 'Detalle Compras Septiembre 2026'!$A:$A, B51, 'Detalle Compras Septiembre 2026'!$B:$B, "Servicios")</f>
        <v>0</v>
      </c>
      <c r="N51" s="19">
        <f>COUNTIF('Detalle Compras Septiembre 2026'!$A:$A, B51)</f>
        <v>0</v>
      </c>
    </row>
    <row r="52" spans="2:14" ht="18" customHeight="1" x14ac:dyDescent="0.35">
      <c r="B52" s="34">
        <v>25</v>
      </c>
      <c r="C52" s="35">
        <f>SUMIFS('Detalle Compras Septiembre 2026'!$G:$G, 'Detalle Compras Septiembre 2026'!$A:$A, B52, 'Detalle Compras Septiembre 2026'!$B:$B, "&lt;&gt;Servicios")</f>
        <v>0</v>
      </c>
      <c r="D52" s="27">
        <f>SUMIFS('Detalle Compras Septiembre 2026'!$G:$G, 'Detalle Compras Septiembre 2026'!$A:$A, B52, 'Detalle Compras Septiembre 2026'!$B:$B, "Servicios")</f>
        <v>0</v>
      </c>
      <c r="E52" s="36">
        <f t="shared" si="2"/>
        <v>0</v>
      </c>
      <c r="F52" s="32">
        <f t="shared" si="3"/>
        <v>0</v>
      </c>
      <c r="G52" s="32">
        <f t="shared" si="4"/>
        <v>0</v>
      </c>
      <c r="H52" s="8">
        <f>SUMIFS('Detalle Compras Septiembre 2026'!$G:$G, 'Detalle Compras Septiembre 2026'!$A:$A, B52, 'Detalle Compras Septiembre 2026'!$B:$B, "Carnes")</f>
        <v>0</v>
      </c>
      <c r="I52" s="8">
        <f>SUMIFS('Detalle Compras Septiembre 2026'!$G:$G, 'Detalle Compras Septiembre 2026'!$A:$A, B52, 'Detalle Compras Septiembre 2026'!$B:$B, "Verduras")</f>
        <v>0</v>
      </c>
      <c r="J52" s="8">
        <f>SUMIFS('Detalle Compras Septiembre 2026'!$G:$G, 'Detalle Compras Septiembre 2026'!$A:$A, B52, 'Detalle Compras Septiembre 2026'!$B:$B, "Grano")</f>
        <v>0</v>
      </c>
      <c r="K52" s="8">
        <f>SUMIFS('Detalle Compras Septiembre 2026'!$G:$G, 'Detalle Compras Septiembre 2026'!$A:$A, B52, 'Detalle Compras Septiembre 2026'!$B:$B, "Bebidas")</f>
        <v>0</v>
      </c>
      <c r="L52" s="8">
        <f>SUMIFS('Detalle Compras Septiembre 2026'!$G:$G, 'Detalle Compras Septiembre 2026'!$A:$A, B52, 'Detalle Compras Septiembre 2026'!$B:$B, "Desechables")</f>
        <v>0</v>
      </c>
      <c r="M52" s="8">
        <f>SUMIFS('Detalle Compras Septiembre 2026'!$G:$G, 'Detalle Compras Septiembre 2026'!$A:$A, B52, 'Detalle Compras Septiembre 2026'!$B:$B, "Servicios")</f>
        <v>0</v>
      </c>
      <c r="N52" s="31">
        <f>COUNTIF('Detalle Compras Septiembre 2026'!$A:$A, B52)</f>
        <v>0</v>
      </c>
    </row>
    <row r="53" spans="2:14" ht="18" customHeight="1" x14ac:dyDescent="0.35">
      <c r="B53" s="37">
        <v>26</v>
      </c>
      <c r="C53" s="35">
        <f>SUMIFS('Detalle Compras Septiembre 2026'!$G:$G, 'Detalle Compras Septiembre 2026'!$A:$A, B53, 'Detalle Compras Septiembre 2026'!$B:$B, "&lt;&gt;Servicios")</f>
        <v>0</v>
      </c>
      <c r="D53" s="27">
        <f>SUMIFS('Detalle Compras Septiembre 2026'!$G:$G, 'Detalle Compras Septiembre 2026'!$A:$A, B53, 'Detalle Compras Septiembre 2026'!$B:$B, "Servicios")</f>
        <v>0</v>
      </c>
      <c r="E53" s="36">
        <f t="shared" si="2"/>
        <v>0</v>
      </c>
      <c r="F53" s="29">
        <f t="shared" si="3"/>
        <v>0</v>
      </c>
      <c r="G53" s="29">
        <f t="shared" si="4"/>
        <v>0</v>
      </c>
      <c r="H53" s="22">
        <f>SUMIFS('Detalle Compras Septiembre 2026'!$G:$G, 'Detalle Compras Septiembre 2026'!$A:$A, B53, 'Detalle Compras Septiembre 2026'!$B:$B, "Carnes")</f>
        <v>0</v>
      </c>
      <c r="I53" s="22">
        <f>SUMIFS('Detalle Compras Septiembre 2026'!$G:$G, 'Detalle Compras Septiembre 2026'!$A:$A, B53, 'Detalle Compras Septiembre 2026'!$B:$B, "Verduras")</f>
        <v>0</v>
      </c>
      <c r="J53" s="22">
        <f>SUMIFS('Detalle Compras Septiembre 2026'!$G:$G, 'Detalle Compras Septiembre 2026'!$A:$A, B53, 'Detalle Compras Septiembre 2026'!$B:$B, "Grano")</f>
        <v>0</v>
      </c>
      <c r="K53" s="22">
        <f>SUMIFS('Detalle Compras Septiembre 2026'!$G:$G, 'Detalle Compras Septiembre 2026'!$A:$A, B53, 'Detalle Compras Septiembre 2026'!$B:$B, "Bebidas")</f>
        <v>0</v>
      </c>
      <c r="L53" s="22">
        <f>SUMIFS('Detalle Compras Septiembre 2026'!$G:$G, 'Detalle Compras Septiembre 2026'!$A:$A, B53, 'Detalle Compras Septiembre 2026'!$B:$B, "Desechables")</f>
        <v>0</v>
      </c>
      <c r="M53" s="22">
        <f>SUMIFS('Detalle Compras Septiembre 2026'!$G:$G, 'Detalle Compras Septiembre 2026'!$A:$A, B53, 'Detalle Compras Septiembre 2026'!$B:$B, "Servicios")</f>
        <v>0</v>
      </c>
      <c r="N53" s="19">
        <f>COUNTIF('Detalle Compras Septiembre 2026'!$A:$A, B53)</f>
        <v>0</v>
      </c>
    </row>
    <row r="54" spans="2:14" ht="18" customHeight="1" x14ac:dyDescent="0.35">
      <c r="B54" s="34">
        <v>27</v>
      </c>
      <c r="C54" s="35">
        <f>SUMIFS('Detalle Compras Septiembre 2026'!$G:$G, 'Detalle Compras Septiembre 2026'!$A:$A, B54, 'Detalle Compras Septiembre 2026'!$B:$B, "&lt;&gt;Servicios")</f>
        <v>0</v>
      </c>
      <c r="D54" s="27">
        <f>SUMIFS('Detalle Compras Septiembre 2026'!$G:$G, 'Detalle Compras Septiembre 2026'!$A:$A, B54, 'Detalle Compras Septiembre 2026'!$B:$B, "Servicios")</f>
        <v>0</v>
      </c>
      <c r="E54" s="36">
        <f t="shared" si="2"/>
        <v>0</v>
      </c>
      <c r="F54" s="32">
        <f t="shared" si="3"/>
        <v>0</v>
      </c>
      <c r="G54" s="32">
        <f t="shared" si="4"/>
        <v>0</v>
      </c>
      <c r="H54" s="8">
        <f>SUMIFS('Detalle Compras Septiembre 2026'!$G:$G, 'Detalle Compras Septiembre 2026'!$A:$A, B54, 'Detalle Compras Septiembre 2026'!$B:$B, "Carnes")</f>
        <v>0</v>
      </c>
      <c r="I54" s="8">
        <f>SUMIFS('Detalle Compras Septiembre 2026'!$G:$G, 'Detalle Compras Septiembre 2026'!$A:$A, B54, 'Detalle Compras Septiembre 2026'!$B:$B, "Verduras")</f>
        <v>0</v>
      </c>
      <c r="J54" s="8">
        <f>SUMIFS('Detalle Compras Septiembre 2026'!$G:$G, 'Detalle Compras Septiembre 2026'!$A:$A, B54, 'Detalle Compras Septiembre 2026'!$B:$B, "Grano")</f>
        <v>0</v>
      </c>
      <c r="K54" s="8">
        <f>SUMIFS('Detalle Compras Septiembre 2026'!$G:$G, 'Detalle Compras Septiembre 2026'!$A:$A, B54, 'Detalle Compras Septiembre 2026'!$B:$B, "Bebidas")</f>
        <v>0</v>
      </c>
      <c r="L54" s="8">
        <f>SUMIFS('Detalle Compras Septiembre 2026'!$G:$G, 'Detalle Compras Septiembre 2026'!$A:$A, B54, 'Detalle Compras Septiembre 2026'!$B:$B, "Desechables")</f>
        <v>0</v>
      </c>
      <c r="M54" s="8">
        <f>SUMIFS('Detalle Compras Septiembre 2026'!$G:$G, 'Detalle Compras Septiembre 2026'!$A:$A, B54, 'Detalle Compras Septiembre 2026'!$B:$B, "Servicios")</f>
        <v>0</v>
      </c>
      <c r="N54" s="31">
        <f>COUNTIF('Detalle Compras Septiembre 2026'!$A:$A, B54)</f>
        <v>0</v>
      </c>
    </row>
    <row r="55" spans="2:14" ht="18" customHeight="1" x14ac:dyDescent="0.35">
      <c r="B55" s="37">
        <v>28</v>
      </c>
      <c r="C55" s="35">
        <f>SUMIFS('Detalle Compras Septiembre 2026'!$G:$G, 'Detalle Compras Septiembre 2026'!$A:$A, B55, 'Detalle Compras Septiembre 2026'!$B:$B, "&lt;&gt;Servicios")</f>
        <v>0</v>
      </c>
      <c r="D55" s="27">
        <f>SUMIFS('Detalle Compras Septiembre 2026'!$G:$G, 'Detalle Compras Septiembre 2026'!$A:$A, B55, 'Detalle Compras Septiembre 2026'!$B:$B, "Servicios")</f>
        <v>0</v>
      </c>
      <c r="E55" s="36">
        <f t="shared" si="2"/>
        <v>0</v>
      </c>
      <c r="F55" s="29">
        <f t="shared" si="3"/>
        <v>0</v>
      </c>
      <c r="G55" s="29">
        <f t="shared" si="4"/>
        <v>0</v>
      </c>
      <c r="H55" s="22">
        <f>SUMIFS('Detalle Compras Septiembre 2026'!$G:$G, 'Detalle Compras Septiembre 2026'!$A:$A, B55, 'Detalle Compras Septiembre 2026'!$B:$B, "Carnes")</f>
        <v>0</v>
      </c>
      <c r="I55" s="22">
        <f>SUMIFS('Detalle Compras Septiembre 2026'!$G:$G, 'Detalle Compras Septiembre 2026'!$A:$A, B55, 'Detalle Compras Septiembre 2026'!$B:$B, "Verduras")</f>
        <v>0</v>
      </c>
      <c r="J55" s="22">
        <f>SUMIFS('Detalle Compras Septiembre 2026'!$G:$G, 'Detalle Compras Septiembre 2026'!$A:$A, B55, 'Detalle Compras Septiembre 2026'!$B:$B, "Grano")</f>
        <v>0</v>
      </c>
      <c r="K55" s="22">
        <f>SUMIFS('Detalle Compras Septiembre 2026'!$G:$G, 'Detalle Compras Septiembre 2026'!$A:$A, B55, 'Detalle Compras Septiembre 2026'!$B:$B, "Bebidas")</f>
        <v>0</v>
      </c>
      <c r="L55" s="22">
        <f>SUMIFS('Detalle Compras Septiembre 2026'!$G:$G, 'Detalle Compras Septiembre 2026'!$A:$A, B55, 'Detalle Compras Septiembre 2026'!$B:$B, "Desechables")</f>
        <v>0</v>
      </c>
      <c r="M55" s="22">
        <f>SUMIFS('Detalle Compras Septiembre 2026'!$G:$G, 'Detalle Compras Septiembre 2026'!$A:$A, B55, 'Detalle Compras Septiembre 2026'!$B:$B, "Servicios")</f>
        <v>0</v>
      </c>
      <c r="N55" s="19">
        <f>COUNTIF('Detalle Compras Septiembre 2026'!$A:$A, B55)</f>
        <v>0</v>
      </c>
    </row>
    <row r="56" spans="2:14" ht="18" customHeight="1" x14ac:dyDescent="0.35">
      <c r="B56" s="34">
        <v>29</v>
      </c>
      <c r="C56" s="35">
        <f>SUMIFS('Detalle Compras Septiembre 2026'!$G:$G, 'Detalle Compras Septiembre 2026'!$A:$A, B56, 'Detalle Compras Septiembre 2026'!$B:$B, "&lt;&gt;Servicios")</f>
        <v>0</v>
      </c>
      <c r="D56" s="27">
        <f>SUMIFS('Detalle Compras Septiembre 2026'!$G:$G, 'Detalle Compras Septiembre 2026'!$A:$A, B56, 'Detalle Compras Septiembre 2026'!$B:$B, "Servicios")</f>
        <v>0</v>
      </c>
      <c r="E56" s="36">
        <f t="shared" si="2"/>
        <v>0</v>
      </c>
      <c r="F56" s="32">
        <f t="shared" si="3"/>
        <v>0</v>
      </c>
      <c r="G56" s="32">
        <f t="shared" si="4"/>
        <v>0</v>
      </c>
      <c r="H56" s="8">
        <f>SUMIFS('Detalle Compras Septiembre 2026'!$G:$G, 'Detalle Compras Septiembre 2026'!$A:$A, B56, 'Detalle Compras Septiembre 2026'!$B:$B, "Carnes")</f>
        <v>0</v>
      </c>
      <c r="I56" s="8">
        <f>SUMIFS('Detalle Compras Septiembre 2026'!$G:$G, 'Detalle Compras Septiembre 2026'!$A:$A, B56, 'Detalle Compras Septiembre 2026'!$B:$B, "Verduras")</f>
        <v>0</v>
      </c>
      <c r="J56" s="8">
        <f>SUMIFS('Detalle Compras Septiembre 2026'!$G:$G, 'Detalle Compras Septiembre 2026'!$A:$A, B56, 'Detalle Compras Septiembre 2026'!$B:$B, "Grano")</f>
        <v>0</v>
      </c>
      <c r="K56" s="8">
        <f>SUMIFS('Detalle Compras Septiembre 2026'!$G:$G, 'Detalle Compras Septiembre 2026'!$A:$A, B56, 'Detalle Compras Septiembre 2026'!$B:$B, "Bebidas")</f>
        <v>0</v>
      </c>
      <c r="L56" s="8">
        <f>SUMIFS('Detalle Compras Septiembre 2026'!$G:$G, 'Detalle Compras Septiembre 2026'!$A:$A, B56, 'Detalle Compras Septiembre 2026'!$B:$B, "Desechables")</f>
        <v>0</v>
      </c>
      <c r="M56" s="8">
        <f>SUMIFS('Detalle Compras Septiembre 2026'!$G:$G, 'Detalle Compras Septiembre 2026'!$A:$A, B56, 'Detalle Compras Septiembre 2026'!$B:$B, "Servicios")</f>
        <v>0</v>
      </c>
      <c r="N56" s="31">
        <f>COUNTIF('Detalle Compras Septiembre 2026'!$A:$A, B56)</f>
        <v>0</v>
      </c>
    </row>
    <row r="57" spans="2:14" ht="18" customHeight="1" x14ac:dyDescent="0.35">
      <c r="B57" s="37">
        <v>30</v>
      </c>
      <c r="C57" s="35">
        <f>SUMIFS('Detalle Compras Septiembre 2026'!$G:$G, 'Detalle Compras Septiembre 2026'!$A:$A, B57, 'Detalle Compras Septiembre 2026'!$B:$B, "&lt;&gt;Servicios")</f>
        <v>0</v>
      </c>
      <c r="D57" s="27">
        <f>SUMIFS('Detalle Compras Septiembre 2026'!$G:$G, 'Detalle Compras Septiembre 2026'!$A:$A, B57, 'Detalle Compras Septiembre 2026'!$B:$B, "Servicios")</f>
        <v>0</v>
      </c>
      <c r="E57" s="36">
        <f t="shared" si="2"/>
        <v>0</v>
      </c>
      <c r="F57" s="29">
        <f t="shared" si="3"/>
        <v>0</v>
      </c>
      <c r="G57" s="29">
        <f t="shared" si="4"/>
        <v>0</v>
      </c>
      <c r="H57" s="22">
        <f>SUMIFS('Detalle Compras Septiembre 2026'!$G:$G, 'Detalle Compras Septiembre 2026'!$A:$A, B57, 'Detalle Compras Septiembre 2026'!$B:$B, "Carnes")</f>
        <v>0</v>
      </c>
      <c r="I57" s="22">
        <f>SUMIFS('Detalle Compras Septiembre 2026'!$G:$G, 'Detalle Compras Septiembre 2026'!$A:$A, B57, 'Detalle Compras Septiembre 2026'!$B:$B, "Verduras")</f>
        <v>0</v>
      </c>
      <c r="J57" s="22">
        <f>SUMIFS('Detalle Compras Septiembre 2026'!$G:$G, 'Detalle Compras Septiembre 2026'!$A:$A, B57, 'Detalle Compras Septiembre 2026'!$B:$B, "Grano")</f>
        <v>0</v>
      </c>
      <c r="K57" s="22">
        <f>SUMIFS('Detalle Compras Septiembre 2026'!$G:$G, 'Detalle Compras Septiembre 2026'!$A:$A, B57, 'Detalle Compras Septiembre 2026'!$B:$B, "Bebidas")</f>
        <v>0</v>
      </c>
      <c r="L57" s="22">
        <f>SUMIFS('Detalle Compras Septiembre 2026'!$G:$G, 'Detalle Compras Septiembre 2026'!$A:$A, B57, 'Detalle Compras Septiembre 2026'!$B:$B, "Desechables")</f>
        <v>0</v>
      </c>
      <c r="M57" s="22">
        <f>SUMIFS('Detalle Compras Septiembre 2026'!$G:$G, 'Detalle Compras Septiembre 2026'!$A:$A, B57, 'Detalle Compras Septiembre 2026'!$B:$B, "Servicios")</f>
        <v>0</v>
      </c>
      <c r="N57" s="19">
        <f>COUNTIF('Detalle Compras Septiembre 2026'!$A:$A, B57)</f>
        <v>0</v>
      </c>
    </row>
    <row r="58" spans="2:14" ht="18" customHeight="1" x14ac:dyDescent="0.35">
      <c r="B58" s="34" t="s">
        <v>47</v>
      </c>
      <c r="C58" s="35">
        <f>SUM(C28:C57)</f>
        <v>19415602</v>
      </c>
      <c r="D58" s="27">
        <f>SUM(D28:D57)</f>
        <v>111000</v>
      </c>
      <c r="E58" s="36">
        <f>SUM(E28:E57)</f>
        <v>19526602</v>
      </c>
      <c r="F58" s="32">
        <f t="shared" si="3"/>
        <v>0.99431544720376852</v>
      </c>
      <c r="G58" s="32">
        <f t="shared" si="4"/>
        <v>5.6845527962315207E-3</v>
      </c>
      <c r="H58" s="8">
        <f t="shared" ref="H58:N58" si="5">SUM(H28:H57)</f>
        <v>16169787</v>
      </c>
      <c r="I58" s="8">
        <f t="shared" si="5"/>
        <v>525000</v>
      </c>
      <c r="J58" s="8">
        <f t="shared" si="5"/>
        <v>1103615</v>
      </c>
      <c r="K58" s="8">
        <f t="shared" si="5"/>
        <v>1544400</v>
      </c>
      <c r="L58" s="8">
        <f t="shared" si="5"/>
        <v>72800</v>
      </c>
      <c r="M58" s="8">
        <f t="shared" si="5"/>
        <v>111000</v>
      </c>
      <c r="N58" s="31">
        <f t="shared" si="5"/>
        <v>63</v>
      </c>
    </row>
    <row r="59" spans="2:14" ht="20" customHeight="1" x14ac:dyDescent="0.35">
      <c r="B59" s="14" t="s">
        <v>48</v>
      </c>
      <c r="C59" s="38">
        <f>IF(COUNTIF($E$28:$E$57,"&gt;0")&gt;0, C58/COUNTIF($E$28:$E$57,"&gt;0"), 0)</f>
        <v>3235933.6666666665</v>
      </c>
      <c r="D59" s="39">
        <f>IF(COUNTIF($E$28:$E$57,"&gt;0")&gt;0, D58/COUNTIF($E$28:$E$57,"&gt;0"), 0)</f>
        <v>18500</v>
      </c>
      <c r="E59" s="15">
        <f>IF(COUNTIF($E$28:$E$57,"&gt;0")&gt;0, E58/COUNTIF($E$28:$E$57,"&gt;0"), 0)</f>
        <v>3254433.6666666665</v>
      </c>
      <c r="F59" s="40">
        <f t="shared" si="3"/>
        <v>0.99431544720376852</v>
      </c>
      <c r="G59" s="41">
        <f t="shared" si="4"/>
        <v>5.6845527962315207E-3</v>
      </c>
      <c r="H59" s="15">
        <f t="shared" ref="H59:N59" si="6">IF(COUNTIF($E$28:$E$57,"&gt;0")&gt;0, H58/COUNTIF($E$28:$E$57,"&gt;0"), 0)</f>
        <v>2694964.5</v>
      </c>
      <c r="I59" s="15">
        <f t="shared" si="6"/>
        <v>87500</v>
      </c>
      <c r="J59" s="15">
        <f t="shared" si="6"/>
        <v>183935.83333333334</v>
      </c>
      <c r="K59" s="15">
        <f t="shared" si="6"/>
        <v>257400</v>
      </c>
      <c r="L59" s="15">
        <f t="shared" si="6"/>
        <v>12133.333333333334</v>
      </c>
      <c r="M59" s="15">
        <f t="shared" si="6"/>
        <v>18500</v>
      </c>
      <c r="N59" s="14">
        <f t="shared" si="6"/>
        <v>10.5</v>
      </c>
    </row>
    <row r="60" spans="2:14" ht="18" customHeight="1" x14ac:dyDescent="0.35">
      <c r="B60" s="42" t="s">
        <v>49</v>
      </c>
      <c r="C60" s="36">
        <f>MAX(C28:C57)</f>
        <v>7583980</v>
      </c>
      <c r="D60" s="36">
        <f>MAX(D28:D57)</f>
        <v>34000</v>
      </c>
      <c r="E60" s="36">
        <f>MAX(E28:E57)</f>
        <v>7612980</v>
      </c>
      <c r="F60" s="43" t="s">
        <v>50</v>
      </c>
      <c r="G60" s="43" t="s">
        <v>50</v>
      </c>
      <c r="H60" s="44">
        <f t="shared" ref="H60:N60" si="7">MAX(H28:H57)</f>
        <v>7349980</v>
      </c>
      <c r="I60" s="44">
        <f t="shared" si="7"/>
        <v>234000</v>
      </c>
      <c r="J60" s="44">
        <f t="shared" si="7"/>
        <v>738000</v>
      </c>
      <c r="K60" s="44">
        <f t="shared" si="7"/>
        <v>970600</v>
      </c>
      <c r="L60" s="44">
        <f t="shared" si="7"/>
        <v>72800</v>
      </c>
      <c r="M60" s="44">
        <f t="shared" si="7"/>
        <v>34000</v>
      </c>
      <c r="N60" s="45">
        <f t="shared" si="7"/>
        <v>19</v>
      </c>
    </row>
    <row r="61" spans="2:14" ht="18" customHeight="1" x14ac:dyDescent="0.35">
      <c r="B61" s="46" t="s">
        <v>51</v>
      </c>
      <c r="C61" s="47">
        <f>MIN(C28:C57)</f>
        <v>0</v>
      </c>
      <c r="D61" s="47">
        <f>MIN(D28:D57)</f>
        <v>0</v>
      </c>
      <c r="E61" s="47">
        <f>MIN(E28:E57)</f>
        <v>0</v>
      </c>
      <c r="F61" s="48" t="s">
        <v>50</v>
      </c>
      <c r="G61" s="48" t="s">
        <v>50</v>
      </c>
      <c r="H61" s="49">
        <f t="shared" ref="H61:N61" si="8">MIN(H28:H57)</f>
        <v>0</v>
      </c>
      <c r="I61" s="49">
        <f t="shared" si="8"/>
        <v>0</v>
      </c>
      <c r="J61" s="49">
        <f t="shared" si="8"/>
        <v>0</v>
      </c>
      <c r="K61" s="49">
        <f t="shared" si="8"/>
        <v>0</v>
      </c>
      <c r="L61" s="49">
        <f t="shared" si="8"/>
        <v>0</v>
      </c>
      <c r="M61" s="49">
        <f t="shared" si="8"/>
        <v>0</v>
      </c>
      <c r="N61" s="50">
        <f t="shared" si="8"/>
        <v>0</v>
      </c>
    </row>
    <row r="62" spans="2:14" ht="18" customHeight="1" x14ac:dyDescent="0.35">
      <c r="B62" s="46"/>
      <c r="C62" s="49"/>
      <c r="D62" s="49"/>
      <c r="E62" s="49"/>
      <c r="F62" s="48"/>
      <c r="G62" s="48"/>
      <c r="H62" s="49"/>
      <c r="I62" s="49"/>
      <c r="J62" s="49"/>
      <c r="K62" s="49"/>
      <c r="L62" s="49"/>
      <c r="M62" s="49"/>
      <c r="N62" s="50"/>
    </row>
    <row r="66" spans="2:14" ht="10" customHeight="1" x14ac:dyDescent="0.35"/>
    <row r="67" spans="2:14" x14ac:dyDescent="0.35">
      <c r="B67" s="102" t="s">
        <v>52</v>
      </c>
      <c r="C67" s="103"/>
      <c r="D67" s="103"/>
      <c r="E67" s="103"/>
      <c r="F67" s="103"/>
      <c r="G67" s="103"/>
      <c r="I67" s="102" t="s">
        <v>53</v>
      </c>
      <c r="J67" s="103"/>
      <c r="K67" s="103"/>
      <c r="L67" s="103"/>
      <c r="M67" s="103"/>
      <c r="N67" s="103"/>
    </row>
    <row r="68" spans="2:14" x14ac:dyDescent="0.35">
      <c r="B68" s="2" t="s">
        <v>54</v>
      </c>
      <c r="C68" s="1" t="s">
        <v>55</v>
      </c>
      <c r="D68" s="2" t="s">
        <v>21</v>
      </c>
      <c r="E68" s="2">
        <f>COUNTIF('Detalle Compras Septiembre 2026'!$C:$C, C68)</f>
        <v>0</v>
      </c>
      <c r="F68" s="2">
        <f>SUMIFS('Detalle Compras Septiembre 2026'!$G:$G, 'Detalle Compras Septiembre 2026'!$C:$C, C68)</f>
        <v>0</v>
      </c>
      <c r="G68" s="2">
        <f t="shared" ref="G68:G78" si="9">IF($C$58&gt;0, F68/$C$58, 0)</f>
        <v>0</v>
      </c>
      <c r="I68" s="2" t="s">
        <v>54</v>
      </c>
      <c r="J68" s="1" t="s">
        <v>56</v>
      </c>
      <c r="K68" s="2" t="s">
        <v>21</v>
      </c>
      <c r="L68" s="2">
        <f>COUNTIF('Detalle Compras Septiembre 2026'!$C:$C, J68)</f>
        <v>0</v>
      </c>
      <c r="M68" s="2">
        <f>SUMIFS('Detalle Compras Septiembre 2026'!$G:$G, 'Detalle Compras Septiembre 2026'!$C:$C, J68)</f>
        <v>0</v>
      </c>
      <c r="N68" s="2">
        <f t="shared" ref="N68:N78" si="10">IF($D$58&gt;0, M68/$D$58, 0)</f>
        <v>0</v>
      </c>
    </row>
    <row r="69" spans="2:14" ht="18" customHeight="1" x14ac:dyDescent="0.35">
      <c r="B69" s="51">
        <v>1</v>
      </c>
      <c r="C69" s="52" t="s">
        <v>57</v>
      </c>
      <c r="D69" s="51" t="s">
        <v>24</v>
      </c>
      <c r="E69" s="31">
        <f>COUNTIF('Detalle Compras Septiembre 2026'!$C:$C, C69)</f>
        <v>1</v>
      </c>
      <c r="F69" s="8">
        <f>SUMIFS('Detalle Compras Septiembre 2026'!$G:$G, 'Detalle Compras Septiembre 2026'!$C:$C, C69)</f>
        <v>3304710</v>
      </c>
      <c r="G69" s="32">
        <f t="shared" si="9"/>
        <v>0.17020898965687492</v>
      </c>
      <c r="I69" s="51">
        <v>1</v>
      </c>
      <c r="J69" s="52" t="s">
        <v>58</v>
      </c>
      <c r="K69" s="51" t="s">
        <v>26</v>
      </c>
      <c r="L69" s="31">
        <f>COUNTIF('Detalle Compras Septiembre 2026'!$C:$C, J69)</f>
        <v>0</v>
      </c>
      <c r="M69" s="8">
        <f>SUMIFS('Detalle Compras Septiembre 2026'!$G:$G, 'Detalle Compras Septiembre 2026'!$C:$C, J69)</f>
        <v>0</v>
      </c>
      <c r="N69" s="32">
        <f t="shared" si="10"/>
        <v>0</v>
      </c>
    </row>
    <row r="70" spans="2:14" ht="18" customHeight="1" x14ac:dyDescent="0.35">
      <c r="B70" s="53">
        <v>2</v>
      </c>
      <c r="C70" s="54" t="s">
        <v>59</v>
      </c>
      <c r="D70" s="53" t="s">
        <v>24</v>
      </c>
      <c r="E70" s="19">
        <f>COUNTIF('Detalle Compras Septiembre 2026'!$C:$C, C70)</f>
        <v>1</v>
      </c>
      <c r="F70" s="22">
        <f>SUMIFS('Detalle Compras Septiembre 2026'!$G:$G, 'Detalle Compras Septiembre 2026'!$C:$C, C70)</f>
        <v>1978665</v>
      </c>
      <c r="G70" s="29">
        <f t="shared" si="9"/>
        <v>0.10191108161364247</v>
      </c>
      <c r="I70" s="53">
        <v>2</v>
      </c>
      <c r="J70" s="54" t="s">
        <v>60</v>
      </c>
      <c r="K70" s="53" t="s">
        <v>26</v>
      </c>
      <c r="L70" s="19">
        <f>COUNTIF('Detalle Compras Septiembre 2026'!$C:$C, J70)</f>
        <v>0</v>
      </c>
      <c r="M70" s="22">
        <f>SUMIFS('Detalle Compras Septiembre 2026'!$G:$G, 'Detalle Compras Septiembre 2026'!$C:$C, J70)</f>
        <v>0</v>
      </c>
      <c r="N70" s="29">
        <f t="shared" si="10"/>
        <v>0</v>
      </c>
    </row>
    <row r="71" spans="2:14" ht="18" customHeight="1" x14ac:dyDescent="0.35">
      <c r="B71" s="51">
        <v>3</v>
      </c>
      <c r="C71" s="52" t="s">
        <v>61</v>
      </c>
      <c r="D71" s="51" t="s">
        <v>24</v>
      </c>
      <c r="E71" s="31">
        <f>COUNTIF('Detalle Compras Septiembre 2026'!$C:$C, C71)</f>
        <v>1</v>
      </c>
      <c r="F71" s="8">
        <f>SUMIFS('Detalle Compras Septiembre 2026'!$G:$G, 'Detalle Compras Septiembre 2026'!$C:$C, C71)</f>
        <v>792000</v>
      </c>
      <c r="G71" s="32">
        <f t="shared" si="9"/>
        <v>4.079193629947709E-2</v>
      </c>
      <c r="I71" s="51">
        <v>3</v>
      </c>
      <c r="J71" s="52" t="s">
        <v>62</v>
      </c>
      <c r="K71" s="51" t="s">
        <v>26</v>
      </c>
      <c r="L71" s="31">
        <f>COUNTIF('Detalle Compras Septiembre 2026'!$C:$C, J71)</f>
        <v>0</v>
      </c>
      <c r="M71" s="8">
        <f>SUMIFS('Detalle Compras Septiembre 2026'!$G:$G, 'Detalle Compras Septiembre 2026'!$C:$C, J71)</f>
        <v>0</v>
      </c>
      <c r="N71" s="32">
        <f t="shared" si="10"/>
        <v>0</v>
      </c>
    </row>
    <row r="72" spans="2:14" ht="18" customHeight="1" x14ac:dyDescent="0.35">
      <c r="B72" s="53">
        <v>4</v>
      </c>
      <c r="C72" s="54" t="s">
        <v>63</v>
      </c>
      <c r="D72" s="53" t="s">
        <v>24</v>
      </c>
      <c r="E72" s="19">
        <f>COUNTIF('Detalle Compras Septiembre 2026'!$C:$C, C72)</f>
        <v>3</v>
      </c>
      <c r="F72" s="22">
        <f>SUMIFS('Detalle Compras Septiembre 2026'!$G:$G, 'Detalle Compras Septiembre 2026'!$C:$C, C72)</f>
        <v>1827245</v>
      </c>
      <c r="G72" s="29">
        <f t="shared" si="9"/>
        <v>9.4112199044871239E-2</v>
      </c>
      <c r="I72" s="53">
        <v>4</v>
      </c>
      <c r="J72" s="54" t="s">
        <v>64</v>
      </c>
      <c r="K72" s="53" t="s">
        <v>26</v>
      </c>
      <c r="L72" s="19">
        <f>COUNTIF('Detalle Compras Septiembre 2026'!$C:$C, J72)</f>
        <v>0</v>
      </c>
      <c r="M72" s="22">
        <f>SUMIFS('Detalle Compras Septiembre 2026'!$G:$G, 'Detalle Compras Septiembre 2026'!$C:$C, J72)</f>
        <v>0</v>
      </c>
      <c r="N72" s="29">
        <f t="shared" si="10"/>
        <v>0</v>
      </c>
    </row>
    <row r="73" spans="2:14" ht="18" customHeight="1" x14ac:dyDescent="0.35">
      <c r="B73" s="51">
        <v>5</v>
      </c>
      <c r="C73" s="52" t="s">
        <v>65</v>
      </c>
      <c r="D73" s="51" t="s">
        <v>24</v>
      </c>
      <c r="E73" s="31">
        <f>COUNTIF('Detalle Compras Septiembre 2026'!$C:$C, C73)</f>
        <v>1</v>
      </c>
      <c r="F73" s="8">
        <f>SUMIFS('Detalle Compras Septiembre 2026'!$G:$G, 'Detalle Compras Septiembre 2026'!$C:$C, C73)</f>
        <v>426140</v>
      </c>
      <c r="G73" s="32">
        <f t="shared" si="9"/>
        <v>2.1948327947801979E-2</v>
      </c>
      <c r="I73" s="51">
        <v>5</v>
      </c>
      <c r="J73" s="52" t="s">
        <v>66</v>
      </c>
      <c r="K73" s="51" t="s">
        <v>26</v>
      </c>
      <c r="L73" s="31">
        <f>COUNTIF('Detalle Compras Septiembre 2026'!$C:$C, J73)</f>
        <v>0</v>
      </c>
      <c r="M73" s="8">
        <f>SUMIFS('Detalle Compras Septiembre 2026'!$G:$G, 'Detalle Compras Septiembre 2026'!$C:$C, J73)</f>
        <v>0</v>
      </c>
      <c r="N73" s="32">
        <f t="shared" si="10"/>
        <v>0</v>
      </c>
    </row>
    <row r="74" spans="2:14" ht="18" customHeight="1" x14ac:dyDescent="0.35">
      <c r="B74" s="53">
        <v>6</v>
      </c>
      <c r="C74" s="54" t="s">
        <v>67</v>
      </c>
      <c r="D74" s="53" t="s">
        <v>24</v>
      </c>
      <c r="E74" s="19">
        <f>COUNTIF('Detalle Compras Septiembre 2026'!$C:$C, C74)</f>
        <v>1</v>
      </c>
      <c r="F74" s="22">
        <f>SUMIFS('Detalle Compras Septiembre 2026'!$G:$G, 'Detalle Compras Septiembre 2026'!$C:$C, C74)</f>
        <v>516750</v>
      </c>
      <c r="G74" s="29">
        <f t="shared" si="9"/>
        <v>2.661519328630655E-2</v>
      </c>
      <c r="I74" s="53">
        <v>6</v>
      </c>
      <c r="J74" s="54" t="s">
        <v>68</v>
      </c>
      <c r="K74" s="53" t="s">
        <v>26</v>
      </c>
      <c r="L74" s="19">
        <f>COUNTIF('Detalle Compras Septiembre 2026'!$C:$C, J74)</f>
        <v>0</v>
      </c>
      <c r="M74" s="22">
        <f>SUMIFS('Detalle Compras Septiembre 2026'!$G:$G, 'Detalle Compras Septiembre 2026'!$C:$C, J74)</f>
        <v>0</v>
      </c>
      <c r="N74" s="29">
        <f t="shared" si="10"/>
        <v>0</v>
      </c>
    </row>
    <row r="75" spans="2:14" ht="18" customHeight="1" x14ac:dyDescent="0.35">
      <c r="B75" s="51">
        <v>7</v>
      </c>
      <c r="C75" s="52" t="s">
        <v>69</v>
      </c>
      <c r="D75" s="51" t="s">
        <v>24</v>
      </c>
      <c r="E75" s="31">
        <f>COUNTIF('Detalle Compras Septiembre 2026'!$C:$C, C75)</f>
        <v>3</v>
      </c>
      <c r="F75" s="8">
        <f>SUMIFS('Detalle Compras Septiembre 2026'!$G:$G, 'Detalle Compras Septiembre 2026'!$C:$C, C75)</f>
        <v>1658243</v>
      </c>
      <c r="G75" s="32">
        <f t="shared" si="9"/>
        <v>8.5407756092239634E-2</v>
      </c>
      <c r="I75" s="51">
        <v>7</v>
      </c>
      <c r="J75" s="52" t="s">
        <v>70</v>
      </c>
      <c r="K75" s="51" t="s">
        <v>26</v>
      </c>
      <c r="L75" s="31">
        <f>COUNTIF('Detalle Compras Septiembre 2026'!$C:$C, J75)</f>
        <v>0</v>
      </c>
      <c r="M75" s="8">
        <f>SUMIFS('Detalle Compras Septiembre 2026'!$G:$G, 'Detalle Compras Septiembre 2026'!$C:$C, J75)</f>
        <v>0</v>
      </c>
      <c r="N75" s="32">
        <f t="shared" si="10"/>
        <v>0</v>
      </c>
    </row>
    <row r="76" spans="2:14" ht="18" customHeight="1" x14ac:dyDescent="0.35">
      <c r="B76" s="53">
        <v>8</v>
      </c>
      <c r="C76" s="54" t="s">
        <v>71</v>
      </c>
      <c r="D76" s="53" t="s">
        <v>24</v>
      </c>
      <c r="E76" s="19">
        <f>COUNTIF('Detalle Compras Septiembre 2026'!$C:$C, C76)</f>
        <v>1</v>
      </c>
      <c r="F76" s="22">
        <f>SUMIFS('Detalle Compras Septiembre 2026'!$G:$G, 'Detalle Compras Septiembre 2026'!$C:$C, C76)</f>
        <v>905100</v>
      </c>
      <c r="G76" s="29">
        <f t="shared" si="9"/>
        <v>4.6617148414970597E-2</v>
      </c>
      <c r="I76" s="53">
        <v>8</v>
      </c>
      <c r="J76" s="54" t="s">
        <v>72</v>
      </c>
      <c r="K76" s="53" t="s">
        <v>26</v>
      </c>
      <c r="L76" s="19">
        <f>COUNTIF('Detalle Compras Septiembre 2026'!$C:$C, J76)</f>
        <v>0</v>
      </c>
      <c r="M76" s="22">
        <f>SUMIFS('Detalle Compras Septiembre 2026'!$G:$G, 'Detalle Compras Septiembre 2026'!$C:$C, J76)</f>
        <v>0</v>
      </c>
      <c r="N76" s="29">
        <f t="shared" si="10"/>
        <v>0</v>
      </c>
    </row>
    <row r="77" spans="2:14" ht="18" customHeight="1" x14ac:dyDescent="0.35">
      <c r="B77" s="51">
        <v>9</v>
      </c>
      <c r="C77" s="52" t="s">
        <v>73</v>
      </c>
      <c r="D77" s="51" t="s">
        <v>24</v>
      </c>
      <c r="E77" s="31">
        <f>COUNTIF('Detalle Compras Septiembre 2026'!$C:$C, C77)</f>
        <v>0</v>
      </c>
      <c r="F77" s="8">
        <f>SUMIFS('Detalle Compras Septiembre 2026'!$G:$G, 'Detalle Compras Septiembre 2026'!$C:$C, C77)</f>
        <v>0</v>
      </c>
      <c r="G77" s="32">
        <f t="shared" si="9"/>
        <v>0</v>
      </c>
      <c r="I77" s="51">
        <v>9</v>
      </c>
      <c r="J77" s="52" t="s">
        <v>74</v>
      </c>
      <c r="K77" s="51" t="s">
        <v>26</v>
      </c>
      <c r="L77" s="31">
        <f>COUNTIF('Detalle Compras Septiembre 2026'!$C:$C, J77)</f>
        <v>0</v>
      </c>
      <c r="M77" s="8">
        <f>SUMIFS('Detalle Compras Septiembre 2026'!$G:$G, 'Detalle Compras Septiembre 2026'!$C:$C, J77)</f>
        <v>0</v>
      </c>
      <c r="N77" s="32">
        <f t="shared" si="10"/>
        <v>0</v>
      </c>
    </row>
    <row r="78" spans="2:14" ht="18" customHeight="1" x14ac:dyDescent="0.35">
      <c r="B78" s="53">
        <v>10</v>
      </c>
      <c r="C78" s="54" t="s">
        <v>75</v>
      </c>
      <c r="D78" s="53" t="s">
        <v>24</v>
      </c>
      <c r="E78" s="19">
        <f>COUNTIF('Detalle Compras Septiembre 2026'!$C:$C, C78)</f>
        <v>1</v>
      </c>
      <c r="F78" s="22">
        <f>SUMIFS('Detalle Compras Septiembre 2026'!$G:$G, 'Detalle Compras Septiembre 2026'!$C:$C, C78)</f>
        <v>579474</v>
      </c>
      <c r="G78" s="29">
        <f t="shared" si="9"/>
        <v>2.9845791029296954E-2</v>
      </c>
      <c r="I78" s="53">
        <v>10</v>
      </c>
      <c r="J78" s="54" t="s">
        <v>76</v>
      </c>
      <c r="K78" s="53" t="s">
        <v>26</v>
      </c>
      <c r="L78" s="19">
        <f>COUNTIF('Detalle Compras Septiembre 2026'!$C:$C, J78)</f>
        <v>0</v>
      </c>
      <c r="M78" s="22">
        <f>SUMIFS('Detalle Compras Septiembre 2026'!$G:$G, 'Detalle Compras Septiembre 2026'!$C:$C, J78)</f>
        <v>0</v>
      </c>
      <c r="N78" s="29">
        <f t="shared" si="10"/>
        <v>0</v>
      </c>
    </row>
  </sheetData>
  <mergeCells count="19">
    <mergeCell ref="B2:N2"/>
    <mergeCell ref="E5:G5"/>
    <mergeCell ref="H6:J6"/>
    <mergeCell ref="B3:N3"/>
    <mergeCell ref="E7:G7"/>
    <mergeCell ref="B6:D6"/>
    <mergeCell ref="K5:N5"/>
    <mergeCell ref="B15:G15"/>
    <mergeCell ref="B5:D5"/>
    <mergeCell ref="H5:J5"/>
    <mergeCell ref="B7:D7"/>
    <mergeCell ref="B67:G67"/>
    <mergeCell ref="K7:N7"/>
    <mergeCell ref="H7:J7"/>
    <mergeCell ref="E6:G6"/>
    <mergeCell ref="K6:N6"/>
    <mergeCell ref="I67:N67"/>
    <mergeCell ref="B26:N26"/>
    <mergeCell ref="B9:G9"/>
  </mergeCells>
  <pageMargins left="0.2" right="0.2" top="0.2" bottom="0.2" header="0.3" footer="0.3"/>
  <pageSetup paperSize="9" scale="82" fitToHeight="2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42"/>
  <sheetViews>
    <sheetView tabSelected="1" workbookViewId="0">
      <selection activeCell="J2" sqref="J2"/>
    </sheetView>
  </sheetViews>
  <sheetFormatPr baseColWidth="10" defaultColWidth="8.7265625" defaultRowHeight="14.5" x14ac:dyDescent="0.35"/>
  <cols>
    <col min="1" max="1" width="4" customWidth="1"/>
    <col min="2" max="2" width="8" customWidth="1"/>
    <col min="3" max="3" width="18" customWidth="1"/>
    <col min="4" max="5" width="16" customWidth="1"/>
    <col min="6" max="6" width="14.08984375" bestFit="1" customWidth="1"/>
    <col min="7" max="7" width="13" customWidth="1"/>
    <col min="8" max="8" width="18" customWidth="1"/>
    <col min="9" max="9" width="6" customWidth="1"/>
    <col min="10" max="10" width="26" customWidth="1"/>
    <col min="11" max="11" width="18" customWidth="1"/>
    <col min="12" max="12" width="15" customWidth="1"/>
    <col min="13" max="13" width="18" customWidth="1"/>
    <col min="14" max="14" width="16" customWidth="1"/>
    <col min="15" max="15" width="14" customWidth="1"/>
    <col min="16" max="16" width="13" customWidth="1"/>
  </cols>
  <sheetData>
    <row r="2" spans="2:16" ht="28" customHeight="1" x14ac:dyDescent="0.35">
      <c r="B2" s="124" t="s">
        <v>77</v>
      </c>
      <c r="C2" s="103"/>
      <c r="D2" s="103"/>
      <c r="E2" s="103"/>
      <c r="F2" s="103"/>
      <c r="G2" s="103"/>
      <c r="H2" s="103"/>
    </row>
    <row r="3" spans="2:16" ht="18" customHeight="1" x14ac:dyDescent="0.35">
      <c r="B3" s="125" t="s">
        <v>78</v>
      </c>
      <c r="C3" s="103"/>
      <c r="D3" s="103"/>
      <c r="E3" s="103"/>
      <c r="F3" s="103"/>
      <c r="G3" s="103"/>
      <c r="H3" s="103"/>
    </row>
    <row r="5" spans="2:16" ht="18" customHeight="1" x14ac:dyDescent="0.35">
      <c r="B5" s="122" t="s">
        <v>79</v>
      </c>
      <c r="C5" s="118"/>
      <c r="D5" s="122" t="s">
        <v>80</v>
      </c>
      <c r="E5" s="118"/>
      <c r="F5" s="61" t="s">
        <v>81</v>
      </c>
      <c r="G5" s="61" t="s">
        <v>82</v>
      </c>
      <c r="H5" s="61" t="s">
        <v>83</v>
      </c>
    </row>
    <row r="6" spans="2:16" ht="24" customHeight="1" x14ac:dyDescent="0.35">
      <c r="B6" s="119">
        <f>SUMIFS('Detalle Compras Septiembre 2026'!$G:$G, 'Detalle Compras Septiembre 2026'!$B:$B, "Carnes")</f>
        <v>16169787</v>
      </c>
      <c r="C6" s="118"/>
      <c r="D6" s="117">
        <f>SUMIFS('Detalle Compras Septiembre 2026'!$E:$E, 'Detalle Compras Septiembre 2026'!$B:$B, "Carnes")</f>
        <v>654.35699999999997</v>
      </c>
      <c r="E6" s="118"/>
      <c r="F6" s="62">
        <f>IF(D6&gt;0, B6/D6, 0)</f>
        <v>24710.95594606614</v>
      </c>
      <c r="G6" s="63">
        <f>COUNTIF('Detalle Compras Septiembre 2026'!$B:$B, "Carnes")</f>
        <v>26</v>
      </c>
      <c r="H6" s="64">
        <f>IF(Dashboard!$E$58&gt;0, B6/Dashboard!$E$58, 0)</f>
        <v>0.82809016130917201</v>
      </c>
    </row>
    <row r="8" spans="2:16" x14ac:dyDescent="0.35">
      <c r="B8" s="123" t="s">
        <v>84</v>
      </c>
      <c r="C8" s="103"/>
      <c r="D8" s="103"/>
      <c r="E8" s="103"/>
      <c r="F8" s="103"/>
      <c r="G8" s="103"/>
      <c r="I8" s="123" t="s">
        <v>85</v>
      </c>
      <c r="J8" s="103"/>
      <c r="K8" s="103"/>
      <c r="L8" s="103"/>
      <c r="M8" s="103"/>
      <c r="N8" s="103"/>
      <c r="O8" s="103"/>
      <c r="P8" s="103"/>
    </row>
    <row r="9" spans="2:16" ht="22" customHeight="1" x14ac:dyDescent="0.35">
      <c r="B9" s="65" t="s">
        <v>35</v>
      </c>
      <c r="C9" s="65" t="s">
        <v>86</v>
      </c>
      <c r="D9" s="65" t="s">
        <v>87</v>
      </c>
      <c r="E9" s="65" t="s">
        <v>88</v>
      </c>
      <c r="F9" s="65" t="s">
        <v>89</v>
      </c>
      <c r="G9" s="65" t="s">
        <v>23</v>
      </c>
      <c r="I9" s="65" t="s">
        <v>54</v>
      </c>
      <c r="J9" s="65" t="s">
        <v>90</v>
      </c>
      <c r="K9" s="65" t="s">
        <v>91</v>
      </c>
      <c r="L9" s="65" t="s">
        <v>92</v>
      </c>
      <c r="M9" s="65" t="s">
        <v>93</v>
      </c>
      <c r="N9" s="65" t="s">
        <v>88</v>
      </c>
      <c r="O9" s="65" t="s">
        <v>94</v>
      </c>
      <c r="P9" s="65" t="s">
        <v>95</v>
      </c>
    </row>
    <row r="10" spans="2:16" ht="18" customHeight="1" x14ac:dyDescent="0.35">
      <c r="B10" s="66">
        <v>1</v>
      </c>
      <c r="C10" s="67">
        <f>SUMIFS('Detalle Compras Septiembre 2026'!$G:$G, 'Detalle Compras Septiembre 2026'!$A:$A, B10, 'Detalle Compras Septiembre 2026'!$B:$B, "Carnes")</f>
        <v>5676650</v>
      </c>
      <c r="D10" s="68">
        <f>SUMIFS('Detalle Compras Septiembre 2026'!$E:$E, 'Detalle Compras Septiembre 2026'!$A:$A, B10, 'Detalle Compras Septiembre 2026'!$B:$B, "Carnes")</f>
        <v>243.48</v>
      </c>
      <c r="E10" s="67">
        <f t="shared" ref="E10:E40" si="0">IF(D10&gt;0, C10/D10, 0)</f>
        <v>23314.645966814525</v>
      </c>
      <c r="F10" s="69">
        <f t="shared" ref="F10:F39" si="1">IF($C$40&gt;0, C10/$C$40, 0)</f>
        <v>0.35106523048200944</v>
      </c>
      <c r="G10" s="70">
        <f>COUNTIFS('Detalle Compras Septiembre 2026'!$A:$A, B10, 'Detalle Compras Septiembre 2026'!$B:$B, "Carnes")</f>
        <v>8</v>
      </c>
      <c r="I10" s="66">
        <v>1</v>
      </c>
      <c r="J10" s="71" t="s">
        <v>57</v>
      </c>
      <c r="K10" s="66" t="s">
        <v>96</v>
      </c>
      <c r="L10" s="68">
        <f>SUMIFS('Detalle Compras Septiembre 2026'!$E:$E, 'Detalle Compras Septiembre 2026'!$B:$B, "Carnes", 'Detalle Compras Septiembre 2026'!$C:$C, J10)</f>
        <v>150.9</v>
      </c>
      <c r="M10" s="67">
        <f>SUMIFS('Detalle Compras Septiembre 2026'!$G:$G, 'Detalle Compras Septiembre 2026'!$B:$B, "Carnes", 'Detalle Compras Septiembre 2026'!$C:$C, J10)</f>
        <v>3304710</v>
      </c>
      <c r="N10" s="67">
        <f t="shared" ref="N10:N42" si="2">IF(L10&gt;0, M10/L10, 0)</f>
        <v>21900</v>
      </c>
      <c r="O10" s="69">
        <f t="shared" ref="O10:O41" si="3">IF($C$40&gt;0, M10/$C$40, 0)</f>
        <v>0.20437560494767185</v>
      </c>
      <c r="P10" s="70">
        <f>COUNTIFS('Detalle Compras Septiembre 2026'!$B:$B, "Carnes", 'Detalle Compras Septiembre 2026'!$C:$C, J10)</f>
        <v>1</v>
      </c>
    </row>
    <row r="11" spans="2:16" ht="18" customHeight="1" x14ac:dyDescent="0.35">
      <c r="B11" s="72">
        <v>2</v>
      </c>
      <c r="C11" s="73">
        <f>SUMIFS('Detalle Compras Septiembre 2026'!$G:$G, 'Detalle Compras Septiembre 2026'!$A:$A, B11, 'Detalle Compras Septiembre 2026'!$B:$B, "Carnes")</f>
        <v>0</v>
      </c>
      <c r="D11" s="74">
        <f>SUMIFS('Detalle Compras Septiembre 2026'!$E:$E, 'Detalle Compras Septiembre 2026'!$A:$A, B11, 'Detalle Compras Septiembre 2026'!$B:$B, "Carnes")</f>
        <v>0</v>
      </c>
      <c r="E11" s="73">
        <f t="shared" si="0"/>
        <v>0</v>
      </c>
      <c r="F11" s="75">
        <f t="shared" si="1"/>
        <v>0</v>
      </c>
      <c r="G11" s="76">
        <f>COUNTIFS('Detalle Compras Septiembre 2026'!$A:$A, B11, 'Detalle Compras Septiembre 2026'!$B:$B, "Carnes")</f>
        <v>0</v>
      </c>
      <c r="I11" s="72">
        <v>2</v>
      </c>
      <c r="J11" s="77" t="s">
        <v>59</v>
      </c>
      <c r="K11" s="72" t="s">
        <v>96</v>
      </c>
      <c r="L11" s="74">
        <f>SUMIFS('Detalle Compras Septiembre 2026'!$E:$E, 'Detalle Compras Septiembre 2026'!$B:$B, "Carnes", 'Detalle Compras Septiembre 2026'!$C:$C, J11)</f>
        <v>90.35</v>
      </c>
      <c r="M11" s="73">
        <f>SUMIFS('Detalle Compras Septiembre 2026'!$G:$G, 'Detalle Compras Septiembre 2026'!$B:$B, "Carnes", 'Detalle Compras Septiembre 2026'!$C:$C, J11)</f>
        <v>1978665</v>
      </c>
      <c r="N11" s="73">
        <f t="shared" si="2"/>
        <v>21900</v>
      </c>
      <c r="O11" s="75">
        <f t="shared" si="3"/>
        <v>0.12236803119298974</v>
      </c>
      <c r="P11" s="76">
        <f>COUNTIFS('Detalle Compras Septiembre 2026'!$B:$B, "Carnes", 'Detalle Compras Septiembre 2026'!$C:$C, J11)</f>
        <v>1</v>
      </c>
    </row>
    <row r="12" spans="2:16" ht="18" customHeight="1" x14ac:dyDescent="0.35">
      <c r="B12" s="66">
        <v>3</v>
      </c>
      <c r="C12" s="67">
        <f>SUMIFS('Detalle Compras Septiembre 2026'!$G:$G, 'Detalle Compras Septiembre 2026'!$A:$A, B12, 'Detalle Compras Septiembre 2026'!$B:$B, "Carnes")</f>
        <v>1206790</v>
      </c>
      <c r="D12" s="68">
        <f>SUMIFS('Detalle Compras Septiembre 2026'!$E:$E, 'Detalle Compras Septiembre 2026'!$A:$A, B12, 'Detalle Compras Septiembre 2026'!$B:$B, "Carnes")</f>
        <v>40.46</v>
      </c>
      <c r="E12" s="67">
        <f t="shared" si="0"/>
        <v>29826.742461690559</v>
      </c>
      <c r="F12" s="69">
        <f t="shared" si="1"/>
        <v>7.4632399301240021E-2</v>
      </c>
      <c r="G12" s="70">
        <f>COUNTIFS('Detalle Compras Septiembre 2026'!$A:$A, B12, 'Detalle Compras Septiembre 2026'!$B:$B, "Carnes")</f>
        <v>6</v>
      </c>
      <c r="I12" s="66">
        <v>3</v>
      </c>
      <c r="J12" s="71" t="s">
        <v>65</v>
      </c>
      <c r="K12" s="66" t="s">
        <v>96</v>
      </c>
      <c r="L12" s="68">
        <f>SUMIFS('Detalle Compras Septiembre 2026'!$E:$E, 'Detalle Compras Septiembre 2026'!$B:$B, "Carnes", 'Detalle Compras Septiembre 2026'!$C:$C, J12)</f>
        <v>28.6</v>
      </c>
      <c r="M12" s="67">
        <f>SUMIFS('Detalle Compras Septiembre 2026'!$G:$G, 'Detalle Compras Septiembre 2026'!$B:$B, "Carnes", 'Detalle Compras Septiembre 2026'!$C:$C, J12)</f>
        <v>426140</v>
      </c>
      <c r="N12" s="67">
        <f t="shared" si="2"/>
        <v>14900</v>
      </c>
      <c r="O12" s="69">
        <f t="shared" si="3"/>
        <v>2.6354088646931464E-2</v>
      </c>
      <c r="P12" s="70">
        <f>COUNTIFS('Detalle Compras Septiembre 2026'!$B:$B, "Carnes", 'Detalle Compras Septiembre 2026'!$C:$C, J12)</f>
        <v>1</v>
      </c>
    </row>
    <row r="13" spans="2:16" ht="18" customHeight="1" x14ac:dyDescent="0.35">
      <c r="B13" s="72">
        <v>4</v>
      </c>
      <c r="C13" s="73">
        <f>SUMIFS('Detalle Compras Septiembre 2026'!$G:$G, 'Detalle Compras Septiembre 2026'!$A:$A, B13, 'Detalle Compras Septiembre 2026'!$B:$B, "Carnes")</f>
        <v>516750</v>
      </c>
      <c r="D13" s="74">
        <f>SUMIFS('Detalle Compras Septiembre 2026'!$E:$E, 'Detalle Compras Septiembre 2026'!$A:$A, B13, 'Detalle Compras Septiembre 2026'!$B:$B, "Carnes")</f>
        <v>26.5</v>
      </c>
      <c r="E13" s="73">
        <f t="shared" si="0"/>
        <v>19500</v>
      </c>
      <c r="F13" s="75">
        <f t="shared" si="1"/>
        <v>3.1957749350687181E-2</v>
      </c>
      <c r="G13" s="76">
        <f>COUNTIFS('Detalle Compras Septiembre 2026'!$A:$A, B13, 'Detalle Compras Septiembre 2026'!$B:$B, "Carnes")</f>
        <v>1</v>
      </c>
      <c r="I13" s="72">
        <v>4</v>
      </c>
      <c r="J13" s="77" t="s">
        <v>67</v>
      </c>
      <c r="K13" s="72" t="s">
        <v>96</v>
      </c>
      <c r="L13" s="74">
        <f>SUMIFS('Detalle Compras Septiembre 2026'!$E:$E, 'Detalle Compras Septiembre 2026'!$B:$B, "Carnes", 'Detalle Compras Septiembre 2026'!$C:$C, J13)</f>
        <v>26.5</v>
      </c>
      <c r="M13" s="73">
        <f>SUMIFS('Detalle Compras Septiembre 2026'!$G:$G, 'Detalle Compras Septiembre 2026'!$B:$B, "Carnes", 'Detalle Compras Septiembre 2026'!$C:$C, J13)</f>
        <v>516750</v>
      </c>
      <c r="N13" s="73">
        <f t="shared" si="2"/>
        <v>19500</v>
      </c>
      <c r="O13" s="75">
        <f t="shared" si="3"/>
        <v>3.1957749350687181E-2</v>
      </c>
      <c r="P13" s="76">
        <f>COUNTIFS('Detalle Compras Septiembre 2026'!$B:$B, "Carnes", 'Detalle Compras Septiembre 2026'!$C:$C, J13)</f>
        <v>1</v>
      </c>
    </row>
    <row r="14" spans="2:16" ht="18" customHeight="1" x14ac:dyDescent="0.35">
      <c r="B14" s="66">
        <v>5</v>
      </c>
      <c r="C14" s="67">
        <f>SUMIFS('Detalle Compras Septiembre 2026'!$G:$G, 'Detalle Compras Septiembre 2026'!$A:$A, B14, 'Detalle Compras Septiembre 2026'!$B:$B, "Carnes")</f>
        <v>7349980</v>
      </c>
      <c r="D14" s="68">
        <f>SUMIFS('Detalle Compras Septiembre 2026'!$E:$E, 'Detalle Compras Septiembre 2026'!$A:$A, B14, 'Detalle Compras Septiembre 2026'!$B:$B, "Carnes")</f>
        <v>296.15000000000003</v>
      </c>
      <c r="E14" s="67">
        <f t="shared" si="0"/>
        <v>24818.436603072765</v>
      </c>
      <c r="F14" s="69">
        <f t="shared" si="1"/>
        <v>0.45455020526862844</v>
      </c>
      <c r="G14" s="70">
        <f>COUNTIFS('Detalle Compras Septiembre 2026'!$A:$A, B14, 'Detalle Compras Septiembre 2026'!$B:$B, "Carnes")</f>
        <v>8</v>
      </c>
      <c r="I14" s="66">
        <v>5</v>
      </c>
      <c r="J14" s="71" t="s">
        <v>75</v>
      </c>
      <c r="K14" s="66" t="s">
        <v>96</v>
      </c>
      <c r="L14" s="68">
        <f>SUMIFS('Detalle Compras Septiembre 2026'!$E:$E, 'Detalle Compras Septiembre 2026'!$B:$B, "Carnes", 'Detalle Compras Septiembre 2026'!$C:$C, J14)</f>
        <v>30.66</v>
      </c>
      <c r="M14" s="67">
        <f>SUMIFS('Detalle Compras Septiembre 2026'!$G:$G, 'Detalle Compras Septiembre 2026'!$B:$B, "Carnes", 'Detalle Compras Septiembre 2026'!$C:$C, J14)</f>
        <v>579474</v>
      </c>
      <c r="N14" s="67">
        <f t="shared" si="2"/>
        <v>18900</v>
      </c>
      <c r="O14" s="69">
        <f t="shared" si="3"/>
        <v>3.5836835698577846E-2</v>
      </c>
      <c r="P14" s="70">
        <f>COUNTIFS('Detalle Compras Septiembre 2026'!$B:$B, "Carnes", 'Detalle Compras Septiembre 2026'!$C:$C, J14)</f>
        <v>1</v>
      </c>
    </row>
    <row r="15" spans="2:16" ht="18" customHeight="1" x14ac:dyDescent="0.35">
      <c r="B15" s="72">
        <v>6</v>
      </c>
      <c r="C15" s="73">
        <f>SUMIFS('Detalle Compras Septiembre 2026'!$G:$G, 'Detalle Compras Septiembre 2026'!$A:$A, B15, 'Detalle Compras Septiembre 2026'!$B:$B, "Carnes")</f>
        <v>0</v>
      </c>
      <c r="D15" s="74">
        <f>SUMIFS('Detalle Compras Septiembre 2026'!$E:$E, 'Detalle Compras Septiembre 2026'!$A:$A, B15, 'Detalle Compras Septiembre 2026'!$B:$B, "Carnes")</f>
        <v>0</v>
      </c>
      <c r="E15" s="73">
        <f t="shared" si="0"/>
        <v>0</v>
      </c>
      <c r="F15" s="75">
        <f t="shared" si="1"/>
        <v>0</v>
      </c>
      <c r="G15" s="76">
        <f>COUNTIFS('Detalle Compras Septiembre 2026'!$A:$A, B15, 'Detalle Compras Septiembre 2026'!$B:$B, "Carnes")</f>
        <v>0</v>
      </c>
      <c r="I15" s="72">
        <v>6</v>
      </c>
      <c r="J15" s="77" t="s">
        <v>97</v>
      </c>
      <c r="K15" s="72" t="s">
        <v>96</v>
      </c>
      <c r="L15" s="74">
        <f>SUMIFS('Detalle Compras Septiembre 2026'!$E:$E, 'Detalle Compras Septiembre 2026'!$B:$B, "Carnes", 'Detalle Compras Septiembre 2026'!$C:$C, J15)</f>
        <v>10.3</v>
      </c>
      <c r="M15" s="73">
        <f>SUMIFS('Detalle Compras Septiembre 2026'!$G:$G, 'Detalle Compras Septiembre 2026'!$B:$B, "Carnes", 'Detalle Compras Septiembre 2026'!$C:$C, J15)</f>
        <v>206000</v>
      </c>
      <c r="N15" s="73">
        <f t="shared" si="2"/>
        <v>20000</v>
      </c>
      <c r="O15" s="75">
        <f t="shared" si="3"/>
        <v>1.2739809126737415E-2</v>
      </c>
      <c r="P15" s="76">
        <f>COUNTIFS('Detalle Compras Septiembre 2026'!$B:$B, "Carnes", 'Detalle Compras Septiembre 2026'!$C:$C, J15)</f>
        <v>1</v>
      </c>
    </row>
    <row r="16" spans="2:16" ht="18" customHeight="1" x14ac:dyDescent="0.35">
      <c r="B16" s="66">
        <v>7</v>
      </c>
      <c r="C16" s="67">
        <f>SUMIFS('Detalle Compras Septiembre 2026'!$G:$G, 'Detalle Compras Septiembre 2026'!$A:$A, B16, 'Detalle Compras Septiembre 2026'!$B:$B, "Carnes")</f>
        <v>1419617</v>
      </c>
      <c r="D16" s="68">
        <f>SUMIFS('Detalle Compras Septiembre 2026'!$E:$E, 'Detalle Compras Septiembre 2026'!$A:$A, B16, 'Detalle Compras Septiembre 2026'!$B:$B, "Carnes")</f>
        <v>47.766999999999996</v>
      </c>
      <c r="E16" s="67">
        <f t="shared" si="0"/>
        <v>29719.618146419078</v>
      </c>
      <c r="F16" s="69">
        <f t="shared" si="1"/>
        <v>8.7794415597434894E-2</v>
      </c>
      <c r="G16" s="70">
        <f>COUNTIFS('Detalle Compras Septiembre 2026'!$A:$A, B16, 'Detalle Compras Septiembre 2026'!$B:$B, "Carnes")</f>
        <v>3</v>
      </c>
      <c r="I16" s="66">
        <v>7</v>
      </c>
      <c r="J16" s="71" t="s">
        <v>98</v>
      </c>
      <c r="K16" s="66" t="s">
        <v>96</v>
      </c>
      <c r="L16" s="68">
        <f>SUMIFS('Detalle Compras Septiembre 2026'!$E:$E, 'Detalle Compras Septiembre 2026'!$B:$B, "Carnes", 'Detalle Compras Septiembre 2026'!$C:$C, J16)</f>
        <v>0</v>
      </c>
      <c r="M16" s="67">
        <f>SUMIFS('Detalle Compras Septiembre 2026'!$G:$G, 'Detalle Compras Septiembre 2026'!$B:$B, "Carnes", 'Detalle Compras Septiembre 2026'!$C:$C, J16)</f>
        <v>0</v>
      </c>
      <c r="N16" s="67">
        <f t="shared" si="2"/>
        <v>0</v>
      </c>
      <c r="O16" s="69">
        <f t="shared" si="3"/>
        <v>0</v>
      </c>
      <c r="P16" s="70">
        <f>COUNTIFS('Detalle Compras Septiembre 2026'!$B:$B, "Carnes", 'Detalle Compras Septiembre 2026'!$C:$C, J16)</f>
        <v>0</v>
      </c>
    </row>
    <row r="17" spans="2:16" ht="18" customHeight="1" x14ac:dyDescent="0.35">
      <c r="B17" s="72">
        <v>8</v>
      </c>
      <c r="C17" s="73">
        <f>SUMIFS('Detalle Compras Septiembre 2026'!$G:$G, 'Detalle Compras Septiembre 2026'!$A:$A, B17, 'Detalle Compras Septiembre 2026'!$B:$B, "Carnes")</f>
        <v>0</v>
      </c>
      <c r="D17" s="74">
        <f>SUMIFS('Detalle Compras Septiembre 2026'!$E:$E, 'Detalle Compras Septiembre 2026'!$A:$A, B17, 'Detalle Compras Septiembre 2026'!$B:$B, "Carnes")</f>
        <v>0</v>
      </c>
      <c r="E17" s="73">
        <f t="shared" si="0"/>
        <v>0</v>
      </c>
      <c r="F17" s="75">
        <f t="shared" si="1"/>
        <v>0</v>
      </c>
      <c r="G17" s="76">
        <f>COUNTIFS('Detalle Compras Septiembre 2026'!$A:$A, B17, 'Detalle Compras Septiembre 2026'!$B:$B, "Carnes")</f>
        <v>0</v>
      </c>
      <c r="I17" s="72">
        <v>8</v>
      </c>
      <c r="J17" s="77" t="s">
        <v>61</v>
      </c>
      <c r="K17" s="72" t="s">
        <v>99</v>
      </c>
      <c r="L17" s="74">
        <f>SUMIFS('Detalle Compras Septiembre 2026'!$E:$E, 'Detalle Compras Septiembre 2026'!$B:$B, "Carnes", 'Detalle Compras Septiembre 2026'!$C:$C, J17)</f>
        <v>18</v>
      </c>
      <c r="M17" s="73">
        <f>SUMIFS('Detalle Compras Septiembre 2026'!$G:$G, 'Detalle Compras Septiembre 2026'!$B:$B, "Carnes", 'Detalle Compras Septiembre 2026'!$C:$C, J17)</f>
        <v>792000</v>
      </c>
      <c r="N17" s="73">
        <f t="shared" si="2"/>
        <v>44000</v>
      </c>
      <c r="O17" s="75">
        <f t="shared" si="3"/>
        <v>4.8980237030951612E-2</v>
      </c>
      <c r="P17" s="76">
        <f>COUNTIFS('Detalle Compras Septiembre 2026'!$B:$B, "Carnes", 'Detalle Compras Septiembre 2026'!$C:$C, J17)</f>
        <v>1</v>
      </c>
    </row>
    <row r="18" spans="2:16" ht="18" customHeight="1" x14ac:dyDescent="0.35">
      <c r="B18" s="66">
        <v>9</v>
      </c>
      <c r="C18" s="67">
        <f>SUMIFS('Detalle Compras Septiembre 2026'!$G:$G, 'Detalle Compras Septiembre 2026'!$A:$A, B18, 'Detalle Compras Septiembre 2026'!$B:$B, "Carnes")</f>
        <v>0</v>
      </c>
      <c r="D18" s="68">
        <f>SUMIFS('Detalle Compras Septiembre 2026'!$E:$E, 'Detalle Compras Septiembre 2026'!$A:$A, B18, 'Detalle Compras Septiembre 2026'!$B:$B, "Carnes")</f>
        <v>0</v>
      </c>
      <c r="E18" s="67">
        <f t="shared" si="0"/>
        <v>0</v>
      </c>
      <c r="F18" s="69">
        <f t="shared" si="1"/>
        <v>0</v>
      </c>
      <c r="G18" s="70">
        <f>COUNTIFS('Detalle Compras Septiembre 2026'!$A:$A, B18, 'Detalle Compras Septiembre 2026'!$B:$B, "Carnes")</f>
        <v>0</v>
      </c>
      <c r="I18" s="66">
        <v>9</v>
      </c>
      <c r="J18" s="71" t="s">
        <v>63</v>
      </c>
      <c r="K18" s="66" t="s">
        <v>99</v>
      </c>
      <c r="L18" s="68">
        <f>SUMIFS('Detalle Compras Septiembre 2026'!$E:$E, 'Detalle Compras Septiembre 2026'!$B:$B, "Carnes", 'Detalle Compras Septiembre 2026'!$C:$C, J18)</f>
        <v>70.55</v>
      </c>
      <c r="M18" s="67">
        <f>SUMIFS('Detalle Compras Septiembre 2026'!$G:$G, 'Detalle Compras Septiembre 2026'!$B:$B, "Carnes", 'Detalle Compras Septiembre 2026'!$C:$C, J18)</f>
        <v>1827245</v>
      </c>
      <c r="N18" s="67">
        <f t="shared" si="2"/>
        <v>25900</v>
      </c>
      <c r="O18" s="69">
        <f t="shared" si="3"/>
        <v>0.1130036530475015</v>
      </c>
      <c r="P18" s="70">
        <f>COUNTIFS('Detalle Compras Septiembre 2026'!$B:$B, "Carnes", 'Detalle Compras Septiembre 2026'!$C:$C, J18)</f>
        <v>3</v>
      </c>
    </row>
    <row r="19" spans="2:16" ht="18" customHeight="1" x14ac:dyDescent="0.35">
      <c r="B19" s="72">
        <v>10</v>
      </c>
      <c r="C19" s="73">
        <f>SUMIFS('Detalle Compras Septiembre 2026'!$G:$G, 'Detalle Compras Septiembre 2026'!$A:$A, B19, 'Detalle Compras Septiembre 2026'!$B:$B, "Carnes")</f>
        <v>0</v>
      </c>
      <c r="D19" s="74">
        <f>SUMIFS('Detalle Compras Septiembre 2026'!$E:$E, 'Detalle Compras Septiembre 2026'!$A:$A, B19, 'Detalle Compras Septiembre 2026'!$B:$B, "Carnes")</f>
        <v>0</v>
      </c>
      <c r="E19" s="73">
        <f t="shared" si="0"/>
        <v>0</v>
      </c>
      <c r="F19" s="75">
        <f t="shared" si="1"/>
        <v>0</v>
      </c>
      <c r="G19" s="76">
        <f>COUNTIFS('Detalle Compras Septiembre 2026'!$A:$A, B19, 'Detalle Compras Septiembre 2026'!$B:$B, "Carnes")</f>
        <v>0</v>
      </c>
      <c r="I19" s="72">
        <v>10</v>
      </c>
      <c r="J19" s="77" t="s">
        <v>69</v>
      </c>
      <c r="K19" s="72" t="s">
        <v>99</v>
      </c>
      <c r="L19" s="74">
        <f>SUMIFS('Detalle Compras Septiembre 2026'!$E:$E, 'Detalle Compras Septiembre 2026'!$B:$B, "Carnes", 'Detalle Compras Septiembre 2026'!$C:$C, J19)</f>
        <v>48.064999999999998</v>
      </c>
      <c r="M19" s="73">
        <f>SUMIFS('Detalle Compras Septiembre 2026'!$G:$G, 'Detalle Compras Septiembre 2026'!$B:$B, "Carnes", 'Detalle Compras Septiembre 2026'!$C:$C, J19)</f>
        <v>1658243</v>
      </c>
      <c r="N19" s="73">
        <f t="shared" si="2"/>
        <v>34500.010402579843</v>
      </c>
      <c r="O19" s="75">
        <f t="shared" si="3"/>
        <v>0.10255193837741956</v>
      </c>
      <c r="P19" s="76">
        <f>COUNTIFS('Detalle Compras Septiembre 2026'!$B:$B, "Carnes", 'Detalle Compras Septiembre 2026'!$C:$C, J19)</f>
        <v>3</v>
      </c>
    </row>
    <row r="20" spans="2:16" ht="18" customHeight="1" x14ac:dyDescent="0.35">
      <c r="B20" s="66">
        <v>11</v>
      </c>
      <c r="C20" s="67">
        <f>SUMIFS('Detalle Compras Septiembre 2026'!$G:$G, 'Detalle Compras Septiembre 2026'!$A:$A, B20, 'Detalle Compras Septiembre 2026'!$B:$B, "Carnes")</f>
        <v>0</v>
      </c>
      <c r="D20" s="68">
        <f>SUMIFS('Detalle Compras Septiembre 2026'!$E:$E, 'Detalle Compras Septiembre 2026'!$A:$A, B20, 'Detalle Compras Septiembre 2026'!$B:$B, "Carnes")</f>
        <v>0</v>
      </c>
      <c r="E20" s="67">
        <f t="shared" si="0"/>
        <v>0</v>
      </c>
      <c r="F20" s="69">
        <f t="shared" si="1"/>
        <v>0</v>
      </c>
      <c r="G20" s="70">
        <f>COUNTIFS('Detalle Compras Septiembre 2026'!$A:$A, B20, 'Detalle Compras Septiembre 2026'!$B:$B, "Carnes")</f>
        <v>0</v>
      </c>
      <c r="I20" s="66">
        <v>11</v>
      </c>
      <c r="J20" s="71" t="s">
        <v>100</v>
      </c>
      <c r="K20" s="66" t="s">
        <v>99</v>
      </c>
      <c r="L20" s="68">
        <f>SUMIFS('Detalle Compras Septiembre 2026'!$E:$E, 'Detalle Compras Septiembre 2026'!$B:$B, "Carnes", 'Detalle Compras Septiembre 2026'!$C:$C, J20)</f>
        <v>0</v>
      </c>
      <c r="M20" s="67">
        <f>SUMIFS('Detalle Compras Septiembre 2026'!$G:$G, 'Detalle Compras Septiembre 2026'!$B:$B, "Carnes", 'Detalle Compras Septiembre 2026'!$C:$C, J20)</f>
        <v>0</v>
      </c>
      <c r="N20" s="67">
        <f t="shared" si="2"/>
        <v>0</v>
      </c>
      <c r="O20" s="69">
        <f t="shared" si="3"/>
        <v>0</v>
      </c>
      <c r="P20" s="70">
        <f>COUNTIFS('Detalle Compras Septiembre 2026'!$B:$B, "Carnes", 'Detalle Compras Septiembre 2026'!$C:$C, J20)</f>
        <v>0</v>
      </c>
    </row>
    <row r="21" spans="2:16" ht="18" customHeight="1" x14ac:dyDescent="0.35">
      <c r="B21" s="72">
        <v>12</v>
      </c>
      <c r="C21" s="73">
        <f>SUMIFS('Detalle Compras Septiembre 2026'!$G:$G, 'Detalle Compras Septiembre 2026'!$A:$A, B21, 'Detalle Compras Septiembre 2026'!$B:$B, "Carnes")</f>
        <v>0</v>
      </c>
      <c r="D21" s="74">
        <f>SUMIFS('Detalle Compras Septiembre 2026'!$E:$E, 'Detalle Compras Septiembre 2026'!$A:$A, B21, 'Detalle Compras Septiembre 2026'!$B:$B, "Carnes")</f>
        <v>0</v>
      </c>
      <c r="E21" s="73">
        <f t="shared" si="0"/>
        <v>0</v>
      </c>
      <c r="F21" s="75">
        <f t="shared" si="1"/>
        <v>0</v>
      </c>
      <c r="G21" s="76">
        <f>COUNTIFS('Detalle Compras Septiembre 2026'!$A:$A, B21, 'Detalle Compras Septiembre 2026'!$B:$B, "Carnes")</f>
        <v>0</v>
      </c>
      <c r="I21" s="72">
        <v>12</v>
      </c>
      <c r="J21" s="77" t="s">
        <v>71</v>
      </c>
      <c r="K21" s="72" t="s">
        <v>99</v>
      </c>
      <c r="L21" s="74">
        <f>SUMIFS('Detalle Compras Septiembre 2026'!$E:$E, 'Detalle Compras Septiembre 2026'!$B:$B, "Carnes", 'Detalle Compras Septiembre 2026'!$C:$C, J21)</f>
        <v>21.55</v>
      </c>
      <c r="M21" s="73">
        <f>SUMIFS('Detalle Compras Septiembre 2026'!$G:$G, 'Detalle Compras Septiembre 2026'!$B:$B, "Carnes", 'Detalle Compras Septiembre 2026'!$C:$C, J21)</f>
        <v>905100</v>
      </c>
      <c r="N21" s="73">
        <f t="shared" si="2"/>
        <v>42000</v>
      </c>
      <c r="O21" s="75">
        <f t="shared" si="3"/>
        <v>5.5974763303932203E-2</v>
      </c>
      <c r="P21" s="76">
        <f>COUNTIFS('Detalle Compras Septiembre 2026'!$B:$B, "Carnes", 'Detalle Compras Septiembre 2026'!$C:$C, J21)</f>
        <v>1</v>
      </c>
    </row>
    <row r="22" spans="2:16" ht="18" customHeight="1" x14ac:dyDescent="0.35">
      <c r="B22" s="66">
        <v>13</v>
      </c>
      <c r="C22" s="67">
        <f>SUMIFS('Detalle Compras Septiembre 2026'!$G:$G, 'Detalle Compras Septiembre 2026'!$A:$A, B22, 'Detalle Compras Septiembre 2026'!$B:$B, "Carnes")</f>
        <v>0</v>
      </c>
      <c r="D22" s="68">
        <f>SUMIFS('Detalle Compras Septiembre 2026'!$E:$E, 'Detalle Compras Septiembre 2026'!$A:$A, B22, 'Detalle Compras Septiembre 2026'!$B:$B, "Carnes")</f>
        <v>0</v>
      </c>
      <c r="E22" s="67">
        <f t="shared" si="0"/>
        <v>0</v>
      </c>
      <c r="F22" s="69">
        <f t="shared" si="1"/>
        <v>0</v>
      </c>
      <c r="G22" s="70">
        <f>COUNTIFS('Detalle Compras Septiembre 2026'!$A:$A, B22, 'Detalle Compras Septiembre 2026'!$B:$B, "Carnes")</f>
        <v>0</v>
      </c>
      <c r="I22" s="66">
        <v>13</v>
      </c>
      <c r="J22" s="71" t="s">
        <v>101</v>
      </c>
      <c r="K22" s="66" t="s">
        <v>99</v>
      </c>
      <c r="L22" s="68">
        <f>SUMIFS('Detalle Compras Septiembre 2026'!$E:$E, 'Detalle Compras Septiembre 2026'!$B:$B, "Carnes", 'Detalle Compras Septiembre 2026'!$C:$C, J22)</f>
        <v>7.35</v>
      </c>
      <c r="M22" s="67">
        <f>SUMIFS('Detalle Compras Septiembre 2026'!$G:$G, 'Detalle Compras Septiembre 2026'!$B:$B, "Carnes", 'Detalle Compras Septiembre 2026'!$C:$C, J22)</f>
        <v>396900</v>
      </c>
      <c r="N22" s="67">
        <f t="shared" si="2"/>
        <v>54000</v>
      </c>
      <c r="O22" s="69">
        <f t="shared" si="3"/>
        <v>2.4545777875738251E-2</v>
      </c>
      <c r="P22" s="70">
        <f>COUNTIFS('Detalle Compras Septiembre 2026'!$B:$B, "Carnes", 'Detalle Compras Septiembre 2026'!$C:$C, J22)</f>
        <v>1</v>
      </c>
    </row>
    <row r="23" spans="2:16" ht="18" customHeight="1" x14ac:dyDescent="0.35">
      <c r="B23" s="72">
        <v>14</v>
      </c>
      <c r="C23" s="73">
        <f>SUMIFS('Detalle Compras Septiembre 2026'!$G:$G, 'Detalle Compras Septiembre 2026'!$A:$A, B23, 'Detalle Compras Septiembre 2026'!$B:$B, "Carnes")</f>
        <v>0</v>
      </c>
      <c r="D23" s="74">
        <f>SUMIFS('Detalle Compras Septiembre 2026'!$E:$E, 'Detalle Compras Septiembre 2026'!$A:$A, B23, 'Detalle Compras Septiembre 2026'!$B:$B, "Carnes")</f>
        <v>0</v>
      </c>
      <c r="E23" s="73">
        <f t="shared" si="0"/>
        <v>0</v>
      </c>
      <c r="F23" s="75">
        <f t="shared" si="1"/>
        <v>0</v>
      </c>
      <c r="G23" s="76">
        <f>COUNTIFS('Detalle Compras Septiembre 2026'!$A:$A, B23, 'Detalle Compras Septiembre 2026'!$B:$B, "Carnes")</f>
        <v>0</v>
      </c>
      <c r="I23" s="72">
        <v>14</v>
      </c>
      <c r="J23" s="77" t="s">
        <v>102</v>
      </c>
      <c r="K23" s="72" t="s">
        <v>99</v>
      </c>
      <c r="L23" s="74">
        <f>SUMIFS('Detalle Compras Septiembre 2026'!$E:$E, 'Detalle Compras Septiembre 2026'!$B:$B, "Carnes", 'Detalle Compras Septiembre 2026'!$C:$C, J23)</f>
        <v>26.1</v>
      </c>
      <c r="M23" s="73">
        <f>SUMIFS('Detalle Compras Septiembre 2026'!$G:$G, 'Detalle Compras Septiembre 2026'!$B:$B, "Carnes", 'Detalle Compras Septiembre 2026'!$C:$C, J23)</f>
        <v>482850</v>
      </c>
      <c r="N23" s="73">
        <f t="shared" si="2"/>
        <v>18500</v>
      </c>
      <c r="O23" s="75">
        <f t="shared" si="3"/>
        <v>2.9861246780801751E-2</v>
      </c>
      <c r="P23" s="76">
        <f>COUNTIFS('Detalle Compras Septiembre 2026'!$B:$B, "Carnes", 'Detalle Compras Septiembre 2026'!$C:$C, J23)</f>
        <v>1</v>
      </c>
    </row>
    <row r="24" spans="2:16" ht="18" customHeight="1" x14ac:dyDescent="0.35">
      <c r="B24" s="66">
        <v>15</v>
      </c>
      <c r="C24" s="67">
        <f>SUMIFS('Detalle Compras Septiembre 2026'!$G:$G, 'Detalle Compras Septiembre 2026'!$A:$A, B24, 'Detalle Compras Septiembre 2026'!$B:$B, "Carnes")</f>
        <v>0</v>
      </c>
      <c r="D24" s="68">
        <f>SUMIFS('Detalle Compras Septiembre 2026'!$E:$E, 'Detalle Compras Septiembre 2026'!$A:$A, B24, 'Detalle Compras Septiembre 2026'!$B:$B, "Carnes")</f>
        <v>0</v>
      </c>
      <c r="E24" s="67">
        <f t="shared" si="0"/>
        <v>0</v>
      </c>
      <c r="F24" s="69">
        <f t="shared" si="1"/>
        <v>0</v>
      </c>
      <c r="G24" s="70">
        <f>COUNTIFS('Detalle Compras Septiembre 2026'!$A:$A, B24, 'Detalle Compras Septiembre 2026'!$B:$B, "Carnes")</f>
        <v>0</v>
      </c>
      <c r="I24" s="66">
        <v>15</v>
      </c>
      <c r="J24" s="71" t="s">
        <v>103</v>
      </c>
      <c r="K24" s="66" t="s">
        <v>99</v>
      </c>
      <c r="L24" s="68">
        <f>SUMIFS('Detalle Compras Septiembre 2026'!$E:$E, 'Detalle Compras Septiembre 2026'!$B:$B, "Carnes", 'Detalle Compras Septiembre 2026'!$C:$C, J24)</f>
        <v>10.3</v>
      </c>
      <c r="M24" s="67">
        <f>SUMIFS('Detalle Compras Septiembre 2026'!$G:$G, 'Detalle Compras Septiembre 2026'!$B:$B, "Carnes", 'Detalle Compras Septiembre 2026'!$C:$C, J24)</f>
        <v>206000</v>
      </c>
      <c r="N24" s="67">
        <f t="shared" si="2"/>
        <v>20000</v>
      </c>
      <c r="O24" s="69">
        <f t="shared" si="3"/>
        <v>1.2739809126737415E-2</v>
      </c>
      <c r="P24" s="70">
        <f>COUNTIFS('Detalle Compras Septiembre 2026'!$B:$B, "Carnes", 'Detalle Compras Septiembre 2026'!$C:$C, J24)</f>
        <v>1</v>
      </c>
    </row>
    <row r="25" spans="2:16" ht="18" customHeight="1" x14ac:dyDescent="0.35">
      <c r="B25" s="72">
        <v>16</v>
      </c>
      <c r="C25" s="73">
        <f>SUMIFS('Detalle Compras Septiembre 2026'!$G:$G, 'Detalle Compras Septiembre 2026'!$A:$A, B25, 'Detalle Compras Septiembre 2026'!$B:$B, "Carnes")</f>
        <v>0</v>
      </c>
      <c r="D25" s="74">
        <f>SUMIFS('Detalle Compras Septiembre 2026'!$E:$E, 'Detalle Compras Septiembre 2026'!$A:$A, B25, 'Detalle Compras Septiembre 2026'!$B:$B, "Carnes")</f>
        <v>0</v>
      </c>
      <c r="E25" s="73">
        <f t="shared" si="0"/>
        <v>0</v>
      </c>
      <c r="F25" s="75">
        <f t="shared" si="1"/>
        <v>0</v>
      </c>
      <c r="G25" s="76">
        <f>COUNTIFS('Detalle Compras Septiembre 2026'!$A:$A, B25, 'Detalle Compras Septiembre 2026'!$B:$B, "Carnes")</f>
        <v>0</v>
      </c>
      <c r="I25" s="72">
        <v>16</v>
      </c>
      <c r="J25" s="77" t="s">
        <v>104</v>
      </c>
      <c r="K25" s="72" t="s">
        <v>99</v>
      </c>
      <c r="L25" s="74">
        <f>SUMIFS('Detalle Compras Septiembre 2026'!$E:$E, 'Detalle Compras Septiembre 2026'!$B:$B, "Carnes", 'Detalle Compras Septiembre 2026'!$C:$C, J25)</f>
        <v>10.01</v>
      </c>
      <c r="M25" s="73">
        <f>SUMIFS('Detalle Compras Septiembre 2026'!$G:$G, 'Detalle Compras Septiembre 2026'!$B:$B, "Carnes", 'Detalle Compras Septiembre 2026'!$C:$C, J25)</f>
        <v>336290</v>
      </c>
      <c r="N25" s="73">
        <f t="shared" si="2"/>
        <v>33595.404595404594</v>
      </c>
      <c r="O25" s="75">
        <f t="shared" si="3"/>
        <v>2.0797429180730704E-2</v>
      </c>
      <c r="P25" s="76">
        <f>COUNTIFS('Detalle Compras Septiembre 2026'!$B:$B, "Carnes", 'Detalle Compras Septiembre 2026'!$C:$C, J25)</f>
        <v>2</v>
      </c>
    </row>
    <row r="26" spans="2:16" ht="18" customHeight="1" x14ac:dyDescent="0.35">
      <c r="B26" s="66">
        <v>17</v>
      </c>
      <c r="C26" s="67">
        <f>SUMIFS('Detalle Compras Septiembre 2026'!$G:$G, 'Detalle Compras Septiembre 2026'!$A:$A, B26, 'Detalle Compras Septiembre 2026'!$B:$B, "Carnes")</f>
        <v>0</v>
      </c>
      <c r="D26" s="68">
        <f>SUMIFS('Detalle Compras Septiembre 2026'!$E:$E, 'Detalle Compras Septiembre 2026'!$A:$A, B26, 'Detalle Compras Septiembre 2026'!$B:$B, "Carnes")</f>
        <v>0</v>
      </c>
      <c r="E26" s="67">
        <f t="shared" si="0"/>
        <v>0</v>
      </c>
      <c r="F26" s="69">
        <f t="shared" si="1"/>
        <v>0</v>
      </c>
      <c r="G26" s="70">
        <f>COUNTIFS('Detalle Compras Septiembre 2026'!$A:$A, B26, 'Detalle Compras Septiembre 2026'!$B:$B, "Carnes")</f>
        <v>0</v>
      </c>
      <c r="I26" s="66">
        <v>17</v>
      </c>
      <c r="J26" s="71" t="s">
        <v>105</v>
      </c>
      <c r="K26" s="66" t="s">
        <v>99</v>
      </c>
      <c r="L26" s="68">
        <f>SUMIFS('Detalle Compras Septiembre 2026'!$E:$E, 'Detalle Compras Septiembre 2026'!$B:$B, "Carnes", 'Detalle Compras Septiembre 2026'!$C:$C, J26)</f>
        <v>5.5919999999999996</v>
      </c>
      <c r="M26" s="67">
        <f>SUMIFS('Detalle Compras Septiembre 2026'!$G:$G, 'Detalle Compras Septiembre 2026'!$B:$B, "Carnes", 'Detalle Compras Septiembre 2026'!$C:$C, J26)</f>
        <v>150425</v>
      </c>
      <c r="N26" s="67">
        <f t="shared" si="2"/>
        <v>26900.035765379114</v>
      </c>
      <c r="O26" s="69">
        <f t="shared" si="3"/>
        <v>9.3028436305314342E-3</v>
      </c>
      <c r="P26" s="70">
        <f>COUNTIFS('Detalle Compras Septiembre 2026'!$B:$B, "Carnes", 'Detalle Compras Septiembre 2026'!$C:$C, J26)</f>
        <v>1</v>
      </c>
    </row>
    <row r="27" spans="2:16" ht="18" customHeight="1" x14ac:dyDescent="0.35">
      <c r="B27" s="72">
        <v>18</v>
      </c>
      <c r="C27" s="73">
        <f>SUMIFS('Detalle Compras Septiembre 2026'!$G:$G, 'Detalle Compras Septiembre 2026'!$A:$A, B27, 'Detalle Compras Septiembre 2026'!$B:$B, "Carnes")</f>
        <v>0</v>
      </c>
      <c r="D27" s="74">
        <f>SUMIFS('Detalle Compras Septiembre 2026'!$E:$E, 'Detalle Compras Septiembre 2026'!$A:$A, B27, 'Detalle Compras Septiembre 2026'!$B:$B, "Carnes")</f>
        <v>0</v>
      </c>
      <c r="E27" s="73">
        <f t="shared" si="0"/>
        <v>0</v>
      </c>
      <c r="F27" s="75">
        <f t="shared" si="1"/>
        <v>0</v>
      </c>
      <c r="G27" s="76">
        <f>COUNTIFS('Detalle Compras Septiembre 2026'!$A:$A, B27, 'Detalle Compras Septiembre 2026'!$B:$B, "Carnes")</f>
        <v>0</v>
      </c>
      <c r="I27" s="72">
        <v>18</v>
      </c>
      <c r="J27" s="77" t="s">
        <v>106</v>
      </c>
      <c r="K27" s="72" t="s">
        <v>99</v>
      </c>
      <c r="L27" s="74">
        <f>SUMIFS('Detalle Compras Septiembre 2026'!$E:$E, 'Detalle Compras Septiembre 2026'!$B:$B, "Carnes", 'Detalle Compras Septiembre 2026'!$C:$C, J27)</f>
        <v>27.65</v>
      </c>
      <c r="M27" s="73">
        <f>SUMIFS('Detalle Compras Septiembre 2026'!$G:$G, 'Detalle Compras Septiembre 2026'!$B:$B, "Carnes", 'Detalle Compras Septiembre 2026'!$C:$C, J27)</f>
        <v>660835</v>
      </c>
      <c r="N27" s="73">
        <f t="shared" si="2"/>
        <v>23900</v>
      </c>
      <c r="O27" s="75">
        <f t="shared" si="3"/>
        <v>4.0868503710036502E-2</v>
      </c>
      <c r="P27" s="76">
        <f>COUNTIFS('Detalle Compras Septiembre 2026'!$B:$B, "Carnes", 'Detalle Compras Septiembre 2026'!$C:$C, J27)</f>
        <v>1</v>
      </c>
    </row>
    <row r="28" spans="2:16" ht="18" customHeight="1" x14ac:dyDescent="0.35">
      <c r="B28" s="66">
        <v>19</v>
      </c>
      <c r="C28" s="67">
        <f>SUMIFS('Detalle Compras Septiembre 2026'!$G:$G, 'Detalle Compras Septiembre 2026'!$A:$A, B28, 'Detalle Compras Septiembre 2026'!$B:$B, "Carnes")</f>
        <v>0</v>
      </c>
      <c r="D28" s="68">
        <f>SUMIFS('Detalle Compras Septiembre 2026'!$E:$E, 'Detalle Compras Septiembre 2026'!$A:$A, B28, 'Detalle Compras Septiembre 2026'!$B:$B, "Carnes")</f>
        <v>0</v>
      </c>
      <c r="E28" s="67">
        <f t="shared" si="0"/>
        <v>0</v>
      </c>
      <c r="F28" s="69">
        <f t="shared" si="1"/>
        <v>0</v>
      </c>
      <c r="G28" s="70">
        <f>COUNTIFS('Detalle Compras Septiembre 2026'!$A:$A, B28, 'Detalle Compras Septiembre 2026'!$B:$B, "Carnes")</f>
        <v>0</v>
      </c>
      <c r="I28" s="66">
        <v>19</v>
      </c>
      <c r="J28" s="71" t="s">
        <v>107</v>
      </c>
      <c r="K28" s="66" t="s">
        <v>108</v>
      </c>
      <c r="L28" s="68">
        <f>SUMIFS('Detalle Compras Septiembre 2026'!$E:$E, 'Detalle Compras Septiembre 2026'!$B:$B, "Carnes", 'Detalle Compras Septiembre 2026'!$C:$C, J28)</f>
        <v>5.8</v>
      </c>
      <c r="M28" s="67">
        <f>SUMIFS('Detalle Compras Septiembre 2026'!$G:$G, 'Detalle Compras Septiembre 2026'!$B:$B, "Carnes", 'Detalle Compras Septiembre 2026'!$C:$C, J28)</f>
        <v>127600</v>
      </c>
      <c r="N28" s="67">
        <f t="shared" si="2"/>
        <v>22000</v>
      </c>
      <c r="O28" s="69">
        <f t="shared" si="3"/>
        <v>7.891260410542205E-3</v>
      </c>
      <c r="P28" s="70">
        <f>COUNTIFS('Detalle Compras Septiembre 2026'!$B:$B, "Carnes", 'Detalle Compras Septiembre 2026'!$C:$C, J28)</f>
        <v>1</v>
      </c>
    </row>
    <row r="29" spans="2:16" ht="18" customHeight="1" x14ac:dyDescent="0.35">
      <c r="B29" s="72">
        <v>20</v>
      </c>
      <c r="C29" s="73">
        <f>SUMIFS('Detalle Compras Septiembre 2026'!$G:$G, 'Detalle Compras Septiembre 2026'!$A:$A, B29, 'Detalle Compras Septiembre 2026'!$B:$B, "Carnes")</f>
        <v>0</v>
      </c>
      <c r="D29" s="74">
        <f>SUMIFS('Detalle Compras Septiembre 2026'!$E:$E, 'Detalle Compras Septiembre 2026'!$A:$A, B29, 'Detalle Compras Septiembre 2026'!$B:$B, "Carnes")</f>
        <v>0</v>
      </c>
      <c r="E29" s="73">
        <f t="shared" si="0"/>
        <v>0</v>
      </c>
      <c r="F29" s="75">
        <f t="shared" si="1"/>
        <v>0</v>
      </c>
      <c r="G29" s="76">
        <f>COUNTIFS('Detalle Compras Septiembre 2026'!$A:$A, B29, 'Detalle Compras Septiembre 2026'!$B:$B, "Carnes")</f>
        <v>0</v>
      </c>
      <c r="I29" s="72">
        <v>20</v>
      </c>
      <c r="J29" s="77" t="s">
        <v>109</v>
      </c>
      <c r="K29" s="72" t="s">
        <v>108</v>
      </c>
      <c r="L29" s="74">
        <f>SUMIFS('Detalle Compras Septiembre 2026'!$E:$E, 'Detalle Compras Septiembre 2026'!$B:$B, "Carnes", 'Detalle Compras Septiembre 2026'!$C:$C, J29)</f>
        <v>7</v>
      </c>
      <c r="M29" s="73">
        <f>SUMIFS('Detalle Compras Septiembre 2026'!$G:$G, 'Detalle Compras Septiembre 2026'!$B:$B, "Carnes", 'Detalle Compras Septiembre 2026'!$C:$C, J29)</f>
        <v>140000</v>
      </c>
      <c r="N29" s="73">
        <f t="shared" si="2"/>
        <v>20000</v>
      </c>
      <c r="O29" s="75">
        <f t="shared" si="3"/>
        <v>8.6581227074914464E-3</v>
      </c>
      <c r="P29" s="76">
        <f>COUNTIFS('Detalle Compras Septiembre 2026'!$B:$B, "Carnes", 'Detalle Compras Septiembre 2026'!$C:$C, J29)</f>
        <v>1</v>
      </c>
    </row>
    <row r="30" spans="2:16" ht="18" customHeight="1" x14ac:dyDescent="0.35">
      <c r="B30" s="66">
        <v>21</v>
      </c>
      <c r="C30" s="67">
        <f>SUMIFS('Detalle Compras Septiembre 2026'!$G:$G, 'Detalle Compras Septiembre 2026'!$A:$A, B30, 'Detalle Compras Septiembre 2026'!$B:$B, "Carnes")</f>
        <v>0</v>
      </c>
      <c r="D30" s="68">
        <f>SUMIFS('Detalle Compras Septiembre 2026'!$E:$E, 'Detalle Compras Septiembre 2026'!$A:$A, B30, 'Detalle Compras Septiembre 2026'!$B:$B, "Carnes")</f>
        <v>0</v>
      </c>
      <c r="E30" s="67">
        <f t="shared" si="0"/>
        <v>0</v>
      </c>
      <c r="F30" s="69">
        <f t="shared" si="1"/>
        <v>0</v>
      </c>
      <c r="G30" s="70">
        <f>COUNTIFS('Detalle Compras Septiembre 2026'!$A:$A, B30, 'Detalle Compras Septiembre 2026'!$B:$B, "Carnes")</f>
        <v>0</v>
      </c>
      <c r="I30" s="66">
        <v>21</v>
      </c>
      <c r="J30" s="71" t="s">
        <v>110</v>
      </c>
      <c r="K30" s="66" t="s">
        <v>111</v>
      </c>
      <c r="L30" s="68">
        <f>SUMIFS('Detalle Compras Septiembre 2026'!$E:$E, 'Detalle Compras Septiembre 2026'!$B:$B, "Carnes", 'Detalle Compras Septiembre 2026'!$C:$C, J30)</f>
        <v>20</v>
      </c>
      <c r="M30" s="67">
        <f>SUMIFS('Detalle Compras Septiembre 2026'!$G:$G, 'Detalle Compras Septiembre 2026'!$B:$B, "Carnes", 'Detalle Compras Septiembre 2026'!$C:$C, J30)</f>
        <v>330000</v>
      </c>
      <c r="N30" s="67">
        <f t="shared" si="2"/>
        <v>16500</v>
      </c>
      <c r="O30" s="69">
        <f t="shared" si="3"/>
        <v>2.0408432096229841E-2</v>
      </c>
      <c r="P30" s="70">
        <f>COUNTIFS('Detalle Compras Septiembre 2026'!$B:$B, "Carnes", 'Detalle Compras Septiembre 2026'!$C:$C, J30)</f>
        <v>1</v>
      </c>
    </row>
    <row r="31" spans="2:16" ht="18" customHeight="1" x14ac:dyDescent="0.35">
      <c r="B31" s="72">
        <v>22</v>
      </c>
      <c r="C31" s="73">
        <f>SUMIFS('Detalle Compras Septiembre 2026'!$G:$G, 'Detalle Compras Septiembre 2026'!$A:$A, B31, 'Detalle Compras Septiembre 2026'!$B:$B, "Carnes")</f>
        <v>0</v>
      </c>
      <c r="D31" s="74">
        <f>SUMIFS('Detalle Compras Septiembre 2026'!$E:$E, 'Detalle Compras Septiembre 2026'!$A:$A, B31, 'Detalle Compras Septiembre 2026'!$B:$B, "Carnes")</f>
        <v>0</v>
      </c>
      <c r="E31" s="73">
        <f t="shared" si="0"/>
        <v>0</v>
      </c>
      <c r="F31" s="75">
        <f t="shared" si="1"/>
        <v>0</v>
      </c>
      <c r="G31" s="76">
        <f>COUNTIFS('Detalle Compras Septiembre 2026'!$A:$A, B31, 'Detalle Compras Septiembre 2026'!$B:$B, "Carnes")</f>
        <v>0</v>
      </c>
      <c r="I31" s="72">
        <v>22</v>
      </c>
      <c r="J31" s="77" t="s">
        <v>112</v>
      </c>
      <c r="K31" s="72" t="s">
        <v>111</v>
      </c>
      <c r="L31" s="74">
        <f>SUMIFS('Detalle Compras Septiembre 2026'!$E:$E, 'Detalle Compras Septiembre 2026'!$B:$B, "Carnes", 'Detalle Compras Septiembre 2026'!$C:$C, J31)</f>
        <v>9.8699999999999992</v>
      </c>
      <c r="M31" s="73">
        <f>SUMIFS('Detalle Compras Septiembre 2026'!$G:$G, 'Detalle Compras Septiembre 2026'!$B:$B, "Carnes", 'Detalle Compras Septiembre 2026'!$C:$C, J31)</f>
        <v>542850</v>
      </c>
      <c r="N31" s="73">
        <f t="shared" si="2"/>
        <v>55000.000000000007</v>
      </c>
      <c r="O31" s="75">
        <f t="shared" si="3"/>
        <v>3.3571870798298084E-2</v>
      </c>
      <c r="P31" s="76">
        <f>COUNTIFS('Detalle Compras Septiembre 2026'!$B:$B, "Carnes", 'Detalle Compras Septiembre 2026'!$C:$C, J31)</f>
        <v>1</v>
      </c>
    </row>
    <row r="32" spans="2:16" ht="18" customHeight="1" x14ac:dyDescent="0.35">
      <c r="B32" s="66">
        <v>23</v>
      </c>
      <c r="C32" s="67">
        <f>SUMIFS('Detalle Compras Septiembre 2026'!$G:$G, 'Detalle Compras Septiembre 2026'!$A:$A, B32, 'Detalle Compras Septiembre 2026'!$B:$B, "Carnes")</f>
        <v>0</v>
      </c>
      <c r="D32" s="68">
        <f>SUMIFS('Detalle Compras Septiembre 2026'!$E:$E, 'Detalle Compras Septiembre 2026'!$A:$A, B32, 'Detalle Compras Septiembre 2026'!$B:$B, "Carnes")</f>
        <v>0</v>
      </c>
      <c r="E32" s="67">
        <f t="shared" si="0"/>
        <v>0</v>
      </c>
      <c r="F32" s="69">
        <f t="shared" si="1"/>
        <v>0</v>
      </c>
      <c r="G32" s="70">
        <f>COUNTIFS('Detalle Compras Septiembre 2026'!$A:$A, B32, 'Detalle Compras Septiembre 2026'!$B:$B, "Carnes")</f>
        <v>0</v>
      </c>
      <c r="I32" s="66">
        <v>23</v>
      </c>
      <c r="J32" s="71" t="s">
        <v>113</v>
      </c>
      <c r="K32" s="66" t="s">
        <v>111</v>
      </c>
      <c r="L32" s="68">
        <f>SUMIFS('Detalle Compras Septiembre 2026'!$E:$E, 'Detalle Compras Septiembre 2026'!$B:$B, "Carnes", 'Detalle Compras Septiembre 2026'!$C:$C, J32)</f>
        <v>19.809999999999999</v>
      </c>
      <c r="M32" s="67">
        <f>SUMIFS('Detalle Compras Septiembre 2026'!$G:$G, 'Detalle Compras Septiembre 2026'!$B:$B, "Carnes", 'Detalle Compras Septiembre 2026'!$C:$C, J32)</f>
        <v>356580</v>
      </c>
      <c r="N32" s="67">
        <f t="shared" si="2"/>
        <v>18000</v>
      </c>
      <c r="O32" s="69">
        <f t="shared" si="3"/>
        <v>2.2052238535980716E-2</v>
      </c>
      <c r="P32" s="70">
        <f>COUNTIFS('Detalle Compras Septiembre 2026'!$B:$B, "Carnes", 'Detalle Compras Septiembre 2026'!$C:$C, J32)</f>
        <v>1</v>
      </c>
    </row>
    <row r="33" spans="2:16" ht="18" customHeight="1" x14ac:dyDescent="0.35">
      <c r="B33" s="72">
        <v>24</v>
      </c>
      <c r="C33" s="73">
        <f>SUMIFS('Detalle Compras Septiembre 2026'!$G:$G, 'Detalle Compras Septiembre 2026'!$A:$A, B33, 'Detalle Compras Septiembre 2026'!$B:$B, "Carnes")</f>
        <v>0</v>
      </c>
      <c r="D33" s="74">
        <f>SUMIFS('Detalle Compras Septiembre 2026'!$E:$E, 'Detalle Compras Septiembre 2026'!$A:$A, B33, 'Detalle Compras Septiembre 2026'!$B:$B, "Carnes")</f>
        <v>0</v>
      </c>
      <c r="E33" s="73">
        <f t="shared" si="0"/>
        <v>0</v>
      </c>
      <c r="F33" s="75">
        <f t="shared" si="1"/>
        <v>0</v>
      </c>
      <c r="G33" s="76">
        <f>COUNTIFS('Detalle Compras Septiembre 2026'!$A:$A, B33, 'Detalle Compras Septiembre 2026'!$B:$B, "Carnes")</f>
        <v>0</v>
      </c>
      <c r="I33" s="72">
        <v>24</v>
      </c>
      <c r="J33" s="77" t="s">
        <v>114</v>
      </c>
      <c r="K33" s="72" t="s">
        <v>111</v>
      </c>
      <c r="L33" s="74">
        <f>SUMIFS('Detalle Compras Septiembre 2026'!$E:$E, 'Detalle Compras Septiembre 2026'!$B:$B, "Carnes", 'Detalle Compras Septiembre 2026'!$C:$C, J33)</f>
        <v>19.7</v>
      </c>
      <c r="M33" s="73">
        <f>SUMIFS('Detalle Compras Septiembre 2026'!$G:$G, 'Detalle Compras Septiembre 2026'!$B:$B, "Carnes", 'Detalle Compras Septiembre 2026'!$C:$C, J33)</f>
        <v>451130</v>
      </c>
      <c r="N33" s="73">
        <f t="shared" si="2"/>
        <v>22900</v>
      </c>
      <c r="O33" s="75">
        <f t="shared" si="3"/>
        <v>2.7899563550218689E-2</v>
      </c>
      <c r="P33" s="76">
        <f>COUNTIFS('Detalle Compras Septiembre 2026'!$B:$B, "Carnes", 'Detalle Compras Septiembre 2026'!$C:$C, J33)</f>
        <v>1</v>
      </c>
    </row>
    <row r="34" spans="2:16" ht="18" customHeight="1" x14ac:dyDescent="0.35">
      <c r="B34" s="66">
        <v>25</v>
      </c>
      <c r="C34" s="67">
        <f>SUMIFS('Detalle Compras Septiembre 2026'!$G:$G, 'Detalle Compras Septiembre 2026'!$A:$A, B34, 'Detalle Compras Septiembre 2026'!$B:$B, "Carnes")</f>
        <v>0</v>
      </c>
      <c r="D34" s="68">
        <f>SUMIFS('Detalle Compras Septiembre 2026'!$E:$E, 'Detalle Compras Septiembre 2026'!$A:$A, B34, 'Detalle Compras Septiembre 2026'!$B:$B, "Carnes")</f>
        <v>0</v>
      </c>
      <c r="E34" s="67">
        <f t="shared" si="0"/>
        <v>0</v>
      </c>
      <c r="F34" s="69">
        <f t="shared" si="1"/>
        <v>0</v>
      </c>
      <c r="G34" s="70">
        <f>COUNTIFS('Detalle Compras Septiembre 2026'!$A:$A, B34, 'Detalle Compras Septiembre 2026'!$B:$B, "Carnes")</f>
        <v>0</v>
      </c>
      <c r="I34" s="66">
        <v>25</v>
      </c>
      <c r="J34" s="71" t="s">
        <v>115</v>
      </c>
      <c r="K34" s="66" t="s">
        <v>116</v>
      </c>
      <c r="L34" s="68">
        <f>SUMIFS('Detalle Compras Septiembre 2026'!$E:$E, 'Detalle Compras Septiembre 2026'!$B:$B, "Carnes", 'Detalle Compras Septiembre 2026'!$C:$C, J34)</f>
        <v>0</v>
      </c>
      <c r="M34" s="67">
        <f>SUMIFS('Detalle Compras Septiembre 2026'!$G:$G, 'Detalle Compras Septiembre 2026'!$B:$B, "Carnes", 'Detalle Compras Septiembre 2026'!$C:$C, J34)</f>
        <v>0</v>
      </c>
      <c r="N34" s="67">
        <f t="shared" si="2"/>
        <v>0</v>
      </c>
      <c r="O34" s="69">
        <f t="shared" si="3"/>
        <v>0</v>
      </c>
      <c r="P34" s="70">
        <f>COUNTIFS('Detalle Compras Septiembre 2026'!$B:$B, "Carnes", 'Detalle Compras Septiembre 2026'!$C:$C, J34)</f>
        <v>0</v>
      </c>
    </row>
    <row r="35" spans="2:16" ht="18" customHeight="1" x14ac:dyDescent="0.35">
      <c r="B35" s="72">
        <v>26</v>
      </c>
      <c r="C35" s="73">
        <f>SUMIFS('Detalle Compras Septiembre 2026'!$G:$G, 'Detalle Compras Septiembre 2026'!$A:$A, B35, 'Detalle Compras Septiembre 2026'!$B:$B, "Carnes")</f>
        <v>0</v>
      </c>
      <c r="D35" s="74">
        <f>SUMIFS('Detalle Compras Septiembre 2026'!$E:$E, 'Detalle Compras Septiembre 2026'!$A:$A, B35, 'Detalle Compras Septiembre 2026'!$B:$B, "Carnes")</f>
        <v>0</v>
      </c>
      <c r="E35" s="73">
        <f t="shared" si="0"/>
        <v>0</v>
      </c>
      <c r="F35" s="75">
        <f t="shared" si="1"/>
        <v>0</v>
      </c>
      <c r="G35" s="76">
        <f>COUNTIFS('Detalle Compras Septiembre 2026'!$A:$A, B35, 'Detalle Compras Septiembre 2026'!$B:$B, "Carnes")</f>
        <v>0</v>
      </c>
      <c r="I35" s="72">
        <v>26</v>
      </c>
      <c r="J35" s="77" t="s">
        <v>73</v>
      </c>
      <c r="K35" s="72" t="s">
        <v>116</v>
      </c>
      <c r="L35" s="74">
        <f>SUMIFS('Detalle Compras Septiembre 2026'!$E:$E, 'Detalle Compras Septiembre 2026'!$B:$B, "Carnes", 'Detalle Compras Septiembre 2026'!$C:$C, J35)</f>
        <v>0</v>
      </c>
      <c r="M35" s="73">
        <f>SUMIFS('Detalle Compras Septiembre 2026'!$G:$G, 'Detalle Compras Septiembre 2026'!$B:$B, "Carnes", 'Detalle Compras Septiembre 2026'!$C:$C, J35)</f>
        <v>0</v>
      </c>
      <c r="N35" s="73">
        <f t="shared" si="2"/>
        <v>0</v>
      </c>
      <c r="O35" s="75">
        <f t="shared" si="3"/>
        <v>0</v>
      </c>
      <c r="P35" s="76">
        <f>COUNTIFS('Detalle Compras Septiembre 2026'!$B:$B, "Carnes", 'Detalle Compras Septiembre 2026'!$C:$C, J35)</f>
        <v>0</v>
      </c>
    </row>
    <row r="36" spans="2:16" ht="18" customHeight="1" x14ac:dyDescent="0.35">
      <c r="B36" s="66">
        <v>27</v>
      </c>
      <c r="C36" s="67">
        <f>SUMIFS('Detalle Compras Septiembre 2026'!$G:$G, 'Detalle Compras Septiembre 2026'!$A:$A, B36, 'Detalle Compras Septiembre 2026'!$B:$B, "Carnes")</f>
        <v>0</v>
      </c>
      <c r="D36" s="68">
        <f>SUMIFS('Detalle Compras Septiembre 2026'!$E:$E, 'Detalle Compras Septiembre 2026'!$A:$A, B36, 'Detalle Compras Septiembre 2026'!$B:$B, "Carnes")</f>
        <v>0</v>
      </c>
      <c r="E36" s="67">
        <f t="shared" si="0"/>
        <v>0</v>
      </c>
      <c r="F36" s="69">
        <f t="shared" si="1"/>
        <v>0</v>
      </c>
      <c r="G36" s="70">
        <f>COUNTIFS('Detalle Compras Septiembre 2026'!$A:$A, B36, 'Detalle Compras Septiembre 2026'!$B:$B, "Carnes")</f>
        <v>0</v>
      </c>
      <c r="I36" s="66">
        <v>27</v>
      </c>
      <c r="J36" s="71" t="s">
        <v>117</v>
      </c>
      <c r="K36" s="66" t="s">
        <v>116</v>
      </c>
      <c r="L36" s="68">
        <f>SUMIFS('Detalle Compras Septiembre 2026'!$E:$E, 'Detalle Compras Septiembre 2026'!$B:$B, "Carnes", 'Detalle Compras Septiembre 2026'!$C:$C, J36)</f>
        <v>0</v>
      </c>
      <c r="M36" s="67">
        <f>SUMIFS('Detalle Compras Septiembre 2026'!$G:$G, 'Detalle Compras Septiembre 2026'!$B:$B, "Carnes", 'Detalle Compras Septiembre 2026'!$C:$C, J36)</f>
        <v>0</v>
      </c>
      <c r="N36" s="67">
        <f t="shared" si="2"/>
        <v>0</v>
      </c>
      <c r="O36" s="69">
        <f t="shared" si="3"/>
        <v>0</v>
      </c>
      <c r="P36" s="70">
        <f>COUNTIFS('Detalle Compras Septiembre 2026'!$B:$B, "Carnes", 'Detalle Compras Septiembre 2026'!$C:$C, J36)</f>
        <v>0</v>
      </c>
    </row>
    <row r="37" spans="2:16" ht="18" customHeight="1" x14ac:dyDescent="0.35">
      <c r="B37" s="72">
        <v>28</v>
      </c>
      <c r="C37" s="73">
        <f>SUMIFS('Detalle Compras Septiembre 2026'!$G:$G, 'Detalle Compras Septiembre 2026'!$A:$A, B37, 'Detalle Compras Septiembre 2026'!$B:$B, "Carnes")</f>
        <v>0</v>
      </c>
      <c r="D37" s="74">
        <f>SUMIFS('Detalle Compras Septiembre 2026'!$E:$E, 'Detalle Compras Septiembre 2026'!$A:$A, B37, 'Detalle Compras Septiembre 2026'!$B:$B, "Carnes")</f>
        <v>0</v>
      </c>
      <c r="E37" s="73">
        <f t="shared" si="0"/>
        <v>0</v>
      </c>
      <c r="F37" s="75">
        <f t="shared" si="1"/>
        <v>0</v>
      </c>
      <c r="G37" s="76">
        <f>COUNTIFS('Detalle Compras Septiembre 2026'!$A:$A, B37, 'Detalle Compras Septiembre 2026'!$B:$B, "Carnes")</f>
        <v>0</v>
      </c>
      <c r="I37" s="72">
        <v>28</v>
      </c>
      <c r="J37" s="77" t="s">
        <v>118</v>
      </c>
      <c r="K37" s="72" t="s">
        <v>116</v>
      </c>
      <c r="L37" s="74">
        <f>SUMIFS('Detalle Compras Septiembre 2026'!$E:$E, 'Detalle Compras Septiembre 2026'!$B:$B, "Carnes", 'Detalle Compras Septiembre 2026'!$C:$C, J37)</f>
        <v>0</v>
      </c>
      <c r="M37" s="73">
        <f>SUMIFS('Detalle Compras Septiembre 2026'!$G:$G, 'Detalle Compras Septiembre 2026'!$B:$B, "Carnes", 'Detalle Compras Septiembre 2026'!$C:$C, J37)</f>
        <v>0</v>
      </c>
      <c r="N37" s="73">
        <f t="shared" si="2"/>
        <v>0</v>
      </c>
      <c r="O37" s="75">
        <f t="shared" si="3"/>
        <v>0</v>
      </c>
      <c r="P37" s="76">
        <f>COUNTIFS('Detalle Compras Septiembre 2026'!$B:$B, "Carnes", 'Detalle Compras Septiembre 2026'!$C:$C, J37)</f>
        <v>0</v>
      </c>
    </row>
    <row r="38" spans="2:16" ht="18" customHeight="1" x14ac:dyDescent="0.35">
      <c r="B38" s="66">
        <v>29</v>
      </c>
      <c r="C38" s="67">
        <f>SUMIFS('Detalle Compras Septiembre 2026'!$G:$G, 'Detalle Compras Septiembre 2026'!$A:$A, B38, 'Detalle Compras Septiembre 2026'!$B:$B, "Carnes")</f>
        <v>0</v>
      </c>
      <c r="D38" s="68">
        <f>SUMIFS('Detalle Compras Septiembre 2026'!$E:$E, 'Detalle Compras Septiembre 2026'!$A:$A, B38, 'Detalle Compras Septiembre 2026'!$B:$B, "Carnes")</f>
        <v>0</v>
      </c>
      <c r="E38" s="67">
        <f t="shared" si="0"/>
        <v>0</v>
      </c>
      <c r="F38" s="69">
        <f t="shared" si="1"/>
        <v>0</v>
      </c>
      <c r="G38" s="70">
        <f>COUNTIFS('Detalle Compras Septiembre 2026'!$A:$A, B38, 'Detalle Compras Septiembre 2026'!$B:$B, "Carnes")</f>
        <v>0</v>
      </c>
      <c r="I38" s="66">
        <v>29</v>
      </c>
      <c r="J38" s="71" t="s">
        <v>119</v>
      </c>
      <c r="K38" s="66" t="s">
        <v>116</v>
      </c>
      <c r="L38" s="68">
        <f>SUMIFS('Detalle Compras Septiembre 2026'!$E:$E, 'Detalle Compras Septiembre 2026'!$B:$B, "Carnes", 'Detalle Compras Septiembre 2026'!$C:$C, J38)</f>
        <v>0</v>
      </c>
      <c r="M38" s="67">
        <f>SUMIFS('Detalle Compras Septiembre 2026'!$G:$G, 'Detalle Compras Septiembre 2026'!$B:$B, "Carnes", 'Detalle Compras Septiembre 2026'!$C:$C, J38)</f>
        <v>0</v>
      </c>
      <c r="N38" s="67">
        <f t="shared" si="2"/>
        <v>0</v>
      </c>
      <c r="O38" s="69">
        <f t="shared" si="3"/>
        <v>0</v>
      </c>
      <c r="P38" s="70">
        <f>COUNTIFS('Detalle Compras Septiembre 2026'!$B:$B, "Carnes", 'Detalle Compras Septiembre 2026'!$C:$C, J38)</f>
        <v>0</v>
      </c>
    </row>
    <row r="39" spans="2:16" ht="18" customHeight="1" x14ac:dyDescent="0.35">
      <c r="B39" s="72">
        <v>30</v>
      </c>
      <c r="C39" s="73">
        <f>SUMIFS('Detalle Compras Septiembre 2026'!$G:$G, 'Detalle Compras Septiembre 2026'!$A:$A, B39, 'Detalle Compras Septiembre 2026'!$B:$B, "Carnes")</f>
        <v>0</v>
      </c>
      <c r="D39" s="74">
        <f>SUMIFS('Detalle Compras Septiembre 2026'!$E:$E, 'Detalle Compras Septiembre 2026'!$A:$A, B39, 'Detalle Compras Septiembre 2026'!$B:$B, "Carnes")</f>
        <v>0</v>
      </c>
      <c r="E39" s="73">
        <f t="shared" si="0"/>
        <v>0</v>
      </c>
      <c r="F39" s="75">
        <f t="shared" si="1"/>
        <v>0</v>
      </c>
      <c r="G39" s="76">
        <f>COUNTIFS('Detalle Compras Septiembre 2026'!$A:$A, B39, 'Detalle Compras Septiembre 2026'!$B:$B, "Carnes")</f>
        <v>0</v>
      </c>
      <c r="I39" s="72">
        <v>30</v>
      </c>
      <c r="J39" s="77" t="s">
        <v>120</v>
      </c>
      <c r="K39" s="72" t="s">
        <v>121</v>
      </c>
      <c r="L39" s="74">
        <f>SUMIFS('Detalle Compras Septiembre 2026'!$E:$E, 'Detalle Compras Septiembre 2026'!$B:$B, "Carnes", 'Detalle Compras Septiembre 2026'!$C:$C, J39)</f>
        <v>0</v>
      </c>
      <c r="M39" s="73">
        <f>SUMIFS('Detalle Compras Septiembre 2026'!$G:$G, 'Detalle Compras Septiembre 2026'!$B:$B, "Carnes", 'Detalle Compras Septiembre 2026'!$C:$C, J39)</f>
        <v>0</v>
      </c>
      <c r="N39" s="73">
        <f t="shared" si="2"/>
        <v>0</v>
      </c>
      <c r="O39" s="75">
        <f t="shared" si="3"/>
        <v>0</v>
      </c>
      <c r="P39" s="76">
        <f>COUNTIFS('Detalle Compras Septiembre 2026'!$B:$B, "Carnes", 'Detalle Compras Septiembre 2026'!$C:$C, J39)</f>
        <v>0</v>
      </c>
    </row>
    <row r="40" spans="2:16" ht="18" customHeight="1" x14ac:dyDescent="0.35">
      <c r="B40" s="78" t="s">
        <v>47</v>
      </c>
      <c r="C40" s="79">
        <f>SUM(C10:C39)</f>
        <v>16169787</v>
      </c>
      <c r="D40" s="80">
        <f>SUM(D10:D39)</f>
        <v>654.35699999999997</v>
      </c>
      <c r="E40" s="79">
        <f t="shared" si="0"/>
        <v>24710.95594606614</v>
      </c>
      <c r="F40" s="81">
        <f>IF(C40&gt;0, 1, 0)</f>
        <v>1</v>
      </c>
      <c r="G40" s="82">
        <f>SUM(G10:G39)</f>
        <v>26</v>
      </c>
      <c r="I40" s="66">
        <v>31</v>
      </c>
      <c r="J40" s="71" t="s">
        <v>122</v>
      </c>
      <c r="K40" s="66" t="s">
        <v>121</v>
      </c>
      <c r="L40" s="68">
        <f>SUMIFS('Detalle Compras Septiembre 2026'!$E:$E, 'Detalle Compras Septiembre 2026'!$B:$B, "Carnes", 'Detalle Compras Septiembre 2026'!$C:$C, J40)</f>
        <v>0</v>
      </c>
      <c r="M40" s="67">
        <f>SUMIFS('Detalle Compras Septiembre 2026'!$G:$G, 'Detalle Compras Septiembre 2026'!$B:$B, "Carnes", 'Detalle Compras Septiembre 2026'!$C:$C, J40)</f>
        <v>0</v>
      </c>
      <c r="N40" s="67">
        <f t="shared" si="2"/>
        <v>0</v>
      </c>
      <c r="O40" s="69">
        <f t="shared" si="3"/>
        <v>0</v>
      </c>
      <c r="P40" s="70">
        <f>COUNTIFS('Detalle Compras Septiembre 2026'!$B:$B, "Carnes", 'Detalle Compras Septiembre 2026'!$C:$C, J40)</f>
        <v>0</v>
      </c>
    </row>
    <row r="41" spans="2:16" ht="18" customHeight="1" x14ac:dyDescent="0.35">
      <c r="I41" s="72">
        <v>32</v>
      </c>
      <c r="J41" s="77" t="s">
        <v>123</v>
      </c>
      <c r="K41" s="72" t="s">
        <v>121</v>
      </c>
      <c r="L41" s="74">
        <f>SUMIFS('Detalle Compras Septiembre 2026'!$E:$E, 'Detalle Compras Septiembre 2026'!$B:$B, "Carnes", 'Detalle Compras Septiembre 2026'!$C:$C, J41)</f>
        <v>0</v>
      </c>
      <c r="M41" s="73">
        <f>SUMIFS('Detalle Compras Septiembre 2026'!$G:$G, 'Detalle Compras Septiembre 2026'!$B:$B, "Carnes", 'Detalle Compras Septiembre 2026'!$C:$C, J41)</f>
        <v>0</v>
      </c>
      <c r="N41" s="73">
        <f t="shared" si="2"/>
        <v>0</v>
      </c>
      <c r="O41" s="75">
        <f t="shared" si="3"/>
        <v>0</v>
      </c>
      <c r="P41" s="76">
        <f>COUNTIFS('Detalle Compras Septiembre 2026'!$B:$B, "Carnes", 'Detalle Compras Septiembre 2026'!$C:$C, J41)</f>
        <v>0</v>
      </c>
    </row>
    <row r="42" spans="2:16" ht="20" customHeight="1" x14ac:dyDescent="0.35">
      <c r="I42" s="120" t="s">
        <v>124</v>
      </c>
      <c r="J42" s="121"/>
      <c r="K42" s="121"/>
      <c r="L42" s="80">
        <f>SUM(L10:L41)</f>
        <v>664.65699999999993</v>
      </c>
      <c r="M42" s="79">
        <f>SUM(M10:M41)</f>
        <v>16375787</v>
      </c>
      <c r="N42" s="79">
        <f t="shared" si="2"/>
        <v>24637.951605113616</v>
      </c>
      <c r="O42" s="81">
        <f>SUM(O10:O41)</f>
        <v>1.0127398091267374</v>
      </c>
      <c r="P42" s="82">
        <f>SUM(P10:P41)</f>
        <v>27</v>
      </c>
    </row>
  </sheetData>
  <mergeCells count="9">
    <mergeCell ref="B2:H2"/>
    <mergeCell ref="B3:H3"/>
    <mergeCell ref="I8:P8"/>
    <mergeCell ref="D6:E6"/>
    <mergeCell ref="B6:C6"/>
    <mergeCell ref="I42:K42"/>
    <mergeCell ref="B5:C5"/>
    <mergeCell ref="D5:E5"/>
    <mergeCell ref="B8:G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Q49"/>
  <sheetViews>
    <sheetView workbookViewId="0">
      <selection activeCell="F16" sqref="F16"/>
    </sheetView>
  </sheetViews>
  <sheetFormatPr baseColWidth="10" defaultColWidth="8.7265625" defaultRowHeight="14.5" x14ac:dyDescent="0.35"/>
  <cols>
    <col min="1" max="1" width="4" customWidth="1"/>
    <col min="2" max="2" width="8" customWidth="1"/>
    <col min="3" max="4" width="18" customWidth="1"/>
    <col min="5" max="5" width="16" customWidth="1"/>
    <col min="6" max="6" width="15.36328125" bestFit="1" customWidth="1"/>
    <col min="7" max="7" width="13" customWidth="1"/>
    <col min="8" max="8" width="18" customWidth="1"/>
    <col min="9" max="9" width="6" customWidth="1"/>
    <col min="10" max="10" width="26" customWidth="1"/>
    <col min="11" max="11" width="16" customWidth="1"/>
    <col min="12" max="12" width="20" customWidth="1"/>
    <col min="13" max="13" width="15" customWidth="1"/>
    <col min="14" max="14" width="18" customWidth="1"/>
    <col min="15" max="15" width="18" bestFit="1" customWidth="1"/>
    <col min="16" max="16" width="14" customWidth="1"/>
    <col min="17" max="17" width="13" customWidth="1"/>
  </cols>
  <sheetData>
    <row r="2" spans="2:17" ht="28" customHeight="1" x14ac:dyDescent="0.35">
      <c r="B2" s="130" t="s">
        <v>125</v>
      </c>
      <c r="C2" s="103"/>
      <c r="D2" s="103"/>
      <c r="E2" s="103"/>
      <c r="F2" s="103"/>
      <c r="G2" s="103"/>
      <c r="H2" s="103"/>
    </row>
    <row r="3" spans="2:17" ht="18" customHeight="1" x14ac:dyDescent="0.35">
      <c r="B3" s="131" t="s">
        <v>126</v>
      </c>
      <c r="C3" s="103"/>
      <c r="D3" s="103"/>
      <c r="E3" s="103"/>
      <c r="F3" s="103"/>
      <c r="G3" s="103"/>
      <c r="H3" s="103"/>
    </row>
    <row r="5" spans="2:17" ht="18" customHeight="1" x14ac:dyDescent="0.35">
      <c r="B5" s="128" t="s">
        <v>127</v>
      </c>
      <c r="C5" s="118"/>
      <c r="D5" s="128" t="s">
        <v>128</v>
      </c>
      <c r="E5" s="118"/>
      <c r="F5" s="83" t="s">
        <v>129</v>
      </c>
      <c r="G5" s="83" t="s">
        <v>130</v>
      </c>
      <c r="H5" s="83" t="s">
        <v>83</v>
      </c>
    </row>
    <row r="6" spans="2:17" ht="24" customHeight="1" x14ac:dyDescent="0.35">
      <c r="B6" s="127">
        <f>SUMIFS('Detalle Compras Septiembre 2026'!$G:$G, 'Detalle Compras Septiembre 2026'!$B:$B, "Bebidas")</f>
        <v>1544400</v>
      </c>
      <c r="C6" s="118"/>
      <c r="D6" s="126">
        <f>SUMIFS('Detalle Compras Septiembre 2026'!$E:$E, 'Detalle Compras Septiembre 2026'!$B:$B, "Bebidas")</f>
        <v>38</v>
      </c>
      <c r="E6" s="118"/>
      <c r="F6" s="84">
        <f>IF(D6&gt;0, B6/D6, 0)</f>
        <v>40642.105263157893</v>
      </c>
      <c r="G6" s="85">
        <f>COUNTIF('Detalle Compras Septiembre 2026'!$B:$B, "Bebidas")</f>
        <v>15</v>
      </c>
      <c r="H6" s="86">
        <f>IF(Dashboard!$E$58&gt;0, B6/Dashboard!$E$58, 0)</f>
        <v>7.9092102148648286E-2</v>
      </c>
    </row>
    <row r="8" spans="2:17" x14ac:dyDescent="0.35">
      <c r="B8" s="129" t="s">
        <v>131</v>
      </c>
      <c r="C8" s="103"/>
      <c r="D8" s="103"/>
      <c r="E8" s="103"/>
      <c r="F8" s="103"/>
      <c r="G8" s="103"/>
      <c r="I8" s="129" t="s">
        <v>132</v>
      </c>
      <c r="J8" s="103"/>
      <c r="K8" s="103"/>
      <c r="L8" s="103"/>
      <c r="M8" s="103"/>
      <c r="N8" s="103"/>
      <c r="O8" s="103"/>
      <c r="P8" s="103"/>
      <c r="Q8" s="103"/>
    </row>
    <row r="9" spans="2:17" ht="22" customHeight="1" x14ac:dyDescent="0.35">
      <c r="B9" s="87" t="s">
        <v>35</v>
      </c>
      <c r="C9" s="87" t="s">
        <v>86</v>
      </c>
      <c r="D9" s="87" t="s">
        <v>133</v>
      </c>
      <c r="E9" s="87" t="s">
        <v>134</v>
      </c>
      <c r="F9" s="87" t="s">
        <v>89</v>
      </c>
      <c r="G9" s="87" t="s">
        <v>135</v>
      </c>
      <c r="I9" s="87" t="s">
        <v>54</v>
      </c>
      <c r="J9" s="87" t="s">
        <v>136</v>
      </c>
      <c r="K9" s="87" t="s">
        <v>137</v>
      </c>
      <c r="L9" s="87" t="s">
        <v>138</v>
      </c>
      <c r="M9" s="87" t="s">
        <v>139</v>
      </c>
      <c r="N9" s="87" t="s">
        <v>86</v>
      </c>
      <c r="O9" s="87" t="s">
        <v>140</v>
      </c>
      <c r="P9" s="87" t="s">
        <v>141</v>
      </c>
      <c r="Q9" s="87" t="s">
        <v>135</v>
      </c>
    </row>
    <row r="10" spans="2:17" ht="18" customHeight="1" x14ac:dyDescent="0.35">
      <c r="B10" s="66">
        <v>1</v>
      </c>
      <c r="C10" s="67">
        <f>SUMIFS('Detalle Compras Septiembre 2026'!$G:$G, 'Detalle Compras Septiembre 2026'!$A:$A, B10, 'Detalle Compras Septiembre 2026'!$B:$B, "Bebidas")</f>
        <v>411700</v>
      </c>
      <c r="D10" s="88">
        <f>SUMIFS('Detalle Compras Septiembre 2026'!$E:$E, 'Detalle Compras Septiembre 2026'!$A:$A, B10, 'Detalle Compras Septiembre 2026'!$B:$B, "Bebidas")</f>
        <v>5</v>
      </c>
      <c r="E10" s="67">
        <f t="shared" ref="E10:E40" si="0">IF(D10&gt;0, C10/D10, 0)</f>
        <v>82340</v>
      </c>
      <c r="F10" s="69">
        <f t="shared" ref="F10:F39" si="1">IF($C$40&gt;0, C10/$C$40, 0)</f>
        <v>0.26657601657601659</v>
      </c>
      <c r="G10" s="70">
        <f>COUNTIFS('Detalle Compras Septiembre 2026'!$A:$A, B10, 'Detalle Compras Septiembre 2026'!$B:$B, "Bebidas")</f>
        <v>4</v>
      </c>
      <c r="I10" s="66">
        <v>1</v>
      </c>
      <c r="J10" s="71" t="s">
        <v>142</v>
      </c>
      <c r="K10" s="66" t="s">
        <v>143</v>
      </c>
      <c r="L10" s="89" t="s">
        <v>144</v>
      </c>
      <c r="M10" s="88">
        <f>SUMIFS('Detalle Compras Septiembre 2026'!$E:$E, 'Detalle Compras Septiembre 2026'!$B:$B, "Bebidas", 'Detalle Compras Septiembre 2026'!$C:$C, J10)</f>
        <v>2</v>
      </c>
      <c r="N10" s="67">
        <f>SUMIFS('Detalle Compras Septiembre 2026'!$G:$G, 'Detalle Compras Septiembre 2026'!$B:$B, "Bebidas", 'Detalle Compras Septiembre 2026'!$C:$C, J10)</f>
        <v>149000</v>
      </c>
      <c r="O10" s="67">
        <f t="shared" ref="O10:O49" si="2">IF(M10&gt;0, N10/M10, 0)</f>
        <v>74500</v>
      </c>
      <c r="P10" s="69">
        <f t="shared" ref="P10:P48" si="3">IF($C$40&gt;0, N10/$C$40, 0)</f>
        <v>9.6477596477596475E-2</v>
      </c>
      <c r="Q10" s="70">
        <f>COUNTIFS('Detalle Compras Septiembre 2026'!$B:$B, "Bebidas", 'Detalle Compras Septiembre 2026'!$C:$C, J10)</f>
        <v>1</v>
      </c>
    </row>
    <row r="11" spans="2:17" ht="18" customHeight="1" x14ac:dyDescent="0.35">
      <c r="B11" s="90">
        <v>2</v>
      </c>
      <c r="C11" s="91">
        <f>SUMIFS('Detalle Compras Septiembre 2026'!$G:$G, 'Detalle Compras Septiembre 2026'!$A:$A, B11, 'Detalle Compras Septiembre 2026'!$B:$B, "Bebidas")</f>
        <v>162100</v>
      </c>
      <c r="D11" s="92">
        <f>SUMIFS('Detalle Compras Septiembre 2026'!$E:$E, 'Detalle Compras Septiembre 2026'!$A:$A, B11, 'Detalle Compras Septiembre 2026'!$B:$B, "Bebidas")</f>
        <v>4</v>
      </c>
      <c r="E11" s="91">
        <f t="shared" si="0"/>
        <v>40525</v>
      </c>
      <c r="F11" s="93">
        <f t="shared" si="1"/>
        <v>0.10495985495985496</v>
      </c>
      <c r="G11" s="94">
        <f>COUNTIFS('Detalle Compras Septiembre 2026'!$A:$A, B11, 'Detalle Compras Septiembre 2026'!$B:$B, "Bebidas")</f>
        <v>3</v>
      </c>
      <c r="I11" s="90">
        <v>2</v>
      </c>
      <c r="J11" s="95" t="s">
        <v>145</v>
      </c>
      <c r="K11" s="90" t="s">
        <v>143</v>
      </c>
      <c r="L11" s="96" t="s">
        <v>144</v>
      </c>
      <c r="M11" s="92">
        <f>SUMIFS('Detalle Compras Septiembre 2026'!$E:$E, 'Detalle Compras Septiembre 2026'!$B:$B, "Bebidas", 'Detalle Compras Septiembre 2026'!$C:$C, J11)</f>
        <v>1</v>
      </c>
      <c r="N11" s="91">
        <f>SUMIFS('Detalle Compras Septiembre 2026'!$G:$G, 'Detalle Compras Septiembre 2026'!$B:$B, "Bebidas", 'Detalle Compras Septiembre 2026'!$C:$C, J11)</f>
        <v>77500</v>
      </c>
      <c r="O11" s="91">
        <f t="shared" si="2"/>
        <v>77500</v>
      </c>
      <c r="P11" s="93">
        <f t="shared" si="3"/>
        <v>5.0181300181300181E-2</v>
      </c>
      <c r="Q11" s="94">
        <f>COUNTIFS('Detalle Compras Septiembre 2026'!$B:$B, "Bebidas", 'Detalle Compras Septiembre 2026'!$C:$C, J11)</f>
        <v>1</v>
      </c>
    </row>
    <row r="12" spans="2:17" ht="18" customHeight="1" x14ac:dyDescent="0.35">
      <c r="B12" s="66">
        <v>3</v>
      </c>
      <c r="C12" s="67">
        <f>SUMIFS('Detalle Compras Septiembre 2026'!$G:$G, 'Detalle Compras Septiembre 2026'!$A:$A, B12, 'Detalle Compras Septiembre 2026'!$B:$B, "Bebidas")</f>
        <v>970600</v>
      </c>
      <c r="D12" s="88">
        <f>SUMIFS('Detalle Compras Septiembre 2026'!$E:$E, 'Detalle Compras Septiembre 2026'!$A:$A, B12, 'Detalle Compras Septiembre 2026'!$B:$B, "Bebidas")</f>
        <v>29</v>
      </c>
      <c r="E12" s="67">
        <f t="shared" si="0"/>
        <v>33468.965517241377</v>
      </c>
      <c r="F12" s="69">
        <f t="shared" si="1"/>
        <v>0.62846412846412847</v>
      </c>
      <c r="G12" s="70">
        <f>COUNTIFS('Detalle Compras Septiembre 2026'!$A:$A, B12, 'Detalle Compras Septiembre 2026'!$B:$B, "Bebidas")</f>
        <v>8</v>
      </c>
      <c r="I12" s="66">
        <v>3</v>
      </c>
      <c r="J12" s="71" t="s">
        <v>146</v>
      </c>
      <c r="K12" s="66" t="s">
        <v>143</v>
      </c>
      <c r="L12" s="89" t="s">
        <v>147</v>
      </c>
      <c r="M12" s="88">
        <f>SUMIFS('Detalle Compras Septiembre 2026'!$E:$E, 'Detalle Compras Septiembre 2026'!$B:$B, "Bebidas", 'Detalle Compras Septiembre 2026'!$C:$C, J12)</f>
        <v>1</v>
      </c>
      <c r="N12" s="67">
        <f>SUMIFS('Detalle Compras Septiembre 2026'!$G:$G, 'Detalle Compras Septiembre 2026'!$B:$B, "Bebidas", 'Detalle Compras Septiembre 2026'!$C:$C, J12)</f>
        <v>93000</v>
      </c>
      <c r="O12" s="67">
        <f t="shared" si="2"/>
        <v>93000</v>
      </c>
      <c r="P12" s="69">
        <f t="shared" si="3"/>
        <v>6.0217560217560216E-2</v>
      </c>
      <c r="Q12" s="70">
        <f>COUNTIFS('Detalle Compras Septiembre 2026'!$B:$B, "Bebidas", 'Detalle Compras Septiembre 2026'!$C:$C, J12)</f>
        <v>1</v>
      </c>
    </row>
    <row r="13" spans="2:17" ht="18" customHeight="1" x14ac:dyDescent="0.35">
      <c r="B13" s="90">
        <v>4</v>
      </c>
      <c r="C13" s="91">
        <f>SUMIFS('Detalle Compras Septiembre 2026'!$G:$G, 'Detalle Compras Septiembre 2026'!$A:$A, B13, 'Detalle Compras Septiembre 2026'!$B:$B, "Bebidas")</f>
        <v>0</v>
      </c>
      <c r="D13" s="92">
        <f>SUMIFS('Detalle Compras Septiembre 2026'!$E:$E, 'Detalle Compras Septiembre 2026'!$A:$A, B13, 'Detalle Compras Septiembre 2026'!$B:$B, "Bebidas")</f>
        <v>0</v>
      </c>
      <c r="E13" s="91">
        <f t="shared" si="0"/>
        <v>0</v>
      </c>
      <c r="F13" s="93">
        <f t="shared" si="1"/>
        <v>0</v>
      </c>
      <c r="G13" s="94">
        <f>COUNTIFS('Detalle Compras Septiembre 2026'!$A:$A, B13, 'Detalle Compras Septiembre 2026'!$B:$B, "Bebidas")</f>
        <v>0</v>
      </c>
      <c r="I13" s="90">
        <v>4</v>
      </c>
      <c r="J13" s="95" t="s">
        <v>148</v>
      </c>
      <c r="K13" s="90" t="s">
        <v>143</v>
      </c>
      <c r="L13" s="96" t="s">
        <v>149</v>
      </c>
      <c r="M13" s="92">
        <f>SUMIFS('Detalle Compras Septiembre 2026'!$E:$E, 'Detalle Compras Septiembre 2026'!$B:$B, "Bebidas", 'Detalle Compras Septiembre 2026'!$C:$C, J13)</f>
        <v>1</v>
      </c>
      <c r="N13" s="91">
        <f>SUMIFS('Detalle Compras Septiembre 2026'!$G:$G, 'Detalle Compras Septiembre 2026'!$B:$B, "Bebidas", 'Detalle Compras Septiembre 2026'!$C:$C, J13)</f>
        <v>92200</v>
      </c>
      <c r="O13" s="91">
        <f t="shared" si="2"/>
        <v>92200</v>
      </c>
      <c r="P13" s="93">
        <f t="shared" si="3"/>
        <v>5.9699559699559701E-2</v>
      </c>
      <c r="Q13" s="94">
        <f>COUNTIFS('Detalle Compras Septiembre 2026'!$B:$B, "Bebidas", 'Detalle Compras Septiembre 2026'!$C:$C, J13)</f>
        <v>1</v>
      </c>
    </row>
    <row r="14" spans="2:17" ht="18" customHeight="1" x14ac:dyDescent="0.35">
      <c r="B14" s="66">
        <v>5</v>
      </c>
      <c r="C14" s="67">
        <f>SUMIFS('Detalle Compras Septiembre 2026'!$G:$G, 'Detalle Compras Septiembre 2026'!$A:$A, B14, 'Detalle Compras Septiembre 2026'!$B:$B, "Bebidas")</f>
        <v>0</v>
      </c>
      <c r="D14" s="88">
        <f>SUMIFS('Detalle Compras Septiembre 2026'!$E:$E, 'Detalle Compras Septiembre 2026'!$A:$A, B14, 'Detalle Compras Septiembre 2026'!$B:$B, "Bebidas")</f>
        <v>0</v>
      </c>
      <c r="E14" s="67">
        <f t="shared" si="0"/>
        <v>0</v>
      </c>
      <c r="F14" s="69">
        <f t="shared" si="1"/>
        <v>0</v>
      </c>
      <c r="G14" s="70">
        <f>COUNTIFS('Detalle Compras Septiembre 2026'!$A:$A, B14, 'Detalle Compras Septiembre 2026'!$B:$B, "Bebidas")</f>
        <v>0</v>
      </c>
      <c r="I14" s="66">
        <v>5</v>
      </c>
      <c r="J14" s="71" t="s">
        <v>150</v>
      </c>
      <c r="K14" s="66" t="s">
        <v>143</v>
      </c>
      <c r="L14" s="89" t="s">
        <v>147</v>
      </c>
      <c r="M14" s="88">
        <f>SUMIFS('Detalle Compras Septiembre 2026'!$E:$E, 'Detalle Compras Septiembre 2026'!$B:$B, "Bebidas", 'Detalle Compras Septiembre 2026'!$C:$C, J14)</f>
        <v>0</v>
      </c>
      <c r="N14" s="67">
        <f>SUMIFS('Detalle Compras Septiembre 2026'!$G:$G, 'Detalle Compras Septiembre 2026'!$B:$B, "Bebidas", 'Detalle Compras Septiembre 2026'!$C:$C, J14)</f>
        <v>0</v>
      </c>
      <c r="O14" s="67">
        <f t="shared" si="2"/>
        <v>0</v>
      </c>
      <c r="P14" s="69">
        <f t="shared" si="3"/>
        <v>0</v>
      </c>
      <c r="Q14" s="70">
        <f>COUNTIFS('Detalle Compras Septiembre 2026'!$B:$B, "Bebidas", 'Detalle Compras Septiembre 2026'!$C:$C, J14)</f>
        <v>0</v>
      </c>
    </row>
    <row r="15" spans="2:17" ht="18" customHeight="1" x14ac:dyDescent="0.35">
      <c r="B15" s="90">
        <v>6</v>
      </c>
      <c r="C15" s="91">
        <f>SUMIFS('Detalle Compras Septiembre 2026'!$G:$G, 'Detalle Compras Septiembre 2026'!$A:$A, B15, 'Detalle Compras Septiembre 2026'!$B:$B, "Bebidas")</f>
        <v>0</v>
      </c>
      <c r="D15" s="92">
        <f>SUMIFS('Detalle Compras Septiembre 2026'!$E:$E, 'Detalle Compras Septiembre 2026'!$A:$A, B15, 'Detalle Compras Septiembre 2026'!$B:$B, "Bebidas")</f>
        <v>0</v>
      </c>
      <c r="E15" s="91">
        <f t="shared" si="0"/>
        <v>0</v>
      </c>
      <c r="F15" s="93">
        <f t="shared" si="1"/>
        <v>0</v>
      </c>
      <c r="G15" s="94">
        <f>COUNTIFS('Detalle Compras Septiembre 2026'!$A:$A, B15, 'Detalle Compras Septiembre 2026'!$B:$B, "Bebidas")</f>
        <v>0</v>
      </c>
      <c r="I15" s="90">
        <v>6</v>
      </c>
      <c r="J15" s="95" t="s">
        <v>151</v>
      </c>
      <c r="K15" s="90" t="s">
        <v>143</v>
      </c>
      <c r="L15" s="96" t="s">
        <v>152</v>
      </c>
      <c r="M15" s="92">
        <f>SUMIFS('Detalle Compras Septiembre 2026'!$E:$E, 'Detalle Compras Septiembre 2026'!$B:$B, "Bebidas", 'Detalle Compras Septiembre 2026'!$C:$C, J15)</f>
        <v>0</v>
      </c>
      <c r="N15" s="91">
        <f>SUMIFS('Detalle Compras Septiembre 2026'!$G:$G, 'Detalle Compras Septiembre 2026'!$B:$B, "Bebidas", 'Detalle Compras Septiembre 2026'!$C:$C, J15)</f>
        <v>0</v>
      </c>
      <c r="O15" s="91">
        <f t="shared" si="2"/>
        <v>0</v>
      </c>
      <c r="P15" s="93">
        <f t="shared" si="3"/>
        <v>0</v>
      </c>
      <c r="Q15" s="94">
        <f>COUNTIFS('Detalle Compras Septiembre 2026'!$B:$B, "Bebidas", 'Detalle Compras Septiembre 2026'!$C:$C, J15)</f>
        <v>0</v>
      </c>
    </row>
    <row r="16" spans="2:17" ht="18" customHeight="1" x14ac:dyDescent="0.35">
      <c r="B16" s="66">
        <v>7</v>
      </c>
      <c r="C16" s="67">
        <f>SUMIFS('Detalle Compras Septiembre 2026'!$G:$G, 'Detalle Compras Septiembre 2026'!$A:$A, B16, 'Detalle Compras Septiembre 2026'!$B:$B, "Bebidas")</f>
        <v>0</v>
      </c>
      <c r="D16" s="88">
        <f>SUMIFS('Detalle Compras Septiembre 2026'!$E:$E, 'Detalle Compras Septiembre 2026'!$A:$A, B16, 'Detalle Compras Septiembre 2026'!$B:$B, "Bebidas")</f>
        <v>0</v>
      </c>
      <c r="E16" s="67">
        <f t="shared" si="0"/>
        <v>0</v>
      </c>
      <c r="F16" s="69">
        <f t="shared" si="1"/>
        <v>0</v>
      </c>
      <c r="G16" s="70">
        <f>COUNTIFS('Detalle Compras Septiembre 2026'!$A:$A, B16, 'Detalle Compras Septiembre 2026'!$B:$B, "Bebidas")</f>
        <v>0</v>
      </c>
      <c r="I16" s="66">
        <v>7</v>
      </c>
      <c r="J16" s="71" t="s">
        <v>153</v>
      </c>
      <c r="K16" s="66" t="s">
        <v>143</v>
      </c>
      <c r="L16" s="89" t="s">
        <v>154</v>
      </c>
      <c r="M16" s="88">
        <f>SUMIFS('Detalle Compras Septiembre 2026'!$E:$E, 'Detalle Compras Septiembre 2026'!$B:$B, "Bebidas", 'Detalle Compras Septiembre 2026'!$C:$C, J16)</f>
        <v>0</v>
      </c>
      <c r="N16" s="67">
        <f>SUMIFS('Detalle Compras Septiembre 2026'!$G:$G, 'Detalle Compras Septiembre 2026'!$B:$B, "Bebidas", 'Detalle Compras Septiembre 2026'!$C:$C, J16)</f>
        <v>0</v>
      </c>
      <c r="O16" s="67">
        <f t="shared" si="2"/>
        <v>0</v>
      </c>
      <c r="P16" s="69">
        <f t="shared" si="3"/>
        <v>0</v>
      </c>
      <c r="Q16" s="70">
        <f>COUNTIFS('Detalle Compras Septiembre 2026'!$B:$B, "Bebidas", 'Detalle Compras Septiembre 2026'!$C:$C, J16)</f>
        <v>0</v>
      </c>
    </row>
    <row r="17" spans="2:17" ht="18" customHeight="1" x14ac:dyDescent="0.35">
      <c r="B17" s="90">
        <v>8</v>
      </c>
      <c r="C17" s="91">
        <f>SUMIFS('Detalle Compras Septiembre 2026'!$G:$G, 'Detalle Compras Septiembre 2026'!$A:$A, B17, 'Detalle Compras Septiembre 2026'!$B:$B, "Bebidas")</f>
        <v>0</v>
      </c>
      <c r="D17" s="92">
        <f>SUMIFS('Detalle Compras Septiembre 2026'!$E:$E, 'Detalle Compras Septiembre 2026'!$A:$A, B17, 'Detalle Compras Septiembre 2026'!$B:$B, "Bebidas")</f>
        <v>0</v>
      </c>
      <c r="E17" s="91">
        <f t="shared" si="0"/>
        <v>0</v>
      </c>
      <c r="F17" s="93">
        <f t="shared" si="1"/>
        <v>0</v>
      </c>
      <c r="G17" s="94">
        <f>COUNTIFS('Detalle Compras Septiembre 2026'!$A:$A, B17, 'Detalle Compras Septiembre 2026'!$B:$B, "Bebidas")</f>
        <v>0</v>
      </c>
      <c r="I17" s="90">
        <v>8</v>
      </c>
      <c r="J17" s="95" t="s">
        <v>155</v>
      </c>
      <c r="K17" s="90" t="s">
        <v>143</v>
      </c>
      <c r="L17" s="96" t="s">
        <v>156</v>
      </c>
      <c r="M17" s="92">
        <f>SUMIFS('Detalle Compras Septiembre 2026'!$E:$E, 'Detalle Compras Septiembre 2026'!$B:$B, "Bebidas", 'Detalle Compras Septiembre 2026'!$C:$C, J17)</f>
        <v>0</v>
      </c>
      <c r="N17" s="91">
        <f>SUMIFS('Detalle Compras Septiembre 2026'!$G:$G, 'Detalle Compras Septiembre 2026'!$B:$B, "Bebidas", 'Detalle Compras Septiembre 2026'!$C:$C, J17)</f>
        <v>0</v>
      </c>
      <c r="O17" s="91">
        <f t="shared" si="2"/>
        <v>0</v>
      </c>
      <c r="P17" s="93">
        <f t="shared" si="3"/>
        <v>0</v>
      </c>
      <c r="Q17" s="94">
        <f>COUNTIFS('Detalle Compras Septiembre 2026'!$B:$B, "Bebidas", 'Detalle Compras Septiembre 2026'!$C:$C, J17)</f>
        <v>0</v>
      </c>
    </row>
    <row r="18" spans="2:17" ht="18" customHeight="1" x14ac:dyDescent="0.35">
      <c r="B18" s="66">
        <v>9</v>
      </c>
      <c r="C18" s="67">
        <f>SUMIFS('Detalle Compras Septiembre 2026'!$G:$G, 'Detalle Compras Septiembre 2026'!$A:$A, B18, 'Detalle Compras Septiembre 2026'!$B:$B, "Bebidas")</f>
        <v>0</v>
      </c>
      <c r="D18" s="88">
        <f>SUMIFS('Detalle Compras Septiembre 2026'!$E:$E, 'Detalle Compras Septiembre 2026'!$A:$A, B18, 'Detalle Compras Septiembre 2026'!$B:$B, "Bebidas")</f>
        <v>0</v>
      </c>
      <c r="E18" s="67">
        <f t="shared" si="0"/>
        <v>0</v>
      </c>
      <c r="F18" s="69">
        <f t="shared" si="1"/>
        <v>0</v>
      </c>
      <c r="G18" s="70">
        <f>COUNTIFS('Detalle Compras Septiembre 2026'!$A:$A, B18, 'Detalle Compras Septiembre 2026'!$B:$B, "Bebidas")</f>
        <v>0</v>
      </c>
      <c r="I18" s="66">
        <v>9</v>
      </c>
      <c r="J18" s="71" t="s">
        <v>157</v>
      </c>
      <c r="K18" s="66" t="s">
        <v>158</v>
      </c>
      <c r="L18" s="89" t="s">
        <v>159</v>
      </c>
      <c r="M18" s="88">
        <f>SUMIFS('Detalle Compras Septiembre 2026'!$E:$E, 'Detalle Compras Septiembre 2026'!$B:$B, "Bebidas", 'Detalle Compras Septiembre 2026'!$C:$C, J18)</f>
        <v>8</v>
      </c>
      <c r="N18" s="67">
        <f>SUMIFS('Detalle Compras Septiembre 2026'!$G:$G, 'Detalle Compras Septiembre 2026'!$B:$B, "Bebidas", 'Detalle Compras Septiembre 2026'!$C:$C, J18)</f>
        <v>240000</v>
      </c>
      <c r="O18" s="67">
        <f t="shared" si="2"/>
        <v>30000</v>
      </c>
      <c r="P18" s="69">
        <f t="shared" si="3"/>
        <v>0.15540015540015539</v>
      </c>
      <c r="Q18" s="70">
        <f>COUNTIFS('Detalle Compras Septiembre 2026'!$B:$B, "Bebidas", 'Detalle Compras Septiembre 2026'!$C:$C, J18)</f>
        <v>1</v>
      </c>
    </row>
    <row r="19" spans="2:17" ht="18" customHeight="1" x14ac:dyDescent="0.35">
      <c r="B19" s="90">
        <v>10</v>
      </c>
      <c r="C19" s="91">
        <f>SUMIFS('Detalle Compras Septiembre 2026'!$G:$G, 'Detalle Compras Septiembre 2026'!$A:$A, B19, 'Detalle Compras Septiembre 2026'!$B:$B, "Bebidas")</f>
        <v>0</v>
      </c>
      <c r="D19" s="92">
        <f>SUMIFS('Detalle Compras Septiembre 2026'!$E:$E, 'Detalle Compras Septiembre 2026'!$A:$A, B19, 'Detalle Compras Septiembre 2026'!$B:$B, "Bebidas")</f>
        <v>0</v>
      </c>
      <c r="E19" s="91">
        <f t="shared" si="0"/>
        <v>0</v>
      </c>
      <c r="F19" s="93">
        <f t="shared" si="1"/>
        <v>0</v>
      </c>
      <c r="G19" s="94">
        <f>COUNTIFS('Detalle Compras Septiembre 2026'!$A:$A, B19, 'Detalle Compras Septiembre 2026'!$B:$B, "Bebidas")</f>
        <v>0</v>
      </c>
      <c r="I19" s="90">
        <v>10</v>
      </c>
      <c r="J19" s="95" t="s">
        <v>160</v>
      </c>
      <c r="K19" s="90" t="s">
        <v>158</v>
      </c>
      <c r="L19" s="96" t="s">
        <v>161</v>
      </c>
      <c r="M19" s="92">
        <f>SUMIFS('Detalle Compras Septiembre 2026'!$E:$E, 'Detalle Compras Septiembre 2026'!$B:$B, "Bebidas", 'Detalle Compras Septiembre 2026'!$C:$C, J19)</f>
        <v>10</v>
      </c>
      <c r="N19" s="91">
        <f>SUMIFS('Detalle Compras Septiembre 2026'!$G:$G, 'Detalle Compras Septiembre 2026'!$B:$B, "Bebidas", 'Detalle Compras Septiembre 2026'!$C:$C, J19)</f>
        <v>288000</v>
      </c>
      <c r="O19" s="91">
        <f t="shared" si="2"/>
        <v>28800</v>
      </c>
      <c r="P19" s="93">
        <f t="shared" si="3"/>
        <v>0.18648018648018649</v>
      </c>
      <c r="Q19" s="94">
        <f>COUNTIFS('Detalle Compras Septiembre 2026'!$B:$B, "Bebidas", 'Detalle Compras Septiembre 2026'!$C:$C, J19)</f>
        <v>1</v>
      </c>
    </row>
    <row r="20" spans="2:17" ht="18" customHeight="1" x14ac:dyDescent="0.35">
      <c r="B20" s="66">
        <v>11</v>
      </c>
      <c r="C20" s="67">
        <f>SUMIFS('Detalle Compras Septiembre 2026'!$G:$G, 'Detalle Compras Septiembre 2026'!$A:$A, B20, 'Detalle Compras Septiembre 2026'!$B:$B, "Bebidas")</f>
        <v>0</v>
      </c>
      <c r="D20" s="88">
        <f>SUMIFS('Detalle Compras Septiembre 2026'!$E:$E, 'Detalle Compras Septiembre 2026'!$A:$A, B20, 'Detalle Compras Septiembre 2026'!$B:$B, "Bebidas")</f>
        <v>0</v>
      </c>
      <c r="E20" s="67">
        <f t="shared" si="0"/>
        <v>0</v>
      </c>
      <c r="F20" s="69">
        <f t="shared" si="1"/>
        <v>0</v>
      </c>
      <c r="G20" s="70">
        <f>COUNTIFS('Detalle Compras Septiembre 2026'!$A:$A, B20, 'Detalle Compras Septiembre 2026'!$B:$B, "Bebidas")</f>
        <v>0</v>
      </c>
      <c r="I20" s="66">
        <v>11</v>
      </c>
      <c r="J20" s="71" t="s">
        <v>162</v>
      </c>
      <c r="K20" s="66" t="s">
        <v>158</v>
      </c>
      <c r="L20" s="89" t="s">
        <v>163</v>
      </c>
      <c r="M20" s="88">
        <f>SUMIFS('Detalle Compras Septiembre 2026'!$E:$E, 'Detalle Compras Septiembre 2026'!$B:$B, "Bebidas", 'Detalle Compras Septiembre 2026'!$C:$C, J20)</f>
        <v>6</v>
      </c>
      <c r="N20" s="67">
        <f>SUMIFS('Detalle Compras Septiembre 2026'!$G:$G, 'Detalle Compras Septiembre 2026'!$B:$B, "Bebidas", 'Detalle Compras Septiembre 2026'!$C:$C, J20)</f>
        <v>150600</v>
      </c>
      <c r="O20" s="67">
        <f t="shared" si="2"/>
        <v>25100</v>
      </c>
      <c r="P20" s="69">
        <f t="shared" si="3"/>
        <v>9.7513597513597519E-2</v>
      </c>
      <c r="Q20" s="70">
        <f>COUNTIFS('Detalle Compras Septiembre 2026'!$B:$B, "Bebidas", 'Detalle Compras Septiembre 2026'!$C:$C, J20)</f>
        <v>3</v>
      </c>
    </row>
    <row r="21" spans="2:17" ht="18" customHeight="1" x14ac:dyDescent="0.35">
      <c r="B21" s="90">
        <v>12</v>
      </c>
      <c r="C21" s="91">
        <f>SUMIFS('Detalle Compras Septiembre 2026'!$G:$G, 'Detalle Compras Septiembre 2026'!$A:$A, B21, 'Detalle Compras Septiembre 2026'!$B:$B, "Bebidas")</f>
        <v>0</v>
      </c>
      <c r="D21" s="92">
        <f>SUMIFS('Detalle Compras Septiembre 2026'!$E:$E, 'Detalle Compras Septiembre 2026'!$A:$A, B21, 'Detalle Compras Septiembre 2026'!$B:$B, "Bebidas")</f>
        <v>0</v>
      </c>
      <c r="E21" s="91">
        <f t="shared" si="0"/>
        <v>0</v>
      </c>
      <c r="F21" s="93">
        <f t="shared" si="1"/>
        <v>0</v>
      </c>
      <c r="G21" s="94">
        <f>COUNTIFS('Detalle Compras Septiembre 2026'!$A:$A, B21, 'Detalle Compras Septiembre 2026'!$B:$B, "Bebidas")</f>
        <v>0</v>
      </c>
      <c r="I21" s="90">
        <v>12</v>
      </c>
      <c r="J21" s="95" t="s">
        <v>164</v>
      </c>
      <c r="K21" s="90" t="s">
        <v>158</v>
      </c>
      <c r="L21" s="96" t="s">
        <v>165</v>
      </c>
      <c r="M21" s="92">
        <f>SUMIFS('Detalle Compras Septiembre 2026'!$E:$E, 'Detalle Compras Septiembre 2026'!$B:$B, "Bebidas", 'Detalle Compras Septiembre 2026'!$C:$C, J21)</f>
        <v>2</v>
      </c>
      <c r="N21" s="91">
        <f>SUMIFS('Detalle Compras Septiembre 2026'!$G:$G, 'Detalle Compras Septiembre 2026'!$B:$B, "Bebidas", 'Detalle Compras Septiembre 2026'!$C:$C, J21)</f>
        <v>130000</v>
      </c>
      <c r="O21" s="91">
        <f t="shared" si="2"/>
        <v>65000</v>
      </c>
      <c r="P21" s="93">
        <f t="shared" si="3"/>
        <v>8.4175084175084181E-2</v>
      </c>
      <c r="Q21" s="94">
        <f>COUNTIFS('Detalle Compras Septiembre 2026'!$B:$B, "Bebidas", 'Detalle Compras Septiembre 2026'!$C:$C, J21)</f>
        <v>1</v>
      </c>
    </row>
    <row r="22" spans="2:17" ht="18" customHeight="1" x14ac:dyDescent="0.35">
      <c r="B22" s="66">
        <v>13</v>
      </c>
      <c r="C22" s="67">
        <f>SUMIFS('Detalle Compras Septiembre 2026'!$G:$G, 'Detalle Compras Septiembre 2026'!$A:$A, B22, 'Detalle Compras Septiembre 2026'!$B:$B, "Bebidas")</f>
        <v>0</v>
      </c>
      <c r="D22" s="88">
        <f>SUMIFS('Detalle Compras Septiembre 2026'!$E:$E, 'Detalle Compras Septiembre 2026'!$A:$A, B22, 'Detalle Compras Septiembre 2026'!$B:$B, "Bebidas")</f>
        <v>0</v>
      </c>
      <c r="E22" s="67">
        <f t="shared" si="0"/>
        <v>0</v>
      </c>
      <c r="F22" s="69">
        <f t="shared" si="1"/>
        <v>0</v>
      </c>
      <c r="G22" s="70">
        <f>COUNTIFS('Detalle Compras Septiembre 2026'!$A:$A, B22, 'Detalle Compras Septiembre 2026'!$B:$B, "Bebidas")</f>
        <v>0</v>
      </c>
      <c r="I22" s="66">
        <v>13</v>
      </c>
      <c r="J22" s="71" t="s">
        <v>166</v>
      </c>
      <c r="K22" s="66" t="s">
        <v>158</v>
      </c>
      <c r="L22" s="89" t="s">
        <v>165</v>
      </c>
      <c r="M22" s="88">
        <f>SUMIFS('Detalle Compras Septiembre 2026'!$E:$E, 'Detalle Compras Septiembre 2026'!$B:$B, "Bebidas", 'Detalle Compras Septiembre 2026'!$C:$C, J22)</f>
        <v>2</v>
      </c>
      <c r="N22" s="67">
        <f>SUMIFS('Detalle Compras Septiembre 2026'!$G:$G, 'Detalle Compras Septiembre 2026'!$B:$B, "Bebidas", 'Detalle Compras Septiembre 2026'!$C:$C, J22)</f>
        <v>130000</v>
      </c>
      <c r="O22" s="67">
        <f t="shared" si="2"/>
        <v>65000</v>
      </c>
      <c r="P22" s="69">
        <f t="shared" si="3"/>
        <v>8.4175084175084181E-2</v>
      </c>
      <c r="Q22" s="70">
        <f>COUNTIFS('Detalle Compras Septiembre 2026'!$B:$B, "Bebidas", 'Detalle Compras Septiembre 2026'!$C:$C, J22)</f>
        <v>1</v>
      </c>
    </row>
    <row r="23" spans="2:17" ht="18" customHeight="1" x14ac:dyDescent="0.35">
      <c r="B23" s="90">
        <v>14</v>
      </c>
      <c r="C23" s="91">
        <f>SUMIFS('Detalle Compras Septiembre 2026'!$G:$G, 'Detalle Compras Septiembre 2026'!$A:$A, B23, 'Detalle Compras Septiembre 2026'!$B:$B, "Bebidas")</f>
        <v>0</v>
      </c>
      <c r="D23" s="92">
        <f>SUMIFS('Detalle Compras Septiembre 2026'!$E:$E, 'Detalle Compras Septiembre 2026'!$A:$A, B23, 'Detalle Compras Septiembre 2026'!$B:$B, "Bebidas")</f>
        <v>0</v>
      </c>
      <c r="E23" s="91">
        <f t="shared" si="0"/>
        <v>0</v>
      </c>
      <c r="F23" s="93">
        <f t="shared" si="1"/>
        <v>0</v>
      </c>
      <c r="G23" s="94">
        <f>COUNTIFS('Detalle Compras Septiembre 2026'!$A:$A, B23, 'Detalle Compras Septiembre 2026'!$B:$B, "Bebidas")</f>
        <v>0</v>
      </c>
      <c r="I23" s="90">
        <v>14</v>
      </c>
      <c r="J23" s="95" t="s">
        <v>167</v>
      </c>
      <c r="K23" s="90" t="s">
        <v>158</v>
      </c>
      <c r="L23" s="96" t="s">
        <v>165</v>
      </c>
      <c r="M23" s="92">
        <f>SUMIFS('Detalle Compras Septiembre 2026'!$E:$E, 'Detalle Compras Septiembre 2026'!$B:$B, "Bebidas", 'Detalle Compras Septiembre 2026'!$C:$C, J23)</f>
        <v>0</v>
      </c>
      <c r="N23" s="91">
        <f>SUMIFS('Detalle Compras Septiembre 2026'!$G:$G, 'Detalle Compras Septiembre 2026'!$B:$B, "Bebidas", 'Detalle Compras Septiembre 2026'!$C:$C, J23)</f>
        <v>0</v>
      </c>
      <c r="O23" s="91">
        <f t="shared" si="2"/>
        <v>0</v>
      </c>
      <c r="P23" s="93">
        <f t="shared" si="3"/>
        <v>0</v>
      </c>
      <c r="Q23" s="94">
        <f>COUNTIFS('Detalle Compras Septiembre 2026'!$B:$B, "Bebidas", 'Detalle Compras Septiembre 2026'!$C:$C, J23)</f>
        <v>0</v>
      </c>
    </row>
    <row r="24" spans="2:17" ht="18" customHeight="1" x14ac:dyDescent="0.35">
      <c r="B24" s="66">
        <v>15</v>
      </c>
      <c r="C24" s="67">
        <f>SUMIFS('Detalle Compras Septiembre 2026'!$G:$G, 'Detalle Compras Septiembre 2026'!$A:$A, B24, 'Detalle Compras Septiembre 2026'!$B:$B, "Bebidas")</f>
        <v>0</v>
      </c>
      <c r="D24" s="88">
        <f>SUMIFS('Detalle Compras Septiembre 2026'!$E:$E, 'Detalle Compras Septiembre 2026'!$A:$A, B24, 'Detalle Compras Septiembre 2026'!$B:$B, "Bebidas")</f>
        <v>0</v>
      </c>
      <c r="E24" s="67">
        <f t="shared" si="0"/>
        <v>0</v>
      </c>
      <c r="F24" s="69">
        <f t="shared" si="1"/>
        <v>0</v>
      </c>
      <c r="G24" s="70">
        <f>COUNTIFS('Detalle Compras Septiembre 2026'!$A:$A, B24, 'Detalle Compras Septiembre 2026'!$B:$B, "Bebidas")</f>
        <v>0</v>
      </c>
      <c r="I24" s="66">
        <v>15</v>
      </c>
      <c r="J24" s="71" t="s">
        <v>168</v>
      </c>
      <c r="K24" s="66" t="s">
        <v>158</v>
      </c>
      <c r="L24" s="89" t="s">
        <v>169</v>
      </c>
      <c r="M24" s="88">
        <f>SUMIFS('Detalle Compras Septiembre 2026'!$E:$E, 'Detalle Compras Septiembre 2026'!$B:$B, "Bebidas", 'Detalle Compras Septiembre 2026'!$C:$C, J24)</f>
        <v>0</v>
      </c>
      <c r="N24" s="67">
        <f>SUMIFS('Detalle Compras Septiembre 2026'!$G:$G, 'Detalle Compras Septiembre 2026'!$B:$B, "Bebidas", 'Detalle Compras Septiembre 2026'!$C:$C, J24)</f>
        <v>0</v>
      </c>
      <c r="O24" s="67">
        <f t="shared" si="2"/>
        <v>0</v>
      </c>
      <c r="P24" s="69">
        <f t="shared" si="3"/>
        <v>0</v>
      </c>
      <c r="Q24" s="70">
        <f>COUNTIFS('Detalle Compras Septiembre 2026'!$B:$B, "Bebidas", 'Detalle Compras Septiembre 2026'!$C:$C, J24)</f>
        <v>0</v>
      </c>
    </row>
    <row r="25" spans="2:17" ht="18" customHeight="1" x14ac:dyDescent="0.35">
      <c r="B25" s="90">
        <v>16</v>
      </c>
      <c r="C25" s="91">
        <f>SUMIFS('Detalle Compras Septiembre 2026'!$G:$G, 'Detalle Compras Septiembre 2026'!$A:$A, B25, 'Detalle Compras Septiembre 2026'!$B:$B, "Bebidas")</f>
        <v>0</v>
      </c>
      <c r="D25" s="92">
        <f>SUMIFS('Detalle Compras Septiembre 2026'!$E:$E, 'Detalle Compras Septiembre 2026'!$A:$A, B25, 'Detalle Compras Septiembre 2026'!$B:$B, "Bebidas")</f>
        <v>0</v>
      </c>
      <c r="E25" s="91">
        <f t="shared" si="0"/>
        <v>0</v>
      </c>
      <c r="F25" s="93">
        <f t="shared" si="1"/>
        <v>0</v>
      </c>
      <c r="G25" s="94">
        <f>COUNTIFS('Detalle Compras Septiembre 2026'!$A:$A, B25, 'Detalle Compras Septiembre 2026'!$B:$B, "Bebidas")</f>
        <v>0</v>
      </c>
      <c r="I25" s="90">
        <v>16</v>
      </c>
      <c r="J25" s="95" t="s">
        <v>170</v>
      </c>
      <c r="K25" s="90" t="s">
        <v>158</v>
      </c>
      <c r="L25" s="96" t="s">
        <v>169</v>
      </c>
      <c r="M25" s="92">
        <f>SUMIFS('Detalle Compras Septiembre 2026'!$E:$E, 'Detalle Compras Septiembre 2026'!$B:$B, "Bebidas", 'Detalle Compras Septiembre 2026'!$C:$C, J25)</f>
        <v>0</v>
      </c>
      <c r="N25" s="91">
        <f>SUMIFS('Detalle Compras Septiembre 2026'!$G:$G, 'Detalle Compras Septiembre 2026'!$B:$B, "Bebidas", 'Detalle Compras Septiembre 2026'!$C:$C, J25)</f>
        <v>0</v>
      </c>
      <c r="O25" s="91">
        <f t="shared" si="2"/>
        <v>0</v>
      </c>
      <c r="P25" s="93">
        <f t="shared" si="3"/>
        <v>0</v>
      </c>
      <c r="Q25" s="94">
        <f>COUNTIFS('Detalle Compras Septiembre 2026'!$B:$B, "Bebidas", 'Detalle Compras Septiembre 2026'!$C:$C, J25)</f>
        <v>0</v>
      </c>
    </row>
    <row r="26" spans="2:17" ht="18" customHeight="1" x14ac:dyDescent="0.35">
      <c r="B26" s="66">
        <v>17</v>
      </c>
      <c r="C26" s="67">
        <f>SUMIFS('Detalle Compras Septiembre 2026'!$G:$G, 'Detalle Compras Septiembre 2026'!$A:$A, B26, 'Detalle Compras Septiembre 2026'!$B:$B, "Bebidas")</f>
        <v>0</v>
      </c>
      <c r="D26" s="88">
        <f>SUMIFS('Detalle Compras Septiembre 2026'!$E:$E, 'Detalle Compras Septiembre 2026'!$A:$A, B26, 'Detalle Compras Septiembre 2026'!$B:$B, "Bebidas")</f>
        <v>0</v>
      </c>
      <c r="E26" s="67">
        <f t="shared" si="0"/>
        <v>0</v>
      </c>
      <c r="F26" s="69">
        <f t="shared" si="1"/>
        <v>0</v>
      </c>
      <c r="G26" s="70">
        <f>COUNTIFS('Detalle Compras Septiembre 2026'!$A:$A, B26, 'Detalle Compras Septiembre 2026'!$B:$B, "Bebidas")</f>
        <v>0</v>
      </c>
      <c r="I26" s="66">
        <v>17</v>
      </c>
      <c r="J26" s="71" t="s">
        <v>171</v>
      </c>
      <c r="K26" s="66" t="s">
        <v>158</v>
      </c>
      <c r="L26" s="89" t="s">
        <v>169</v>
      </c>
      <c r="M26" s="88">
        <f>SUMIFS('Detalle Compras Septiembre 2026'!$E:$E, 'Detalle Compras Septiembre 2026'!$B:$B, "Bebidas", 'Detalle Compras Septiembre 2026'!$C:$C, J26)</f>
        <v>0</v>
      </c>
      <c r="N26" s="67">
        <f>SUMIFS('Detalle Compras Septiembre 2026'!$G:$G, 'Detalle Compras Septiembre 2026'!$B:$B, "Bebidas", 'Detalle Compras Septiembre 2026'!$C:$C, J26)</f>
        <v>0</v>
      </c>
      <c r="O26" s="67">
        <f t="shared" si="2"/>
        <v>0</v>
      </c>
      <c r="P26" s="69">
        <f t="shared" si="3"/>
        <v>0</v>
      </c>
      <c r="Q26" s="70">
        <f>COUNTIFS('Detalle Compras Septiembre 2026'!$B:$B, "Bebidas", 'Detalle Compras Septiembre 2026'!$C:$C, J26)</f>
        <v>0</v>
      </c>
    </row>
    <row r="27" spans="2:17" ht="18" customHeight="1" x14ac:dyDescent="0.35">
      <c r="B27" s="90">
        <v>18</v>
      </c>
      <c r="C27" s="91">
        <f>SUMIFS('Detalle Compras Septiembre 2026'!$G:$G, 'Detalle Compras Septiembre 2026'!$A:$A, B27, 'Detalle Compras Septiembre 2026'!$B:$B, "Bebidas")</f>
        <v>0</v>
      </c>
      <c r="D27" s="92">
        <f>SUMIFS('Detalle Compras Septiembre 2026'!$E:$E, 'Detalle Compras Septiembre 2026'!$A:$A, B27, 'Detalle Compras Septiembre 2026'!$B:$B, "Bebidas")</f>
        <v>0</v>
      </c>
      <c r="E27" s="91">
        <f t="shared" si="0"/>
        <v>0</v>
      </c>
      <c r="F27" s="93">
        <f t="shared" si="1"/>
        <v>0</v>
      </c>
      <c r="G27" s="94">
        <f>COUNTIFS('Detalle Compras Septiembre 2026'!$A:$A, B27, 'Detalle Compras Septiembre 2026'!$B:$B, "Bebidas")</f>
        <v>0</v>
      </c>
      <c r="I27" s="90">
        <v>18</v>
      </c>
      <c r="J27" s="95" t="s">
        <v>172</v>
      </c>
      <c r="K27" s="90" t="s">
        <v>158</v>
      </c>
      <c r="L27" s="96" t="s">
        <v>173</v>
      </c>
      <c r="M27" s="92">
        <f>SUMIFS('Detalle Compras Septiembre 2026'!$E:$E, 'Detalle Compras Septiembre 2026'!$B:$B, "Bebidas", 'Detalle Compras Septiembre 2026'!$C:$C, J27)</f>
        <v>0</v>
      </c>
      <c r="N27" s="91">
        <f>SUMIFS('Detalle Compras Septiembre 2026'!$G:$G, 'Detalle Compras Septiembre 2026'!$B:$B, "Bebidas", 'Detalle Compras Septiembre 2026'!$C:$C, J27)</f>
        <v>0</v>
      </c>
      <c r="O27" s="91">
        <f t="shared" si="2"/>
        <v>0</v>
      </c>
      <c r="P27" s="93">
        <f t="shared" si="3"/>
        <v>0</v>
      </c>
      <c r="Q27" s="94">
        <f>COUNTIFS('Detalle Compras Septiembre 2026'!$B:$B, "Bebidas", 'Detalle Compras Septiembre 2026'!$C:$C, J27)</f>
        <v>0</v>
      </c>
    </row>
    <row r="28" spans="2:17" ht="18" customHeight="1" x14ac:dyDescent="0.35">
      <c r="B28" s="66">
        <v>19</v>
      </c>
      <c r="C28" s="67">
        <f>SUMIFS('Detalle Compras Septiembre 2026'!$G:$G, 'Detalle Compras Septiembre 2026'!$A:$A, B28, 'Detalle Compras Septiembre 2026'!$B:$B, "Bebidas")</f>
        <v>0</v>
      </c>
      <c r="D28" s="88">
        <f>SUMIFS('Detalle Compras Septiembre 2026'!$E:$E, 'Detalle Compras Septiembre 2026'!$A:$A, B28, 'Detalle Compras Septiembre 2026'!$B:$B, "Bebidas")</f>
        <v>0</v>
      </c>
      <c r="E28" s="67">
        <f t="shared" si="0"/>
        <v>0</v>
      </c>
      <c r="F28" s="69">
        <f t="shared" si="1"/>
        <v>0</v>
      </c>
      <c r="G28" s="70">
        <f>COUNTIFS('Detalle Compras Septiembre 2026'!$A:$A, B28, 'Detalle Compras Septiembre 2026'!$B:$B, "Bebidas")</f>
        <v>0</v>
      </c>
      <c r="I28" s="66">
        <v>19</v>
      </c>
      <c r="J28" s="71" t="s">
        <v>174</v>
      </c>
      <c r="K28" s="66" t="s">
        <v>158</v>
      </c>
      <c r="L28" s="89" t="s">
        <v>173</v>
      </c>
      <c r="M28" s="88">
        <f>SUMIFS('Detalle Compras Septiembre 2026'!$E:$E, 'Detalle Compras Septiembre 2026'!$B:$B, "Bebidas", 'Detalle Compras Septiembre 2026'!$C:$C, J28)</f>
        <v>0</v>
      </c>
      <c r="N28" s="67">
        <f>SUMIFS('Detalle Compras Septiembre 2026'!$G:$G, 'Detalle Compras Septiembre 2026'!$B:$B, "Bebidas", 'Detalle Compras Septiembre 2026'!$C:$C, J28)</f>
        <v>0</v>
      </c>
      <c r="O28" s="67">
        <f t="shared" si="2"/>
        <v>0</v>
      </c>
      <c r="P28" s="69">
        <f t="shared" si="3"/>
        <v>0</v>
      </c>
      <c r="Q28" s="70">
        <f>COUNTIFS('Detalle Compras Septiembre 2026'!$B:$B, "Bebidas", 'Detalle Compras Septiembre 2026'!$C:$C, J28)</f>
        <v>0</v>
      </c>
    </row>
    <row r="29" spans="2:17" ht="18" customHeight="1" x14ac:dyDescent="0.35">
      <c r="B29" s="90">
        <v>20</v>
      </c>
      <c r="C29" s="91">
        <f>SUMIFS('Detalle Compras Septiembre 2026'!$G:$G, 'Detalle Compras Septiembre 2026'!$A:$A, B29, 'Detalle Compras Septiembre 2026'!$B:$B, "Bebidas")</f>
        <v>0</v>
      </c>
      <c r="D29" s="92">
        <f>SUMIFS('Detalle Compras Septiembre 2026'!$E:$E, 'Detalle Compras Septiembre 2026'!$A:$A, B29, 'Detalle Compras Septiembre 2026'!$B:$B, "Bebidas")</f>
        <v>0</v>
      </c>
      <c r="E29" s="91">
        <f t="shared" si="0"/>
        <v>0</v>
      </c>
      <c r="F29" s="93">
        <f t="shared" si="1"/>
        <v>0</v>
      </c>
      <c r="G29" s="94">
        <f>COUNTIFS('Detalle Compras Septiembre 2026'!$A:$A, B29, 'Detalle Compras Septiembre 2026'!$B:$B, "Bebidas")</f>
        <v>0</v>
      </c>
      <c r="I29" s="90">
        <v>20</v>
      </c>
      <c r="J29" s="95" t="s">
        <v>175</v>
      </c>
      <c r="K29" s="90" t="s">
        <v>158</v>
      </c>
      <c r="L29" s="96" t="s">
        <v>173</v>
      </c>
      <c r="M29" s="92">
        <f>SUMIFS('Detalle Compras Septiembre 2026'!$E:$E, 'Detalle Compras Septiembre 2026'!$B:$B, "Bebidas", 'Detalle Compras Septiembre 2026'!$C:$C, J29)</f>
        <v>0</v>
      </c>
      <c r="N29" s="91">
        <f>SUMIFS('Detalle Compras Septiembre 2026'!$G:$G, 'Detalle Compras Septiembre 2026'!$B:$B, "Bebidas", 'Detalle Compras Septiembre 2026'!$C:$C, J29)</f>
        <v>0</v>
      </c>
      <c r="O29" s="91">
        <f t="shared" si="2"/>
        <v>0</v>
      </c>
      <c r="P29" s="93">
        <f t="shared" si="3"/>
        <v>0</v>
      </c>
      <c r="Q29" s="94">
        <f>COUNTIFS('Detalle Compras Septiembre 2026'!$B:$B, "Bebidas", 'Detalle Compras Septiembre 2026'!$C:$C, J29)</f>
        <v>0</v>
      </c>
    </row>
    <row r="30" spans="2:17" ht="18" customHeight="1" x14ac:dyDescent="0.35">
      <c r="B30" s="66">
        <v>21</v>
      </c>
      <c r="C30" s="67">
        <f>SUMIFS('Detalle Compras Septiembre 2026'!$G:$G, 'Detalle Compras Septiembre 2026'!$A:$A, B30, 'Detalle Compras Septiembre 2026'!$B:$B, "Bebidas")</f>
        <v>0</v>
      </c>
      <c r="D30" s="88">
        <f>SUMIFS('Detalle Compras Septiembre 2026'!$E:$E, 'Detalle Compras Septiembre 2026'!$A:$A, B30, 'Detalle Compras Septiembre 2026'!$B:$B, "Bebidas")</f>
        <v>0</v>
      </c>
      <c r="E30" s="67">
        <f t="shared" si="0"/>
        <v>0</v>
      </c>
      <c r="F30" s="69">
        <f t="shared" si="1"/>
        <v>0</v>
      </c>
      <c r="G30" s="70">
        <f>COUNTIFS('Detalle Compras Septiembre 2026'!$A:$A, B30, 'Detalle Compras Septiembre 2026'!$B:$B, "Bebidas")</f>
        <v>0</v>
      </c>
      <c r="I30" s="66">
        <v>21</v>
      </c>
      <c r="J30" s="71" t="s">
        <v>176</v>
      </c>
      <c r="K30" s="66" t="s">
        <v>158</v>
      </c>
      <c r="L30" s="89" t="s">
        <v>169</v>
      </c>
      <c r="M30" s="88">
        <f>SUMIFS('Detalle Compras Septiembre 2026'!$E:$E, 'Detalle Compras Septiembre 2026'!$B:$B, "Bebidas", 'Detalle Compras Septiembre 2026'!$C:$C, J30)</f>
        <v>0</v>
      </c>
      <c r="N30" s="67">
        <f>SUMIFS('Detalle Compras Septiembre 2026'!$G:$G, 'Detalle Compras Septiembre 2026'!$B:$B, "Bebidas", 'Detalle Compras Septiembre 2026'!$C:$C, J30)</f>
        <v>0</v>
      </c>
      <c r="O30" s="67">
        <f t="shared" si="2"/>
        <v>0</v>
      </c>
      <c r="P30" s="69">
        <f t="shared" si="3"/>
        <v>0</v>
      </c>
      <c r="Q30" s="70">
        <f>COUNTIFS('Detalle Compras Septiembre 2026'!$B:$B, "Bebidas", 'Detalle Compras Septiembre 2026'!$C:$C, J30)</f>
        <v>0</v>
      </c>
    </row>
    <row r="31" spans="2:17" ht="18" customHeight="1" x14ac:dyDescent="0.35">
      <c r="B31" s="90">
        <v>22</v>
      </c>
      <c r="C31" s="91">
        <f>SUMIFS('Detalle Compras Septiembre 2026'!$G:$G, 'Detalle Compras Septiembre 2026'!$A:$A, B31, 'Detalle Compras Septiembre 2026'!$B:$B, "Bebidas")</f>
        <v>0</v>
      </c>
      <c r="D31" s="92">
        <f>SUMIFS('Detalle Compras Septiembre 2026'!$E:$E, 'Detalle Compras Septiembre 2026'!$A:$A, B31, 'Detalle Compras Septiembre 2026'!$B:$B, "Bebidas")</f>
        <v>0</v>
      </c>
      <c r="E31" s="91">
        <f t="shared" si="0"/>
        <v>0</v>
      </c>
      <c r="F31" s="93">
        <f t="shared" si="1"/>
        <v>0</v>
      </c>
      <c r="G31" s="94">
        <f>COUNTIFS('Detalle Compras Septiembre 2026'!$A:$A, B31, 'Detalle Compras Septiembre 2026'!$B:$B, "Bebidas")</f>
        <v>0</v>
      </c>
      <c r="I31" s="90">
        <v>22</v>
      </c>
      <c r="J31" s="95" t="s">
        <v>177</v>
      </c>
      <c r="K31" s="90" t="s">
        <v>158</v>
      </c>
      <c r="L31" s="96" t="s">
        <v>165</v>
      </c>
      <c r="M31" s="92">
        <f>SUMIFS('Detalle Compras Septiembre 2026'!$E:$E, 'Detalle Compras Septiembre 2026'!$B:$B, "Bebidas", 'Detalle Compras Septiembre 2026'!$C:$C, J31)</f>
        <v>0</v>
      </c>
      <c r="N31" s="91">
        <f>SUMIFS('Detalle Compras Septiembre 2026'!$G:$G, 'Detalle Compras Septiembre 2026'!$B:$B, "Bebidas", 'Detalle Compras Septiembre 2026'!$C:$C, J31)</f>
        <v>0</v>
      </c>
      <c r="O31" s="91">
        <f t="shared" si="2"/>
        <v>0</v>
      </c>
      <c r="P31" s="93">
        <f t="shared" si="3"/>
        <v>0</v>
      </c>
      <c r="Q31" s="94">
        <f>COUNTIFS('Detalle Compras Septiembre 2026'!$B:$B, "Bebidas", 'Detalle Compras Septiembre 2026'!$C:$C, J31)</f>
        <v>0</v>
      </c>
    </row>
    <row r="32" spans="2:17" ht="18" customHeight="1" x14ac:dyDescent="0.35">
      <c r="B32" s="66">
        <v>23</v>
      </c>
      <c r="C32" s="67">
        <f>SUMIFS('Detalle Compras Septiembre 2026'!$G:$G, 'Detalle Compras Septiembre 2026'!$A:$A, B32, 'Detalle Compras Septiembre 2026'!$B:$B, "Bebidas")</f>
        <v>0</v>
      </c>
      <c r="D32" s="88">
        <f>SUMIFS('Detalle Compras Septiembre 2026'!$E:$E, 'Detalle Compras Septiembre 2026'!$A:$A, B32, 'Detalle Compras Septiembre 2026'!$B:$B, "Bebidas")</f>
        <v>0</v>
      </c>
      <c r="E32" s="67">
        <f t="shared" si="0"/>
        <v>0</v>
      </c>
      <c r="F32" s="69">
        <f t="shared" si="1"/>
        <v>0</v>
      </c>
      <c r="G32" s="70">
        <f>COUNTIFS('Detalle Compras Septiembre 2026'!$A:$A, B32, 'Detalle Compras Septiembre 2026'!$B:$B, "Bebidas")</f>
        <v>0</v>
      </c>
      <c r="I32" s="66">
        <v>23</v>
      </c>
      <c r="J32" s="71" t="s">
        <v>178</v>
      </c>
      <c r="K32" s="66" t="s">
        <v>158</v>
      </c>
      <c r="L32" s="89" t="s">
        <v>169</v>
      </c>
      <c r="M32" s="88">
        <f>SUMIFS('Detalle Compras Septiembre 2026'!$E:$E, 'Detalle Compras Septiembre 2026'!$B:$B, "Bebidas", 'Detalle Compras Septiembre 2026'!$C:$C, J32)</f>
        <v>0</v>
      </c>
      <c r="N32" s="67">
        <f>SUMIFS('Detalle Compras Septiembre 2026'!$G:$G, 'Detalle Compras Septiembre 2026'!$B:$B, "Bebidas", 'Detalle Compras Septiembre 2026'!$C:$C, J32)</f>
        <v>0</v>
      </c>
      <c r="O32" s="67">
        <f t="shared" si="2"/>
        <v>0</v>
      </c>
      <c r="P32" s="69">
        <f t="shared" si="3"/>
        <v>0</v>
      </c>
      <c r="Q32" s="70">
        <f>COUNTIFS('Detalle Compras Septiembre 2026'!$B:$B, "Bebidas", 'Detalle Compras Septiembre 2026'!$C:$C, J32)</f>
        <v>0</v>
      </c>
    </row>
    <row r="33" spans="2:17" ht="18" customHeight="1" x14ac:dyDescent="0.35">
      <c r="B33" s="90">
        <v>24</v>
      </c>
      <c r="C33" s="91">
        <f>SUMIFS('Detalle Compras Septiembre 2026'!$G:$G, 'Detalle Compras Septiembre 2026'!$A:$A, B33, 'Detalle Compras Septiembre 2026'!$B:$B, "Bebidas")</f>
        <v>0</v>
      </c>
      <c r="D33" s="92">
        <f>SUMIFS('Detalle Compras Septiembre 2026'!$E:$E, 'Detalle Compras Septiembre 2026'!$A:$A, B33, 'Detalle Compras Septiembre 2026'!$B:$B, "Bebidas")</f>
        <v>0</v>
      </c>
      <c r="E33" s="91">
        <f t="shared" si="0"/>
        <v>0</v>
      </c>
      <c r="F33" s="93">
        <f t="shared" si="1"/>
        <v>0</v>
      </c>
      <c r="G33" s="94">
        <f>COUNTIFS('Detalle Compras Septiembre 2026'!$A:$A, B33, 'Detalle Compras Septiembre 2026'!$B:$B, "Bebidas")</f>
        <v>0</v>
      </c>
      <c r="I33" s="90">
        <v>24</v>
      </c>
      <c r="J33" s="95" t="s">
        <v>179</v>
      </c>
      <c r="K33" s="90" t="s">
        <v>158</v>
      </c>
      <c r="L33" s="96" t="s">
        <v>165</v>
      </c>
      <c r="M33" s="92">
        <f>SUMIFS('Detalle Compras Septiembre 2026'!$E:$E, 'Detalle Compras Septiembre 2026'!$B:$B, "Bebidas", 'Detalle Compras Septiembre 2026'!$C:$C, J33)</f>
        <v>0</v>
      </c>
      <c r="N33" s="91">
        <f>SUMIFS('Detalle Compras Septiembre 2026'!$G:$G, 'Detalle Compras Septiembre 2026'!$B:$B, "Bebidas", 'Detalle Compras Septiembre 2026'!$C:$C, J33)</f>
        <v>0</v>
      </c>
      <c r="O33" s="91">
        <f t="shared" si="2"/>
        <v>0</v>
      </c>
      <c r="P33" s="93">
        <f t="shared" si="3"/>
        <v>0</v>
      </c>
      <c r="Q33" s="94">
        <f>COUNTIFS('Detalle Compras Septiembre 2026'!$B:$B, "Bebidas", 'Detalle Compras Septiembre 2026'!$C:$C, J33)</f>
        <v>0</v>
      </c>
    </row>
    <row r="34" spans="2:17" ht="18" customHeight="1" x14ac:dyDescent="0.35">
      <c r="B34" s="66">
        <v>25</v>
      </c>
      <c r="C34" s="67">
        <f>SUMIFS('Detalle Compras Septiembre 2026'!$G:$G, 'Detalle Compras Septiembre 2026'!$A:$A, B34, 'Detalle Compras Septiembre 2026'!$B:$B, "Bebidas")</f>
        <v>0</v>
      </c>
      <c r="D34" s="88">
        <f>SUMIFS('Detalle Compras Septiembre 2026'!$E:$E, 'Detalle Compras Septiembre 2026'!$A:$A, B34, 'Detalle Compras Septiembre 2026'!$B:$B, "Bebidas")</f>
        <v>0</v>
      </c>
      <c r="E34" s="67">
        <f t="shared" si="0"/>
        <v>0</v>
      </c>
      <c r="F34" s="69">
        <f t="shared" si="1"/>
        <v>0</v>
      </c>
      <c r="G34" s="70">
        <f>COUNTIFS('Detalle Compras Septiembre 2026'!$A:$A, B34, 'Detalle Compras Septiembre 2026'!$B:$B, "Bebidas")</f>
        <v>0</v>
      </c>
      <c r="I34" s="66">
        <v>25</v>
      </c>
      <c r="J34" s="71" t="s">
        <v>180</v>
      </c>
      <c r="K34" s="66" t="s">
        <v>158</v>
      </c>
      <c r="L34" s="89" t="s">
        <v>169</v>
      </c>
      <c r="M34" s="88">
        <f>SUMIFS('Detalle Compras Septiembre 2026'!$E:$E, 'Detalle Compras Septiembre 2026'!$B:$B, "Bebidas", 'Detalle Compras Septiembre 2026'!$C:$C, J34)</f>
        <v>0</v>
      </c>
      <c r="N34" s="67">
        <f>SUMIFS('Detalle Compras Septiembre 2026'!$G:$G, 'Detalle Compras Septiembre 2026'!$B:$B, "Bebidas", 'Detalle Compras Septiembre 2026'!$C:$C, J34)</f>
        <v>0</v>
      </c>
      <c r="O34" s="67">
        <f t="shared" si="2"/>
        <v>0</v>
      </c>
      <c r="P34" s="69">
        <f t="shared" si="3"/>
        <v>0</v>
      </c>
      <c r="Q34" s="70">
        <f>COUNTIFS('Detalle Compras Septiembre 2026'!$B:$B, "Bebidas", 'Detalle Compras Septiembre 2026'!$C:$C, J34)</f>
        <v>0</v>
      </c>
    </row>
    <row r="35" spans="2:17" ht="18" customHeight="1" x14ac:dyDescent="0.35">
      <c r="B35" s="90">
        <v>26</v>
      </c>
      <c r="C35" s="91">
        <f>SUMIFS('Detalle Compras Septiembre 2026'!$G:$G, 'Detalle Compras Septiembre 2026'!$A:$A, B35, 'Detalle Compras Septiembre 2026'!$B:$B, "Bebidas")</f>
        <v>0</v>
      </c>
      <c r="D35" s="92">
        <f>SUMIFS('Detalle Compras Septiembre 2026'!$E:$E, 'Detalle Compras Septiembre 2026'!$A:$A, B35, 'Detalle Compras Septiembre 2026'!$B:$B, "Bebidas")</f>
        <v>0</v>
      </c>
      <c r="E35" s="91">
        <f t="shared" si="0"/>
        <v>0</v>
      </c>
      <c r="F35" s="93">
        <f t="shared" si="1"/>
        <v>0</v>
      </c>
      <c r="G35" s="94">
        <f>COUNTIFS('Detalle Compras Septiembre 2026'!$A:$A, B35, 'Detalle Compras Septiembre 2026'!$B:$B, "Bebidas")</f>
        <v>0</v>
      </c>
      <c r="I35" s="90">
        <v>26</v>
      </c>
      <c r="J35" s="95" t="s">
        <v>181</v>
      </c>
      <c r="K35" s="90" t="s">
        <v>182</v>
      </c>
      <c r="L35" s="96" t="s">
        <v>183</v>
      </c>
      <c r="M35" s="92">
        <f>SUMIFS('Detalle Compras Septiembre 2026'!$E:$E, 'Detalle Compras Septiembre 2026'!$B:$B, "Bebidas", 'Detalle Compras Septiembre 2026'!$C:$C, J35)</f>
        <v>1</v>
      </c>
      <c r="N35" s="91">
        <f>SUMIFS('Detalle Compras Septiembre 2026'!$G:$G, 'Detalle Compras Septiembre 2026'!$B:$B, "Bebidas", 'Detalle Compras Septiembre 2026'!$C:$C, J35)</f>
        <v>32000</v>
      </c>
      <c r="O35" s="91">
        <f t="shared" si="2"/>
        <v>32000</v>
      </c>
      <c r="P35" s="93">
        <f t="shared" si="3"/>
        <v>2.0720020720020719E-2</v>
      </c>
      <c r="Q35" s="94">
        <f>COUNTIFS('Detalle Compras Septiembre 2026'!$B:$B, "Bebidas", 'Detalle Compras Septiembre 2026'!$C:$C, J35)</f>
        <v>1</v>
      </c>
    </row>
    <row r="36" spans="2:17" ht="18" customHeight="1" x14ac:dyDescent="0.35">
      <c r="B36" s="66">
        <v>27</v>
      </c>
      <c r="C36" s="67">
        <f>SUMIFS('Detalle Compras Septiembre 2026'!$G:$G, 'Detalle Compras Septiembre 2026'!$A:$A, B36, 'Detalle Compras Septiembre 2026'!$B:$B, "Bebidas")</f>
        <v>0</v>
      </c>
      <c r="D36" s="88">
        <f>SUMIFS('Detalle Compras Septiembre 2026'!$E:$E, 'Detalle Compras Septiembre 2026'!$A:$A, B36, 'Detalle Compras Septiembre 2026'!$B:$B, "Bebidas")</f>
        <v>0</v>
      </c>
      <c r="E36" s="67">
        <f t="shared" si="0"/>
        <v>0</v>
      </c>
      <c r="F36" s="69">
        <f t="shared" si="1"/>
        <v>0</v>
      </c>
      <c r="G36" s="70">
        <f>COUNTIFS('Detalle Compras Septiembre 2026'!$A:$A, B36, 'Detalle Compras Septiembre 2026'!$B:$B, "Bebidas")</f>
        <v>0</v>
      </c>
      <c r="I36" s="66">
        <v>27</v>
      </c>
      <c r="J36" s="71" t="s">
        <v>182</v>
      </c>
      <c r="K36" s="66" t="s">
        <v>182</v>
      </c>
      <c r="L36" s="89" t="s">
        <v>184</v>
      </c>
      <c r="M36" s="88">
        <f>SUMIFS('Detalle Compras Septiembre 2026'!$E:$E, 'Detalle Compras Septiembre 2026'!$B:$B, "Bebidas", 'Detalle Compras Septiembre 2026'!$C:$C, J36)</f>
        <v>0</v>
      </c>
      <c r="N36" s="67">
        <f>SUMIFS('Detalle Compras Septiembre 2026'!$G:$G, 'Detalle Compras Septiembre 2026'!$B:$B, "Bebidas", 'Detalle Compras Septiembre 2026'!$C:$C, J36)</f>
        <v>0</v>
      </c>
      <c r="O36" s="67">
        <f t="shared" si="2"/>
        <v>0</v>
      </c>
      <c r="P36" s="69">
        <f t="shared" si="3"/>
        <v>0</v>
      </c>
      <c r="Q36" s="70">
        <f>COUNTIFS('Detalle Compras Septiembre 2026'!$B:$B, "Bebidas", 'Detalle Compras Septiembre 2026'!$C:$C, J36)</f>
        <v>0</v>
      </c>
    </row>
    <row r="37" spans="2:17" ht="18" customHeight="1" x14ac:dyDescent="0.35">
      <c r="B37" s="90">
        <v>28</v>
      </c>
      <c r="C37" s="91">
        <f>SUMIFS('Detalle Compras Septiembre 2026'!$G:$G, 'Detalle Compras Septiembre 2026'!$A:$A, B37, 'Detalle Compras Septiembre 2026'!$B:$B, "Bebidas")</f>
        <v>0</v>
      </c>
      <c r="D37" s="92">
        <f>SUMIFS('Detalle Compras Septiembre 2026'!$E:$E, 'Detalle Compras Septiembre 2026'!$A:$A, B37, 'Detalle Compras Septiembre 2026'!$B:$B, "Bebidas")</f>
        <v>0</v>
      </c>
      <c r="E37" s="91">
        <f t="shared" si="0"/>
        <v>0</v>
      </c>
      <c r="F37" s="93">
        <f t="shared" si="1"/>
        <v>0</v>
      </c>
      <c r="G37" s="94">
        <f>COUNTIFS('Detalle Compras Septiembre 2026'!$A:$A, B37, 'Detalle Compras Septiembre 2026'!$B:$B, "Bebidas")</f>
        <v>0</v>
      </c>
      <c r="I37" s="90">
        <v>28</v>
      </c>
      <c r="J37" s="95" t="s">
        <v>185</v>
      </c>
      <c r="K37" s="90" t="s">
        <v>182</v>
      </c>
      <c r="L37" s="96" t="s">
        <v>183</v>
      </c>
      <c r="M37" s="92">
        <f>SUMIFS('Detalle Compras Septiembre 2026'!$E:$E, 'Detalle Compras Septiembre 2026'!$B:$B, "Bebidas", 'Detalle Compras Septiembre 2026'!$C:$C, J37)</f>
        <v>0</v>
      </c>
      <c r="N37" s="91">
        <f>SUMIFS('Detalle Compras Septiembre 2026'!$G:$G, 'Detalle Compras Septiembre 2026'!$B:$B, "Bebidas", 'Detalle Compras Septiembre 2026'!$C:$C, J37)</f>
        <v>0</v>
      </c>
      <c r="O37" s="91">
        <f t="shared" si="2"/>
        <v>0</v>
      </c>
      <c r="P37" s="93">
        <f t="shared" si="3"/>
        <v>0</v>
      </c>
      <c r="Q37" s="94">
        <f>COUNTIFS('Detalle Compras Septiembre 2026'!$B:$B, "Bebidas", 'Detalle Compras Septiembre 2026'!$C:$C, J37)</f>
        <v>0</v>
      </c>
    </row>
    <row r="38" spans="2:17" ht="18" customHeight="1" x14ac:dyDescent="0.35">
      <c r="B38" s="66">
        <v>29</v>
      </c>
      <c r="C38" s="67">
        <f>SUMIFS('Detalle Compras Septiembre 2026'!$G:$G, 'Detalle Compras Septiembre 2026'!$A:$A, B38, 'Detalle Compras Septiembre 2026'!$B:$B, "Bebidas")</f>
        <v>0</v>
      </c>
      <c r="D38" s="88">
        <f>SUMIFS('Detalle Compras Septiembre 2026'!$E:$E, 'Detalle Compras Septiembre 2026'!$A:$A, B38, 'Detalle Compras Septiembre 2026'!$B:$B, "Bebidas")</f>
        <v>0</v>
      </c>
      <c r="E38" s="67">
        <f t="shared" si="0"/>
        <v>0</v>
      </c>
      <c r="F38" s="69">
        <f t="shared" si="1"/>
        <v>0</v>
      </c>
      <c r="G38" s="70">
        <f>COUNTIFS('Detalle Compras Septiembre 2026'!$A:$A, B38, 'Detalle Compras Septiembre 2026'!$B:$B, "Bebidas")</f>
        <v>0</v>
      </c>
      <c r="I38" s="66">
        <v>29</v>
      </c>
      <c r="J38" s="71" t="s">
        <v>186</v>
      </c>
      <c r="K38" s="66" t="s">
        <v>187</v>
      </c>
      <c r="L38" s="89" t="s">
        <v>188</v>
      </c>
      <c r="M38" s="88">
        <f>SUMIFS('Detalle Compras Septiembre 2026'!$E:$E, 'Detalle Compras Septiembre 2026'!$B:$B, "Bebidas", 'Detalle Compras Septiembre 2026'!$C:$C, J38)</f>
        <v>1</v>
      </c>
      <c r="N38" s="67">
        <f>SUMIFS('Detalle Compras Septiembre 2026'!$G:$G, 'Detalle Compras Septiembre 2026'!$B:$B, "Bebidas", 'Detalle Compras Septiembre 2026'!$C:$C, J38)</f>
        <v>32500</v>
      </c>
      <c r="O38" s="67">
        <f t="shared" si="2"/>
        <v>32500</v>
      </c>
      <c r="P38" s="69">
        <f t="shared" si="3"/>
        <v>2.1043771043771045E-2</v>
      </c>
      <c r="Q38" s="70">
        <f>COUNTIFS('Detalle Compras Septiembre 2026'!$B:$B, "Bebidas", 'Detalle Compras Septiembre 2026'!$C:$C, J38)</f>
        <v>1</v>
      </c>
    </row>
    <row r="39" spans="2:17" ht="18" customHeight="1" x14ac:dyDescent="0.35">
      <c r="B39" s="90">
        <v>30</v>
      </c>
      <c r="C39" s="91">
        <f>SUMIFS('Detalle Compras Septiembre 2026'!$G:$G, 'Detalle Compras Septiembre 2026'!$A:$A, B39, 'Detalle Compras Septiembre 2026'!$B:$B, "Bebidas")</f>
        <v>0</v>
      </c>
      <c r="D39" s="92">
        <f>SUMIFS('Detalle Compras Septiembre 2026'!$E:$E, 'Detalle Compras Septiembre 2026'!$A:$A, B39, 'Detalle Compras Septiembre 2026'!$B:$B, "Bebidas")</f>
        <v>0</v>
      </c>
      <c r="E39" s="91">
        <f t="shared" si="0"/>
        <v>0</v>
      </c>
      <c r="F39" s="93">
        <f t="shared" si="1"/>
        <v>0</v>
      </c>
      <c r="G39" s="94">
        <f>COUNTIFS('Detalle Compras Septiembre 2026'!$A:$A, B39, 'Detalle Compras Septiembre 2026'!$B:$B, "Bebidas")</f>
        <v>0</v>
      </c>
      <c r="I39" s="90">
        <v>30</v>
      </c>
      <c r="J39" s="95" t="s">
        <v>189</v>
      </c>
      <c r="K39" s="90" t="s">
        <v>190</v>
      </c>
      <c r="L39" s="96" t="s">
        <v>191</v>
      </c>
      <c r="M39" s="92">
        <f>SUMIFS('Detalle Compras Septiembre 2026'!$E:$E, 'Detalle Compras Septiembre 2026'!$B:$B, "Bebidas", 'Detalle Compras Septiembre 2026'!$C:$C, J39)</f>
        <v>0</v>
      </c>
      <c r="N39" s="91">
        <f>SUMIFS('Detalle Compras Septiembre 2026'!$G:$G, 'Detalle Compras Septiembre 2026'!$B:$B, "Bebidas", 'Detalle Compras Septiembre 2026'!$C:$C, J39)</f>
        <v>0</v>
      </c>
      <c r="O39" s="91">
        <f t="shared" si="2"/>
        <v>0</v>
      </c>
      <c r="P39" s="93">
        <f t="shared" si="3"/>
        <v>0</v>
      </c>
      <c r="Q39" s="94">
        <f>COUNTIFS('Detalle Compras Septiembre 2026'!$B:$B, "Bebidas", 'Detalle Compras Septiembre 2026'!$C:$C, J39)</f>
        <v>0</v>
      </c>
    </row>
    <row r="40" spans="2:17" ht="18" customHeight="1" x14ac:dyDescent="0.35">
      <c r="B40" s="97" t="s">
        <v>47</v>
      </c>
      <c r="C40" s="98">
        <f>SUM(C10:C39)</f>
        <v>1544400</v>
      </c>
      <c r="D40" s="99">
        <f>SUM(D10:D39)</f>
        <v>38</v>
      </c>
      <c r="E40" s="98">
        <f t="shared" si="0"/>
        <v>40642.105263157893</v>
      </c>
      <c r="F40" s="100">
        <f>IF(C40&gt;0, 1, 0)</f>
        <v>1</v>
      </c>
      <c r="G40" s="101">
        <f>SUM(G10:G39)</f>
        <v>15</v>
      </c>
      <c r="I40" s="66">
        <v>31</v>
      </c>
      <c r="J40" s="71" t="s">
        <v>190</v>
      </c>
      <c r="K40" s="66" t="s">
        <v>190</v>
      </c>
      <c r="L40" s="89" t="s">
        <v>192</v>
      </c>
      <c r="M40" s="88">
        <f>SUMIFS('Detalle Compras Septiembre 2026'!$E:$E, 'Detalle Compras Septiembre 2026'!$B:$B, "Bebidas", 'Detalle Compras Septiembre 2026'!$C:$C, J40)</f>
        <v>0</v>
      </c>
      <c r="N40" s="67">
        <f>SUMIFS('Detalle Compras Septiembre 2026'!$G:$G, 'Detalle Compras Septiembre 2026'!$B:$B, "Bebidas", 'Detalle Compras Septiembre 2026'!$C:$C, J40)</f>
        <v>0</v>
      </c>
      <c r="O40" s="67">
        <f t="shared" si="2"/>
        <v>0</v>
      </c>
      <c r="P40" s="69">
        <f t="shared" si="3"/>
        <v>0</v>
      </c>
      <c r="Q40" s="70">
        <f>COUNTIFS('Detalle Compras Septiembre 2026'!$B:$B, "Bebidas", 'Detalle Compras Septiembre 2026'!$C:$C, J40)</f>
        <v>0</v>
      </c>
    </row>
    <row r="41" spans="2:17" ht="18" customHeight="1" x14ac:dyDescent="0.35">
      <c r="I41" s="90">
        <v>32</v>
      </c>
      <c r="J41" s="95" t="s">
        <v>193</v>
      </c>
      <c r="K41" s="90" t="s">
        <v>194</v>
      </c>
      <c r="L41" s="96" t="s">
        <v>195</v>
      </c>
      <c r="M41" s="92">
        <f>SUMIFS('Detalle Compras Septiembre 2026'!$E:$E, 'Detalle Compras Septiembre 2026'!$B:$B, "Bebidas", 'Detalle Compras Septiembre 2026'!$C:$C, J41)</f>
        <v>1</v>
      </c>
      <c r="N41" s="91">
        <f>SUMIFS('Detalle Compras Septiembre 2026'!$G:$G, 'Detalle Compras Septiembre 2026'!$B:$B, "Bebidas", 'Detalle Compras Septiembre 2026'!$C:$C, J41)</f>
        <v>51600</v>
      </c>
      <c r="O41" s="91">
        <f t="shared" si="2"/>
        <v>51600</v>
      </c>
      <c r="P41" s="93">
        <f t="shared" si="3"/>
        <v>3.3411033411033408E-2</v>
      </c>
      <c r="Q41" s="94">
        <f>COUNTIFS('Detalle Compras Septiembre 2026'!$B:$B, "Bebidas", 'Detalle Compras Septiembre 2026'!$C:$C, J41)</f>
        <v>1</v>
      </c>
    </row>
    <row r="42" spans="2:17" ht="18" customHeight="1" x14ac:dyDescent="0.35">
      <c r="I42" s="66">
        <v>33</v>
      </c>
      <c r="J42" s="71" t="s">
        <v>196</v>
      </c>
      <c r="K42" s="66" t="s">
        <v>197</v>
      </c>
      <c r="L42" s="89" t="s">
        <v>198</v>
      </c>
      <c r="M42" s="88">
        <f>SUMIFS('Detalle Compras Septiembre 2026'!$E:$E, 'Detalle Compras Septiembre 2026'!$B:$B, "Bebidas", 'Detalle Compras Septiembre 2026'!$C:$C, J42)</f>
        <v>2</v>
      </c>
      <c r="N42" s="67">
        <f>SUMIFS('Detalle Compras Septiembre 2026'!$G:$G, 'Detalle Compras Septiembre 2026'!$B:$B, "Bebidas", 'Detalle Compras Septiembre 2026'!$C:$C, J42)</f>
        <v>78000</v>
      </c>
      <c r="O42" s="67">
        <f t="shared" si="2"/>
        <v>39000</v>
      </c>
      <c r="P42" s="69">
        <f t="shared" si="3"/>
        <v>5.0505050505050504E-2</v>
      </c>
      <c r="Q42" s="70">
        <f>COUNTIFS('Detalle Compras Septiembre 2026'!$B:$B, "Bebidas", 'Detalle Compras Septiembre 2026'!$C:$C, J42)</f>
        <v>1</v>
      </c>
    </row>
    <row r="43" spans="2:17" ht="18" customHeight="1" x14ac:dyDescent="0.35">
      <c r="I43" s="90">
        <v>34</v>
      </c>
      <c r="J43" s="95" t="s">
        <v>199</v>
      </c>
      <c r="K43" s="90" t="s">
        <v>200</v>
      </c>
      <c r="L43" s="96" t="s">
        <v>201</v>
      </c>
      <c r="M43" s="92">
        <f>SUMIFS('Detalle Compras Septiembre 2026'!$E:$E, 'Detalle Compras Septiembre 2026'!$B:$B, "Bebidas", 'Detalle Compras Septiembre 2026'!$C:$C, J43)</f>
        <v>0</v>
      </c>
      <c r="N43" s="91">
        <f>SUMIFS('Detalle Compras Septiembre 2026'!$G:$G, 'Detalle Compras Septiembre 2026'!$B:$B, "Bebidas", 'Detalle Compras Septiembre 2026'!$C:$C, J43)</f>
        <v>0</v>
      </c>
      <c r="O43" s="91">
        <f t="shared" si="2"/>
        <v>0</v>
      </c>
      <c r="P43" s="93">
        <f t="shared" si="3"/>
        <v>0</v>
      </c>
      <c r="Q43" s="94">
        <f>COUNTIFS('Detalle Compras Septiembre 2026'!$B:$B, "Bebidas", 'Detalle Compras Septiembre 2026'!$C:$C, J43)</f>
        <v>0</v>
      </c>
    </row>
    <row r="44" spans="2:17" ht="18" customHeight="1" x14ac:dyDescent="0.35">
      <c r="I44" s="66">
        <v>35</v>
      </c>
      <c r="J44" s="71" t="s">
        <v>202</v>
      </c>
      <c r="K44" s="66" t="s">
        <v>200</v>
      </c>
      <c r="L44" s="89" t="s">
        <v>156</v>
      </c>
      <c r="M44" s="88">
        <f>SUMIFS('Detalle Compras Septiembre 2026'!$E:$E, 'Detalle Compras Septiembre 2026'!$B:$B, "Bebidas", 'Detalle Compras Septiembre 2026'!$C:$C, J44)</f>
        <v>0</v>
      </c>
      <c r="N44" s="67">
        <f>SUMIFS('Detalle Compras Septiembre 2026'!$G:$G, 'Detalle Compras Septiembre 2026'!$B:$B, "Bebidas", 'Detalle Compras Septiembre 2026'!$C:$C, J44)</f>
        <v>0</v>
      </c>
      <c r="O44" s="67">
        <f t="shared" si="2"/>
        <v>0</v>
      </c>
      <c r="P44" s="69">
        <f t="shared" si="3"/>
        <v>0</v>
      </c>
      <c r="Q44" s="70">
        <f>COUNTIFS('Detalle Compras Septiembre 2026'!$B:$B, "Bebidas", 'Detalle Compras Septiembre 2026'!$C:$C, J44)</f>
        <v>0</v>
      </c>
    </row>
    <row r="45" spans="2:17" ht="18" customHeight="1" x14ac:dyDescent="0.35">
      <c r="I45" s="90">
        <v>36</v>
      </c>
      <c r="J45" s="95" t="s">
        <v>203</v>
      </c>
      <c r="K45" s="90" t="s">
        <v>204</v>
      </c>
      <c r="L45" s="96" t="s">
        <v>205</v>
      </c>
      <c r="M45" s="92">
        <f>SUMIFS('Detalle Compras Septiembre 2026'!$E:$E, 'Detalle Compras Septiembre 2026'!$B:$B, "Bebidas", 'Detalle Compras Septiembre 2026'!$C:$C, J45)</f>
        <v>0</v>
      </c>
      <c r="N45" s="91">
        <f>SUMIFS('Detalle Compras Septiembre 2026'!$G:$G, 'Detalle Compras Septiembre 2026'!$B:$B, "Bebidas", 'Detalle Compras Septiembre 2026'!$C:$C, J45)</f>
        <v>0</v>
      </c>
      <c r="O45" s="91">
        <f t="shared" si="2"/>
        <v>0</v>
      </c>
      <c r="P45" s="93">
        <f t="shared" si="3"/>
        <v>0</v>
      </c>
      <c r="Q45" s="94">
        <f>COUNTIFS('Detalle Compras Septiembre 2026'!$B:$B, "Bebidas", 'Detalle Compras Septiembre 2026'!$C:$C, J45)</f>
        <v>0</v>
      </c>
    </row>
    <row r="46" spans="2:17" ht="18" customHeight="1" x14ac:dyDescent="0.35">
      <c r="I46" s="66">
        <v>37</v>
      </c>
      <c r="J46" s="71" t="s">
        <v>206</v>
      </c>
      <c r="K46" s="66" t="s">
        <v>204</v>
      </c>
      <c r="L46" s="89" t="s">
        <v>207</v>
      </c>
      <c r="M46" s="88">
        <f>SUMIFS('Detalle Compras Septiembre 2026'!$E:$E, 'Detalle Compras Septiembre 2026'!$B:$B, "Bebidas", 'Detalle Compras Septiembre 2026'!$C:$C, J46)</f>
        <v>0</v>
      </c>
      <c r="N46" s="67">
        <f>SUMIFS('Detalle Compras Septiembre 2026'!$G:$G, 'Detalle Compras Septiembre 2026'!$B:$B, "Bebidas", 'Detalle Compras Septiembre 2026'!$C:$C, J46)</f>
        <v>0</v>
      </c>
      <c r="O46" s="67">
        <f t="shared" si="2"/>
        <v>0</v>
      </c>
      <c r="P46" s="69">
        <f t="shared" si="3"/>
        <v>0</v>
      </c>
      <c r="Q46" s="70">
        <f>COUNTIFS('Detalle Compras Septiembre 2026'!$B:$B, "Bebidas", 'Detalle Compras Septiembre 2026'!$C:$C, J46)</f>
        <v>0</v>
      </c>
    </row>
    <row r="47" spans="2:17" ht="18" customHeight="1" x14ac:dyDescent="0.35">
      <c r="I47" s="90">
        <v>38</v>
      </c>
      <c r="J47" s="95" t="s">
        <v>208</v>
      </c>
      <c r="K47" s="90" t="s">
        <v>204</v>
      </c>
      <c r="L47" s="96" t="s">
        <v>209</v>
      </c>
      <c r="M47" s="92">
        <f>SUMIFS('Detalle Compras Septiembre 2026'!$E:$E, 'Detalle Compras Septiembre 2026'!$B:$B, "Bebidas", 'Detalle Compras Septiembre 2026'!$C:$C, J47)</f>
        <v>0</v>
      </c>
      <c r="N47" s="91">
        <f>SUMIFS('Detalle Compras Septiembre 2026'!$G:$G, 'Detalle Compras Septiembre 2026'!$B:$B, "Bebidas", 'Detalle Compras Septiembre 2026'!$C:$C, J47)</f>
        <v>0</v>
      </c>
      <c r="O47" s="91">
        <f t="shared" si="2"/>
        <v>0</v>
      </c>
      <c r="P47" s="93">
        <f t="shared" si="3"/>
        <v>0</v>
      </c>
      <c r="Q47" s="94">
        <f>COUNTIFS('Detalle Compras Septiembre 2026'!$B:$B, "Bebidas", 'Detalle Compras Septiembre 2026'!$C:$C, J47)</f>
        <v>0</v>
      </c>
    </row>
    <row r="48" spans="2:17" ht="18" customHeight="1" x14ac:dyDescent="0.35">
      <c r="I48" s="66">
        <v>39</v>
      </c>
      <c r="J48" s="71" t="s">
        <v>210</v>
      </c>
      <c r="K48" s="66" t="s">
        <v>211</v>
      </c>
      <c r="L48" s="89" t="s">
        <v>205</v>
      </c>
      <c r="M48" s="88">
        <f>SUMIFS('Detalle Compras Septiembre 2026'!$E:$E, 'Detalle Compras Septiembre 2026'!$B:$B, "Bebidas", 'Detalle Compras Septiembre 2026'!$C:$C, J48)</f>
        <v>0</v>
      </c>
      <c r="N48" s="67">
        <f>SUMIFS('Detalle Compras Septiembre 2026'!$G:$G, 'Detalle Compras Septiembre 2026'!$B:$B, "Bebidas", 'Detalle Compras Septiembre 2026'!$C:$C, J48)</f>
        <v>0</v>
      </c>
      <c r="O48" s="67">
        <f t="shared" si="2"/>
        <v>0</v>
      </c>
      <c r="P48" s="69">
        <f t="shared" si="3"/>
        <v>0</v>
      </c>
      <c r="Q48" s="70">
        <f>COUNTIFS('Detalle Compras Septiembre 2026'!$B:$B, "Bebidas", 'Detalle Compras Septiembre 2026'!$C:$C, J48)</f>
        <v>0</v>
      </c>
    </row>
    <row r="49" spans="9:17" ht="20" customHeight="1" x14ac:dyDescent="0.35">
      <c r="I49" s="132" t="s">
        <v>212</v>
      </c>
      <c r="J49" s="133"/>
      <c r="K49" s="133"/>
      <c r="L49" s="133"/>
      <c r="M49" s="99">
        <f>SUM(M10:M48)</f>
        <v>38</v>
      </c>
      <c r="N49" s="98">
        <f>SUM(N10:N48)</f>
        <v>1544400</v>
      </c>
      <c r="O49" s="98">
        <f t="shared" si="2"/>
        <v>40642.105263157893</v>
      </c>
      <c r="P49" s="100">
        <f>SUM(P10:P48)</f>
        <v>1.0000000000000002</v>
      </c>
      <c r="Q49" s="101">
        <f>SUM(Q10:Q48)</f>
        <v>15</v>
      </c>
    </row>
  </sheetData>
  <mergeCells count="9">
    <mergeCell ref="I8:Q8"/>
    <mergeCell ref="B2:H2"/>
    <mergeCell ref="B3:H3"/>
    <mergeCell ref="I49:L49"/>
    <mergeCell ref="D6:E6"/>
    <mergeCell ref="B6:C6"/>
    <mergeCell ref="B5:C5"/>
    <mergeCell ref="D5:E5"/>
    <mergeCell ref="B8:G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4"/>
  <sheetViews>
    <sheetView zoomScale="102" zoomScaleNormal="85" workbookViewId="0">
      <selection activeCell="B9" sqref="B9"/>
    </sheetView>
  </sheetViews>
  <sheetFormatPr baseColWidth="10" defaultRowHeight="14.5" x14ac:dyDescent="0.35"/>
  <cols>
    <col min="1" max="1" width="12" style="57" customWidth="1"/>
    <col min="2" max="2" width="22" style="57" bestFit="1" customWidth="1"/>
    <col min="3" max="3" width="62" style="57" customWidth="1"/>
    <col min="4" max="4" width="62" style="57" bestFit="1" customWidth="1"/>
    <col min="5" max="5" width="12" style="58" bestFit="1" customWidth="1"/>
    <col min="6" max="6" width="17" style="59" bestFit="1" customWidth="1"/>
    <col min="7" max="7" width="21" style="59" bestFit="1" customWidth="1"/>
    <col min="8" max="8" width="11.6328125" bestFit="1" customWidth="1"/>
    <col min="10" max="10" width="16.1796875" bestFit="1" customWidth="1"/>
  </cols>
  <sheetData>
    <row r="1" spans="1:7" x14ac:dyDescent="0.35">
      <c r="A1" s="55" t="s">
        <v>35</v>
      </c>
      <c r="B1" s="55" t="s">
        <v>213</v>
      </c>
      <c r="C1" s="55" t="s">
        <v>214</v>
      </c>
      <c r="D1" s="60" t="s">
        <v>215</v>
      </c>
      <c r="E1" s="56" t="s">
        <v>216</v>
      </c>
      <c r="F1" s="55" t="s">
        <v>217</v>
      </c>
      <c r="G1" s="55" t="s">
        <v>218</v>
      </c>
    </row>
    <row r="2" spans="1:7" x14ac:dyDescent="0.35">
      <c r="A2">
        <v>1</v>
      </c>
      <c r="B2" t="s">
        <v>24</v>
      </c>
      <c r="C2" t="s">
        <v>65</v>
      </c>
      <c r="D2" t="s">
        <v>219</v>
      </c>
      <c r="E2">
        <v>28.6</v>
      </c>
      <c r="F2">
        <v>14900</v>
      </c>
      <c r="G2">
        <v>426140</v>
      </c>
    </row>
    <row r="3" spans="1:7" x14ac:dyDescent="0.35">
      <c r="A3">
        <v>1</v>
      </c>
      <c r="B3" t="s">
        <v>24</v>
      </c>
      <c r="C3" t="s">
        <v>63</v>
      </c>
      <c r="D3" t="s">
        <v>220</v>
      </c>
      <c r="E3">
        <v>28.7</v>
      </c>
      <c r="F3">
        <v>25900</v>
      </c>
      <c r="G3">
        <v>743330</v>
      </c>
    </row>
    <row r="4" spans="1:7" x14ac:dyDescent="0.35">
      <c r="A4">
        <v>1</v>
      </c>
      <c r="B4" t="s">
        <v>29</v>
      </c>
      <c r="C4" t="s">
        <v>221</v>
      </c>
      <c r="D4" t="s">
        <v>222</v>
      </c>
      <c r="E4">
        <v>4</v>
      </c>
      <c r="F4">
        <v>19500</v>
      </c>
      <c r="G4">
        <v>78000</v>
      </c>
    </row>
    <row r="5" spans="1:7" x14ac:dyDescent="0.35">
      <c r="A5">
        <v>1</v>
      </c>
      <c r="B5" t="s">
        <v>24</v>
      </c>
      <c r="C5" t="s">
        <v>69</v>
      </c>
      <c r="D5" t="s">
        <v>223</v>
      </c>
      <c r="E5">
        <v>18.5</v>
      </c>
      <c r="F5">
        <v>34500</v>
      </c>
      <c r="G5">
        <v>638250</v>
      </c>
    </row>
    <row r="6" spans="1:7" x14ac:dyDescent="0.35">
      <c r="A6">
        <v>1</v>
      </c>
      <c r="B6" t="s">
        <v>24</v>
      </c>
      <c r="C6" t="s">
        <v>106</v>
      </c>
      <c r="D6" t="s">
        <v>224</v>
      </c>
      <c r="E6">
        <v>27.65</v>
      </c>
      <c r="F6">
        <v>23900</v>
      </c>
      <c r="G6">
        <v>660835</v>
      </c>
    </row>
    <row r="7" spans="1:7" x14ac:dyDescent="0.35">
      <c r="A7">
        <v>1</v>
      </c>
      <c r="B7" t="s">
        <v>24</v>
      </c>
      <c r="C7" t="s">
        <v>112</v>
      </c>
      <c r="D7" t="s">
        <v>225</v>
      </c>
      <c r="E7">
        <v>9.8699999999999992</v>
      </c>
      <c r="F7">
        <v>55000</v>
      </c>
      <c r="G7">
        <v>542850</v>
      </c>
    </row>
    <row r="8" spans="1:7" x14ac:dyDescent="0.35">
      <c r="A8">
        <v>1</v>
      </c>
      <c r="B8" t="s">
        <v>24</v>
      </c>
      <c r="C8" t="s">
        <v>113</v>
      </c>
      <c r="D8" t="s">
        <v>226</v>
      </c>
      <c r="E8">
        <v>19.809999999999999</v>
      </c>
      <c r="F8">
        <v>18000</v>
      </c>
      <c r="G8">
        <v>356580</v>
      </c>
    </row>
    <row r="9" spans="1:7" x14ac:dyDescent="0.35">
      <c r="A9">
        <v>1</v>
      </c>
      <c r="B9" t="s">
        <v>26</v>
      </c>
      <c r="C9" t="s">
        <v>227</v>
      </c>
      <c r="D9" t="s">
        <v>228</v>
      </c>
      <c r="E9">
        <v>2</v>
      </c>
      <c r="F9">
        <v>9500</v>
      </c>
      <c r="G9">
        <v>19000</v>
      </c>
    </row>
    <row r="10" spans="1:7" x14ac:dyDescent="0.35">
      <c r="A10">
        <v>1</v>
      </c>
      <c r="B10" t="s">
        <v>26</v>
      </c>
      <c r="C10" t="s">
        <v>229</v>
      </c>
      <c r="D10" t="s">
        <v>230</v>
      </c>
      <c r="E10">
        <v>3</v>
      </c>
      <c r="F10">
        <v>5000</v>
      </c>
      <c r="G10">
        <v>15000</v>
      </c>
    </row>
    <row r="11" spans="1:7" x14ac:dyDescent="0.35">
      <c r="A11">
        <v>1</v>
      </c>
      <c r="B11" t="s">
        <v>24</v>
      </c>
      <c r="C11" t="s">
        <v>59</v>
      </c>
      <c r="D11" t="s">
        <v>231</v>
      </c>
      <c r="E11">
        <v>90.35</v>
      </c>
      <c r="F11">
        <v>21900</v>
      </c>
      <c r="G11">
        <v>1978665</v>
      </c>
    </row>
    <row r="12" spans="1:7" x14ac:dyDescent="0.35">
      <c r="A12">
        <v>2</v>
      </c>
      <c r="B12" t="s">
        <v>28</v>
      </c>
      <c r="C12" t="s">
        <v>232</v>
      </c>
      <c r="D12" t="s">
        <v>233</v>
      </c>
      <c r="E12">
        <v>4</v>
      </c>
      <c r="F12">
        <v>18200</v>
      </c>
      <c r="G12">
        <v>72800</v>
      </c>
    </row>
    <row r="13" spans="1:7" x14ac:dyDescent="0.35">
      <c r="A13">
        <v>2</v>
      </c>
      <c r="B13" t="s">
        <v>30</v>
      </c>
      <c r="C13" t="s">
        <v>234</v>
      </c>
      <c r="D13" t="s">
        <v>235</v>
      </c>
      <c r="E13">
        <v>5</v>
      </c>
      <c r="F13">
        <v>3105.6</v>
      </c>
      <c r="G13">
        <v>15528</v>
      </c>
    </row>
    <row r="14" spans="1:7" x14ac:dyDescent="0.35">
      <c r="A14">
        <v>2</v>
      </c>
      <c r="B14" t="s">
        <v>30</v>
      </c>
      <c r="C14" t="s">
        <v>234</v>
      </c>
      <c r="D14" t="s">
        <v>236</v>
      </c>
      <c r="E14">
        <v>5</v>
      </c>
      <c r="F14">
        <v>3105.6</v>
      </c>
      <c r="G14">
        <v>15528</v>
      </c>
    </row>
    <row r="15" spans="1:7" x14ac:dyDescent="0.35">
      <c r="A15">
        <v>2</v>
      </c>
      <c r="B15" t="s">
        <v>30</v>
      </c>
      <c r="C15" t="s">
        <v>237</v>
      </c>
      <c r="D15" t="s">
        <v>238</v>
      </c>
      <c r="E15">
        <v>70</v>
      </c>
      <c r="F15">
        <v>4180</v>
      </c>
      <c r="G15">
        <v>292600</v>
      </c>
    </row>
    <row r="16" spans="1:7" x14ac:dyDescent="0.35">
      <c r="A16">
        <v>2</v>
      </c>
      <c r="B16" t="s">
        <v>30</v>
      </c>
      <c r="C16" t="s">
        <v>234</v>
      </c>
      <c r="D16" t="s">
        <v>239</v>
      </c>
      <c r="E16">
        <v>5</v>
      </c>
      <c r="F16">
        <v>1309</v>
      </c>
      <c r="G16">
        <v>6545</v>
      </c>
    </row>
    <row r="17" spans="1:7" x14ac:dyDescent="0.35">
      <c r="A17">
        <v>2</v>
      </c>
      <c r="B17" t="s">
        <v>30</v>
      </c>
      <c r="C17" t="s">
        <v>234</v>
      </c>
      <c r="D17" t="s">
        <v>240</v>
      </c>
      <c r="E17">
        <v>5</v>
      </c>
      <c r="F17">
        <v>2570.4</v>
      </c>
      <c r="G17">
        <v>12852</v>
      </c>
    </row>
    <row r="18" spans="1:7" x14ac:dyDescent="0.35">
      <c r="A18">
        <v>2</v>
      </c>
      <c r="B18" t="s">
        <v>30</v>
      </c>
      <c r="C18" t="s">
        <v>234</v>
      </c>
      <c r="D18" t="s">
        <v>241</v>
      </c>
      <c r="E18">
        <v>3</v>
      </c>
      <c r="F18">
        <v>3760.333333333333</v>
      </c>
      <c r="G18">
        <v>11281</v>
      </c>
    </row>
    <row r="19" spans="1:7" x14ac:dyDescent="0.35">
      <c r="A19">
        <v>2</v>
      </c>
      <c r="B19" t="s">
        <v>30</v>
      </c>
      <c r="C19" t="s">
        <v>234</v>
      </c>
      <c r="D19" t="s">
        <v>242</v>
      </c>
      <c r="E19">
        <v>3</v>
      </c>
      <c r="F19">
        <v>3760.333333333333</v>
      </c>
      <c r="G19">
        <v>11281</v>
      </c>
    </row>
    <row r="20" spans="1:7" x14ac:dyDescent="0.35">
      <c r="A20">
        <v>1</v>
      </c>
      <c r="B20" t="s">
        <v>31</v>
      </c>
      <c r="C20" t="s">
        <v>145</v>
      </c>
      <c r="D20" t="s">
        <v>243</v>
      </c>
      <c r="E20">
        <v>1</v>
      </c>
      <c r="F20">
        <v>77500</v>
      </c>
      <c r="G20">
        <v>77500</v>
      </c>
    </row>
    <row r="21" spans="1:7" x14ac:dyDescent="0.35">
      <c r="A21">
        <v>1</v>
      </c>
      <c r="B21" t="s">
        <v>31</v>
      </c>
      <c r="C21" t="s">
        <v>142</v>
      </c>
      <c r="D21" t="s">
        <v>244</v>
      </c>
      <c r="E21">
        <v>2</v>
      </c>
      <c r="F21">
        <v>74500</v>
      </c>
      <c r="G21">
        <v>149000</v>
      </c>
    </row>
    <row r="22" spans="1:7" x14ac:dyDescent="0.35">
      <c r="A22">
        <v>1</v>
      </c>
      <c r="B22" t="s">
        <v>31</v>
      </c>
      <c r="C22" t="s">
        <v>146</v>
      </c>
      <c r="D22" t="s">
        <v>245</v>
      </c>
      <c r="E22">
        <v>1</v>
      </c>
      <c r="F22">
        <v>93000</v>
      </c>
      <c r="G22">
        <v>93000</v>
      </c>
    </row>
    <row r="23" spans="1:7" x14ac:dyDescent="0.35">
      <c r="A23">
        <v>1</v>
      </c>
      <c r="B23" t="s">
        <v>31</v>
      </c>
      <c r="C23" t="s">
        <v>148</v>
      </c>
      <c r="D23" t="s">
        <v>246</v>
      </c>
      <c r="E23">
        <v>1</v>
      </c>
      <c r="F23">
        <v>92200</v>
      </c>
      <c r="G23">
        <v>92200</v>
      </c>
    </row>
    <row r="24" spans="1:7" x14ac:dyDescent="0.35">
      <c r="A24">
        <v>1</v>
      </c>
      <c r="B24" t="s">
        <v>24</v>
      </c>
      <c r="C24" t="s">
        <v>110</v>
      </c>
      <c r="D24" t="s">
        <v>247</v>
      </c>
      <c r="E24">
        <v>20</v>
      </c>
      <c r="F24">
        <v>16500</v>
      </c>
      <c r="G24">
        <v>330000</v>
      </c>
    </row>
    <row r="25" spans="1:7" x14ac:dyDescent="0.35">
      <c r="A25">
        <v>3</v>
      </c>
      <c r="B25" t="s">
        <v>26</v>
      </c>
      <c r="C25" t="s">
        <v>227</v>
      </c>
      <c r="D25" t="s">
        <v>248</v>
      </c>
      <c r="E25">
        <v>2</v>
      </c>
      <c r="F25">
        <v>9500</v>
      </c>
      <c r="G25">
        <v>19000</v>
      </c>
    </row>
    <row r="26" spans="1:7" x14ac:dyDescent="0.35">
      <c r="A26">
        <v>3</v>
      </c>
      <c r="B26" t="s">
        <v>24</v>
      </c>
      <c r="C26" t="s">
        <v>107</v>
      </c>
      <c r="D26" t="s">
        <v>249</v>
      </c>
      <c r="E26">
        <v>5.8</v>
      </c>
      <c r="F26">
        <v>22000</v>
      </c>
      <c r="G26">
        <v>127600</v>
      </c>
    </row>
    <row r="27" spans="1:7" x14ac:dyDescent="0.35">
      <c r="A27">
        <v>3</v>
      </c>
      <c r="B27" t="s">
        <v>24</v>
      </c>
      <c r="C27" t="s">
        <v>101</v>
      </c>
      <c r="D27" t="s">
        <v>250</v>
      </c>
      <c r="E27">
        <v>7.35</v>
      </c>
      <c r="F27">
        <v>54000</v>
      </c>
      <c r="G27">
        <v>396900</v>
      </c>
    </row>
    <row r="28" spans="1:7" x14ac:dyDescent="0.35">
      <c r="A28">
        <v>3</v>
      </c>
      <c r="B28" t="s">
        <v>24</v>
      </c>
      <c r="C28" t="s">
        <v>103</v>
      </c>
      <c r="D28" t="s">
        <v>251</v>
      </c>
      <c r="E28">
        <v>10.3</v>
      </c>
      <c r="F28">
        <v>20000</v>
      </c>
      <c r="G28">
        <v>206000</v>
      </c>
    </row>
    <row r="29" spans="1:7" x14ac:dyDescent="0.35">
      <c r="A29">
        <v>3</v>
      </c>
      <c r="B29" t="s">
        <v>24</v>
      </c>
      <c r="C29" t="s">
        <v>104</v>
      </c>
      <c r="D29" t="s">
        <v>252</v>
      </c>
      <c r="E29">
        <v>4.05</v>
      </c>
      <c r="F29">
        <v>33000</v>
      </c>
      <c r="G29">
        <v>133650</v>
      </c>
    </row>
    <row r="30" spans="1:7" x14ac:dyDescent="0.35">
      <c r="A30">
        <v>3</v>
      </c>
      <c r="B30" t="s">
        <v>29</v>
      </c>
      <c r="C30" t="s">
        <v>253</v>
      </c>
      <c r="D30" t="s">
        <v>254</v>
      </c>
      <c r="E30">
        <v>4</v>
      </c>
      <c r="F30">
        <v>26000</v>
      </c>
      <c r="G30">
        <v>104000</v>
      </c>
    </row>
    <row r="31" spans="1:7" x14ac:dyDescent="0.35">
      <c r="A31">
        <v>2</v>
      </c>
      <c r="B31" t="s">
        <v>31</v>
      </c>
      <c r="C31" t="s">
        <v>193</v>
      </c>
      <c r="D31" t="s">
        <v>255</v>
      </c>
      <c r="E31">
        <v>1</v>
      </c>
      <c r="F31">
        <v>51600</v>
      </c>
      <c r="G31">
        <v>51600</v>
      </c>
    </row>
    <row r="32" spans="1:7" x14ac:dyDescent="0.35">
      <c r="A32">
        <v>2</v>
      </c>
      <c r="B32" t="s">
        <v>31</v>
      </c>
      <c r="C32" t="s">
        <v>196</v>
      </c>
      <c r="D32" t="s">
        <v>256</v>
      </c>
      <c r="E32">
        <v>2</v>
      </c>
      <c r="F32">
        <v>39000</v>
      </c>
      <c r="G32">
        <v>78000</v>
      </c>
    </row>
    <row r="33" spans="1:7" x14ac:dyDescent="0.35">
      <c r="A33">
        <v>2</v>
      </c>
      <c r="B33" t="s">
        <v>31</v>
      </c>
      <c r="C33" t="s">
        <v>186</v>
      </c>
      <c r="D33" t="s">
        <v>257</v>
      </c>
      <c r="E33">
        <v>1</v>
      </c>
      <c r="F33">
        <v>32500</v>
      </c>
      <c r="G33">
        <v>32500</v>
      </c>
    </row>
    <row r="34" spans="1:7" x14ac:dyDescent="0.35">
      <c r="A34">
        <v>2</v>
      </c>
      <c r="B34" t="s">
        <v>26</v>
      </c>
      <c r="C34" t="s">
        <v>227</v>
      </c>
      <c r="D34" t="s">
        <v>258</v>
      </c>
      <c r="E34">
        <v>2</v>
      </c>
      <c r="F34">
        <v>9500</v>
      </c>
      <c r="G34">
        <v>19000</v>
      </c>
    </row>
    <row r="35" spans="1:7" x14ac:dyDescent="0.35">
      <c r="A35">
        <v>2</v>
      </c>
      <c r="B35" t="s">
        <v>26</v>
      </c>
      <c r="C35" t="s">
        <v>229</v>
      </c>
      <c r="D35" t="s">
        <v>259</v>
      </c>
      <c r="E35">
        <v>2</v>
      </c>
      <c r="F35">
        <v>5000</v>
      </c>
      <c r="G35">
        <v>10000</v>
      </c>
    </row>
    <row r="36" spans="1:7" x14ac:dyDescent="0.35">
      <c r="A36">
        <v>3</v>
      </c>
      <c r="B36" t="s">
        <v>31</v>
      </c>
      <c r="C36" t="s">
        <v>157</v>
      </c>
      <c r="D36" t="s">
        <v>260</v>
      </c>
      <c r="E36">
        <v>8</v>
      </c>
      <c r="F36">
        <v>30000</v>
      </c>
      <c r="G36">
        <v>240000</v>
      </c>
    </row>
    <row r="37" spans="1:7" x14ac:dyDescent="0.35">
      <c r="A37">
        <v>3</v>
      </c>
      <c r="B37" t="s">
        <v>31</v>
      </c>
      <c r="C37" t="s">
        <v>181</v>
      </c>
      <c r="D37" t="s">
        <v>261</v>
      </c>
      <c r="E37">
        <v>1</v>
      </c>
      <c r="F37">
        <v>32000</v>
      </c>
      <c r="G37">
        <v>32000</v>
      </c>
    </row>
    <row r="38" spans="1:7" x14ac:dyDescent="0.35">
      <c r="A38">
        <v>3</v>
      </c>
      <c r="B38" t="s">
        <v>31</v>
      </c>
      <c r="C38" t="s">
        <v>160</v>
      </c>
      <c r="D38" t="s">
        <v>262</v>
      </c>
      <c r="E38">
        <v>10</v>
      </c>
      <c r="F38">
        <v>28800</v>
      </c>
      <c r="G38">
        <v>288000</v>
      </c>
    </row>
    <row r="39" spans="1:7" x14ac:dyDescent="0.35">
      <c r="A39">
        <v>3</v>
      </c>
      <c r="B39" t="s">
        <v>31</v>
      </c>
      <c r="C39" t="s">
        <v>166</v>
      </c>
      <c r="D39" t="s">
        <v>263</v>
      </c>
      <c r="E39">
        <v>2</v>
      </c>
      <c r="F39">
        <v>65000</v>
      </c>
      <c r="G39">
        <v>130000</v>
      </c>
    </row>
    <row r="40" spans="1:7" x14ac:dyDescent="0.35">
      <c r="A40">
        <v>3</v>
      </c>
      <c r="B40" t="s">
        <v>31</v>
      </c>
      <c r="C40" t="s">
        <v>164</v>
      </c>
      <c r="D40" t="s">
        <v>264</v>
      </c>
      <c r="E40">
        <v>2</v>
      </c>
      <c r="F40">
        <v>65000</v>
      </c>
      <c r="G40">
        <v>130000</v>
      </c>
    </row>
    <row r="41" spans="1:7" x14ac:dyDescent="0.35">
      <c r="A41">
        <v>3</v>
      </c>
      <c r="B41" t="s">
        <v>31</v>
      </c>
      <c r="C41" t="s">
        <v>162</v>
      </c>
      <c r="D41" t="s">
        <v>265</v>
      </c>
      <c r="E41">
        <v>2</v>
      </c>
      <c r="F41">
        <v>25100</v>
      </c>
      <c r="G41">
        <v>50200</v>
      </c>
    </row>
    <row r="42" spans="1:7" x14ac:dyDescent="0.35">
      <c r="A42">
        <v>3</v>
      </c>
      <c r="B42" t="s">
        <v>31</v>
      </c>
      <c r="C42" t="s">
        <v>162</v>
      </c>
      <c r="D42" t="s">
        <v>266</v>
      </c>
      <c r="E42">
        <v>2</v>
      </c>
      <c r="F42">
        <v>25100</v>
      </c>
      <c r="G42">
        <v>50200</v>
      </c>
    </row>
    <row r="43" spans="1:7" x14ac:dyDescent="0.35">
      <c r="A43">
        <v>3</v>
      </c>
      <c r="B43" t="s">
        <v>31</v>
      </c>
      <c r="C43" t="s">
        <v>162</v>
      </c>
      <c r="D43" t="s">
        <v>267</v>
      </c>
      <c r="E43">
        <v>2</v>
      </c>
      <c r="F43">
        <v>25100</v>
      </c>
      <c r="G43">
        <v>50200</v>
      </c>
    </row>
    <row r="44" spans="1:7" x14ac:dyDescent="0.35">
      <c r="A44">
        <v>3</v>
      </c>
      <c r="B44" t="s">
        <v>24</v>
      </c>
      <c r="C44" t="s">
        <v>109</v>
      </c>
      <c r="D44" t="s">
        <v>268</v>
      </c>
      <c r="E44">
        <v>7</v>
      </c>
      <c r="F44">
        <v>20000</v>
      </c>
      <c r="G44">
        <v>140000</v>
      </c>
    </row>
    <row r="45" spans="1:7" x14ac:dyDescent="0.35">
      <c r="A45">
        <v>3</v>
      </c>
      <c r="B45" t="s">
        <v>24</v>
      </c>
      <c r="C45" t="s">
        <v>104</v>
      </c>
      <c r="D45" t="s">
        <v>269</v>
      </c>
      <c r="E45">
        <v>5.96</v>
      </c>
      <c r="F45">
        <v>34000</v>
      </c>
      <c r="G45">
        <v>202640</v>
      </c>
    </row>
    <row r="46" spans="1:7" x14ac:dyDescent="0.35">
      <c r="A46">
        <v>3</v>
      </c>
      <c r="B46" t="s">
        <v>30</v>
      </c>
      <c r="C46" t="s">
        <v>270</v>
      </c>
      <c r="D46" t="s">
        <v>271</v>
      </c>
      <c r="E46">
        <v>2</v>
      </c>
      <c r="F46">
        <v>254000</v>
      </c>
      <c r="G46">
        <v>508000</v>
      </c>
    </row>
    <row r="47" spans="1:7" x14ac:dyDescent="0.35">
      <c r="A47">
        <v>3</v>
      </c>
      <c r="B47" t="s">
        <v>30</v>
      </c>
      <c r="C47" t="s">
        <v>272</v>
      </c>
      <c r="D47" t="s">
        <v>273</v>
      </c>
      <c r="E47">
        <v>1</v>
      </c>
      <c r="F47">
        <v>160000</v>
      </c>
      <c r="G47">
        <v>160000</v>
      </c>
    </row>
    <row r="48" spans="1:7" x14ac:dyDescent="0.35">
      <c r="A48">
        <v>3</v>
      </c>
      <c r="B48" t="s">
        <v>30</v>
      </c>
      <c r="C48" t="s">
        <v>274</v>
      </c>
      <c r="D48" t="s">
        <v>275</v>
      </c>
      <c r="E48">
        <v>1</v>
      </c>
      <c r="F48">
        <v>70000</v>
      </c>
      <c r="G48">
        <v>70000</v>
      </c>
    </row>
    <row r="49" spans="1:7" x14ac:dyDescent="0.35">
      <c r="A49">
        <v>4</v>
      </c>
      <c r="B49" t="s">
        <v>24</v>
      </c>
      <c r="C49" t="s">
        <v>67</v>
      </c>
      <c r="D49" t="s">
        <v>276</v>
      </c>
      <c r="E49">
        <v>26.5</v>
      </c>
      <c r="F49">
        <v>19500</v>
      </c>
      <c r="G49">
        <v>516750</v>
      </c>
    </row>
    <row r="50" spans="1:7" x14ac:dyDescent="0.35">
      <c r="A50">
        <v>5</v>
      </c>
      <c r="B50" t="s">
        <v>24</v>
      </c>
      <c r="C50" t="s">
        <v>63</v>
      </c>
      <c r="D50" t="s">
        <v>277</v>
      </c>
      <c r="E50">
        <v>20.239999999999998</v>
      </c>
      <c r="F50">
        <v>25900</v>
      </c>
      <c r="G50">
        <v>524216</v>
      </c>
    </row>
    <row r="51" spans="1:7" x14ac:dyDescent="0.35">
      <c r="A51">
        <v>5</v>
      </c>
      <c r="B51" t="s">
        <v>24</v>
      </c>
      <c r="C51" t="s">
        <v>69</v>
      </c>
      <c r="D51" t="s">
        <v>278</v>
      </c>
      <c r="E51">
        <v>9</v>
      </c>
      <c r="F51">
        <v>34500</v>
      </c>
      <c r="G51">
        <v>310500</v>
      </c>
    </row>
    <row r="52" spans="1:7" x14ac:dyDescent="0.35">
      <c r="A52">
        <v>5</v>
      </c>
      <c r="B52" t="s">
        <v>24</v>
      </c>
      <c r="C52" t="s">
        <v>114</v>
      </c>
      <c r="D52" t="s">
        <v>279</v>
      </c>
      <c r="E52">
        <v>19.7</v>
      </c>
      <c r="F52">
        <v>22900</v>
      </c>
      <c r="G52">
        <v>451130</v>
      </c>
    </row>
    <row r="53" spans="1:7" x14ac:dyDescent="0.35">
      <c r="A53">
        <v>5</v>
      </c>
      <c r="B53" t="s">
        <v>29</v>
      </c>
      <c r="C53" t="s">
        <v>221</v>
      </c>
      <c r="D53" t="s">
        <v>280</v>
      </c>
      <c r="E53">
        <v>12</v>
      </c>
      <c r="F53">
        <v>19500</v>
      </c>
      <c r="G53">
        <v>234000</v>
      </c>
    </row>
    <row r="54" spans="1:7" x14ac:dyDescent="0.35">
      <c r="A54">
        <v>5</v>
      </c>
      <c r="B54" t="s">
        <v>24</v>
      </c>
      <c r="C54" t="s">
        <v>57</v>
      </c>
      <c r="D54" t="s">
        <v>281</v>
      </c>
      <c r="E54">
        <v>150.9</v>
      </c>
      <c r="F54">
        <v>21900</v>
      </c>
      <c r="G54">
        <v>3304710</v>
      </c>
    </row>
    <row r="55" spans="1:7" x14ac:dyDescent="0.35">
      <c r="A55">
        <v>5</v>
      </c>
      <c r="B55" t="s">
        <v>24</v>
      </c>
      <c r="C55" t="s">
        <v>61</v>
      </c>
      <c r="D55" t="s">
        <v>282</v>
      </c>
      <c r="E55">
        <v>18</v>
      </c>
      <c r="F55">
        <v>44000</v>
      </c>
      <c r="G55">
        <v>792000</v>
      </c>
    </row>
    <row r="56" spans="1:7" x14ac:dyDescent="0.35">
      <c r="A56">
        <v>5</v>
      </c>
      <c r="B56" t="s">
        <v>24</v>
      </c>
      <c r="C56" t="s">
        <v>71</v>
      </c>
      <c r="D56" t="s">
        <v>283</v>
      </c>
      <c r="E56">
        <v>21.55</v>
      </c>
      <c r="F56">
        <v>42000</v>
      </c>
      <c r="G56">
        <v>905100</v>
      </c>
    </row>
    <row r="57" spans="1:7" x14ac:dyDescent="0.35">
      <c r="A57">
        <v>5</v>
      </c>
      <c r="B57" t="s">
        <v>24</v>
      </c>
      <c r="C57" t="s">
        <v>75</v>
      </c>
      <c r="D57" t="s">
        <v>284</v>
      </c>
      <c r="E57">
        <v>30.66</v>
      </c>
      <c r="F57">
        <v>18900</v>
      </c>
      <c r="G57">
        <v>579474</v>
      </c>
    </row>
    <row r="58" spans="1:7" x14ac:dyDescent="0.35">
      <c r="A58">
        <v>5</v>
      </c>
      <c r="B58" t="s">
        <v>24</v>
      </c>
      <c r="C58" t="s">
        <v>102</v>
      </c>
      <c r="D58" t="s">
        <v>285</v>
      </c>
      <c r="E58">
        <v>26.1</v>
      </c>
      <c r="F58">
        <v>18500</v>
      </c>
      <c r="G58">
        <v>482850</v>
      </c>
    </row>
    <row r="59" spans="1:7" x14ac:dyDescent="0.35">
      <c r="A59">
        <v>5</v>
      </c>
      <c r="B59" t="s">
        <v>26</v>
      </c>
      <c r="C59" t="s">
        <v>227</v>
      </c>
      <c r="D59" t="s">
        <v>286</v>
      </c>
      <c r="E59">
        <v>2</v>
      </c>
      <c r="F59">
        <v>9500</v>
      </c>
      <c r="G59">
        <v>19000</v>
      </c>
    </row>
    <row r="60" spans="1:7" x14ac:dyDescent="0.35">
      <c r="A60">
        <v>5</v>
      </c>
      <c r="B60" t="s">
        <v>26</v>
      </c>
      <c r="C60" t="s">
        <v>229</v>
      </c>
      <c r="D60" t="s">
        <v>287</v>
      </c>
      <c r="E60">
        <v>2</v>
      </c>
      <c r="F60">
        <v>5000</v>
      </c>
      <c r="G60">
        <v>10000</v>
      </c>
    </row>
    <row r="61" spans="1:7" x14ac:dyDescent="0.35">
      <c r="A61">
        <v>7</v>
      </c>
      <c r="B61" t="s">
        <v>24</v>
      </c>
      <c r="C61" t="s">
        <v>69</v>
      </c>
      <c r="D61" t="s">
        <v>288</v>
      </c>
      <c r="E61">
        <v>20.565000000000001</v>
      </c>
      <c r="F61">
        <v>34500</v>
      </c>
      <c r="G61">
        <v>709493</v>
      </c>
    </row>
    <row r="62" spans="1:7" x14ac:dyDescent="0.35">
      <c r="A62">
        <v>7</v>
      </c>
      <c r="B62" t="s">
        <v>24</v>
      </c>
      <c r="C62" t="s">
        <v>63</v>
      </c>
      <c r="D62" t="s">
        <v>289</v>
      </c>
      <c r="E62">
        <v>21.61</v>
      </c>
      <c r="F62">
        <v>25900</v>
      </c>
      <c r="G62">
        <v>559699</v>
      </c>
    </row>
    <row r="63" spans="1:7" x14ac:dyDescent="0.35">
      <c r="A63">
        <v>7</v>
      </c>
      <c r="B63" t="s">
        <v>24</v>
      </c>
      <c r="C63" t="s">
        <v>105</v>
      </c>
      <c r="D63" t="s">
        <v>290</v>
      </c>
      <c r="E63">
        <v>5.5919999999999996</v>
      </c>
      <c r="F63">
        <v>26900</v>
      </c>
      <c r="G63">
        <v>150425</v>
      </c>
    </row>
    <row r="64" spans="1:7" x14ac:dyDescent="0.35">
      <c r="A64">
        <v>7</v>
      </c>
      <c r="B64" t="s">
        <v>29</v>
      </c>
      <c r="C64" t="s">
        <v>291</v>
      </c>
      <c r="D64" t="s">
        <v>292</v>
      </c>
      <c r="E64">
        <v>10</v>
      </c>
      <c r="F64">
        <v>10900</v>
      </c>
      <c r="G64">
        <v>109000</v>
      </c>
    </row>
  </sheetData>
  <autoFilter ref="A1:G910" xr:uid="{00000000-0009-0000-0000-000003000000}">
    <sortState xmlns:xlrd2="http://schemas.microsoft.com/office/spreadsheetml/2017/richdata2" ref="A2:G910">
      <sortCondition ref="A1:A910"/>
    </sortState>
  </autoFilter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Dashboard</vt:lpstr>
      <vt:lpstr>Dashboard Carnes</vt:lpstr>
      <vt:lpstr>Dashboard Bebidas</vt:lpstr>
      <vt:lpstr>Detalle Compras Septiembre 2026</vt:lpstr>
      <vt:lpstr>Dashboard!Área_de_impresión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Arango</dc:creator>
  <cp:lastModifiedBy>César Arango</cp:lastModifiedBy>
  <cp:lastPrinted>2026-09-05T18:53:26Z</cp:lastPrinted>
  <dcterms:created xsi:type="dcterms:W3CDTF">2026-09-04T03:02:21Z</dcterms:created>
  <dcterms:modified xsi:type="dcterms:W3CDTF">2026-09-10T04:11:40Z</dcterms:modified>
</cp:coreProperties>
</file>