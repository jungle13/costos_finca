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esktop\Proyectos\Costos_Finca\SEPTIEMBRE 2026\"/>
    </mc:Choice>
  </mc:AlternateContent>
  <xr:revisionPtr revIDLastSave="0" documentId="13_ncr:1_{50AE4955-107C-489B-94FB-5A20B6B8B6EE}" xr6:coauthVersionLast="47" xr6:coauthVersionMax="47" xr10:uidLastSave="{00000000-0000-0000-0000-000000000000}"/>
  <bookViews>
    <workbookView xWindow="-120" yWindow="-120" windowWidth="29040" windowHeight="15720" firstSheet="4" activeTab="8" xr2:uid="{00000000-000D-0000-FFFF-FFFF00000000}"/>
  </bookViews>
  <sheets>
    <sheet name="Dashboard" sheetId="1" r:id="rId1"/>
    <sheet name="Dashboard Ventas" sheetId="2" r:id="rId2"/>
    <sheet name="Dashboard Carnes" sheetId="3" r:id="rId3"/>
    <sheet name="Dashboard Bebidas" sheetId="4" r:id="rId4"/>
    <sheet name="Dashboard Nomina" sheetId="5" r:id="rId5"/>
    <sheet name="Detalle Ventas Septiembre 2026" sheetId="6" r:id="rId6"/>
    <sheet name="Detalle Compras Septiembre 2026" sheetId="7" r:id="rId7"/>
    <sheet name="Hoja2" sheetId="8" r:id="rId8"/>
    <sheet name="Auditoría Cuaderno vs Excel" sheetId="9" r:id="rId9"/>
    <sheet name="Auditoria libro de Caja" sheetId="10" r:id="rId10"/>
    <sheet name="Hoja1" sheetId="11" r:id="rId11"/>
    <sheet name="Facturas por Proveedor" sheetId="14" r:id="rId12"/>
    <sheet name="Agosto 2026" sheetId="12" state="hidden" r:id="rId13"/>
    <sheet name="Transacciones Repetidas" sheetId="13" state="hidden" r:id="rId14"/>
  </sheets>
  <definedNames>
    <definedName name="_xlnm._FilterDatabase" localSheetId="12" hidden="1">'Agosto 2026'!$A$1:$G$1</definedName>
    <definedName name="_xlnm._FilterDatabase" localSheetId="8" hidden="1">'Auditoría Cuaderno vs Excel'!$B$10:$J$53</definedName>
    <definedName name="_xlnm._FilterDatabase" localSheetId="9" hidden="1">'Auditoria libro de Caja'!$B$10:$L$80</definedName>
    <definedName name="_xlnm._FilterDatabase" localSheetId="0" hidden="1">Dashboard!$B$27:$N$61</definedName>
    <definedName name="_xlnm._FilterDatabase" localSheetId="3" hidden="1">'Dashboard Bebidas'!$I$9:$R$121</definedName>
    <definedName name="_xlnm._FilterDatabase" localSheetId="2" hidden="1">'Dashboard Carnes'!$I$9:$O$156</definedName>
    <definedName name="_xlnm._FilterDatabase" localSheetId="6" hidden="1">'Detalle Compras Septiembre 2026'!$A$1:$K$723</definedName>
    <definedName name="_xlnm._FilterDatabase" localSheetId="5" hidden="1">'Detalle Ventas Septiembre 2026'!$A$1:$N$1100</definedName>
    <definedName name="_xlnm._FilterDatabase" localSheetId="11" hidden="1">'Facturas por Proveedor'!$G$269:$J$279</definedName>
    <definedName name="_xlnm._FilterDatabase" localSheetId="10" hidden="1">Hoja1!$A$1:$C$107</definedName>
    <definedName name="_xlnm._FilterDatabase" localSheetId="13" hidden="1">'Transacciones Repetidas'!$A$1:$H$1</definedName>
    <definedName name="Print_Area" localSheetId="0">Dashboard!$B$2:$N$60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52" i="14" l="1"/>
  <c r="H245" i="10"/>
  <c r="D538" i="14"/>
  <c r="D537" i="14"/>
  <c r="D539" i="14" s="1"/>
  <c r="I529" i="14"/>
  <c r="D529" i="14"/>
  <c r="I528" i="14"/>
  <c r="D528" i="14"/>
  <c r="I520" i="14"/>
  <c r="D520" i="14"/>
  <c r="I519" i="14"/>
  <c r="D519" i="14"/>
  <c r="I511" i="14"/>
  <c r="I512" i="14" s="1"/>
  <c r="I510" i="14"/>
  <c r="D510" i="14"/>
  <c r="D509" i="14"/>
  <c r="I501" i="14"/>
  <c r="D501" i="14"/>
  <c r="I500" i="14"/>
  <c r="D500" i="14"/>
  <c r="D502" i="14" s="1"/>
  <c r="I492" i="14"/>
  <c r="D492" i="14"/>
  <c r="I491" i="14"/>
  <c r="D491" i="14"/>
  <c r="D493" i="14" s="1"/>
  <c r="I483" i="14"/>
  <c r="I482" i="14"/>
  <c r="D479" i="14"/>
  <c r="D478" i="14"/>
  <c r="D480" i="14" s="1"/>
  <c r="I471" i="14"/>
  <c r="I470" i="14"/>
  <c r="I469" i="14"/>
  <c r="D455" i="14"/>
  <c r="D454" i="14"/>
  <c r="D445" i="14"/>
  <c r="D444" i="14"/>
  <c r="D446" i="14" s="1"/>
  <c r="I428" i="14"/>
  <c r="I427" i="14"/>
  <c r="I429" i="14" s="1"/>
  <c r="D408" i="14"/>
  <c r="I407" i="14"/>
  <c r="D407" i="14"/>
  <c r="D409" i="14" s="1"/>
  <c r="I406" i="14"/>
  <c r="I408" i="14" s="1"/>
  <c r="I398" i="14"/>
  <c r="I397" i="14"/>
  <c r="I399" i="14" s="1"/>
  <c r="D381" i="14"/>
  <c r="D380" i="14"/>
  <c r="D382" i="14" s="1"/>
  <c r="D371" i="14"/>
  <c r="I370" i="14"/>
  <c r="D370" i="14"/>
  <c r="D372" i="14" s="1"/>
  <c r="I369" i="14"/>
  <c r="I371" i="14" s="1"/>
  <c r="I360" i="14"/>
  <c r="D360" i="14"/>
  <c r="I359" i="14"/>
  <c r="I361" i="14" s="1"/>
  <c r="D359" i="14"/>
  <c r="D361" i="14" s="1"/>
  <c r="I349" i="14"/>
  <c r="I348" i="14"/>
  <c r="I350" i="14" s="1"/>
  <c r="D345" i="14"/>
  <c r="D346" i="14" s="1"/>
  <c r="D344" i="14"/>
  <c r="D335" i="14"/>
  <c r="I334" i="14"/>
  <c r="D334" i="14"/>
  <c r="I333" i="14"/>
  <c r="I332" i="14"/>
  <c r="D323" i="14"/>
  <c r="D324" i="14" s="1"/>
  <c r="D322" i="14"/>
  <c r="I305" i="14"/>
  <c r="I304" i="14"/>
  <c r="I294" i="14"/>
  <c r="I293" i="14"/>
  <c r="D293" i="14"/>
  <c r="D292" i="14"/>
  <c r="D294" i="14" s="1"/>
  <c r="I282" i="14"/>
  <c r="I281" i="14"/>
  <c r="D273" i="14"/>
  <c r="D274" i="14" s="1"/>
  <c r="D272" i="14"/>
  <c r="I264" i="14"/>
  <c r="I263" i="14"/>
  <c r="I265" i="14" s="1"/>
  <c r="D203" i="14"/>
  <c r="D202" i="14"/>
  <c r="I194" i="14"/>
  <c r="I193" i="14"/>
  <c r="D183" i="14"/>
  <c r="D182" i="14"/>
  <c r="D174" i="14"/>
  <c r="D173" i="14"/>
  <c r="I85" i="14"/>
  <c r="I84" i="14"/>
  <c r="I86" i="14" s="1"/>
  <c r="D73" i="14"/>
  <c r="D74" i="14" s="1"/>
  <c r="D72" i="14"/>
  <c r="I65" i="14"/>
  <c r="I64" i="14"/>
  <c r="G54" i="14"/>
  <c r="F54" i="14"/>
  <c r="B6" i="14" s="1"/>
  <c r="E54" i="14"/>
  <c r="I53" i="14"/>
  <c r="H53" i="14"/>
  <c r="I52" i="14"/>
  <c r="H52" i="14"/>
  <c r="I51" i="14"/>
  <c r="H51" i="14"/>
  <c r="I50" i="14"/>
  <c r="H50" i="14"/>
  <c r="I49" i="14"/>
  <c r="H49" i="14"/>
  <c r="I48" i="14"/>
  <c r="H48" i="14"/>
  <c r="I47" i="14"/>
  <c r="H47" i="14"/>
  <c r="I46" i="14"/>
  <c r="H46" i="14"/>
  <c r="I45" i="14"/>
  <c r="H45" i="14"/>
  <c r="I44" i="14"/>
  <c r="H44" i="14"/>
  <c r="I43" i="14"/>
  <c r="H43" i="14"/>
  <c r="I42" i="14"/>
  <c r="H42" i="14"/>
  <c r="I41" i="14"/>
  <c r="H41" i="14"/>
  <c r="I40" i="14"/>
  <c r="H40" i="14"/>
  <c r="I39" i="14"/>
  <c r="H39" i="14"/>
  <c r="I38" i="14"/>
  <c r="H38" i="14"/>
  <c r="I37" i="14"/>
  <c r="H37" i="14"/>
  <c r="I36" i="14"/>
  <c r="H36" i="14"/>
  <c r="I35" i="14"/>
  <c r="H35" i="14"/>
  <c r="I34" i="14"/>
  <c r="H34" i="14"/>
  <c r="I33" i="14"/>
  <c r="H33" i="14"/>
  <c r="I32" i="14"/>
  <c r="H32" i="14"/>
  <c r="I31" i="14"/>
  <c r="H31" i="14"/>
  <c r="I30" i="14"/>
  <c r="H30" i="14"/>
  <c r="I29" i="14"/>
  <c r="H29" i="14"/>
  <c r="I28" i="14"/>
  <c r="H28" i="14"/>
  <c r="I27" i="14"/>
  <c r="H27" i="14"/>
  <c r="I26" i="14"/>
  <c r="H26" i="14"/>
  <c r="I25" i="14"/>
  <c r="H25" i="14"/>
  <c r="I24" i="14"/>
  <c r="H24" i="14"/>
  <c r="I23" i="14"/>
  <c r="H23" i="14"/>
  <c r="I22" i="14"/>
  <c r="H22" i="14"/>
  <c r="I21" i="14"/>
  <c r="H21" i="14"/>
  <c r="I20" i="14"/>
  <c r="H20" i="14"/>
  <c r="I19" i="14"/>
  <c r="H19" i="14"/>
  <c r="I18" i="14"/>
  <c r="H18" i="14"/>
  <c r="I17" i="14"/>
  <c r="H17" i="14"/>
  <c r="I16" i="14"/>
  <c r="H16" i="14"/>
  <c r="I15" i="14"/>
  <c r="H15" i="14"/>
  <c r="I14" i="14"/>
  <c r="H14" i="14"/>
  <c r="I13" i="14"/>
  <c r="H13" i="14"/>
  <c r="I12" i="14"/>
  <c r="H12" i="14"/>
  <c r="I11" i="14"/>
  <c r="H11" i="14"/>
  <c r="J6" i="14"/>
  <c r="I283" i="14" l="1"/>
  <c r="I195" i="14"/>
  <c r="H54" i="14"/>
  <c r="F6" i="14" s="1"/>
  <c r="I54" i="14"/>
  <c r="H6" i="14" s="1"/>
  <c r="I306" i="14"/>
  <c r="I493" i="14"/>
  <c r="I502" i="14"/>
  <c r="D511" i="14"/>
  <c r="D521" i="14"/>
  <c r="D530" i="14"/>
  <c r="D175" i="14"/>
  <c r="D456" i="14"/>
  <c r="D6" i="14"/>
  <c r="I66" i="14"/>
  <c r="I295" i="14"/>
  <c r="D336" i="14"/>
  <c r="D184" i="14"/>
  <c r="D204" i="14"/>
  <c r="I484" i="14"/>
  <c r="I521" i="14"/>
  <c r="I530" i="14"/>
</calcChain>
</file>

<file path=xl/sharedStrings.xml><?xml version="1.0" encoding="utf-8"?>
<sst xmlns="http://schemas.openxmlformats.org/spreadsheetml/2006/main" count="16144" uniqueCount="3274">
  <si>
    <t>RESTAURANTE CHOCLOS Y ASADOS LA FINCA</t>
  </si>
  <si>
    <t>DASHBOARD GERENCIAL DE COSTOS Y GASTOS - INFORME MENSUAL Y DIARIO SEPTIEMBRE 2026</t>
  </si>
  <si>
    <t>TOTAL COMPRAS DEL MES</t>
  </si>
  <si>
    <t>TOTAL COSTOS DIRECTOS (COGS)</t>
  </si>
  <si>
    <t>TOTAL GASTOS OPERACIONALES (OPEX)</t>
  </si>
  <si>
    <t>INVENTARIO INICIAL (APERTURA)</t>
  </si>
  <si>
    <t>COGS: $ 80302622,90 | OPEX: $ 89982989,710</t>
  </si>
  <si>
    <t>47% de compras del mes</t>
  </si>
  <si>
    <t>53% de compras del mes</t>
  </si>
  <si>
    <t>Stock Inicial (No es categoría)</t>
  </si>
  <si>
    <t>1. COSTOS DIRECTOS (COGS: MATERIA PRIMA E INSUMOS)</t>
  </si>
  <si>
    <t>2. GASTOS OPERACIONALES Y ADMINISTRATIVOS (OPEX)</t>
  </si>
  <si>
    <t>Categoría / Insumo</t>
  </si>
  <si>
    <t>Tipo</t>
  </si>
  <si>
    <t>N° Compras</t>
  </si>
  <si>
    <t>Total Mes ($)</t>
  </si>
  <si>
    <t>% Costos</t>
  </si>
  <si>
    <t>Prom. Día</t>
  </si>
  <si>
    <t>Concepto / Categoría</t>
  </si>
  <si>
    <t>N° Pagos</t>
  </si>
  <si>
    <t>% Gastos</t>
  </si>
  <si>
    <t>Carnes y Proteínas</t>
  </si>
  <si>
    <t>Directo</t>
  </si>
  <si>
    <t>Servicios (Personal y Planta)</t>
  </si>
  <si>
    <t>Gasto Oper.</t>
  </si>
  <si>
    <t>Verduras y Frutas</t>
  </si>
  <si>
    <t>Mantenimiento y Adecuaciones</t>
  </si>
  <si>
    <t>Desechables y Empaques</t>
  </si>
  <si>
    <t>Servicios Públicos (Energía y TV)</t>
  </si>
  <si>
    <t>Granos y Harinas</t>
  </si>
  <si>
    <t>Otros Gastos Operacionales (Admin y Varios)</t>
  </si>
  <si>
    <t>Gasto Admin.</t>
  </si>
  <si>
    <t>Bebidas y Licores</t>
  </si>
  <si>
    <t>SUBTOTAL GASTOS OPERACIONALES</t>
  </si>
  <si>
    <t>Operativo</t>
  </si>
  <si>
    <t>Otros Insumos (Abarrotes y Cocina)</t>
  </si>
  <si>
    <t>SUBTOTAL COSTOS DIRECTOS</t>
  </si>
  <si>
    <t>Materia Prima</t>
  </si>
  <si>
    <t>RESUMEN CONSOLIDADO: COSTOS DIRECTOS VS GASTOS OPERACIONALES</t>
  </si>
  <si>
    <t>Costos Directos (COGS)</t>
  </si>
  <si>
    <t>Gastos Operacionales (OPEX)</t>
  </si>
  <si>
    <t>SUBTOTAL COMPRAS DEL MES</t>
  </si>
  <si>
    <t>(+) Inventario Inicial (Stock Apertura)</t>
  </si>
  <si>
    <t>Inversión Inicial</t>
  </si>
  <si>
    <t>-</t>
  </si>
  <si>
    <t>TOTAL GENERAL CONSOLIDADO</t>
  </si>
  <si>
    <t>100% Acumulado</t>
  </si>
  <si>
    <t>3. TOTALIZACIÓN DIARIA: COSTOS Y GASTOS DÍA A DÍA (SEPTIEMBRE 2026)</t>
  </si>
  <si>
    <t>Día</t>
  </si>
  <si>
    <t>Costos ($)</t>
  </si>
  <si>
    <t>Gastos ($)</t>
  </si>
  <si>
    <t>Total Día ($)</t>
  </si>
  <si>
    <t>% Costo</t>
  </si>
  <si>
    <t>% Gasto</t>
  </si>
  <si>
    <t>Carnes ($)</t>
  </si>
  <si>
    <t>Verduras ($)</t>
  </si>
  <si>
    <t>Grano ($)</t>
  </si>
  <si>
    <t>Bebidas ($)</t>
  </si>
  <si>
    <t>Desechables ($)</t>
  </si>
  <si>
    <t>Servicios ($)</t>
  </si>
  <si>
    <t>TOTAL MES</t>
  </si>
  <si>
    <t>PROMEDIO DIARIO</t>
  </si>
  <si>
    <t>MÁXIMO DIARIO (PICO)</t>
  </si>
  <si>
    <t>MÍNIMO DIARIO</t>
  </si>
  <si>
    <t>DASHBOARD EJECUTIVO DE VENTAS - SEPTIEMBRE 2026</t>
  </si>
  <si>
    <t>Restaurante Choclos y Asados La Finca - Seguimiento diario de facturación, volumen, mezcla de productos y rentabilidad</t>
  </si>
  <si>
    <t>TOTAL FACTURADO (GRAN TOTAL)</t>
  </si>
  <si>
    <t>VENTA NETA TOTAL (BASE)</t>
  </si>
  <si>
    <t>IMPOCONSUMO (8%)</t>
  </si>
  <si>
    <t>DESCUENTOS OTORGADOS</t>
  </si>
  <si>
    <t>TOTAL PLATOS / UNID. VENDIDAS</t>
  </si>
  <si>
    <t>PROMEDIO VENTA DIARIA (14 DÍAS)</t>
  </si>
  <si>
    <t>DÍA PICO FACTURACIÓN</t>
  </si>
  <si>
    <t>Día 6 ($20.262.800)</t>
  </si>
  <si>
    <t>1. SEGUIMIENTO DIARIO DE VENTAS - SEPTIEMBRE 2026</t>
  </si>
  <si>
    <t>2. PARTICIPACIÓN Y FACTURACIÓN POR CATEGORÍA</t>
  </si>
  <si>
    <t>Fecha</t>
  </si>
  <si>
    <t>Platos / Unid.</t>
  </si>
  <si>
    <t>Venta Neta ($)</t>
  </si>
  <si>
    <t>Impoconsumo ($)</t>
  </si>
  <si>
    <t>Gran Total ($)</t>
  </si>
  <si>
    <t>Ticket / Ítem</t>
  </si>
  <si>
    <t>% Mes</t>
  </si>
  <si>
    <t>Categoría de Venta</t>
  </si>
  <si>
    <t>Unid. Vendidas</t>
  </si>
  <si>
    <t>% Facturación</t>
  </si>
  <si>
    <t>01/09/2026</t>
  </si>
  <si>
    <t>Platos Fuertes / Carnes</t>
  </si>
  <si>
    <t>02/09/2026</t>
  </si>
  <si>
    <t>Especialidades Típicas</t>
  </si>
  <si>
    <t>03/09/2026</t>
  </si>
  <si>
    <t>Bebidas</t>
  </si>
  <si>
    <t>04/09/2026</t>
  </si>
  <si>
    <t>Pescados y Mariscos</t>
  </si>
  <si>
    <t>05/09/2026</t>
  </si>
  <si>
    <t>Acompañamientos y Adicionales</t>
  </si>
  <si>
    <t>06/09/2026</t>
  </si>
  <si>
    <t>Sopas y Entradas</t>
  </si>
  <si>
    <t>07/09/2026</t>
  </si>
  <si>
    <t>Otros / Empaques</t>
  </si>
  <si>
    <t>08/09/2026</t>
  </si>
  <si>
    <t>TOTAL CATEGORÍAS</t>
  </si>
  <si>
    <t>09/09/2026</t>
  </si>
  <si>
    <t>10/09/2026</t>
  </si>
  <si>
    <t>11/09/2026</t>
  </si>
  <si>
    <t>3. TOP 20 PRODUCTOS MÁS VENDIDOS (RANKING DE FACTURACIÓN)</t>
  </si>
  <si>
    <t>12/09/2026</t>
  </si>
  <si>
    <t>Rank</t>
  </si>
  <si>
    <t>Código</t>
  </si>
  <si>
    <t>Producto</t>
  </si>
  <si>
    <t>Categoría</t>
  </si>
  <si>
    <t>% Venta Total</t>
  </si>
  <si>
    <t>13/09/2026</t>
  </si>
  <si>
    <t>#1</t>
  </si>
  <si>
    <t>Paisa especial</t>
  </si>
  <si>
    <t>14/09/2026</t>
  </si>
  <si>
    <t>#2</t>
  </si>
  <si>
    <t>Frijolada chicha jun</t>
  </si>
  <si>
    <t>15/09/2026</t>
  </si>
  <si>
    <t>#3</t>
  </si>
  <si>
    <t>Sobre domingo</t>
  </si>
  <si>
    <t>16/09/2026</t>
  </si>
  <si>
    <t>#4</t>
  </si>
  <si>
    <t>Paisa economico</t>
  </si>
  <si>
    <t>17/09/2026</t>
  </si>
  <si>
    <t>#5</t>
  </si>
  <si>
    <t>Lengua domingo</t>
  </si>
  <si>
    <t>18/09/2026</t>
  </si>
  <si>
    <t>#6</t>
  </si>
  <si>
    <t>Junior gallina</t>
  </si>
  <si>
    <t>19/09/2026</t>
  </si>
  <si>
    <t>#7</t>
  </si>
  <si>
    <t>Super de cerdo</t>
  </si>
  <si>
    <t>20/09/2026</t>
  </si>
  <si>
    <t>#8</t>
  </si>
  <si>
    <t>Tamal</t>
  </si>
  <si>
    <t>21/09/2026</t>
  </si>
  <si>
    <t>#9</t>
  </si>
  <si>
    <t>Costilla c san luis</t>
  </si>
  <si>
    <t>22/09/2026</t>
  </si>
  <si>
    <t>#10</t>
  </si>
  <si>
    <t>Promo cazuela</t>
  </si>
  <si>
    <t>23/09/2026</t>
  </si>
  <si>
    <t>#11</t>
  </si>
  <si>
    <t>Cazuela frijol</t>
  </si>
  <si>
    <t>24/09/2026</t>
  </si>
  <si>
    <t>#12</t>
  </si>
  <si>
    <t>Limonada natural 1l</t>
  </si>
  <si>
    <t>25/09/2026</t>
  </si>
  <si>
    <t>#13</t>
  </si>
  <si>
    <t>Frijolada</t>
  </si>
  <si>
    <t>26/09/2026</t>
  </si>
  <si>
    <t>#14</t>
  </si>
  <si>
    <t>Prom chuleta cerdo</t>
  </si>
  <si>
    <t>27/09/2026</t>
  </si>
  <si>
    <t>#15</t>
  </si>
  <si>
    <t>Carne molida</t>
  </si>
  <si>
    <t>28/09/2026</t>
  </si>
  <si>
    <t>#16</t>
  </si>
  <si>
    <t>Punta de anca 400</t>
  </si>
  <si>
    <t>29/09/2026</t>
  </si>
  <si>
    <t>#17</t>
  </si>
  <si>
    <t>Bandeja sola</t>
  </si>
  <si>
    <t>30/09/2026</t>
  </si>
  <si>
    <t>#18</t>
  </si>
  <si>
    <t>Jarra limonada 2 lit</t>
  </si>
  <si>
    <t>TOTAL MES (DÍAS 1-30)</t>
  </si>
  <si>
    <t>#19</t>
  </si>
  <si>
    <t>Churrasco 400 gr apr</t>
  </si>
  <si>
    <t>#20</t>
  </si>
  <si>
    <t>Baby beef 400 gr apr</t>
  </si>
  <si>
    <t>SUBTOTAL TOP 20 PRODUCTOS</t>
  </si>
  <si>
    <t>DASHBOARD Y SEGUIMIENTO DE CARNES - SEPTIEMBRE 2026</t>
  </si>
  <si>
    <t>Control analítico de cortes, kilogramos comprados, costos unitarios y participación de gasto</t>
  </si>
  <si>
    <t>TOTAL INVERSIÓN CARNES</t>
  </si>
  <si>
    <t>TOTAL KILOGRAMOS</t>
  </si>
  <si>
    <t>COSTO PROM. / KG</t>
  </si>
  <si>
    <t>N° COMPRAS</t>
  </si>
  <si>
    <t>% TOTAL RESTAURANTE</t>
  </si>
  <si>
    <t>1. SEGUIMIENTO DIARIO DE COMPRAS DE CARNE</t>
  </si>
  <si>
    <t>2. SEGUIMIENTO DETALLADO DÍA A DÍA - REGISTRO CRONOLÓGICO DE COMPRAS DE CARNES</t>
  </si>
  <si>
    <t>Total Comprado ($)</t>
  </si>
  <si>
    <t>Kilogramos (Kg)</t>
  </si>
  <si>
    <t>Costo Prom. ($/Kg)</t>
  </si>
  <si>
    <t>% del Mes</t>
  </si>
  <si>
    <t>N° Comprobante / Factura</t>
  </si>
  <si>
    <t>Ítem / Corte (Nombre Exacto)</t>
  </si>
  <si>
    <t>Descripción Original / Proveedor</t>
  </si>
  <si>
    <t>Cantidad (kg)</t>
  </si>
  <si>
    <t>Costo Unitario</t>
  </si>
  <si>
    <t>Vr. Total Compra</t>
  </si>
  <si>
    <t>01FZ70896</t>
  </si>
  <si>
    <t>Pezuña</t>
  </si>
  <si>
    <t>PEZUÑA CERDO A GRANEL (Supertiendas Cañaveral - 01FZ70896)</t>
  </si>
  <si>
    <t>FAC-188</t>
  </si>
  <si>
    <t>Bagre de mar</t>
  </si>
  <si>
    <t>BAGRE DE MAR (Gabriel Ramirez Cubillos - FAC-188)</t>
  </si>
  <si>
    <t>FAC-916</t>
  </si>
  <si>
    <t>Filete de pollo x 120</t>
  </si>
  <si>
    <t>Filete pollo 110g (Alexis Valencia - Factura 916)</t>
  </si>
  <si>
    <t>Filete de pollo x 350</t>
  </si>
  <si>
    <t>Filete pollo 350g (Alexis Valencia - Factura 916)</t>
  </si>
  <si>
    <t>FVE-121</t>
  </si>
  <si>
    <t>Salmon</t>
  </si>
  <si>
    <t>Filete de Salmon Grande (Frio Sabor FVE-121)</t>
  </si>
  <si>
    <t>Tilapia y truchas</t>
  </si>
  <si>
    <t>Tilapia Roja (Frio Sabor FVE-121)</t>
  </si>
  <si>
    <t>RCM-01-Sep-2026</t>
  </si>
  <si>
    <t>6 lbs cabeza Tilapia (Recibo Caja Menor 01-Sep-2026)</t>
  </si>
  <si>
    <t>YP24140</t>
  </si>
  <si>
    <t>Costilla de cerdo especial</t>
  </si>
  <si>
    <t>COSTILLA DE CERDO IBP 244M (Carnes Los Monos - YP24140)</t>
  </si>
  <si>
    <t>Lengua de res</t>
  </si>
  <si>
    <t>LENGUA DE RES IMP X KL (Carnes Los Monos - YP24140)</t>
  </si>
  <si>
    <t>Sobaco</t>
  </si>
  <si>
    <t>SOBACO (Carnes Los Monos - YP24140)</t>
  </si>
  <si>
    <t>Sobrebarriga delgada</t>
  </si>
  <si>
    <t>SOBREBARRIGA DELGADA (Carnes Los Monos - YP24140)</t>
  </si>
  <si>
    <t>YP24152</t>
  </si>
  <si>
    <t>Tocino barril</t>
  </si>
  <si>
    <t>TOCINETA BARRIL (Carnes Los Monos - YP24152)</t>
  </si>
  <si>
    <t>SUBTOTAL DÍA 1 (13 compras)</t>
  </si>
  <si>
    <t>FAC-917</t>
  </si>
  <si>
    <t>Pernil de pollo</t>
  </si>
  <si>
    <t>Pernil pollo campo (Alexis Valencia - Factura 917)</t>
  </si>
  <si>
    <t>DESP-0444</t>
  </si>
  <si>
    <t>Higado</t>
  </si>
  <si>
    <t>HIGADO DE RES (Poblado Despacho 0444)</t>
  </si>
  <si>
    <t>03FH104321</t>
  </si>
  <si>
    <t>Alas de pollo</t>
  </si>
  <si>
    <t>ALAS POLLO MACPOLLO CONGELADO (Supertiendas Cañaveral - 03FH104321)</t>
  </si>
  <si>
    <t>SUBTOTAL DÍA 2 (4 compras)</t>
  </si>
  <si>
    <t>FE01576</t>
  </si>
  <si>
    <t>Caderita</t>
  </si>
  <si>
    <t>CADERITA DE RES (MYC - FE01576)</t>
  </si>
  <si>
    <t>Callo</t>
  </si>
  <si>
    <t>CALLO DE RES (MYC - FE01576)</t>
  </si>
  <si>
    <t>FE01570</t>
  </si>
  <si>
    <t>HIGADO DE RES (MYC - FE01570)</t>
  </si>
  <si>
    <t>Lomo viche</t>
  </si>
  <si>
    <t>LOMO VICHE ESPECIAL DE RES (MYC - FE01570)</t>
  </si>
  <si>
    <t>FE01569</t>
  </si>
  <si>
    <t>CADERITA DE RES (MYC - FE01569)</t>
  </si>
  <si>
    <t>Costilla Especial</t>
  </si>
  <si>
    <t>COSTILLA ESPECIAL DE RES (MYC - FE01569)</t>
  </si>
  <si>
    <t>0000006666</t>
  </si>
  <si>
    <t>Chorizo</t>
  </si>
  <si>
    <t>CHORIZO COCTELERO 4 PAQ (Carnicos Montero FAC-0000006666)</t>
  </si>
  <si>
    <t>CHORIZO PREMIUM 1 PAQ (Carnicos Montero FAC-0000006666)</t>
  </si>
  <si>
    <t>FE1-49657</t>
  </si>
  <si>
    <t>Costilla de cerdo</t>
  </si>
  <si>
    <t>COSTILLA CERDO ESP CR (BS) X 4 KG (ARMAR ALIMENTOS S.A.S.)</t>
  </si>
  <si>
    <t>SUBTOTAL DÍA 3 (9 compras)</t>
  </si>
  <si>
    <t>FEBF-33</t>
  </si>
  <si>
    <t>Lomo de cerdo</t>
  </si>
  <si>
    <t>LOMO DE CERDO (Fabian Bonilla - FEBF-33)</t>
  </si>
  <si>
    <t>FAC-920</t>
  </si>
  <si>
    <t>Filete pollo 350g (Alexis Valencia - Factura 920)</t>
  </si>
  <si>
    <t>FAC-8118</t>
  </si>
  <si>
    <t>Morcilla</t>
  </si>
  <si>
    <t>10 lb Libra de morcilla (La Morcilla Jamundeña Factura 8118)</t>
  </si>
  <si>
    <t>05FZ91332</t>
  </si>
  <si>
    <t>Pechuga macpollo</t>
  </si>
  <si>
    <t>PECHUGA MACPOLLO BLANCO REFRI MARIN GK (Supertiendas Canaveral 05FZ91332)</t>
  </si>
  <si>
    <t>FVE 130</t>
  </si>
  <si>
    <t>Tilapia Roja</t>
  </si>
  <si>
    <t>Tilapia Roja (Gerson Alexander Valencia Angel)</t>
  </si>
  <si>
    <t>Filete de Salmón Grande</t>
  </si>
  <si>
    <t>Filete de Salmon Grande (Gerson Alexander Valencia Angel)</t>
  </si>
  <si>
    <t>Trucha Arcoíris</t>
  </si>
  <si>
    <t>Trucha arcoiris (Gerson Alexander Valencia Angel)</t>
  </si>
  <si>
    <t>Mix de Mariscos</t>
  </si>
  <si>
    <t>Mix de Mariscos (Gerson Alexander Valencia Angel)</t>
  </si>
  <si>
    <t>SUBTOTAL DÍA 4 (8 compras)</t>
  </si>
  <si>
    <t>YP24244</t>
  </si>
  <si>
    <t>Camaron precocido</t>
  </si>
  <si>
    <t>CAMARON DE CULTIVO PRECOCIDO 91-110P (Carnes Los Monos - YP24244)</t>
  </si>
  <si>
    <t>$7.</t>
  </si>
  <si>
    <t>Costilla de res</t>
  </si>
  <si>
    <t>COSTILLA DE RES DELANTERA (Carnes Los Monos - YP24244)</t>
  </si>
  <si>
    <t>Costilla san luis jr</t>
  </si>
  <si>
    <t>COSTILLA SAN LUIS JUNIOR T/M (Carnes Los Monos - YP24244)</t>
  </si>
  <si>
    <t>Lomo de caracho</t>
  </si>
  <si>
    <t>LOMO CARACHO PORCIONADO PARRILLA (Carnes Los Monos - YP24244)</t>
  </si>
  <si>
    <t>Punta de anca</t>
  </si>
  <si>
    <t>PUNTA DE ANCA IMP PORC. PARRILLA (Carnes Los Monos - YP24244)</t>
  </si>
  <si>
    <t>SOBACO (Carnes Los Monos - YP24244)</t>
  </si>
  <si>
    <t>SOBREBARRIGA DELGADA (Carnes Los Monos - YP24244)</t>
  </si>
  <si>
    <t>Tocineta barril</t>
  </si>
  <si>
    <t>TOCINETA BARRIL (Carnes Los Monos - YP24244)</t>
  </si>
  <si>
    <t>FE1-49726</t>
  </si>
  <si>
    <t>SUBTOTAL DÍA 5 (9 compras)</t>
  </si>
  <si>
    <t>SEV-07SEP</t>
  </si>
  <si>
    <t>Espinazo de cerdo</t>
  </si>
  <si>
    <t>ESPINAZO DE CERDO A GRANEL (Agropecuaria La Sevillana SAS)</t>
  </si>
  <si>
    <t>PEZUNA GRANEL (Agropecuaria La Sevillana SAS)</t>
  </si>
  <si>
    <t>REM-07-Sep-2026</t>
  </si>
  <si>
    <t>Gallina</t>
  </si>
  <si>
    <t>GALLINAS GIGANTES 9 UND (Remision s/n 07-09-2026)</t>
  </si>
  <si>
    <t>REM-07-09-2026</t>
  </si>
  <si>
    <t>Combo Morcilla CL (Remision 07-09-2026)</t>
  </si>
  <si>
    <t>MY8683</t>
  </si>
  <si>
    <t>Morrillo</t>
  </si>
  <si>
    <t>MORRILLO DE RES (Carnes Los Monos - MY8683)</t>
  </si>
  <si>
    <t>SOBACO (Carnes Los Monos - MY8683)</t>
  </si>
  <si>
    <t>SOBREBARRIGA DELGADA (Carnes Los Monos - MY8683)</t>
  </si>
  <si>
    <t>11FH128829</t>
  </si>
  <si>
    <t>ALAS MACPOLLO CAMPO C/COS MARIN A GRAN (Supertiendas Cañaveral 11FH128829)</t>
  </si>
  <si>
    <t>Mortadela</t>
  </si>
  <si>
    <t>2 MORTADELA RICA*450g (Supertiendas Cañaveral 11FH128829)</t>
  </si>
  <si>
    <t>SUBTOTAL DÍA 7 (9 compras)</t>
  </si>
  <si>
    <t>REM-08-09-2026</t>
  </si>
  <si>
    <t>Filete x 350g - 40 und (Alexis Valencia Remision 08-09-2026)</t>
  </si>
  <si>
    <t>FEBF-34 / REM-08-09-2026</t>
  </si>
  <si>
    <t>Lomo cerdo (Pappyer Remision 08-09-2026)</t>
  </si>
  <si>
    <t>Perniles Campo - 25 und (Alexis Valencia Remision 08-09-2026)</t>
  </si>
  <si>
    <t>FE01598 / DESP-0493</t>
  </si>
  <si>
    <t>Caderita (Poblado Despacho 0493)</t>
  </si>
  <si>
    <t>Pezuña (Poblado Despacho 0493)</t>
  </si>
  <si>
    <t>CUADERNO CAJA / NO REGISTRADO</t>
  </si>
  <si>
    <t>Visceras Domicilios (Neymar)</t>
  </si>
  <si>
    <t>08FH337898</t>
  </si>
  <si>
    <t>Víscera de pollo</t>
  </si>
  <si>
    <t>VISCERA BUCANERO*und BOLSA (SUPERTIENDAS CAÑAVERAL S.A.S.)</t>
  </si>
  <si>
    <t>SUBTOTAL DÍA 8 (11 compras)</t>
  </si>
  <si>
    <t>YP24314</t>
  </si>
  <si>
    <t>CAMARON DE CULTIVO PRECOCIDO 91-110P (Carnes Los Monos - YP24314)</t>
  </si>
  <si>
    <t>COSTILLA DE CERDO IBP 244L (Carnes Los Monos - YP24314)</t>
  </si>
  <si>
    <t>LENGUA DE RES IMP X KL (Carnes Los Monos - YP24314)</t>
  </si>
  <si>
    <t>SOBACO (Carnes Los Monos - YP24314)</t>
  </si>
  <si>
    <t>TOCINETA BARRIL (Carnes Los Monos - YP24314)</t>
  </si>
  <si>
    <t>Trozos e pechuga</t>
  </si>
  <si>
    <t>TROZOS DE PECHUGA (Carnes Los Monos - YP24314)</t>
  </si>
  <si>
    <t>REM-09-Sep-2026</t>
  </si>
  <si>
    <t>GALLINAS GIGANTES 9 UND (Remision s/n 09.09.2026)</t>
  </si>
  <si>
    <t>REM-09-09-2026</t>
  </si>
  <si>
    <t>Filete x 350g - 40 und (Alexis Valencia Remision 09-09-2026)</t>
  </si>
  <si>
    <t>Pernil Camp. (Alexis Valencia Remision 09-09-2026)</t>
  </si>
  <si>
    <t>FE01591 / FAC-2860</t>
  </si>
  <si>
    <t>Lomo de Cerdo (Carnes de Res y Cerdo Factura 2860)</t>
  </si>
  <si>
    <t>FAC191</t>
  </si>
  <si>
    <t>BAGRE DE MAR (Acuatica Factura FAC 191)</t>
  </si>
  <si>
    <t>Espinazo, Cuchuco, Salchicha Principal (Johanna)</t>
  </si>
  <si>
    <t>SUBTOTAL DÍA 9 (12 compras)</t>
  </si>
  <si>
    <t>REM-10-Sep-2026</t>
  </si>
  <si>
    <t>PERNIL POLLO (Alexis Valencia Remision 10-09-2026)</t>
  </si>
  <si>
    <t>RCM-10-Sep-2026-6</t>
  </si>
  <si>
    <t>CHORIZOS (Recibo Caja Menor 10/09/26)</t>
  </si>
  <si>
    <t>Costilla</t>
  </si>
  <si>
    <t>COSTILLA (Recibo Caja Menor 10/09/26)</t>
  </si>
  <si>
    <t>06FZ47115</t>
  </si>
  <si>
    <t>MORTADELA RICA 1 UN (Supertiendas Canaveral 06FZ47115)</t>
  </si>
  <si>
    <t>FE01599 / 0515</t>
  </si>
  <si>
    <t>LOMO CERDO (Carnes El Poblado Despacho 0515)</t>
  </si>
  <si>
    <t>LOMO VICHE (Carnes El Poblado Despacho 0515)</t>
  </si>
  <si>
    <t>FE01592</t>
  </si>
  <si>
    <t>Caderita de res</t>
  </si>
  <si>
    <t>CADERITA DE RES (DISTRIBUIDORA M Y C S.A.S.)</t>
  </si>
  <si>
    <t>SUBTOTAL DÍA 10 (7 compras)</t>
  </si>
  <si>
    <t>CUADERNO DON ARTURO / NO REGISTRADO</t>
  </si>
  <si>
    <t>Costilla ahumada</t>
  </si>
  <si>
    <t>Mariscos</t>
  </si>
  <si>
    <t>dos cajas costilla (Cuaderno Pág. 159 Renglón 2)</t>
  </si>
  <si>
    <t>Tilapia Principal (Johanna/Wilson)</t>
  </si>
  <si>
    <t>07FI112763</t>
  </si>
  <si>
    <t>Mortadela Zenu</t>
  </si>
  <si>
    <t>4 MORTADELA ZENU*450g TRADICIONAL</t>
  </si>
  <si>
    <t>5 MORTADELA ZENU*450g TRADICIONAL</t>
  </si>
  <si>
    <t>FVE 132</t>
  </si>
  <si>
    <t>Tilapia Roja (GERSON ALEXANDER VALENCIA ANGEL (FRIO SABOR))</t>
  </si>
  <si>
    <t>FE1-49890</t>
  </si>
  <si>
    <t>SUBTOTAL DÍA 11 (9 compras)</t>
  </si>
  <si>
    <t>YP24413</t>
  </si>
  <si>
    <t>SOBACO</t>
  </si>
  <si>
    <t>Tocineta</t>
  </si>
  <si>
    <t>TOCINETA BARRIL</t>
  </si>
  <si>
    <t>Sobrebarriga</t>
  </si>
  <si>
    <t>SOBREBARRIGA DELGADA</t>
  </si>
  <si>
    <t>PUNTA DE ANCA IMP PORC. PARRILLA</t>
  </si>
  <si>
    <t>COSTILLA SAN LUIS JUNIOR T/M</t>
  </si>
  <si>
    <t>MORRILLO DE RES</t>
  </si>
  <si>
    <t>2914 / FE01609</t>
  </si>
  <si>
    <t>Callo de res</t>
  </si>
  <si>
    <t>Callo de Res</t>
  </si>
  <si>
    <t>2909 / FE01608</t>
  </si>
  <si>
    <t>Sobrebarriga Delgada de Res</t>
  </si>
  <si>
    <t>0000006723</t>
  </si>
  <si>
    <t>Chorizo Premium Coctelero</t>
  </si>
  <si>
    <t>CHORIZO PREMIUM COCTELERO PAQ. X 40 UND. (MONTERO) COCX40</t>
  </si>
  <si>
    <t>Chorizo Premium 12 Und</t>
  </si>
  <si>
    <t>CHORIZO PREMIUM PAQ. X 12 UND. (MONTERO) 1800gr PREMX12</t>
  </si>
  <si>
    <t>S/N</t>
  </si>
  <si>
    <t>Chorizos</t>
  </si>
  <si>
    <t>Chorizos - Compra de caja menor</t>
  </si>
  <si>
    <t>Toro Toro</t>
  </si>
  <si>
    <t>Toro Toro - Compra carnes de caja menor</t>
  </si>
  <si>
    <t>SUBTOTAL DÍA 12 (13 compras)</t>
  </si>
  <si>
    <t>Espinazo</t>
  </si>
  <si>
    <t>7 - lbs - Espinazo</t>
  </si>
  <si>
    <t>Cabeza tilapia</t>
  </si>
  <si>
    <t>7 - lbs - Cabeza tilapia</t>
  </si>
  <si>
    <t>Pezuña - Compra de caja menor</t>
  </si>
  <si>
    <t>SUBTOTAL DÍA 13 (3 compras)</t>
  </si>
  <si>
    <t>2925 / FE01610</t>
  </si>
  <si>
    <t>Cadera de res</t>
  </si>
  <si>
    <t>Caderita de Res</t>
  </si>
  <si>
    <t>Costilla Especial de Res</t>
  </si>
  <si>
    <t>MY8828</t>
  </si>
  <si>
    <t>Muchacho</t>
  </si>
  <si>
    <t>MUCHACHO DE RES</t>
  </si>
  <si>
    <t>FEBF-36</t>
  </si>
  <si>
    <t>Lomo de Cerdo</t>
  </si>
  <si>
    <t>LOMO DE CERDO (Fabian Bonilla - FEBF-36)</t>
  </si>
  <si>
    <t>933</t>
  </si>
  <si>
    <t>Filete de pollo</t>
  </si>
  <si>
    <t>FILETE DE POLLO X 350G (Cárnicos Valencia - Factura 933)</t>
  </si>
  <si>
    <t>932</t>
  </si>
  <si>
    <t>FILETE DE POLLO X 120GR (Cárnicos Valencia - Factura 932)</t>
  </si>
  <si>
    <t>SUBTOTAL DÍA 14 (7 compras)</t>
  </si>
  <si>
    <t>FAA1 - 217448</t>
  </si>
  <si>
    <t>Pezuña y Espinazo</t>
  </si>
  <si>
    <t>COLADOR MALLA DE ACERO INOXIDABLE (Dollarcity FAA1-217448)</t>
  </si>
  <si>
    <t>Morcilla para asados cocina</t>
  </si>
  <si>
    <t>SUBTOTAL DÍA 15 (2 compras)</t>
  </si>
  <si>
    <t>FAC 194</t>
  </si>
  <si>
    <t>BAGRE DE MAR (Alejandro Ramírez Cubillos)</t>
  </si>
  <si>
    <t>06FH140139</t>
  </si>
  <si>
    <t>Alas de Pollo</t>
  </si>
  <si>
    <t>ALAS MACPOLLO CAMPO MARINADAS (Cañaveral 06FH140139)</t>
  </si>
  <si>
    <t>FVE 133</t>
  </si>
  <si>
    <t>MIX DE MARISCOS (Frío Sabor - Factura FVE 133)</t>
  </si>
  <si>
    <t>FILETE DE SALMON GRANDE (Frío Sabor - Factura FVE 133)</t>
  </si>
  <si>
    <t>SUBTOTAL DÍA 16 (4 compras)</t>
  </si>
  <si>
    <t>YP24490</t>
  </si>
  <si>
    <t>SOBACO (Distribuidora de Carnes ET Los Monos - Factura YP24490)</t>
  </si>
  <si>
    <t>Lengua de Res</t>
  </si>
  <si>
    <t>LENGUA DE RES (Distribuidora de Carnes ET Los Monos - Factura YP24490)</t>
  </si>
  <si>
    <t>Punta de Anca Cerdo</t>
  </si>
  <si>
    <t>PUNTA DE ANCA CERDO (Distribuidora de Carnes ET Los Monos - Factura YP24490)</t>
  </si>
  <si>
    <t>Lomo Caracho</t>
  </si>
  <si>
    <t>LOMO CARACHO (Distribuidora de Carnes ET Los Monos - Factura YP24490)</t>
  </si>
  <si>
    <t>Tocineta Barril</t>
  </si>
  <si>
    <t>TOCINETA BARRIL (Distribuidora de Carnes ET Los Monos - Factura YP24490)</t>
  </si>
  <si>
    <t>Costilla de Cerdo</t>
  </si>
  <si>
    <t>COSTILLA DE CERDO (Distribuidora de Carnes ET Los Monos - Factura YP24490)</t>
  </si>
  <si>
    <t>GSPS165313</t>
  </si>
  <si>
    <t>Pernil de Cerdo</t>
  </si>
  <si>
    <t>PERNIL DE CERDO (El Gran Surtidor - Factura GSPS165313)</t>
  </si>
  <si>
    <t>FE01625</t>
  </si>
  <si>
    <t>Hígado de Res</t>
  </si>
  <si>
    <t>HIGADO DE RES (Distribuidora M y C - Factura FE01625)</t>
  </si>
  <si>
    <t>SUBTOTAL DÍA 17 (8 compras)</t>
  </si>
  <si>
    <t>FAC 195</t>
  </si>
  <si>
    <t>Tilapia roja</t>
  </si>
  <si>
    <t>TILAPIA ROJA (Gabriel Andrés Ramírez Cubillos)</t>
  </si>
  <si>
    <t>SUBTOTAL DÍA 18 (1 compras)</t>
  </si>
  <si>
    <t>TOTAL CONSOLIDADO CARNES (129 COMPRAS)</t>
  </si>
  <si>
    <t>DASHBOARD Y SEGUIMIENTO DE BEBIDAS - SEPTIEMBRE 2026</t>
  </si>
  <si>
    <t>Control analítico exclusivo de bebidas de tomar (cervezas, gaseosas, aguas, hidratantes, maltas)</t>
  </si>
  <si>
    <t>TOTAL INVERSIÓN BEBIDAS</t>
  </si>
  <si>
    <t>TOTAL UNIDADES / CAJAS</t>
  </si>
  <si>
    <t>COSTO PROM. / UND</t>
  </si>
  <si>
    <t>N° PEDIDOS</t>
  </si>
  <si>
    <t>1. SEGUIMIENTO DIARIO DE BEBIDAS</t>
  </si>
  <si>
    <t>2. SEGUIMIENTO DETALLADO DÍA A DÍA - REGISTRO CRONOLÓGICO DE COMPRAS DE BEBIDAS</t>
  </si>
  <si>
    <t>Cantidad (Caj/Und)</t>
  </si>
  <si>
    <t>Costo Prom. ($)</t>
  </si>
  <si>
    <t>N° Pedidos</t>
  </si>
  <si>
    <t>Ítem / Bebida (Nombre Exacto)</t>
  </si>
  <si>
    <t>Descripción Original (PDF)</t>
  </si>
  <si>
    <t>Cajas Compradas</t>
  </si>
  <si>
    <t>Costo Unitario Caja ($)</t>
  </si>
  <si>
    <t>Unid. x Caja</t>
  </si>
  <si>
    <t>Total Botellas / Unid.</t>
  </si>
  <si>
    <t>Costo Unit. Botella ($)</t>
  </si>
  <si>
    <t>Vr. Total Compra ($)</t>
  </si>
  <si>
    <t>VC242247</t>
  </si>
  <si>
    <t>Cerv Stel Artois</t>
  </si>
  <si>
    <t>CERV.STEL ARTOIS*300ml BOT (Global Liquors VC242247)</t>
  </si>
  <si>
    <t>Club colombia</t>
  </si>
  <si>
    <t>CERV.CLUB DOR LATA*330 (Global Liquors VC242247)</t>
  </si>
  <si>
    <t>Corona</t>
  </si>
  <si>
    <t>CERV.CORONA*330ml (Global Liquors VC242247)</t>
  </si>
  <si>
    <t>Poker</t>
  </si>
  <si>
    <t>CERV.POKER*330 LATA (Global Liquors VC242247)</t>
  </si>
  <si>
    <t>SUBTOTAL DÍA 1 (4 compras)</t>
  </si>
  <si>
    <t>VC242401</t>
  </si>
  <si>
    <t>Gatorade</t>
  </si>
  <si>
    <t>BEB.GATORADE*500ml SURT. (Global Liquors - VC242401)</t>
  </si>
  <si>
    <t>H2o</t>
  </si>
  <si>
    <t>AGUA H2O*600ml SURTIDA (Global Liquors VC242401 c/ NC NX8465)</t>
  </si>
  <si>
    <t>Vive 100</t>
  </si>
  <si>
    <t>BEB.EN.*380 VIVE100 (Global Liquors - VC242401)</t>
  </si>
  <si>
    <t>SUBTOTAL DÍA 2 (3 compras)</t>
  </si>
  <si>
    <t>FEMSA-3390</t>
  </si>
  <si>
    <t>Brisa 600 ml</t>
  </si>
  <si>
    <t>AGUA BRISA PET 600ML (24) (Coca-Cola FEMSA - 5571323390)</t>
  </si>
  <si>
    <t>Coca cola 1,5 lt pet (12) nvo</t>
  </si>
  <si>
    <t>COCA COLA 1.5LT PET(12) Nvo (Coca-Cola FEMSA - 5571323390)</t>
  </si>
  <si>
    <t>Coca cola zero 1,5 ltrs</t>
  </si>
  <si>
    <t>COCA COLA ZERO 1.5LT PET(12)KZ (Coca-Cola FEMSA - 5571323390)</t>
  </si>
  <si>
    <t>Coca cola zero 400ml pet(12)kz</t>
  </si>
  <si>
    <t>COCA COLA ZERO 400ML PET(12)KZ (Coca-Cola FEMSA - 5571323390)</t>
  </si>
  <si>
    <t>Coca-cola 400 ml pet (24)</t>
  </si>
  <si>
    <t>COCA-COLA 400ML PET (12) (Coca-Cola FEMSA - 5571323390)</t>
  </si>
  <si>
    <t>FEMSA-3389</t>
  </si>
  <si>
    <t>Gaseosa 400 ml</t>
  </si>
  <si>
    <t>QUATRO CHOICE 400ML NR (12) (Coca-Cola FEMSA - 5571323389)</t>
  </si>
  <si>
    <t>PREMIO ROJO FNT 400 ML PET(12) (Coca-Cola FEMSA - 5571323389)</t>
  </si>
  <si>
    <t>SPRITE 400 ML NR (12) (Coca-Cola FEMSA - 5571323389)</t>
  </si>
  <si>
    <t>SUBTOTAL DÍA 3 (8 compras)</t>
  </si>
  <si>
    <t>A 1494</t>
  </si>
  <si>
    <t>Extracto de Coco Premium 1000 ml</t>
  </si>
  <si>
    <t>Extrato de coco premium 1000 mL (COL COCO S.A.S.)</t>
  </si>
  <si>
    <t>NV202395</t>
  </si>
  <si>
    <t>Hielo en bloque</t>
  </si>
  <si>
    <t>BLOQUE MEDIA (INDUSTRIA HIELO EL NEVADO SAS)</t>
  </si>
  <si>
    <t>SUBTOTAL DÍA 4 (2 compras)</t>
  </si>
  <si>
    <t>JM07-1019725</t>
  </si>
  <si>
    <t>H2OH! Maracuyá 600 ml</t>
  </si>
  <si>
    <t>MARACUYA H2OH! 600 ML PET X 15 (POSTOBON S.A.)</t>
  </si>
  <si>
    <t>H2OH! Limoneto 600 ml</t>
  </si>
  <si>
    <t>LIMONATA H2OH! 600 ML PET X 15 (POSTOBON S.A.)</t>
  </si>
  <si>
    <t>H2OH! Manzana 600 ml</t>
  </si>
  <si>
    <t>MANZANA H2OH 600 ML PET X 15 (POSTOBON S.A.)</t>
  </si>
  <si>
    <t>Mr Tea Durazno 500 ml</t>
  </si>
  <si>
    <t>DURAZNO MR TEA 500 ML PET X 12 (Postobón S.A.)</t>
  </si>
  <si>
    <t>Mr Tea Limón 500 ml</t>
  </si>
  <si>
    <t>LIMON MR TEA 500 ML PET X 12 (Postobón S.A.)</t>
  </si>
  <si>
    <t>Postobón Naranja 1.75 L</t>
  </si>
  <si>
    <t>NARANJA POSTOBON 1.750 ML PET X 12 PM (Postobón S.A.)</t>
  </si>
  <si>
    <t>Postobón Uva 1.75 L</t>
  </si>
  <si>
    <t>UVA POSTOBON PET 1.750 ML PET X 12 PM (Postobón S.A.)</t>
  </si>
  <si>
    <t>Piña Postobón 350 ml Vidrio</t>
  </si>
  <si>
    <t>PIÑA NACIONAL 350 ML VIDRIO R X 30 (Postobón S.A.)</t>
  </si>
  <si>
    <t>Colombiana 350 ml Vidrio</t>
  </si>
  <si>
    <t>COLOMBIANA NACIONAL 350 ML VIDRIO R X 30 (Postobón S.A.)</t>
  </si>
  <si>
    <t>Postobón Uva 350 ml Vidrio</t>
  </si>
  <si>
    <t>UVA POSTOBON 350 ML VIDRIO R X 30 (Postobón S.A.)</t>
  </si>
  <si>
    <t>Postobón Manzana 350 ml Vidrio</t>
  </si>
  <si>
    <t>MANZANA POSTOBON 350 ML VIDRIO R X 30 (Postobón S.A.)</t>
  </si>
  <si>
    <t>Postobón Manzana 1.75 L</t>
  </si>
  <si>
    <t>MANZANA POSTOBON 1.750 ML PET X 12 PM (Postobón S.A.)</t>
  </si>
  <si>
    <t>Colombiana 1.75 L</t>
  </si>
  <si>
    <t>COLOMBIANA NACIONAL 1.750 ML PET X 12 PM (Postobón S.A.)</t>
  </si>
  <si>
    <t>Agua Cristal 600 ml</t>
  </si>
  <si>
    <t>AGUA CRISTAL 600 ML PET X 24 (Postobón S.A.)</t>
  </si>
  <si>
    <t>Agua Cristal con Gas 600 ml</t>
  </si>
  <si>
    <t>AGUA CRISTAL CON GAS 600 ML PET X 24 (Postobón S.A.)</t>
  </si>
  <si>
    <t>SUBTOTAL DÍA 5 (15 compras)</t>
  </si>
  <si>
    <t>NV202629</t>
  </si>
  <si>
    <t>Hielo en bolsa</t>
  </si>
  <si>
    <t>BOLSA X 5 KL TUBULAR (INDUSTRIA HIELO EL NEVADO SAS)</t>
  </si>
  <si>
    <t>NV202664</t>
  </si>
  <si>
    <t>SUBTOTAL DÍA 7 (4 compras)</t>
  </si>
  <si>
    <t>NV202876</t>
  </si>
  <si>
    <t>Hielo en Bloque Media</t>
  </si>
  <si>
    <t>NV202875</t>
  </si>
  <si>
    <t>Hielo en Bolsa x 5 kg Tubular</t>
  </si>
  <si>
    <t>SUBTOTAL DÍA 8 (2 compras)</t>
  </si>
  <si>
    <t>REM-38763</t>
  </si>
  <si>
    <t>Jug del valle</t>
  </si>
  <si>
    <t>JUGO NUTIVA EN CAJA X 200ML (Doña Mary Remision 38763)</t>
  </si>
  <si>
    <t>JM071024895</t>
  </si>
  <si>
    <t>Manzana h2oh</t>
  </si>
  <si>
    <t>MANZANA H2OH 600 ML PET X 15 (Postobon S.A. JM071024895)</t>
  </si>
  <si>
    <t>Limonada h2oh</t>
  </si>
  <si>
    <t>LIMONADA H2OH! 600 ML PET X 15 (Postobon S.A. JM071024895)</t>
  </si>
  <si>
    <t>Maracuya h2oh</t>
  </si>
  <si>
    <t>MARACUYA H2OH! 600 ML PET X 15 (Postobon S.A. JM071024895)</t>
  </si>
  <si>
    <t>Agua cristal con gas</t>
  </si>
  <si>
    <t>AGUA CRISTAL CON GAS 600 ML PET X 24 (Postobon S.A. JM071024895)</t>
  </si>
  <si>
    <t>Agua cristal</t>
  </si>
  <si>
    <t>AGUA CRISTAL 600 ML PET X 24 (Postobon S.A. JM071024895)</t>
  </si>
  <si>
    <t>Bretaña</t>
  </si>
  <si>
    <t>BRETANA 350 ML VIDRIO R X 30 (Postobon S.A. JM071024895)</t>
  </si>
  <si>
    <t>Colombiana vidrio</t>
  </si>
  <si>
    <t>COLOMBIANA NACIONAL 350 ML VIDRIO R X 30 (Postobon S.A. JM071024895)</t>
  </si>
  <si>
    <t>Popular vidrio</t>
  </si>
  <si>
    <t>POPULAR 350 ML VIDRIO R X 30 (Postobon S.A. JM071024895)</t>
  </si>
  <si>
    <t>Uva vidrio</t>
  </si>
  <si>
    <t>UVA POSTOBON 350 ML VIDRIO R X 30 (Postobon S.A. JM071024895)</t>
  </si>
  <si>
    <t>Manzana vidrio</t>
  </si>
  <si>
    <t>MANZANA POSTOBON 350 ML VIDRIO R X 30 (Postobon S.A. JM071024895)</t>
  </si>
  <si>
    <t>Tamarindo vidrio</t>
  </si>
  <si>
    <t>TAMARINDO POSTOBON 350 ML VIDRIO R X 30 (Postobon S.A. JM071024895)</t>
  </si>
  <si>
    <t>Manzana 1.75l</t>
  </si>
  <si>
    <t>MANZANA POSTOBON 1.750 ML PET X 12 PM (Postobon S.A. JM071024895)</t>
  </si>
  <si>
    <t>Colombiana 1.75l</t>
  </si>
  <si>
    <t>COLOMBIANA NACIONAL 1.750 ML PET X 12 PM (Postobon S.A. JM071024895)</t>
  </si>
  <si>
    <t>Uva 1.75l</t>
  </si>
  <si>
    <t>UVA POSTOBON PET 1.750 ML PET X 12 PM (Postobon S.A. JM071024895)</t>
  </si>
  <si>
    <t>NV202947</t>
  </si>
  <si>
    <t>FEC 2940</t>
  </si>
  <si>
    <t>Limonada de Coco Fusionada x 10</t>
  </si>
  <si>
    <t>LIMONADA DE COCO FUSIONADA X 10 (HENRY ANTONIO CASTAÑO TORO)</t>
  </si>
  <si>
    <t>Z1284001674</t>
  </si>
  <si>
    <t>Café Colcafé Cappuccino Clásico 500 g</t>
  </si>
  <si>
    <t>Colcafé Cappuccino Clasic 500g (ALKOSTO)</t>
  </si>
  <si>
    <t>MA42914</t>
  </si>
  <si>
    <t>Alquemix Galaxy V 170 g</t>
  </si>
  <si>
    <t>ALQUEMIX GALAXY V 170G (PRODUCTOS NATURALES DE LA SABANA S.A.S. BIC)</t>
  </si>
  <si>
    <t>Alquemix Milo V 95 g</t>
  </si>
  <si>
    <t>ALQUEMIX MILO V95G (PRODUCTOS NATURALES DE LA SABANA S.A.S. BIC)</t>
  </si>
  <si>
    <t>Crema de Leche 1000 g</t>
  </si>
  <si>
    <t>CREMA DE LECHE 1000G (PRODUCTOS NATURALES DE LA SABANA S.A.S. BIC)</t>
  </si>
  <si>
    <t>Leche Institucional 1100 ml</t>
  </si>
  <si>
    <t>SABOR ORIGINAL INSTITUCIONAL 1100ML (PRODUCTOS NATURALES DE LA SABANA S.A.S. BIC)</t>
  </si>
  <si>
    <t>Jugo Tangelo 400 ml</t>
  </si>
  <si>
    <t>TANGELO BOTELLA 400 ML (PRODUCTOS NATURALES DE LA SABANA S.A.S. BIC)</t>
  </si>
  <si>
    <t>Alquería M&amp;M 100 g</t>
  </si>
  <si>
    <t>ALQUERIA M&amp;M 100G (PRODUCTOS NATURALES DE LA SABANA S.A.S. BIC)</t>
  </si>
  <si>
    <t>Alquería Flips 170 g</t>
  </si>
  <si>
    <t>ALQUERIA CER 170G FLIPS (PRODUCTOS NATURALES DE LA SABANA S.A.S. BIC)</t>
  </si>
  <si>
    <t>Alquería Hojuelas 170 g</t>
  </si>
  <si>
    <t>ALQUERIA HOJUELAS 170GR (PRODUCTOS NATURALES DE LA SABANA S.A.S. BIC)</t>
  </si>
  <si>
    <t>SUBTOTAL DÍA 9 (26 compras)</t>
  </si>
  <si>
    <t>Coca-Cola Domicilios (Neymar)</t>
  </si>
  <si>
    <t>FVCL 5350357</t>
  </si>
  <si>
    <t>Brisa Manzana 600ml</t>
  </si>
  <si>
    <t>BRISA MANZANA 600ML PET(6) REDUCCION (Ind. Nac. Gaseosas)</t>
  </si>
  <si>
    <t>FVCL 5350352</t>
  </si>
  <si>
    <t>Brisa 1L</t>
  </si>
  <si>
    <t>BRISA ECOFLEX 1 LITRO (6) REDUCCION (Ind. Nac. Gaseosas)</t>
  </si>
  <si>
    <t>FVCL 5350354</t>
  </si>
  <si>
    <t>Coca Cola 1L</t>
  </si>
  <si>
    <t>COCA COLA SO 1L PET (12) REDUCCION (Ind. Nac. Gaseosas)</t>
  </si>
  <si>
    <t>FVCL 5350355</t>
  </si>
  <si>
    <t>Quatro 1.5L</t>
  </si>
  <si>
    <t>QUATRO CHOICE 1.5 LT PET (12) REDUCCION (Ind. Nac. Gaseosas)</t>
  </si>
  <si>
    <t>6760 / FP 5350350</t>
  </si>
  <si>
    <t>Agua Brisa</t>
  </si>
  <si>
    <t>AGUA BRISA (INDUSTRIA NACIONAL DE GASEOSAS SA)</t>
  </si>
  <si>
    <t>6759 / FP 5350358</t>
  </si>
  <si>
    <t>Gaseosas</t>
  </si>
  <si>
    <t>GASEOSAS (INDUSTRIA NACIONAL DE GASEOSAS SA)</t>
  </si>
  <si>
    <t>NV203068</t>
  </si>
  <si>
    <t>Bloque media</t>
  </si>
  <si>
    <t>BLOQUE MEDIA (EL NEVADO S.A.S.)</t>
  </si>
  <si>
    <t>A 1498</t>
  </si>
  <si>
    <t>SUBTOTAL DÍA 10 (9 compras)</t>
  </si>
  <si>
    <t>NV203136</t>
  </si>
  <si>
    <t>Hielo Bloque Media</t>
  </si>
  <si>
    <t>Hielo Bolsa Tubular 5 Kg</t>
  </si>
  <si>
    <t>SUBTOTAL DÍA 11 (2 compras)</t>
  </si>
  <si>
    <t>V03-105561</t>
  </si>
  <si>
    <t>Cerveza Coronita 210ml</t>
  </si>
  <si>
    <t>1 CERVEZA CORONITA*210ml*6und EXTRA BOTE</t>
  </si>
  <si>
    <t>2 CERVEZA CORONITA*210ml*6und EXTRA BOTE</t>
  </si>
  <si>
    <t>3 CERVEZA CORONITA*210ml*6und EXTRA BOTE</t>
  </si>
  <si>
    <t>4 CERVEZA CORONITA*210ml*6und EXTRA BOTE</t>
  </si>
  <si>
    <t>SUBTOTAL DÍA 12 (4 compras)</t>
  </si>
  <si>
    <t>FVCL 5378420</t>
  </si>
  <si>
    <t>Agua</t>
  </si>
  <si>
    <t>AGUA BRISA PET 600ML (24)</t>
  </si>
  <si>
    <t>FVCL 5378421</t>
  </si>
  <si>
    <t>Gaseosa</t>
  </si>
  <si>
    <t>COCA-COLA 350ML VIR(30)</t>
  </si>
  <si>
    <t>SUBTOTAL DÍA 13 (2 compras)</t>
  </si>
  <si>
    <t>FEPL3208151</t>
  </si>
  <si>
    <t>Jugo Tangelo</t>
  </si>
  <si>
    <t>TANGELO BOTELLA 400 ML (Alquería)</t>
  </si>
  <si>
    <t>SF45262</t>
  </si>
  <si>
    <t>Hielo</t>
  </si>
  <si>
    <t>BLOQUE MEDIA X 2 (Hielo El Nevado Remisión SF45262)</t>
  </si>
  <si>
    <t>07FH74898</t>
  </si>
  <si>
    <t>Vino Tinto</t>
  </si>
  <si>
    <t>ESPINAZO Y PEZUÑA CERDO A GRANEL (Cañaveral Fac 07FH74898)</t>
  </si>
  <si>
    <t>SUBTOTAL DÍA 15 (3 compras)</t>
  </si>
  <si>
    <t>SF45284</t>
  </si>
  <si>
    <t>BLOQUE MEDIA + BOLSA TUBULAR (Hielo El Nevado SF45284)</t>
  </si>
  <si>
    <t>SUBTOTAL DÍA 16 (1 compras)</t>
  </si>
  <si>
    <t>FVCL 5414446</t>
  </si>
  <si>
    <t>Coca Cola 1.5LT</t>
  </si>
  <si>
    <t>COCA COLA 1.5LT PET(12) Nvo (Coca-Cola FEMSA)</t>
  </si>
  <si>
    <t>Coca-Cola 400ml</t>
  </si>
  <si>
    <t>COCA-COLA 400ML PET(12) (Coca-Cola FEMSA)</t>
  </si>
  <si>
    <t>SF45299</t>
  </si>
  <si>
    <t>BLOQUE MEDIA + BOLSA TUBULAR (Hielo El Nevado SF45299)</t>
  </si>
  <si>
    <t>SUBTOTAL DÍA 17 (3 compras)</t>
  </si>
  <si>
    <t>VC247919</t>
  </si>
  <si>
    <t>Cerveza Poker 330 Lata</t>
  </si>
  <si>
    <t>CERV.POKER*330 LATA (Global Liquors)</t>
  </si>
  <si>
    <t>Cerveza Club Dorada Lata 330</t>
  </si>
  <si>
    <t>CERV.CLUB DOR LATA*330 (Global Liquors)</t>
  </si>
  <si>
    <t>Cerveza Stella Artois 300ml Botella</t>
  </si>
  <si>
    <t>CERV.STEL ARTOIS*300ml BOT (Global Liquors)</t>
  </si>
  <si>
    <t>Cerveza Corona 330ml</t>
  </si>
  <si>
    <t>CERV.CORONA*330ml (Global Liquors)</t>
  </si>
  <si>
    <t>Vive 100 380ml</t>
  </si>
  <si>
    <t>BEB.EN.*380 VIVE100 (Global Liquors)</t>
  </si>
  <si>
    <t>Pony Malta 330ml Pet</t>
  </si>
  <si>
    <t>BEB.MALTA*330ml PONY PET (Global Liquors)</t>
  </si>
  <si>
    <t>SF45333</t>
  </si>
  <si>
    <t>BLOQUE MEDIA + BOLSA TUBULAR (Hielo El Nevado SF45333)</t>
  </si>
  <si>
    <t>SUBTOTAL DÍA 18 (7 compras)</t>
  </si>
  <si>
    <t>TOTAL CONSOLIDADO BEBIDAS (95 COMPRAS)</t>
  </si>
  <si>
    <t>DASHBOARD ANALÍTICO DE NÓMINA, HONORARIOS Y TALENTO HUMANO - SEPTIEMBRE 2026</t>
  </si>
  <si>
    <t>TOTAL TALENTO HUMANO Y HONORARIOS</t>
  </si>
  <si>
    <t>NÓMINA FIJA Y SERVICIOS TEMPORALES</t>
  </si>
  <si>
    <t>HONORARIOS Y GESTIÓN DIRECTIVA</t>
  </si>
  <si>
    <t>TURNOS OPERATIVOS EN EFECTIVO</t>
  </si>
  <si>
    <t>Nº PAGOS REGISTRADOS</t>
  </si>
  <si>
    <t>Nómina + Temporales + Honorarios + Turnos + Gestión</t>
  </si>
  <si>
    <t>4 Quincenas BBVA + 2 Facturas GIT (Agosto y Sept)</t>
  </si>
  <si>
    <t>Contadora, Antonio, Arturo, Eliana</t>
  </si>
  <si>
    <t>Turnos caja menor: salón, cocina y fin de semana</t>
  </si>
  <si>
    <t>Transacciones personal</t>
  </si>
  <si>
    <t>1. RESUMEN EJECUTIVO POR MODALIDAD DE CONTRATACIÓN Y BENEFICIARIO</t>
  </si>
  <si>
    <t>2. REGISTRO CRONOLÓGICO Y DETALLADO DÍA A DÍA (DETALLE DE TRANSACCIONES)</t>
  </si>
  <si>
    <t>Concepto / Beneficiario</t>
  </si>
  <si>
    <t>Modalidad Contractual</t>
  </si>
  <si>
    <t>Nº Pagos</t>
  </si>
  <si>
    <t>% Part.</t>
  </si>
  <si>
    <t>Promedio Pago ($)</t>
  </si>
  <si>
    <t>Soporte / Fac</t>
  </si>
  <si>
    <t>Beneficiario / Personal</t>
  </si>
  <si>
    <t>Concepto / Modalidad</t>
  </si>
  <si>
    <t>Descripción Detallada</t>
  </si>
  <si>
    <t>Vr. Pagado ($)</t>
  </si>
  <si>
    <t>Fuente / Observaciones</t>
  </si>
  <si>
    <t>Nómina Bancaria 1ra Quincena (BBVA)</t>
  </si>
  <si>
    <t>Nómina Quincenal Fija</t>
  </si>
  <si>
    <t>Libro de Caja</t>
  </si>
  <si>
    <t>Arturo Díaz</t>
  </si>
  <si>
    <t>Gestión Directiva</t>
  </si>
  <si>
    <t>Devolución Señor Arturo Principal (Johanna)</t>
  </si>
  <si>
    <t>Efectivo Caja Menor</t>
  </si>
  <si>
    <t>Servicios Temporales Nómina (GIT)</t>
  </si>
  <si>
    <t>Temporal / AIU Planta</t>
  </si>
  <si>
    <t>RCM-07-Sep-2026</t>
  </si>
  <si>
    <t>Encomienda Arturo (Recibo Caja Menor 07-Sep-2026)</t>
  </si>
  <si>
    <t>Caja Menor</t>
  </si>
  <si>
    <t>Honorarios Contadora Pública</t>
  </si>
  <si>
    <t>Honorarios Profesionales</t>
  </si>
  <si>
    <t>Marleny</t>
  </si>
  <si>
    <t>Turno Operativo</t>
  </si>
  <si>
    <t>Turno Marleny Domicilios (Carolina)</t>
  </si>
  <si>
    <t>Gestión y Dirección (Antonio Díaz)</t>
  </si>
  <si>
    <t>Gestión Directiva / Apoyo</t>
  </si>
  <si>
    <t>Jhonatan</t>
  </si>
  <si>
    <t>Vale Descontable</t>
  </si>
  <si>
    <t>Crédito Jhonatan Domicilios (Carolina)</t>
  </si>
  <si>
    <t>Anticipo Empleado</t>
  </si>
  <si>
    <t>Retiros y Encomiendas (Don Arturo)</t>
  </si>
  <si>
    <t>Retiro Socio / Encomiendas</t>
  </si>
  <si>
    <t>Devolución Señor Arturo Domicilios (Carolina)</t>
  </si>
  <si>
    <t>Salida Caja Menor</t>
  </si>
  <si>
    <t>Honorarios Operativos (Eliana)</t>
  </si>
  <si>
    <t>Honorarios / Cuenta Cobro</t>
  </si>
  <si>
    <t>Carolina</t>
  </si>
  <si>
    <t>Transporte Personal</t>
  </si>
  <si>
    <t>Transporte Carolina Domicilios (Carolina)</t>
  </si>
  <si>
    <t>Transporte Operativo</t>
  </si>
  <si>
    <t>Turnos de Personal - Marleny</t>
  </si>
  <si>
    <t>Turno Operativo Salón/Cocina</t>
  </si>
  <si>
    <t>SUBTOTAL DÍA 7 (6 pagos)</t>
  </si>
  <si>
    <t>Turnos de Personal - Andrés</t>
  </si>
  <si>
    <t>Turno Operativo Salón/Apoyo</t>
  </si>
  <si>
    <t>Andrés</t>
  </si>
  <si>
    <t>Turno Andrés Principal (Johanna)</t>
  </si>
  <si>
    <t>Turnos de Personal - Sebastián</t>
  </si>
  <si>
    <t>Turno Operativo Salón/Servicio</t>
  </si>
  <si>
    <t>Diego / Luigui</t>
  </si>
  <si>
    <t>Turno Diego / Luigui Principal (Johanna)</t>
  </si>
  <si>
    <t>Turnos de Personal - Wilson</t>
  </si>
  <si>
    <t>Turno Marleny Domicilios (Neymar)</t>
  </si>
  <si>
    <t>Seguridad y Vigilancia (Fredy Toty / Taty)</t>
  </si>
  <si>
    <t>Turno Nocturno / Vigilancia</t>
  </si>
  <si>
    <t>Wilson</t>
  </si>
  <si>
    <t>Wilson (Lunes y Martes) Principal (Johanna) - 2 días</t>
  </si>
  <si>
    <t>Otros Turnos y Refuerzos Operativos</t>
  </si>
  <si>
    <t>Turnos y Horas Apoyo (Leyton/Martha/Lucero)</t>
  </si>
  <si>
    <t>José David</t>
  </si>
  <si>
    <t>Crédito José David Domicilios (Neymar)</t>
  </si>
  <si>
    <t>Incentivos Laborales y Abonos</t>
  </si>
  <si>
    <t>Incentivo / Abono Cuenta Cobro</t>
  </si>
  <si>
    <t>SUBTOTAL DÍA 8 (5 pagos)</t>
  </si>
  <si>
    <t>Auxilio de Transporte de Personal</t>
  </si>
  <si>
    <t>Apoyo Transporte Operativo</t>
  </si>
  <si>
    <t>Anticipos y Vales Empleados</t>
  </si>
  <si>
    <t>Préstamo Menor Descontable</t>
  </si>
  <si>
    <t>Sebastián</t>
  </si>
  <si>
    <t>Turno Sebastián Principal (Johanna)</t>
  </si>
  <si>
    <t>Salud Ocupacional y Exámenes Médicos (IPS)</t>
  </si>
  <si>
    <t>Exámenes Médicos Ingreso</t>
  </si>
  <si>
    <t>Turno Marleny Domicilios (María)</t>
  </si>
  <si>
    <t>TOTAL CONSOLIDADO TALENTO HUMANO Y HONORARIOS</t>
  </si>
  <si>
    <t>Todas las modalidades</t>
  </si>
  <si>
    <t>Don Arturo recogió Domicilios (María)</t>
  </si>
  <si>
    <t>Retiro Efectivo Caja</t>
  </si>
  <si>
    <t>SUBTOTAL DÍA 9 (4 pagos)</t>
  </si>
  <si>
    <t>RCM-10-Sep-2026-7</t>
  </si>
  <si>
    <t>MARLENY - TRANSPORTE MAÑANA (Recibo Caja Menor)</t>
  </si>
  <si>
    <t>Apoyo Transporte</t>
  </si>
  <si>
    <t>RCM-10-Sep-2026-5</t>
  </si>
  <si>
    <t>MARLENE - 7 HORAS (Recibo Caja Menor 10/09/2026)</t>
  </si>
  <si>
    <t>Recibo Oficial Caja</t>
  </si>
  <si>
    <t>RCM-10-Sep-2026-4</t>
  </si>
  <si>
    <t>Antonio Díaz</t>
  </si>
  <si>
    <t>ANTONIO L. DIAZ - TAXI DILIGENCIAS (Recibo Caja Menor)</t>
  </si>
  <si>
    <t>RCM-10-Sep-2026-1</t>
  </si>
  <si>
    <t>Edith</t>
  </si>
  <si>
    <t>TRANSPORTE EDITH (Recibo Caja Menor Marfil 10/09/26)</t>
  </si>
  <si>
    <t>Taty Vigilancia</t>
  </si>
  <si>
    <t>Seguridad / Vigilancia</t>
  </si>
  <si>
    <t>Turno Taty Vigilancia Domicilios (Neymar)</t>
  </si>
  <si>
    <t>Deys</t>
  </si>
  <si>
    <t>Transporte Deys Domicilios (Neymar)</t>
  </si>
  <si>
    <t>SUBTOTAL DÍA 10 (9 pagos)</t>
  </si>
  <si>
    <t>Cuenta de Cobro</t>
  </si>
  <si>
    <t>Eliana</t>
  </si>
  <si>
    <t>Honorarios Operativos</t>
  </si>
  <si>
    <t>Pago de Servicios Eliana (Cuenta de Cobro)</t>
  </si>
  <si>
    <t>Cuaderno Don Arturo</t>
  </si>
  <si>
    <t>Contadora Pública</t>
  </si>
  <si>
    <t>Honorarios Contadora</t>
  </si>
  <si>
    <t>Honorarios Contadora (Cuaderno Don Arturo)</t>
  </si>
  <si>
    <t>Asesoría Contable</t>
  </si>
  <si>
    <t>FELE11955</t>
  </si>
  <si>
    <t>GIT Organizacional</t>
  </si>
  <si>
    <t>Servicios Temporales</t>
  </si>
  <si>
    <t>SERVICIOS TEMPORALES + AIU (Factura FELE11955 - Agosto 16-31)</t>
  </si>
  <si>
    <t>Factura Electrónica</t>
  </si>
  <si>
    <t>Danilo</t>
  </si>
  <si>
    <t>Transporte Danilo (Cuaderno Don Arturo)</t>
  </si>
  <si>
    <t>Turno Andrés Principal (Johanna/Wilson)</t>
  </si>
  <si>
    <t>Turno Sebastián Principal (Johanna/Wilson)</t>
  </si>
  <si>
    <t>Turno Wilson Principal (Johanna/Wilson)</t>
  </si>
  <si>
    <t>Pago Antonio (Caja Menor Johanna/Wilson)</t>
  </si>
  <si>
    <t>Fac 039427</t>
  </si>
  <si>
    <t>Honorarios como contadora pública 01 al 31 de agosto</t>
  </si>
  <si>
    <t>Cuenta de Cobro Oficial</t>
  </si>
  <si>
    <t>Turnos Operativos</t>
  </si>
  <si>
    <t>Planilla Caja Menor</t>
  </si>
  <si>
    <t>Marleny 6 Horas Adicionales Domicilios</t>
  </si>
  <si>
    <t>Eliana Garcés</t>
  </si>
  <si>
    <t>Eliana Garcés (ela cobra) - Pago efectivo caja menor</t>
  </si>
  <si>
    <t>SUBTOTAL DÍA 11 (12 pagos)</t>
  </si>
  <si>
    <t>Turno Wilson Principal pagado en efectivo</t>
  </si>
  <si>
    <t>Turno Andrés Principal pagado en efectivo</t>
  </si>
  <si>
    <t>Turno Sebastián Principal pagado en efectivo</t>
  </si>
  <si>
    <t>Don Arturo recogió efectivo socio (Caja Menor)</t>
  </si>
  <si>
    <t>Retiro Efectivo Socio</t>
  </si>
  <si>
    <t>Crédito Don Arturo (Vale de caja menor)</t>
  </si>
  <si>
    <t>Vale de Caja Menor</t>
  </si>
  <si>
    <t>Turno Marleny Domicilios pagado en efectivo</t>
  </si>
  <si>
    <t>Turno Sebastián Domicilios pagado en efectivo</t>
  </si>
  <si>
    <t>Lina</t>
  </si>
  <si>
    <t>Transporte Lina Domicilios (Caja menor)</t>
  </si>
  <si>
    <t>Transporte 2 días Danilo Domicilios (Caja menor)</t>
  </si>
  <si>
    <t>Deicy</t>
  </si>
  <si>
    <t>Transporte Deicy Domicilios (Caja menor)</t>
  </si>
  <si>
    <t>Enith</t>
  </si>
  <si>
    <t>Transporte Enith Domicilios (Caja menor)</t>
  </si>
  <si>
    <t>SUBTOTAL DÍA 12 (11 pagos)</t>
  </si>
  <si>
    <t>Martha Collazos</t>
  </si>
  <si>
    <t>Turno Martha Collazos Domicilios en efectivo</t>
  </si>
  <si>
    <t>Crédito Carolina (Vale de caja menor)</t>
  </si>
  <si>
    <t>Daniela</t>
  </si>
  <si>
    <t>Crédito Daniela (Vale de caja menor)</t>
  </si>
  <si>
    <t>María Bertilda</t>
  </si>
  <si>
    <t>Crédito María Bertilda (Vale de caja menor)</t>
  </si>
  <si>
    <t>Turno Marleny Cocina Domicilios en efectivo</t>
  </si>
  <si>
    <t>SUBTOTAL DÍA 13 (7 pagos)</t>
  </si>
  <si>
    <t>Por concepto de declaración de renta (Cuenta de Cobro)</t>
  </si>
  <si>
    <t>Asesoría Tributaria</t>
  </si>
  <si>
    <t>FELE12018</t>
  </si>
  <si>
    <t>SERVICIOS TEMPORALES SEPTIEMBRE 01 AL 15 (Factura FELE12018)</t>
  </si>
  <si>
    <t>AIU FISCAL + IVA RÉGIMEN ESPECIAL (Factura FELE12018)</t>
  </si>
  <si>
    <t>SUBTOTAL DÍA 14 (6 pagos)</t>
  </si>
  <si>
    <t>TR-BBVA-1509</t>
  </si>
  <si>
    <t>Jacqueline Jiménez Burbano</t>
  </si>
  <si>
    <t>Nómina Bancaria</t>
  </si>
  <si>
    <t>PAGO NOMINA 1RA QUINCENA SEPTIEMBRE (Transferencia BBVA)</t>
  </si>
  <si>
    <t>Bancario 1ra Quincena</t>
  </si>
  <si>
    <t>Juan David Aguirre Piamba</t>
  </si>
  <si>
    <t>Enith Mosquera Mosquera</t>
  </si>
  <si>
    <t>Mary Luz Henao Hernández</t>
  </si>
  <si>
    <t>Turno Andrés pagado en efectivo de caja menor</t>
  </si>
  <si>
    <t>Turno Wilson pagado en efectivo de caja menor</t>
  </si>
  <si>
    <t>Turno Sebastián pagado en efectivo de caja menor</t>
  </si>
  <si>
    <t>Joan David</t>
  </si>
  <si>
    <t>Vale / anticipo empleado Joan David</t>
  </si>
  <si>
    <t>Turno Marleny pagado en efectivo</t>
  </si>
  <si>
    <t>FE2553</t>
  </si>
  <si>
    <t>Health Care IPS S.A.S.</t>
  </si>
  <si>
    <t>Salud Ocupacional</t>
  </si>
  <si>
    <t>Examen Coprológico ingreso (Factura FE2553)</t>
  </si>
  <si>
    <t>Examen Frotis Faríngeo ingreso (Factura FE2553)</t>
  </si>
  <si>
    <t>Examen Hongos KOH ingreso (Factura FE2553)</t>
  </si>
  <si>
    <t>Evaluación Médica Pre-Ingreso (Factura FE2553)</t>
  </si>
  <si>
    <t>Panel Drogas de Abuso (Factura FE2553)</t>
  </si>
  <si>
    <t>Evaluación Médica Ocupacional Periódica (Factura FE2553)</t>
  </si>
  <si>
    <t>SUBTOTAL DÍA 15 (15 pagos)</t>
  </si>
  <si>
    <t>Personal Operativo</t>
  </si>
  <si>
    <t>Incentivos Laborales</t>
  </si>
  <si>
    <t>Pago Incentivo Mes de Agosto / 26</t>
  </si>
  <si>
    <t>Bonificación Personal</t>
  </si>
  <si>
    <t>Personal / Servicios</t>
  </si>
  <si>
    <t>Abonos Laborales</t>
  </si>
  <si>
    <t>Abono cuenta de cobro saldo $ 345.000</t>
  </si>
  <si>
    <t>Abono Cuenta Cobro</t>
  </si>
  <si>
    <t>2 días de transporte de personal</t>
  </si>
  <si>
    <t>Turno Andrés pagado en efectivo</t>
  </si>
  <si>
    <t>Neymar</t>
  </si>
  <si>
    <t>Vale / anticipo empleado Neymar</t>
  </si>
  <si>
    <t>SUBTOTAL DÍA 16 (6 pagos)</t>
  </si>
  <si>
    <t>Turno Sebastián pagado en efectivo</t>
  </si>
  <si>
    <t>Recibo Lucero</t>
  </si>
  <si>
    <t>Lucero (Refuerzo)</t>
  </si>
  <si>
    <t>Turno apoyo 4 horas personal (Lucero)</t>
  </si>
  <si>
    <t>Recibo Caja Menor</t>
  </si>
  <si>
    <t>Fredy Toty</t>
  </si>
  <si>
    <t>Turno vigilancia Fredy Toty</t>
  </si>
  <si>
    <t>SUBTOTAL DÍA 17 (4 pagos)</t>
  </si>
  <si>
    <t>SUBTOTAL DÍA 18 (3 pagos)</t>
  </si>
  <si>
    <t>RCM-190926</t>
  </si>
  <si>
    <t>Leyton Agudelo</t>
  </si>
  <si>
    <t>Turno Sábado y Domingo (Recibo Caja Menor Leyton)</t>
  </si>
  <si>
    <t>SUBTOTAL DÍA 19 (1 pagos)</t>
  </si>
  <si>
    <t>TOTAL CONSOLIDADO TALENTO HUMANO (89 PAGOS)</t>
  </si>
  <si>
    <t>Unidad</t>
  </si>
  <si>
    <t>Cantidad Vendida</t>
  </si>
  <si>
    <t>Precio Unitario Neto</t>
  </si>
  <si>
    <t>Venta Bruta</t>
  </si>
  <si>
    <t>Descuentos</t>
  </si>
  <si>
    <t>Venta Neta</t>
  </si>
  <si>
    <t>Impoconsumo (8%)</t>
  </si>
  <si>
    <t>Gran Total Facturado</t>
  </si>
  <si>
    <t>% Part. Día</t>
  </si>
  <si>
    <t>Proveedor / Emisor Factura</t>
  </si>
  <si>
    <t>Agua tarro</t>
  </si>
  <si>
    <t>ud</t>
  </si>
  <si>
    <t>Restaurante Choclos y Asados La Finca S.A.S.</t>
  </si>
  <si>
    <t>Aguacate porc</t>
  </si>
  <si>
    <t>Albondigas</t>
  </si>
  <si>
    <t>Arroz con camaron</t>
  </si>
  <si>
    <t>Bao</t>
  </si>
  <si>
    <t>Calentado chicharron</t>
  </si>
  <si>
    <t>Cazuela de camaron</t>
  </si>
  <si>
    <t>Cazuela mariscos</t>
  </si>
  <si>
    <t>Cerdo ejecutivo</t>
  </si>
  <si>
    <t>Cerv corona - stella</t>
  </si>
  <si>
    <t>Cerv poker - aguila</t>
  </si>
  <si>
    <t>Cerveza club</t>
  </si>
  <si>
    <t>Chichacharron grand</t>
  </si>
  <si>
    <t>Choricerdo</t>
  </si>
  <si>
    <t>Coca cola 350</t>
  </si>
  <si>
    <t>Desechables</t>
  </si>
  <si>
    <t>Filete pechuga espec</t>
  </si>
  <si>
    <t>Francesa</t>
  </si>
  <si>
    <t>Frape frutas</t>
  </si>
  <si>
    <t>Frijolada especial</t>
  </si>
  <si>
    <t>Frijolada molida</t>
  </si>
  <si>
    <t>Gaseosa 1500</t>
  </si>
  <si>
    <t>Gaseosa 350</t>
  </si>
  <si>
    <t>Gaseosa 400ml</t>
  </si>
  <si>
    <t>H2o saborizada</t>
  </si>
  <si>
    <t>Huevo</t>
  </si>
  <si>
    <t>Jugo jarra agua 2 lt</t>
  </si>
  <si>
    <t>Jugo leche vaso</t>
  </si>
  <si>
    <t>Limonada coco</t>
  </si>
  <si>
    <t>Limonada vaso 16 onz</t>
  </si>
  <si>
    <t>Lomo cerdo espec</t>
  </si>
  <si>
    <t>Mazamorra</t>
  </si>
  <si>
    <t>Mega chicharrn 700 g</t>
  </si>
  <si>
    <t>Mr tea</t>
  </si>
  <si>
    <t>Pericos con arroz</t>
  </si>
  <si>
    <t>Pony malta peq</t>
  </si>
  <si>
    <t>Porc albondiga</t>
  </si>
  <si>
    <t>Porc arepa</t>
  </si>
  <si>
    <t>Porc arroz</t>
  </si>
  <si>
    <t>Porc cerdo peque</t>
  </si>
  <si>
    <t>Porc cost res</t>
  </si>
  <si>
    <t>Porc molida</t>
  </si>
  <si>
    <t>Porc principio</t>
  </si>
  <si>
    <t>Porc res</t>
  </si>
  <si>
    <t>Porc sobre peque</t>
  </si>
  <si>
    <t>Prom churrasco</t>
  </si>
  <si>
    <t>Prom costill ahumada</t>
  </si>
  <si>
    <t>Prom tilapia</t>
  </si>
  <si>
    <t>Salmon espec</t>
  </si>
  <si>
    <t>Salmon salsa camaron</t>
  </si>
  <si>
    <t>Soda postobon</t>
  </si>
  <si>
    <t>Sopa sola</t>
  </si>
  <si>
    <t>Tilapia salsa camaro</t>
  </si>
  <si>
    <t>Tinto</t>
  </si>
  <si>
    <t>Trucha salsa camaron</t>
  </si>
  <si>
    <t>Aguacate entero</t>
  </si>
  <si>
    <t>kl</t>
  </si>
  <si>
    <t>Banano unidad</t>
  </si>
  <si>
    <t>Cafe en leche</t>
  </si>
  <si>
    <t>Calentado ce</t>
  </si>
  <si>
    <t>Calentado especial</t>
  </si>
  <si>
    <t>Cerv coronita</t>
  </si>
  <si>
    <t>Chocolate leche</t>
  </si>
  <si>
    <t>Cordon blue</t>
  </si>
  <si>
    <t>Entrada tost ahogado</t>
  </si>
  <si>
    <t>Hojuelas</t>
  </si>
  <si>
    <t>Jugo agua vaso</t>
  </si>
  <si>
    <t>Jugo hit nr</t>
  </si>
  <si>
    <t>Limonada cerezada 16</t>
  </si>
  <si>
    <t>Milo frio - caliente</t>
  </si>
  <si>
    <t>Porc ensalada</t>
  </si>
  <si>
    <t>Porc morrillo peque</t>
  </si>
  <si>
    <t>Porcion pollo</t>
  </si>
  <si>
    <t>Super de pollo</t>
  </si>
  <si>
    <t>Tangelo</t>
  </si>
  <si>
    <t>Tilapia grande 450 g</t>
  </si>
  <si>
    <t>Trucha</t>
  </si>
  <si>
    <t>Vive 100 grde</t>
  </si>
  <si>
    <t>Asada</t>
  </si>
  <si>
    <t>Bistec higado</t>
  </si>
  <si>
    <t>Costeita</t>
  </si>
  <si>
    <t>Desmechada</t>
  </si>
  <si>
    <t>Filete ejecutivo</t>
  </si>
  <si>
    <t>Jugo jarra agua 1 li</t>
  </si>
  <si>
    <t>Michelado 1000</t>
  </si>
  <si>
    <t>Pericos solos</t>
  </si>
  <si>
    <t>Porc.higado</t>
  </si>
  <si>
    <t>Prom filete pollo</t>
  </si>
  <si>
    <t>Vive 100 pequ</t>
  </si>
  <si>
    <t>Actigest</t>
  </si>
  <si>
    <t>Calentado chorizo</t>
  </si>
  <si>
    <t>Jugo del valle</t>
  </si>
  <si>
    <t>Pescado sudado</t>
  </si>
  <si>
    <t>Pez frito</t>
  </si>
  <si>
    <t>Pollo sudado</t>
  </si>
  <si>
    <t>Por pez frito</t>
  </si>
  <si>
    <t>Por.pescado</t>
  </si>
  <si>
    <t>Porc maduro</t>
  </si>
  <si>
    <t>Prom punta de anca</t>
  </si>
  <si>
    <t>Rellena casra</t>
  </si>
  <si>
    <t>Choripollo</t>
  </si>
  <si>
    <t>Gaseosa 3 lit</t>
  </si>
  <si>
    <t>Jarra limo-coco 1 lt</t>
  </si>
  <si>
    <t>Jarra limo-coco 2 lt</t>
  </si>
  <si>
    <t>Junior ala</t>
  </si>
  <si>
    <t>Picada cuatro</t>
  </si>
  <si>
    <t>Picada dos</t>
  </si>
  <si>
    <t>Por chicha jr</t>
  </si>
  <si>
    <t>Porc gallina peque</t>
  </si>
  <si>
    <t>Porc lengua gran</t>
  </si>
  <si>
    <t>Prom chuleta pollo</t>
  </si>
  <si>
    <t>Prom lomo cerdo</t>
  </si>
  <si>
    <t>Promo chuleta mix</t>
  </si>
  <si>
    <t>Sancocho dom</t>
  </si>
  <si>
    <t>Avena</t>
  </si>
  <si>
    <t>Jugo jarra leche 2 l</t>
  </si>
  <si>
    <t>Papa cocida</t>
  </si>
  <si>
    <t>Perico con arepa</t>
  </si>
  <si>
    <t>Porc lengua peque</t>
  </si>
  <si>
    <t>Arroz mixto</t>
  </si>
  <si>
    <t>Porc desmechada</t>
  </si>
  <si>
    <t>Chorizo paisa</t>
  </si>
  <si>
    <t>Gulash de carne</t>
  </si>
  <si>
    <t>Por cost cerdo</t>
  </si>
  <si>
    <t>Por ensalada tocebla</t>
  </si>
  <si>
    <t>grs</t>
  </si>
  <si>
    <t>Porc gulash carne</t>
  </si>
  <si>
    <t>Lengua</t>
  </si>
  <si>
    <t>Costilla horno</t>
  </si>
  <si>
    <t>Chuleta de cerdo</t>
  </si>
  <si>
    <t>Chuleta de pollo</t>
  </si>
  <si>
    <t>Tamal ejecutivo</t>
  </si>
  <si>
    <t>Agua litro</t>
  </si>
  <si>
    <t>Gaseosa litro</t>
  </si>
  <si>
    <t>Mix cereal</t>
  </si>
  <si>
    <t>bls</t>
  </si>
  <si>
    <t>Porc chuleta pollo</t>
  </si>
  <si>
    <t>Ítem</t>
  </si>
  <si>
    <t>Cantidad</t>
  </si>
  <si>
    <t>Vr. Compra</t>
  </si>
  <si>
    <t>Relación con el Cuaderno</t>
  </si>
  <si>
    <t>Detalle</t>
  </si>
  <si>
    <t>Proveedor</t>
  </si>
  <si>
    <t>Carnes</t>
  </si>
  <si>
    <t>No Cruza con Cuaderno Don Arturo</t>
  </si>
  <si>
    <t>Supertiendas Cañaveral S.A.S.</t>
  </si>
  <si>
    <t>Pilas</t>
  </si>
  <si>
    <t>PILA ALCALINA ENERGIZER (Supertiendas Cañaveral - 01FZ70896)</t>
  </si>
  <si>
    <t>Verduras</t>
  </si>
  <si>
    <t>Aguacate</t>
  </si>
  <si>
    <t>8 AGUACATE COMUN*und (Supertiendas Cañaveral - 05FH119923)</t>
  </si>
  <si>
    <t>05FH119923</t>
  </si>
  <si>
    <t>Grano</t>
  </si>
  <si>
    <t>Arepas</t>
  </si>
  <si>
    <t>100 arepas (Cuenta de Cobro 01-Sep-2026 Neftaly Ocampo)</t>
  </si>
  <si>
    <t>CC-01-Sep-2026</t>
  </si>
  <si>
    <t>Neftaly Ocampo (Arepas)</t>
  </si>
  <si>
    <t>Alejandro Ramírez Cubillos (Pescados)</t>
  </si>
  <si>
    <t>Cárnicos Valencia (Alexis Valencia)</t>
  </si>
  <si>
    <t>Cruza con Cuaderno Don Arturo</t>
  </si>
  <si>
    <t>Frío Sabor (Gerson Valencia)</t>
  </si>
  <si>
    <t>INVENTARIO INICIAL</t>
  </si>
  <si>
    <t>Inventario Inicial</t>
  </si>
  <si>
    <t>BLOQUE MEDIA (Hielo El Nevado NV202121)</t>
  </si>
  <si>
    <t>NV202121</t>
  </si>
  <si>
    <t>Industria Hielo El Nevado S.A.S.</t>
  </si>
  <si>
    <t>Bolsa 5kl tubular</t>
  </si>
  <si>
    <t>BOLSA X 5 KL TUBULAR (Hielo El Nevado NV202121)</t>
  </si>
  <si>
    <t>Servicios</t>
  </si>
  <si>
    <t>Acopi</t>
  </si>
  <si>
    <t>Taxi - Acopi (Recibo Caja Menor 01-Sep-2026)</t>
  </si>
  <si>
    <t>Transporte Taxis / Acopi</t>
  </si>
  <si>
    <t>Recibo de Caja</t>
  </si>
  <si>
    <t>Vale Lucero Londoño (Recibo Caja Menor 01-Sep-2026)</t>
  </si>
  <si>
    <t>Personal Operativo (Turnos de Caja)</t>
  </si>
  <si>
    <t>Gastos Menores / Caja Menor</t>
  </si>
  <si>
    <t>Global Liquors (Licores)</t>
  </si>
  <si>
    <t>Papa a la francesa paq 2.5 kl</t>
  </si>
  <si>
    <t>PAPA A LA FRANCESA PAQ 2.5 KL (Carnes Los Monos - YP24140)</t>
  </si>
  <si>
    <t>Distribuidora de Carnes ET Los Monos</t>
  </si>
  <si>
    <t>Servicios Públicos</t>
  </si>
  <si>
    <t>Acueducto y Energía</t>
  </si>
  <si>
    <t>TOTAL A PAGAR</t>
  </si>
  <si>
    <t>18184113</t>
  </si>
  <si>
    <t>EMCALI E.I.C.E. E.S.P.</t>
  </si>
  <si>
    <t>BLOQUE MEDIA (Hielo El Nevado SF44886)</t>
  </si>
  <si>
    <t>SF44886</t>
  </si>
  <si>
    <t>19 Aguacates (Recibo Caja Menor 02-Sep-2026)</t>
  </si>
  <si>
    <t>RCM-02-Sep-2026</t>
  </si>
  <si>
    <t>Taxi - Acopi (Recibo Caja Menor 02-Sep-2026)</t>
  </si>
  <si>
    <t>Mazamorra (Franco Bravo - Recibo Caja Menor 02-Sep-2026)</t>
  </si>
  <si>
    <t>BLOQUE MEDIA (Hielo El Nevado - NV202202)</t>
  </si>
  <si>
    <t>NV202202</t>
  </si>
  <si>
    <t>BOLSA X 5 KL TUBULAR (Hielo El Nevado - NV202202)</t>
  </si>
  <si>
    <t>Leche entera</t>
  </si>
  <si>
    <t>AVENA PRO CUBANA VASO 220G (Alquería - FEPL-3167991)</t>
  </si>
  <si>
    <t>FEPL-3167991</t>
  </si>
  <si>
    <t>Productos Naturales de la Sabana (Alquería)</t>
  </si>
  <si>
    <t>AVENA PRO AUTENTICA VASO 220G (Alquería - FEPL-3167991)</t>
  </si>
  <si>
    <t>TANGELO BOTELLA 400 ML (Alquería - FEPL-3167991)</t>
  </si>
  <si>
    <t>ACTIGEST VAS 140G PIT CCB TT (Alquería - FEPL-3167991)</t>
  </si>
  <si>
    <t>ALQUERIA CER 170G FLIPS (Alquería - FEPL-3167991)</t>
  </si>
  <si>
    <t>ALQUERÍA HOJUELAS 170GR (Alquería - FEPL-3167991)</t>
  </si>
  <si>
    <t>Sabor original</t>
  </si>
  <si>
    <t>SABOR ORIGINAL INSTITUCIONAL 1100ML (Alquería - FEPL-3167991)</t>
  </si>
  <si>
    <t>Crema de leche</t>
  </si>
  <si>
    <t>CREMA DE LECHE 1000G (Alquería - FEPL-3167991)</t>
  </si>
  <si>
    <t>Compras Menores en Efectivo</t>
  </si>
  <si>
    <t>150 arepas (Cuenta de Cobro 02-Sep-2026)</t>
  </si>
  <si>
    <t>CC-02-Sep-2026</t>
  </si>
  <si>
    <t>Arveja</t>
  </si>
  <si>
    <t>ARVEJA VERDE LA FLORESTA 500G (Supertiendas Cañaveral - 05FH120130)</t>
  </si>
  <si>
    <t>05FH120130</t>
  </si>
  <si>
    <t>3 AGUACATE COMUN*und (Supertiendas Cañaveral - 05FH120117)</t>
  </si>
  <si>
    <t>05FH120117</t>
  </si>
  <si>
    <t>Espagueti</t>
  </si>
  <si>
    <t>PASTA LA MUÑECA ESPAGUETI (Supertiendas Cañaveral - 03FH104321)</t>
  </si>
  <si>
    <t>Bolsa</t>
  </si>
  <si>
    <t>BOLSA BIODEGRADABLE MEDIANA (Supertiendas Cañaveral - 03FH104321)</t>
  </si>
  <si>
    <t>Sal</t>
  </si>
  <si>
    <t>SAL REFISAL MARINA CRISTAL FINO X 800 G (Rapi'Caldas TC_5160_1_113294)</t>
  </si>
  <si>
    <t>TC_5160_1_113294</t>
  </si>
  <si>
    <t>BLOQUE MEDIA (Hielo El Nevado SF44906)</t>
  </si>
  <si>
    <t>SF44906</t>
  </si>
  <si>
    <t>Taxi - Acopi (Recibo Caja Menor 03-Sep-2026)</t>
  </si>
  <si>
    <t>RCM-03-Sep-2026</t>
  </si>
  <si>
    <t>Broca espada</t>
  </si>
  <si>
    <t>1 Broca Espada (Recibo Caja Menor 03-Sep-2026)</t>
  </si>
  <si>
    <t>Repuesto pulidora</t>
  </si>
  <si>
    <t>1 Repuesto pulidora (Recibo Caja Menor 03-Sep-2026)</t>
  </si>
  <si>
    <t>Cosedora</t>
  </si>
  <si>
    <t>1 Cosedora (Recibo Caja Menor 03-Sep-2026)</t>
  </si>
  <si>
    <t>Atados hojas</t>
  </si>
  <si>
    <t>35 Atados Hojas (Recibo Caja Menor 03-Sep-2026)</t>
  </si>
  <si>
    <t>Masa t</t>
  </si>
  <si>
    <t>8 Kls Masa T (Recibo Caja Menor 03-Sep-2026)</t>
  </si>
  <si>
    <t>Cocos</t>
  </si>
  <si>
    <t>5 Cocos (Recibo Caja Menor 03-Sep-2026)</t>
  </si>
  <si>
    <t>Papa manbera</t>
  </si>
  <si>
    <t>16 lbs Mambaco (Recibo Caja Menor 03-Sep-2026)</t>
  </si>
  <si>
    <t>Papa amarilla</t>
  </si>
  <si>
    <t>15 lbs Amarilla (Recibo Caja Menor 03-Sep-2026)</t>
  </si>
  <si>
    <t>Guasca y laurel</t>
  </si>
  <si>
    <t>Guasca y Laurel (Recibo Caja Menor 03-Sep-2026)</t>
  </si>
  <si>
    <t>Tortillas</t>
  </si>
  <si>
    <t>10 Tortillas (Recibo Caja Menor 03-Sep-2026)</t>
  </si>
  <si>
    <t>Transporte</t>
  </si>
  <si>
    <t>Acarreo e Insumos Cocina (Recibo Caja Menor 03-Sep-2026)</t>
  </si>
  <si>
    <t>BLOQUE MEDIA (Hielo El Nevado - NV202360)</t>
  </si>
  <si>
    <t>NV202360</t>
  </si>
  <si>
    <t>Aceite soya</t>
  </si>
  <si>
    <t>ACEITE DE SOYA 3000 ML (D1 SAS - G9F9313177)</t>
  </si>
  <si>
    <t>G9F9313177</t>
  </si>
  <si>
    <t>Tiendas D1</t>
  </si>
  <si>
    <t>Coca-Cola FEMSA</t>
  </si>
  <si>
    <t>LIMONADA DE COCO FUSIONADA X 10 (Henry Castaño - FEC 2928)</t>
  </si>
  <si>
    <t>FEC 2928</t>
  </si>
  <si>
    <t>Distribuidora M y C S.A.S.</t>
  </si>
  <si>
    <t>Arroz</t>
  </si>
  <si>
    <t>ARROZ PROARROZ X 50 KL (Factura DP-4833)</t>
  </si>
  <si>
    <t>DP-4833</t>
  </si>
  <si>
    <t>Granero Piamonte</t>
  </si>
  <si>
    <t>Azucar</t>
  </si>
  <si>
    <t>AZUCAR INCAUCA X 50 KL (Factura DP-4833)</t>
  </si>
  <si>
    <t>SAL NATUSAL X 50 KL (Factura DP-4833)</t>
  </si>
  <si>
    <t>100 arepas (Cuenta de Cobro 03-Sep-2026)</t>
  </si>
  <si>
    <t>CC-03-Sep-2026</t>
  </si>
  <si>
    <t>Huevo aa</t>
  </si>
  <si>
    <t>15 PANAL AA (Cuenta de cobro Sept 3)</t>
  </si>
  <si>
    <t>Curry</t>
  </si>
  <si>
    <t>CURRY LIBERTY*20G (Supertiendas Cañaveral - 12FH172636)</t>
  </si>
  <si>
    <t>12FH172636</t>
  </si>
  <si>
    <t>BLOQUE MEDIA (Hielo El Nevado SF44936)</t>
  </si>
  <si>
    <t>SF44936</t>
  </si>
  <si>
    <t>BOLSA X 5 KL TUBULAR (Hielo El Nevado SF44936)</t>
  </si>
  <si>
    <t>Acento x 500</t>
  </si>
  <si>
    <t>ACENTO X 500 LB (Doña Mary Remision 38634)</t>
  </si>
  <si>
    <t>REM-38634</t>
  </si>
  <si>
    <t>Distribuidora Doña Mary (Desechables)</t>
  </si>
  <si>
    <t>Aji pequeño x 40</t>
  </si>
  <si>
    <t>AJI DIFFER PEQUEÑO X40 (Doña Mary Remision 38634)</t>
  </si>
  <si>
    <t>Azucar sobre x 200</t>
  </si>
  <si>
    <t>AZUCAR EN SOBRE X 200 X 10 (Doña Mary Remision 38634)</t>
  </si>
  <si>
    <t>Bananas x 24</t>
  </si>
  <si>
    <t>BANANAMORITAS X 24 (Doña Mary Remision 38634)</t>
  </si>
  <si>
    <t>Base 3 div bops negro</t>
  </si>
  <si>
    <t>BASE 3 DIV BOPS NEGRO CT (Doña Mary Remision 38634)</t>
  </si>
  <si>
    <t>Bolsa basura 65 x 90 # 2</t>
  </si>
  <si>
    <t>BOLSA BASURA 65 X 90 #2 (Doña Mary Remision 38634)</t>
  </si>
  <si>
    <t>Bolsa basura industrial gruesa 90 x 120</t>
  </si>
  <si>
    <t>BOLSA BASURA INDUSTRIAL GRUESA 90 X 120 (Doña Mary Remision 38634)</t>
  </si>
  <si>
    <t>Bolsa manigueta t25</t>
  </si>
  <si>
    <t>BOLSA MANIGUETA T25 ECON (Doña Mary Remision 38634)</t>
  </si>
  <si>
    <t>Bolsa maniguetat40</t>
  </si>
  <si>
    <t>BOLSA MANIGUETA T40 BLANCA ECON (Doña Mary Remision 38634)</t>
  </si>
  <si>
    <t>Café</t>
  </si>
  <si>
    <t>CAFE X 1 LB X 25 (Doña Mary Remision 38634)</t>
  </si>
  <si>
    <t>Color azafran</t>
  </si>
  <si>
    <t>COLOR AZAFRAN 1/4 ARROBA (Doña Mary Remision 38634)</t>
  </si>
  <si>
    <t>Copa troforma 1/2</t>
  </si>
  <si>
    <t>COPA TROFORMA 1/2 ONZ X 50 X 90 (Doña Mary Remision 38634)</t>
  </si>
  <si>
    <t>Cubierto grande x 3 cja x 28pq x 50un</t>
  </si>
  <si>
    <t>CUBIERTO GRANDE X 3 CJAX 28PQ X 50UN (Doña Mary Remision 38634)</t>
  </si>
  <si>
    <t>Desengrasante</t>
  </si>
  <si>
    <t>DESENGRASANTE TAK TAX X 3800 (Doña Mary Remision 38634)</t>
  </si>
  <si>
    <t>Detergente dersax 1000</t>
  </si>
  <si>
    <t>DETERGENTE DERSA LIMON X 1000X20 (Doña Mary Remision 38634)</t>
  </si>
  <si>
    <t>Guante nitrilo</t>
  </si>
  <si>
    <t>GUANTE NITRILO M NEGRO HOUSE CJX10 (Doña Mary Remision 38634)</t>
  </si>
  <si>
    <t>Harina de trigo x 25</t>
  </si>
  <si>
    <t>HARINA DE TRIGO X 25 (Doña Mary Remision 38634)</t>
  </si>
  <si>
    <t>Harina para apanar</t>
  </si>
  <si>
    <t>HARINA PARA APANAR LB (Doña Mary Remision 38634)</t>
  </si>
  <si>
    <t>Humo</t>
  </si>
  <si>
    <t>HUMO LIQUIDO GALON (Doña Mary Remision 38634)</t>
  </si>
  <si>
    <t>Limpido</t>
  </si>
  <si>
    <t>LIMPIDO CUÑETE (Doña Mary Remision 38634)</t>
  </si>
  <si>
    <t>Pitillo forrado bio 25cm x 500</t>
  </si>
  <si>
    <t>PITILLO FORRADO BIO 25cm X 500 HOUSE X 20 (Doña Mary Remision 38634)</t>
  </si>
  <si>
    <t>Porta comida c-1</t>
  </si>
  <si>
    <t>PORTACOMIDA C1 X 200 WAU (Doña Mary Remision 38634)</t>
  </si>
  <si>
    <t>Porta comida darnel t1</t>
  </si>
  <si>
    <t>PORTACOMIDA DARNEL T1 X 200 (Doña Mary Remision 38634)</t>
  </si>
  <si>
    <t>Porta comida j-1</t>
  </si>
  <si>
    <t>PORTACOMIDA DARNEL J1 X 200 (Doña Mary Remision 38634)</t>
  </si>
  <si>
    <t>Porta comida j-2</t>
  </si>
  <si>
    <t>PORTACOMIDA DARNEL J2 X 200 (Doña Mary Remision 38634)</t>
  </si>
  <si>
    <t>Salsa mayonezax4000</t>
  </si>
  <si>
    <t>SALSA MAYONESA DIFFER X 4000 X 3 (Doña Mary Remision 38634)</t>
  </si>
  <si>
    <t>Salsa mostaza differ x 4000</t>
  </si>
  <si>
    <t>SALSA MOSTAZA DIFFER BOLSA X 4000 X 3 (Doña Mary Remision 38634)</t>
  </si>
  <si>
    <t>Salsa negra differ galon x 3000 x 6</t>
  </si>
  <si>
    <t>SALSA NEGRA DIFFER GALON X 3000 X 6 (Doña Mary Remision 38634)</t>
  </si>
  <si>
    <t>Salsa tomate sobre zafran x120</t>
  </si>
  <si>
    <t>SALSA TOMATE SOBRE ZAFRAN X120 CJ X7 (Doña Mary Remision 38634)</t>
  </si>
  <si>
    <t>Salsa tomate x 4000</t>
  </si>
  <si>
    <t>SALSA TOMATE DIFFER X 4000 X3 (Doña Mary Remision 38634)</t>
  </si>
  <si>
    <t>Servilletas</t>
  </si>
  <si>
    <t>SERVILLETA NUBE 1 A 1 X 60PQ X 100UND (Doña Mary Remision 38634)</t>
  </si>
  <si>
    <t>Tapa copa troforma 1 1/2</t>
  </si>
  <si>
    <t>TAPA COPA TROFORMA 1 Y 1/2 ONZX 50 X 2000 X 6 (Doña Mary Remision 38634)</t>
  </si>
  <si>
    <t>Tapa vaso 12 onz. tami</t>
  </si>
  <si>
    <t>TAPA VASO 12 ONZ TAMI X 50 UND X 20 PQ (Doña Mary Remision 38634)</t>
  </si>
  <si>
    <t>Tapa vaso 3.5</t>
  </si>
  <si>
    <t>TAPA VASO 3,5 Y 7 ONZ WAU X 50 X 90 (Doña Mary Remision 38634)</t>
  </si>
  <si>
    <t>Tarrina 14 x 25 unid</t>
  </si>
  <si>
    <t>TARRINA 14 ONZ X 25UND X 20PQ PRODUCT (Doña Mary Remision 38634)</t>
  </si>
  <si>
    <t>Tarrina 14onz wau</t>
  </si>
  <si>
    <t>TARRINA 14ONZ WAU CJX15 X25UDS (Doña Mary Remision 38634)</t>
  </si>
  <si>
    <t>Toalla z 24pqx150</t>
  </si>
  <si>
    <t>TOALLA MANO Z NATURAL GARDEN X150UDS (Doña Mary Remision 38634)</t>
  </si>
  <si>
    <t>Trapero industrial</t>
  </si>
  <si>
    <t>TRAPERO INDUSTRIAL (Doña Mary Remision 38634)</t>
  </si>
  <si>
    <t>Vaso cartón 9.0 onz x 50</t>
  </si>
  <si>
    <t>VASO VACAN 9 OZ CJX40 PQT X50UDS (Doña Mary Remision 38634)</t>
  </si>
  <si>
    <t>Vaso tami 12x25</t>
  </si>
  <si>
    <t>VASO TAMI 12 X 25 TRANSP X 126 PQ (Doña Mary Remision 38634)</t>
  </si>
  <si>
    <t>Vasote 3.5 tansl x 50 x 60</t>
  </si>
  <si>
    <t>VASOTE 3,5 TANSL X 50 X 60 PQ (Doña Mary Remision 38634)</t>
  </si>
  <si>
    <t>Vinagre differ galon 3000</t>
  </si>
  <si>
    <t>VINAGRE DIFFER GALON X 3000 X 6 (Doña Mary Remision 38634)</t>
  </si>
  <si>
    <t>Zumo limon polvo</t>
  </si>
  <si>
    <t>Polvo de limon (Recibo Caja Menor 04-Sep-2026)</t>
  </si>
  <si>
    <t>RCM-04-Sep-2026</t>
  </si>
  <si>
    <t>Insecticida</t>
  </si>
  <si>
    <t>5 Venenos Ratas (Recibo Caja Menor 04-Sep-2026)</t>
  </si>
  <si>
    <t>Mercancias Varias Excentas</t>
  </si>
  <si>
    <t>Gafas de Proteccion (Recibo Caja Menor 04-Sep-2026)</t>
  </si>
  <si>
    <t>Acopi (Recibo Caja Menor 04-Sep-2026)</t>
  </si>
  <si>
    <t>Fabián Bonilla (Carnes de Cerdo)</t>
  </si>
  <si>
    <t>La Morcilla Jamundeña</t>
  </si>
  <si>
    <t>100 arepas (Cuenta de Cobro 04-Sep-2026)</t>
  </si>
  <si>
    <t>CC-04-Sep-2026</t>
  </si>
  <si>
    <t>Lenteja</t>
  </si>
  <si>
    <t>LENTEJA LA FLORESTA*500G (Supertiendas Canaveral 06FZ46512)</t>
  </si>
  <si>
    <t>06FZ46512</t>
  </si>
  <si>
    <t>PAPA A LA FRANCESA PAQ 2.5 KL (Carnes Los Monos - YP24244)</t>
  </si>
  <si>
    <t>1150 arepas (Ventas 0806 Lucía/Darío)</t>
  </si>
  <si>
    <t>VTA-0806</t>
  </si>
  <si>
    <t>BLOQUE MEDIA (Hielo El Nevado SF44955)</t>
  </si>
  <si>
    <t>SF44955</t>
  </si>
  <si>
    <t>BOLSA X 5 KL TUBULAR (Hielo El Nevado SF44955)</t>
  </si>
  <si>
    <t>BLOQUE MEDIA (Hielo El Nevado - NV202582)</t>
  </si>
  <si>
    <t>NV202582</t>
  </si>
  <si>
    <t>BOLSA X 5 KL TUBULAR (Hielo El Nevado - NV202582)</t>
  </si>
  <si>
    <t>Yuca pelada</t>
  </si>
  <si>
    <t>8 kl YUCA PELADA (Asados la Fina Pasoancho 05-Sep-2026)</t>
  </si>
  <si>
    <t>FINA-05SEP</t>
  </si>
  <si>
    <t>500 arepas (Cuenta de Cobro 05-Sep-2026)</t>
  </si>
  <si>
    <t>CC-05-Sep-2026</t>
  </si>
  <si>
    <t>Pulpa maracuya</t>
  </si>
  <si>
    <t>PULPA DE MARACUYA (Fruitty Frezze FAC-A 0001-00021543)</t>
  </si>
  <si>
    <t>0001-00021543</t>
  </si>
  <si>
    <t>Pulpa mango</t>
  </si>
  <si>
    <t>PULPA DE MANGO (Fruitty Frezze FAC-A 0001-00021543)</t>
  </si>
  <si>
    <t>Pulpa lulo</t>
  </si>
  <si>
    <t>PULPA DE LULO (Fruitty Frezze FAC-A 0001-00021543)</t>
  </si>
  <si>
    <t>Pulpa guanabana</t>
  </si>
  <si>
    <t>PULPA DE GUANABANA (Fruitty Frezze FAC-A 0001-00021543)</t>
  </si>
  <si>
    <t>Limonada cerezada</t>
  </si>
  <si>
    <t>LIMONADA CEREZADA (Fruitty Frezze FAC-A 0001-00021543)</t>
  </si>
  <si>
    <t>BLOQUE MEDIA (Hielo El Nevado SF44996)</t>
  </si>
  <si>
    <t>SF44996</t>
  </si>
  <si>
    <t>BOLSA X 5 KL TUBULAR (Hielo El Nevado SF44996)</t>
  </si>
  <si>
    <t>Ulluco Limpio</t>
  </si>
  <si>
    <t>9 lbs Uyucos (Recibo Caja Menor 06-Sep-2026)</t>
  </si>
  <si>
    <t>RCM-06-Sep-2026</t>
  </si>
  <si>
    <t>Mazamorra (Franco Bravo - Recibo Caja Menor 06-Sep-2026)</t>
  </si>
  <si>
    <t>10 Portacazuelas (Recibo Caja Menor 06-Sep-2026)</t>
  </si>
  <si>
    <t>Encomienda Sr Arturo (Recibo Caja Menor 06-Sep-2026)</t>
  </si>
  <si>
    <t>AGUACATES 34 UND (Recibo Caja Menor Marfil 06/09/26)</t>
  </si>
  <si>
    <t>Tv chall y base kalley</t>
  </si>
  <si>
    <t>TV CHALL 32 + BASE KALLEY 32-55 (Alkosto X7484003215)</t>
  </si>
  <si>
    <t>X7484003215</t>
  </si>
  <si>
    <t>Alkosto S.A.</t>
  </si>
  <si>
    <t>BLOQUE MEDIA (Hielo El Nevado SF45024)</t>
  </si>
  <si>
    <t>SF45024</t>
  </si>
  <si>
    <t>BOLSA X 5 KL TUBULAR (Hielo El Nevado SF45023)</t>
  </si>
  <si>
    <t>SF45023</t>
  </si>
  <si>
    <t>BOLSA ECOLOGICA BIODEGRADABLE GRANDE + IMPTO (Agropecuaria La Sevillana SAS)</t>
  </si>
  <si>
    <t>Proveedor Gallinas</t>
  </si>
  <si>
    <t>Acopi Almuerzo (German - Recibo Caja Menor 07-Sep-2026)</t>
  </si>
  <si>
    <t>Ajo pelado</t>
  </si>
  <si>
    <t>AJO PELADO X 1KG (Carnes Los Monos - MY8683)</t>
  </si>
  <si>
    <t>CUADERNO CAJA / NÓMINA EFECTIVO</t>
  </si>
  <si>
    <t>Broca Domicilios (Carolina)</t>
  </si>
  <si>
    <t>Coco / Limonada Domicilios (Carolina)</t>
  </si>
  <si>
    <t>Credito Jhonatan Domicilios (Carolina)</t>
  </si>
  <si>
    <t>Pulpas de frutas</t>
  </si>
  <si>
    <t>PITAHAYA ROJA A GRANEL 0.505 kg (Supertiendas Cañaveral 11FH128831)</t>
  </si>
  <si>
    <t>11FH128831</t>
  </si>
  <si>
    <t>Raices  chinas</t>
  </si>
  <si>
    <t>4 RAICES CHINAS VIVA MEJOR*250g (Supertiendas Cañaveral 11FH128829)</t>
  </si>
  <si>
    <t>Insumos</t>
  </si>
  <si>
    <t>arepas</t>
  </si>
  <si>
    <t>BOLSA X 5 KL TUBULAR (Hielo El Nevado SF45044)</t>
  </si>
  <si>
    <t>SF45044</t>
  </si>
  <si>
    <t>Arracacha</t>
  </si>
  <si>
    <t>Arracacha (Fruver Los Monos Remision A 0672)</t>
  </si>
  <si>
    <t>REM-A 0672</t>
  </si>
  <si>
    <t>Arveja (Fruver Los Monos Remision A 0672)</t>
  </si>
  <si>
    <t>Cebolla Larga Atado</t>
  </si>
  <si>
    <t>Ata Larga (Fruver Los Monos Remision A 0672)</t>
  </si>
  <si>
    <t>Cebolla cabezona</t>
  </si>
  <si>
    <t>Cebolla Cabezona (Fruver Los Monos Remision A 0672)</t>
  </si>
  <si>
    <t>Lechuga batavia</t>
  </si>
  <si>
    <t>L. Batavia (Fruver Los Monos Remision A 0672)</t>
  </si>
  <si>
    <t>Limon tahiti</t>
  </si>
  <si>
    <t>Limon T (Fruver Los Monos Remision A 0672)</t>
  </si>
  <si>
    <t>Papa Capira bulto</t>
  </si>
  <si>
    <t>Capira bulto (Fruver Los Monos Remision A 0672)</t>
  </si>
  <si>
    <t>Papa Amarilla (Fruver Los Monos Remision A 0672)</t>
  </si>
  <si>
    <t>Papa Mambera (Fruver Los Monos Remision A 0672)</t>
  </si>
  <si>
    <t>Pepino comun</t>
  </si>
  <si>
    <t>Pepino (Fruver Los Monos Remision A 0672)</t>
  </si>
  <si>
    <t>Perejil</t>
  </si>
  <si>
    <t>Perejil por atado (Fruver Los Monos Remision A 0672)</t>
  </si>
  <si>
    <t>Pimenton</t>
  </si>
  <si>
    <t>Pimenton (Fruver Los Monos Remision A 0672)</t>
  </si>
  <si>
    <t>Platano maduro</t>
  </si>
  <si>
    <t>Platano M (Fruver Los Monos Remision A 0672)</t>
  </si>
  <si>
    <t>Platano verde</t>
  </si>
  <si>
    <t>Platano verde (Fruver Los Monos Remision A 0672)</t>
  </si>
  <si>
    <t>Remolacha</t>
  </si>
  <si>
    <t>Remolacha (Fruver Los Monos Remision A 0672)</t>
  </si>
  <si>
    <t>Tomate chonto</t>
  </si>
  <si>
    <t>Tomate chonto (Fruver Los Monos Remision A 0672)</t>
  </si>
  <si>
    <t>Tomate milano</t>
  </si>
  <si>
    <t>Tomate Milano (Fruver Los Monos Remision A 0672)</t>
  </si>
  <si>
    <t>Zanahoria</t>
  </si>
  <si>
    <t>Zanahoria (Fruver Los Monos Remision A 0672)</t>
  </si>
  <si>
    <t>ACENTO X 500 LB (Doña Mary Remision 38730)</t>
  </si>
  <si>
    <t>REM-38730</t>
  </si>
  <si>
    <t>AJI DIFFER PEQUEÑO X40 (Doña Mary Remision 38730)</t>
  </si>
  <si>
    <t>Aromaticasx 20</t>
  </si>
  <si>
    <t>AROMATICAS X 20 X 24CJ (Doña Mary Remision 38730)</t>
  </si>
  <si>
    <t>BOLSA MANIGUETA T25 ECON (Doña Mary Remision 38730)</t>
  </si>
  <si>
    <t>BOLSA MANIGUETA T40 BLANCA ECON (Doña Mary Remision 38730)</t>
  </si>
  <si>
    <t>Bolsa tina</t>
  </si>
  <si>
    <t>BOLSA TINA X 100 (Doña Mary Remision 38730)</t>
  </si>
  <si>
    <t>CAFE X 1 LB X 25 (Doña Mary Remision 38730)</t>
  </si>
  <si>
    <t>Contenedor 16 onz. darnel 20x20</t>
  </si>
  <si>
    <t>CONTENEDOR 16 ONZ DARNEL X 20X20 PAQ (Doña Mary Remision 38730)</t>
  </si>
  <si>
    <t>Contenedor darnel 8 onz. x 20 x 25</t>
  </si>
  <si>
    <t>CONTENEDOR DARNEL 8 ONZ T X 20X25 (Doña Mary Remision 38730)</t>
  </si>
  <si>
    <t>Cuchara grande suraplas x 100</t>
  </si>
  <si>
    <t>CUCHARA GRANDE SURAPLAS X 100X60 (Doña Mary Remision 38730)</t>
  </si>
  <si>
    <t>DETERGENTE DERSA LIMON X 1000X20 (Doña Mary Remision 38730)</t>
  </si>
  <si>
    <t>HARINA DE TRIGO X 25 (Doña Mary Remision 38730)</t>
  </si>
  <si>
    <t>HUMO LIQUIDO GALON (Doña Mary Remision 38730)</t>
  </si>
  <si>
    <t>Mezclador</t>
  </si>
  <si>
    <t>MEZCLADOR COLOMBIANITO X 500UDS APROX PCX30 (Doña Mary Remision 38730)</t>
  </si>
  <si>
    <t>Pato tanque azul</t>
  </si>
  <si>
    <t>PATO TANQUE AZUL (Doña Mary Remision 38730)</t>
  </si>
  <si>
    <t>PORTACOMIDA DARNEL J2 X 200 (Doña Mary Remision 38730)</t>
  </si>
  <si>
    <t>Sabras</t>
  </si>
  <si>
    <t>SABRAS COLORES X36UDS X9PQT (Doña Mary Remision 38730)</t>
  </si>
  <si>
    <t>SALSA NEGRA DIFFER GALON X 3000 X 6 (Doña Mary Remision 38730)</t>
  </si>
  <si>
    <t>SALSA TOMATE DIFFER X 4000 X3 (Doña Mary Remision 38730)</t>
  </si>
  <si>
    <t>TAPA VASO 3,5 Y 7 ONZ WAU X 50 X 90 (Doña Mary Remision 38730)</t>
  </si>
  <si>
    <t>TARRINA 14 ONZ X 25UND X 20PQ PRODUCT (Doña Mary Remision 38730)</t>
  </si>
  <si>
    <t>TOALLA MANO Z NATURAL GARDEN X150UDS (Doña Mary Remision 38730)</t>
  </si>
  <si>
    <t>VASO VACAN 9 OZ CJX40 PQT X50UDS (Doña Mary Remision 38730)</t>
  </si>
  <si>
    <t>VASOTE 3,5 TANSL X 50 X 60 PQ (Doña Mary Remision 38730)</t>
  </si>
  <si>
    <t>Cruza con Cuaderno Don Arturo (Pág. 160 L7 - Valencia 920/925 $260.850)</t>
  </si>
  <si>
    <t>Cruza con Cuaderno Don Arturo (Pág. 160 L5 - Fabián Lomo $265.200)</t>
  </si>
  <si>
    <t>Leche de coco</t>
  </si>
  <si>
    <t>7 lts Leche Coco (Recibo Caja Menor 08-09-26)</t>
  </si>
  <si>
    <t>RCM-08-09-26</t>
  </si>
  <si>
    <t>Cintas</t>
  </si>
  <si>
    <t>Cinta Antiadherente (Recibo Caja Menor 08-09-26)</t>
  </si>
  <si>
    <t>Andres Principal (Johanna)</t>
  </si>
  <si>
    <t>Diego / Luigui Principal (Johanna)</t>
  </si>
  <si>
    <t>Wilson (Lunes y Martes) Principal (Johanna)</t>
  </si>
  <si>
    <t>Alimento para la gata Principal (Johanna)</t>
  </si>
  <si>
    <t>Credito Jose david Domicilios (Neymar)</t>
  </si>
  <si>
    <t>10 Portacazuelas Principal (Johanna)</t>
  </si>
  <si>
    <t>Yuca Principal (Johanna)</t>
  </si>
  <si>
    <t>Lechuga Domicilios (Neymar)</t>
  </si>
  <si>
    <t>Habichuela, blanquillo, víscera Domicilios (Neymar)</t>
  </si>
  <si>
    <t>Radios M6 Principal (Johanna)</t>
  </si>
  <si>
    <t>Sistema de Higiene Principal (Johanna)</t>
  </si>
  <si>
    <t>Taxi compresor Domicilios (Neymar)</t>
  </si>
  <si>
    <t>Platano verde Principal (Johanna)</t>
  </si>
  <si>
    <t>Platano Principal (Johanna)</t>
  </si>
  <si>
    <t>15 PANAL AA X 14.500 + PENDIENTE 10.000 (Cuenta de cobro Sept 8)</t>
  </si>
  <si>
    <t>CC-08-Sep-2026</t>
  </si>
  <si>
    <t>Mantenimiento</t>
  </si>
  <si>
    <t>Pintura</t>
  </si>
  <si>
    <t>MADETEC PISOS BRILLANTE COMP A 1550 CTO / 5891274</t>
  </si>
  <si>
    <t>FESR-3837</t>
  </si>
  <si>
    <t>Catalizador</t>
  </si>
  <si>
    <t>CATALIZADOR MADETEC COMP.B 1551 CUARTO / 5890473</t>
  </si>
  <si>
    <t>Thinner</t>
  </si>
  <si>
    <t>TETRASOL - THINER CORRIENTE CANECA / 51004</t>
  </si>
  <si>
    <t>Barniz</t>
  </si>
  <si>
    <t>BARNEX CAOBA 6605 CUARTO / 5890530</t>
  </si>
  <si>
    <t>PAPA A LA FRANCESA PAQ 2.5 KL (Carnes Los Monos - YP24314)</t>
  </si>
  <si>
    <t>BOLSA MANIGUETA T25 ECON (Doña Mary Remision 38763)</t>
  </si>
  <si>
    <t>BOLSA MANIGUETA T30 BLNCA ECONM (Doña Mary Remision 38763)</t>
  </si>
  <si>
    <t>Cinta impronta 24x80mm</t>
  </si>
  <si>
    <t>CINTA IMPRONTA (Doña Mary Remision 38763)</t>
  </si>
  <si>
    <t>CONTENEDOR 16 ONZ DARNEL X 20X20 PAQ (Doña Mary Remision 38763)</t>
  </si>
  <si>
    <t>CONTENEDOR DARNEL 8 ONZ T X 20X25 (Doña Mary Remision 38763)</t>
  </si>
  <si>
    <t>CUBIERTO GRANDE X 3 CJAX 28PQ X 50UN (Doña Mary Remision 38763)</t>
  </si>
  <si>
    <t>PORTACOMIDA DARNEL J2 X 200 (Doña Mary Remision 38763)</t>
  </si>
  <si>
    <t>TAPA VASO 3,5 Y 7 ONZ WAU X 50 X 90 (Doña Mary Remision 38763)</t>
  </si>
  <si>
    <t>VASOTE 3,5 TANSL X 50 X 60 PQ (Doña Mary Remision 38763)</t>
  </si>
  <si>
    <t>Disco Flap</t>
  </si>
  <si>
    <t>1 Disco Flaper (Remision 09-Sep-2026)</t>
  </si>
  <si>
    <t>Mazamorra (Franco Bravo - Recibo Caja Menor 09-Sep-2026)</t>
  </si>
  <si>
    <t>RCM-09-Sep-2026</t>
  </si>
  <si>
    <t>Acopi (German - Recibo Caja Menor 09-Sep-2026)</t>
  </si>
  <si>
    <t>Postobón S.A.</t>
  </si>
  <si>
    <t>LENTEJA EL ES 25 UN (D1 Factura G6G0471810)</t>
  </si>
  <si>
    <t>G6G0471810</t>
  </si>
  <si>
    <t>Galleta</t>
  </si>
  <si>
    <t>GALLETA MUUU 14 UN (D1 Factura G1G0285471)</t>
  </si>
  <si>
    <t>G1G0285471</t>
  </si>
  <si>
    <t>Sebastian Principal (Johanna)</t>
  </si>
  <si>
    <t>Inmunocal Principal (Johanna)</t>
  </si>
  <si>
    <t>Champiñones Principal (Johanna)</t>
  </si>
  <si>
    <t>Pulpa de coco Domicilios (María)</t>
  </si>
  <si>
    <t>PULPA DE MARACUYA (Fruitty Frezze FAC-A 0001-00021624)</t>
  </si>
  <si>
    <t>0001-00021624</t>
  </si>
  <si>
    <t>PULPA DE MANGO (Fruitty Frezze FAC-A 0001-00021624)</t>
  </si>
  <si>
    <t>PULPA DE LULO (Fruitty Frezze FAC-A 0001-00021624)</t>
  </si>
  <si>
    <t>Pulpa mora</t>
  </si>
  <si>
    <t>PULPA DE MORA (Fruitty Frezze FAC-A 0001-00021624)</t>
  </si>
  <si>
    <t>PULPA DE GUANABANA (Fruitty Frezze FAC-A 0001-00021624)</t>
  </si>
  <si>
    <t>LIMONADA CEREZADA (Fruitty Frezze FAC-A 0001-00021624)</t>
  </si>
  <si>
    <t>Abarrotes</t>
  </si>
  <si>
    <t>Aceite</t>
  </si>
  <si>
    <t>ACEITE DE SOY</t>
  </si>
  <si>
    <t>L1S113066</t>
  </si>
  <si>
    <t>Cruza con Cuaderno Don Arturo (Pág. 160 L14 - 5 Galones Aceite $114.950)</t>
  </si>
  <si>
    <t>Aseo</t>
  </si>
  <si>
    <t>Limpion Flecos</t>
  </si>
  <si>
    <t>1) 8907-LIMPION FLECOS COLVEN</t>
  </si>
  <si>
    <t>Hielo bloque</t>
  </si>
  <si>
    <t>BLOQUE MEDIA X 2 (Distribuciones Hielo El Nevado Remision SF45104)</t>
  </si>
  <si>
    <t>SF45104</t>
  </si>
  <si>
    <t>Hielo tubular</t>
  </si>
  <si>
    <t>BOLSA 5KL TUBULAR X 3 (Distribuciones Hielo El Nevado Remision SF45104)</t>
  </si>
  <si>
    <t>Chocolate</t>
  </si>
  <si>
    <t>1/2 LB CHOCOLATE (Licores Zafiro Remision Sept 10/2026)</t>
  </si>
  <si>
    <t>REM-10-Sep-2026-ZAF</t>
  </si>
  <si>
    <t>Cruza con Cuaderno Don Arturo (Pág. 160 L9 - Valencia 927 $654.750)</t>
  </si>
  <si>
    <t>MARLENY - TRANSPORTE MANANA (Recibo Caja Menor 10/09/26)</t>
  </si>
  <si>
    <t>AGUACATES 20 UND (Recibo Caja Menor 10/09/26)</t>
  </si>
  <si>
    <t>Papa</t>
  </si>
  <si>
    <t>PAPA 11 UND (Recibo Caja Menor 10/09/26)</t>
  </si>
  <si>
    <t>Hojas platano</t>
  </si>
  <si>
    <t>HOJAS PLATANO 40 UND (Recibo Caja Menor 10/09/26)</t>
  </si>
  <si>
    <t>Masa</t>
  </si>
  <si>
    <t>MASA 9 UND (Recibo Caja Menor 10/09/26)</t>
  </si>
  <si>
    <t>Color</t>
  </si>
  <si>
    <t>COLOR 5 UND (Recibo Caja Menor 10/09/26)</t>
  </si>
  <si>
    <t>Turno marlene</t>
  </si>
  <si>
    <t>Taxi</t>
  </si>
  <si>
    <t>ANTONIO L. DIAZ - TAXI (Recibo Caja Menor 10/09/2026)</t>
  </si>
  <si>
    <t>ACOPI GERMAN (Recibo Caja Menor Marfil 10/09/26)</t>
  </si>
  <si>
    <t>RCM-10-Sep-2026-3</t>
  </si>
  <si>
    <t>MAZAMORRA FRANCO BRAVO (Recibo Caja Menor Marfil 10/09/26)</t>
  </si>
  <si>
    <t>RCM-10-Sep-2026-2</t>
  </si>
  <si>
    <t>Harina trigo</t>
  </si>
  <si>
    <t>HARINA TRIGO 10 UN (D1 SAS G9F9316392)</t>
  </si>
  <si>
    <t>G9F9316392</t>
  </si>
  <si>
    <t>ACEITE SOYA 4 UN (D1 SAS G9F9316392)</t>
  </si>
  <si>
    <t>Pastas la Muñeca Principal (Johanna)</t>
  </si>
  <si>
    <t>Galleta wafer capri</t>
  </si>
  <si>
    <t>GALLETA WAFER CAPRI X 24 (Distribuciones Dona Mary Remision 38798)</t>
  </si>
  <si>
    <t>38798</t>
  </si>
  <si>
    <t>Harina apanar</t>
  </si>
  <si>
    <t>HARINA APANAR RICA X 10 UND (Distribuciones Dona Mary Remision 38798)</t>
  </si>
  <si>
    <t>Mayonesa</t>
  </si>
  <si>
    <t>MAYONESA X 4000 (Distribuciones Dona Mary Remision 38798)</t>
  </si>
  <si>
    <t>Mostaza</t>
  </si>
  <si>
    <t>MOSTAZA X 4000 (Distribuciones Dona Mary Remision 38798)</t>
  </si>
  <si>
    <t>10 HARINA FARALLONES*500G TRIGO (Supertiendas Canaveral 10FH63324)</t>
  </si>
  <si>
    <t>10FH63324</t>
  </si>
  <si>
    <t>Pasta tornillo</t>
  </si>
  <si>
    <t>PASTA TORNILLO 16 UN (Supertiendas Canaveral 06FZ47115)</t>
  </si>
  <si>
    <t>Mezcla liquida limon</t>
  </si>
  <si>
    <t>MEZCLA LIQUIDA LIMON 2000ML X 6 (AM Letrascore Remision 0305)</t>
  </si>
  <si>
    <t>0305</t>
  </si>
  <si>
    <t>Arriendo local</t>
  </si>
  <si>
    <t>AYDE GUEVARA - ARRENDAMIENTO LOCAL (Recibo Caja Menor Taydem 11/09/2026)</t>
  </si>
  <si>
    <t>RCM-11-Sep-2026</t>
  </si>
  <si>
    <t>Ayde Guevara (Arrendamiento)</t>
  </si>
  <si>
    <t>Software nube</t>
  </si>
  <si>
    <t>COMPUTACION EN LA NUBE PLAN EMPRESARIAL (Dataico SAS E-412886)</t>
  </si>
  <si>
    <t>E-412886</t>
  </si>
  <si>
    <t>Dataico S.A.S.</t>
  </si>
  <si>
    <t>Pago Eliana</t>
  </si>
  <si>
    <t>Pago de Servicios Eliana</t>
  </si>
  <si>
    <t>Contadora</t>
  </si>
  <si>
    <t>Cuchillos y cucharas</t>
  </si>
  <si>
    <t>ET Los Monos</t>
  </si>
  <si>
    <t>Git Organizacional</t>
  </si>
  <si>
    <t>SERVICIOS TEMPORALES + AIU (Factura Electrónica FELE11955 - GIT Organizacional)</t>
  </si>
  <si>
    <t>GIT Organizacional S.A.S.</t>
  </si>
  <si>
    <t>Pintura para mesas</t>
  </si>
  <si>
    <t>Transporte Danilo</t>
  </si>
  <si>
    <t>Verduras chucho</t>
  </si>
  <si>
    <t>VERDURAS VARIAS (Facturas Electrónicas FEFM 5710, 5716, 5727 - Chucho)</t>
  </si>
  <si>
    <t>FEFM 5710 / 5716 / 5727</t>
  </si>
  <si>
    <t>Jesús Tobón (Fruver)</t>
  </si>
  <si>
    <t>Aguacates (Segundo registro Cuaderno Pág. 159 Renglón 9)</t>
  </si>
  <si>
    <t>Andres Principal (Johanna/Wilson)</t>
  </si>
  <si>
    <t>Sebastian Principal (Johanna/Wilson)</t>
  </si>
  <si>
    <t>Wilson Principal (Johanna/Wilson)</t>
  </si>
  <si>
    <t>Acopi Principal (Johanna/Wilson)</t>
  </si>
  <si>
    <t>Antonio (Tachado) Principal (Johanna/Wilson)</t>
  </si>
  <si>
    <t>Pedido Tornillos Principal (Johanna/Wilson)</t>
  </si>
  <si>
    <t>Hielo Principal (Johanna/Wilson)</t>
  </si>
  <si>
    <t>Crema de leche Principal (Johanna/Wilson)</t>
  </si>
  <si>
    <t>Pastas la Muñeca Principal (Johanna/Wilson)</t>
  </si>
  <si>
    <t>Gastos Administrativos</t>
  </si>
  <si>
    <t>Honorarios como contadora publica del 01 al 31 de agosto</t>
  </si>
  <si>
    <t>039427</t>
  </si>
  <si>
    <t>Bloque Media</t>
  </si>
  <si>
    <t>25 - BLOQUE MEDIA</t>
  </si>
  <si>
    <t>SF45132</t>
  </si>
  <si>
    <t>Bolsa x 5 KL</t>
  </si>
  <si>
    <t>7709046020616 - BOLSA X 5 KL TUBULAR</t>
  </si>
  <si>
    <t>ACOPI</t>
  </si>
  <si>
    <t>Tornillos</t>
  </si>
  <si>
    <t>pedido Tornillos.</t>
  </si>
  <si>
    <t>Crema de leche Alpina</t>
  </si>
  <si>
    <t>1 CREMA DE LECH ALPINA*1100ml SEMI ENTER</t>
  </si>
  <si>
    <t>2 CREMA DE LECH ALPINA*1100ml SEMI ENTER</t>
  </si>
  <si>
    <t>Bolsa Canaveral</t>
  </si>
  <si>
    <t>3 BOLSA CANAVERAL 100% MATERIAL RECICL P</t>
  </si>
  <si>
    <t>05FH121348</t>
  </si>
  <si>
    <t>Pasta La Muñeca</t>
  </si>
  <si>
    <t>2 PASTA LA MUNECA*500g TORNILLO</t>
  </si>
  <si>
    <t>3 PASTA LA MUNECA*500g TORNILLO</t>
  </si>
  <si>
    <t>4 PASTA LA MUNECA*500g TORNILLO</t>
  </si>
  <si>
    <t>5 PASTA LA MUNECA*500g TORNILLO</t>
  </si>
  <si>
    <t>6 PASTA LA MUNECA*500g TORNILLO</t>
  </si>
  <si>
    <t>Nómina</t>
  </si>
  <si>
    <t>Turno</t>
  </si>
  <si>
    <t>Horas</t>
  </si>
  <si>
    <t>Dulce Doña Guayaba</t>
  </si>
  <si>
    <t>1 Dulce Doña Guayaba 25u 1000g</t>
  </si>
  <si>
    <t>X3414005108</t>
  </si>
  <si>
    <t>Bocadillo Veleño</t>
  </si>
  <si>
    <t>2 Bocadil Vel caj Alk x36u 1500g</t>
  </si>
  <si>
    <t>Bolsa Plastica</t>
  </si>
  <si>
    <t>3 Impuesto Bolsa Plastica</t>
  </si>
  <si>
    <t>1/2 Mayonesa</t>
  </si>
  <si>
    <t>Fécula</t>
  </si>
  <si>
    <t>2 fecula</t>
  </si>
  <si>
    <t>Papa a la francesa</t>
  </si>
  <si>
    <t>PAPA A LA FRANCESA PAQ 2.5 KL</t>
  </si>
  <si>
    <t>Mix de verduras</t>
  </si>
  <si>
    <t>MIX DE VERDURAS PAQ X 500G</t>
  </si>
  <si>
    <t>Plátano verde</t>
  </si>
  <si>
    <t>Verde</t>
  </si>
  <si>
    <t>0714</t>
  </si>
  <si>
    <t>Batavia</t>
  </si>
  <si>
    <t>Cimarrón</t>
  </si>
  <si>
    <t>Cimarron</t>
  </si>
  <si>
    <t>Tomillo</t>
  </si>
  <si>
    <t>Pepino</t>
  </si>
  <si>
    <t>Zana</t>
  </si>
  <si>
    <t>Repollo morado</t>
  </si>
  <si>
    <t>Repollo Morado</t>
  </si>
  <si>
    <t>Cabezona</t>
  </si>
  <si>
    <t>Chonto</t>
  </si>
  <si>
    <t>Cebolla larga</t>
  </si>
  <si>
    <t>Larga</t>
  </si>
  <si>
    <t>Milano</t>
  </si>
  <si>
    <t>Limón tahití</t>
  </si>
  <si>
    <t>L. Tahiti</t>
  </si>
  <si>
    <t>Plátano maduro</t>
  </si>
  <si>
    <t>Maduro</t>
  </si>
  <si>
    <t>Gastos</t>
  </si>
  <si>
    <t>Taxis</t>
  </si>
  <si>
    <t>Taxis Viernes y Sabado - Evento Almuerzos</t>
  </si>
  <si>
    <t>Pn sl</t>
  </si>
  <si>
    <t>Aceite de Soya</t>
  </si>
  <si>
    <t>L1R9193858</t>
  </si>
  <si>
    <t>Yuca</t>
  </si>
  <si>
    <t>YUCA PELADA</t>
  </si>
  <si>
    <t>0808</t>
  </si>
  <si>
    <t>SF45157</t>
  </si>
  <si>
    <t>ARROZ PROARROZ X 50 KL (Granero Piamonte - DP-4855)</t>
  </si>
  <si>
    <t>DP-4855</t>
  </si>
  <si>
    <t>Cruza con Cuaderno Don Arturo (Pág. 160 L3 - Piamonte DP-4855 $1.130.000)</t>
  </si>
  <si>
    <t>Azúcar</t>
  </si>
  <si>
    <t>AZUCAR INCAUCA X 50 KL (Granero Piamonte - DP-4855)</t>
  </si>
  <si>
    <t>Panela</t>
  </si>
  <si>
    <t>PANELA REDONDA UNIDAD (Granero Piamonte - DP-4855)</t>
  </si>
  <si>
    <t>Mercancías Varias</t>
  </si>
  <si>
    <t>MERCANCIAS VARIAS EXCENTAS (Granero Piamonte - DP-4855)</t>
  </si>
  <si>
    <t>Industria Nacional de Gaseosas S.A.S.</t>
  </si>
  <si>
    <t>SF45191</t>
  </si>
  <si>
    <t>Aguacates</t>
  </si>
  <si>
    <t>15 - Aguacates</t>
  </si>
  <si>
    <t>Romero</t>
  </si>
  <si>
    <t>Mixture</t>
  </si>
  <si>
    <t>saldo Mixture</t>
  </si>
  <si>
    <t>SF45222</t>
  </si>
  <si>
    <t>Bolsa x 5 kl</t>
  </si>
  <si>
    <t>Pocillos</t>
  </si>
  <si>
    <t>POCILLO TE 25 OCC AMERICAN A BLANCO CORONA</t>
  </si>
  <si>
    <t>RAM14329</t>
  </si>
  <si>
    <t>Declaración de renta</t>
  </si>
  <si>
    <t>Por concepto de declaración de renta,</t>
  </si>
  <si>
    <t>Cuenta de cobro</t>
  </si>
  <si>
    <t>Cruza con Cuaderno Don Arturo (Pág. 160 L4 - Fabián Lomo $355.900)</t>
  </si>
  <si>
    <t>Mantenimiento Cuarto Frío</t>
  </si>
  <si>
    <t>Desinstalación e instalación de condensador cuarto frío (Eliana Murillo Hincapie)</t>
  </si>
  <si>
    <t>Cuaderno Don Arturo (Pág. 160 L16 registra abono Nequi de $1.000.000 a cuenta cobro)</t>
  </si>
  <si>
    <t>Eliana Murillo Hincapie (Mantenimiento)</t>
  </si>
  <si>
    <t>Cruza con Cuaderno Don Arturo (Pág. 160 L6 - Valencia 933 $316.350)</t>
  </si>
  <si>
    <t>Cruza con Cuaderno Don Arturo (Pág. 160 L10 - Valencia 932 $523.550)</t>
  </si>
  <si>
    <t>PLATANO VERDE 22.00 KG (Cuenta de Cobro Mónica Molina)</t>
  </si>
  <si>
    <t>Mónica Molina Tarazona</t>
  </si>
  <si>
    <t>Internet y TV</t>
  </si>
  <si>
    <t>10884600</t>
  </si>
  <si>
    <t>Incentivo</t>
  </si>
  <si>
    <t>Pago Incentivo Mes de Agost / 26</t>
  </si>
  <si>
    <t>Abono cuenta de cobro</t>
  </si>
  <si>
    <t>Cruza con Cuaderno Don Arturo (Pág. 160 L2 - $800.000)</t>
  </si>
  <si>
    <t>taxi Acopi</t>
  </si>
  <si>
    <t>2 dias de trasporte</t>
  </si>
  <si>
    <t>trasporte</t>
  </si>
  <si>
    <t>Armando Carnes</t>
  </si>
  <si>
    <t>Panela redonda unidad</t>
  </si>
  <si>
    <t>PANELA LA REDONDA UNIDAD (GRANERO PIAMONTE)</t>
  </si>
  <si>
    <t>DP-4847</t>
  </si>
  <si>
    <t>Panela redonda El Rey x 48 und</t>
  </si>
  <si>
    <t>PANELA LA REDONDA EL REY X 48UN (GRANERO PIAMONTE)</t>
  </si>
  <si>
    <t>Arroz Proarroz x 50 kg</t>
  </si>
  <si>
    <t>ARROZ PROARROZ X 50 KL (GRANERO PIAMONTE)</t>
  </si>
  <si>
    <t>Mercancías varias exentas</t>
  </si>
  <si>
    <t>MERCANCIAS VARIAS EXCENTAS (GRANERO PIAMONTE)</t>
  </si>
  <si>
    <t>Aromatizador Brisa en Spray 250 cc</t>
  </si>
  <si>
    <t>AROMATIZADOR BRISA EN SPRAY 250 CC (ON 24 S.A.S.)</t>
  </si>
  <si>
    <t>ONFV-22064</t>
  </si>
  <si>
    <t>Tablet Lenovo Tab 12 Plus 8/256GB</t>
  </si>
  <si>
    <t>Tab 12" Lenovo Plus 8/256GB Gr (ALKOSTO)</t>
  </si>
  <si>
    <t>Desodorante Sienna Natural 70 ml x 2</t>
  </si>
  <si>
    <t>Desodoran Sienna Nat 70ml x2u (ALKOSTO)</t>
  </si>
  <si>
    <t>Cera Capilar Magno 200 g</t>
  </si>
  <si>
    <t>Cera Capilar Magno 200gr (ALKOSTO)</t>
  </si>
  <si>
    <t>Rosquillas Caleñas 15 g x 12</t>
  </si>
  <si>
    <t>Rosquillas Caleñas 15g x12 (ALKOSTO)</t>
  </si>
  <si>
    <t>Impuesto Bolsa Plástica</t>
  </si>
  <si>
    <t>Impuesto Bolsa Plastica (ALKOSTO)</t>
  </si>
  <si>
    <t>Habichuela</t>
  </si>
  <si>
    <t>HABICHUELA A GRANEL (SUPERTIENDAS CAÑAVERAL S.A.S.)</t>
  </si>
  <si>
    <t>Blanquillo</t>
  </si>
  <si>
    <t>BLANQUILLO DONA LUPE*500g (SUPERTIENDAS CAÑAVERAL S.A.S.)</t>
  </si>
  <si>
    <t>Bolsa tipo costal</t>
  </si>
  <si>
    <t>BOLSA CAÑAVERAL TIPO COSTAL (SUPERTIENDAS CAÑAVERAL S.A.S.)</t>
  </si>
  <si>
    <t>Cuota Crédito Finanseguros</t>
  </si>
  <si>
    <t>PAGO CREDITO FINANSEGUROS CUOTA (Davivienda Ref 1483234)</t>
  </si>
  <si>
    <t>1483234</t>
  </si>
  <si>
    <t>Cruza con Cuaderno Don Arturo (Pág. 159 L40 - Póliza $373.900)</t>
  </si>
  <si>
    <t>Finanseguros / Banco Davivienda</t>
  </si>
  <si>
    <t>Gas Natural</t>
  </si>
  <si>
    <t>FACTURACION SERVICIO GAS NATURAL (Consumo $4.514.689 + Cargo Fijo $3.378 + Contribución $402.108)</t>
  </si>
  <si>
    <t>553610</t>
  </si>
  <si>
    <t>Cruza con Cuaderno Don Arturo (Pág. 159 L37 - $4.910.200)</t>
  </si>
  <si>
    <t>Gases de Occidente S.A. E.S.P.</t>
  </si>
  <si>
    <t>Servicio de Telefonía e Internet</t>
  </si>
  <si>
    <t>SERVICIOS TELECOMUNICACIONES EMCALI (Telefonía $14.539 + Internet $91.641)</t>
  </si>
  <si>
    <t>10892179</t>
  </si>
  <si>
    <t>Cruza con Cuaderno Don Arturo (Pág. 160 L12 - Teléfono negocio $106.200)</t>
  </si>
  <si>
    <t>Crema de Leche</t>
  </si>
  <si>
    <t>CREMA DE LECHE 1000G (Alquería)</t>
  </si>
  <si>
    <t>Productos Naturales de la Sabana S.A.S. BIC</t>
  </si>
  <si>
    <t>Leche Institucional Entera</t>
  </si>
  <si>
    <t>SABOR ORIGINAL INSTITUCIONAL 1100ML (Alquería)</t>
  </si>
  <si>
    <t>Nómina Jacqueline Jimenez</t>
  </si>
  <si>
    <t>Cruza con Cuaderno Don Arturo (Pág. 160 L18 - Nómina Choclo $4.302.850)</t>
  </si>
  <si>
    <t>Nómina Directa (BBVA)</t>
  </si>
  <si>
    <t>Nómina Juan David Aguirre</t>
  </si>
  <si>
    <t>Nómina Enith Mosquera</t>
  </si>
  <si>
    <t>Nómina Mary Luz Henao</t>
  </si>
  <si>
    <t>Alejandro Ramirez Cubillos</t>
  </si>
  <si>
    <t>INDUSTRIA NACIONAL DE GASEOSAS S.A.S.</t>
  </si>
  <si>
    <t>COMERCIALIZADORA GLOBAL LIQUORS SAS</t>
  </si>
  <si>
    <t>Gabriel Andres Ramirez Cubillos</t>
  </si>
  <si>
    <t>Turno Andrés</t>
  </si>
  <si>
    <t>Turno Wilson</t>
  </si>
  <si>
    <t>Turno Sebastián</t>
  </si>
  <si>
    <t>Transporte Acopi</t>
  </si>
  <si>
    <t>Transporte diligencias Acopi caja menor</t>
  </si>
  <si>
    <t>Crédito Joan David</t>
  </si>
  <si>
    <t>Industria Hielo El Nevado</t>
  </si>
  <si>
    <t>Arreglo Cuarto Frío</t>
  </si>
  <si>
    <t>SPAGHETTI Y MAIZ TIERNO (Éxito Factura L1R9195253)</t>
  </si>
  <si>
    <t>L1R9195253</t>
  </si>
  <si>
    <t>Almacenes Éxito S.A.</t>
  </si>
  <si>
    <t>Talonario Recibo de Caja</t>
  </si>
  <si>
    <t>PAPELERIA / TALONARIO RECIBO DE CAJA (Rapi Caldas)</t>
  </si>
  <si>
    <t>TC_5160_1_116567</t>
  </si>
  <si>
    <t>Rapi Caldas</t>
  </si>
  <si>
    <t>Dollarcity</t>
  </si>
  <si>
    <t>DETERGENTE DERSA 1000G VINAGRE+LIMON (Cañaveral 06FI376820)</t>
  </si>
  <si>
    <t>06FI376820</t>
  </si>
  <si>
    <t>Colador</t>
  </si>
  <si>
    <t>LIBRA DE MORCILLA X 10 (La Morcilla Jamundeña Factura 8119)</t>
  </si>
  <si>
    <t>8119</t>
  </si>
  <si>
    <t>Detergente</t>
  </si>
  <si>
    <t>VINO TINTO BUENA COCINA (D1 Factura FEMP245107)</t>
  </si>
  <si>
    <t>FEMP245107</t>
  </si>
  <si>
    <t>D1 SAS</t>
  </si>
  <si>
    <t>Varios</t>
  </si>
  <si>
    <t>Turno Marleny</t>
  </si>
  <si>
    <t>Mazamorra cocina</t>
  </si>
  <si>
    <t>Plátano verde plaza/galería</t>
  </si>
  <si>
    <t>Tóner Impresora</t>
  </si>
  <si>
    <t>TONER IMPRESORA (Recibo William Lemus)</t>
  </si>
  <si>
    <t>Recibo William Lemus</t>
  </si>
  <si>
    <t>William Lemus G.</t>
  </si>
  <si>
    <t>Ángulos</t>
  </si>
  <si>
    <t>ANGULOS 2 1/2" Y 3" (Holmes Rodríguez - Factura FC 4981)</t>
  </si>
  <si>
    <t>FC 4981</t>
  </si>
  <si>
    <t>Ferretornillos Santander</t>
  </si>
  <si>
    <t>Holmes Rodríguez (Ferretería)</t>
  </si>
  <si>
    <t>Crédito Neymar</t>
  </si>
  <si>
    <t>Pliego de Lija</t>
  </si>
  <si>
    <t>PLIEGO LIJA #80 X 3 (Ferrehacienda Factura 1567)</t>
  </si>
  <si>
    <t>1567</t>
  </si>
  <si>
    <t>Ferrehacienda</t>
  </si>
  <si>
    <t>Ferrehacienda S.A.S.</t>
  </si>
  <si>
    <t>TRANSPORTE ACOPI (Recibo Caja Menor Germán)</t>
  </si>
  <si>
    <t>Recibo Germán</t>
  </si>
  <si>
    <t>Germán Morales</t>
  </si>
  <si>
    <t>Turno 4 Horas</t>
  </si>
  <si>
    <t>TURNO 4 HORAS (Recibo Caja Menor Lucero)</t>
  </si>
  <si>
    <t>Lucero</t>
  </si>
  <si>
    <t>Turno Toty (Fredy)</t>
  </si>
  <si>
    <t>Fredy (Toty)</t>
  </si>
  <si>
    <t>Atados de Hojas</t>
  </si>
  <si>
    <t>30 ATADOS HOJAS TAMAL (Recibo Caja Menor)</t>
  </si>
  <si>
    <t>Recibo Tamales</t>
  </si>
  <si>
    <t>Varios Proveedores</t>
  </si>
  <si>
    <t>Masa para Tamales</t>
  </si>
  <si>
    <t>9 KL MASA TAMAL (Recibo Caja Menor)</t>
  </si>
  <si>
    <t>Coco</t>
  </si>
  <si>
    <t>5 COCOS (Recibo Caja Menor)</t>
  </si>
  <si>
    <t>Fibra Amarilla</t>
  </si>
  <si>
    <t>2 CONOS FIBRA AMARRAR (Recibo Caja Menor)</t>
  </si>
  <si>
    <t>Guasca</t>
  </si>
  <si>
    <t>GUASCA Y LAUREL (Recibo Caja Menor)</t>
  </si>
  <si>
    <t>Laurel</t>
  </si>
  <si>
    <t>PASTA LA MUÑECA 250G CONCHA X 4 (Cañaveral 08FH341178)</t>
  </si>
  <si>
    <t>08FH341178</t>
  </si>
  <si>
    <t>Pasta</t>
  </si>
  <si>
    <t>Pasta corta/larga cocina</t>
  </si>
  <si>
    <t>MAZAMORRA (Recibo Caja Menor Franco Borja)</t>
  </si>
  <si>
    <t>Recibo Franco Borja</t>
  </si>
  <si>
    <t>Franco Borja</t>
  </si>
  <si>
    <t>Pago Teléfono</t>
  </si>
  <si>
    <t>SERVICIO TELEFONIA E INTERNET SEDE (Tigo Factura 49361451)</t>
  </si>
  <si>
    <t>49361451</t>
  </si>
  <si>
    <t>Tigo</t>
  </si>
  <si>
    <t>Tigo Colombia</t>
  </si>
  <si>
    <t>Pastas para Sopa</t>
  </si>
  <si>
    <t>4 PTS PASTAS (Recibo Walter J.G.)</t>
  </si>
  <si>
    <t>Recibo Walter</t>
  </si>
  <si>
    <t>Walter J. G.</t>
  </si>
  <si>
    <t>Aguacates frescos pedido Alejo (2 días)</t>
  </si>
  <si>
    <t>Alejo</t>
  </si>
  <si>
    <t>Examen Coprológico</t>
  </si>
  <si>
    <t>EXAMEN COPROLOGICO (Factura FE2553 - Health Care IPS)</t>
  </si>
  <si>
    <t>Examen Frotis Faríngeo</t>
  </si>
  <si>
    <t>EXAMEN FROTIS FARINGEO (Factura FE2553 - Health Care IPS)</t>
  </si>
  <si>
    <t>Examen Hongos KOH</t>
  </si>
  <si>
    <t>EXAMEN DIRECTO PARA HONGOS KOH (Factura FE2553 - Health Care IPS)</t>
  </si>
  <si>
    <t>Evaluación Médica Pre-Ingreso</t>
  </si>
  <si>
    <t>EVALUACION MEDICA PRE-INGRESO (Factura FE2553 - Health Care IPS)</t>
  </si>
  <si>
    <t>Panel Drogas de Abuso</t>
  </si>
  <si>
    <t>PANEL DROGAS DE ABUSO (Factura FE2553 - Health Care IPS)</t>
  </si>
  <si>
    <t>Evaluación Médica Ocupacional</t>
  </si>
  <si>
    <t>EVALUACION MEDICA OCUPACIONAL PERIODICA (Factura FE2553 - Health Care IPS)</t>
  </si>
  <si>
    <t>Servicios Temporales GIT</t>
  </si>
  <si>
    <t>SERVICIOS TEMPORALES SEPTIEMBRE 01 AL 15 DE 2026 NQ-013539 (Factura FELE12018 - GIT)</t>
  </si>
  <si>
    <t>AIU Fiscal Servicios Temporales</t>
  </si>
  <si>
    <t>AIU FISCAL BASE ESPECIAL IVA + IVA REGIMEN ESPECIAL (Factura FELE12018 - GIT)</t>
  </si>
  <si>
    <t>Papa a la Francesa</t>
  </si>
  <si>
    <t>PAPA A LA FRANCESA (Distribuidora de Carnes ET Los Monos - Factura YP24490)</t>
  </si>
  <si>
    <t>El Gran Surtidor</t>
  </si>
  <si>
    <t>Arveja Verde</t>
  </si>
  <si>
    <t>ARVEJA VERDE (Jesús Tobón - Factura FEFM 5747)</t>
  </si>
  <si>
    <t>FEFM 5747</t>
  </si>
  <si>
    <t>Cilantro</t>
  </si>
  <si>
    <t>CILANTRO (Jesús Tobón - Factura FEFM 5747)</t>
  </si>
  <si>
    <t>TOMILLO (Jesús Tobón - Factura FEFM 5747)</t>
  </si>
  <si>
    <t>HABICHUELA (Jesús Tobón - Factura FEFM 5747)</t>
  </si>
  <si>
    <t>ZANAHORIA (Jesús Tobón - Factura FEFM 5747)</t>
  </si>
  <si>
    <t>Limón Tahití</t>
  </si>
  <si>
    <t>LIMON TAHITI (Jesús Tobón - Factura FEFM 5747)</t>
  </si>
  <si>
    <t>Cebolla Larga</t>
  </si>
  <si>
    <t>CEBOLLA LARGA (Jesús Tobón - Factura FEFM 5747)</t>
  </si>
  <si>
    <t>Plátano Maduro</t>
  </si>
  <si>
    <t>PLATANO MADURO (Jesús Tobón - Factura FEFM 5747)</t>
  </si>
  <si>
    <t>Papa Capira</t>
  </si>
  <si>
    <t>PAPA CAPIRA (Jesús Tobón - Factura FEFM 5747)</t>
  </si>
  <si>
    <t>Plátano Verde</t>
  </si>
  <si>
    <t>PLATANO VERDE (Jesús Tobón - Factura FEFM 5747)</t>
  </si>
  <si>
    <t>Lechuga Batavia</t>
  </si>
  <si>
    <t>LECHUGA BATAVIA (Jesús Tobón - Factura FEFM 5752)</t>
  </si>
  <si>
    <t>FEFM 5752</t>
  </si>
  <si>
    <t>Tomate Chonto</t>
  </si>
  <si>
    <t>TOMATE CHONTO (Jesús Tobón - Factura FEFM 5752)</t>
  </si>
  <si>
    <t>Pimentón</t>
  </si>
  <si>
    <t>PIMENTON (Jesús Tobón - Factura FEFM 5752)</t>
  </si>
  <si>
    <t>PLATANO MADURO (Jesús Tobón - Factura FEFM 5752)</t>
  </si>
  <si>
    <t>Cebolla Cabezona</t>
  </si>
  <si>
    <t>CEBOLLA CABEZONA (Jesús Tobón - Factura FEFM 5752)</t>
  </si>
  <si>
    <t>LIMON TAHITI (Jesús Tobón - Factura FEFM 5752)</t>
  </si>
  <si>
    <t>CILANTRO (Jesús Tobón - Factura FEFM 5752)</t>
  </si>
  <si>
    <t>PEREJIL (Jesús Tobón - Factura FEFM 5752)</t>
  </si>
  <si>
    <t>Papa Parda</t>
  </si>
  <si>
    <t>PAPA PARDA (Jesús Tobón - Factura FEFM 5752)</t>
  </si>
  <si>
    <t>Brócoli</t>
  </si>
  <si>
    <t>BROCOLI (Jesús Tobón - Factura FEFM 5752)</t>
  </si>
  <si>
    <t>Coliflor</t>
  </si>
  <si>
    <t>COLIFLOR (Jesús Tobón - Factura FEFM 5752)</t>
  </si>
  <si>
    <t>CEBOLLA LARGA (Jesús Tobón - Factura FEFM 5752)</t>
  </si>
  <si>
    <t>PLATANO VERDE (Jesús Tobón - Factura FEFM 5752)</t>
  </si>
  <si>
    <t>PAPA CAPIRA (Jesús Tobón - Factura FEFM 5752)</t>
  </si>
  <si>
    <t>ZANAHORIA (Jesús Tobón - Factura FEFM 5752)</t>
  </si>
  <si>
    <t>REPOLLO MORADO (Jesús Tobón - Factura FEFM 5752)</t>
  </si>
  <si>
    <t>Pepino Común</t>
  </si>
  <si>
    <t>PEPINO COMUN (Jesús Tobón - Factura FEFM 5752)</t>
  </si>
  <si>
    <t>Tomate Milano</t>
  </si>
  <si>
    <t>TOMATE MILANO (Jesús Tobón - Factura FEFM 5752)</t>
  </si>
  <si>
    <t>Papa Criolla</t>
  </si>
  <si>
    <t>PAPA CRIOLLA (Jesús Tobón - Factura FEFM 5752)</t>
  </si>
  <si>
    <t>PLATANO VERDE 20.60 KG (Cuenta de Cobro Mónica Molina)</t>
  </si>
  <si>
    <t>Turno Fin de Semana (Leyton Agudelo)</t>
  </si>
  <si>
    <t>TURNO SABADO Y DOMINGO (Recibo Caja Menor 19/09/2026 - Leyton Agudelo)</t>
  </si>
  <si>
    <t>50 AGUACATES (Recibo Caja Menor 19/09/2026 - Leyton Agudelo)</t>
  </si>
  <si>
    <t>Honorarios / Servicios Eliana Garcés</t>
  </si>
  <si>
    <t>Eliana Garces (ela cobra) - Pago en efectivo de caja menor</t>
  </si>
  <si>
    <t>Libro de Caja (S/N)</t>
  </si>
  <si>
    <t>Aguacates (Alejandro) - Compra de caja menor</t>
  </si>
  <si>
    <t>Turno Wilson Principal pagado en efectivo de caja menor</t>
  </si>
  <si>
    <t>Turno Andrés Principal pagado en efectivo de caja menor</t>
  </si>
  <si>
    <t>Turno Sebastián Principal pagado en efectivo de caja menor</t>
  </si>
  <si>
    <t>Don Arturo recogió</t>
  </si>
  <si>
    <t>Don Arturo (Recogió efectivo socio de caja menor)</t>
  </si>
  <si>
    <t>Crédito Don Arturo</t>
  </si>
  <si>
    <t>Turno Marleny Domicilios pagado en efectivo de caja menor</t>
  </si>
  <si>
    <t>Turno Sebastián Domicilios pagado en efectivo de caja menor</t>
  </si>
  <si>
    <t>Transporte Lina</t>
  </si>
  <si>
    <t>Transporte Deicy</t>
  </si>
  <si>
    <t>Transporte Enith</t>
  </si>
  <si>
    <t>Mazamorra (Freddy Bravo 5285727) - Compra caja menor</t>
  </si>
  <si>
    <t>Turno Martha Collazos</t>
  </si>
  <si>
    <t>Turno Martha Collazos Domicilios pagado en efectivo</t>
  </si>
  <si>
    <t>Crédito Carolina</t>
  </si>
  <si>
    <t>Crédito Daniela</t>
  </si>
  <si>
    <t>Crédito María Bertilda</t>
  </si>
  <si>
    <t>Turno Marleny Cocina Domicilios pagado en efectivo</t>
  </si>
  <si>
    <t>Transporte Taxi Acopi Principal</t>
  </si>
  <si>
    <t>Pinturas Homecenter</t>
  </si>
  <si>
    <t>PINTURAS HOMECENTER (Pintura mantenimiento mesas y sede)</t>
  </si>
  <si>
    <t>Cuaderno Don Arturo (Pág. 159 L38)</t>
  </si>
  <si>
    <t>Homecenter</t>
  </si>
  <si>
    <t>Homecenter Sodimac</t>
  </si>
  <si>
    <t>Internet Agosto</t>
  </si>
  <si>
    <t>INTERNET (AGOSTO) (Servicio de internet mes anterior)</t>
  </si>
  <si>
    <t>Cuaderno Don Arturo (Pág. 159 L39)</t>
  </si>
  <si>
    <t>Internet sede</t>
  </si>
  <si>
    <t>Taxi Antonio</t>
  </si>
  <si>
    <t>TAXIS ANTONIO (Transporte diligencias y gestión Antonio)</t>
  </si>
  <si>
    <t>Cuaderno Don Arturo (Pág. 160 L1)</t>
  </si>
  <si>
    <t>Gestión directiva Antonio</t>
  </si>
  <si>
    <t>Pernil de Pollo Campo</t>
  </si>
  <si>
    <t>PERNIL DE POLLO CAMPO (Factura 926 - Alexis Valencia)</t>
  </si>
  <si>
    <t>926</t>
  </si>
  <si>
    <t>Cuaderno Don Arturo (Pág. 160 L8)</t>
  </si>
  <si>
    <t>Alexis Valencia Castro</t>
  </si>
  <si>
    <t>Filete de Pollo x 350g</t>
  </si>
  <si>
    <t>FILETE DE POLLO X 350G (Factura 926 - Alexis Valencia)</t>
  </si>
  <si>
    <t>PERNIL DE POLLO CAMPO (Factura 925 - Alexis Valencia)</t>
  </si>
  <si>
    <t>925</t>
  </si>
  <si>
    <t>Cuaderno Don Arturo (Pág. 160 L11)</t>
  </si>
  <si>
    <t>Vale Arturo internet casa</t>
  </si>
  <si>
    <t>VALE ARTURO INTERNET CASA (Pago internet casa Don Arturo)</t>
  </si>
  <si>
    <t>Cuaderno Don Arturo (Pág. 160 L13)</t>
  </si>
  <si>
    <t>Vale socio Arturo Díaz</t>
  </si>
  <si>
    <t>Don Arturo Díaz (Socio)</t>
  </si>
  <si>
    <t>Factura de Gallinas</t>
  </si>
  <si>
    <t>FACTURA DE GALLINAS (Compra de gallinas para el negocio)</t>
  </si>
  <si>
    <t>Cuaderno Don Arturo (Pág. 160 L15)</t>
  </si>
  <si>
    <t>Gallinas</t>
  </si>
  <si>
    <t>Insumos Albeiro</t>
  </si>
  <si>
    <t>FACTURA ALBEIRO (Insumos varios factura Albeiro)</t>
  </si>
  <si>
    <t>Cuaderno Don Arturo (Pág. 160 L17)</t>
  </si>
  <si>
    <t>Factura Albeiro</t>
  </si>
  <si>
    <t>Albeiro (Insumos)</t>
  </si>
  <si>
    <t>CARNE LOS MONOS</t>
  </si>
  <si>
    <t>FACTURA</t>
  </si>
  <si>
    <t>FECHA</t>
  </si>
  <si>
    <t>TOTAL</t>
  </si>
  <si>
    <t>YP24089</t>
  </si>
  <si>
    <t>CANCELADA</t>
  </si>
  <si>
    <t>YP24534</t>
  </si>
  <si>
    <t>CANCELADO</t>
  </si>
  <si>
    <t>SIN CANCELAR</t>
  </si>
  <si>
    <t>AUDITORÍA Y CONCILIACIÓN INTEGRAL: CUADERNO DE CONTROL DON ARTURO (PÁG. 159 Y 160) VS EXCEL</t>
  </si>
  <si>
    <t>Conciliación 100% de 58 Registros Manuscritos ($73.668.000) + Inventario Inicial ($12.243.950) vs Costeo General Detalle Compras</t>
  </si>
  <si>
    <t>TOTAL CUADERNO PÁG. 159</t>
  </si>
  <si>
    <t>TOTAL CUADERNO PÁG. 160</t>
  </si>
  <si>
    <t>TOTAL CUADERNO GENERAL</t>
  </si>
  <si>
    <t>TOTAL COSTEO GENERAL EXCEL</t>
  </si>
  <si>
    <t>ESTADO AUDITORÍA</t>
  </si>
  <si>
    <t>100% CONCILIADO</t>
  </si>
  <si>
    <t>40 registros (Días 11 y 15)</t>
  </si>
  <si>
    <t>18 registros (Días 15 y 16)</t>
  </si>
  <si>
    <t>Encabezado Pág. 159 Don Arturo</t>
  </si>
  <si>
    <t>58 Registros + Inv. Inicial</t>
  </si>
  <si>
    <t>Todas las compras y gastos causados</t>
  </si>
  <si>
    <t>58 ítems cruzados / ajustados</t>
  </si>
  <si>
    <t>1. MATRIZ DE CONCILIACIÓN LÍNEA POR LÍNEA: LOS 58 REGISTROS DEL CUADERNO DE DON ARTURO EN EXCEL</t>
  </si>
  <si>
    <t>#</t>
  </si>
  <si>
    <t>Pág.</t>
  </si>
  <si>
    <t>Línea</t>
  </si>
  <si>
    <t>Concepto en Cuaderno Don Arturo</t>
  </si>
  <si>
    <t>Valor Cuaderno ($)</t>
  </si>
  <si>
    <t>Estado Conciliación</t>
  </si>
  <si>
    <t>Valor en Excel ($)</t>
  </si>
  <si>
    <t>Diferencia ($)</t>
  </si>
  <si>
    <t>Fila(s) Excel</t>
  </si>
  <si>
    <t>Nº Comprobante / Soporte</t>
  </si>
  <si>
    <t>Observaciones y Dictamen de Auditoría</t>
  </si>
  <si>
    <t>159</t>
  </si>
  <si>
    <t>Pago Arrendamiento</t>
  </si>
  <si>
    <t>COINCIDE EXACTO</t>
  </si>
  <si>
    <t>Fila 319</t>
  </si>
  <si>
    <t>Recibo Caja Menor Taydem - Arrendamiento Ayde Guevara. Coincidencia plena.</t>
  </si>
  <si>
    <t>dos cajas costilla</t>
  </si>
  <si>
    <t>INGRESADO MANUAL (CUADERNO)</t>
  </si>
  <si>
    <t>Fila 333</t>
  </si>
  <si>
    <t>2 cajas costilla de cerdo compradas día 11 según cuaderno Don Arturo.</t>
  </si>
  <si>
    <t>Fila 321</t>
  </si>
  <si>
    <t>Factura de carnes ET Los Monos acumulada registrada según control cuaderno.</t>
  </si>
  <si>
    <t>COINCIDE FACTURA OFICIAL</t>
  </si>
  <si>
    <t>Fila 322</t>
  </si>
  <si>
    <t>Pago quincena servicios temporales personal GIT Organizacional (Factura FELE11955).</t>
  </si>
  <si>
    <t>Fila 323</t>
  </si>
  <si>
    <t>Verduras Jesús Tobón (Chucho) acumuladas registradas según cuaderno Don Arturo.</t>
  </si>
  <si>
    <t>Pulpas frutas</t>
  </si>
  <si>
    <t>Filas 142-146</t>
  </si>
  <si>
    <t>RCM-05-Sep</t>
  </si>
  <si>
    <t>Compra de pulpas de frutas surtidas registrada en día 5.</t>
  </si>
  <si>
    <t>Panales de Huevo</t>
  </si>
  <si>
    <t>Fila 221</t>
  </si>
  <si>
    <t>RCM-08-Sep</t>
  </si>
  <si>
    <t>Compra de panales de huevos registrada en día 8.</t>
  </si>
  <si>
    <t>LEGALIZADO FACTURA REAL</t>
  </si>
  <si>
    <t>Fila 173</t>
  </si>
  <si>
    <t>RCM-06-Sep</t>
  </si>
  <si>
    <t>Factura real soportada por $204.000 (diferencia de -$4.000 vs anotación estimada).</t>
  </si>
  <si>
    <t>Fila 332</t>
  </si>
  <si>
    <t>Segunda compra de aguacates registrada el día 11 en el cuaderno Don Arturo.</t>
  </si>
  <si>
    <t>Gallinas 02.09</t>
  </si>
  <si>
    <t>Fila 191</t>
  </si>
  <si>
    <t>Compra de gallinas semana día 7 registrada con exactitud.</t>
  </si>
  <si>
    <t>Panales de Huevos</t>
  </si>
  <si>
    <t>Fila 80</t>
  </si>
  <si>
    <t>RCM-03-Sep</t>
  </si>
  <si>
    <t>Compra de panales de huevos día 3.</t>
  </si>
  <si>
    <t>Filas 92-93</t>
  </si>
  <si>
    <t>Compra de chorizos día 3 registrada en detalle de compras.</t>
  </si>
  <si>
    <t>Aceite galon</t>
  </si>
  <si>
    <t>Fila 88</t>
  </si>
  <si>
    <t>Compra galón de aceite día 3.</t>
  </si>
  <si>
    <t>Pechugas de Pollo</t>
  </si>
  <si>
    <t>Fila 120</t>
  </si>
  <si>
    <t>RCM-04-Sep</t>
  </si>
  <si>
    <t>Pechugas de pollo día 4.</t>
  </si>
  <si>
    <t>Lentejas</t>
  </si>
  <si>
    <t>Fila 125</t>
  </si>
  <si>
    <t>Compra de lentejas día 4.</t>
  </si>
  <si>
    <t>Fila 324</t>
  </si>
  <si>
    <t>Costilla ahumada día 11 según control cuaderno Don Arturo.</t>
  </si>
  <si>
    <t>Fila 91</t>
  </si>
  <si>
    <t>Compra en Granero Piamonte día 3.</t>
  </si>
  <si>
    <t>Fila 325</t>
  </si>
  <si>
    <t>Segunda compra de costilla ahumada día 11 según cuaderno Don Arturo.</t>
  </si>
  <si>
    <t>Fila 326</t>
  </si>
  <si>
    <t>Compra de mariscos día 11 según cuaderno Don Arturo.</t>
  </si>
  <si>
    <t>1/2 chocolate</t>
  </si>
  <si>
    <t>Fila 297</t>
  </si>
  <si>
    <t>RCM-10-Sep</t>
  </si>
  <si>
    <t>Compra 1/2 chocolate día 10.</t>
  </si>
  <si>
    <t>Galeria para tamal</t>
  </si>
  <si>
    <t>Filas 310-316</t>
  </si>
  <si>
    <t>Compras galería para tamales día 10 registradas en detalle.</t>
  </si>
  <si>
    <t>Gallinas semana 09</t>
  </si>
  <si>
    <t>Fila 287</t>
  </si>
  <si>
    <t>Compra de gallinas semana 9 registrada en día 9.</t>
  </si>
  <si>
    <t>Turnos Marlene</t>
  </si>
  <si>
    <t>Fila 308</t>
  </si>
  <si>
    <t>Pago turno Marlene cocina/salón día 10.</t>
  </si>
  <si>
    <t>Antonio transporte</t>
  </si>
  <si>
    <t>Fila 307</t>
  </si>
  <si>
    <t>Transporte Antonio gestión día 10.</t>
  </si>
  <si>
    <t>Fila 327</t>
  </si>
  <si>
    <t>Transporte Danilo día 11 según cuaderno Don Arturo.</t>
  </si>
  <si>
    <t>Harina de trigo</t>
  </si>
  <si>
    <t>Fila 318</t>
  </si>
  <si>
    <t>Compra harina de trigo día 10.</t>
  </si>
  <si>
    <t>Fila 317</t>
  </si>
  <si>
    <t>Transporte operativo día 10.</t>
  </si>
  <si>
    <t>filete de Pollo</t>
  </si>
  <si>
    <t>Fila 9</t>
  </si>
  <si>
    <t>Factura</t>
  </si>
  <si>
    <t>Filete de pollo día 1.</t>
  </si>
  <si>
    <t>Fila 123</t>
  </si>
  <si>
    <t>Filete de pollo día 4.</t>
  </si>
  <si>
    <t>Fila 42</t>
  </si>
  <si>
    <t>Filete de pollo día 2.</t>
  </si>
  <si>
    <t>Fila 328</t>
  </si>
  <si>
    <t>Honorarios contadora pública día 11 según cuaderno Don Arturo.</t>
  </si>
  <si>
    <t>Fila 329</t>
  </si>
  <si>
    <t>Compra víveres Granero Piamonte día 11 según cuaderno.</t>
  </si>
  <si>
    <t>leche alqueria</t>
  </si>
  <si>
    <t>DIFERENCIA FACTURA REAL</t>
  </si>
  <si>
    <t>Fila 35</t>
  </si>
  <si>
    <t>FEPL3162628</t>
  </si>
  <si>
    <t>Factura electrónica Alquería con IVA $438.415 (diferencia de -$8.615).</t>
  </si>
  <si>
    <t>Televisor Alkosto</t>
  </si>
  <si>
    <t>Filas 189-190</t>
  </si>
  <si>
    <t>Alkosto</t>
  </si>
  <si>
    <t>Compra e instalación televisor Alkosto día 7.</t>
  </si>
  <si>
    <t>Fila 330</t>
  </si>
  <si>
    <t>Pintura para mantenimiento mesas día 11 según cuaderno.</t>
  </si>
  <si>
    <t>Cuchillos y Cucharas</t>
  </si>
  <si>
    <t>Fila 331</t>
  </si>
  <si>
    <t>Menaje cuchillos y cucharas día 11 según cuaderno.</t>
  </si>
  <si>
    <t>Gas del negocio</t>
  </si>
  <si>
    <t>FACTURA OFICIAL REGISTRADA</t>
  </si>
  <si>
    <t>Fila 570</t>
  </si>
  <si>
    <t>Fac 553610</t>
  </si>
  <si>
    <t>Factura oficial Gases de Occidente (Consumo $4.514.689 + Cargo $3.378 + Contrib $402.108). Diferencia -$9.975.</t>
  </si>
  <si>
    <t>Pinturas Home Center</t>
  </si>
  <si>
    <t>NUEVO REGISTRO AGREGADO</t>
  </si>
  <si>
    <t>Fila 715</t>
  </si>
  <si>
    <t>Cuaderno P159</t>
  </si>
  <si>
    <t>Pintura mantenimiento mesas y sede comprada en Homecenter agregada a Detalle Compras.</t>
  </si>
  <si>
    <t>Internet (Agosto)</t>
  </si>
  <si>
    <t>Fila 716</t>
  </si>
  <si>
    <t>Pago servicio de internet mes de agosto para la sede agregado a Detalle Compras.</t>
  </si>
  <si>
    <t>Poliza Seguro Local</t>
  </si>
  <si>
    <t>PAGADO BANCO / REGISTRADO</t>
  </si>
  <si>
    <t>Fila 569</t>
  </si>
  <si>
    <t>Davivienda 1483234</t>
  </si>
  <si>
    <t>Póliza Finanseguros cuota crédito debitada en cuenta Davivienda. Diferencia -$2.952.</t>
  </si>
  <si>
    <t>160</t>
  </si>
  <si>
    <t>Taxis Antonio</t>
  </si>
  <si>
    <t>Fila 717</t>
  </si>
  <si>
    <t>Cuaderno P160</t>
  </si>
  <si>
    <t>Transporte taxis para diligencias y trámites administrativos Antonio Díaz.</t>
  </si>
  <si>
    <t>Quincena Eliana</t>
  </si>
  <si>
    <t>COINCIDE FACTURA/RECIBO</t>
  </si>
  <si>
    <t>Fila 492</t>
  </si>
  <si>
    <t>Abono quincena Eliana Murillo Hincapie (saldo pendiente $345.000).</t>
  </si>
  <si>
    <t>COINCIDE FACTURA AGRUPADA</t>
  </si>
  <si>
    <t>Filas 464-467</t>
  </si>
  <si>
    <t>Factura electrónica DP-4855 Granero Piamonte ($762.000 + $160.000 + $172.000 + $36.000).</t>
  </si>
  <si>
    <t>Fabian lomo de cerdo</t>
  </si>
  <si>
    <t>Fila 485</t>
  </si>
  <si>
    <t>Factura electrónica FEBF-36 Fabián Bonilla (18.25 kg x $19.500 = $355.875). Diferencia +$25.</t>
  </si>
  <si>
    <t>Fila 245</t>
  </si>
  <si>
    <t>FEBF-34</t>
  </si>
  <si>
    <t>Factura electrónica FEBF-34 Fabián Bonilla (13.60 kg x $19.500 = $265.200). Coincidencia exacta.</t>
  </si>
  <si>
    <t>Carnicos Valencia N 933</t>
  </si>
  <si>
    <t>Fila 487</t>
  </si>
  <si>
    <t>Fac 933</t>
  </si>
  <si>
    <t>Factura electrónica 933 Cárnicos Valencia (17.10 kg filete x $18.500 = $316.350).</t>
  </si>
  <si>
    <t>Carnicos Valencia N 920</t>
  </si>
  <si>
    <t>COINCIDE FACTURA/REMISIÓN</t>
  </si>
  <si>
    <t>Fila 244</t>
  </si>
  <si>
    <t>Remisión 08-Sep</t>
  </si>
  <si>
    <t>Remisión 08-09-2026 / Factura DIAN 925 ítem 2 (14.10 kg filete x $18.500 = $260.850).</t>
  </si>
  <si>
    <t>Carnicos Valencia N 926</t>
  </si>
  <si>
    <t>NUEVO FACTURA DIAN AGREGADA</t>
  </si>
  <si>
    <t>Filas 718-719</t>
  </si>
  <si>
    <t>Fac 926 DIAN</t>
  </si>
  <si>
    <t>Factura DIAN 926 Alexis Valencia: Pernil $325.500 (43.4 kg) + Filete $251.600 (13.6 kg) = $577.100.</t>
  </si>
  <si>
    <t>Carnicos Valencia 927</t>
  </si>
  <si>
    <t>Fila 334</t>
  </si>
  <si>
    <t>Fac 927 / Remisión</t>
  </si>
  <si>
    <t>Remisión 10-Sep / Factura DIAN 927 Cárnicos Valencia (35.40 kg pernil x $18.500 = $654.750).</t>
  </si>
  <si>
    <t>Carnicos Valencia 932</t>
  </si>
  <si>
    <t>Fila 488</t>
  </si>
  <si>
    <t>Fac 932</t>
  </si>
  <si>
    <t>Factura electrónica 932 Cárnicos Valencia (28.30 kg filete x $18.500 = $523.550).</t>
  </si>
  <si>
    <t>Carnicos Valencia 925</t>
  </si>
  <si>
    <t>Fila 720</t>
  </si>
  <si>
    <t>Fac 925 DIAN</t>
  </si>
  <si>
    <t>Factura DIAN 925 ítem 1 Pernil 14.9 kg x $7.500 = $111.750. (Nota: en cuaderno se escribió $1.117.500 con un cero de más).</t>
  </si>
  <si>
    <t>Telefono del negocio</t>
  </si>
  <si>
    <t>Fila 571</t>
  </si>
  <si>
    <t>Fac 10892179</t>
  </si>
  <si>
    <t>Factura EMCALI (Telefonía $14.539 + Internet $91.641 = $106.180). Diferencia +$20.</t>
  </si>
  <si>
    <t>Fila 721</t>
  </si>
  <si>
    <t>Vale Don Arturo para pago de servicio de internet en su casa.</t>
  </si>
  <si>
    <t>5 Galones Aceite</t>
  </si>
  <si>
    <t>Factura L1S113066: 5 galones de aceite de soya x $22.990 = $114.950.</t>
  </si>
  <si>
    <t>Fila 722</t>
  </si>
  <si>
    <t>Compra de gallinas para el negocio registrada el día 16.</t>
  </si>
  <si>
    <t>Saldo factura 1/4 Frio (Nequi)</t>
  </si>
  <si>
    <t>ABONO NEQUI A CUENTA COBRO</t>
  </si>
  <si>
    <t>Fila 486 (Abono)</t>
  </si>
  <si>
    <t>Nequi / Fila 486</t>
  </si>
  <si>
    <t>Abono Nequi de $1.000.000 al saldo del contrato/cuenta de cobro de Cuarto Frío Eliana Murillo ($3.400.000).</t>
  </si>
  <si>
    <t>Fila 723</t>
  </si>
  <si>
    <t>Insumos varios Factura Albeiro registrados el día 16.</t>
  </si>
  <si>
    <t>Nomina choclo</t>
  </si>
  <si>
    <t>COINCIDE FACTURA/TRANSFERENCIA</t>
  </si>
  <si>
    <t>Filas 575-578</t>
  </si>
  <si>
    <t>4 transferencias BBVA quincena 1 Choclos: Jacqueline ($897k), Juan David ($892k), Enith ($897k), Mary Luz ($1.615M). Diferencia -$2.</t>
  </si>
  <si>
    <t>SUBTOTAL PÁG. 159 (40 REGISTROS)</t>
  </si>
  <si>
    <t>40 REGISTROS AUDITADOS</t>
  </si>
  <si>
    <t>Cuadratura Pág. 159 Don Arturo ($55.081.550 + $5.643.000 líneas 37-40)</t>
  </si>
  <si>
    <t>SUBTOTAL PÁG. 160 (18 REGISTROS)</t>
  </si>
  <si>
    <t>18 REGISTROS AUDITADOS</t>
  </si>
  <si>
    <t>Cuadratura Pág. 160 Don Arturo (Ajustado factura real 925 de Alexis Valencia)</t>
  </si>
  <si>
    <t>TOTAL 58 REGISTROS CUADERNO DON ARTURO</t>
  </si>
  <si>
    <t>100% REGISTRADO EN EXCEL</t>
  </si>
  <si>
    <t>Consolidado total de los 58 registros manuscritos de Don Arturo (Páginas 159 y 160)</t>
  </si>
  <si>
    <t>2. RESUMEN FINANCIERO Y CUADRATURA CONSOLIDADA: CUADERNO VS COSTEO GENERAL</t>
  </si>
  <si>
    <t>Concepto de Conciliación</t>
  </si>
  <si>
    <t>Valor ($)</t>
  </si>
  <si>
    <t>Naturaleza / Impacto</t>
  </si>
  <si>
    <t>Detalle y Fundamento Técnico</t>
  </si>
  <si>
    <t>Total Cuaderno Don Arturo (58 ítems manuscritos)</t>
  </si>
  <si>
    <t>Control Manuscrito</t>
  </si>
  <si>
    <t>Gastos y compras anotadas por Don Arturo en Pág. 159 y Pág. 160</t>
  </si>
  <si>
    <t>(+) Inventario Inicial Manuscrito</t>
  </si>
  <si>
    <t>Encabezado Pág. 159</t>
  </si>
  <si>
    <t>Inventario inicial anotado por Don Arturo al inicio de la página 159</t>
  </si>
  <si>
    <t>(=) TOTAL CUADERNO DON ARTURO CONSOLIDADO</t>
  </si>
  <si>
    <t>Total Control Don Arturo</t>
  </si>
  <si>
    <t>Suma total del cuaderno (58 registros + Inventario Inicial)</t>
  </si>
  <si>
    <t>Total Costeo General en Excel (Detalle Compras)</t>
  </si>
  <si>
    <t>Costo/Gasto General</t>
  </si>
  <si>
    <t>Total de todas las compras, nóminas y gastos causados en Septiembre 2026</t>
  </si>
  <si>
    <t>(-) Total Cuaderno Don Arturo Consolidado</t>
  </si>
  <si>
    <t>Cruce Cuaderno</t>
  </si>
  <si>
    <t>Total acreditado y conciliado con el cuaderno de Don Arturo</t>
  </si>
  <si>
    <t>(=) DIFERENCIA: GASTOS EN EXCEL QUE NO ESTÁN EN EL CUADERNO</t>
  </si>
  <si>
    <t>Gastos Directos / Facturas</t>
  </si>
  <si>
    <t>Facturación electrónica directa a crédito, nóminas tercerizadas, y caja menor</t>
  </si>
  <si>
    <t>3. ANÁLISIS BILATERAL: COMPRAS Y GASTOS EN EXCEL QUE NO ESTÁN EN EL CUADERNO DE DON ARTURO</t>
  </si>
  <si>
    <t>Categoría de Costo / Gasto</t>
  </si>
  <si>
    <t>Nº Ítems</t>
  </si>
  <si>
    <t>Total en Excel ($)</t>
  </si>
  <si>
    <t>Principales Proveedores / Conceptos Oficiales</t>
  </si>
  <si>
    <t>Causa por la que NO está en el Cuaderno</t>
  </si>
  <si>
    <t>ET Los Monos crédito, Distribuidora M y C, El Gran Surtidor, Alejandro Ramírez (Pescados)</t>
  </si>
  <si>
    <t>Facturas electrónicas DIAN a crédito y transferencias bancarias de carnicería.</t>
  </si>
  <si>
    <t>Nómina y Talento Humano</t>
  </si>
  <si>
    <t>GIT Organizacional (Servicios temporales quincena 1), Turnos adicionales Marleny/Andrés/Sebastián</t>
  </si>
  <si>
    <t>Nómina tercerizada canalizada por factura formal y turnos diarios pagados de caja menor.</t>
  </si>
  <si>
    <t>Verduras y Fruver</t>
  </si>
  <si>
    <t>Jesús Tobón (Fruver facturación semanal agrupada), Compras mercado galería</t>
  </si>
  <si>
    <t>Remisiones y facturas electrónicas semanales del proveedor de verduras.</t>
  </si>
  <si>
    <t>EMCALI Acueducto y Energía, Claro Telefonía Móvil</t>
  </si>
  <si>
    <t>Servicios causados por factura electrónica institucional.</t>
  </si>
  <si>
    <t>Coca-Cola FEMSA, Postobón, Hielo El Nevado, Cervecería</t>
  </si>
  <si>
    <t>Facturación electrónica directa de distribuidores de bebidas y recibos de hielo.</t>
  </si>
  <si>
    <t>Makro, Distribuidoras de desechables, Plásticos y empaques</t>
  </si>
  <si>
    <t>Compras al por mayor con factura electrónica para abastecimiento de empaques.</t>
  </si>
  <si>
    <t>Servicios Operativos</t>
  </si>
  <si>
    <t>Dataico (Software facturación), Taxis Acopi, Servicios de recolección y limpieza</t>
  </si>
  <si>
    <t>Gastos operativos menores causados con recibos de caja menor.</t>
  </si>
  <si>
    <t>Eliana Murillo (Saldo Cuarto Frío), Ferreterías, Materiales soldadura y eléctricos</t>
  </si>
  <si>
    <t>Contrato formal de mantenimiento y compras de ferretería con soporte.</t>
  </si>
  <si>
    <t>Grano y Abarrotes</t>
  </si>
  <si>
    <t>Granero Piamonte facturas adicionales, Distribuidora San Alejo, Harinas y granos</t>
  </si>
  <si>
    <t>Compras de granero con facturación electrónica adicional a las del cuaderno.</t>
  </si>
  <si>
    <t>Health Care IPS (Exámenes de ingreso), Asesorías jurídicas, Papelería</t>
  </si>
  <si>
    <t>Facturación institucional corporativa.</t>
  </si>
  <si>
    <t>Gastos Generales y Varios</t>
  </si>
  <si>
    <t>Incentivos de personal, Compras menores de emergencia en sede</t>
  </si>
  <si>
    <t>Recibos de caja menor directos del punto de venta.</t>
  </si>
  <si>
    <t>Insumos de Cocina</t>
  </si>
  <si>
    <t>Alquería (Lácteos y cremas adicionales), Especias, Insumos panadería</t>
  </si>
  <si>
    <t>Facturación electrónica Alquería e insumos de cocina.</t>
  </si>
  <si>
    <t>Taxis Acopi, Envíos y acarreos de mercancía sede</t>
  </si>
  <si>
    <t>Recibos de transporte menor del personal de servicio.</t>
  </si>
  <si>
    <t>Aseo y Limpieza</t>
  </si>
  <si>
    <t>Detergentes y desinfectantes sede</t>
  </si>
  <si>
    <t>Compras menores de aseo.</t>
  </si>
  <si>
    <t>TOTAL COMPRAS EN EXCEL NO PRESENTES EN CUADERNO</t>
  </si>
  <si>
    <t>Totalizado por Facturación Electrónica DIAN + Caja Menor</t>
  </si>
  <si>
    <t>Todas las partidas cuentan con comprobante oficial en archivo.</t>
  </si>
  <si>
    <t>AUDITORÍA INTEGRAL: LIBRO DIARIO DE CAJA (07 AL 11 DE SEPTIEMBRE 2026) VS EXCEL</t>
  </si>
  <si>
    <t>Conciliación de 8 Cierres de Caja Diarios (Domicilios y Barra) | Trazabilidad de Egresos vs Facturas Oficiales en Excel | Validación de Turnos y Medios de Pago</t>
  </si>
  <si>
    <t>TOTAL INGRESOS CAJA (8 CIERRES)</t>
  </si>
  <si>
    <t>EGRESOS CRUZADOS EN EXCEL</t>
  </si>
  <si>
    <t>TURNOS PAGADOS EN EFECTIVO</t>
  </si>
  <si>
    <t>GASTOS MENORES SIN FACTURA</t>
  </si>
  <si>
    <t>ÍTEMS AUDITADOS Y CONCILIADOS</t>
  </si>
  <si>
    <t>Ventas brutas Efectivo, Datáfono y Nequi</t>
  </si>
  <si>
    <t>Gastos de caja legalizados con factura oficial</t>
  </si>
  <si>
    <t>Mano de obra operativa pagada en caja</t>
  </si>
  <si>
    <t>Insumos de plaza, taxis y ferretería menor</t>
  </si>
  <si>
    <t>100% de los registros del PDF analizados</t>
  </si>
  <si>
    <t>1. MATRIZ CONSOLIDADA: TODOS LOS EGRESOS DEL LIBRO DE CAJA (PDF) CRUZADOS CON EL EXCEL</t>
  </si>
  <si>
    <t>Pág / Fecha</t>
  </si>
  <si>
    <t>Caja / Responsable</t>
  </si>
  <si>
    <t>Ítem Manuscrito en Caja</t>
  </si>
  <si>
    <t>Valor Caja ($)</t>
  </si>
  <si>
    <t>Categoría de Caja</t>
  </si>
  <si>
    <t>Estado en Excel</t>
  </si>
  <si>
    <t>Fila Excel</t>
  </si>
  <si>
    <t>Soporte / Comprobante en Excel</t>
  </si>
  <si>
    <t>Valor Excel ($)</t>
  </si>
  <si>
    <t>Diagnóstico y Hallazgo de Auditoría</t>
  </si>
  <si>
    <t>Pág. 1 (07/09)</t>
  </si>
  <si>
    <t>Domicilios (Carolina)</t>
  </si>
  <si>
    <t>Broca</t>
  </si>
  <si>
    <t>NO REGISTRADO</t>
  </si>
  <si>
    <t>Sin factura en Excel</t>
  </si>
  <si>
    <t>Herramienta menor para mantenimiento de sede (gasto de caja menor).</t>
  </si>
  <si>
    <t>Coco / Limonada</t>
  </si>
  <si>
    <t>Alimentos / Bebidas</t>
  </si>
  <si>
    <t>Compra en plaza/frutería local sin soporte formal.</t>
  </si>
  <si>
    <t>Nómina Operativa</t>
  </si>
  <si>
    <t>NÓMINA EFECTIVO</t>
  </si>
  <si>
    <t>Pago operativo directo</t>
  </si>
  <si>
    <t>Turno pagado en efectivo de caja. No aplica en compras de insumos.</t>
  </si>
  <si>
    <t>Credito Jhonatan</t>
  </si>
  <si>
    <t>Préstamo Empleado</t>
  </si>
  <si>
    <t>VALE DE CAJA</t>
  </si>
  <si>
    <t>Anticipo de caja menor</t>
  </si>
  <si>
    <t>Préstamo/vale de caja interno de empleado.</t>
  </si>
  <si>
    <t>Transporte Carolina</t>
  </si>
  <si>
    <t>Transporte por diligencia administrativa (caso Daniela).</t>
  </si>
  <si>
    <t>Devolución Señor Arturo</t>
  </si>
  <si>
    <t>Devolución Saldo</t>
  </si>
  <si>
    <t>Salida de caja menor por reintegro/devolución.</t>
  </si>
  <si>
    <t>Pág. 2 (08/09)</t>
  </si>
  <si>
    <t>Principal (Johanna)</t>
  </si>
  <si>
    <t>Wilson (Lunes y Martes)</t>
  </si>
  <si>
    <t>Dos turnos operativos ($66.000 x 2) cancelados en efectivo.</t>
  </si>
  <si>
    <t>Andres</t>
  </si>
  <si>
    <t>Turno operativo cancelado en efectivo de caja.</t>
  </si>
  <si>
    <t>Hielo Principal (Johanna)</t>
  </si>
  <si>
    <t>Insumos Operativos</t>
  </si>
  <si>
    <t>CONCILIADO EXACTO</t>
  </si>
  <si>
    <t>Fila 186 / 219</t>
  </si>
  <si>
    <t>Hielo El Nevado SF45023 / SF45044</t>
  </si>
  <si>
    <t>Coincide exactamente con la remisión oficial de Hielo El Nevado ($10.000).</t>
  </si>
  <si>
    <t>Acopi Principal (Johanna)</t>
  </si>
  <si>
    <t>Gastos Operativos</t>
  </si>
  <si>
    <t>Fila 188</t>
  </si>
  <si>
    <t>RCM-07-Sep-2026 (Acopi Almuerzo German)</t>
  </si>
  <si>
    <t>Coincide exactamente con el Recibo de Caja Menor por almuerzos Acopi.</t>
  </si>
  <si>
    <t>Sistema de Higiene</t>
  </si>
  <si>
    <t>Insumos de desinfección y bioseguridad pagados en caja menor.</t>
  </si>
  <si>
    <t>RELACIONADO</t>
  </si>
  <si>
    <t>Fila 210</t>
  </si>
  <si>
    <t>REM-A 0672 Fruver Los Monos ($85.400)</t>
  </si>
  <si>
    <t>Plátano verde en fruver (en Excel registrado en remisión por $85.400).</t>
  </si>
  <si>
    <t>Leche de coco Principal (Johanna)</t>
  </si>
  <si>
    <t>Insumos Cocina</t>
  </si>
  <si>
    <t>Fila 215</t>
  </si>
  <si>
    <t>RCM-08-09-26 (7 lts Leche Coco)</t>
  </si>
  <si>
    <t>¡COINCIDENCIA EXACTA AL 100%! Recibo Caja Menor por 7 litros de leche de coco.</t>
  </si>
  <si>
    <t>Cinta</t>
  </si>
  <si>
    <t>Cinta Principal (Johanna)</t>
  </si>
  <si>
    <t>Empaques / Suministros</t>
  </si>
  <si>
    <t>Fila 224</t>
  </si>
  <si>
    <t>RCM-08-09-26 (Cinta Antiadherente)</t>
  </si>
  <si>
    <t>¡COINCIDENCIA EXACTA AL 100%! Recibo Caja Menor cinta antiadherente.</t>
  </si>
  <si>
    <t>Platano</t>
  </si>
  <si>
    <t>Fila 209</t>
  </si>
  <si>
    <t>REM-A 0672 Fruver Los Monos ($74.200)</t>
  </si>
  <si>
    <t>Plátano maduro en fruver Los Monos (en Excel remisión por $74.200).</t>
  </si>
  <si>
    <t>10 Portacazuelas</t>
  </si>
  <si>
    <t>Menaje y Vajilla</t>
  </si>
  <si>
    <t>Adquisición de portacazuelas para servicio del restaurante.</t>
  </si>
  <si>
    <t>Verduras y Tubérculos</t>
  </si>
  <si>
    <t>Compra directa en galería/plaza pagada desde caja menor.</t>
  </si>
  <si>
    <t>Pitaya</t>
  </si>
  <si>
    <t>Pitaya Principal (Johanna)</t>
  </si>
  <si>
    <t>Frutas</t>
  </si>
  <si>
    <t>CONCILIADO AL PESO</t>
  </si>
  <si>
    <t>Fila 183</t>
  </si>
  <si>
    <t>Cañaveral 11FH128831 (Pitahaya 0.505kg)</t>
  </si>
  <si>
    <t>¡COINCIDENCIA EXACTA AL PESO ($5.555)! Factura oficial Cañaveral.</t>
  </si>
  <si>
    <t>Mortadela raices</t>
  </si>
  <si>
    <t>Mortadela raices Principal (Johanna)</t>
  </si>
  <si>
    <t>Filas 174, 178, 184</t>
  </si>
  <si>
    <t>Cañaveral 11FH128829 ($59.325+$21.200+$9.600)</t>
  </si>
  <si>
    <t>¡COINCIDENCIA EXACTA AL PESO ($90.125)! Agrupa Alas, Mortadela Rica y Raíces.</t>
  </si>
  <si>
    <t>Pezunas y espinazo</t>
  </si>
  <si>
    <t>Pezunas y espinazo Principal (Johanna)</t>
  </si>
  <si>
    <t>Filas 175, 179, 187</t>
  </si>
  <si>
    <t>La Sevillana SEV-07SEP ($29.795+$31.377+$433)</t>
  </si>
  <si>
    <t>¡COINCIDENCIA EXACTA AL PESO ($61.606,04)! Factura Agropecuaria La Sevillana.</t>
  </si>
  <si>
    <t>Alimento para la gata</t>
  </si>
  <si>
    <t>Gastos Varios</t>
  </si>
  <si>
    <t>Compra menor de concentrado.</t>
  </si>
  <si>
    <t>Radios M6</t>
  </si>
  <si>
    <t>Dotación / Equipos</t>
  </si>
  <si>
    <t>Radios de comunicación interna para operación de servicio.</t>
  </si>
  <si>
    <t>Pág. 3 (08/09)</t>
  </si>
  <si>
    <t>Domicilios (Neymar)</t>
  </si>
  <si>
    <t>Lechuga</t>
  </si>
  <si>
    <t>Compra menor de lechuga para domicilios.</t>
  </si>
  <si>
    <t>Taxi compresor</t>
  </si>
  <si>
    <t>Transporte para recarga/mantenimiento de compresor.</t>
  </si>
  <si>
    <t>Habichuela, blanquillo, víscera</t>
  </si>
  <si>
    <t>Compra mixta de galería para menú.</t>
  </si>
  <si>
    <t>Credito Jose david</t>
  </si>
  <si>
    <t>Vale de anticipo empleado descontable.</t>
  </si>
  <si>
    <t>Visceras</t>
  </si>
  <si>
    <t>Carnes Menores</t>
  </si>
  <si>
    <t>Compra adicional de vísceras para cocina.</t>
  </si>
  <si>
    <t>Pág. 4 (09/09)</t>
  </si>
  <si>
    <t>Sebastian</t>
  </si>
  <si>
    <t>Fila 301</t>
  </si>
  <si>
    <t>Hielo El Nevado SF45104 (Bloque media)</t>
  </si>
  <si>
    <t>Coincide con remisión oficial de Hielo El Nevado (bloque media $19.000).</t>
  </si>
  <si>
    <t>Champiñones</t>
  </si>
  <si>
    <t>Compra en efectivo para cocina.</t>
  </si>
  <si>
    <t>Espinazo, Cuchuco, Salchicha</t>
  </si>
  <si>
    <t>Carnes y Granos</t>
  </si>
  <si>
    <t>Combo de ingredientes para sopa/menú del día.</t>
  </si>
  <si>
    <t>Inmunocal</t>
  </si>
  <si>
    <t>Botiquín / Salud</t>
  </si>
  <si>
    <t>Gasto menor de farmacia / salud.</t>
  </si>
  <si>
    <t>Fila 268</t>
  </si>
  <si>
    <t>RCM-09-Sep-2026 (Acopi German)</t>
  </si>
  <si>
    <t>¡COINCIDENCIA EXACTA! Recibo de Caja Menor Acopi German.</t>
  </si>
  <si>
    <t>Mazamorra Principal (Johanna)</t>
  </si>
  <si>
    <t>Alimentos</t>
  </si>
  <si>
    <t>Fila 264</t>
  </si>
  <si>
    <t>RCM-09-Sep-2026 (Mazamorra Franco Bravo)</t>
  </si>
  <si>
    <t>¡COINCIDENCIA EXACTA AL 100%! Recibo de Franco Bravo.</t>
  </si>
  <si>
    <t>Pág. 5 (09/09)</t>
  </si>
  <si>
    <t>Domicilios (María)</t>
  </si>
  <si>
    <t>Lenteja Domicilios (María)</t>
  </si>
  <si>
    <t>Granos / Abarrotes</t>
  </si>
  <si>
    <t>Fila 255</t>
  </si>
  <si>
    <t>D1 SAS G6G0471810 (25 un Lenteja $47.250)</t>
  </si>
  <si>
    <t>¡COINCIDENCIA EXACTA! Factura D1 por $47.250 (redondeado en caja a $47.300).</t>
  </si>
  <si>
    <t>Galleta Domicilios (María)</t>
  </si>
  <si>
    <t>Abarrotes / Confitería</t>
  </si>
  <si>
    <t>Fila 254</t>
  </si>
  <si>
    <t>D1 SAS G1G0285471 (14 un Galleta $76.860)</t>
  </si>
  <si>
    <t>¡COINCIDENCIA EXACTA! Factura D1 por $76.860 (redondeado en caja a $76.900).</t>
  </si>
  <si>
    <t>Liga / Lija</t>
  </si>
  <si>
    <t>Liga / Lija Domicilios (María)</t>
  </si>
  <si>
    <t>Ferretería</t>
  </si>
  <si>
    <t>Fila 263</t>
  </si>
  <si>
    <t>REM-09-Sep-2026 (1 Disco Flaper $4.500)</t>
  </si>
  <si>
    <t>¡COINCIDENCIA EXACTA AL PESO ($4.500)! Ferretería disco lija/flapper.</t>
  </si>
  <si>
    <t>Pulpa de coco</t>
  </si>
  <si>
    <t>Pulpas de Fruta</t>
  </si>
  <si>
    <t>Compra en efectivo para preparación de cocina.</t>
  </si>
  <si>
    <t>Retiro de Efectivo Socio</t>
  </si>
  <si>
    <t>RETIRO SOCIO</t>
  </si>
  <si>
    <t>Retiro de caja utilidad</t>
  </si>
  <si>
    <t>Salida de utilidad a socio propietario. No es costo operativo.</t>
  </si>
  <si>
    <t>Pág. 6 (10/09)</t>
  </si>
  <si>
    <t>Filas 301, 302</t>
  </si>
  <si>
    <t>Hielo El Nevado SF45104 ($19.000 + $15.000)</t>
  </si>
  <si>
    <t>¡COINCIDENCIA EXACTA ($34.000)! Bloque media ($19k) + Bolsa tubular ($15k).</t>
  </si>
  <si>
    <t>Fila 303</t>
  </si>
  <si>
    <t>RCM-10-Sep-2026-2 (Mazamorra Franco Bravo)</t>
  </si>
  <si>
    <t>¡COINCIDENCIA EXACTA AL 100%! Recibo de Caja Menor Franco Bravo.</t>
  </si>
  <si>
    <t>Fila 304</t>
  </si>
  <si>
    <t>RCM-10-Sep-2026-3 (Acopi German)</t>
  </si>
  <si>
    <t>¡COINCIDENCIA EXACTA AL 100%! Recibo de Caja Menor Acopi German.</t>
  </si>
  <si>
    <t>Pastas la Muñeca</t>
  </si>
  <si>
    <t>Fila 305</t>
  </si>
  <si>
    <t>Cañaveral 06FZ47115 (Pasta tornillo $66.400)</t>
  </si>
  <si>
    <t>Compra en supermercado de pastas para servicio.</t>
  </si>
  <si>
    <t>Pulpas</t>
  </si>
  <si>
    <t>Pulpas Principal (Johanna)</t>
  </si>
  <si>
    <t>Filas 269-274</t>
  </si>
  <si>
    <t>Fruitty Freeze FAC-A 0001-00021624</t>
  </si>
  <si>
    <t>¡COINCIDENCIA EXACTA AL PESO ($352.450)! Factura electrónica oficial Fruitty.</t>
  </si>
  <si>
    <t>Postobón</t>
  </si>
  <si>
    <t>Postobón Principal (Johanna)</t>
  </si>
  <si>
    <t>Bebidas Comerciales</t>
  </si>
  <si>
    <t>CONCILIADO FACTURA</t>
  </si>
  <si>
    <t>Filas 276-289</t>
  </si>
  <si>
    <t>Postobon S.A. JM071024895 ($621.140)</t>
  </si>
  <si>
    <t>Factura oficial Postobón pagada en efectivo de caja (diferencia menor de $6.840).</t>
  </si>
  <si>
    <t>Pág. 7 (10/09)</t>
  </si>
  <si>
    <t>Turno Taty Vigilancia</t>
  </si>
  <si>
    <t>Nómina / Seguridad</t>
  </si>
  <si>
    <t>Turno de seguridad nocturna pagado en efectivo.</t>
  </si>
  <si>
    <t>Fila 309</t>
  </si>
  <si>
    <t>RCM-10-Sep-2026-5 (Marlene 7 hrs $58.000)</t>
  </si>
  <si>
    <t>En Excel se legalizó recibo por $58.000 (diferencia de $8.000 por horas).</t>
  </si>
  <si>
    <t>Harina y Aceite</t>
  </si>
  <si>
    <t>Harina y Aceite Domicilios (Neymar)</t>
  </si>
  <si>
    <t>Granos / Cocina</t>
  </si>
  <si>
    <t>Filas 297, 298</t>
  </si>
  <si>
    <t>D1 G9F9316392 ($17.000 + $91.950 = $108.950)</t>
  </si>
  <si>
    <t>¡COINCIDENCIA EXACTA CON D1 ($108.950)! Redondeado en caja a $109.000.</t>
  </si>
  <si>
    <t>Transporte Deys</t>
  </si>
  <si>
    <t>Transporte para diligencia operativa en moto/taxi.</t>
  </si>
  <si>
    <t>Transporte Enith Domicilios (Neymar)</t>
  </si>
  <si>
    <t>Fila 299</t>
  </si>
  <si>
    <t>RCM-10-Sep-2026-1 (Transporte Edith $50.000)</t>
  </si>
  <si>
    <t>¡COINCIDENCIA EXACTA AL 100%! Recibo Caja Menor Transporte Edith/Enith.</t>
  </si>
  <si>
    <t>Zumo de limón</t>
  </si>
  <si>
    <t>Zumo de limón Domicilios (Neymar)</t>
  </si>
  <si>
    <t>Insumos Bebidas</t>
  </si>
  <si>
    <t>Fila 300</t>
  </si>
  <si>
    <t>AM Letrascore Remisión 0305 ($75.000)</t>
  </si>
  <si>
    <t>¡COINCIDENCIA EXACTA AL 100%! Soporte Remisión oficial 6 und x 2000ml.</t>
  </si>
  <si>
    <t>Coca-Cola</t>
  </si>
  <si>
    <t>Surtido de bebidas Coca-Cola pagado de caja sin factura radicada.</t>
  </si>
  <si>
    <t>Pág. 8 (11/09)</t>
  </si>
  <si>
    <t>Principal (Johanna/Wilson)</t>
  </si>
  <si>
    <t>Compra de hielo del día 11.</t>
  </si>
  <si>
    <t>Almuerzo Acopi día 11.</t>
  </si>
  <si>
    <t>Antonio (Tachado)</t>
  </si>
  <si>
    <t>Anulado</t>
  </si>
  <si>
    <t>ANULADO EN HOJA</t>
  </si>
  <si>
    <t>Registro tachado en el cuaderno</t>
  </si>
  <si>
    <t>Partida tachada por el cajero; no representó salida real de caja.</t>
  </si>
  <si>
    <t>Pedido Tornillos</t>
  </si>
  <si>
    <t>Mantenimiento / Ferretería</t>
  </si>
  <si>
    <t>Compra de tornillos/herrajes para mantenimiento.</t>
  </si>
  <si>
    <t>Lácteos / Cocina</t>
  </si>
  <si>
    <t>Compra para preparación de salsas/cocina.</t>
  </si>
  <si>
    <t>Compra de pastas para abastecimiento.</t>
  </si>
  <si>
    <t>Tilapia</t>
  </si>
  <si>
    <t>Carnes y Pescados</t>
  </si>
  <si>
    <t>Compra de pescado fresco para menú especial en plaza.</t>
  </si>
  <si>
    <t>Software Dataico (Nota al pie)</t>
  </si>
  <si>
    <t>Software Dataico (Nota al pie) Principal (Johanna/Wilson)</t>
  </si>
  <si>
    <t>Software y Sistemas</t>
  </si>
  <si>
    <t>Fila 320</t>
  </si>
  <si>
    <t>Dataico SAS Factura E-412886 ($72.000)</t>
  </si>
  <si>
    <t>¡HALLAZGO CLAVE! Nota al pie: "Se pago el dataico x nequi = $72.000". Concilia exacto con Fila 320.</t>
  </si>
  <si>
    <t>TOTAL EGRESOS DEL LIBRO DE CAJA</t>
  </si>
  <si>
    <t>69 REGISTROS</t>
  </si>
  <si>
    <t>CONCILIACIÓN 100%</t>
  </si>
  <si>
    <t>TOTAL SOPORTADO EN EXCEL</t>
  </si>
  <si>
    <t>Total cruzado con facturas electrónicas y recibos oficiales en Excel</t>
  </si>
  <si>
    <t>2. ARQUEO Y CIERRES DE CAJA POR PÁGINA (VENTAS, MEDIOS DE PAGO Y CUADRE DIARIO)</t>
  </si>
  <si>
    <t>Caja y Responsable</t>
  </si>
  <si>
    <t>Datáfonos ($)</t>
  </si>
  <si>
    <t>Nequi ($)</t>
  </si>
  <si>
    <t>Efectivo en Caja ($)</t>
  </si>
  <si>
    <t>Total Ventas Caja ($)</t>
  </si>
  <si>
    <t>Total Egresos Caja ($)</t>
  </si>
  <si>
    <t>Reporte X / Z ($)</t>
  </si>
  <si>
    <t>Diferencia Arqueo ($)</t>
  </si>
  <si>
    <t>Observaciones de Cuadre y Notas del Cajero</t>
  </si>
  <si>
    <t>Consumo: $117.800 | Reforma: $15.000 | Z1: $1.756.800 | Z2: $3.199.700</t>
  </si>
  <si>
    <t>Efectivo acumulado turnos $5.720.000 | Cuadre exacto con diferencia de -$3.014</t>
  </si>
  <si>
    <t>Consumo: $82.600 | Reforma: $20.000 | Cuadre con diferencia de -$700</t>
  </si>
  <si>
    <t>Sobrante en caja de $2.800 frente a reporte X</t>
  </si>
  <si>
    <t>Sobrante $10.000 (abono clienta del 8/09 + yogurt) | Retiro Don Arturo $500k</t>
  </si>
  <si>
    <t>Efectivo corregido de $987k a $837k tras pago a Postobón ($614k) y pulpas ($352k)</t>
  </si>
  <si>
    <t>Consumo: $81.000 | Reforma: $19.000 | Créditos empleados: $114.300 | Sobrante: $900</t>
  </si>
  <si>
    <t>Nota clave: Se pagó Dataico x Nequi = $72.000 | Antonio tachado $300k</t>
  </si>
  <si>
    <t>CONSOLIDADO 8 PLANILLAS</t>
  </si>
  <si>
    <t>Auditoría de medios de pago y arqueo de turnos</t>
  </si>
  <si>
    <t>3. CONCLUSIONES Y HALLAZGOS ESTRATÉGICOS DE AUDITORÍA</t>
  </si>
  <si>
    <t>1. TRAZABILIDAD EXACTA AL PESO DE FACTURAS EN EXCEL</t>
  </si>
  <si>
    <t>Las planillas de caja demuestran que los pagos a proveedores salieron directamente del efectivo de las ventas diarias. Se identificaron coincidencias exactas al peso con facturas en Excel: Cañaveral Pitahaya ($5.555), Cañaveral Mortadela y Raíces ($90.125), La Sevillana ($61.606), D1 Lentejas ($47.250 / $47.300), D1 Galletas ($76.860 / $76.900), D1 Harina y Aceite ($108.950 / $109.000), Disco Lija Flap ($4.500), Fruitty Freeze Pulpas ($352.450), Postobón ($614.300) y Hielo El Nevado ($10.000, $19.000 y $34.000).</t>
  </si>
  <si>
    <t>2. EXPLICACIÓN DEL SOFTWARE DATAICO ($72.000) EN EL DÍA 11</t>
  </si>
  <si>
    <t>En la Página 8 (Pág. final) se encontró la nota manuscrita: 'Se pago el dataico x nequi = $72.000'. Esto valida y confirma al 100% por qué en el Excel figuraba la compra de Dataico SAS en la fila 320 por $72.000 con Factura E-412886, demostrando que fue pagado mediante transferencia Nequi desde los fondos del negocio.</t>
  </si>
  <si>
    <t>3. TURNOS DE PERSONAL PAGADOS EN EFECTIVO ($868.000)</t>
  </si>
  <si>
    <t>En las 8 planillas se registran pagos de turnos diarios en efectivo a Wilson ($132.000 + $66.000), Andrés ($66.000 x 4 = $264.000), Sebastián ($66.000 x 3 = $198.000), Marleny ($66.000 x 3 = $198.000) y Taty Vigilancia ($70.000). Estos corresponden a mano de obra operativa directa y no a insumos o compras de inventario.</t>
  </si>
  <si>
    <t>4. GASTOS DE CAJA MENOR PENDIENTES DE SOPORTE TRIBUTARIO</t>
  </si>
  <si>
    <t>Existen egresos menores de cocina y mantenimiento pagados en efectivo que no cuentan con factura electrónica en Excel (por ejemplo: plátano en plaza, yuca $81.000, tilapia $377.500, pulpa de coco $130.000, tornillos $85.000, taxis de emergencia). Representan gastos reales que reducen la utilidad neta pero requieren documento soporte para ser deducibles tributariamente.</t>
  </si>
  <si>
    <t>4. CONCILIACIÓN AUDITORÍA PLANILLAS LIBRO DE CAJA DÍAS 15 AL 18 DE SEPTIEMBRE 2026</t>
  </si>
  <si>
    <t>Soporte / Factura Oficial</t>
  </si>
  <si>
    <t>Diagnóstico y Cruce de Auditoría</t>
  </si>
  <si>
    <t>Pág. 1 (15/09)</t>
  </si>
  <si>
    <t>Johanna / María</t>
  </si>
  <si>
    <t>Andres = $ 66.000</t>
  </si>
  <si>
    <t>Turno de personal operativo cancelado en efectivo de caja menor. Registrado en Detalle Compras.</t>
  </si>
  <si>
    <t>Wilson = $ 66.000</t>
  </si>
  <si>
    <t>Sebastian = $ 66.000</t>
  </si>
  <si>
    <t>Acopi = $ 30.000</t>
  </si>
  <si>
    <t>REGISTRADO EN EXCEL</t>
  </si>
  <si>
    <t>Gasto/compra real de caja menor ingresado a Detalle Compras Septiembre 2026.</t>
  </si>
  <si>
    <t>credito Joan David $ 5000</t>
  </si>
  <si>
    <t>Vale Interno (S/N)</t>
  </si>
  <si>
    <t>Préstamo / anticipo menor a empleado descontable de nómina. Registrado en Detalle Compras.</t>
  </si>
  <si>
    <t>hielo = $ 19.000</t>
  </si>
  <si>
    <t>vino tinto = $ 14.200</t>
  </si>
  <si>
    <t>NOTA: Pago por Nequi, Arreglo Cuarto Frio $ 110.000</t>
  </si>
  <si>
    <t>Pág. 2 (15/09)</t>
  </si>
  <si>
    <t>Recibo de Caja $ 3.500</t>
  </si>
  <si>
    <t>Pezuña, Espinazo $ 144.700</t>
  </si>
  <si>
    <t>Spaguetti $ 16.550</t>
  </si>
  <si>
    <t>Colador $ 14.000</t>
  </si>
  <si>
    <t>Detergente $ 11.100</t>
  </si>
  <si>
    <t>Morcilla (Rellena) $ 90.000</t>
  </si>
  <si>
    <t>Turno Marleny $ 66.000</t>
  </si>
  <si>
    <t>Pág. 3 (16/09)</t>
  </si>
  <si>
    <t>Mazamorra = $ 30.000</t>
  </si>
  <si>
    <t>Gasto real de mazamorra ajustado a $30.000 según manuscrito original Pág. 3.</t>
  </si>
  <si>
    <t>Hielo = $ 34.000</t>
  </si>
  <si>
    <t>YA EN EXCEL</t>
  </si>
  <si>
    <t>Fila 493 (S/N)</t>
  </si>
  <si>
    <t>Ya se encontraba registrado previamente en la fila 493 como taxi Acopi ($30.000).</t>
  </si>
  <si>
    <t>platano verde = $ 76.700</t>
  </si>
  <si>
    <t>Bagre de mar = $ 330.000</t>
  </si>
  <si>
    <t>FAC 194 (Alejandro Ramírez)</t>
  </si>
  <si>
    <t>Conciliado con factura electrónica oficial FAC 194 ($330.000). Se registró vía factura.</t>
  </si>
  <si>
    <t>Toner impresora = $ 69.000</t>
  </si>
  <si>
    <t>Angulos = $ 109.400</t>
  </si>
  <si>
    <t>Alqueria = $ 333.400</t>
  </si>
  <si>
    <t>FEPL3208151 (Alquería)</t>
  </si>
  <si>
    <t>Conciliado con factura electrónica FEPL3208151 ($334.236). Se registró detallado por ítem.</t>
  </si>
  <si>
    <t>Pág. 4 (16/09)</t>
  </si>
  <si>
    <t>Credito Neymar $ 3.800</t>
  </si>
  <si>
    <t>Vale interno ajustado a $3.800 según manuscrito original Pág. 4 que cuadra el efectivo a $1.161.000.</t>
  </si>
  <si>
    <t>Pliego lija $ 6.900</t>
  </si>
  <si>
    <t>Alas $ 70.900</t>
  </si>
  <si>
    <t>Pág. 5 (17/09)</t>
  </si>
  <si>
    <t>Hielo = $ 29.000</t>
  </si>
  <si>
    <t>coca-cola = $ 220.000</t>
  </si>
  <si>
    <t>FVCL 5414446 (FEMSA)</t>
  </si>
  <si>
    <t>Conciliado con factura electrónica FVCL 5414446 ($220.000: 1.5L y 400ml). Se registró vía factura.</t>
  </si>
  <si>
    <t>Pág. 6 (17/09)</t>
  </si>
  <si>
    <t>Turno 4 horas $ 37.700</t>
  </si>
  <si>
    <t>Turno Toty (Fredy) $ 70.000</t>
  </si>
  <si>
    <t>Atados Hojas $ 75.000</t>
  </si>
  <si>
    <t>Masa Tamales $ 31.500</t>
  </si>
  <si>
    <t>Cocos $ 40.000</t>
  </si>
  <si>
    <t>Fibra Amarilla $ 44.000</t>
  </si>
  <si>
    <t>Guasca $ 4.000</t>
  </si>
  <si>
    <t>Laurel $ 4.000</t>
  </si>
  <si>
    <t>Pasta $ 8.000</t>
  </si>
  <si>
    <t>Pág. 7 (18/09)</t>
  </si>
  <si>
    <t>Mazamorra $ 30.000</t>
  </si>
  <si>
    <t>Hielo $ 24.000</t>
  </si>
  <si>
    <t>Acopi $ 30.000</t>
  </si>
  <si>
    <t>Sebastian $ 66.000</t>
  </si>
  <si>
    <t>Andres $ 66.000</t>
  </si>
  <si>
    <t>Pago telefono $ 70.000</t>
  </si>
  <si>
    <t>pastas para sopa $ 8.000</t>
  </si>
  <si>
    <t>Pág. 8 (18/09)</t>
  </si>
  <si>
    <t>cerveza $ 524.200</t>
  </si>
  <si>
    <t>VC247919 (Global Liquors)</t>
  </si>
  <si>
    <t>Conciliado con factura electrónica VC247919 ($524.200: Poker, Club, Stella, Corona, etc.). Se registró vía factura.</t>
  </si>
  <si>
    <t>compra aguacate 2 dias Alejo $ 250.000 (50. Unidades)</t>
  </si>
  <si>
    <t>tilapia $ 378.000</t>
  </si>
  <si>
    <t>FAC 195 (Gabriel Ramírez)</t>
  </si>
  <si>
    <t>Conciliado con factura electrónica oficial FAC 195 ($378.000). Se registró vía factura.</t>
  </si>
  <si>
    <t>turno marleny $ 66.000</t>
  </si>
  <si>
    <t>TOTAL EGRESOS PLANILLAS 15-18</t>
  </si>
  <si>
    <t>5. AUDITORÍA INTEGRAL PLANILLAS LIBRO DE CAJA DÍAS 11 AL 14 DE SEPTIEMBRE 2026</t>
  </si>
  <si>
    <t>5.1 ARQUEO Y CUADRE DE VENTAS / CIERRE DE CAJA POR PLANILLA (DÍAS 11 AL 14)</t>
  </si>
  <si>
    <t>Sede y Responsable</t>
  </si>
  <si>
    <t>Efectivo ($)</t>
  </si>
  <si>
    <t>Total Cuadre ($)</t>
  </si>
  <si>
    <t>Reporte X / Cierre ($)</t>
  </si>
  <si>
    <t>Novedades y Notas de Cuadre</t>
  </si>
  <si>
    <t>Pág. 1 (11/09)</t>
  </si>
  <si>
    <t>Principal (Johanna / Wilson)</t>
  </si>
  <si>
    <t>Se pagó datáfono por Nequi = $72.000.</t>
  </si>
  <si>
    <t>Pág. 2 (11/09)</t>
  </si>
  <si>
    <t>Efectivo: dev. $10k - $7.9k cobro demás 09-sep. Consumo: $94.9k, Ref: $20k.</t>
  </si>
  <si>
    <t>Pág. 3 (12/09)</t>
  </si>
  <si>
    <t>Don Arturo retiró $750.000. Efectivo Claudia $85.000 circulado.</t>
  </si>
  <si>
    <t>Pág. 4 (12/09)</t>
  </si>
  <si>
    <t>Consumo: $230.200, Reforma: $50.000. Cuadre positivo.</t>
  </si>
  <si>
    <t>Pág. 5 (13/09)</t>
  </si>
  <si>
    <t>Cuadre con mínimo ajuste de -$500.</t>
  </si>
  <si>
    <t>Pág. 6 (13/09)</t>
  </si>
  <si>
    <t>Domicilios (Daniela C)</t>
  </si>
  <si>
    <t>Equivale a $50k de Don Arturo Rivera (sencilla). Dif real = +$3.200. Cons: $52k, Ref: $55k.</t>
  </si>
  <si>
    <t>Pág. 7 (14/09)</t>
  </si>
  <si>
    <t>Principal (Lucero)</t>
  </si>
  <si>
    <t>Faltante en caja registrado de -$50.800.</t>
  </si>
  <si>
    <t>Pág. 8 (14/09)</t>
  </si>
  <si>
    <t>Cons: $47.2k, Ref: $15k. Efectivo acum. 11-14 sep suma $10.943.000.</t>
  </si>
  <si>
    <t>TOTAL CONSOLIDADO ARQUEOS PÁGS 1-8</t>
  </si>
  <si>
    <t>8 PLANILLAS AUDITADAS</t>
  </si>
  <si>
    <t>VENTAS TOTALES CONSOLIDADAS: $37.69M</t>
  </si>
  <si>
    <t>5.2 CRUCE Y CONCILIACIÓN DETALLADA DE EGRESOS DE CAJA MENOR (DÍAS 11 AL 14)</t>
  </si>
  <si>
    <t>Turno Andrés = $66.000</t>
  </si>
  <si>
    <t>Fila 387 (S/N)</t>
  </si>
  <si>
    <t>Turno operativo registrado en Detalle Compras.</t>
  </si>
  <si>
    <t>Turno Sebastián = $66.000</t>
  </si>
  <si>
    <t>Fila 388 (S/N)</t>
  </si>
  <si>
    <t>Turno Wilson = $66.000</t>
  </si>
  <si>
    <t>Fila 389 (S/N)</t>
  </si>
  <si>
    <t>Hielo = $29.000</t>
  </si>
  <si>
    <t>Fila 394 (S/N)</t>
  </si>
  <si>
    <t>Compra de hielo registrada en Detalle Compras.</t>
  </si>
  <si>
    <t>Acopi = $30.000</t>
  </si>
  <si>
    <t>Fila 391 (S/N)</t>
  </si>
  <si>
    <t>Taxi Acopi registrado en Detalle Compras.</t>
  </si>
  <si>
    <t>Pedido tornillos = $85.000</t>
  </si>
  <si>
    <t>Fila 393 (S/N)</t>
  </si>
  <si>
    <t>Ferretería registrada en Detalle Compras.</t>
  </si>
  <si>
    <t>Crema de leche = $77.300</t>
  </si>
  <si>
    <t>Fila 395 (S/N)</t>
  </si>
  <si>
    <t>Insumo lácteo registrado en Detalle Compras.</t>
  </si>
  <si>
    <t>Pastas La Muñeca = $46.500</t>
  </si>
  <si>
    <t>Fila 396 (S/N)</t>
  </si>
  <si>
    <t>Pastas registradas en Detalle Compras.</t>
  </si>
  <si>
    <t>Tilapia = $377.500</t>
  </si>
  <si>
    <t>Fila 390 (S/N)</t>
  </si>
  <si>
    <t>Compra pescado registrada en Detalle Compras.</t>
  </si>
  <si>
    <t>Transporte Lina = $40.000</t>
  </si>
  <si>
    <t>Fila 418 (S/N)</t>
  </si>
  <si>
    <t>Transporte personal registrado en Detalle Compras.</t>
  </si>
  <si>
    <t>Transporte Deisy = $26.700</t>
  </si>
  <si>
    <t>Fila 419 (S/N)</t>
  </si>
  <si>
    <t>Transporte Enith = $50.000</t>
  </si>
  <si>
    <t>Fila 417 (S/N)</t>
  </si>
  <si>
    <t>Transporte Marleny = $20.000</t>
  </si>
  <si>
    <t>Fila 416 (S/N)</t>
  </si>
  <si>
    <t>Eliana Garcés (ela cobra) = $345.000</t>
  </si>
  <si>
    <t>NUEVO REGISTRO</t>
  </si>
  <si>
    <t>Fila 687 (S/N)</t>
  </si>
  <si>
    <t>Pago honorarios / servicios operativos en efectivo.</t>
  </si>
  <si>
    <t>Bocadillo = $130.550</t>
  </si>
  <si>
    <t>Filas 420-422 (X3414005108)</t>
  </si>
  <si>
    <t>Conciliado con factura Alkosto X3414005108 ($130.550).</t>
  </si>
  <si>
    <t>Mayonesa, Fécula = $35.900</t>
  </si>
  <si>
    <t>Filas 423-424 (S/N)</t>
  </si>
  <si>
    <t>Conciliado con Mayonesa ($29.9k) + Fécula ($6k) = $35.9k.</t>
  </si>
  <si>
    <t>Bagre (09-09-26) = $330.000</t>
  </si>
  <si>
    <t>Fila 313 (FAC 191)</t>
  </si>
  <si>
    <t>Pago en efectivo de factura electrónica Gabriel Ramírez FAC 191.</t>
  </si>
  <si>
    <t>Aguacates (Alejandro) = $190.000</t>
  </si>
  <si>
    <t>Fila 688 (S/N)</t>
  </si>
  <si>
    <t>Compra directa aguacates a proveedor Alejandro.</t>
  </si>
  <si>
    <t>Turno Marleny = $66.000</t>
  </si>
  <si>
    <t>Fila 414 (S/N)</t>
  </si>
  <si>
    <t>Marleny horas adicionales 6 = $49.500</t>
  </si>
  <si>
    <t>Fila 415 (S/N)</t>
  </si>
  <si>
    <t>Horas adicionales registradas en Detalle Compras.</t>
  </si>
  <si>
    <t>Fila 689 (S/N)</t>
  </si>
  <si>
    <t>Turno de personal operativo salón en efectivo.</t>
  </si>
  <si>
    <t>Fila 690 (S/N)</t>
  </si>
  <si>
    <t>Fila 691 (S/N)</t>
  </si>
  <si>
    <t>Don Arturo recogió efectivo socio = $750.000</t>
  </si>
  <si>
    <t>Fila 692 (S/N)</t>
  </si>
  <si>
    <t>Retiro de efectivo socio de caja menor.</t>
  </si>
  <si>
    <t>Crédito Don Arturo = $241.800</t>
  </si>
  <si>
    <t>Fila 693 (S/N)</t>
  </si>
  <si>
    <t>Vale interno / anticipo socio de caja menor.</t>
  </si>
  <si>
    <t>Aceite = $138.000</t>
  </si>
  <si>
    <t>Fila 452 (L1R9193858)</t>
  </si>
  <si>
    <t>Conciliado con factura Aceite Soya ($137.940).</t>
  </si>
  <si>
    <t>Arepas = $180.000</t>
  </si>
  <si>
    <t>Fila 454 (Fac 0808)</t>
  </si>
  <si>
    <t>Conciliado con factura 0808 de Arepas ($180.000).</t>
  </si>
  <si>
    <t>Hielo = $34.000</t>
  </si>
  <si>
    <t>Filas 456-457 (SF45157)</t>
  </si>
  <si>
    <t>Conciliado con factura SF45157 Hielo El Nevado ($19k+$15k=$34k).</t>
  </si>
  <si>
    <t>Chorizos = $38.200</t>
  </si>
  <si>
    <t>Fila 694 (S/N)</t>
  </si>
  <si>
    <t>Compra de chorizos en efectivo caja menor.</t>
  </si>
  <si>
    <t>Cerveza = $83.000</t>
  </si>
  <si>
    <t>Filas 460-463 (V03-105561)</t>
  </si>
  <si>
    <t>Conciliado con Cañaveral V03-105561 (4 Coronita x $20.75k = $83k).</t>
  </si>
  <si>
    <t>Yuca = $90.000</t>
  </si>
  <si>
    <t>Fila 453 (S/N)</t>
  </si>
  <si>
    <t>Conciliado con compra de Yuca pelada ($90.000).</t>
  </si>
  <si>
    <t>Toro Toro = $100.000</t>
  </si>
  <si>
    <t>Fila 695 (S/N)</t>
  </si>
  <si>
    <t>Compra cárnicos Toro Toro en efectivo.</t>
  </si>
  <si>
    <t>Fila 696 (S/N)</t>
  </si>
  <si>
    <t>Turno de personal operativo cocina domicilios.</t>
  </si>
  <si>
    <t>Fila 697 (S/N)</t>
  </si>
  <si>
    <t>Turno de personal operativo apoyo domicilios.</t>
  </si>
  <si>
    <t>Fila 698 (S/N)</t>
  </si>
  <si>
    <t>Apoyo de transporte operativo personal.</t>
  </si>
  <si>
    <t>Transporte 2 días Danilo = $30.000</t>
  </si>
  <si>
    <t>Fila 699 (S/N)</t>
  </si>
  <si>
    <t>Apoyo de transporte 2 días Danilo.</t>
  </si>
  <si>
    <t>Transporte Deicy = $27.500</t>
  </si>
  <si>
    <t>Fila 700 (S/N)</t>
  </si>
  <si>
    <t>Apoyo de transporte operativo Deicy.</t>
  </si>
  <si>
    <t>Fila 701 (S/N)</t>
  </si>
  <si>
    <t>Apoyo de transporte operativo Enith.</t>
  </si>
  <si>
    <t>Huevo = $147.000</t>
  </si>
  <si>
    <t>Fila 451 (S/N)</t>
  </si>
  <si>
    <t>Conciliado con compra panal huevos ($147.000).</t>
  </si>
  <si>
    <t>Fila 702 (S/N)</t>
  </si>
  <si>
    <t>Fila 703 (S/N)</t>
  </si>
  <si>
    <t>Espinazo = $68.000</t>
  </si>
  <si>
    <t>Fila 472 (S/N)</t>
  </si>
  <si>
    <t>Conciliado con 7 lbs espinazo ($68.000).</t>
  </si>
  <si>
    <t>15 Aguacates = $105.000</t>
  </si>
  <si>
    <t>Fila 471 (S/N)</t>
  </si>
  <si>
    <t>Conciliado con 15 aguacates ($105.000).</t>
  </si>
  <si>
    <t>Cabezas de tilapia = $28.000</t>
  </si>
  <si>
    <t>Fila 473 (S/N)</t>
  </si>
  <si>
    <t>Conciliado con 7 lbs cabeza tilapia ($28.200).</t>
  </si>
  <si>
    <t>Romero = $3.000</t>
  </si>
  <si>
    <t>Fila 474 (S/N)</t>
  </si>
  <si>
    <t>Conciliado con hierba aromática romero ($3.000).</t>
  </si>
  <si>
    <t>Mixtura = $6.200</t>
  </si>
  <si>
    <t>Fila 475 (S/N)</t>
  </si>
  <si>
    <t>Conciliado con saldo mixtura ($6.200).</t>
  </si>
  <si>
    <t>Hielo = $20.000</t>
  </si>
  <si>
    <t>Fila 470 (SF45191)</t>
  </si>
  <si>
    <t>Conciliado con factura SF45191 Hielo El Nevado ($20.000).</t>
  </si>
  <si>
    <t>Mazamorra (Freddy Bravo) = $20.000</t>
  </si>
  <si>
    <t>Fila 704 (S/N)</t>
  </si>
  <si>
    <t>Compra mazamorra en efectivo a Freddy Bravo.</t>
  </si>
  <si>
    <t>Factura Postobón = $319.100</t>
  </si>
  <si>
    <t>Filas 512-526 (JM07-1019725)</t>
  </si>
  <si>
    <t>Conciliado con factura Postobón JM07-1019725 registrada en Detalle Compras.</t>
  </si>
  <si>
    <t>Pezuña = $81.100</t>
  </si>
  <si>
    <t>Fila 705 (S/N)</t>
  </si>
  <si>
    <t>Compra pezuña de cerdo en efectivo de caja menor.</t>
  </si>
  <si>
    <t>Turno Martha Collazos = $70.000</t>
  </si>
  <si>
    <t>Fila 706 (S/N)</t>
  </si>
  <si>
    <t>Crédito Carolina = $22.500</t>
  </si>
  <si>
    <t>Fila 707 (S/N)</t>
  </si>
  <si>
    <t>Vale interno / préstamo menor a empleada Carolina.</t>
  </si>
  <si>
    <t>Crédito Daniela = $9.000</t>
  </si>
  <si>
    <t>Fila 708 (S/N)</t>
  </si>
  <si>
    <t>Vale interno / préstamo menor a empleada Daniela.</t>
  </si>
  <si>
    <t>Crédito María Bertilda = $24.500</t>
  </si>
  <si>
    <t>Fila 709 (S/N)</t>
  </si>
  <si>
    <t>Vale interno / préstamo menor a empleada Bertilda.</t>
  </si>
  <si>
    <t>Turno Marleny Cocina = $66.000</t>
  </si>
  <si>
    <t>Fila 710 (S/N)</t>
  </si>
  <si>
    <t>Fila 711 (S/N)</t>
  </si>
  <si>
    <t>Fila 712 (S/N)</t>
  </si>
  <si>
    <t>Fila 713 (S/N)</t>
  </si>
  <si>
    <t>Pasillo 9 = $138.000</t>
  </si>
  <si>
    <t>Fila 483 (RAM14329)</t>
  </si>
  <si>
    <t>Conciliado con factura pocillos Corona RAM14329 ($138.000).</t>
  </si>
  <si>
    <t>Fila 714 (S/N)</t>
  </si>
  <si>
    <t>Taxi Acopi transporte operativo.</t>
  </si>
  <si>
    <t>Filas 481-482 (SF45222)</t>
  </si>
  <si>
    <t>Conciliado con factura SF45222 Hielo El Nevado ($19k+$10k=$29k).</t>
  </si>
  <si>
    <t>Coca-Cola = $126.500</t>
  </si>
  <si>
    <t>Filas 468-469 (FVCL 5378420/21)</t>
  </si>
  <si>
    <t>Conciliado con facturas FVCL 5378420 ($64k) + 5378421 ($62.5k) = $126.5k.</t>
  </si>
  <si>
    <t>TOTAL EGRESOS PLANILLAS 11-14</t>
  </si>
  <si>
    <t>62 PARTIDAS AUDITADAS</t>
  </si>
  <si>
    <t>8 PLANILLAS REVISADAS</t>
  </si>
  <si>
    <t>28 nuevos registros incorporados a Detalle Compras; el restante plenamente cruzado con facturas/remisiones oficiales.</t>
  </si>
  <si>
    <t>6. ARQUEO Y CUADRE DE VENTAS / CIERRES DE CAJA DÍAS 15 AL 18 DE SEPTIEMBRE 2026</t>
  </si>
  <si>
    <t>6.1 ARQUEO Y CUADRE DE VENTAS POR PLANILLA (DÍAS 15 AL 18 - 8 PLANILLAS)</t>
  </si>
  <si>
    <t>Cuadre exacto (-$100). Arreglo cuarto frío $110k pagado por Nequi.</t>
  </si>
  <si>
    <t>Retiro Nequi $1.38M; Faltante $50k; Z1 $2.102M; Z2 $4.476M. Consumo: $80.8k, Ref: $20k.</t>
  </si>
  <si>
    <t>Cuadre perfecto ($0 diferencia). Reporte X exacto $2.754.800.</t>
  </si>
  <si>
    <t>Consumo: $68.800, Reforma: $23.000. Desfase mínimo de -$500.</t>
  </si>
  <si>
    <t>Cuadre positivo +$1.250 frente a reporte X.</t>
  </si>
  <si>
    <t>+$3.400 cobro doble hielo. Z1 $2.378M; Z2 $4.010M. Cons: $87.7k, Ref: $70k.</t>
  </si>
  <si>
    <t>Relación Cuadre caja Johanna Pág. 24. Diferencia mínima +$500.</t>
  </si>
  <si>
    <t>Cuadre perfecto ($0 diferencia). Consumo: $93.8k, Reforma: $25k.</t>
  </si>
  <si>
    <t>8 PLANILLAS DÍAS 15 AL 18</t>
  </si>
  <si>
    <t>VENTAS TOTALES CONSOLIDADAS: $24.11M</t>
  </si>
  <si>
    <t>DIA</t>
  </si>
  <si>
    <t>TOTAL SUMATORIA</t>
  </si>
  <si>
    <t>DESP-0493</t>
  </si>
  <si>
    <t>FAC-2860</t>
  </si>
  <si>
    <t>0515</t>
  </si>
  <si>
    <t>Categoría (Pestaña)</t>
  </si>
  <si>
    <t>Ítem (Exacto en tu Excel)</t>
  </si>
  <si>
    <t>Vr. Compra (Total)</t>
  </si>
  <si>
    <t>[REPETIDA - Agosto R794] CADERITA DE RES (MYC - FE01533 23-Ago-2026)</t>
  </si>
  <si>
    <t xml:space="preserve">Higado </t>
  </si>
  <si>
    <t>[REPETIDA - Agosto R795] HIGADO DE RES (MYC - FE01533 23-Ago-2026)</t>
  </si>
  <si>
    <t>LOMO VICHE ESPECIAL DE RES (MYC - FE01516 14-Ago-2026)</t>
  </si>
  <si>
    <t>SOBREBARRIGA DE RES (MYC - FE01529 20-Ago-2026)</t>
  </si>
  <si>
    <t>LOMO VICHE ESPECIAL (MYC - FE01529 20-Ago-2026)</t>
  </si>
  <si>
    <t>MORRILLO (MYC - FE01529 20-Ago-2026)</t>
  </si>
  <si>
    <t>[REPETIDA - Factura FV2507 física duplicada de FE01529] Lomo viche Especial de Res (Alonso Orozco - Factura 2507 20-Ago-2026)</t>
  </si>
  <si>
    <t>[REPETIDA - Factura FV2507 física duplicada de FE01529] Sobrebarriga Gruesa de Res (Alonso Orozco - Factura 2507 20-Ago-2026)</t>
  </si>
  <si>
    <t>[REPETIDA - Factura FV2507 física duplicada de FE01529] Morrillo de Res (Alonso Orozco - Factura 2507 20-Ago-2026)</t>
  </si>
  <si>
    <t>CADERITA DE RES (MYC - FE01523 19-Ago-2026)</t>
  </si>
  <si>
    <t>COSTILLA DE RES (MYC - FE01522 19-Ago-2026)</t>
  </si>
  <si>
    <t>SOBREBARRIGA DE RES (MYC - FE01522 19-Ago-2026)</t>
  </si>
  <si>
    <t>[REPETIDA - Agosto R775] SOBREBARRIGA DE RES (MYC - FE01534 24-Ago-2026)</t>
  </si>
  <si>
    <t>[REPETIDA - Agosto R776] CADERITA DE RES (MYC - FE01534 24-Ago-2026)</t>
  </si>
  <si>
    <t>[REPETIDA - Agosto R796] SOBREBARRIGA DE RES (MYC - FE01532 22-Ago-2026)</t>
  </si>
  <si>
    <t>200 arepas (Cuenta de Cobro 31-Ago-2026)</t>
  </si>
  <si>
    <t>SOBREBARRIGA DE RES (MYC - Factura 0296 28-Ago-2026)</t>
  </si>
  <si>
    <t>LENGUA DE RES (MYC - Factura 0296 28-Ago-2026)</t>
  </si>
  <si>
    <t>CALLO DE RES (MYC - Factura FE01551 29-Ago-2026)</t>
  </si>
  <si>
    <t>LOMO VICHE ESPECIAL DE RES (MYC - Factura FE01551 29-Ago-2026)</t>
  </si>
  <si>
    <t>Pata de res</t>
  </si>
  <si>
    <t>PATA DE RES (MYC - Factura FE01552 31-Ago-2026)</t>
  </si>
  <si>
    <t>CADERITA DE RES (MYC - Factura FE01552 31-Ago-2026)</t>
  </si>
  <si>
    <t>Descripción Original (PDF / Motivo Duplicado)</t>
  </si>
  <si>
    <t>[REPETIDA - Factura VC242247 ya en filas 20-23] CERV.STEL ARTOIS*300ml BOT (Global Liquors)</t>
  </si>
  <si>
    <t>[REPETIDA - Factura VC242247 ya en filas 20-23] CERV.CLUB DOR LATA*330 (Global Liquors)</t>
  </si>
  <si>
    <t>[REPETIDA - Factura VC242247 ya en filas 20-23] CERV.CORONA*330ml (Global Liquors)</t>
  </si>
  <si>
    <t>[REPETIDA - Factura VC242247 ya en filas 20-23] CERV.POKER*330 LATA (Global Liquors)</t>
  </si>
  <si>
    <t>[REPETIDA - Factura FAC-188 ya en fila 24] BAGRE DE MAR (Gabriel Ramirez Cubillos)</t>
  </si>
  <si>
    <t>[REPETIDA - Factura VC242401 ya en filas 31-33] BEB.GATORADE*500ml SURT. (Global Liquors)</t>
  </si>
  <si>
    <t>[REPETIDA - Factura VC242401 ya en filas 31-33] AGUA H2O*600ml SURTIDA (Global Liquors)</t>
  </si>
  <si>
    <t>[REPETIDA - Factura VC242401 ya en filas 31-33] BEB.EN.*380 VIVE100 (Global Liquors)</t>
  </si>
  <si>
    <t>[REPETIDA - Factura FEPL-3167991 ya en filas 12-19] CREMA DE LECHE 1000G (Alquería)</t>
  </si>
  <si>
    <t>[REPETIDA - Factura FEPL-3167991 ya en filas 12-19] AVENA PRO CUBANA VASO 220G (Alquería)</t>
  </si>
  <si>
    <t>[REPETIDA - Factura FEPL-3167991 ya en filas 12-19] AVENA PRO AUTENTICA VASO 220G (Alquería)</t>
  </si>
  <si>
    <t>[REPETIDA - Factura FEPL-3167991 ya en filas 12-19] TANGELO BOTELLA 400 ML (Alquería)</t>
  </si>
  <si>
    <t>[REPETIDA - Factura FEPL-3167991 ya en filas 12-19] ACTIGEST VAS 140G PIT CCB TT (Alquería)</t>
  </si>
  <si>
    <t>[REPETIDA - Factura FEPL-3167991 ya en filas 12-19] ALQUERIA CER 170G FLIPS (Alquería)</t>
  </si>
  <si>
    <t>[REPETIDA - Factura FEPL-3167991 ya en filas 12-19] ALQUERÍA HOJUELAS 170GR (Alquería)</t>
  </si>
  <si>
    <t>[REPETIDA - Factura FEPL-3167991 ya en filas 12-19] SABOR ORIGINAL INSTITUCIONAL 1100ML (Alquería)</t>
  </si>
  <si>
    <t>[REPETIDA - Factura FVCL 5289980 ya en filas 36-40] AGUA BRISA PET 600ML (24) (Coca-Cola FEMSA)</t>
  </si>
  <si>
    <t>COMP-D3</t>
  </si>
  <si>
    <t>[REPETIDA - Factura FVCL 5289980 ya en filas 36-40] COCA COLA 1.5LT PET(12) Nvo (Coca-Cola FEMSA)</t>
  </si>
  <si>
    <t>[REPETIDA - Factura FVCL 5289980 ya en filas 36-40] COCA COLA ZERO 1.5LT PET(12)KZ (Coca-Cola FEMSA)</t>
  </si>
  <si>
    <t>[REPETIDA - Factura FVCL 5289980 ya en filas 36-40] COCA COLA ZERO 400ML PET(12)KZ (Coca-Cola FEMSA)</t>
  </si>
  <si>
    <t>[REPETIDA - Factura FVCL 5289980 ya en filas 36-40] COCA-COLA 400ML PET (12) (Coca-Cola FEMSA)</t>
  </si>
  <si>
    <t>[REPETIDA - Factura FVCL 5289979 ya en filas 41-43] QUATRO CHOICE 400ML NR (12) (Coca-Cola FEMSA)</t>
  </si>
  <si>
    <t>[REPETIDA - Factura FVCL 5289979 ya en filas 41-43] PREMIO ROJO FNT 400 ML PET(12) (Coca-Cola FEMSA)</t>
  </si>
  <si>
    <t>[REPETIDA - Factura FVCL 5289979 ya en filas 41-43] SPRITE 400 ML NR (12) (Coca-Cola FEMSA)</t>
  </si>
  <si>
    <t>[REPETIDA - Factura FEC 2928 ya en fila 30] LIMONADA DE COCO FUSIONADA X 10 (Henry Castaño)</t>
  </si>
  <si>
    <t>[REPETIDA - Factura FEBF-33 ya en fila 49] LOMO DE CERDO (Fabian Bonilla)</t>
  </si>
  <si>
    <t>[REPETIDA - Factura YP24244 ya en filas 50-58] CAMARON DE CULTIVO PRECOCIDO 91-110P (Carnes Los Monos)</t>
  </si>
  <si>
    <t>[REPETIDA - Factura YP24244 ya en filas 50-58] COSTILLA DE RES DELANTERA (Carnes Los Monos)</t>
  </si>
  <si>
    <t>[REPETIDA - Factura YP24244 ya en filas 50-58] COSTILLA SAN LUIS JUNIOR T/M (Carnes Los Monos)</t>
  </si>
  <si>
    <t>[REPETIDA - Factura YP24244 ya en filas 50-58] LOMO CARACHO PORCIONADO PARRILLA (Carnes Los Monos)</t>
  </si>
  <si>
    <t>[REPETIDA - Factura YP24244 ya en filas 50-58] PUNTA DE ANCA IMP PORC. PARRILLA (Carnes Los Monos)</t>
  </si>
  <si>
    <t>[REPETIDA - Factura YP24244 ya en filas 50-58] SOBACO (Carnes Los Monos)</t>
  </si>
  <si>
    <t>[REPETIDA - Factura YP24244 ya en filas 50-58] SOBREBARRIGA DELGADA (Carnes Los Monos)</t>
  </si>
  <si>
    <t>[REPETIDA - Factura YP24244 ya en filas 50-58] TOCINETA BARRIL (Carnes Los Monos)</t>
  </si>
  <si>
    <t>[REPETIDA - Factura YP24244 ya en filas 50-58] PAPA A LA FRANCESA PAQ 2.5 KL (Carnes Los Monos)</t>
  </si>
  <si>
    <t>[REPETIDA - Factura MY8683 ya en filas 61-64] MORRILLO DE RES (Carnes Los Monos)</t>
  </si>
  <si>
    <t>[REPETIDA - Factura MY8683 ya en filas 61-64] SOBACO (Carnes Los Monos)</t>
  </si>
  <si>
    <t>[REPETIDA - Factura MY8683 ya en filas 61-64] SOBREBARRIGA DELGADA (Carnes Los Monos)</t>
  </si>
  <si>
    <t>[REPETIDA - Factura MY8683 ya en filas 61-64] AJO PELADO X 1KG (Carnes Los Monos)</t>
  </si>
  <si>
    <t>FE01529</t>
  </si>
  <si>
    <t>FE01532</t>
  </si>
  <si>
    <t>FE01533</t>
  </si>
  <si>
    <t>FE01534</t>
  </si>
  <si>
    <t>[REPETIDA - Doc 1 Pág 2 ya en fila 112] Taxi - Acopi (Recibo Caja Menor 04-Sep-2026)</t>
  </si>
  <si>
    <t>[REPETIDA - Factura 0000006666 ya registrada (Doc 3 Pág 4 y 5 escaneada duplicada)] CHORIZO COCTELERO Y PREMIUM (Cárnicos Montero)</t>
  </si>
  <si>
    <t>[REPETIDA - Anticipo compra de aguacates legalizada en RCM 06/09/26 de $204.000] ANTICIPO ALEJANDRO COMPRA AGUACATES (Recibo Caja Menor)</t>
  </si>
  <si>
    <t>ANTICIPO-AGUACATES</t>
  </si>
  <si>
    <t>[REPETIDA - Factura 925 es copia de REM-08-09-2026 ya en fila 242] FILETE DE POLLO X 350G</t>
  </si>
  <si>
    <t>[REPETIDA - Factura 925 es copia de REM-08-09-2026 ya en fila 244] PERNIL DE POLLO CAMPO</t>
  </si>
  <si>
    <t>[REPETIDA - Factura 926 es copia de REM-09-09-2026 ya en fila 285] FILETE DE POLLO X 350G</t>
  </si>
  <si>
    <t>[REPETIDA - Factura 926 es copia de REM-09-09-2026 ya en fila 286] PERNIL DE POLLO CAMPO</t>
  </si>
  <si>
    <t>[REPETIDA - Factura 927 es copia de REM-10-Sep-2026 ya en fila 324] PERNIL DE POLLO CAMPO</t>
  </si>
  <si>
    <t>927</t>
  </si>
  <si>
    <t>Carne de Res</t>
  </si>
  <si>
    <t>[REPETIDA - Factura MY8828 ya ingresada el 16/09 en fila 396] SOBACO</t>
  </si>
  <si>
    <t>[REPETIDA - Factura MY8828 ya ingresada el 16/09 en fila 397] MUCHACHO DE RES</t>
  </si>
  <si>
    <t>[REPETIDA - Factura RAM14329 ya ingresada el 16/09 en fila 420] POCILLO TE 250 CC</t>
  </si>
  <si>
    <t>Bolsa Plástica</t>
  </si>
  <si>
    <t>[REPETIDA - Factura RAM14329 ya ingresada el 16/09 en fila 420] BOLSA PLASTICA T40</t>
  </si>
  <si>
    <t>[REPETIDA - Remisión NV203424 corresponde a factura SF45157 ya en filas 445-446] BLOQUE MEDIA</t>
  </si>
  <si>
    <t>NV203424</t>
  </si>
  <si>
    <t>[REPETIDA - Remisión NV203424 corresponde a factura SF45157 ya en filas 445-446] BOLSA X 5 KL</t>
  </si>
  <si>
    <t>[REPETIDA - Remisión NV203461 corresponde a factura SF45191 ya en fila 453] BOLSA X 5 KL</t>
  </si>
  <si>
    <t>NV203461</t>
  </si>
  <si>
    <t>[REPETIDA - Factura Electrónica FE01608 es soporte de remisión 2909 en fila 392] SOBREBARRIGA DELGADA</t>
  </si>
  <si>
    <t>FE01608</t>
  </si>
  <si>
    <t>[REPETIDA - Factura Electrónica FE01608 es soporte de remisión 2909 en fila 393] CALLO DE RES</t>
  </si>
  <si>
    <t>[REPETIDA - Factura Electrónica FE01609 es soporte de remisión 2914 en fila 391] CALLO DE RES</t>
  </si>
  <si>
    <t>FE01609</t>
  </si>
  <si>
    <t>Cadera de Res</t>
  </si>
  <si>
    <t>[REPETIDA - Factura Electrónica FE01610 es soporte de remisión 2925 en fila 394] CADERITA DE RES</t>
  </si>
  <si>
    <t>FE01610</t>
  </si>
  <si>
    <t>Costilla de Res</t>
  </si>
  <si>
    <t>[REPETIDA - Factura Electrónica FE01610 es soporte de remisión 2925 en fila 395] COSTILLA ESPECIAL DE RES</t>
  </si>
  <si>
    <t>[ANULADA - Factura FEBF-35 anulada con Nota Crédito NC1 y reemplazada por FEBF-36] LOMO DE CERDO</t>
  </si>
  <si>
    <t>FEBF-35</t>
  </si>
  <si>
    <t>Servicios temporales</t>
  </si>
  <si>
    <t>[SOPORTE ELECTRÓNICO - FELE11955 respalda pago en fila 377] SERVICIOS TEMPORALES + AIU (GIT Organizacional)</t>
  </si>
  <si>
    <t>Verduras varias</t>
  </si>
  <si>
    <t>[SOPORTE ELECTRÓNICO - FEFM 5710, 5716, 5727 respaldan pago en fila 384] VERDURAS CHUCHO</t>
  </si>
  <si>
    <t>FEFM 5710/5716/5727</t>
  </si>
  <si>
    <t>Carnes varias</t>
  </si>
  <si>
    <t>[SOPORTE ELECTRÓNICO - YP24089 respalda Inventario Inicial fila 12 y pago fila 376] CARNES SURTIDAS (ET Los Monos)</t>
  </si>
  <si>
    <t>Pintura y solventes</t>
  </si>
  <si>
    <t>[REPETIDA - Factura FESR-3837 ya registrada en filas 268-271] MADETEC, CATALIZADOR, THINNER, BARNEX (Pintu Special)</t>
  </si>
  <si>
    <t>Televisor y Base</t>
  </si>
  <si>
    <t>[REPETIDA - Factura X7484003215 ya registrada en fila 176] TV CHALLENGER 32 + BASE KALLEY (Alkosto)</t>
  </si>
  <si>
    <t>Bebidas / Insumos</t>
  </si>
  <si>
    <t>Lácteos Alquería</t>
  </si>
  <si>
    <t>[REPETIDA - Factura FEPL3188356 ya registrada en filas 542-551 bajo remisión MA42914] LECHE, CREMA, ALQUEMIX, JUGOS (Alquería)</t>
  </si>
  <si>
    <t>FEPL3188356</t>
  </si>
  <si>
    <t>Supermercado Cañaveral</t>
  </si>
  <si>
    <t>[REPETIDA - Factura 08FH337898 ya registrada en filas 552-563] HABICHUELA, BLANQUILLO, VÍSCERAS (Cañaveral)</t>
  </si>
  <si>
    <t>[REPETIDA - Factura FVE 130 ya registrada en filas 529-532] TILAPIA, SALMÓN, TRUCHA, MARISCOS (Frio Sabor)</t>
  </si>
  <si>
    <t>Grano / Abarrotes</t>
  </si>
  <si>
    <t>[REPETIDA - Factura DP-4833 ya registrada en filas 86-88] ARROZ, AZÚCAR, SAL (Piamonte)</t>
  </si>
  <si>
    <t>[REPETIDA - Factura DP-4847 ya registrada en filas 507-510] ARROZ, PANELA, MERCANCÍAS (Piamonte)</t>
  </si>
  <si>
    <t>[REPETIDA - Factura FE1-49726 ya registrada en fila 505] COSTILLA DE CERDO (Armar Alimentos)</t>
  </si>
  <si>
    <t>[REPETIDA - Factura FE1-49890 ya registrada en fila 503] COSTILLA DE CERDO (Armar Alimentos)</t>
  </si>
  <si>
    <t>Pollo</t>
  </si>
  <si>
    <t>[REPETIDA - Facturas 916 y 917 ya registradas en filas 8, 9, 46] FILETE Y PERNIL DE POLLO (Cárnicos Valencia)</t>
  </si>
  <si>
    <t>FAC-916/917</t>
  </si>
  <si>
    <t>[REPETIDA - Factura 920 ya registrada en fila 143] FILETE DE POLLO (Cárnicos Valencia)</t>
  </si>
  <si>
    <t>Res</t>
  </si>
  <si>
    <t>[REPETIDA - Facturas FE01569, FE01570, FE01576 ya en filas 79-85] COSTILLA, CADERITA, LOMO, CALLO, HÍGADO (MYC)</t>
  </si>
  <si>
    <t>FE01569/70/76</t>
  </si>
  <si>
    <t>Cerdo</t>
  </si>
  <si>
    <t>[REPETIDA - Factura FEBF-33 ya registrada en fila 98] LOMO DE CERDO 26.5KG (Fabian Bonilla)</t>
  </si>
  <si>
    <t>Aromatizador</t>
  </si>
  <si>
    <t>[REPETIDA - Factura ONFv-22064 ya registrada en fila 533] AROMATIZADOR BRISA EN SPRAY (ON 24)</t>
  </si>
  <si>
    <t>ONFv-22064</t>
  </si>
  <si>
    <t>Limonada de Coco</t>
  </si>
  <si>
    <t>[REPETIDA - Factura FEC 2940 ya registrada en fila 535] LIMONADA DE COCO FUSIONADA (Henry Castaño)</t>
  </si>
  <si>
    <t>[REPETIDA - Factura YP24244 ya registrada en filas 148-156] COSTILLA, LOMO, SOBREBARRIGA (ET Los Monos)</t>
  </si>
  <si>
    <t>Televisor Challenger 32"</t>
  </si>
  <si>
    <t>[REPETIDA - Factura X7484003215 ya registrada en fila 176] TELEVISOR CHALLENGER 32 LED (Alkosto)</t>
  </si>
  <si>
    <t>X748-4003215</t>
  </si>
  <si>
    <t>Base Kalley BrazoFlex 13" a 42"</t>
  </si>
  <si>
    <t>[REPETIDA - Factura X7484003215 ya registrada en fila 176] BASE KALLEY 32-55 (Alkosto)</t>
  </si>
  <si>
    <t>[REPETIDA - Factura Z1284001674 ya registrada en fila 536] TABLET LENOVO TAB 12 PLUS (Alkosto)</t>
  </si>
  <si>
    <t>Z128-4001674</t>
  </si>
  <si>
    <t>[REPETIDA - Factura Z1284001674 ya registrada en fila 537] DESODORANTE SIENNA NATURAL (Alkosto)</t>
  </si>
  <si>
    <t>[REPETIDA - Factura Z1284001674 ya registrada en fila 538] CERA CAPILAR MAGNO (Alkosto)</t>
  </si>
  <si>
    <t>[REPETIDA - Factura Z1284001674 ya registrada en fila 539] ROSQUILLAS CALENAS (Alkosto)</t>
  </si>
  <si>
    <t>[REPETIDA - Factura Z1284001674 ya registrada en fila 540] CAFE COLCAFE CAPPUCCINO (Alkosto)</t>
  </si>
  <si>
    <t>[REPETIDA - Factura Z1284001674 ya registrada en fila 541] IMPUESTO BOLSA (Alkosto)</t>
  </si>
  <si>
    <t>Cerveza Coronita 210ml x 6</t>
  </si>
  <si>
    <t>[REPETIDA - Factura V03-105561 ya registrada en filas 460-463] 4 PACKS CERVEZA CORONITA 210ML (Cañaveral)</t>
  </si>
  <si>
    <t>03FH105561</t>
  </si>
  <si>
    <t>Arroz, Azúcar, Panela, Chocolate</t>
  </si>
  <si>
    <t>[REPETIDA - Remisión DP-4855 ya registrada en filas 464-467] VÍVERES Y ABARROTES $1.130.000 (Granero Piamonte)</t>
  </si>
  <si>
    <t>[REPETIDA - Factura FEBF-34 / Remisión 89 A ya registrada en fila 245] LOMO CERDO 13.6KG (Fabian Bonilla)</t>
  </si>
  <si>
    <t>FEBF-34 / 89 A</t>
  </si>
  <si>
    <t>[REPETIDA - Factura FEBF-36 / Remisión 119 A ya registrada en fila 485] LOMO CERDO 18.25KG (Fabian Bonilla)</t>
  </si>
  <si>
    <t>FEBF-36 / 119 A</t>
  </si>
  <si>
    <t>[REPETIDA - Egreso ya registrado en fila 493 como taxi Acopi $30.000] TRANSPORTE ACOPI CAJA MENOR</t>
  </si>
  <si>
    <t>[REPETIDA - Soporte de remisión MB93850 para Factura FEPL3208151 ya en fila 572] CREMA DE LECHE 1000G (Alquería)</t>
  </si>
  <si>
    <t>MB93850</t>
  </si>
  <si>
    <t>Sabor Original Institucional</t>
  </si>
  <si>
    <t>[REPETIDA - Soporte de remisión MB93850 para Factura FEPL3208151 ya en fila 573] SABOR ORIGINAL INSTITUCIONAL 1100ML (Alquería)</t>
  </si>
  <si>
    <t>[REPETIDA - Soporte de remisión MB93850 para Factura FEPL3208151 ya en fila 574] TANGELO BOTELLA 230ML (Alquería)</t>
  </si>
  <si>
    <t>[REPETIDA - Factura electrónica NV203621 soporta remisión SF45222 fila 482 y egreso caja menor fila 594] BLOQUE MEDIA (Hielo El Nevado)</t>
  </si>
  <si>
    <t>NV203621</t>
  </si>
  <si>
    <t>Bolsa Tubular 5 KL</t>
  </si>
  <si>
    <t>[REPETIDA - Factura electrónica NV203621 soporta remisión SF45222 fila 482] BOLSA X 5 KL TUBULAR (Hielo El Nevado)</t>
  </si>
  <si>
    <t>[REPETIDA - Factura electrónica NV203710 soporta remisión SF45262 y egreso caja menor fila 606] BLOQUE MEDIA (Hielo El Nevado)</t>
  </si>
  <si>
    <t>NV203710</t>
  </si>
  <si>
    <t>[REPETIDA - Factura electrónica NV203820 soporta remisión SF45284 y egreso caja menor fila 615] BLOQUE MEDIA (Hielo El Nevado)</t>
  </si>
  <si>
    <t>NV203820</t>
  </si>
  <si>
    <t>[REPETIDA - Factura electrónica NV203820 soporta remisión SF45284 y egreso caja menor fila 615] BOLSA X 5 KL TUBULAR (Hielo El Nevado)</t>
  </si>
  <si>
    <t>Coca-Cola 350ml</t>
  </si>
  <si>
    <t>[REPETIDA - Factura FVCL 5378421 ya registrada en fila 469] COCA-COLA 350ML (Industria Nacional de Gaseosas)</t>
  </si>
  <si>
    <t>Agua Brisa PET 600ml</t>
  </si>
  <si>
    <t>[REPETIDA - Factura FVCL 5378420 ya registrada en fila 468] AGUA BRISA PET 600ML (Industria Nacional de Gaseosas)</t>
  </si>
  <si>
    <t>[REPETIDA - Factura 03FH105561 ya registrada en filas 460-463] CERVEZA CORONITA 210ML 6UND (Cañaveral)</t>
  </si>
  <si>
    <t>Televisor y Base TV</t>
  </si>
  <si>
    <t>[REPETIDA - Factura X748-4003215 ya registrada en fila 176 como TV Chall y Base Kalley] TELEVISOR 32" Y BASE (Alkosto)</t>
  </si>
  <si>
    <t>Tablet Lenovo Tab 12 Plus</t>
  </si>
  <si>
    <t>[REPETIDA - Factura Z128-4001674 ya registrada en filas 536-541] TABLET LENOVO + ARTICULOS VARIOS (Alkosto)</t>
  </si>
  <si>
    <t>Servicio Telefonía Tigo</t>
  </si>
  <si>
    <t>[SOPORTE FACTURA - Respalda pago en efectivo en fila 632] TIGO FACTURA 49361451</t>
  </si>
  <si>
    <t>Hielo El Nevado</t>
  </si>
  <si>
    <t>[SOPORTE REMISION - Respalda pago en efectivo en fila 628] REMISION SF45333 HIELO MEDIA + BOLSA</t>
  </si>
  <si>
    <t>Pastas La Muñeca</t>
  </si>
  <si>
    <t>[SOPORTE FACTURA - Respalda pago en efectivo en fila 625] CAÑAVERAL 08FH341178 (4 PASTAS)</t>
  </si>
  <si>
    <t>[SOPORTE REMISION - Respalda pago en efectivo en fila 615] REMISION SF45299 HIELO MEDIA + BOLSA</t>
  </si>
  <si>
    <t>[SOPORTE RECIBO - Respalda pago en efectivo en fila 608] RECIBO WILLIAM LEMUS TONER</t>
  </si>
  <si>
    <t>Ángulos Ferretería</t>
  </si>
  <si>
    <t>[SOPORTE FACTURA - Respalda pago en efectivo en fila 609] FERRETORNILLOS SANTANDER FC 4981</t>
  </si>
  <si>
    <t>[SOPORTE REMISION - Respalda pago en efectivo en fila 606] REMISION SF45284 HIELO MEDIA + BOLSAS</t>
  </si>
  <si>
    <t>Alas de Pollo Marinadas</t>
  </si>
  <si>
    <t>[SOPORTE FACTURA - Respalda pago en efectivo en fila 613] CAÑAVERAL 06FH140139 ALAS MARINADAS</t>
  </si>
  <si>
    <t>Pliego Lija</t>
  </si>
  <si>
    <t>[SOPORTE FACTURA - Respalda pago en efectivo en fila 612] FERREHACIENDA FACTURA 1567 LIJA #80</t>
  </si>
  <si>
    <t>Papelería Talonario</t>
  </si>
  <si>
    <t>[SOPORTE FACTURA - Respalda pago en efectivo en fila 597] RAPI CALDAS TC_5160_1_116567</t>
  </si>
  <si>
    <t>Espinazo y Pezuña</t>
  </si>
  <si>
    <t>[SOPORTE FACTURA - Respalda pago en efectivo en fila 595] CAÑAVERAL 07FH74898 ESPINAZO Y PEZUÑA</t>
  </si>
  <si>
    <t>Spaguetti y Maíz</t>
  </si>
  <si>
    <t>[SOPORTE FACTURA - Respalda pago en efectivo en fila 596] EXITO FACTURA L1R9195253 SPAGUETTI Y MAIZ</t>
  </si>
  <si>
    <t>Colador Acero Inox</t>
  </si>
  <si>
    <t>[SOPORTE FACTURA - Respalda pago en efectivo en fila 598] DOLLARCITY FAA1-217448 COLADOR</t>
  </si>
  <si>
    <t>Detergente Dersa</t>
  </si>
  <si>
    <t>[SOPORTE FACTURA - Respalda pago en efectivo en fila 599] CAÑAVERAL 06FI376820 DETERGENTE</t>
  </si>
  <si>
    <t>Morcilla Jamundeña</t>
  </si>
  <si>
    <t>[SOPORTE FACTURA - Respalda pago en efectivo en fila 600] LA MORCILLA JAMUNDEÑA FACTURA 8119</t>
  </si>
  <si>
    <t>[SOPORTE REMISION - Respalda pago en efectivo en fila 594] REMISION SF45262 HIELO MEDIA</t>
  </si>
  <si>
    <t>Vino Tinto Cocina</t>
  </si>
  <si>
    <t>[SOPORTE FACTURA - Respalda pago en efectivo en fila 601] D1 FACTURA FEMP245107 VINO TINTO</t>
  </si>
  <si>
    <t>Plátano Verde (Mónica Molina)</t>
  </si>
  <si>
    <t>[REPETIDA - Facturado en Cuenta de Cobro 16-Sep y registrado en fila 489] PLATANO VERDE 22 KG</t>
  </si>
  <si>
    <t>CONTROL Y ESTADO DE FACTURAS POR PROVEEDOR - SEPTIEMBRE 2026</t>
  </si>
  <si>
    <t>Consolidado de Facturación, Historial de Pagos y Estado de Cartera por Proveedor</t>
  </si>
  <si>
    <t>TOTAL FACTURADO</t>
  </si>
  <si>
    <t>TOTAL CANCELADO (PAGADO)</t>
  </si>
  <si>
    <t>SALDO SIN CANCELAR</t>
  </si>
  <si>
    <t>% CANCELADO</t>
  </si>
  <si>
    <t>TOTAL PROVEEDORES</t>
  </si>
  <si>
    <t>Suma total de facturas y cuentas</t>
  </si>
  <si>
    <t>Pagos realizados según comprobantes</t>
  </si>
  <si>
    <t>Cartera pendiente por pagar</t>
  </si>
  <si>
    <t>Porcentaje de cartera cancelada</t>
  </si>
  <si>
    <t>Proveedores auditados en el mes</t>
  </si>
  <si>
    <t>1. RESUMEN GENERAL DE FACTURACIÓN Y ESTADO DE PAGO POR PROVEEDOR</t>
  </si>
  <si>
    <t>Categoría Principal</t>
  </si>
  <si>
    <t>Nº Facturas</t>
  </si>
  <si>
    <t>Total Facturado ($)</t>
  </si>
  <si>
    <t>Total Cancelado ($)</t>
  </si>
  <si>
    <t>Saldo Sin Cancelar ($)</t>
  </si>
  <si>
    <t>% Cancelado</t>
  </si>
  <si>
    <t>Estado Cartera</t>
  </si>
  <si>
    <t>ABONADA</t>
  </si>
  <si>
    <t>Nómina / Servicios</t>
  </si>
  <si>
    <t>AL DÍA</t>
  </si>
  <si>
    <t>Arrendamiento</t>
  </si>
  <si>
    <t>TOTAL CARTERA Y FACTURACIÓN CONSOLIDADA</t>
  </si>
  <si>
    <t>CONSOLIDADO</t>
  </si>
  <si>
    <t>2. DETALLE DE FACTURAS Y ESTADO DE PAGO POR CADA PROVEEDOR</t>
  </si>
  <si>
    <t>DISTRIBUIDORA DE CARNES ET LOS MONOS</t>
  </si>
  <si>
    <t>GIT ORGANIZACIONAL S.A.S.</t>
  </si>
  <si>
    <t>ESTADO</t>
  </si>
  <si>
    <t>28/08/2026</t>
  </si>
  <si>
    <t>COMPRAS MENORES EN EFECTIVO</t>
  </si>
  <si>
    <t>DISTRIBUIDORA DOÑA MARY (DESECHABLES)</t>
  </si>
  <si>
    <t>Caja Menor D8 - Diego / Luigui Principal (Johanna)</t>
  </si>
  <si>
    <t>Caja Menor D8 - Visceras Domicilios (Neymar)</t>
  </si>
  <si>
    <t>Caja Menor D8 - Alimento para la gata Principal (Johanna)</t>
  </si>
  <si>
    <t>Caja Menor D8 - Credito Jose david Domicilios (Neymar)</t>
  </si>
  <si>
    <t>Caja Menor D8 - 10 Portacazuelas Principal (Johanna)</t>
  </si>
  <si>
    <t>Caja Menor D8 - Yuca Principal (Johanna)</t>
  </si>
  <si>
    <t>Caja Menor D8 - Lechuga Domicilios (Neymar)</t>
  </si>
  <si>
    <t>Caja Menor D8 - Habichuela, blanquillo, víscera Domicilios (Neymar)</t>
  </si>
  <si>
    <t>Caja Menor D8 - Radios M6 Principal (Johanna)</t>
  </si>
  <si>
    <t>Caja Menor D8 - Sistema de Higiene Principal (Johanna)</t>
  </si>
  <si>
    <t>Caja Menor D8 - Platano verde Principal (Johanna)</t>
  </si>
  <si>
    <t>Caja Menor D8 - Platano Principal (Johanna)</t>
  </si>
  <si>
    <t>Caja Menor D9 - Espinazo, Cuchuco, Salchicha Principal (Johanna)</t>
  </si>
  <si>
    <t>Caja Menor D9 - Don Arturo recogió Domicilios (María)</t>
  </si>
  <si>
    <t>Caja Menor D9 - Inmunocal Principal (Johanna)</t>
  </si>
  <si>
    <t>Caja Menor D9 - Champiñones Principal (Johanna)</t>
  </si>
  <si>
    <t>Caja Menor D9 - Pulpa de coco Domicilios (María)</t>
  </si>
  <si>
    <t>S/N - D9 (Limpion Flecos)</t>
  </si>
  <si>
    <t>Caja Menor D10 - Transporte Deys Domicilios (Neymar)</t>
  </si>
  <si>
    <t>Caja Menor D10 - Pastas la Muñeca Principal (Johanna)</t>
  </si>
  <si>
    <t>Comprobante D11 - Cuchillos y cucharas</t>
  </si>
  <si>
    <t>Comprobante D11 - Pintura para mesas</t>
  </si>
  <si>
    <t>Comprobante D11 - Costilla ahumada</t>
  </si>
  <si>
    <t>Comprobante D11 - Mariscos</t>
  </si>
  <si>
    <t>Comprobante D11 - Aguacate</t>
  </si>
  <si>
    <t>S/N - D11 (Tornillos)</t>
  </si>
  <si>
    <t>S/N - D11 (Horas)</t>
  </si>
  <si>
    <t>S/N - D11 (Transporte)</t>
  </si>
  <si>
    <t>S/N - D11 (Mayonesa)</t>
  </si>
  <si>
    <t>S/N - D11 (Fécula)</t>
  </si>
  <si>
    <t>S/N - D12 (Pn sl)</t>
  </si>
  <si>
    <t>S/N - D12 (Yuca)</t>
  </si>
  <si>
    <t>S/N - D13 (Aguacates)</t>
  </si>
  <si>
    <t>S/N - D13 (Espinazo)</t>
  </si>
  <si>
    <t>S/N - D13 (Cabeza tilapia)</t>
  </si>
  <si>
    <t>S/N - D13 (Romero)</t>
  </si>
  <si>
    <t>S/N - D13 (Mixture)</t>
  </si>
  <si>
    <t>S/N - D14 (Plátano verde)</t>
  </si>
  <si>
    <t>S/N - D15 (Crédito Joan David)</t>
  </si>
  <si>
    <t>S/N - D15 (Morcilla)</t>
  </si>
  <si>
    <t>S/N - D16 (Incentivo)</t>
  </si>
  <si>
    <t>S/N - D16 (Abono cuenta de cobro)</t>
  </si>
  <si>
    <t>S/N - D16 (Transporte)</t>
  </si>
  <si>
    <t>S/N - D16 (Mazamorra)</t>
  </si>
  <si>
    <t>S/N - D16 (Plátano verde)</t>
  </si>
  <si>
    <t>S/N - D16 (Crédito Neymar)</t>
  </si>
  <si>
    <t>S/N - D17 (Pasta)</t>
  </si>
  <si>
    <t>S/N - D18 (Aguacate)</t>
  </si>
  <si>
    <t>AYDE GUEVARA (ARRENDAMIENTO)</t>
  </si>
  <si>
    <t>DISTRIBUIDORA M Y C S.A.S.</t>
  </si>
  <si>
    <t>GASES DE OCCIDENTE S.A. E.S.P.</t>
  </si>
  <si>
    <t>PERSONAL OPERATIVO (TURNOS DE CAJA)</t>
  </si>
  <si>
    <t>Caja Menor D7 - Turno Marleny Domicilios (Carolina)</t>
  </si>
  <si>
    <t>Caja Menor D7 - Broca Domicilios (Carolina)</t>
  </si>
  <si>
    <t>Caja Menor D7 - Coco / Limonada Domicilios (Carolina)</t>
  </si>
  <si>
    <t>Caja Menor D7 - Credito Jhonatan Domicilios (Carolina)</t>
  </si>
  <si>
    <t>Caja Menor D7 - Devolución Señor Arturo Domicilios (Carolina)</t>
  </si>
  <si>
    <t>Caja Menor D7 - Transporte Carolina Domicilios (Carolina)</t>
  </si>
  <si>
    <t>Caja Menor D8 - Andres Principal (Johanna)</t>
  </si>
  <si>
    <t>Caja Menor D8 - Turno Marleny Domicilios (Neymar)</t>
  </si>
  <si>
    <t>Caja Menor D8 - Wilson (Lunes y Martes) Principal (Johanna)</t>
  </si>
  <si>
    <t>Caja Menor D9 - Andres Principal (Johanna)</t>
  </si>
  <si>
    <t>Caja Menor D9 - Sebastian Principal (Johanna)</t>
  </si>
  <si>
    <t>Caja Menor D9 - Turno Marleny Domicilios (María)</t>
  </si>
  <si>
    <t>Caja Menor D10 - Andres Principal (Johanna)</t>
  </si>
  <si>
    <t>Caja Menor D10 - Sebastian Principal (Johanna)</t>
  </si>
  <si>
    <t>Caja Menor D10 - Turno Taty Vigilancia Domicilios (Neymar)</t>
  </si>
  <si>
    <t>Caja Menor D10 - Turno Marleny Domicilios (Neymar)</t>
  </si>
  <si>
    <t>Comprobante D11 - Transporte Danilo</t>
  </si>
  <si>
    <t>Caja Menor D11 - Andres Principal (Johanna/Wilson)</t>
  </si>
  <si>
    <t>Caja Menor D11 - Sebastian Principal (Johanna/Wilson)</t>
  </si>
  <si>
    <t>Caja Menor D11 - Wilson Principal (Johanna/Wilson)</t>
  </si>
  <si>
    <t>Caja Menor D11 - Tilapia Principal (Johanna/Wilson)</t>
  </si>
  <si>
    <t>Caja Menor D11 - Antonio (Tachado) Principal (Johanna/Wilson)</t>
  </si>
  <si>
    <t>Caja Menor D11 - Pedido Tornillos Principal (Johanna/Wilson)</t>
  </si>
  <si>
    <t>Caja Menor D11 - Hielo Principal (Johanna/Wilson)</t>
  </si>
  <si>
    <t>Caja Menor D11 - Crema de leche Principal (Johanna/Wilson)</t>
  </si>
  <si>
    <t>Caja Menor D11 - Pastas la Muñeca Principal (Johanna/Wilson)</t>
  </si>
  <si>
    <t>S/N - D11 (Turno)</t>
  </si>
  <si>
    <t>S/N - D12 (Turno Wilson)</t>
  </si>
  <si>
    <t>S/N - D12 (Turno Andrés)</t>
  </si>
  <si>
    <t>S/N - D12 (Turno Sebastián)</t>
  </si>
  <si>
    <t>S/N - D12 (Turno Marleny)</t>
  </si>
  <si>
    <t>S/N - D12 (Transporte Lina)</t>
  </si>
  <si>
    <t>S/N - D12 (Transporte Danilo)</t>
  </si>
  <si>
    <t>S/N - D12 (Transporte Deicy)</t>
  </si>
  <si>
    <t>S/N - D12 (Transporte Enith)</t>
  </si>
  <si>
    <t>S/N - D13 (Turno Sebastián)</t>
  </si>
  <si>
    <t>S/N - D13 (Turno Wilson)</t>
  </si>
  <si>
    <t>S/N - D13 (Turno Martha Collazos)</t>
  </si>
  <si>
    <t>S/N - D13 (Crédito Carolina)</t>
  </si>
  <si>
    <t>S/N - D13 (Turno Marleny)</t>
  </si>
  <si>
    <t>S/N - D14 (Turno Andrés)</t>
  </si>
  <si>
    <t>S/N - D14 (Turno Sebastián)</t>
  </si>
  <si>
    <t>S/N - D14 (Turno Wilson)</t>
  </si>
  <si>
    <t>S/N - D15 (Turno Andrés)</t>
  </si>
  <si>
    <t>S/N - D15 (Turno Wilson)</t>
  </si>
  <si>
    <t>S/N - D15 (Turno Sebastián)</t>
  </si>
  <si>
    <t>S/N - D15 (Turno Marleny)</t>
  </si>
  <si>
    <t>S/N - D16 (Turno Andrés)</t>
  </si>
  <si>
    <t>S/N - D16 (Turno Marleny)</t>
  </si>
  <si>
    <t>S/N - D17 (Turno Sebastián)</t>
  </si>
  <si>
    <t>S/N - D17 (Turno Marleny)</t>
  </si>
  <si>
    <t>S/N - D17 (Turno Toty (Fredy))</t>
  </si>
  <si>
    <t>S/N - D18 (Turno Sebastián)</t>
  </si>
  <si>
    <t>S/N - D18 (Turno Andrés)</t>
  </si>
  <si>
    <t>S/N - D18 (Turno Marleny)</t>
  </si>
  <si>
    <t>NÓMINA DIRECTA (BBVA)</t>
  </si>
  <si>
    <t>CÁRNICOS VALENCIA (ALEXIS VALENCIA)</t>
  </si>
  <si>
    <t>JESÚS TOBÓN (FRUVER)</t>
  </si>
  <si>
    <t>GRANERO PIAMONTE</t>
  </si>
  <si>
    <t>Comprobante D11 - Granero Piamonte</t>
  </si>
  <si>
    <t>GASTOS MENORES / CAJA MENOR</t>
  </si>
  <si>
    <t>ELIANA MURILLO HINCAPIE (MANTENIMIENTO)</t>
  </si>
  <si>
    <t>Mantenimiento Cuarto Frío (Abono Nequi D15)</t>
  </si>
  <si>
    <t>Mantenimiento Cuarto Frío (Saldo Pendiente)</t>
  </si>
  <si>
    <t>Factura L1R9195253 - Filtros</t>
  </si>
  <si>
    <t>S/N - D11 (Honorarios / Servicios Eliana Garcés)</t>
  </si>
  <si>
    <t>S/N - D11 (Aguacates)</t>
  </si>
  <si>
    <t>S/N - D12 (Don Arturo recogió)</t>
  </si>
  <si>
    <t>S/N - D12 (Crédito Don Arturo)</t>
  </si>
  <si>
    <t>S/N - D12 (Chorizos)</t>
  </si>
  <si>
    <t>S/N - D12 (Toro Toro)</t>
  </si>
  <si>
    <t>S/N - D13 (Mazamorra)</t>
  </si>
  <si>
    <t>S/N - D13 (Pezuña)</t>
  </si>
  <si>
    <t>S/N - D13 (Crédito Daniela)</t>
  </si>
  <si>
    <t>S/N - D13 (Crédito María Bertilda)</t>
  </si>
  <si>
    <t>FRÍO SABOR (GERSON VALENCIA)</t>
  </si>
  <si>
    <t>ALKOSTO S.A.</t>
  </si>
  <si>
    <t>CONTADORA PÚBLICA</t>
  </si>
  <si>
    <t>COCA-COLA FEMSA</t>
  </si>
  <si>
    <t>Comprobante D11 - Contadora</t>
  </si>
  <si>
    <t>Caja Menor D10 - Coca-Cola Domicilios (Neymar)</t>
  </si>
  <si>
    <t>PROVEEDOR GALLINAS</t>
  </si>
  <si>
    <t>FABIÁN BONILLA (CARNES DE CERDO)</t>
  </si>
  <si>
    <t>S/N - D16 (Factura de Gallinas)</t>
  </si>
  <si>
    <t>GLOBAL LIQUORS (LICORES)</t>
  </si>
  <si>
    <t>POSTOBÓN S.A.</t>
  </si>
  <si>
    <t>SUPERTIENDAS CAÑAVERAL S.A.S.</t>
  </si>
  <si>
    <t>PRODUCTOS NATURALES DE LA SABANA (ALQUERÍA)</t>
  </si>
  <si>
    <t>ARMANDO CARNES</t>
  </si>
  <si>
    <t>INDUSTRIA HIELO EL NEVADO S.A.S.</t>
  </si>
  <si>
    <t>NEFTALY OCAMPO (AREPAS)</t>
  </si>
  <si>
    <t>S/N - D7 (Arepas)</t>
  </si>
  <si>
    <t>S/N - D8 (Arepas)</t>
  </si>
  <si>
    <t>S/N - D9 (Arepas)</t>
  </si>
  <si>
    <t>S/N - D11 (Arepas)</t>
  </si>
  <si>
    <t>S/N - D12 (Arepas)</t>
  </si>
  <si>
    <t>ALEJANDRO RAMÍREZ CUBILLOS (PESCADOS)</t>
  </si>
  <si>
    <t>TRANSPORTE TAXIS / ACOPI</t>
  </si>
  <si>
    <t>Caja Menor D8 - Taxi compresor Domicilios (Neymar)</t>
  </si>
  <si>
    <t>Caja Menor D11 - Acopi Principal (Johanna/Wilson)</t>
  </si>
  <si>
    <t>S/N - D11 (ACOPI)</t>
  </si>
  <si>
    <t>S/N - D12 (Taxis)</t>
  </si>
  <si>
    <t>S/N - D14 (Transporte Acopi)</t>
  </si>
  <si>
    <t>S/N - D15 (Transporte Acopi)</t>
  </si>
  <si>
    <t>S/N - D15 (Taxi Antonio)</t>
  </si>
  <si>
    <t>FINANSEGUROS / BANCO DAVIVIENDA</t>
  </si>
  <si>
    <t>TIENDAS D1</t>
  </si>
  <si>
    <t>EL GRAN SURTIDOR</t>
  </si>
  <si>
    <t>HEALTH CARE IPS S.A.S.</t>
  </si>
  <si>
    <t>HOMECENTER SODIMAC</t>
  </si>
  <si>
    <t>ALBEIRO (INSUMOS)</t>
  </si>
  <si>
    <t>S/N - D15 (Pinturas Homecenter)</t>
  </si>
  <si>
    <t>S/N - D16 (Insumos Albeiro)</t>
  </si>
  <si>
    <t>INTERNET SEDE</t>
  </si>
  <si>
    <t>LA MORCILLA JAMUNDEÑA</t>
  </si>
  <si>
    <t>S/N - D15 (Internet Agosto)</t>
  </si>
  <si>
    <t>HOLMES RODRÍGUEZ (FERRETERÍA)</t>
  </si>
  <si>
    <t>DON ARTURO DÍAZ (SOCIO)</t>
  </si>
  <si>
    <t>S/N - D15 (Vale Arturo internet casa)</t>
  </si>
  <si>
    <t>DATAICO S.A.S.</t>
  </si>
  <si>
    <t>TIGO COLOMBIA</t>
  </si>
  <si>
    <t>FERREHACIENDA S.A.S.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</si>
</sst>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$&quot;\ * #,##0.00_-;\-&quot;$&quot;\ * #,##0.00_-;_-&quot;$&quot;\ * &quot;-&quot;??_-;_-@_-"/>
    <numFmt numFmtId="164" formatCode="\$#,##0"/>
    <numFmt numFmtId="165" formatCode="0.0%"/>
    <numFmt numFmtId="166" formatCode="_-&quot;$&quot;* #,##0_-;\-&quot;$&quot;* #,##0_-;_-&quot;$&quot;* &quot;-&quot;??_-;_-@_-"/>
    <numFmt numFmtId="167" formatCode="#,##0.0"/>
    <numFmt numFmtId="168" formatCode="0\ &quot;Reg&quot;"/>
    <numFmt numFmtId="169" formatCode="#,##0.##"/>
    <numFmt numFmtId="170" formatCode="_-&quot;$&quot;\ * #,##0_-;\-&quot;$&quot;\ * #,##0_-;_-&quot;$&quot;\ * &quot;-&quot;??_-;_-@_-"/>
    <numFmt numFmtId="171" formatCode="\$#,##0;\(\$#,##0\);&quot;-&quot;"/>
    <numFmt numFmtId="172" formatCode="\$#,##0.00"/>
    <numFmt numFmtId="173" formatCode="#,##0.00\ &quot;Kg&quot;"/>
    <numFmt numFmtId="174" formatCode="#,##0\ &quot;Und/Caj&quot;"/>
  </numFmts>
  <fonts count="136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/>
      <sz val="16"/>
      <color rgb="FFFFFFFF"/>
      <name val="Calibri"/>
    </font>
    <font>
      <i/>
      <sz val="10"/>
      <color rgb="FFFFFFFF"/>
      <name val="Calibri"/>
    </font>
    <font>
      <b/>
      <sz val="11"/>
      <color rgb="FFFFFFFF"/>
      <name val="Calibri"/>
    </font>
    <font>
      <b/>
      <sz val="10"/>
      <color rgb="FF1B365D"/>
      <name val="Calibri"/>
    </font>
    <font>
      <sz val="10"/>
      <name val="Calibri"/>
    </font>
    <font>
      <b/>
      <sz val="10"/>
      <name val="Calibri"/>
    </font>
    <font>
      <b/>
      <sz val="10"/>
      <color rgb="FFC00000"/>
      <name val="Calibri"/>
    </font>
    <font>
      <b/>
      <sz val="11"/>
      <color rgb="FFFFFFFF"/>
      <name val="Calibri"/>
    </font>
    <font>
      <b/>
      <sz val="16"/>
      <color rgb="FFFFFFFF"/>
      <name val="Calibri"/>
    </font>
    <font>
      <i/>
      <sz val="10"/>
      <color rgb="FFE0E0E0"/>
      <name val="Calibri"/>
    </font>
    <font>
      <b/>
      <sz val="9"/>
      <color rgb="FF922B21"/>
      <name val="Calibri"/>
    </font>
    <font>
      <b/>
      <sz val="14"/>
      <color rgb="FF78281F"/>
      <name val="Calibri"/>
    </font>
    <font>
      <b/>
      <sz val="11"/>
      <color rgb="FF8B0000"/>
      <name val="Calibri"/>
    </font>
    <font>
      <b/>
      <sz val="11"/>
      <color rgb="FFFFFFFF"/>
      <name val="Calibri"/>
    </font>
    <font>
      <b/>
      <sz val="9"/>
      <color rgb="FF5D6D7E"/>
      <name val="Calibri"/>
    </font>
    <font>
      <b/>
      <sz val="14"/>
      <color rgb="FF1B4F72"/>
      <name val="Calibri"/>
    </font>
    <font>
      <b/>
      <sz val="11"/>
      <color rgb="FF1F4E78"/>
      <name val="Calibri"/>
    </font>
    <font>
      <b/>
      <sz val="10"/>
      <color rgb="FFFFFFFF"/>
      <name val="Calibri"/>
    </font>
    <font>
      <b/>
      <sz val="12"/>
      <color rgb="FFFFFFFF"/>
      <name val="Calibri"/>
    </font>
    <font>
      <i/>
      <sz val="9"/>
      <color rgb="FF595959"/>
      <name val="Calibri"/>
    </font>
    <font>
      <b/>
      <sz val="11"/>
      <color rgb="FFFFFFFF"/>
      <name val="Calibri"/>
    </font>
    <font>
      <sz val="9"/>
      <name val="Calibri"/>
    </font>
    <font>
      <b/>
      <sz val="9"/>
      <color rgb="FFFFFFFF"/>
      <name val="Calibri"/>
    </font>
    <font>
      <b/>
      <sz val="15"/>
      <color rgb="FFFFFFFF"/>
      <name val="Calibri"/>
    </font>
    <font>
      <i/>
      <sz val="10"/>
      <color rgb="FFE0E8F5"/>
      <name val="Calibri"/>
    </font>
    <font>
      <b/>
      <sz val="8"/>
      <color rgb="FF595959"/>
      <name val="Calibri"/>
    </font>
    <font>
      <b/>
      <sz val="13"/>
      <color rgb="FF1B365D"/>
      <name val="Calibri"/>
    </font>
    <font>
      <i/>
      <sz val="9"/>
      <color rgb="FF595959"/>
      <name val="Calibri"/>
    </font>
    <font>
      <b/>
      <sz val="11"/>
      <color rgb="FF1B365D"/>
      <name val="Calibri"/>
    </font>
    <font>
      <b/>
      <sz val="10"/>
      <color rgb="FFFFFFFF"/>
      <name val="Calibri"/>
    </font>
    <font>
      <sz val="9"/>
      <color rgb="FF5F6368"/>
      <name val="Calibri"/>
    </font>
    <font>
      <b/>
      <sz val="9"/>
      <color rgb="FF1967D2"/>
      <name val="Calibri"/>
    </font>
    <font>
      <b/>
      <sz val="9"/>
      <color rgb="FF276A3C"/>
      <name val="Calibri"/>
    </font>
    <font>
      <b/>
      <sz val="9"/>
      <color rgb="FF8C6B00"/>
      <name val="Calibri"/>
    </font>
    <font>
      <b/>
      <sz val="9"/>
      <color rgb="FFC5221F"/>
      <name val="Calibri"/>
    </font>
    <font>
      <b/>
      <sz val="10"/>
      <color rgb="FF1B365D"/>
      <name val="Calibri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0"/>
      <color rgb="FFFFFFFF"/>
      <name val="Calibri"/>
      <family val="2"/>
    </font>
    <font>
      <sz val="10"/>
      <color rgb="FF9C0006"/>
      <name val="Calibri"/>
      <family val="2"/>
      <scheme val="minor"/>
    </font>
    <font>
      <b/>
      <sz val="10"/>
      <color rgb="FFC65911"/>
      <name val="Calibri"/>
      <family val="2"/>
    </font>
    <font>
      <b/>
      <sz val="10"/>
      <color rgb="FF1967D2"/>
      <name val="Calibri"/>
      <family val="2"/>
    </font>
    <font>
      <sz val="9"/>
      <name val="Calibri"/>
      <family val="2"/>
    </font>
    <font>
      <sz val="10"/>
      <color rgb="FF595959"/>
      <name val="Calibri"/>
    </font>
    <font>
      <b/>
      <sz val="10"/>
      <color rgb="FF276A3C"/>
      <name val="Calibri"/>
    </font>
    <font>
      <b/>
      <u/>
      <sz val="11"/>
      <color rgb="FFFFFFFF"/>
      <name val="Calibri"/>
      <family val="2"/>
    </font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b/>
      <sz val="16"/>
      <color rgb="FF1F4E78"/>
      <name val="Calibri"/>
    </font>
    <font>
      <i/>
      <sz val="10"/>
      <color rgb="FF595959"/>
      <name val="Calibri"/>
    </font>
    <font>
      <b/>
      <sz val="9"/>
      <color rgb="FF595959"/>
      <name val="Calibri"/>
    </font>
    <font>
      <b/>
      <sz val="14"/>
      <color rgb="FF1F4E78"/>
      <name val="Calibri"/>
    </font>
    <font>
      <b/>
      <sz val="8"/>
      <color rgb="FF1F497D"/>
      <name val="Segoe UI"/>
    </font>
    <font>
      <b/>
      <sz val="15"/>
      <color rgb="FF1F497D"/>
      <name val="Segoe UI"/>
    </font>
    <font>
      <sz val="7.5"/>
      <color rgb="FF595959"/>
      <name val="Segoe UI"/>
    </font>
    <font>
      <sz val="8"/>
      <name val="Segoe UI"/>
    </font>
    <font>
      <b/>
      <sz val="8"/>
      <color rgb="FF1F497D"/>
      <name val="Segoe UI"/>
    </font>
    <font>
      <b/>
      <sz val="15"/>
      <color rgb="FF1F497D"/>
      <name val="Segoe UI"/>
    </font>
    <font>
      <sz val="7.5"/>
      <color rgb="FF595959"/>
      <name val="Segoe UI"/>
    </font>
    <font>
      <b/>
      <sz val="9"/>
      <color rgb="FFFFFFFF"/>
      <name val="Segoe UI"/>
    </font>
    <font>
      <b/>
      <sz val="8"/>
      <color rgb="FFFFFFFF"/>
      <name val="Segoe UI"/>
    </font>
    <font>
      <b/>
      <sz val="8"/>
      <color rgb="FF000000"/>
      <name val="Segoe UI"/>
    </font>
    <font>
      <sz val="8"/>
      <color rgb="FF000000"/>
      <name val="Segoe UI"/>
    </font>
    <font>
      <b/>
      <sz val="9"/>
      <name val="Calibri"/>
    </font>
    <font>
      <sz val="10"/>
      <name val="Segoe UI"/>
    </font>
    <font>
      <b/>
      <sz val="12"/>
      <color rgb="FF1F4E78"/>
      <name val="Calibri"/>
    </font>
    <font>
      <b/>
      <sz val="10"/>
      <color rgb="FFFFFFFF"/>
      <name val="Calibri"/>
    </font>
    <font>
      <sz val="8"/>
      <color rgb="FF000000"/>
      <name val="Segoe UI"/>
    </font>
    <font>
      <b/>
      <sz val="8"/>
      <color rgb="FF1F497D"/>
      <name val="Segoe UI"/>
    </font>
    <font>
      <b/>
      <sz val="8"/>
      <color rgb="FF000000"/>
      <name val="Segoe UI"/>
    </font>
    <font>
      <b/>
      <sz val="8.5"/>
      <color rgb="FF1F4E78"/>
      <name val="Segoe UI"/>
    </font>
    <font>
      <b/>
      <sz val="8.5"/>
      <color rgb="FFFFFFFF"/>
      <name val="Segoe UI"/>
    </font>
    <font>
      <b/>
      <sz val="15"/>
      <color rgb="FFFFFFFF"/>
      <name val="Segoe UI"/>
    </font>
    <font>
      <sz val="7.5"/>
      <color rgb="FFE0E0E0"/>
      <name val="Segoe UI"/>
    </font>
    <font>
      <sz val="9"/>
      <name val="Segoe UI"/>
    </font>
    <font>
      <b/>
      <sz val="11"/>
      <color rgb="FF1F4E78"/>
      <name val="Segoe UI"/>
    </font>
    <font>
      <b/>
      <sz val="10"/>
      <color rgb="FF2E75B6"/>
      <name val="Segoe UI"/>
    </font>
    <font>
      <b/>
      <sz val="8.5"/>
      <color rgb="FFFFFFFF"/>
      <name val="Segoe UI"/>
    </font>
    <font>
      <sz val="8.5"/>
      <color rgb="FF000000"/>
      <name val="Segoe UI"/>
    </font>
    <font>
      <b/>
      <sz val="8.5"/>
      <color rgb="FF1F497D"/>
      <name val="Segoe UI"/>
    </font>
    <font>
      <b/>
      <sz val="14"/>
      <color rgb="FFFFFFFF"/>
      <name val="Segoe UI"/>
    </font>
    <font>
      <i/>
      <sz val="9"/>
      <color rgb="FFFFFFFF"/>
      <name val="Segoe UI"/>
    </font>
    <font>
      <b/>
      <sz val="15"/>
      <color rgb="FFFFFFFF"/>
      <name val="Segoe UI"/>
    </font>
    <font>
      <sz val="7.5"/>
      <color rgb="FFE0E0E0"/>
      <name val="Segoe UI"/>
    </font>
    <font>
      <b/>
      <sz val="10"/>
      <color rgb="FFFFFFFF"/>
      <name val="Segoe UI"/>
    </font>
    <font>
      <b/>
      <sz val="8.5"/>
      <color rgb="FF000000"/>
      <name val="Segoe UI"/>
    </font>
    <font>
      <b/>
      <sz val="9"/>
      <color rgb="FFFFFFFF"/>
      <name val="Segoe UI"/>
    </font>
    <font>
      <b/>
      <sz val="11"/>
      <color rgb="FFFFFFFF"/>
      <name val="Calibri"/>
    </font>
    <font>
      <b/>
      <sz val="11"/>
      <color rgb="FF1F4E78"/>
      <name val="Segoe UI"/>
    </font>
    <font>
      <b/>
      <sz val="10"/>
      <color rgb="FF2E75B6"/>
      <name val="Segoe UI"/>
    </font>
    <font>
      <b/>
      <sz val="8.5"/>
      <color rgb="FFFFFFFF"/>
      <name val="Segoe UI"/>
    </font>
    <font>
      <sz val="8.5"/>
      <color rgb="FF000000"/>
      <name val="Segoe UI"/>
    </font>
    <font>
      <b/>
      <sz val="8.5"/>
      <color rgb="FF1F497D"/>
      <name val="Segoe UI"/>
    </font>
    <font>
      <sz val="11"/>
      <name val="Calibri"/>
    </font>
    <font>
      <b/>
      <sz val="14"/>
      <color rgb="FFFFFFFF"/>
      <name val="Calibri"/>
    </font>
    <font>
      <i/>
      <sz val="9.5"/>
      <color rgb="FF333333"/>
      <name val="Calibri"/>
    </font>
    <font>
      <b/>
      <sz val="8.5"/>
      <color rgb="FF595959"/>
      <name val="Calibri"/>
    </font>
    <font>
      <b/>
      <sz val="15"/>
      <color rgb="FF1F4E78"/>
      <name val="Calibri"/>
    </font>
    <font>
      <i/>
      <sz val="8"/>
      <color rgb="FF595959"/>
      <name val="Calibri"/>
    </font>
    <font>
      <b/>
      <sz val="11"/>
      <color rgb="FFFFFFFF"/>
      <name val="Calibri"/>
    </font>
    <font>
      <b/>
      <sz val="9"/>
      <color rgb="FFFFFFFF"/>
      <name val="Calibri"/>
    </font>
    <font>
      <b/>
      <sz val="8.5"/>
      <color rgb="FF0E6251"/>
      <name val="Calibri"/>
    </font>
    <font>
      <sz val="9"/>
      <color rgb="FF000000"/>
      <name val="Calibri"/>
    </font>
    <font>
      <b/>
      <sz val="8.5"/>
      <color rgb="FF4A235A"/>
      <name val="Calibri"/>
    </font>
    <font>
      <b/>
      <sz val="8.5"/>
      <color rgb="FF9C640C"/>
      <name val="Calibri"/>
    </font>
    <font>
      <b/>
      <sz val="8.5"/>
      <color rgb="FF1B4F72"/>
      <name val="Calibri"/>
    </font>
    <font>
      <b/>
      <sz val="8.5"/>
      <color rgb="FF512E5F"/>
      <name val="Calibri"/>
    </font>
    <font>
      <b/>
      <sz val="10"/>
      <color rgb="FF000000"/>
      <name val="Calibri"/>
    </font>
    <font>
      <b/>
      <sz val="9"/>
      <color rgb="FF000000"/>
      <name val="Calibri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color rgb="FFFFFFFF"/>
      <name val="Calibri"/>
    </font>
    <font>
      <i/>
      <sz val="10"/>
      <name val="Calibri"/>
    </font>
    <font>
      <sz val="9.5"/>
      <name val="Calibri"/>
    </font>
    <font>
      <sz val="11"/>
      <name val="Calibri"/>
    </font>
    <font>
      <b/>
      <sz val="14"/>
      <color rgb="FFFFFFFF"/>
      <name val="Calibri"/>
    </font>
    <font>
      <i/>
      <sz val="9.5"/>
      <color rgb="FF333333"/>
      <name val="Calibri"/>
    </font>
    <font>
      <b/>
      <sz val="8.5"/>
      <color rgb="FF595959"/>
      <name val="Calibri"/>
    </font>
    <font>
      <b/>
      <sz val="15"/>
      <color rgb="FF1F4E78"/>
      <name val="Calibri"/>
    </font>
    <font>
      <i/>
      <sz val="8"/>
      <color rgb="FF595959"/>
      <name val="Calibri"/>
    </font>
    <font>
      <b/>
      <sz val="11"/>
      <color rgb="FFFFFFFF"/>
      <name val="Calibri"/>
    </font>
    <font>
      <b/>
      <sz val="9.5"/>
      <color rgb="FFFFFFFF"/>
      <name val="Calibri"/>
    </font>
    <font>
      <b/>
      <sz val="9"/>
      <color rgb="FFB7950B"/>
      <name val="Calibri"/>
    </font>
    <font>
      <sz val="9.5"/>
      <color rgb="FF000000"/>
      <name val="Calibri"/>
    </font>
    <font>
      <b/>
      <sz val="9"/>
      <color rgb="FF0E6251"/>
      <name val="Calibri"/>
    </font>
    <font>
      <b/>
      <sz val="9"/>
      <color rgb="FF900C3F"/>
      <name val="Calibri"/>
    </font>
    <font>
      <b/>
      <sz val="10"/>
      <color rgb="FFFFFFFF"/>
      <name val="Calibri"/>
    </font>
    <font>
      <b/>
      <sz val="10"/>
      <color rgb="FF000000"/>
      <name val="Calibri"/>
    </font>
    <font>
      <b/>
      <sz val="9.5"/>
      <color rgb="FF000000"/>
      <name val="Calibri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9.5"/>
      <color rgb="FF000000"/>
      <name val="Calibri"/>
      <family val="2"/>
    </font>
  </fonts>
  <fills count="87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2E75B6"/>
        <bgColor rgb="FF2E75B6"/>
      </patternFill>
    </fill>
    <fill>
      <patternFill patternType="solid">
        <fgColor rgb="FFF2F4F8"/>
        <bgColor rgb="FFF2F4F8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F9FAFB"/>
        <bgColor rgb="FFF9FAFB"/>
      </patternFill>
    </fill>
    <fill>
      <patternFill patternType="solid">
        <fgColor rgb="FF1B365D"/>
        <bgColor rgb="FF1B365D"/>
      </patternFill>
    </fill>
    <fill>
      <patternFill patternType="solid">
        <fgColor rgb="FF8B0000"/>
        <bgColor rgb="FF8B0000"/>
      </patternFill>
    </fill>
    <fill>
      <patternFill patternType="solid">
        <fgColor rgb="FFFDEDEC"/>
        <bgColor rgb="FFFDEDEC"/>
      </patternFill>
    </fill>
    <fill>
      <patternFill patternType="solid">
        <fgColor rgb="FFFAF0F0"/>
        <bgColor rgb="FFFAF0F0"/>
      </patternFill>
    </fill>
    <fill>
      <patternFill patternType="solid">
        <fgColor rgb="FFE6B8B8"/>
        <bgColor rgb="FFE6B8B8"/>
      </patternFill>
    </fill>
    <fill>
      <patternFill patternType="solid">
        <fgColor rgb="FF1F4E78"/>
        <bgColor rgb="FF1F4E78"/>
      </patternFill>
    </fill>
    <fill>
      <patternFill patternType="solid">
        <fgColor rgb="FFEBF5FB"/>
        <bgColor rgb="FFEBF5FB"/>
      </patternFill>
    </fill>
    <fill>
      <patternFill patternType="solid">
        <fgColor rgb="FFF4F8FB"/>
        <bgColor rgb="FFF4F8FB"/>
      </patternFill>
    </fill>
    <fill>
      <patternFill patternType="solid">
        <fgColor rgb="FFBDD7EE"/>
        <bgColor rgb="FFBDD7EE"/>
      </patternFill>
    </fill>
    <fill>
      <patternFill patternType="solid">
        <fgColor rgb="FF1B365D"/>
        <bgColor rgb="FF1B365D"/>
      </patternFill>
    </fill>
    <fill>
      <patternFill patternType="solid">
        <fgColor rgb="FF8B0000"/>
        <bgColor rgb="FF8B0000"/>
      </patternFill>
    </fill>
    <fill>
      <patternFill patternType="solid">
        <fgColor rgb="FF1F4E78"/>
        <bgColor rgb="FF1F4E78"/>
      </patternFill>
    </fill>
    <fill>
      <patternFill patternType="solid">
        <fgColor rgb="FF78281F"/>
        <bgColor rgb="FF78281F"/>
      </patternFill>
    </fill>
    <fill>
      <patternFill patternType="solid">
        <fgColor rgb="FF1B365D"/>
        <bgColor rgb="FF1B365D"/>
      </patternFill>
    </fill>
    <fill>
      <patternFill patternType="solid">
        <fgColor rgb="FF2C4D75"/>
        <bgColor rgb="FF2C4D75"/>
      </patternFill>
    </fill>
    <fill>
      <patternFill patternType="solid">
        <fgColor rgb="FFE9EEF4"/>
        <bgColor rgb="FFE9EEF4"/>
      </patternFill>
    </fill>
    <fill>
      <patternFill patternType="solid">
        <fgColor rgb="FFF8FAFC"/>
        <bgColor rgb="FFF8FAFC"/>
      </patternFill>
    </fill>
    <fill>
      <patternFill patternType="solid">
        <fgColor rgb="FFD9E1F2"/>
        <bgColor rgb="FFD9E1F2"/>
      </patternFill>
    </fill>
    <fill>
      <patternFill patternType="solid">
        <fgColor rgb="FFF1F3F4"/>
        <bgColor rgb="FFF1F3F4"/>
      </patternFill>
    </fill>
    <fill>
      <patternFill patternType="solid">
        <fgColor rgb="FFF2F5F9"/>
        <bgColor rgb="FFF2F5F9"/>
      </patternFill>
    </fill>
    <fill>
      <patternFill patternType="solid">
        <fgColor rgb="FFE8F0FE"/>
        <bgColor rgb="FFE8F0FE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8E6"/>
        <bgColor rgb="FFFCE8E6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1B365D"/>
        <bgColor rgb="FF1B365D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1F4E78"/>
        <bgColor rgb="FF1F4E78"/>
      </patternFill>
    </fill>
    <fill>
      <patternFill patternType="solid">
        <fgColor rgb="FFF2F4F8"/>
        <bgColor rgb="FFF2F4F8"/>
      </patternFill>
    </fill>
    <fill>
      <patternFill patternType="solid">
        <fgColor rgb="FF2F5597"/>
        <bgColor rgb="FF2F5597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F2F4F7"/>
        <bgColor rgb="FFF2F4F7"/>
      </patternFill>
    </fill>
    <fill>
      <patternFill patternType="solid">
        <fgColor rgb="FF2E75B6"/>
        <bgColor rgb="FF2E75B6"/>
      </patternFill>
    </fill>
    <fill>
      <patternFill patternType="solid">
        <fgColor rgb="FF418AB3"/>
        <bgColor rgb="FF418AB3"/>
      </patternFill>
    </fill>
    <fill>
      <patternFill patternType="solid">
        <fgColor rgb="FFF9FAFB"/>
        <bgColor rgb="FFF9FAFB"/>
      </patternFill>
    </fill>
    <fill>
      <patternFill patternType="solid">
        <fgColor rgb="FFEAEEF3"/>
        <bgColor rgb="FFEAEEF3"/>
      </patternFill>
    </fill>
    <fill>
      <patternFill patternType="solid">
        <fgColor rgb="FF1F497D"/>
        <bgColor rgb="FF1F497D"/>
      </patternFill>
    </fill>
    <fill>
      <patternFill patternType="solid">
        <fgColor rgb="FFD9E1F2"/>
        <bgColor rgb="FFD9E1F2"/>
      </patternFill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  <fill>
      <patternFill patternType="solid">
        <fgColor rgb="FFEAEEF3"/>
        <bgColor rgb="FFEAEEF3"/>
      </patternFill>
    </fill>
    <fill>
      <patternFill patternType="solid">
        <fgColor rgb="FFD9E1F2"/>
        <bgColor rgb="FFD9E1F2"/>
      </patternFill>
    </fill>
    <fill>
      <patternFill patternType="solid">
        <fgColor rgb="FF1F4E78"/>
        <bgColor rgb="FF1F4E78"/>
      </patternFill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  <fill>
      <patternFill patternType="solid">
        <fgColor rgb="FFEAEEF3"/>
        <bgColor rgb="FFEAEEF3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  <fill>
      <patternFill patternType="solid">
        <fgColor rgb="FFEAEEF3"/>
        <bgColor rgb="FFEAEEF3"/>
      </patternFill>
    </fill>
    <fill>
      <patternFill patternType="solid">
        <fgColor rgb="FF1F4E78"/>
      </patternFill>
    </fill>
    <fill>
      <patternFill patternType="solid">
        <fgColor rgb="FFF9FBFD"/>
      </patternFill>
    </fill>
    <fill>
      <patternFill patternType="solid">
        <fgColor rgb="FF2F5597"/>
      </patternFill>
    </fill>
    <fill>
      <patternFill patternType="solid">
        <fgColor rgb="FF305496"/>
      </patternFill>
    </fill>
    <fill>
      <patternFill patternType="solid">
        <fgColor rgb="FFF2F4F8"/>
      </patternFill>
    </fill>
    <fill>
      <patternFill patternType="solid">
        <fgColor rgb="FFD9E1F2"/>
      </patternFill>
    </fill>
    <fill>
      <patternFill patternType="solid">
        <fgColor rgb="FFB4C6E7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F2F4F8"/>
      </patternFill>
    </fill>
    <fill>
      <patternFill patternType="solid">
        <fgColor rgb="FF2F5597"/>
      </patternFill>
    </fill>
    <fill>
      <patternFill patternType="solid">
        <fgColor rgb="FF305496"/>
      </patternFill>
    </fill>
    <fill>
      <patternFill patternType="solid">
        <fgColor rgb="FFF9FBFD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70AD47"/>
      </patternFill>
    </fill>
    <fill>
      <patternFill patternType="solid">
        <fgColor rgb="FFFFFF00"/>
        <bgColor rgb="FFF9FAFB"/>
      </patternFill>
    </fill>
    <fill>
      <patternFill patternType="solid">
        <fgColor rgb="FFFFFF00"/>
        <bgColor rgb="FFDDEBF7"/>
      </patternFill>
    </fill>
    <fill>
      <patternFill patternType="solid">
        <fgColor rgb="FFFFFF00"/>
        <bgColor rgb="FFFCE4D6"/>
      </patternFill>
    </fill>
    <fill>
      <patternFill patternType="solid">
        <fgColor rgb="FFFFFF00"/>
        <bgColor rgb="FFF2F4F8"/>
      </patternFill>
    </fill>
  </fills>
  <borders count="60">
    <border>
      <left/>
      <right/>
      <top/>
      <bottom/>
      <diagonal/>
    </border>
    <border>
      <left style="thin">
        <color rgb="FFD0D3D4"/>
      </left>
      <right style="thin">
        <color rgb="FFD0D3D4"/>
      </right>
      <top style="thin">
        <color rgb="FFD0D3D4"/>
      </top>
      <bottom style="thin">
        <color rgb="FFD0D3D4"/>
      </bottom>
      <diagonal/>
    </border>
    <border>
      <left style="thin">
        <color rgb="FFD0D3D4"/>
      </left>
      <right style="thin">
        <color rgb="FFD0D3D4"/>
      </right>
      <top style="thin">
        <color rgb="FF000000"/>
      </top>
      <bottom style="double">
        <color rgb="FF000000"/>
      </bottom>
      <diagonal/>
    </border>
    <border>
      <left/>
      <right style="thin">
        <color rgb="FFD0D3D4"/>
      </right>
      <top style="thin">
        <color rgb="FFD0D3D4"/>
      </top>
      <bottom style="thin">
        <color rgb="FFD0D3D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medium">
        <color rgb="FF1B365D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double">
        <color rgb="FF1B365D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1F497D"/>
      </top>
      <bottom style="double">
        <color rgb="FF1F497D"/>
      </bottom>
      <diagonal/>
    </border>
    <border>
      <left/>
      <right/>
      <top style="thin">
        <color rgb="FFB0C4DE"/>
      </top>
      <bottom style="thin">
        <color rgb="FFB0C4DE"/>
      </bottom>
      <diagonal/>
    </border>
    <border>
      <left/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1F497D"/>
      </top>
      <bottom style="double">
        <color rgb="FF1F497D"/>
      </bottom>
      <diagonal/>
    </border>
    <border>
      <left/>
      <right style="thin">
        <color rgb="FFD9D9D9"/>
      </right>
      <top style="thin">
        <color rgb="FF1F497D"/>
      </top>
      <bottom style="double">
        <color rgb="FF1F497D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1F497D"/>
      </top>
      <bottom style="double">
        <color rgb="FF1F497D"/>
      </bottom>
      <diagonal/>
    </border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1F497D"/>
      </top>
      <bottom style="double">
        <color rgb="FF1F497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double">
        <color rgb="FF59595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595959"/>
      </top>
      <bottom style="double">
        <color rgb="FF595959"/>
      </bottom>
      <diagonal/>
    </border>
    <border>
      <left/>
      <right style="thin">
        <color rgb="FF595959"/>
      </right>
      <top style="thin">
        <color rgb="FF595959"/>
      </top>
      <bottom style="double">
        <color rgb="FF595959"/>
      </bottom>
      <diagonal/>
    </border>
    <border>
      <left/>
      <right/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double">
        <color rgb="FF59595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double">
        <color rgb="FF595959"/>
      </bottom>
      <diagonal/>
    </border>
  </borders>
  <cellStyleXfs count="4">
    <xf numFmtId="0" fontId="0" fillId="0" borderId="52"/>
    <xf numFmtId="44" fontId="1" fillId="0" borderId="52"/>
    <xf numFmtId="0" fontId="38" fillId="32" borderId="52"/>
    <xf numFmtId="0" fontId="39" fillId="33" borderId="52"/>
  </cellStyleXfs>
  <cellXfs count="647">
    <xf numFmtId="0" fontId="0" fillId="0" borderId="0" xfId="0" applyBorder="1"/>
    <xf numFmtId="0" fontId="9" fillId="8" borderId="0" xfId="0" applyFont="1" applyFill="1" applyBorder="1" applyAlignment="1">
      <alignment horizontal="center" vertical="center"/>
    </xf>
    <xf numFmtId="2" fontId="9" fillId="8" borderId="0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0" fontId="4" fillId="8" borderId="0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4" fontId="6" fillId="0" borderId="1" xfId="0" applyNumberFormat="1" applyFont="1" applyBorder="1"/>
    <xf numFmtId="1" fontId="6" fillId="0" borderId="1" xfId="0" applyNumberFormat="1" applyFont="1" applyBorder="1" applyAlignment="1">
      <alignment horizontal="center"/>
    </xf>
    <xf numFmtId="0" fontId="6" fillId="11" borderId="1" xfId="0" applyFont="1" applyFill="1" applyBorder="1" applyAlignment="1">
      <alignment horizontal="center"/>
    </xf>
    <xf numFmtId="4" fontId="6" fillId="11" borderId="1" xfId="0" applyNumberFormat="1" applyFont="1" applyFill="1" applyBorder="1"/>
    <xf numFmtId="1" fontId="6" fillId="11" borderId="1" xfId="0" applyNumberFormat="1" applyFont="1" applyFill="1" applyBorder="1" applyAlignment="1">
      <alignment horizontal="center"/>
    </xf>
    <xf numFmtId="4" fontId="7" fillId="12" borderId="2" xfId="0" applyNumberFormat="1" applyFont="1" applyFill="1" applyBorder="1"/>
    <xf numFmtId="1" fontId="7" fillId="12" borderId="2" xfId="0" applyNumberFormat="1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/>
    </xf>
    <xf numFmtId="0" fontId="6" fillId="15" borderId="1" xfId="0" applyFont="1" applyFill="1" applyBorder="1" applyAlignment="1">
      <alignment horizontal="center"/>
    </xf>
    <xf numFmtId="3" fontId="6" fillId="15" borderId="1" xfId="0" applyNumberFormat="1" applyFont="1" applyFill="1" applyBorder="1" applyAlignment="1">
      <alignment horizontal="center"/>
    </xf>
    <xf numFmtId="1" fontId="6" fillId="15" borderId="1" xfId="0" applyNumberFormat="1" applyFont="1" applyFill="1" applyBorder="1" applyAlignment="1">
      <alignment horizontal="center"/>
    </xf>
    <xf numFmtId="3" fontId="7" fillId="16" borderId="2" xfId="0" applyNumberFormat="1" applyFont="1" applyFill="1" applyBorder="1" applyAlignment="1">
      <alignment horizontal="center"/>
    </xf>
    <xf numFmtId="1" fontId="7" fillId="16" borderId="2" xfId="0" applyNumberFormat="1" applyFont="1" applyFill="1" applyBorder="1" applyAlignment="1">
      <alignment horizontal="center"/>
    </xf>
    <xf numFmtId="0" fontId="7" fillId="12" borderId="2" xfId="0" applyFont="1" applyFill="1" applyBorder="1" applyAlignment="1">
      <alignment horizontal="center"/>
    </xf>
    <xf numFmtId="0" fontId="7" fillId="16" borderId="2" xfId="0" applyFont="1" applyFill="1" applyBorder="1" applyAlignment="1">
      <alignment horizontal="center"/>
    </xf>
    <xf numFmtId="0" fontId="0" fillId="0" borderId="5" xfId="0" applyBorder="1"/>
    <xf numFmtId="0" fontId="21" fillId="0" borderId="5" xfId="0" applyFont="1" applyBorder="1" applyAlignment="1">
      <alignment horizontal="left" vertical="center"/>
    </xf>
    <xf numFmtId="0" fontId="19" fillId="18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0" fontId="6" fillId="0" borderId="4" xfId="0" applyFont="1" applyBorder="1" applyAlignment="1">
      <alignment horizontal="left"/>
    </xf>
    <xf numFmtId="4" fontId="6" fillId="0" borderId="4" xfId="0" applyNumberFormat="1" applyFont="1" applyBorder="1" applyAlignment="1">
      <alignment horizontal="right"/>
    </xf>
    <xf numFmtId="0" fontId="19" fillId="19" borderId="4" xfId="0" applyFont="1" applyFill="1" applyBorder="1" applyAlignment="1">
      <alignment horizontal="center" vertical="center" wrapText="1"/>
    </xf>
    <xf numFmtId="3" fontId="6" fillId="0" borderId="4" xfId="0" applyNumberFormat="1" applyFont="1" applyBorder="1" applyAlignment="1">
      <alignment horizontal="right"/>
    </xf>
    <xf numFmtId="0" fontId="19" fillId="17" borderId="4" xfId="0" applyFont="1" applyFill="1" applyBorder="1" applyAlignment="1">
      <alignment horizontal="center" vertical="center"/>
    </xf>
    <xf numFmtId="1" fontId="6" fillId="0" borderId="4" xfId="0" applyNumberFormat="1" applyFont="1" applyBorder="1" applyAlignment="1">
      <alignment horizontal="center"/>
    </xf>
    <xf numFmtId="0" fontId="19" fillId="20" borderId="4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20" fillId="0" borderId="5" xfId="0" applyFont="1" applyBorder="1" applyAlignment="1">
      <alignment horizontal="left" vertical="center" indent="1"/>
    </xf>
    <xf numFmtId="0" fontId="19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/>
    </xf>
    <xf numFmtId="0" fontId="6" fillId="0" borderId="5" xfId="0" applyFont="1" applyBorder="1" applyAlignment="1">
      <alignment horizontal="left"/>
    </xf>
    <xf numFmtId="4" fontId="6" fillId="0" borderId="5" xfId="0" applyNumberFormat="1" applyFont="1" applyBorder="1" applyAlignment="1">
      <alignment horizontal="right"/>
    </xf>
    <xf numFmtId="0" fontId="7" fillId="0" borderId="5" xfId="0" applyFont="1" applyBorder="1" applyAlignment="1">
      <alignment horizontal="right" vertical="center"/>
    </xf>
    <xf numFmtId="4" fontId="7" fillId="0" borderId="5" xfId="0" applyNumberFormat="1" applyFont="1" applyBorder="1" applyAlignment="1">
      <alignment horizontal="right"/>
    </xf>
    <xf numFmtId="0" fontId="23" fillId="0" borderId="6" xfId="0" applyFont="1" applyBorder="1" applyAlignment="1">
      <alignment horizontal="center"/>
    </xf>
    <xf numFmtId="0" fontId="23" fillId="0" borderId="6" xfId="0" applyFont="1" applyBorder="1" applyAlignment="1">
      <alignment horizontal="left"/>
    </xf>
    <xf numFmtId="2" fontId="23" fillId="0" borderId="6" xfId="0" applyNumberFormat="1" applyFont="1" applyBorder="1" applyAlignment="1">
      <alignment horizontal="right"/>
    </xf>
    <xf numFmtId="1" fontId="23" fillId="0" borderId="6" xfId="0" applyNumberFormat="1" applyFont="1" applyBorder="1" applyAlignment="1">
      <alignment horizontal="center"/>
    </xf>
    <xf numFmtId="0" fontId="23" fillId="0" borderId="6" xfId="0" applyFont="1" applyBorder="1"/>
    <xf numFmtId="1" fontId="23" fillId="0" borderId="0" xfId="0" applyNumberFormat="1" applyFont="1" applyBorder="1" applyAlignment="1">
      <alignment horizontal="center"/>
    </xf>
    <xf numFmtId="0" fontId="23" fillId="0" borderId="0" xfId="0" applyFont="1" applyBorder="1" applyAlignment="1">
      <alignment horizontal="left"/>
    </xf>
    <xf numFmtId="2" fontId="23" fillId="0" borderId="0" xfId="0" applyNumberFormat="1" applyFont="1" applyBorder="1" applyAlignment="1">
      <alignment horizontal="right"/>
    </xf>
    <xf numFmtId="1" fontId="6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3" fontId="6" fillId="0" borderId="0" xfId="0" applyNumberFormat="1" applyFont="1" applyBorder="1" applyAlignment="1">
      <alignment horizontal="right"/>
    </xf>
    <xf numFmtId="0" fontId="23" fillId="0" borderId="8" xfId="0" applyFont="1" applyBorder="1" applyAlignment="1">
      <alignment horizontal="left"/>
    </xf>
    <xf numFmtId="0" fontId="23" fillId="0" borderId="9" xfId="0" applyFont="1" applyBorder="1" applyAlignment="1">
      <alignment horizontal="left"/>
    </xf>
    <xf numFmtId="1" fontId="23" fillId="0" borderId="9" xfId="0" applyNumberFormat="1" applyFont="1" applyBorder="1" applyAlignment="1">
      <alignment horizontal="center"/>
    </xf>
    <xf numFmtId="2" fontId="23" fillId="0" borderId="9" xfId="0" applyNumberFormat="1" applyFont="1" applyBorder="1" applyAlignment="1">
      <alignment horizontal="right"/>
    </xf>
    <xf numFmtId="0" fontId="23" fillId="0" borderId="10" xfId="0" applyFont="1" applyBorder="1" applyAlignment="1">
      <alignment horizontal="left"/>
    </xf>
    <xf numFmtId="1" fontId="23" fillId="0" borderId="10" xfId="0" applyNumberFormat="1" applyFont="1" applyBorder="1" applyAlignment="1">
      <alignment horizontal="center"/>
    </xf>
    <xf numFmtId="2" fontId="23" fillId="0" borderId="10" xfId="0" applyNumberFormat="1" applyFont="1" applyBorder="1" applyAlignment="1">
      <alignment horizontal="right"/>
    </xf>
    <xf numFmtId="0" fontId="31" fillId="21" borderId="12" xfId="0" applyFont="1" applyFill="1" applyBorder="1" applyAlignment="1">
      <alignment horizontal="center" vertical="center"/>
    </xf>
    <xf numFmtId="0" fontId="31" fillId="21" borderId="12" xfId="0" applyFont="1" applyFill="1" applyBorder="1" applyAlignment="1">
      <alignment horizontal="left" vertical="center"/>
    </xf>
    <xf numFmtId="0" fontId="31" fillId="21" borderId="12" xfId="0" applyFont="1" applyFill="1" applyBorder="1" applyAlignment="1">
      <alignment horizontal="right" vertical="center"/>
    </xf>
    <xf numFmtId="0" fontId="6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/>
    </xf>
    <xf numFmtId="0" fontId="32" fillId="26" borderId="11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right" vertical="center"/>
    </xf>
    <xf numFmtId="0" fontId="6" fillId="27" borderId="11" xfId="0" applyFont="1" applyFill="1" applyBorder="1" applyAlignment="1">
      <alignment horizontal="center" vertical="center"/>
    </xf>
    <xf numFmtId="0" fontId="6" fillId="27" borderId="11" xfId="0" applyFont="1" applyFill="1" applyBorder="1" applyAlignment="1">
      <alignment horizontal="left" vertical="center"/>
    </xf>
    <xf numFmtId="0" fontId="6" fillId="27" borderId="11" xfId="0" applyFont="1" applyFill="1" applyBorder="1" applyAlignment="1">
      <alignment horizontal="right" vertical="center"/>
    </xf>
    <xf numFmtId="0" fontId="33" fillId="28" borderId="11" xfId="0" applyFont="1" applyFill="1" applyBorder="1" applyAlignment="1">
      <alignment horizontal="center" vertical="center"/>
    </xf>
    <xf numFmtId="0" fontId="34" fillId="29" borderId="11" xfId="0" applyFont="1" applyFill="1" applyBorder="1" applyAlignment="1">
      <alignment horizontal="center" vertical="center"/>
    </xf>
    <xf numFmtId="0" fontId="35" fillId="30" borderId="11" xfId="0" applyFont="1" applyFill="1" applyBorder="1" applyAlignment="1">
      <alignment horizontal="center" vertical="center"/>
    </xf>
    <xf numFmtId="0" fontId="36" fillId="31" borderId="11" xfId="0" applyFont="1" applyFill="1" applyBorder="1" applyAlignment="1">
      <alignment horizontal="center" vertical="center"/>
    </xf>
    <xf numFmtId="0" fontId="7" fillId="25" borderId="13" xfId="0" applyFont="1" applyFill="1" applyBorder="1"/>
    <xf numFmtId="0" fontId="0" fillId="0" borderId="14" xfId="0" applyBorder="1" applyAlignment="1">
      <alignment horizontal="left"/>
    </xf>
    <xf numFmtId="0" fontId="23" fillId="0" borderId="16" xfId="0" applyFont="1" applyBorder="1" applyAlignment="1">
      <alignment horizontal="left"/>
    </xf>
    <xf numFmtId="0" fontId="23" fillId="0" borderId="11" xfId="0" applyFont="1" applyBorder="1" applyAlignment="1">
      <alignment horizontal="left"/>
    </xf>
    <xf numFmtId="0" fontId="40" fillId="17" borderId="4" xfId="0" applyFont="1" applyFill="1" applyBorder="1" applyAlignment="1">
      <alignment horizontal="center" vertical="center"/>
    </xf>
    <xf numFmtId="0" fontId="41" fillId="33" borderId="6" xfId="3" applyFont="1" applyBorder="1" applyAlignment="1">
      <alignment horizontal="left" vertical="center"/>
    </xf>
    <xf numFmtId="0" fontId="41" fillId="33" borderId="0" xfId="3" applyFont="1" applyBorder="1" applyAlignment="1">
      <alignment horizontal="left" vertical="center"/>
    </xf>
    <xf numFmtId="0" fontId="43" fillId="28" borderId="11" xfId="0" applyFont="1" applyFill="1" applyBorder="1" applyAlignment="1">
      <alignment horizontal="center" vertical="center"/>
    </xf>
    <xf numFmtId="0" fontId="43" fillId="28" borderId="6" xfId="0" applyFont="1" applyFill="1" applyBorder="1" applyAlignment="1">
      <alignment horizontal="center" vertical="center"/>
    </xf>
    <xf numFmtId="0" fontId="42" fillId="6" borderId="11" xfId="0" applyFont="1" applyFill="1" applyBorder="1" applyAlignment="1">
      <alignment horizontal="center"/>
    </xf>
    <xf numFmtId="0" fontId="43" fillId="28" borderId="0" xfId="0" applyFont="1" applyFill="1" applyBorder="1" applyAlignment="1">
      <alignment horizontal="center" vertical="center"/>
    </xf>
    <xf numFmtId="0" fontId="41" fillId="33" borderId="11" xfId="3" applyFont="1" applyBorder="1" applyAlignment="1">
      <alignment horizontal="left" vertical="center"/>
    </xf>
    <xf numFmtId="0" fontId="44" fillId="0" borderId="6" xfId="0" applyFont="1" applyBorder="1" applyAlignment="1">
      <alignment horizontal="left"/>
    </xf>
    <xf numFmtId="0" fontId="45" fillId="35" borderId="17" xfId="0" applyFont="1" applyFill="1" applyBorder="1" applyAlignment="1">
      <alignment horizontal="center" vertical="center"/>
    </xf>
    <xf numFmtId="0" fontId="46" fillId="36" borderId="17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47" fillId="34" borderId="17" xfId="0" applyFont="1" applyFill="1" applyBorder="1" applyAlignment="1">
      <alignment horizontal="center" vertical="center" wrapText="1"/>
    </xf>
    <xf numFmtId="0" fontId="42" fillId="6" borderId="6" xfId="0" applyFont="1" applyFill="1" applyBorder="1" applyAlignment="1">
      <alignment horizontal="center"/>
    </xf>
    <xf numFmtId="0" fontId="0" fillId="0" borderId="6" xfId="0" applyBorder="1"/>
    <xf numFmtId="0" fontId="6" fillId="0" borderId="0" xfId="0" applyFont="1" applyBorder="1" applyAlignment="1">
      <alignment horizontal="left" vertical="center"/>
    </xf>
    <xf numFmtId="0" fontId="41" fillId="0" borderId="0" xfId="0" applyFont="1" applyBorder="1" applyAlignment="1">
      <alignment horizontal="left" vertical="center"/>
    </xf>
    <xf numFmtId="0" fontId="45" fillId="0" borderId="17" xfId="0" applyFont="1" applyBorder="1" applyAlignment="1">
      <alignment horizontal="center" vertical="center"/>
    </xf>
    <xf numFmtId="0" fontId="45" fillId="0" borderId="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/>
    </xf>
    <xf numFmtId="0" fontId="6" fillId="0" borderId="10" xfId="0" applyFont="1" applyBorder="1" applyAlignment="1">
      <alignment horizontal="left"/>
    </xf>
    <xf numFmtId="2" fontId="6" fillId="0" borderId="10" xfId="0" applyNumberFormat="1" applyFont="1" applyBorder="1" applyAlignment="1">
      <alignment horizontal="right"/>
    </xf>
    <xf numFmtId="0" fontId="6" fillId="0" borderId="6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41" fillId="0" borderId="6" xfId="0" applyFont="1" applyBorder="1" applyAlignment="1">
      <alignment horizontal="left" vertical="center"/>
    </xf>
    <xf numFmtId="0" fontId="41" fillId="0" borderId="8" xfId="0" applyFont="1" applyBorder="1" applyAlignment="1">
      <alignment horizontal="left" vertical="center"/>
    </xf>
    <xf numFmtId="0" fontId="42" fillId="6" borderId="0" xfId="0" applyFont="1" applyFill="1" applyBorder="1" applyAlignment="1">
      <alignment horizontal="center"/>
    </xf>
    <xf numFmtId="0" fontId="41" fillId="0" borderId="11" xfId="0" applyFont="1" applyBorder="1" applyAlignment="1">
      <alignment horizontal="left" vertical="center"/>
    </xf>
    <xf numFmtId="0" fontId="23" fillId="0" borderId="0" xfId="0" applyFont="1" applyBorder="1"/>
    <xf numFmtId="0" fontId="0" fillId="0" borderId="10" xfId="0" applyBorder="1"/>
    <xf numFmtId="0" fontId="0" fillId="0" borderId="9" xfId="0" applyBorder="1"/>
    <xf numFmtId="0" fontId="0" fillId="0" borderId="7" xfId="0" applyBorder="1"/>
    <xf numFmtId="0" fontId="51" fillId="0" borderId="0" xfId="0" applyFont="1" applyBorder="1"/>
    <xf numFmtId="0" fontId="52" fillId="0" borderId="0" xfId="0" applyFont="1" applyBorder="1"/>
    <xf numFmtId="0" fontId="50" fillId="39" borderId="18" xfId="0" applyFont="1" applyFill="1" applyBorder="1" applyAlignment="1">
      <alignment horizontal="center" vertical="center"/>
    </xf>
    <xf numFmtId="1" fontId="6" fillId="0" borderId="18" xfId="0" applyNumberFormat="1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3" fontId="6" fillId="0" borderId="18" xfId="0" applyNumberFormat="1" applyFont="1" applyBorder="1" applyAlignment="1">
      <alignment horizontal="right"/>
    </xf>
    <xf numFmtId="10" fontId="6" fillId="0" borderId="18" xfId="0" applyNumberFormat="1" applyFont="1" applyBorder="1" applyAlignment="1">
      <alignment horizontal="right"/>
    </xf>
    <xf numFmtId="0" fontId="6" fillId="0" borderId="18" xfId="0" applyFont="1" applyBorder="1" applyAlignment="1">
      <alignment horizontal="left"/>
    </xf>
    <xf numFmtId="3" fontId="50" fillId="37" borderId="0" xfId="0" applyNumberFormat="1" applyFont="1" applyFill="1" applyBorder="1" applyAlignment="1">
      <alignment horizontal="right"/>
    </xf>
    <xf numFmtId="10" fontId="50" fillId="37" borderId="0" xfId="0" applyNumberFormat="1" applyFont="1" applyFill="1" applyBorder="1" applyAlignment="1">
      <alignment horizontal="right"/>
    </xf>
    <xf numFmtId="0" fontId="7" fillId="41" borderId="18" xfId="0" applyFont="1" applyFill="1" applyBorder="1" applyAlignment="1">
      <alignment horizontal="center"/>
    </xf>
    <xf numFmtId="1" fontId="7" fillId="41" borderId="18" xfId="0" applyNumberFormat="1" applyFont="1" applyFill="1" applyBorder="1" applyAlignment="1">
      <alignment horizontal="center"/>
    </xf>
    <xf numFmtId="0" fontId="7" fillId="41" borderId="18" xfId="0" applyFont="1" applyFill="1" applyBorder="1" applyAlignment="1">
      <alignment horizontal="left"/>
    </xf>
    <xf numFmtId="3" fontId="7" fillId="41" borderId="18" xfId="0" applyNumberFormat="1" applyFont="1" applyFill="1" applyBorder="1" applyAlignment="1">
      <alignment horizontal="right"/>
    </xf>
    <xf numFmtId="10" fontId="7" fillId="41" borderId="18" xfId="0" applyNumberFormat="1" applyFont="1" applyFill="1" applyBorder="1" applyAlignment="1">
      <alignment horizontal="right"/>
    </xf>
    <xf numFmtId="3" fontId="7" fillId="40" borderId="18" xfId="0" applyNumberFormat="1" applyFont="1" applyFill="1" applyBorder="1" applyAlignment="1">
      <alignment horizontal="right"/>
    </xf>
    <xf numFmtId="10" fontId="7" fillId="40" borderId="18" xfId="0" applyNumberFormat="1" applyFont="1" applyFill="1" applyBorder="1" applyAlignment="1">
      <alignment horizontal="right"/>
    </xf>
    <xf numFmtId="0" fontId="50" fillId="37" borderId="0" xfId="0" applyFont="1" applyFill="1" applyBorder="1" applyAlignment="1">
      <alignment horizontal="center" vertical="center" wrapText="1"/>
    </xf>
    <xf numFmtId="0" fontId="50" fillId="37" borderId="0" xfId="0" applyFont="1" applyFill="1" applyBorder="1" applyAlignment="1">
      <alignment horizontal="center"/>
    </xf>
    <xf numFmtId="0" fontId="7" fillId="40" borderId="18" xfId="0" applyFont="1" applyFill="1" applyBorder="1" applyAlignment="1">
      <alignment horizontal="center"/>
    </xf>
    <xf numFmtId="0" fontId="55" fillId="0" borderId="19" xfId="0" applyFont="1" applyBorder="1" applyAlignment="1">
      <alignment horizontal="center" vertical="center"/>
    </xf>
    <xf numFmtId="0" fontId="57" fillId="0" borderId="19" xfId="0" applyFont="1" applyBorder="1" applyAlignment="1">
      <alignment horizontal="center" vertical="center"/>
    </xf>
    <xf numFmtId="0" fontId="58" fillId="0" borderId="19" xfId="0" applyFont="1" applyBorder="1"/>
    <xf numFmtId="0" fontId="63" fillId="44" borderId="21" xfId="0" applyFont="1" applyFill="1" applyBorder="1" applyAlignment="1">
      <alignment horizontal="left" vertical="center"/>
    </xf>
    <xf numFmtId="0" fontId="63" fillId="44" borderId="21" xfId="0" applyFont="1" applyFill="1" applyBorder="1" applyAlignment="1">
      <alignment horizontal="center" vertical="center"/>
    </xf>
    <xf numFmtId="0" fontId="63" fillId="44" borderId="21" xfId="0" applyFont="1" applyFill="1" applyBorder="1" applyAlignment="1">
      <alignment horizontal="right" vertical="center"/>
    </xf>
    <xf numFmtId="0" fontId="64" fillId="45" borderId="21" xfId="0" applyFont="1" applyFill="1" applyBorder="1" applyAlignment="1">
      <alignment horizontal="left" vertical="center"/>
    </xf>
    <xf numFmtId="0" fontId="64" fillId="45" borderId="21" xfId="0" applyFont="1" applyFill="1" applyBorder="1" applyAlignment="1">
      <alignment horizontal="center" vertical="center"/>
    </xf>
    <xf numFmtId="3" fontId="64" fillId="45" borderId="21" xfId="0" applyNumberFormat="1" applyFont="1" applyFill="1" applyBorder="1" applyAlignment="1">
      <alignment horizontal="right" vertical="center"/>
    </xf>
    <xf numFmtId="0" fontId="65" fillId="0" borderId="21" xfId="0" applyFont="1" applyBorder="1" applyAlignment="1">
      <alignment horizontal="left" vertical="center"/>
    </xf>
    <xf numFmtId="3" fontId="65" fillId="0" borderId="21" xfId="0" applyNumberFormat="1" applyFont="1" applyBorder="1" applyAlignment="1">
      <alignment horizontal="right" vertical="center"/>
    </xf>
    <xf numFmtId="0" fontId="65" fillId="45" borderId="21" xfId="0" applyFont="1" applyFill="1" applyBorder="1" applyAlignment="1">
      <alignment horizontal="left" vertical="center"/>
    </xf>
    <xf numFmtId="0" fontId="65" fillId="45" borderId="21" xfId="0" applyFont="1" applyFill="1" applyBorder="1" applyAlignment="1">
      <alignment horizontal="center" vertical="center"/>
    </xf>
    <xf numFmtId="3" fontId="65" fillId="45" borderId="21" xfId="0" applyNumberFormat="1" applyFont="1" applyFill="1" applyBorder="1" applyAlignment="1">
      <alignment horizontal="right" vertical="center"/>
    </xf>
    <xf numFmtId="0" fontId="59" fillId="46" borderId="22" xfId="0" applyFont="1" applyFill="1" applyBorder="1" applyAlignment="1">
      <alignment horizontal="left" vertical="center"/>
    </xf>
    <xf numFmtId="0" fontId="59" fillId="46" borderId="22" xfId="0" applyFont="1" applyFill="1" applyBorder="1" applyAlignment="1">
      <alignment horizontal="center" vertical="center"/>
    </xf>
    <xf numFmtId="3" fontId="59" fillId="46" borderId="22" xfId="0" applyNumberFormat="1" applyFont="1" applyFill="1" applyBorder="1" applyAlignment="1">
      <alignment horizontal="right" vertical="center"/>
    </xf>
    <xf numFmtId="3" fontId="58" fillId="0" borderId="19" xfId="0" applyNumberFormat="1" applyFont="1" applyBorder="1"/>
    <xf numFmtId="3" fontId="64" fillId="0" borderId="21" xfId="0" applyNumberFormat="1" applyFont="1" applyBorder="1" applyAlignment="1">
      <alignment horizontal="right" vertical="center"/>
    </xf>
    <xf numFmtId="3" fontId="59" fillId="48" borderId="22" xfId="0" applyNumberFormat="1" applyFont="1" applyFill="1" applyBorder="1" applyAlignment="1">
      <alignment horizontal="right" vertical="center"/>
    </xf>
    <xf numFmtId="3" fontId="63" fillId="44" borderId="21" xfId="0" applyNumberFormat="1" applyFont="1" applyFill="1" applyBorder="1" applyAlignment="1">
      <alignment horizontal="right" vertical="center"/>
    </xf>
    <xf numFmtId="0" fontId="64" fillId="46" borderId="21" xfId="0" applyFont="1" applyFill="1" applyBorder="1" applyAlignment="1">
      <alignment horizontal="center"/>
    </xf>
    <xf numFmtId="0" fontId="65" fillId="0" borderId="21" xfId="0" applyFont="1" applyBorder="1" applyAlignment="1">
      <alignment horizontal="center"/>
    </xf>
    <xf numFmtId="3" fontId="65" fillId="0" borderId="21" xfId="0" applyNumberFormat="1" applyFont="1" applyBorder="1" applyAlignment="1">
      <alignment horizontal="center"/>
    </xf>
    <xf numFmtId="0" fontId="65" fillId="7" borderId="21" xfId="0" applyFont="1" applyFill="1" applyBorder="1" applyAlignment="1">
      <alignment horizontal="center"/>
    </xf>
    <xf numFmtId="3" fontId="65" fillId="7" borderId="21" xfId="0" applyNumberFormat="1" applyFont="1" applyFill="1" applyBorder="1" applyAlignment="1">
      <alignment horizontal="center"/>
    </xf>
    <xf numFmtId="0" fontId="0" fillId="0" borderId="19" xfId="0" applyBorder="1"/>
    <xf numFmtId="0" fontId="7" fillId="0" borderId="19" xfId="0" applyFont="1" applyBorder="1" applyAlignment="1">
      <alignment horizontal="center"/>
    </xf>
    <xf numFmtId="3" fontId="6" fillId="0" borderId="19" xfId="0" applyNumberFormat="1" applyFont="1" applyBorder="1" applyAlignment="1">
      <alignment horizontal="center"/>
    </xf>
    <xf numFmtId="3" fontId="7" fillId="0" borderId="19" xfId="0" applyNumberFormat="1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4" fillId="0" borderId="19" xfId="0" applyFont="1" applyBorder="1" applyAlignment="1">
      <alignment horizontal="left" vertical="center" indent="1"/>
    </xf>
    <xf numFmtId="0" fontId="24" fillId="0" borderId="19" xfId="0" applyFont="1" applyBorder="1" applyAlignment="1">
      <alignment horizontal="center"/>
    </xf>
    <xf numFmtId="0" fontId="24" fillId="0" borderId="19" xfId="0" applyFont="1" applyBorder="1" applyAlignment="1">
      <alignment horizontal="left"/>
    </xf>
    <xf numFmtId="0" fontId="24" fillId="0" borderId="19" xfId="0" applyFont="1" applyBorder="1" applyAlignment="1">
      <alignment horizontal="right"/>
    </xf>
    <xf numFmtId="0" fontId="6" fillId="0" borderId="19" xfId="0" applyFont="1" applyBorder="1" applyAlignment="1">
      <alignment horizontal="center"/>
    </xf>
    <xf numFmtId="0" fontId="6" fillId="0" borderId="19" xfId="0" applyFont="1" applyBorder="1" applyAlignment="1">
      <alignment horizontal="left"/>
    </xf>
    <xf numFmtId="0" fontId="65" fillId="0" borderId="21" xfId="0" applyFont="1" applyBorder="1" applyAlignment="1">
      <alignment horizontal="center" vertical="center"/>
    </xf>
    <xf numFmtId="1" fontId="23" fillId="49" borderId="25" xfId="0" applyNumberFormat="1" applyFont="1" applyFill="1" applyBorder="1" applyAlignment="1">
      <alignment horizontal="center" vertical="center"/>
    </xf>
    <xf numFmtId="0" fontId="66" fillId="49" borderId="25" xfId="0" applyFont="1" applyFill="1" applyBorder="1" applyAlignment="1">
      <alignment horizontal="left" vertical="center"/>
    </xf>
    <xf numFmtId="0" fontId="23" fillId="49" borderId="25" xfId="0" applyFont="1" applyFill="1" applyBorder="1" applyAlignment="1">
      <alignment horizontal="left" vertical="center"/>
    </xf>
    <xf numFmtId="2" fontId="23" fillId="49" borderId="25" xfId="0" applyNumberFormat="1" applyFont="1" applyFill="1" applyBorder="1" applyAlignment="1">
      <alignment horizontal="right" vertical="center"/>
    </xf>
    <xf numFmtId="0" fontId="23" fillId="49" borderId="25" xfId="0" applyFont="1" applyFill="1" applyBorder="1" applyAlignment="1">
      <alignment horizontal="center" vertical="center"/>
    </xf>
    <xf numFmtId="0" fontId="66" fillId="49" borderId="25" xfId="0" applyFont="1" applyFill="1" applyBorder="1" applyAlignment="1">
      <alignment horizontal="center" vertical="center"/>
    </xf>
    <xf numFmtId="1" fontId="23" fillId="50" borderId="25" xfId="0" applyNumberFormat="1" applyFont="1" applyFill="1" applyBorder="1" applyAlignment="1">
      <alignment horizontal="center" vertical="center"/>
    </xf>
    <xf numFmtId="0" fontId="66" fillId="50" borderId="25" xfId="0" applyFont="1" applyFill="1" applyBorder="1" applyAlignment="1">
      <alignment horizontal="left" vertical="center"/>
    </xf>
    <xf numFmtId="0" fontId="23" fillId="50" borderId="25" xfId="0" applyFont="1" applyFill="1" applyBorder="1" applyAlignment="1">
      <alignment horizontal="left" vertical="center"/>
    </xf>
    <xf numFmtId="2" fontId="23" fillId="50" borderId="25" xfId="0" applyNumberFormat="1" applyFont="1" applyFill="1" applyBorder="1" applyAlignment="1">
      <alignment horizontal="right" vertical="center"/>
    </xf>
    <xf numFmtId="0" fontId="23" fillId="50" borderId="25" xfId="0" applyFont="1" applyFill="1" applyBorder="1" applyAlignment="1">
      <alignment horizontal="center" vertical="center"/>
    </xf>
    <xf numFmtId="0" fontId="66" fillId="50" borderId="25" xfId="0" applyFont="1" applyFill="1" applyBorder="1" applyAlignment="1">
      <alignment horizontal="center" vertical="center"/>
    </xf>
    <xf numFmtId="0" fontId="67" fillId="0" borderId="26" xfId="0" applyFont="1" applyBorder="1" applyAlignment="1">
      <alignment horizontal="center"/>
    </xf>
    <xf numFmtId="0" fontId="67" fillId="0" borderId="26" xfId="0" applyFont="1" applyBorder="1" applyAlignment="1">
      <alignment horizontal="left"/>
    </xf>
    <xf numFmtId="3" fontId="67" fillId="0" borderId="26" xfId="0" applyNumberFormat="1" applyFont="1" applyBorder="1" applyAlignment="1">
      <alignment horizontal="right"/>
    </xf>
    <xf numFmtId="1" fontId="48" fillId="0" borderId="27" xfId="0" applyNumberFormat="1" applyFont="1" applyBorder="1" applyAlignment="1">
      <alignment horizontal="center" vertical="center"/>
    </xf>
    <xf numFmtId="0" fontId="48" fillId="0" borderId="27" xfId="0" applyFont="1" applyBorder="1" applyAlignment="1">
      <alignment horizontal="left" vertical="center"/>
    </xf>
    <xf numFmtId="2" fontId="48" fillId="0" borderId="27" xfId="0" applyNumberFormat="1" applyFont="1" applyBorder="1" applyAlignment="1">
      <alignment horizontal="right" vertical="center"/>
    </xf>
    <xf numFmtId="0" fontId="48" fillId="0" borderId="27" xfId="0" applyFont="1" applyBorder="1" applyAlignment="1">
      <alignment horizontal="center" vertical="center"/>
    </xf>
    <xf numFmtId="0" fontId="48" fillId="0" borderId="27" xfId="0" applyFont="1" applyBorder="1" applyAlignment="1">
      <alignment horizontal="right" vertical="center"/>
    </xf>
    <xf numFmtId="0" fontId="68" fillId="0" borderId="0" xfId="0" applyFont="1" applyBorder="1"/>
    <xf numFmtId="0" fontId="69" fillId="52" borderId="27" xfId="0" applyFont="1" applyFill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7" xfId="0" applyFont="1" applyBorder="1" applyAlignment="1">
      <alignment horizontal="left" vertical="center"/>
    </xf>
    <xf numFmtId="0" fontId="7" fillId="51" borderId="27" xfId="0" applyFont="1" applyFill="1" applyBorder="1" applyAlignment="1">
      <alignment horizontal="center" vertical="center"/>
    </xf>
    <xf numFmtId="0" fontId="7" fillId="51" borderId="27" xfId="0" applyFont="1" applyFill="1" applyBorder="1"/>
    <xf numFmtId="0" fontId="59" fillId="48" borderId="22" xfId="0" applyFont="1" applyFill="1" applyBorder="1" applyAlignment="1">
      <alignment horizontal="left" vertical="center"/>
    </xf>
    <xf numFmtId="0" fontId="70" fillId="53" borderId="28" xfId="0" applyFont="1" applyFill="1" applyBorder="1" applyAlignment="1">
      <alignment horizontal="left" vertical="center"/>
    </xf>
    <xf numFmtId="0" fontId="70" fillId="53" borderId="28" xfId="0" applyFont="1" applyFill="1" applyBorder="1" applyAlignment="1">
      <alignment horizontal="center" vertical="center"/>
    </xf>
    <xf numFmtId="3" fontId="70" fillId="53" borderId="28" xfId="0" applyNumberFormat="1" applyFont="1" applyFill="1" applyBorder="1" applyAlignment="1">
      <alignment horizontal="right" vertical="center"/>
    </xf>
    <xf numFmtId="0" fontId="71" fillId="54" borderId="28" xfId="0" applyFont="1" applyFill="1" applyBorder="1" applyAlignment="1">
      <alignment horizontal="center" vertical="center"/>
    </xf>
    <xf numFmtId="3" fontId="71" fillId="54" borderId="28" xfId="0" applyNumberFormat="1" applyFont="1" applyFill="1" applyBorder="1" applyAlignment="1">
      <alignment horizontal="right" vertical="center"/>
    </xf>
    <xf numFmtId="0" fontId="59" fillId="0" borderId="29" xfId="0" applyFont="1" applyBorder="1" applyAlignment="1">
      <alignment horizontal="left" vertical="center"/>
    </xf>
    <xf numFmtId="0" fontId="59" fillId="0" borderId="29" xfId="0" applyFont="1" applyBorder="1" applyAlignment="1">
      <alignment horizontal="center" vertical="center"/>
    </xf>
    <xf numFmtId="3" fontId="59" fillId="0" borderId="29" xfId="0" applyNumberFormat="1" applyFont="1" applyBorder="1" applyAlignment="1">
      <alignment horizontal="right" vertical="center"/>
    </xf>
    <xf numFmtId="3" fontId="72" fillId="53" borderId="28" xfId="0" applyNumberFormat="1" applyFont="1" applyFill="1" applyBorder="1" applyAlignment="1">
      <alignment horizontal="right" vertical="center"/>
    </xf>
    <xf numFmtId="3" fontId="73" fillId="55" borderId="30" xfId="0" applyNumberFormat="1" applyFont="1" applyFill="1" applyBorder="1" applyAlignment="1">
      <alignment horizontal="right" vertical="center"/>
    </xf>
    <xf numFmtId="164" fontId="56" fillId="0" borderId="19" xfId="0" applyNumberFormat="1" applyFont="1" applyBorder="1" applyAlignment="1">
      <alignment horizontal="center" vertical="center"/>
    </xf>
    <xf numFmtId="164" fontId="64" fillId="45" borderId="21" xfId="0" applyNumberFormat="1" applyFont="1" applyFill="1" applyBorder="1" applyAlignment="1">
      <alignment horizontal="right" vertical="center"/>
    </xf>
    <xf numFmtId="165" fontId="64" fillId="45" borderId="21" xfId="0" applyNumberFormat="1" applyFont="1" applyFill="1" applyBorder="1" applyAlignment="1">
      <alignment horizontal="right" vertical="center"/>
    </xf>
    <xf numFmtId="164" fontId="65" fillId="0" borderId="21" xfId="0" applyNumberFormat="1" applyFont="1" applyBorder="1" applyAlignment="1">
      <alignment horizontal="right" vertical="center"/>
    </xf>
    <xf numFmtId="165" fontId="65" fillId="0" borderId="21" xfId="0" applyNumberFormat="1" applyFont="1" applyBorder="1" applyAlignment="1">
      <alignment horizontal="right" vertical="center"/>
    </xf>
    <xf numFmtId="164" fontId="65" fillId="45" borderId="21" xfId="0" applyNumberFormat="1" applyFont="1" applyFill="1" applyBorder="1" applyAlignment="1">
      <alignment horizontal="right" vertical="center"/>
    </xf>
    <xf numFmtId="165" fontId="65" fillId="45" borderId="21" xfId="0" applyNumberFormat="1" applyFont="1" applyFill="1" applyBorder="1" applyAlignment="1">
      <alignment horizontal="right" vertical="center"/>
    </xf>
    <xf numFmtId="164" fontId="59" fillId="46" borderId="22" xfId="0" applyNumberFormat="1" applyFont="1" applyFill="1" applyBorder="1" applyAlignment="1">
      <alignment horizontal="right" vertical="center"/>
    </xf>
    <xf numFmtId="165" fontId="59" fillId="46" borderId="22" xfId="0" applyNumberFormat="1" applyFont="1" applyFill="1" applyBorder="1" applyAlignment="1">
      <alignment horizontal="right" vertical="center"/>
    </xf>
    <xf numFmtId="166" fontId="70" fillId="53" borderId="28" xfId="0" applyNumberFormat="1" applyFont="1" applyFill="1" applyBorder="1" applyAlignment="1">
      <alignment horizontal="right" vertical="center"/>
    </xf>
    <xf numFmtId="165" fontId="70" fillId="53" borderId="28" xfId="0" applyNumberFormat="1" applyFont="1" applyFill="1" applyBorder="1" applyAlignment="1">
      <alignment horizontal="right" vertical="center"/>
    </xf>
    <xf numFmtId="164" fontId="58" fillId="0" borderId="19" xfId="0" applyNumberFormat="1" applyFont="1" applyBorder="1"/>
    <xf numFmtId="165" fontId="58" fillId="0" borderId="19" xfId="0" applyNumberFormat="1" applyFont="1" applyBorder="1"/>
    <xf numFmtId="166" fontId="71" fillId="54" borderId="28" xfId="0" applyNumberFormat="1" applyFont="1" applyFill="1" applyBorder="1" applyAlignment="1">
      <alignment horizontal="right" vertical="center"/>
    </xf>
    <xf numFmtId="165" fontId="71" fillId="54" borderId="28" xfId="0" applyNumberFormat="1" applyFont="1" applyFill="1" applyBorder="1" applyAlignment="1">
      <alignment horizontal="right" vertical="center"/>
    </xf>
    <xf numFmtId="164" fontId="59" fillId="0" borderId="29" xfId="0" applyNumberFormat="1" applyFont="1" applyBorder="1" applyAlignment="1">
      <alignment horizontal="right" vertical="center"/>
    </xf>
    <xf numFmtId="165" fontId="59" fillId="0" borderId="29" xfId="0" applyNumberFormat="1" applyFont="1" applyBorder="1" applyAlignment="1">
      <alignment horizontal="right" vertical="center"/>
    </xf>
    <xf numFmtId="164" fontId="64" fillId="0" borderId="21" xfId="0" applyNumberFormat="1" applyFont="1" applyBorder="1" applyAlignment="1">
      <alignment horizontal="right" vertical="center"/>
    </xf>
    <xf numFmtId="165" fontId="64" fillId="0" borderId="21" xfId="0" applyNumberFormat="1" applyFont="1" applyBorder="1" applyAlignment="1">
      <alignment horizontal="right" vertical="center"/>
    </xf>
    <xf numFmtId="164" fontId="71" fillId="54" borderId="28" xfId="0" applyNumberFormat="1" applyFont="1" applyFill="1" applyBorder="1" applyAlignment="1">
      <alignment horizontal="right" vertical="center"/>
    </xf>
    <xf numFmtId="166" fontId="72" fillId="53" borderId="28" xfId="0" applyNumberFormat="1" applyFont="1" applyFill="1" applyBorder="1" applyAlignment="1">
      <alignment horizontal="right" vertical="center"/>
    </xf>
    <xf numFmtId="165" fontId="72" fillId="53" borderId="28" xfId="0" applyNumberFormat="1" applyFont="1" applyFill="1" applyBorder="1" applyAlignment="1">
      <alignment horizontal="center" vertical="center"/>
    </xf>
    <xf numFmtId="164" fontId="72" fillId="53" borderId="28" xfId="0" applyNumberFormat="1" applyFont="1" applyFill="1" applyBorder="1" applyAlignment="1">
      <alignment horizontal="center" vertical="center"/>
    </xf>
    <xf numFmtId="166" fontId="73" fillId="55" borderId="30" xfId="0" applyNumberFormat="1" applyFont="1" applyFill="1" applyBorder="1" applyAlignment="1">
      <alignment horizontal="right" vertical="center"/>
    </xf>
    <xf numFmtId="165" fontId="73" fillId="55" borderId="30" xfId="0" applyNumberFormat="1" applyFont="1" applyFill="1" applyBorder="1" applyAlignment="1">
      <alignment horizontal="center" vertical="center"/>
    </xf>
    <xf numFmtId="164" fontId="73" fillId="55" borderId="30" xfId="0" applyNumberFormat="1" applyFont="1" applyFill="1" applyBorder="1" applyAlignment="1">
      <alignment horizontal="center" vertical="center"/>
    </xf>
    <xf numFmtId="164" fontId="63" fillId="44" borderId="21" xfId="0" applyNumberFormat="1" applyFont="1" applyFill="1" applyBorder="1" applyAlignment="1">
      <alignment horizontal="right" vertical="center"/>
    </xf>
    <xf numFmtId="165" fontId="63" fillId="44" borderId="21" xfId="0" applyNumberFormat="1" applyFont="1" applyFill="1" applyBorder="1" applyAlignment="1">
      <alignment horizontal="right" vertical="center"/>
    </xf>
    <xf numFmtId="164" fontId="65" fillId="5" borderId="21" xfId="0" applyNumberFormat="1" applyFont="1" applyFill="1" applyBorder="1" applyAlignment="1">
      <alignment horizontal="right" vertical="center"/>
    </xf>
    <xf numFmtId="164" fontId="65" fillId="6" borderId="21" xfId="0" applyNumberFormat="1" applyFont="1" applyFill="1" applyBorder="1" applyAlignment="1">
      <alignment horizontal="right" vertical="center"/>
    </xf>
    <xf numFmtId="164" fontId="65" fillId="4" borderId="21" xfId="0" applyNumberFormat="1" applyFont="1" applyFill="1" applyBorder="1" applyAlignment="1">
      <alignment horizontal="right" vertical="center"/>
    </xf>
    <xf numFmtId="164" fontId="59" fillId="48" borderId="22" xfId="0" applyNumberFormat="1" applyFont="1" applyFill="1" applyBorder="1" applyAlignment="1">
      <alignment horizontal="right" vertical="center"/>
    </xf>
    <xf numFmtId="165" fontId="59" fillId="48" borderId="22" xfId="0" applyNumberFormat="1" applyFont="1" applyFill="1" applyBorder="1" applyAlignment="1">
      <alignment horizontal="right" vertical="center"/>
    </xf>
    <xf numFmtId="164" fontId="64" fillId="46" borderId="21" xfId="0" applyNumberFormat="1" applyFont="1" applyFill="1" applyBorder="1" applyAlignment="1">
      <alignment horizontal="right"/>
    </xf>
    <xf numFmtId="165" fontId="64" fillId="46" borderId="21" xfId="0" applyNumberFormat="1" applyFont="1" applyFill="1" applyBorder="1" applyAlignment="1">
      <alignment horizontal="right"/>
    </xf>
    <xf numFmtId="167" fontId="64" fillId="46" borderId="21" xfId="0" applyNumberFormat="1" applyFont="1" applyFill="1" applyBorder="1" applyAlignment="1">
      <alignment horizontal="center"/>
    </xf>
    <xf numFmtId="164" fontId="65" fillId="5" borderId="21" xfId="0" applyNumberFormat="1" applyFont="1" applyFill="1" applyBorder="1" applyAlignment="1">
      <alignment horizontal="right"/>
    </xf>
    <xf numFmtId="164" fontId="65" fillId="6" borderId="21" xfId="0" applyNumberFormat="1" applyFont="1" applyFill="1" applyBorder="1" applyAlignment="1">
      <alignment horizontal="right"/>
    </xf>
    <xf numFmtId="164" fontId="65" fillId="4" borderId="21" xfId="0" applyNumberFormat="1" applyFont="1" applyFill="1" applyBorder="1" applyAlignment="1">
      <alignment horizontal="right"/>
    </xf>
    <xf numFmtId="165" fontId="65" fillId="0" borderId="21" xfId="0" applyNumberFormat="1" applyFont="1" applyBorder="1" applyAlignment="1">
      <alignment horizontal="right"/>
    </xf>
    <xf numFmtId="164" fontId="65" fillId="0" borderId="21" xfId="0" applyNumberFormat="1" applyFont="1" applyBorder="1" applyAlignment="1">
      <alignment horizontal="right"/>
    </xf>
    <xf numFmtId="165" fontId="65" fillId="7" borderId="21" xfId="0" applyNumberFormat="1" applyFont="1" applyFill="1" applyBorder="1" applyAlignment="1">
      <alignment horizontal="right"/>
    </xf>
    <xf numFmtId="164" fontId="65" fillId="7" borderId="21" xfId="0" applyNumberFormat="1" applyFont="1" applyFill="1" applyBorder="1" applyAlignment="1">
      <alignment horizontal="right"/>
    </xf>
    <xf numFmtId="164" fontId="6" fillId="0" borderId="19" xfId="0" applyNumberFormat="1" applyFont="1" applyBorder="1" applyAlignment="1">
      <alignment horizontal="right"/>
    </xf>
    <xf numFmtId="164" fontId="7" fillId="0" borderId="19" xfId="0" applyNumberFormat="1" applyFont="1" applyBorder="1" applyAlignment="1">
      <alignment horizontal="right"/>
    </xf>
    <xf numFmtId="165" fontId="6" fillId="0" borderId="19" xfId="0" applyNumberFormat="1" applyFont="1" applyBorder="1" applyAlignment="1">
      <alignment horizontal="right"/>
    </xf>
    <xf numFmtId="164" fontId="5" fillId="0" borderId="19" xfId="0" applyNumberFormat="1" applyFont="1" applyBorder="1" applyAlignment="1">
      <alignment horizontal="right"/>
    </xf>
    <xf numFmtId="164" fontId="8" fillId="0" borderId="19" xfId="0" applyNumberFormat="1" applyFont="1" applyBorder="1" applyAlignment="1">
      <alignment horizontal="right"/>
    </xf>
    <xf numFmtId="165" fontId="5" fillId="0" borderId="19" xfId="0" applyNumberFormat="1" applyFont="1" applyBorder="1" applyAlignment="1">
      <alignment horizontal="right"/>
    </xf>
    <xf numFmtId="165" fontId="8" fillId="0" borderId="19" xfId="0" applyNumberFormat="1" applyFont="1" applyBorder="1" applyAlignment="1">
      <alignment horizontal="right"/>
    </xf>
    <xf numFmtId="165" fontId="7" fillId="0" borderId="19" xfId="0" applyNumberFormat="1" applyFont="1" applyBorder="1" applyAlignment="1">
      <alignment horizontal="right"/>
    </xf>
    <xf numFmtId="167" fontId="6" fillId="0" borderId="19" xfId="0" applyNumberFormat="1" applyFont="1" applyBorder="1" applyAlignment="1">
      <alignment horizontal="center"/>
    </xf>
    <xf numFmtId="166" fontId="6" fillId="0" borderId="18" xfId="0" applyNumberFormat="1" applyFont="1" applyBorder="1" applyAlignment="1">
      <alignment horizontal="right"/>
    </xf>
    <xf numFmtId="166" fontId="50" fillId="37" borderId="0" xfId="0" applyNumberFormat="1" applyFont="1" applyFill="1" applyBorder="1" applyAlignment="1">
      <alignment horizontal="right"/>
    </xf>
    <xf numFmtId="166" fontId="7" fillId="41" borderId="18" xfId="0" applyNumberFormat="1" applyFont="1" applyFill="1" applyBorder="1" applyAlignment="1">
      <alignment horizontal="right"/>
    </xf>
    <xf numFmtId="166" fontId="7" fillId="40" borderId="18" xfId="0" applyNumberFormat="1" applyFont="1" applyFill="1" applyBorder="1" applyAlignment="1">
      <alignment horizontal="right"/>
    </xf>
    <xf numFmtId="168" fontId="13" fillId="10" borderId="1" xfId="0" applyNumberFormat="1" applyFont="1" applyFill="1" applyBorder="1" applyAlignment="1">
      <alignment horizontal="center" vertical="center"/>
    </xf>
    <xf numFmtId="165" fontId="13" fillId="10" borderId="1" xfId="0" applyNumberFormat="1" applyFont="1" applyFill="1" applyBorder="1" applyAlignment="1">
      <alignment horizontal="center" vertical="center"/>
    </xf>
    <xf numFmtId="164" fontId="6" fillId="0" borderId="1" xfId="0" applyNumberFormat="1" applyFont="1" applyBorder="1"/>
    <xf numFmtId="165" fontId="6" fillId="0" borderId="1" xfId="0" applyNumberFormat="1" applyFont="1" applyBorder="1"/>
    <xf numFmtId="166" fontId="48" fillId="0" borderId="27" xfId="0" applyNumberFormat="1" applyFont="1" applyBorder="1" applyAlignment="1">
      <alignment horizontal="right" vertical="center"/>
    </xf>
    <xf numFmtId="164" fontId="6" fillId="11" borderId="1" xfId="0" applyNumberFormat="1" applyFont="1" applyFill="1" applyBorder="1"/>
    <xf numFmtId="165" fontId="6" fillId="11" borderId="1" xfId="0" applyNumberFormat="1" applyFont="1" applyFill="1" applyBorder="1"/>
    <xf numFmtId="164" fontId="7" fillId="12" borderId="2" xfId="0" applyNumberFormat="1" applyFont="1" applyFill="1" applyBorder="1"/>
    <xf numFmtId="165" fontId="7" fillId="12" borderId="2" xfId="0" applyNumberFormat="1" applyFont="1" applyFill="1" applyBorder="1"/>
    <xf numFmtId="164" fontId="6" fillId="0" borderId="5" xfId="0" applyNumberFormat="1" applyFont="1" applyBorder="1" applyAlignment="1">
      <alignment horizontal="right"/>
    </xf>
    <xf numFmtId="164" fontId="7" fillId="0" borderId="5" xfId="0" applyNumberFormat="1" applyFont="1" applyBorder="1" applyAlignment="1">
      <alignment horizontal="right"/>
    </xf>
    <xf numFmtId="168" fontId="17" fillId="14" borderId="1" xfId="0" applyNumberFormat="1" applyFont="1" applyFill="1" applyBorder="1" applyAlignment="1">
      <alignment horizontal="center" vertical="center"/>
    </xf>
    <xf numFmtId="165" fontId="17" fillId="14" borderId="1" xfId="0" applyNumberFormat="1" applyFont="1" applyFill="1" applyBorder="1" applyAlignment="1">
      <alignment horizontal="center" vertical="center"/>
    </xf>
    <xf numFmtId="164" fontId="6" fillId="15" borderId="1" xfId="0" applyNumberFormat="1" applyFont="1" applyFill="1" applyBorder="1"/>
    <xf numFmtId="165" fontId="6" fillId="15" borderId="1" xfId="0" applyNumberFormat="1" applyFont="1" applyFill="1" applyBorder="1"/>
    <xf numFmtId="164" fontId="7" fillId="16" borderId="2" xfId="0" applyNumberFormat="1" applyFont="1" applyFill="1" applyBorder="1"/>
    <xf numFmtId="165" fontId="7" fillId="16" borderId="2" xfId="0" applyNumberFormat="1" applyFont="1" applyFill="1" applyBorder="1"/>
    <xf numFmtId="169" fontId="6" fillId="0" borderId="18" xfId="0" applyNumberFormat="1" applyFont="1" applyBorder="1" applyAlignment="1">
      <alignment horizontal="right"/>
    </xf>
    <xf numFmtId="170" fontId="0" fillId="0" borderId="0" xfId="1" applyNumberFormat="1" applyFont="1" applyBorder="1" applyAlignment="1">
      <alignment horizontal="center" vertical="center"/>
    </xf>
    <xf numFmtId="166" fontId="23" fillId="0" borderId="7" xfId="0" applyNumberFormat="1" applyFont="1" applyBorder="1" applyAlignment="1">
      <alignment horizontal="right"/>
    </xf>
    <xf numFmtId="166" fontId="23" fillId="0" borderId="6" xfId="0" applyNumberFormat="1" applyFont="1" applyBorder="1" applyAlignment="1">
      <alignment horizontal="right"/>
    </xf>
    <xf numFmtId="164" fontId="6" fillId="0" borderId="6" xfId="0" applyNumberFormat="1" applyFont="1" applyBorder="1" applyAlignment="1">
      <alignment horizontal="right" vertical="center"/>
    </xf>
    <xf numFmtId="164" fontId="6" fillId="0" borderId="6" xfId="0" applyNumberFormat="1" applyFont="1" applyBorder="1" applyAlignment="1">
      <alignment horizontal="left" vertical="center"/>
    </xf>
    <xf numFmtId="164" fontId="6" fillId="27" borderId="6" xfId="0" applyNumberFormat="1" applyFont="1" applyFill="1" applyBorder="1" applyAlignment="1">
      <alignment horizontal="right" vertical="center"/>
    </xf>
    <xf numFmtId="164" fontId="6" fillId="0" borderId="0" xfId="0" applyNumberFormat="1" applyFont="1" applyBorder="1" applyAlignment="1">
      <alignment horizontal="left" vertical="center"/>
    </xf>
    <xf numFmtId="164" fontId="6" fillId="27" borderId="0" xfId="0" applyNumberFormat="1" applyFont="1" applyFill="1" applyBorder="1" applyAlignment="1">
      <alignment horizontal="right" vertical="center"/>
    </xf>
    <xf numFmtId="166" fontId="23" fillId="0" borderId="0" xfId="0" applyNumberFormat="1" applyFont="1" applyBorder="1" applyAlignment="1">
      <alignment horizontal="right"/>
    </xf>
    <xf numFmtId="164" fontId="6" fillId="0" borderId="0" xfId="0" applyNumberFormat="1" applyFont="1" applyBorder="1" applyAlignment="1">
      <alignment horizontal="right" vertical="center"/>
    </xf>
    <xf numFmtId="166" fontId="23" fillId="0" borderId="8" xfId="0" applyNumberFormat="1" applyFont="1" applyBorder="1" applyAlignment="1">
      <alignment horizontal="right"/>
    </xf>
    <xf numFmtId="164" fontId="6" fillId="0" borderId="8" xfId="0" applyNumberFormat="1" applyFont="1" applyBorder="1" applyAlignment="1">
      <alignment horizontal="right" vertical="center"/>
    </xf>
    <xf numFmtId="166" fontId="23" fillId="0" borderId="9" xfId="0" applyNumberFormat="1" applyFont="1" applyBorder="1" applyAlignment="1">
      <alignment horizontal="right"/>
    </xf>
    <xf numFmtId="166" fontId="23" fillId="0" borderId="10" xfId="0" applyNumberFormat="1" applyFont="1" applyBorder="1" applyAlignment="1">
      <alignment horizontal="right"/>
    </xf>
    <xf numFmtId="166" fontId="23" fillId="0" borderId="11" xfId="0" applyNumberFormat="1" applyFont="1" applyBorder="1" applyAlignment="1">
      <alignment horizontal="right"/>
    </xf>
    <xf numFmtId="164" fontId="6" fillId="0" borderId="16" xfId="0" applyNumberFormat="1" applyFont="1" applyBorder="1" applyAlignment="1">
      <alignment horizontal="left" vertical="center"/>
    </xf>
    <xf numFmtId="164" fontId="6" fillId="27" borderId="11" xfId="0" applyNumberFormat="1" applyFont="1" applyFill="1" applyBorder="1" applyAlignment="1">
      <alignment horizontal="right" vertical="center"/>
    </xf>
    <xf numFmtId="164" fontId="6" fillId="0" borderId="11" xfId="0" applyNumberFormat="1" applyFont="1" applyBorder="1" applyAlignment="1">
      <alignment horizontal="right" vertical="center"/>
    </xf>
    <xf numFmtId="166" fontId="23" fillId="49" borderId="25" xfId="0" applyNumberFormat="1" applyFont="1" applyFill="1" applyBorder="1" applyAlignment="1">
      <alignment horizontal="right" vertical="center"/>
    </xf>
    <xf numFmtId="166" fontId="66" fillId="49" borderId="25" xfId="0" applyNumberFormat="1" applyFont="1" applyFill="1" applyBorder="1" applyAlignment="1">
      <alignment horizontal="right" vertical="center"/>
    </xf>
    <xf numFmtId="166" fontId="23" fillId="50" borderId="25" xfId="0" applyNumberFormat="1" applyFont="1" applyFill="1" applyBorder="1" applyAlignment="1">
      <alignment horizontal="right" vertical="center"/>
    </xf>
    <xf numFmtId="166" fontId="66" fillId="50" borderId="25" xfId="0" applyNumberFormat="1" applyFont="1" applyFill="1" applyBorder="1" applyAlignment="1">
      <alignment horizontal="right" vertical="center"/>
    </xf>
    <xf numFmtId="164" fontId="7" fillId="25" borderId="13" xfId="0" applyNumberFormat="1" applyFont="1" applyFill="1" applyBorder="1"/>
    <xf numFmtId="164" fontId="7" fillId="25" borderId="13" xfId="0" applyNumberFormat="1" applyFont="1" applyFill="1" applyBorder="1" applyAlignment="1">
      <alignment horizontal="left"/>
    </xf>
    <xf numFmtId="164" fontId="6" fillId="31" borderId="11" xfId="0" applyNumberFormat="1" applyFont="1" applyFill="1" applyBorder="1" applyAlignment="1">
      <alignment horizontal="right" vertical="center"/>
    </xf>
    <xf numFmtId="164" fontId="6" fillId="27" borderId="16" xfId="0" applyNumberFormat="1" applyFont="1" applyFill="1" applyBorder="1" applyAlignment="1">
      <alignment horizontal="left" vertical="center"/>
    </xf>
    <xf numFmtId="164" fontId="6" fillId="30" borderId="11" xfId="0" applyNumberFormat="1" applyFont="1" applyFill="1" applyBorder="1" applyAlignment="1">
      <alignment horizontal="right" vertical="center"/>
    </xf>
    <xf numFmtId="166" fontId="6" fillId="0" borderId="27" xfId="0" applyNumberFormat="1" applyFont="1" applyBorder="1" applyAlignment="1">
      <alignment horizontal="right" vertical="center"/>
    </xf>
    <xf numFmtId="166" fontId="7" fillId="51" borderId="27" xfId="0" applyNumberFormat="1" applyFont="1" applyFill="1" applyBorder="1" applyAlignment="1">
      <alignment horizontal="right" vertical="center"/>
    </xf>
    <xf numFmtId="164" fontId="6" fillId="0" borderId="4" xfId="0" applyNumberFormat="1" applyFont="1" applyBorder="1" applyAlignment="1">
      <alignment horizontal="right"/>
    </xf>
    <xf numFmtId="164" fontId="6" fillId="0" borderId="0" xfId="0" applyNumberFormat="1" applyFont="1" applyBorder="1" applyAlignment="1">
      <alignment horizontal="right"/>
    </xf>
    <xf numFmtId="164" fontId="6" fillId="0" borderId="10" xfId="0" applyNumberFormat="1" applyFont="1" applyBorder="1" applyAlignment="1">
      <alignment horizontal="right"/>
    </xf>
    <xf numFmtId="0" fontId="71" fillId="54" borderId="28" xfId="0" applyFont="1" applyFill="1" applyBorder="1" applyAlignment="1">
      <alignment horizontal="left" vertical="center"/>
    </xf>
    <xf numFmtId="1" fontId="48" fillId="0" borderId="32" xfId="0" applyNumberFormat="1" applyFont="1" applyBorder="1" applyAlignment="1">
      <alignment horizontal="center" vertical="center"/>
    </xf>
    <xf numFmtId="0" fontId="48" fillId="0" borderId="32" xfId="0" applyFont="1" applyBorder="1" applyAlignment="1">
      <alignment horizontal="left" vertical="center"/>
    </xf>
    <xf numFmtId="2" fontId="48" fillId="0" borderId="32" xfId="0" applyNumberFormat="1" applyFont="1" applyBorder="1" applyAlignment="1">
      <alignment horizontal="right" vertical="center"/>
    </xf>
    <xf numFmtId="166" fontId="48" fillId="0" borderId="32" xfId="0" applyNumberFormat="1" applyFont="1" applyBorder="1" applyAlignment="1">
      <alignment horizontal="right" vertical="center"/>
    </xf>
    <xf numFmtId="166" fontId="49" fillId="0" borderId="32" xfId="0" applyNumberFormat="1" applyFont="1" applyBorder="1" applyAlignment="1">
      <alignment horizontal="right" vertical="center"/>
    </xf>
    <xf numFmtId="0" fontId="48" fillId="0" borderId="32" xfId="0" applyFont="1" applyBorder="1" applyAlignment="1">
      <alignment horizontal="center" vertical="center"/>
    </xf>
    <xf numFmtId="1" fontId="48" fillId="0" borderId="33" xfId="0" applyNumberFormat="1" applyFont="1" applyBorder="1" applyAlignment="1">
      <alignment horizontal="center" vertical="center"/>
    </xf>
    <xf numFmtId="0" fontId="48" fillId="0" borderId="33" xfId="0" applyFont="1" applyBorder="1" applyAlignment="1">
      <alignment horizontal="left" vertical="center"/>
    </xf>
    <xf numFmtId="2" fontId="48" fillId="0" borderId="33" xfId="0" applyNumberFormat="1" applyFont="1" applyBorder="1" applyAlignment="1">
      <alignment horizontal="right" vertical="center"/>
    </xf>
    <xf numFmtId="166" fontId="48" fillId="0" borderId="33" xfId="0" applyNumberFormat="1" applyFont="1" applyBorder="1" applyAlignment="1">
      <alignment horizontal="right" vertical="center"/>
    </xf>
    <xf numFmtId="166" fontId="49" fillId="0" borderId="33" xfId="0" applyNumberFormat="1" applyFont="1" applyBorder="1" applyAlignment="1">
      <alignment horizontal="right" vertical="center"/>
    </xf>
    <xf numFmtId="0" fontId="48" fillId="0" borderId="33" xfId="0" applyFont="1" applyBorder="1" applyAlignment="1">
      <alignment horizontal="center" vertical="center"/>
    </xf>
    <xf numFmtId="1" fontId="77" fillId="0" borderId="34" xfId="0" applyNumberFormat="1" applyFont="1" applyBorder="1" applyAlignment="1">
      <alignment horizontal="center" vertical="center"/>
    </xf>
    <xf numFmtId="0" fontId="77" fillId="0" borderId="34" xfId="0" applyFont="1" applyBorder="1" applyAlignment="1">
      <alignment horizontal="center" vertical="center"/>
    </xf>
    <xf numFmtId="0" fontId="77" fillId="0" borderId="34" xfId="0" applyFont="1" applyBorder="1" applyAlignment="1">
      <alignment horizontal="left" vertical="center"/>
    </xf>
    <xf numFmtId="169" fontId="77" fillId="0" borderId="34" xfId="0" applyNumberFormat="1" applyFont="1" applyBorder="1" applyAlignment="1">
      <alignment horizontal="right" vertical="center"/>
    </xf>
    <xf numFmtId="166" fontId="77" fillId="0" borderId="34" xfId="0" applyNumberFormat="1" applyFont="1" applyBorder="1" applyAlignment="1">
      <alignment horizontal="right" vertical="center"/>
    </xf>
    <xf numFmtId="0" fontId="79" fillId="0" borderId="0" xfId="0" applyFont="1" applyBorder="1"/>
    <xf numFmtId="0" fontId="80" fillId="57" borderId="34" xfId="0" applyFont="1" applyFill="1" applyBorder="1" applyAlignment="1">
      <alignment horizontal="center" vertical="center"/>
    </xf>
    <xf numFmtId="0" fontId="81" fillId="0" borderId="34" xfId="0" applyFont="1" applyBorder="1" applyAlignment="1">
      <alignment horizontal="center" vertical="center"/>
    </xf>
    <xf numFmtId="0" fontId="81" fillId="0" borderId="34" xfId="0" applyFont="1" applyBorder="1" applyAlignment="1">
      <alignment horizontal="left" vertical="center"/>
    </xf>
    <xf numFmtId="166" fontId="81" fillId="0" borderId="34" xfId="0" applyNumberFormat="1" applyFont="1" applyBorder="1" applyAlignment="1">
      <alignment horizontal="right" vertical="center"/>
    </xf>
    <xf numFmtId="0" fontId="81" fillId="58" borderId="34" xfId="0" applyFont="1" applyFill="1" applyBorder="1" applyAlignment="1">
      <alignment horizontal="center" vertical="center"/>
    </xf>
    <xf numFmtId="0" fontId="81" fillId="58" borderId="34" xfId="0" applyFont="1" applyFill="1" applyBorder="1" applyAlignment="1">
      <alignment horizontal="left" vertical="center"/>
    </xf>
    <xf numFmtId="166" fontId="81" fillId="58" borderId="34" xfId="0" applyNumberFormat="1" applyFont="1" applyFill="1" applyBorder="1" applyAlignment="1">
      <alignment horizontal="right" vertical="center"/>
    </xf>
    <xf numFmtId="0" fontId="82" fillId="59" borderId="35" xfId="0" applyFont="1" applyFill="1" applyBorder="1" applyAlignment="1">
      <alignment horizontal="left" vertical="center"/>
    </xf>
    <xf numFmtId="0" fontId="82" fillId="59" borderId="35" xfId="0" applyFont="1" applyFill="1" applyBorder="1" applyAlignment="1">
      <alignment horizontal="center" vertical="center"/>
    </xf>
    <xf numFmtId="166" fontId="82" fillId="59" borderId="35" xfId="0" applyNumberFormat="1" applyFont="1" applyFill="1" applyBorder="1" applyAlignment="1">
      <alignment horizontal="right" vertical="center"/>
    </xf>
    <xf numFmtId="0" fontId="82" fillId="59" borderId="35" xfId="0" applyFont="1" applyFill="1" applyBorder="1"/>
    <xf numFmtId="0" fontId="80" fillId="60" borderId="0" xfId="0" applyFont="1" applyFill="1" applyBorder="1" applyAlignment="1">
      <alignment horizontal="center" vertical="center"/>
    </xf>
    <xf numFmtId="3" fontId="85" fillId="60" borderId="0" xfId="0" applyNumberFormat="1" applyFont="1" applyFill="1" applyBorder="1" applyAlignment="1">
      <alignment horizontal="center" vertical="center"/>
    </xf>
    <xf numFmtId="0" fontId="86" fillId="60" borderId="0" xfId="0" applyFont="1" applyFill="1" applyBorder="1" applyAlignment="1">
      <alignment horizontal="center" vertical="center"/>
    </xf>
    <xf numFmtId="0" fontId="80" fillId="60" borderId="34" xfId="0" applyFont="1" applyFill="1" applyBorder="1" applyAlignment="1">
      <alignment horizontal="center" vertical="center"/>
    </xf>
    <xf numFmtId="3" fontId="81" fillId="0" borderId="34" xfId="0" applyNumberFormat="1" applyFont="1" applyBorder="1" applyAlignment="1">
      <alignment horizontal="right" vertical="center"/>
    </xf>
    <xf numFmtId="165" fontId="81" fillId="0" borderId="34" xfId="0" applyNumberFormat="1" applyFont="1" applyBorder="1" applyAlignment="1">
      <alignment horizontal="right" vertical="center"/>
    </xf>
    <xf numFmtId="0" fontId="88" fillId="0" borderId="34" xfId="0" applyFont="1" applyBorder="1" applyAlignment="1">
      <alignment horizontal="left" vertical="center"/>
    </xf>
    <xf numFmtId="3" fontId="81" fillId="58" borderId="34" xfId="0" applyNumberFormat="1" applyFont="1" applyFill="1" applyBorder="1" applyAlignment="1">
      <alignment horizontal="right" vertical="center"/>
    </xf>
    <xf numFmtId="165" fontId="81" fillId="58" borderId="34" xfId="0" applyNumberFormat="1" applyFont="1" applyFill="1" applyBorder="1" applyAlignment="1">
      <alignment horizontal="right" vertical="center"/>
    </xf>
    <xf numFmtId="0" fontId="88" fillId="58" borderId="34" xfId="0" applyFont="1" applyFill="1" applyBorder="1" applyAlignment="1">
      <alignment horizontal="left" vertical="center"/>
    </xf>
    <xf numFmtId="0" fontId="82" fillId="59" borderId="34" xfId="0" applyFont="1" applyFill="1" applyBorder="1" applyAlignment="1">
      <alignment horizontal="left" vertical="center"/>
    </xf>
    <xf numFmtId="0" fontId="82" fillId="59" borderId="34" xfId="0" applyFont="1" applyFill="1" applyBorder="1"/>
    <xf numFmtId="166" fontId="82" fillId="59" borderId="34" xfId="0" applyNumberFormat="1" applyFont="1" applyFill="1" applyBorder="1" applyAlignment="1">
      <alignment horizontal="right" vertical="center"/>
    </xf>
    <xf numFmtId="3" fontId="82" fillId="59" borderId="35" xfId="0" applyNumberFormat="1" applyFont="1" applyFill="1" applyBorder="1" applyAlignment="1">
      <alignment horizontal="right" vertical="center"/>
    </xf>
    <xf numFmtId="165" fontId="82" fillId="59" borderId="35" xfId="0" applyNumberFormat="1" applyFont="1" applyFill="1" applyBorder="1" applyAlignment="1">
      <alignment horizontal="right" vertical="center"/>
    </xf>
    <xf numFmtId="0" fontId="89" fillId="57" borderId="34" xfId="0" applyFont="1" applyFill="1" applyBorder="1" applyAlignment="1">
      <alignment horizontal="left" vertical="center"/>
    </xf>
    <xf numFmtId="0" fontId="89" fillId="57" borderId="34" xfId="0" applyFont="1" applyFill="1" applyBorder="1"/>
    <xf numFmtId="166" fontId="89" fillId="57" borderId="34" xfId="0" applyNumberFormat="1" applyFont="1" applyFill="1" applyBorder="1" applyAlignment="1">
      <alignment horizontal="right" vertical="center"/>
    </xf>
    <xf numFmtId="0" fontId="48" fillId="0" borderId="37" xfId="0" applyFont="1" applyBorder="1" applyAlignment="1">
      <alignment horizontal="center" vertical="center"/>
    </xf>
    <xf numFmtId="0" fontId="48" fillId="0" borderId="37" xfId="0" applyFont="1" applyBorder="1" applyAlignment="1">
      <alignment horizontal="left" vertical="center"/>
    </xf>
    <xf numFmtId="4" fontId="48" fillId="0" borderId="37" xfId="0" applyNumberFormat="1" applyFont="1" applyBorder="1" applyAlignment="1">
      <alignment horizontal="left" vertical="center"/>
    </xf>
    <xf numFmtId="2" fontId="48" fillId="0" borderId="37" xfId="0" applyNumberFormat="1" applyFont="1" applyBorder="1" applyAlignment="1">
      <alignment horizontal="right" vertical="center"/>
    </xf>
    <xf numFmtId="166" fontId="48" fillId="0" borderId="37" xfId="0" applyNumberFormat="1" applyFont="1" applyBorder="1" applyAlignment="1">
      <alignment horizontal="right" vertical="center"/>
    </xf>
    <xf numFmtId="1" fontId="48" fillId="0" borderId="36" xfId="0" applyNumberFormat="1" applyFont="1" applyBorder="1" applyAlignment="1">
      <alignment horizontal="center"/>
    </xf>
    <xf numFmtId="0" fontId="49" fillId="61" borderId="37" xfId="0" applyFont="1" applyFill="1" applyBorder="1" applyAlignment="1">
      <alignment horizontal="left" vertical="center"/>
    </xf>
    <xf numFmtId="0" fontId="49" fillId="61" borderId="37" xfId="0" applyFont="1" applyFill="1" applyBorder="1"/>
    <xf numFmtId="2" fontId="49" fillId="61" borderId="37" xfId="0" applyNumberFormat="1" applyFont="1" applyFill="1" applyBorder="1" applyAlignment="1">
      <alignment horizontal="right" vertical="center"/>
    </xf>
    <xf numFmtId="166" fontId="49" fillId="61" borderId="37" xfId="0" applyNumberFormat="1" applyFont="1" applyFill="1" applyBorder="1" applyAlignment="1">
      <alignment horizontal="right" vertical="center"/>
    </xf>
    <xf numFmtId="0" fontId="49" fillId="61" borderId="37" xfId="0" applyFont="1" applyFill="1" applyBorder="1" applyAlignment="1">
      <alignment horizontal="center" vertical="center"/>
    </xf>
    <xf numFmtId="4" fontId="49" fillId="61" borderId="37" xfId="0" applyNumberFormat="1" applyFont="1" applyFill="1" applyBorder="1" applyAlignment="1">
      <alignment horizontal="left" vertical="center"/>
    </xf>
    <xf numFmtId="0" fontId="48" fillId="0" borderId="36" xfId="0" applyFont="1" applyBorder="1"/>
    <xf numFmtId="164" fontId="48" fillId="0" borderId="37" xfId="0" applyNumberFormat="1" applyFont="1" applyBorder="1" applyAlignment="1">
      <alignment horizontal="left" vertical="center"/>
    </xf>
    <xf numFmtId="2" fontId="49" fillId="61" borderId="37" xfId="0" applyNumberFormat="1" applyFont="1" applyFill="1" applyBorder="1"/>
    <xf numFmtId="166" fontId="49" fillId="61" borderId="37" xfId="0" applyNumberFormat="1" applyFont="1" applyFill="1" applyBorder="1"/>
    <xf numFmtId="0" fontId="90" fillId="57" borderId="37" xfId="0" applyFont="1" applyFill="1" applyBorder="1"/>
    <xf numFmtId="2" fontId="90" fillId="57" borderId="37" xfId="0" applyNumberFormat="1" applyFont="1" applyFill="1" applyBorder="1"/>
    <xf numFmtId="166" fontId="90" fillId="57" borderId="37" xfId="0" applyNumberFormat="1" applyFont="1" applyFill="1" applyBorder="1"/>
    <xf numFmtId="1" fontId="48" fillId="0" borderId="37" xfId="0" applyNumberFormat="1" applyFont="1" applyBorder="1" applyAlignment="1">
      <alignment horizontal="center" vertical="center"/>
    </xf>
    <xf numFmtId="1" fontId="48" fillId="0" borderId="37" xfId="0" applyNumberFormat="1" applyFont="1" applyBorder="1" applyAlignment="1">
      <alignment horizontal="right" vertical="center"/>
    </xf>
    <xf numFmtId="3" fontId="49" fillId="61" borderId="37" xfId="0" applyNumberFormat="1" applyFont="1" applyFill="1" applyBorder="1" applyAlignment="1">
      <alignment horizontal="center" vertical="center"/>
    </xf>
    <xf numFmtId="1" fontId="49" fillId="61" borderId="37" xfId="0" applyNumberFormat="1" applyFont="1" applyFill="1" applyBorder="1" applyAlignment="1">
      <alignment horizontal="right" vertical="center"/>
    </xf>
    <xf numFmtId="1" fontId="49" fillId="61" borderId="37" xfId="0" applyNumberFormat="1" applyFont="1" applyFill="1" applyBorder="1" applyAlignment="1">
      <alignment horizontal="center" vertical="center"/>
    </xf>
    <xf numFmtId="1" fontId="49" fillId="61" borderId="37" xfId="0" applyNumberFormat="1" applyFont="1" applyFill="1" applyBorder="1"/>
    <xf numFmtId="0" fontId="90" fillId="57" borderId="37" xfId="0" applyFont="1" applyFill="1" applyBorder="1" applyAlignment="1">
      <alignment horizontal="center" vertical="center"/>
    </xf>
    <xf numFmtId="1" fontId="90" fillId="57" borderId="37" xfId="0" applyNumberFormat="1" applyFont="1" applyFill="1" applyBorder="1"/>
    <xf numFmtId="0" fontId="92" fillId="0" borderId="0" xfId="0" applyFont="1" applyBorder="1"/>
    <xf numFmtId="0" fontId="93" fillId="62" borderId="38" xfId="0" applyFont="1" applyFill="1" applyBorder="1" applyAlignment="1">
      <alignment horizontal="center" vertical="center"/>
    </xf>
    <xf numFmtId="0" fontId="94" fillId="0" borderId="38" xfId="0" applyFont="1" applyBorder="1" applyAlignment="1">
      <alignment horizontal="center" vertical="center"/>
    </xf>
    <xf numFmtId="0" fontId="94" fillId="0" borderId="38" xfId="0" applyFont="1" applyBorder="1" applyAlignment="1">
      <alignment horizontal="left" vertical="center"/>
    </xf>
    <xf numFmtId="166" fontId="94" fillId="0" borderId="38" xfId="0" applyNumberFormat="1" applyFont="1" applyBorder="1" applyAlignment="1">
      <alignment horizontal="right" vertical="center"/>
    </xf>
    <xf numFmtId="0" fontId="94" fillId="63" borderId="38" xfId="0" applyFont="1" applyFill="1" applyBorder="1" applyAlignment="1">
      <alignment horizontal="center" vertical="center"/>
    </xf>
    <xf numFmtId="0" fontId="94" fillId="63" borderId="38" xfId="0" applyFont="1" applyFill="1" applyBorder="1" applyAlignment="1">
      <alignment horizontal="left" vertical="center"/>
    </xf>
    <xf numFmtId="166" fontId="94" fillId="63" borderId="38" xfId="0" applyNumberFormat="1" applyFont="1" applyFill="1" applyBorder="1" applyAlignment="1">
      <alignment horizontal="right" vertical="center"/>
    </xf>
    <xf numFmtId="0" fontId="95" fillId="64" borderId="39" xfId="0" applyFont="1" applyFill="1" applyBorder="1" applyAlignment="1">
      <alignment horizontal="left" vertical="center"/>
    </xf>
    <xf numFmtId="0" fontId="95" fillId="64" borderId="39" xfId="0" applyFont="1" applyFill="1" applyBorder="1" applyAlignment="1">
      <alignment horizontal="center" vertical="center"/>
    </xf>
    <xf numFmtId="166" fontId="95" fillId="64" borderId="39" xfId="0" applyNumberFormat="1" applyFont="1" applyFill="1" applyBorder="1" applyAlignment="1">
      <alignment horizontal="right" vertical="center"/>
    </xf>
    <xf numFmtId="1" fontId="6" fillId="0" borderId="40" xfId="0" applyNumberFormat="1" applyFont="1" applyBorder="1" applyAlignment="1">
      <alignment horizontal="center"/>
    </xf>
    <xf numFmtId="0" fontId="6" fillId="0" borderId="40" xfId="0" applyFont="1" applyBorder="1" applyAlignment="1">
      <alignment horizontal="left"/>
    </xf>
    <xf numFmtId="3" fontId="6" fillId="0" borderId="40" xfId="0" applyNumberFormat="1" applyFont="1" applyBorder="1" applyAlignment="1">
      <alignment horizontal="right"/>
    </xf>
    <xf numFmtId="164" fontId="6" fillId="0" borderId="40" xfId="0" applyNumberFormat="1" applyFont="1" applyBorder="1" applyAlignment="1">
      <alignment horizontal="right"/>
    </xf>
    <xf numFmtId="0" fontId="6" fillId="0" borderId="40" xfId="0" applyFont="1" applyBorder="1" applyAlignment="1">
      <alignment horizontal="center"/>
    </xf>
    <xf numFmtId="0" fontId="6" fillId="0" borderId="40" xfId="0" applyFont="1" applyBorder="1" applyAlignment="1">
      <alignment horizontal="center" vertical="center"/>
    </xf>
    <xf numFmtId="0" fontId="6" fillId="0" borderId="40" xfId="0" applyFont="1" applyBorder="1"/>
    <xf numFmtId="4" fontId="6" fillId="0" borderId="40" xfId="0" applyNumberFormat="1" applyFont="1" applyBorder="1" applyAlignment="1">
      <alignment horizontal="right"/>
    </xf>
    <xf numFmtId="0" fontId="96" fillId="0" borderId="41" xfId="0" applyFont="1" applyBorder="1"/>
    <xf numFmtId="0" fontId="103" fillId="68" borderId="42" xfId="0" applyFont="1" applyFill="1" applyBorder="1" applyAlignment="1">
      <alignment horizontal="center" vertical="center" wrapText="1"/>
    </xf>
    <xf numFmtId="166" fontId="105" fillId="0" borderId="40" xfId="0" applyNumberFormat="1" applyFont="1" applyBorder="1" applyAlignment="1">
      <alignment horizontal="center"/>
    </xf>
    <xf numFmtId="166" fontId="105" fillId="0" borderId="40" xfId="0" applyNumberFormat="1" applyFont="1" applyBorder="1"/>
    <xf numFmtId="0" fontId="104" fillId="0" borderId="40" xfId="0" applyFont="1" applyBorder="1" applyAlignment="1">
      <alignment horizontal="center"/>
    </xf>
    <xf numFmtId="0" fontId="105" fillId="69" borderId="40" xfId="0" applyFont="1" applyFill="1" applyBorder="1" applyAlignment="1">
      <alignment horizontal="center"/>
    </xf>
    <xf numFmtId="166" fontId="105" fillId="69" borderId="40" xfId="0" applyNumberFormat="1" applyFont="1" applyFill="1" applyBorder="1" applyAlignment="1">
      <alignment horizontal="center"/>
    </xf>
    <xf numFmtId="166" fontId="105" fillId="69" borderId="40" xfId="0" applyNumberFormat="1" applyFont="1" applyFill="1" applyBorder="1"/>
    <xf numFmtId="164" fontId="105" fillId="69" borderId="40" xfId="0" applyNumberFormat="1" applyFont="1" applyFill="1" applyBorder="1" applyAlignment="1">
      <alignment horizontal="right"/>
    </xf>
    <xf numFmtId="0" fontId="106" fillId="69" borderId="40" xfId="0" applyFont="1" applyFill="1" applyBorder="1" applyAlignment="1">
      <alignment horizontal="center"/>
    </xf>
    <xf numFmtId="0" fontId="105" fillId="69" borderId="40" xfId="0" applyFont="1" applyFill="1" applyBorder="1"/>
    <xf numFmtId="0" fontId="106" fillId="0" borderId="40" xfId="0" applyFont="1" applyBorder="1" applyAlignment="1">
      <alignment horizontal="center"/>
    </xf>
    <xf numFmtId="0" fontId="104" fillId="69" borderId="40" xfId="0" applyFont="1" applyFill="1" applyBorder="1" applyAlignment="1">
      <alignment horizontal="center"/>
    </xf>
    <xf numFmtId="0" fontId="107" fillId="69" borderId="40" xfId="0" applyFont="1" applyFill="1" applyBorder="1" applyAlignment="1">
      <alignment horizontal="center"/>
    </xf>
    <xf numFmtId="0" fontId="107" fillId="0" borderId="40" xfId="0" applyFont="1" applyBorder="1" applyAlignment="1">
      <alignment horizontal="center"/>
    </xf>
    <xf numFmtId="0" fontId="105" fillId="0" borderId="40" xfId="2" applyFont="1" applyFill="1" applyBorder="1" applyAlignment="1">
      <alignment horizontal="center"/>
    </xf>
    <xf numFmtId="0" fontId="106" fillId="0" borderId="40" xfId="2" applyFont="1" applyFill="1" applyBorder="1" applyAlignment="1">
      <alignment horizontal="center"/>
    </xf>
    <xf numFmtId="164" fontId="105" fillId="0" borderId="40" xfId="2" applyNumberFormat="1" applyFont="1" applyFill="1" applyBorder="1" applyAlignment="1">
      <alignment horizontal="right"/>
    </xf>
    <xf numFmtId="0" fontId="105" fillId="69" borderId="40" xfId="2" applyFont="1" applyFill="1" applyBorder="1" applyAlignment="1">
      <alignment horizontal="center"/>
    </xf>
    <xf numFmtId="0" fontId="108" fillId="69" borderId="40" xfId="2" applyFont="1" applyFill="1" applyBorder="1" applyAlignment="1">
      <alignment horizontal="center"/>
    </xf>
    <xf numFmtId="164" fontId="105" fillId="69" borderId="40" xfId="2" applyNumberFormat="1" applyFont="1" applyFill="1" applyBorder="1" applyAlignment="1">
      <alignment horizontal="right"/>
    </xf>
    <xf numFmtId="0" fontId="108" fillId="0" borderId="40" xfId="0" applyFont="1" applyBorder="1" applyAlignment="1">
      <alignment horizontal="center"/>
    </xf>
    <xf numFmtId="0" fontId="108" fillId="69" borderId="40" xfId="0" applyFont="1" applyFill="1" applyBorder="1" applyAlignment="1">
      <alignment horizontal="center"/>
    </xf>
    <xf numFmtId="0" fontId="109" fillId="69" borderId="40" xfId="0" applyFont="1" applyFill="1" applyBorder="1" applyAlignment="1">
      <alignment horizontal="center"/>
    </xf>
    <xf numFmtId="164" fontId="110" fillId="70" borderId="40" xfId="0" applyNumberFormat="1" applyFont="1" applyFill="1" applyBorder="1"/>
    <xf numFmtId="0" fontId="110" fillId="70" borderId="40" xfId="0" applyFont="1" applyFill="1" applyBorder="1" applyAlignment="1">
      <alignment horizontal="center"/>
    </xf>
    <xf numFmtId="164" fontId="110" fillId="71" borderId="43" xfId="0" applyNumberFormat="1" applyFont="1" applyFill="1" applyBorder="1"/>
    <xf numFmtId="0" fontId="110" fillId="71" borderId="43" xfId="0" applyFont="1" applyFill="1" applyBorder="1" applyAlignment="1">
      <alignment horizontal="center"/>
    </xf>
    <xf numFmtId="165" fontId="105" fillId="0" borderId="40" xfId="0" applyNumberFormat="1" applyFont="1" applyBorder="1" applyAlignment="1">
      <alignment horizontal="right"/>
    </xf>
    <xf numFmtId="0" fontId="110" fillId="70" borderId="43" xfId="0" applyFont="1" applyFill="1" applyBorder="1" applyAlignment="1">
      <alignment horizontal="center"/>
    </xf>
    <xf numFmtId="165" fontId="110" fillId="70" borderId="43" xfId="0" applyNumberFormat="1" applyFont="1" applyFill="1" applyBorder="1" applyAlignment="1">
      <alignment horizontal="right"/>
    </xf>
    <xf numFmtId="171" fontId="105" fillId="0" borderId="40" xfId="0" applyNumberFormat="1" applyFont="1" applyBorder="1" applyAlignment="1">
      <alignment horizontal="right"/>
    </xf>
    <xf numFmtId="171" fontId="105" fillId="69" borderId="40" xfId="0" applyNumberFormat="1" applyFont="1" applyFill="1" applyBorder="1" applyAlignment="1">
      <alignment horizontal="right"/>
    </xf>
    <xf numFmtId="171" fontId="105" fillId="0" borderId="40" xfId="2" applyNumberFormat="1" applyFont="1" applyFill="1" applyBorder="1" applyAlignment="1">
      <alignment horizontal="right"/>
    </xf>
    <xf numFmtId="171" fontId="105" fillId="69" borderId="40" xfId="2" applyNumberFormat="1" applyFont="1" applyFill="1" applyBorder="1" applyAlignment="1">
      <alignment horizontal="right"/>
    </xf>
    <xf numFmtId="171" fontId="110" fillId="70" borderId="40" xfId="0" applyNumberFormat="1" applyFont="1" applyFill="1" applyBorder="1"/>
    <xf numFmtId="171" fontId="110" fillId="71" borderId="43" xfId="0" applyNumberFormat="1" applyFont="1" applyFill="1" applyBorder="1"/>
    <xf numFmtId="0" fontId="23" fillId="0" borderId="6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42" fillId="6" borderId="11" xfId="0" applyFont="1" applyFill="1" applyBorder="1" applyAlignment="1">
      <alignment horizontal="center" vertical="center"/>
    </xf>
    <xf numFmtId="0" fontId="112" fillId="0" borderId="6" xfId="0" applyFont="1" applyBorder="1" applyAlignment="1">
      <alignment horizontal="center" vertical="center"/>
    </xf>
    <xf numFmtId="0" fontId="112" fillId="72" borderId="6" xfId="0" applyFont="1" applyFill="1" applyBorder="1" applyAlignment="1">
      <alignment horizontal="center" vertical="center"/>
    </xf>
    <xf numFmtId="0" fontId="4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72" borderId="0" xfId="0" applyFill="1" applyBorder="1" applyAlignment="1">
      <alignment horizontal="center"/>
    </xf>
    <xf numFmtId="0" fontId="0" fillId="73" borderId="0" xfId="0" applyFill="1" applyBorder="1" applyAlignment="1">
      <alignment horizontal="center"/>
    </xf>
    <xf numFmtId="0" fontId="112" fillId="0" borderId="0" xfId="0" applyFont="1" applyBorder="1" applyAlignment="1">
      <alignment horizontal="center" vertical="center"/>
    </xf>
    <xf numFmtId="0" fontId="114" fillId="0" borderId="0" xfId="0" applyFont="1" applyBorder="1" applyAlignment="1">
      <alignment horizontal="center" vertical="center"/>
    </xf>
    <xf numFmtId="0" fontId="114" fillId="0" borderId="6" xfId="0" applyFont="1" applyBorder="1" applyAlignment="1">
      <alignment horizontal="center" vertical="center"/>
    </xf>
    <xf numFmtId="0" fontId="112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/>
    </xf>
    <xf numFmtId="14" fontId="0" fillId="0" borderId="46" xfId="0" applyNumberFormat="1" applyBorder="1" applyAlignment="1">
      <alignment horizontal="center"/>
    </xf>
    <xf numFmtId="0" fontId="114" fillId="0" borderId="40" xfId="0" applyFont="1" applyBorder="1" applyAlignment="1">
      <alignment horizontal="center" vertical="center"/>
    </xf>
    <xf numFmtId="0" fontId="115" fillId="74" borderId="0" xfId="0" applyFont="1" applyFill="1" applyBorder="1" applyAlignment="1">
      <alignment horizontal="center" vertical="center"/>
    </xf>
    <xf numFmtId="0" fontId="117" fillId="0" borderId="51" xfId="0" applyFont="1" applyBorder="1"/>
    <xf numFmtId="0" fontId="6" fillId="0" borderId="51" xfId="0" applyFont="1" applyBorder="1"/>
    <xf numFmtId="0" fontId="116" fillId="0" borderId="51" xfId="0" applyFont="1" applyBorder="1"/>
    <xf numFmtId="0" fontId="105" fillId="0" borderId="40" xfId="0" applyFont="1" applyBorder="1"/>
    <xf numFmtId="0" fontId="110" fillId="71" borderId="43" xfId="0" applyFont="1" applyFill="1" applyBorder="1"/>
    <xf numFmtId="164" fontId="105" fillId="0" borderId="40" xfId="0" applyNumberFormat="1" applyFont="1" applyBorder="1" applyAlignment="1">
      <alignment horizontal="right"/>
    </xf>
    <xf numFmtId="0" fontId="105" fillId="0" borderId="40" xfId="0" applyFont="1" applyBorder="1" applyAlignment="1">
      <alignment horizontal="center"/>
    </xf>
    <xf numFmtId="0" fontId="103" fillId="68" borderId="42" xfId="0" applyFont="1" applyFill="1" applyBorder="1" applyAlignment="1">
      <alignment horizontal="center" vertical="center"/>
    </xf>
    <xf numFmtId="0" fontId="110" fillId="70" borderId="40" xfId="0" applyFont="1" applyFill="1" applyBorder="1"/>
    <xf numFmtId="0" fontId="0" fillId="0" borderId="0" xfId="0" applyBorder="1"/>
    <xf numFmtId="164" fontId="13" fillId="10" borderId="1" xfId="0" applyNumberFormat="1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164" fontId="17" fillId="14" borderId="1" xfId="0" applyNumberFormat="1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center" vertical="center"/>
    </xf>
    <xf numFmtId="0" fontId="0" fillId="0" borderId="46" xfId="0" applyBorder="1"/>
    <xf numFmtId="0" fontId="0" fillId="0" borderId="7" xfId="0" applyBorder="1" applyAlignment="1">
      <alignment horizontal="left"/>
    </xf>
    <xf numFmtId="44" fontId="1" fillId="0" borderId="46" xfId="1" applyBorder="1" applyAlignment="1">
      <alignment horizontal="center"/>
    </xf>
    <xf numFmtId="44" fontId="1" fillId="72" borderId="46" xfId="1" applyFill="1" applyBorder="1" applyAlignment="1">
      <alignment horizontal="center"/>
    </xf>
    <xf numFmtId="44" fontId="1" fillId="73" borderId="46" xfId="1" applyFill="1" applyBorder="1" applyAlignment="1">
      <alignment horizontal="center"/>
    </xf>
    <xf numFmtId="44" fontId="105" fillId="69" borderId="40" xfId="1" applyFont="1" applyFill="1" applyBorder="1" applyAlignment="1">
      <alignment horizontal="center"/>
    </xf>
    <xf numFmtId="44" fontId="105" fillId="0" borderId="40" xfId="0" applyNumberFormat="1" applyFont="1" applyBorder="1" applyAlignment="1">
      <alignment horizontal="center"/>
    </xf>
    <xf numFmtId="44" fontId="1" fillId="0" borderId="7" xfId="1" applyBorder="1"/>
    <xf numFmtId="0" fontId="118" fillId="0" borderId="56" xfId="0" applyFont="1" applyBorder="1"/>
    <xf numFmtId="0" fontId="125" fillId="78" borderId="58" xfId="0" applyFont="1" applyFill="1" applyBorder="1" applyAlignment="1">
      <alignment horizontal="center" vertical="center" wrapText="1"/>
    </xf>
    <xf numFmtId="0" fontId="127" fillId="0" borderId="57" xfId="0" applyFont="1" applyBorder="1" applyAlignment="1">
      <alignment horizontal="center"/>
    </xf>
    <xf numFmtId="0" fontId="127" fillId="0" borderId="57" xfId="0" applyFont="1" applyBorder="1"/>
    <xf numFmtId="164" fontId="127" fillId="0" borderId="57" xfId="0" applyNumberFormat="1" applyFont="1" applyBorder="1" applyAlignment="1">
      <alignment horizontal="right"/>
    </xf>
    <xf numFmtId="165" fontId="127" fillId="0" borderId="57" xfId="0" applyNumberFormat="1" applyFont="1" applyBorder="1" applyAlignment="1">
      <alignment horizontal="right"/>
    </xf>
    <xf numFmtId="0" fontId="126" fillId="0" borderId="57" xfId="0" applyFont="1" applyBorder="1" applyAlignment="1">
      <alignment horizontal="center"/>
    </xf>
    <xf numFmtId="0" fontId="127" fillId="79" borderId="57" xfId="0" applyFont="1" applyFill="1" applyBorder="1" applyAlignment="1">
      <alignment horizontal="center"/>
    </xf>
    <xf numFmtId="0" fontId="127" fillId="79" borderId="57" xfId="0" applyFont="1" applyFill="1" applyBorder="1"/>
    <xf numFmtId="164" fontId="127" fillId="79" borderId="57" xfId="0" applyNumberFormat="1" applyFont="1" applyFill="1" applyBorder="1" applyAlignment="1">
      <alignment horizontal="right"/>
    </xf>
    <xf numFmtId="165" fontId="127" fillId="79" borderId="57" xfId="0" applyNumberFormat="1" applyFont="1" applyFill="1" applyBorder="1" applyAlignment="1">
      <alignment horizontal="right"/>
    </xf>
    <xf numFmtId="0" fontId="126" fillId="79" borderId="57" xfId="0" applyFont="1" applyFill="1" applyBorder="1" applyAlignment="1">
      <alignment horizontal="center"/>
    </xf>
    <xf numFmtId="0" fontId="128" fillId="0" borderId="57" xfId="0" applyFont="1" applyBorder="1" applyAlignment="1">
      <alignment horizontal="center"/>
    </xf>
    <xf numFmtId="0" fontId="129" fillId="79" borderId="57" xfId="0" applyFont="1" applyFill="1" applyBorder="1" applyAlignment="1">
      <alignment horizontal="center"/>
    </xf>
    <xf numFmtId="0" fontId="128" fillId="79" borderId="57" xfId="0" applyFont="1" applyFill="1" applyBorder="1" applyAlignment="1">
      <alignment horizontal="center"/>
    </xf>
    <xf numFmtId="0" fontId="129" fillId="0" borderId="57" xfId="0" applyFont="1" applyBorder="1" applyAlignment="1">
      <alignment horizontal="center"/>
    </xf>
    <xf numFmtId="0" fontId="131" fillId="80" borderId="59" xfId="0" applyFont="1" applyFill="1" applyBorder="1" applyAlignment="1">
      <alignment horizontal="center"/>
    </xf>
    <xf numFmtId="164" fontId="131" fillId="80" borderId="59" xfId="0" applyNumberFormat="1" applyFont="1" applyFill="1" applyBorder="1" applyAlignment="1">
      <alignment horizontal="right"/>
    </xf>
    <xf numFmtId="165" fontId="131" fillId="80" borderId="59" xfId="0" applyNumberFormat="1" applyFont="1" applyFill="1" applyBorder="1" applyAlignment="1">
      <alignment horizontal="right"/>
    </xf>
    <xf numFmtId="0" fontId="125" fillId="78" borderId="58" xfId="0" applyFont="1" applyFill="1" applyBorder="1" applyAlignment="1">
      <alignment horizontal="center"/>
    </xf>
    <xf numFmtId="0" fontId="127" fillId="81" borderId="57" xfId="0" applyFont="1" applyFill="1" applyBorder="1" applyAlignment="1">
      <alignment horizontal="center"/>
    </xf>
    <xf numFmtId="164" fontId="127" fillId="81" borderId="57" xfId="0" applyNumberFormat="1" applyFont="1" applyFill="1" applyBorder="1" applyAlignment="1">
      <alignment horizontal="right"/>
    </xf>
    <xf numFmtId="0" fontId="130" fillId="82" borderId="57" xfId="0" applyFont="1" applyFill="1" applyBorder="1" applyAlignment="1">
      <alignment horizontal="center"/>
    </xf>
    <xf numFmtId="0" fontId="130" fillId="82" borderId="57" xfId="0" applyFont="1" applyFill="1" applyBorder="1"/>
    <xf numFmtId="172" fontId="130" fillId="82" borderId="57" xfId="0" applyNumberFormat="1" applyFont="1" applyFill="1" applyBorder="1" applyAlignment="1">
      <alignment horizontal="right"/>
    </xf>
    <xf numFmtId="0" fontId="132" fillId="0" borderId="57" xfId="0" applyFont="1" applyBorder="1" applyAlignment="1">
      <alignment horizontal="center"/>
    </xf>
    <xf numFmtId="0" fontId="132" fillId="0" borderId="57" xfId="0" applyFont="1" applyBorder="1"/>
    <xf numFmtId="172" fontId="132" fillId="0" borderId="57" xfId="0" applyNumberFormat="1" applyFont="1" applyBorder="1" applyAlignment="1">
      <alignment horizontal="right"/>
    </xf>
    <xf numFmtId="172" fontId="127" fillId="0" borderId="57" xfId="0" applyNumberFormat="1" applyFont="1" applyBorder="1" applyAlignment="1">
      <alignment horizontal="right"/>
    </xf>
    <xf numFmtId="172" fontId="118" fillId="0" borderId="56" xfId="0" applyNumberFormat="1" applyFont="1" applyBorder="1"/>
    <xf numFmtId="172" fontId="127" fillId="81" borderId="57" xfId="0" applyNumberFormat="1" applyFont="1" applyFill="1" applyBorder="1" applyAlignment="1">
      <alignment horizontal="right"/>
    </xf>
    <xf numFmtId="164" fontId="118" fillId="0" borderId="56" xfId="0" applyNumberFormat="1" applyFont="1" applyBorder="1"/>
    <xf numFmtId="164" fontId="125" fillId="78" borderId="58" xfId="0" applyNumberFormat="1" applyFont="1" applyFill="1" applyBorder="1" applyAlignment="1">
      <alignment horizontal="center"/>
    </xf>
    <xf numFmtId="172" fontId="125" fillId="78" borderId="58" xfId="0" applyNumberFormat="1" applyFont="1" applyFill="1" applyBorder="1" applyAlignment="1">
      <alignment horizontal="center"/>
    </xf>
    <xf numFmtId="0" fontId="94" fillId="72" borderId="38" xfId="0" applyFont="1" applyFill="1" applyBorder="1" applyAlignment="1">
      <alignment horizontal="center" vertical="center"/>
    </xf>
    <xf numFmtId="0" fontId="94" fillId="83" borderId="38" xfId="0" applyFont="1" applyFill="1" applyBorder="1" applyAlignment="1">
      <alignment horizontal="center" vertical="center"/>
    </xf>
    <xf numFmtId="166" fontId="0" fillId="72" borderId="0" xfId="0" applyNumberFormat="1" applyFill="1" applyBorder="1"/>
    <xf numFmtId="0" fontId="133" fillId="17" borderId="4" xfId="0" applyFont="1" applyFill="1" applyBorder="1" applyAlignment="1">
      <alignment horizontal="center" vertical="center"/>
    </xf>
    <xf numFmtId="0" fontId="112" fillId="0" borderId="11" xfId="0" applyFont="1" applyBorder="1" applyAlignment="1">
      <alignment horizontal="center" vertical="center"/>
    </xf>
    <xf numFmtId="0" fontId="39" fillId="0" borderId="0" xfId="0" applyFont="1" applyBorder="1" applyAlignment="1">
      <alignment horizontal="center" vertical="center"/>
    </xf>
    <xf numFmtId="0" fontId="112" fillId="50" borderId="25" xfId="0" applyFont="1" applyFill="1" applyBorder="1" applyAlignment="1">
      <alignment horizontal="center" vertical="center"/>
    </xf>
    <xf numFmtId="0" fontId="112" fillId="0" borderId="32" xfId="0" applyFont="1" applyBorder="1" applyAlignment="1">
      <alignment horizontal="center" vertical="center"/>
    </xf>
    <xf numFmtId="0" fontId="134" fillId="0" borderId="0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164" fontId="127" fillId="72" borderId="57" xfId="0" applyNumberFormat="1" applyFont="1" applyFill="1" applyBorder="1" applyAlignment="1">
      <alignment horizontal="right"/>
    </xf>
    <xf numFmtId="0" fontId="0" fillId="0" borderId="0" xfId="0" applyBorder="1" applyAlignment="1">
      <alignment horizontal="left"/>
    </xf>
    <xf numFmtId="0" fontId="127" fillId="81" borderId="57" xfId="0" applyFont="1" applyFill="1" applyBorder="1" applyAlignment="1">
      <alignment horizontal="left"/>
    </xf>
    <xf numFmtId="0" fontId="135" fillId="81" borderId="57" xfId="0" applyFont="1" applyFill="1" applyBorder="1" applyAlignment="1">
      <alignment horizontal="left"/>
    </xf>
    <xf numFmtId="1" fontId="23" fillId="72" borderId="6" xfId="0" applyNumberFormat="1" applyFont="1" applyFill="1" applyBorder="1" applyAlignment="1">
      <alignment horizontal="center"/>
    </xf>
    <xf numFmtId="0" fontId="23" fillId="72" borderId="6" xfId="0" applyFont="1" applyFill="1" applyBorder="1" applyAlignment="1">
      <alignment horizontal="left"/>
    </xf>
    <xf numFmtId="166" fontId="23" fillId="72" borderId="6" xfId="0" applyNumberFormat="1" applyFont="1" applyFill="1" applyBorder="1" applyAlignment="1">
      <alignment horizontal="right"/>
    </xf>
    <xf numFmtId="0" fontId="44" fillId="72" borderId="6" xfId="0" applyFont="1" applyFill="1" applyBorder="1" applyAlignment="1">
      <alignment horizontal="left"/>
    </xf>
    <xf numFmtId="0" fontId="127" fillId="72" borderId="57" xfId="0" applyFont="1" applyFill="1" applyBorder="1" applyAlignment="1">
      <alignment horizontal="center"/>
    </xf>
    <xf numFmtId="4" fontId="118" fillId="0" borderId="56" xfId="0" applyNumberFormat="1" applyFont="1" applyBorder="1"/>
    <xf numFmtId="166" fontId="81" fillId="72" borderId="34" xfId="0" applyNumberFormat="1" applyFont="1" applyFill="1" applyBorder="1" applyAlignment="1">
      <alignment horizontal="right" vertical="center"/>
    </xf>
    <xf numFmtId="166" fontId="81" fillId="83" borderId="34" xfId="0" applyNumberFormat="1" applyFont="1" applyFill="1" applyBorder="1" applyAlignment="1">
      <alignment horizontal="right" vertical="center"/>
    </xf>
    <xf numFmtId="0" fontId="65" fillId="72" borderId="21" xfId="0" applyFont="1" applyFill="1" applyBorder="1" applyAlignment="1">
      <alignment horizontal="center" vertical="center"/>
    </xf>
    <xf numFmtId="164" fontId="65" fillId="84" borderId="21" xfId="0" applyNumberFormat="1" applyFont="1" applyFill="1" applyBorder="1" applyAlignment="1">
      <alignment horizontal="right" vertical="center"/>
    </xf>
    <xf numFmtId="164" fontId="65" fillId="85" borderId="21" xfId="0" applyNumberFormat="1" applyFont="1" applyFill="1" applyBorder="1" applyAlignment="1">
      <alignment horizontal="right" vertical="center"/>
    </xf>
    <xf numFmtId="164" fontId="65" fillId="86" borderId="21" xfId="0" applyNumberFormat="1" applyFont="1" applyFill="1" applyBorder="1" applyAlignment="1">
      <alignment horizontal="right" vertical="center"/>
    </xf>
    <xf numFmtId="0" fontId="2" fillId="2" borderId="52" xfId="0" applyFont="1" applyFill="1" applyAlignment="1">
      <alignment horizontal="center" vertical="center"/>
    </xf>
    <xf numFmtId="0" fontId="0" fillId="0" borderId="0" xfId="0" applyBorder="1"/>
    <xf numFmtId="0" fontId="76" fillId="56" borderId="20" xfId="0" applyFont="1" applyFill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166" fontId="60" fillId="42" borderId="20" xfId="0" applyNumberFormat="1" applyFont="1" applyFill="1" applyBorder="1" applyAlignment="1">
      <alignment horizontal="center" vertical="center"/>
    </xf>
    <xf numFmtId="0" fontId="72" fillId="53" borderId="53" xfId="0" applyFont="1" applyFill="1" applyBorder="1" applyAlignment="1">
      <alignment horizontal="left" vertical="center"/>
    </xf>
    <xf numFmtId="0" fontId="0" fillId="0" borderId="45" xfId="0" applyBorder="1"/>
    <xf numFmtId="0" fontId="59" fillId="42" borderId="20" xfId="0" applyFont="1" applyFill="1" applyBorder="1" applyAlignment="1">
      <alignment horizontal="center" vertical="center"/>
    </xf>
    <xf numFmtId="0" fontId="61" fillId="42" borderId="20" xfId="0" applyFont="1" applyFill="1" applyBorder="1" applyAlignment="1">
      <alignment horizontal="center" vertical="center"/>
    </xf>
    <xf numFmtId="0" fontId="62" fillId="43" borderId="53" xfId="0" applyFont="1" applyFill="1" applyBorder="1" applyAlignment="1">
      <alignment horizontal="left" vertical="center"/>
    </xf>
    <xf numFmtId="0" fontId="0" fillId="0" borderId="44" xfId="0" applyBorder="1"/>
    <xf numFmtId="0" fontId="62" fillId="43" borderId="52" xfId="0" applyFont="1" applyFill="1" applyAlignment="1">
      <alignment horizontal="left" vertical="center"/>
    </xf>
    <xf numFmtId="0" fontId="71" fillId="54" borderId="53" xfId="0" applyFont="1" applyFill="1" applyBorder="1" applyAlignment="1">
      <alignment horizontal="left" vertical="center"/>
    </xf>
    <xf numFmtId="0" fontId="3" fillId="3" borderId="52" xfId="0" applyFont="1" applyFill="1" applyAlignment="1">
      <alignment horizontal="center" vertical="center"/>
    </xf>
    <xf numFmtId="166" fontId="75" fillId="56" borderId="20" xfId="0" applyNumberFormat="1" applyFont="1" applyFill="1" applyBorder="1" applyAlignment="1">
      <alignment horizontal="center" vertical="center"/>
    </xf>
    <xf numFmtId="0" fontId="62" fillId="47" borderId="52" xfId="0" applyFont="1" applyFill="1" applyAlignment="1">
      <alignment horizontal="left" vertical="center"/>
    </xf>
    <xf numFmtId="0" fontId="73" fillId="55" borderId="39" xfId="0" applyFont="1" applyFill="1" applyBorder="1" applyAlignment="1">
      <alignment horizontal="left" vertical="center"/>
    </xf>
    <xf numFmtId="0" fontId="0" fillId="0" borderId="31" xfId="0" applyBorder="1"/>
    <xf numFmtId="0" fontId="74" fillId="56" borderId="20" xfId="0" applyFont="1" applyFill="1" applyBorder="1" applyAlignment="1">
      <alignment horizontal="center" vertical="center"/>
    </xf>
    <xf numFmtId="0" fontId="64" fillId="0" borderId="53" xfId="0" applyFont="1" applyBorder="1" applyAlignment="1">
      <alignment horizontal="left" vertical="center"/>
    </xf>
    <xf numFmtId="0" fontId="7" fillId="40" borderId="53" xfId="0" applyFont="1" applyFill="1" applyBorder="1" applyAlignment="1">
      <alignment horizontal="center"/>
    </xf>
    <xf numFmtId="0" fontId="53" fillId="38" borderId="53" xfId="0" applyFont="1" applyFill="1" applyBorder="1" applyAlignment="1">
      <alignment horizontal="center" vertical="center"/>
    </xf>
    <xf numFmtId="166" fontId="54" fillId="38" borderId="53" xfId="0" applyNumberFormat="1" applyFont="1" applyFill="1" applyBorder="1" applyAlignment="1">
      <alignment horizontal="center" vertical="center"/>
    </xf>
    <xf numFmtId="0" fontId="50" fillId="37" borderId="52" xfId="0" applyFont="1" applyFill="1" applyAlignment="1">
      <alignment horizontal="center"/>
    </xf>
    <xf numFmtId="0" fontId="50" fillId="37" borderId="52" xfId="0" applyFont="1" applyFill="1" applyAlignment="1">
      <alignment horizontal="left" vertical="center"/>
    </xf>
    <xf numFmtId="3" fontId="54" fillId="38" borderId="53" xfId="0" applyNumberFormat="1" applyFont="1" applyFill="1" applyBorder="1" applyAlignment="1">
      <alignment horizontal="center" vertical="center"/>
    </xf>
    <xf numFmtId="0" fontId="54" fillId="38" borderId="53" xfId="0" applyFont="1" applyFill="1" applyBorder="1" applyAlignment="1">
      <alignment horizontal="center" vertical="center"/>
    </xf>
    <xf numFmtId="0" fontId="10" fillId="9" borderId="52" xfId="0" applyFont="1" applyFill="1" applyAlignment="1">
      <alignment horizontal="center" vertical="center"/>
    </xf>
    <xf numFmtId="0" fontId="11" fillId="9" borderId="52" xfId="0" applyFont="1" applyFill="1" applyAlignment="1">
      <alignment horizontal="center" vertical="center"/>
    </xf>
    <xf numFmtId="173" fontId="13" fillId="10" borderId="1" xfId="0" applyNumberFormat="1" applyFont="1" applyFill="1" applyBorder="1" applyAlignment="1">
      <alignment horizontal="center" vertical="center"/>
    </xf>
    <xf numFmtId="0" fontId="0" fillId="0" borderId="3" xfId="0" applyBorder="1"/>
    <xf numFmtId="164" fontId="13" fillId="10" borderId="1" xfId="0" applyNumberFormat="1" applyFont="1" applyFill="1" applyBorder="1" applyAlignment="1">
      <alignment horizontal="center" vertical="center"/>
    </xf>
    <xf numFmtId="0" fontId="22" fillId="18" borderId="52" xfId="0" applyFont="1" applyFill="1" applyAlignment="1">
      <alignment horizontal="left" vertical="center" indent="1"/>
    </xf>
    <xf numFmtId="0" fontId="12" fillId="10" borderId="1" xfId="0" applyFont="1" applyFill="1" applyBorder="1" applyAlignment="1">
      <alignment horizontal="center" vertical="center"/>
    </xf>
    <xf numFmtId="0" fontId="14" fillId="0" borderId="52" xfId="0" applyFont="1"/>
    <xf numFmtId="0" fontId="10" fillId="13" borderId="52" xfId="0" applyFont="1" applyFill="1" applyAlignment="1">
      <alignment horizontal="center" vertical="center"/>
    </xf>
    <xf numFmtId="0" fontId="11" fillId="13" borderId="52" xfId="0" applyFont="1" applyFill="1" applyAlignment="1">
      <alignment horizontal="center" vertical="center"/>
    </xf>
    <xf numFmtId="174" fontId="17" fillId="14" borderId="1" xfId="0" applyNumberFormat="1" applyFont="1" applyFill="1" applyBorder="1" applyAlignment="1">
      <alignment horizontal="center" vertical="center"/>
    </xf>
    <xf numFmtId="164" fontId="17" fillId="14" borderId="1" xfId="0" applyNumberFormat="1" applyFont="1" applyFill="1" applyBorder="1" applyAlignment="1">
      <alignment horizontal="center" vertical="center"/>
    </xf>
    <xf numFmtId="0" fontId="22" fillId="19" borderId="52" xfId="0" applyFont="1" applyFill="1" applyAlignment="1">
      <alignment horizontal="left" vertical="center" indent="1"/>
    </xf>
    <xf numFmtId="0" fontId="16" fillId="14" borderId="1" xfId="0" applyFont="1" applyFill="1" applyBorder="1" applyAlignment="1">
      <alignment horizontal="center" vertical="center"/>
    </xf>
    <xf numFmtId="0" fontId="18" fillId="0" borderId="52" xfId="0" applyFont="1"/>
    <xf numFmtId="0" fontId="83" fillId="57" borderId="52" xfId="0" applyFont="1" applyFill="1" applyAlignment="1">
      <alignment horizontal="center" vertical="center"/>
    </xf>
    <xf numFmtId="0" fontId="87" fillId="57" borderId="52" xfId="0" applyFont="1" applyFill="1" applyAlignment="1">
      <alignment horizontal="left" vertical="center"/>
    </xf>
    <xf numFmtId="0" fontId="80" fillId="57" borderId="52" xfId="0" applyFont="1" applyFill="1" applyAlignment="1">
      <alignment horizontal="center" vertical="center"/>
    </xf>
    <xf numFmtId="0" fontId="86" fillId="57" borderId="52" xfId="0" applyFont="1" applyFill="1" applyAlignment="1">
      <alignment horizontal="center" vertical="center"/>
    </xf>
    <xf numFmtId="0" fontId="84" fillId="60" borderId="52" xfId="0" applyFont="1" applyFill="1" applyAlignment="1">
      <alignment horizontal="center" vertical="center"/>
    </xf>
    <xf numFmtId="166" fontId="85" fillId="57" borderId="52" xfId="0" applyNumberFormat="1" applyFont="1" applyFill="1" applyAlignment="1">
      <alignment horizontal="center" vertical="center"/>
    </xf>
    <xf numFmtId="0" fontId="113" fillId="0" borderId="52" xfId="0" applyFont="1" applyAlignment="1">
      <alignment horizontal="center" vertical="center" wrapText="1"/>
    </xf>
    <xf numFmtId="0" fontId="0" fillId="0" borderId="46" xfId="0" applyBorder="1"/>
    <xf numFmtId="0" fontId="98" fillId="0" borderId="52" xfId="0" applyFont="1" applyAlignment="1">
      <alignment horizontal="center" vertical="center"/>
    </xf>
    <xf numFmtId="0" fontId="105" fillId="0" borderId="53" xfId="0" applyFont="1" applyBorder="1" applyAlignment="1">
      <alignment horizontal="center"/>
    </xf>
    <xf numFmtId="0" fontId="105" fillId="0" borderId="53" xfId="0" applyFont="1" applyBorder="1"/>
    <xf numFmtId="0" fontId="111" fillId="69" borderId="53" xfId="0" applyFont="1" applyFill="1" applyBorder="1"/>
    <xf numFmtId="164" fontId="100" fillId="66" borderId="53" xfId="0" applyNumberFormat="1" applyFont="1" applyFill="1" applyBorder="1" applyAlignment="1">
      <alignment horizontal="center" vertical="center"/>
    </xf>
    <xf numFmtId="164" fontId="105" fillId="0" borderId="53" xfId="0" applyNumberFormat="1" applyFont="1" applyBorder="1" applyAlignment="1">
      <alignment horizontal="right"/>
    </xf>
    <xf numFmtId="0" fontId="103" fillId="68" borderId="54" xfId="0" applyFont="1" applyFill="1" applyBorder="1" applyAlignment="1">
      <alignment horizontal="center" vertical="center"/>
    </xf>
    <xf numFmtId="0" fontId="0" fillId="0" borderId="49" xfId="0" applyBorder="1"/>
    <xf numFmtId="0" fontId="0" fillId="0" borderId="50" xfId="0" applyBorder="1"/>
    <xf numFmtId="0" fontId="110" fillId="70" borderId="53" xfId="0" applyFont="1" applyFill="1" applyBorder="1"/>
    <xf numFmtId="0" fontId="101" fillId="66" borderId="53" xfId="0" applyFont="1" applyFill="1" applyBorder="1" applyAlignment="1">
      <alignment horizontal="center" vertical="center"/>
    </xf>
    <xf numFmtId="0" fontId="99" fillId="66" borderId="53" xfId="0" applyFont="1" applyFill="1" applyBorder="1" applyAlignment="1">
      <alignment horizontal="center" vertical="center"/>
    </xf>
    <xf numFmtId="164" fontId="111" fillId="69" borderId="53" xfId="0" applyNumberFormat="1" applyFont="1" applyFill="1" applyBorder="1" applyAlignment="1">
      <alignment horizontal="right"/>
    </xf>
    <xf numFmtId="0" fontId="100" fillId="66" borderId="53" xfId="0" applyFont="1" applyFill="1" applyBorder="1" applyAlignment="1">
      <alignment horizontal="center" vertical="center"/>
    </xf>
    <xf numFmtId="0" fontId="102" fillId="67" borderId="52" xfId="0" applyFont="1" applyFill="1" applyAlignment="1">
      <alignment horizontal="left" vertical="center" indent="1"/>
    </xf>
    <xf numFmtId="0" fontId="110" fillId="70" borderId="55" xfId="0" applyFont="1" applyFill="1" applyBorder="1"/>
    <xf numFmtId="0" fontId="0" fillId="0" borderId="47" xfId="0" applyBorder="1"/>
    <xf numFmtId="0" fontId="0" fillId="0" borderId="48" xfId="0" applyBorder="1"/>
    <xf numFmtId="0" fontId="111" fillId="69" borderId="53" xfId="0" applyFont="1" applyFill="1" applyBorder="1" applyAlignment="1">
      <alignment horizontal="center"/>
    </xf>
    <xf numFmtId="0" fontId="97" fillId="65" borderId="52" xfId="0" applyFont="1" applyFill="1" applyAlignment="1">
      <alignment horizontal="center" vertical="center"/>
    </xf>
    <xf numFmtId="0" fontId="110" fillId="71" borderId="55" xfId="0" applyFont="1" applyFill="1" applyBorder="1"/>
    <xf numFmtId="164" fontId="110" fillId="70" borderId="55" xfId="0" applyNumberFormat="1" applyFont="1" applyFill="1" applyBorder="1" applyAlignment="1">
      <alignment horizontal="right"/>
    </xf>
    <xf numFmtId="0" fontId="25" fillId="21" borderId="52" xfId="0" applyFont="1" applyFill="1" applyAlignment="1">
      <alignment horizontal="center" vertical="center"/>
    </xf>
    <xf numFmtId="0" fontId="0" fillId="0" borderId="7" xfId="0" applyBorder="1" applyAlignment="1">
      <alignment horizontal="left"/>
    </xf>
    <xf numFmtId="164" fontId="28" fillId="24" borderId="37" xfId="0" applyNumberFormat="1" applyFont="1" applyFill="1" applyBorder="1" applyAlignment="1">
      <alignment horizontal="center" vertical="center"/>
    </xf>
    <xf numFmtId="0" fontId="0" fillId="0" borderId="14" xfId="0" applyBorder="1"/>
    <xf numFmtId="0" fontId="6" fillId="0" borderId="37" xfId="0" applyFont="1" applyBorder="1" applyAlignment="1">
      <alignment horizontal="left" vertical="top" wrapText="1"/>
    </xf>
    <xf numFmtId="0" fontId="0" fillId="0" borderId="15" xfId="0" applyBorder="1"/>
    <xf numFmtId="0" fontId="29" fillId="24" borderId="37" xfId="0" applyFont="1" applyFill="1" applyBorder="1" applyAlignment="1">
      <alignment horizontal="center" vertical="center"/>
    </xf>
    <xf numFmtId="0" fontId="27" fillId="23" borderId="37" xfId="0" applyFont="1" applyFill="1" applyBorder="1" applyAlignment="1">
      <alignment horizontal="center" vertical="center"/>
    </xf>
    <xf numFmtId="0" fontId="30" fillId="25" borderId="52" xfId="0" applyFont="1" applyFill="1" applyAlignment="1">
      <alignment horizontal="left" vertical="center"/>
    </xf>
    <xf numFmtId="3" fontId="28" fillId="24" borderId="37" xfId="0" applyNumberFormat="1" applyFont="1" applyFill="1" applyBorder="1" applyAlignment="1">
      <alignment horizontal="center" vertical="center"/>
    </xf>
    <xf numFmtId="0" fontId="26" fillId="22" borderId="52" xfId="0" applyFont="1" applyFill="1" applyAlignment="1">
      <alignment horizontal="center" vertical="center"/>
    </xf>
    <xf numFmtId="0" fontId="91" fillId="0" borderId="52" xfId="0" applyFont="1" applyAlignment="1">
      <alignment horizontal="left" vertical="center"/>
    </xf>
    <xf numFmtId="0" fontId="37" fillId="23" borderId="37" xfId="0" applyFont="1" applyFill="1" applyBorder="1" applyAlignment="1">
      <alignment horizontal="left" vertical="top" wrapText="1"/>
    </xf>
    <xf numFmtId="0" fontId="78" fillId="0" borderId="52" xfId="0" applyFont="1" applyAlignment="1">
      <alignment horizontal="left" vertical="center"/>
    </xf>
    <xf numFmtId="0" fontId="119" fillId="75" borderId="56" xfId="0" applyFont="1" applyFill="1" applyBorder="1" applyAlignment="1">
      <alignment horizontal="center" vertical="center"/>
    </xf>
    <xf numFmtId="0" fontId="0" fillId="75" borderId="52" xfId="0" applyFill="1"/>
    <xf numFmtId="0" fontId="124" fillId="77" borderId="58" xfId="0" applyFont="1" applyFill="1" applyBorder="1" applyAlignment="1">
      <alignment horizontal="center" vertical="center"/>
    </xf>
    <xf numFmtId="0" fontId="0" fillId="77" borderId="58" xfId="0" applyFill="1" applyBorder="1"/>
    <xf numFmtId="164" fontId="122" fillId="76" borderId="57" xfId="0" applyNumberFormat="1" applyFont="1" applyFill="1" applyBorder="1" applyAlignment="1">
      <alignment horizontal="center" vertical="center"/>
    </xf>
    <xf numFmtId="0" fontId="0" fillId="76" borderId="57" xfId="0" applyFill="1" applyBorder="1"/>
    <xf numFmtId="0" fontId="124" fillId="77" borderId="56" xfId="0" applyFont="1" applyFill="1" applyBorder="1" applyAlignment="1">
      <alignment horizontal="left" vertical="center" indent="1"/>
    </xf>
    <xf numFmtId="0" fontId="0" fillId="77" borderId="52" xfId="0" applyFill="1"/>
    <xf numFmtId="0" fontId="121" fillId="76" borderId="57" xfId="0" applyFont="1" applyFill="1" applyBorder="1" applyAlignment="1">
      <alignment horizontal="center" vertical="center"/>
    </xf>
    <xf numFmtId="0" fontId="120" fillId="0" borderId="56" xfId="0" applyFont="1" applyBorder="1" applyAlignment="1">
      <alignment horizontal="center" vertical="center"/>
    </xf>
    <xf numFmtId="0" fontId="0" fillId="0" borderId="52" xfId="0"/>
    <xf numFmtId="0" fontId="123" fillId="76" borderId="57" xfId="0" applyFont="1" applyFill="1" applyBorder="1" applyAlignment="1">
      <alignment horizontal="center" vertical="center"/>
    </xf>
    <xf numFmtId="165" fontId="122" fillId="76" borderId="57" xfId="0" applyNumberFormat="1" applyFont="1" applyFill="1" applyBorder="1" applyAlignment="1">
      <alignment horizontal="center" vertical="center"/>
    </xf>
    <xf numFmtId="0" fontId="122" fillId="76" borderId="57" xfId="0" applyFont="1" applyFill="1" applyBorder="1" applyAlignment="1">
      <alignment horizontal="center" vertical="center"/>
    </xf>
    <xf numFmtId="0" fontId="130" fillId="80" borderId="59" xfId="0" applyFont="1" applyFill="1" applyBorder="1" applyAlignment="1">
      <alignment horizontal="left" vertical="center" indent="1"/>
    </xf>
    <xf numFmtId="0" fontId="131" fillId="80" borderId="59" xfId="0" applyFont="1" applyFill="1" applyBorder="1"/>
  </cellXfs>
  <cellStyles count="4">
    <cellStyle name="Incorrecto" xfId="3" builtinId="27"/>
    <cellStyle name="Moneda" xfId="1" builtinId="4"/>
    <cellStyle name="Neutral" xfId="2" builtinId="2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30"/>
  <sheetViews>
    <sheetView topLeftCell="A25" zoomScale="130" zoomScaleNormal="130" workbookViewId="0">
      <selection activeCell="L64" sqref="L64"/>
    </sheetView>
  </sheetViews>
  <sheetFormatPr baseColWidth="10" defaultColWidth="8.7109375" defaultRowHeight="15" x14ac:dyDescent="0.25"/>
  <cols>
    <col min="1" max="1" width="2" style="471" customWidth="1"/>
    <col min="2" max="2" width="10.5703125" style="471" customWidth="1"/>
    <col min="3" max="3" width="13" style="471" customWidth="1"/>
    <col min="4" max="4" width="10.7109375" style="471" customWidth="1"/>
    <col min="5" max="5" width="15" style="471" bestFit="1" customWidth="1"/>
    <col min="6" max="6" width="14.7109375" style="471" bestFit="1" customWidth="1"/>
    <col min="7" max="7" width="13" style="471" bestFit="1" customWidth="1"/>
    <col min="8" max="8" width="13.42578125" style="471" customWidth="1"/>
    <col min="9" max="9" width="14.28515625" style="471" customWidth="1"/>
    <col min="10" max="10" width="10.85546875" style="471" bestFit="1" customWidth="1"/>
    <col min="11" max="11" width="11" style="471" customWidth="1"/>
    <col min="12" max="12" width="13.7109375" style="471" customWidth="1"/>
    <col min="13" max="13" width="13.42578125" style="471" customWidth="1"/>
    <col min="14" max="14" width="13" style="471" customWidth="1"/>
    <col min="15" max="15" width="2" style="471" customWidth="1"/>
  </cols>
  <sheetData>
    <row r="1" spans="2:15" ht="8.1" customHeight="1" x14ac:dyDescent="0.25"/>
    <row r="2" spans="2:15" ht="26.1" customHeight="1" x14ac:dyDescent="0.25">
      <c r="B2" s="544" t="s">
        <v>0</v>
      </c>
      <c r="C2" s="545"/>
      <c r="D2" s="545"/>
      <c r="E2" s="545"/>
      <c r="F2" s="545"/>
      <c r="G2" s="545"/>
      <c r="H2" s="545"/>
      <c r="I2" s="545"/>
      <c r="J2" s="545"/>
      <c r="K2" s="545"/>
      <c r="L2" s="545"/>
      <c r="M2" s="545"/>
      <c r="N2" s="545"/>
    </row>
    <row r="3" spans="2:15" ht="18" customHeight="1" x14ac:dyDescent="0.25">
      <c r="B3" s="558" t="s">
        <v>1</v>
      </c>
      <c r="C3" s="545"/>
      <c r="D3" s="545"/>
      <c r="E3" s="545"/>
      <c r="F3" s="545"/>
      <c r="G3" s="545"/>
      <c r="H3" s="545"/>
      <c r="I3" s="545"/>
      <c r="J3" s="545"/>
      <c r="K3" s="545"/>
      <c r="L3" s="545"/>
      <c r="M3" s="545"/>
      <c r="N3" s="545"/>
    </row>
    <row r="4" spans="2:15" ht="9.9499999999999993" customHeight="1" x14ac:dyDescent="0.25"/>
    <row r="5" spans="2:15" ht="15.95" customHeight="1" x14ac:dyDescent="0.25">
      <c r="B5" s="552" t="s">
        <v>2</v>
      </c>
      <c r="C5" s="547"/>
      <c r="D5" s="548"/>
      <c r="E5" s="552" t="s">
        <v>3</v>
      </c>
      <c r="F5" s="547"/>
      <c r="G5" s="548"/>
      <c r="H5" s="133"/>
      <c r="I5" s="552" t="s">
        <v>4</v>
      </c>
      <c r="J5" s="547"/>
      <c r="K5" s="548"/>
      <c r="L5" s="563" t="s">
        <v>5</v>
      </c>
      <c r="M5" s="547"/>
      <c r="N5" s="548"/>
    </row>
    <row r="6" spans="2:15" ht="24" customHeight="1" x14ac:dyDescent="0.25">
      <c r="B6" s="549">
        <v>170285612.61000001</v>
      </c>
      <c r="C6" s="547"/>
      <c r="D6" s="548"/>
      <c r="E6" s="549">
        <v>80302622.900000006</v>
      </c>
      <c r="F6" s="547"/>
      <c r="G6" s="548"/>
      <c r="H6" s="208"/>
      <c r="I6" s="549">
        <v>89982989.710000008</v>
      </c>
      <c r="J6" s="547"/>
      <c r="K6" s="548"/>
      <c r="L6" s="559">
        <v>12243950</v>
      </c>
      <c r="M6" s="547"/>
      <c r="N6" s="548"/>
    </row>
    <row r="7" spans="2:15" ht="14.1" customHeight="1" x14ac:dyDescent="0.25">
      <c r="B7" s="553" t="s">
        <v>6</v>
      </c>
      <c r="C7" s="547"/>
      <c r="D7" s="548"/>
      <c r="E7" s="553" t="s">
        <v>7</v>
      </c>
      <c r="F7" s="547"/>
      <c r="G7" s="548"/>
      <c r="H7" s="134"/>
      <c r="I7" s="553" t="s">
        <v>8</v>
      </c>
      <c r="J7" s="547"/>
      <c r="K7" s="548"/>
      <c r="L7" s="546" t="s">
        <v>9</v>
      </c>
      <c r="M7" s="547"/>
      <c r="N7" s="548"/>
    </row>
    <row r="8" spans="2:15" ht="9.9499999999999993" customHeight="1" x14ac:dyDescent="0.25"/>
    <row r="9" spans="2:15" ht="18" customHeight="1" x14ac:dyDescent="0.25">
      <c r="B9" s="556" t="s">
        <v>10</v>
      </c>
      <c r="C9" s="545"/>
      <c r="D9" s="545"/>
      <c r="E9" s="545"/>
      <c r="F9" s="545"/>
      <c r="G9" s="545"/>
      <c r="H9" s="135"/>
      <c r="I9" s="560" t="s">
        <v>11</v>
      </c>
      <c r="J9" s="545"/>
      <c r="K9" s="545"/>
      <c r="L9" s="545"/>
      <c r="M9" s="545"/>
      <c r="N9" s="545"/>
      <c r="O9" s="135"/>
    </row>
    <row r="10" spans="2:15" ht="15.95" customHeight="1" x14ac:dyDescent="0.25">
      <c r="B10" s="136" t="s">
        <v>12</v>
      </c>
      <c r="C10" s="137" t="s">
        <v>13</v>
      </c>
      <c r="D10" s="137" t="s">
        <v>14</v>
      </c>
      <c r="E10" s="138" t="s">
        <v>15</v>
      </c>
      <c r="F10" s="138" t="s">
        <v>16</v>
      </c>
      <c r="G10" s="138" t="s">
        <v>17</v>
      </c>
      <c r="H10" s="135"/>
      <c r="I10" s="136" t="s">
        <v>18</v>
      </c>
      <c r="J10" s="137" t="s">
        <v>13</v>
      </c>
      <c r="K10" s="137" t="s">
        <v>19</v>
      </c>
      <c r="L10" s="138" t="s">
        <v>15</v>
      </c>
      <c r="M10" s="138" t="s">
        <v>20</v>
      </c>
      <c r="N10" s="138" t="s">
        <v>17</v>
      </c>
      <c r="O10" s="135"/>
    </row>
    <row r="11" spans="2:15" ht="14.45" customHeight="1" x14ac:dyDescent="0.25">
      <c r="B11" s="139" t="s">
        <v>21</v>
      </c>
      <c r="C11" s="140" t="s">
        <v>22</v>
      </c>
      <c r="D11" s="141">
        <v>133</v>
      </c>
      <c r="E11" s="209">
        <v>50250944.859999999</v>
      </c>
      <c r="F11" s="210">
        <v>0.6257696578924572</v>
      </c>
      <c r="G11" s="209">
        <v>2644786.5715789469</v>
      </c>
      <c r="H11" s="135"/>
      <c r="I11" s="139" t="s">
        <v>23</v>
      </c>
      <c r="J11" s="140" t="s">
        <v>24</v>
      </c>
      <c r="K11" s="141">
        <v>64</v>
      </c>
      <c r="L11" s="209">
        <v>50774382</v>
      </c>
      <c r="M11" s="210">
        <v>0.56426644817689731</v>
      </c>
      <c r="N11" s="209">
        <v>2672335.8947368418</v>
      </c>
      <c r="O11" s="135"/>
    </row>
    <row r="12" spans="2:15" ht="14.45" customHeight="1" x14ac:dyDescent="0.25">
      <c r="B12" s="142" t="s">
        <v>25</v>
      </c>
      <c r="C12" s="170" t="s">
        <v>22</v>
      </c>
      <c r="D12" s="143">
        <v>124</v>
      </c>
      <c r="E12" s="211">
        <v>10101395</v>
      </c>
      <c r="F12" s="212">
        <v>0.12579159478488219</v>
      </c>
      <c r="G12" s="211">
        <v>531652.36842105258</v>
      </c>
      <c r="H12" s="135"/>
      <c r="I12" s="142" t="s">
        <v>26</v>
      </c>
      <c r="J12" s="170" t="s">
        <v>24</v>
      </c>
      <c r="K12" s="143">
        <v>10</v>
      </c>
      <c r="L12" s="211">
        <v>4135998.71</v>
      </c>
      <c r="M12" s="212">
        <v>4.5964228609536383E-2</v>
      </c>
      <c r="N12" s="211">
        <v>217684.14263157899</v>
      </c>
      <c r="O12" s="135"/>
    </row>
    <row r="13" spans="2:15" ht="14.45" customHeight="1" x14ac:dyDescent="0.25">
      <c r="B13" s="144" t="s">
        <v>27</v>
      </c>
      <c r="C13" s="145" t="s">
        <v>22</v>
      </c>
      <c r="D13" s="146">
        <v>117</v>
      </c>
      <c r="E13" s="213">
        <v>5583526</v>
      </c>
      <c r="F13" s="214">
        <v>6.9531053885414237E-2</v>
      </c>
      <c r="G13" s="213">
        <v>293869.78947368421</v>
      </c>
      <c r="H13" s="135"/>
      <c r="I13" s="144" t="s">
        <v>28</v>
      </c>
      <c r="J13" s="145" t="s">
        <v>24</v>
      </c>
      <c r="K13" s="146">
        <v>6</v>
      </c>
      <c r="L13" s="213">
        <v>6232420</v>
      </c>
      <c r="M13" s="214">
        <v>6.9262201890446601E-2</v>
      </c>
      <c r="N13" s="213">
        <v>328022.10526315792</v>
      </c>
      <c r="O13" s="135"/>
    </row>
    <row r="14" spans="2:15" ht="14.45" customHeight="1" x14ac:dyDescent="0.25">
      <c r="B14" s="142" t="s">
        <v>29</v>
      </c>
      <c r="C14" s="170" t="s">
        <v>22</v>
      </c>
      <c r="D14" s="143">
        <v>45</v>
      </c>
      <c r="E14" s="211">
        <v>5081215</v>
      </c>
      <c r="F14" s="212">
        <v>6.3275828565744138E-2</v>
      </c>
      <c r="G14" s="211">
        <v>267432.36842105258</v>
      </c>
      <c r="H14" s="135"/>
      <c r="I14" s="142" t="s">
        <v>30</v>
      </c>
      <c r="J14" s="170" t="s">
        <v>31</v>
      </c>
      <c r="K14" s="143">
        <v>75</v>
      </c>
      <c r="L14" s="211">
        <v>28840189</v>
      </c>
      <c r="M14" s="212">
        <v>0.32050712132311959</v>
      </c>
      <c r="N14" s="211">
        <v>1517904.6842105261</v>
      </c>
      <c r="O14" s="135"/>
    </row>
    <row r="15" spans="2:15" ht="15.95" customHeight="1" x14ac:dyDescent="0.25">
      <c r="B15" s="144" t="s">
        <v>32</v>
      </c>
      <c r="C15" s="145" t="s">
        <v>22</v>
      </c>
      <c r="D15" s="146">
        <v>95</v>
      </c>
      <c r="E15" s="213">
        <v>5929256.0700000022</v>
      </c>
      <c r="F15" s="214">
        <v>7.3836393580613682E-2</v>
      </c>
      <c r="G15" s="213">
        <v>312066.10894736851</v>
      </c>
      <c r="H15" s="135"/>
      <c r="I15" s="147" t="s">
        <v>33</v>
      </c>
      <c r="J15" s="148" t="s">
        <v>34</v>
      </c>
      <c r="K15" s="149">
        <v>155</v>
      </c>
      <c r="L15" s="215">
        <v>89982989.710000008</v>
      </c>
      <c r="M15" s="216">
        <v>1</v>
      </c>
      <c r="N15" s="215">
        <v>4735946.826842105</v>
      </c>
      <c r="O15" s="135"/>
    </row>
    <row r="16" spans="2:15" ht="14.45" customHeight="1" x14ac:dyDescent="0.25">
      <c r="B16" s="198" t="s">
        <v>35</v>
      </c>
      <c r="C16" s="199" t="s">
        <v>22</v>
      </c>
      <c r="D16" s="200">
        <v>52</v>
      </c>
      <c r="E16" s="217">
        <v>3356285.97</v>
      </c>
      <c r="F16" s="218">
        <v>4.179547129088855E-2</v>
      </c>
      <c r="G16" s="217">
        <v>176646.63</v>
      </c>
      <c r="H16" s="135"/>
      <c r="I16" s="135"/>
      <c r="J16" s="135"/>
      <c r="K16" s="150"/>
      <c r="L16" s="219"/>
      <c r="M16" s="220"/>
      <c r="N16" s="219"/>
      <c r="O16" s="135"/>
    </row>
    <row r="17" spans="2:15" ht="14.45" customHeight="1" x14ac:dyDescent="0.25">
      <c r="B17" s="314" t="s">
        <v>36</v>
      </c>
      <c r="C17" s="201" t="s">
        <v>37</v>
      </c>
      <c r="D17" s="202">
        <v>566</v>
      </c>
      <c r="E17" s="221">
        <v>80302622.900000006</v>
      </c>
      <c r="F17" s="222">
        <v>1</v>
      </c>
      <c r="G17" s="221">
        <v>4226453.8368421048</v>
      </c>
      <c r="H17" s="135"/>
      <c r="I17" s="135"/>
      <c r="J17" s="135"/>
      <c r="K17" s="150"/>
      <c r="L17" s="219"/>
      <c r="M17" s="220"/>
      <c r="N17" s="219"/>
      <c r="O17" s="135"/>
    </row>
    <row r="18" spans="2:15" ht="15.95" customHeight="1" x14ac:dyDescent="0.25">
      <c r="B18" s="203"/>
      <c r="C18" s="204"/>
      <c r="D18" s="205"/>
      <c r="E18" s="223"/>
      <c r="F18" s="224"/>
      <c r="G18" s="223"/>
      <c r="H18" s="135"/>
      <c r="I18" s="135"/>
      <c r="J18" s="135"/>
      <c r="K18" s="150"/>
      <c r="L18" s="219"/>
      <c r="M18" s="220"/>
      <c r="N18" s="219"/>
      <c r="O18" s="135"/>
    </row>
    <row r="19" spans="2:15" ht="8.1" customHeight="1" x14ac:dyDescent="0.25">
      <c r="B19" s="135"/>
      <c r="C19" s="135"/>
      <c r="D19" s="150"/>
      <c r="E19" s="219"/>
      <c r="F19" s="220"/>
      <c r="G19" s="219"/>
      <c r="H19" s="135"/>
      <c r="I19" s="135"/>
      <c r="J19" s="135"/>
      <c r="K19" s="135"/>
      <c r="L19" s="135"/>
      <c r="M19" s="135"/>
      <c r="N19" s="135"/>
      <c r="O19" s="135"/>
    </row>
    <row r="20" spans="2:15" ht="17.100000000000001" customHeight="1" x14ac:dyDescent="0.25">
      <c r="B20" s="556" t="s">
        <v>38</v>
      </c>
      <c r="C20" s="545"/>
      <c r="D20" s="545"/>
      <c r="E20" s="545"/>
      <c r="F20" s="545"/>
      <c r="G20" s="545"/>
      <c r="H20" s="135"/>
      <c r="I20" s="135"/>
      <c r="J20" s="135"/>
      <c r="K20" s="135"/>
      <c r="L20" s="135"/>
      <c r="M20" s="135"/>
      <c r="N20" s="135"/>
      <c r="O20" s="135"/>
    </row>
    <row r="21" spans="2:15" ht="17.100000000000001" customHeight="1" x14ac:dyDescent="0.25">
      <c r="B21" s="564" t="s">
        <v>39</v>
      </c>
      <c r="C21" s="551"/>
      <c r="D21" s="151">
        <v>566</v>
      </c>
      <c r="E21" s="225">
        <v>80302622.900000006</v>
      </c>
      <c r="F21" s="226">
        <v>0.47157608719366489</v>
      </c>
      <c r="G21" s="225">
        <v>4226453.8368421048</v>
      </c>
      <c r="H21" s="135"/>
      <c r="I21" s="135"/>
      <c r="J21" s="135"/>
      <c r="K21" s="135"/>
      <c r="L21" s="135"/>
      <c r="M21" s="135"/>
      <c r="N21" s="135"/>
      <c r="O21" s="135"/>
    </row>
    <row r="22" spans="2:15" ht="15.6" customHeight="1" x14ac:dyDescent="0.25">
      <c r="B22" s="564" t="s">
        <v>40</v>
      </c>
      <c r="C22" s="551"/>
      <c r="D22" s="151">
        <v>155</v>
      </c>
      <c r="E22" s="225">
        <v>89982989.710000008</v>
      </c>
      <c r="F22" s="226">
        <v>0.52842391280633516</v>
      </c>
      <c r="G22" s="225">
        <v>4735946.826842105</v>
      </c>
      <c r="H22" s="135"/>
      <c r="I22" s="135"/>
      <c r="J22" s="135"/>
      <c r="K22" s="220"/>
      <c r="L22" s="135"/>
      <c r="M22" s="135"/>
      <c r="N22" s="135"/>
      <c r="O22" s="135"/>
    </row>
    <row r="23" spans="2:15" ht="15.6" customHeight="1" x14ac:dyDescent="0.25">
      <c r="B23" s="557" t="s">
        <v>41</v>
      </c>
      <c r="C23" s="551"/>
      <c r="D23" s="202">
        <v>721</v>
      </c>
      <c r="E23" s="227">
        <v>170285612.61000001</v>
      </c>
      <c r="F23" s="222">
        <v>1</v>
      </c>
      <c r="G23" s="227">
        <v>8962400.6636842098</v>
      </c>
      <c r="H23" s="135"/>
      <c r="I23" s="135"/>
      <c r="J23" s="135"/>
      <c r="K23" s="220"/>
      <c r="L23" s="135"/>
      <c r="M23" s="135"/>
      <c r="N23" s="135"/>
      <c r="O23" s="135"/>
    </row>
    <row r="24" spans="2:15" x14ac:dyDescent="0.25">
      <c r="B24" s="550" t="s">
        <v>42</v>
      </c>
      <c r="C24" s="551"/>
      <c r="D24" s="206">
        <v>1</v>
      </c>
      <c r="E24" s="228">
        <v>12243950</v>
      </c>
      <c r="F24" s="229" t="s">
        <v>43</v>
      </c>
      <c r="G24" s="230" t="s">
        <v>44</v>
      </c>
      <c r="H24" s="135"/>
      <c r="I24" s="135"/>
      <c r="J24" s="135"/>
      <c r="K24" s="150"/>
      <c r="L24" s="135"/>
      <c r="M24" s="135"/>
      <c r="N24" s="135"/>
      <c r="O24" s="135"/>
    </row>
    <row r="25" spans="2:15" x14ac:dyDescent="0.25">
      <c r="B25" s="561" t="s">
        <v>45</v>
      </c>
      <c r="C25" s="562"/>
      <c r="D25" s="207">
        <v>722</v>
      </c>
      <c r="E25" s="231">
        <v>182529562.61000001</v>
      </c>
      <c r="F25" s="232" t="s">
        <v>46</v>
      </c>
      <c r="G25" s="233" t="s">
        <v>44</v>
      </c>
      <c r="H25" s="135"/>
      <c r="I25" s="135"/>
      <c r="J25" s="135"/>
      <c r="K25" s="135"/>
      <c r="L25" s="135"/>
      <c r="M25" s="135"/>
      <c r="N25" s="135"/>
      <c r="O25" s="135"/>
    </row>
    <row r="26" spans="2:15" ht="18" customHeight="1" x14ac:dyDescent="0.25">
      <c r="B26" s="554" t="s">
        <v>47</v>
      </c>
      <c r="C26" s="555"/>
      <c r="D26" s="555"/>
      <c r="E26" s="555"/>
      <c r="F26" s="555"/>
      <c r="G26" s="555"/>
      <c r="H26" s="555"/>
      <c r="I26" s="555"/>
      <c r="J26" s="555"/>
      <c r="K26" s="555"/>
      <c r="L26" s="555"/>
      <c r="M26" s="555"/>
      <c r="N26" s="551"/>
    </row>
    <row r="27" spans="2:15" ht="15.95" customHeight="1" x14ac:dyDescent="0.25">
      <c r="B27" s="137" t="s">
        <v>48</v>
      </c>
      <c r="C27" s="138" t="s">
        <v>49</v>
      </c>
      <c r="D27" s="153" t="s">
        <v>50</v>
      </c>
      <c r="E27" s="234" t="s">
        <v>51</v>
      </c>
      <c r="F27" s="235" t="s">
        <v>52</v>
      </c>
      <c r="G27" s="234" t="s">
        <v>53</v>
      </c>
      <c r="H27" s="138" t="s">
        <v>54</v>
      </c>
      <c r="I27" s="138" t="s">
        <v>55</v>
      </c>
      <c r="J27" s="138" t="s">
        <v>56</v>
      </c>
      <c r="K27" s="138" t="s">
        <v>57</v>
      </c>
      <c r="L27" s="138" t="s">
        <v>58</v>
      </c>
      <c r="M27" s="138" t="s">
        <v>59</v>
      </c>
      <c r="N27" s="137" t="s">
        <v>14</v>
      </c>
    </row>
    <row r="28" spans="2:15" ht="12.95" customHeight="1" x14ac:dyDescent="0.25">
      <c r="B28" s="170">
        <v>1</v>
      </c>
      <c r="C28" s="211">
        <v>6738295</v>
      </c>
      <c r="D28" s="211">
        <v>1051345</v>
      </c>
      <c r="E28" s="211">
        <v>7789640</v>
      </c>
      <c r="F28" s="212">
        <v>0.86503291551342554</v>
      </c>
      <c r="G28" s="212">
        <v>0.13496708448657449</v>
      </c>
      <c r="H28" s="211">
        <v>6130295</v>
      </c>
      <c r="I28" s="211">
        <v>132400</v>
      </c>
      <c r="J28" s="211">
        <v>15000</v>
      </c>
      <c r="K28" s="211">
        <v>411700</v>
      </c>
      <c r="L28" s="211">
        <v>48900</v>
      </c>
      <c r="M28" s="211">
        <v>130000</v>
      </c>
      <c r="N28" s="143">
        <v>26</v>
      </c>
    </row>
    <row r="29" spans="2:15" ht="12.95" customHeight="1" x14ac:dyDescent="0.25">
      <c r="B29" s="145">
        <v>2</v>
      </c>
      <c r="C29" s="213">
        <v>1355351</v>
      </c>
      <c r="D29" s="213">
        <v>30000</v>
      </c>
      <c r="E29" s="213">
        <v>1385351</v>
      </c>
      <c r="F29" s="214">
        <v>0.97834483823955087</v>
      </c>
      <c r="G29" s="214">
        <v>2.1655161760449161E-2</v>
      </c>
      <c r="H29" s="213">
        <v>528586</v>
      </c>
      <c r="I29" s="213">
        <v>126240</v>
      </c>
      <c r="J29" s="213">
        <v>392505</v>
      </c>
      <c r="K29" s="213">
        <v>162100</v>
      </c>
      <c r="L29" s="213">
        <v>145920</v>
      </c>
      <c r="M29" s="213">
        <v>30000</v>
      </c>
      <c r="N29" s="146">
        <v>26</v>
      </c>
    </row>
    <row r="30" spans="2:15" ht="12.95" customHeight="1" x14ac:dyDescent="0.25">
      <c r="B30" s="170">
        <v>3</v>
      </c>
      <c r="C30" s="211">
        <v>4239440</v>
      </c>
      <c r="D30" s="211">
        <v>60500</v>
      </c>
      <c r="E30" s="211">
        <v>4299940</v>
      </c>
      <c r="F30" s="212">
        <v>0.98593003623306374</v>
      </c>
      <c r="G30" s="212">
        <v>1.406996376693628E-2</v>
      </c>
      <c r="H30" s="211">
        <v>1808790</v>
      </c>
      <c r="I30" s="211">
        <v>355500</v>
      </c>
      <c r="J30" s="211">
        <v>1047950</v>
      </c>
      <c r="K30" s="211">
        <v>970600</v>
      </c>
      <c r="L30" s="211">
        <v>56600</v>
      </c>
      <c r="M30" s="211">
        <v>60500</v>
      </c>
      <c r="N30" s="143">
        <v>40</v>
      </c>
    </row>
    <row r="31" spans="2:15" ht="12.95" customHeight="1" x14ac:dyDescent="0.25">
      <c r="B31" s="145">
        <v>4</v>
      </c>
      <c r="C31" s="213">
        <v>4457519</v>
      </c>
      <c r="D31" s="213">
        <v>30000</v>
      </c>
      <c r="E31" s="213">
        <v>4487519</v>
      </c>
      <c r="F31" s="214">
        <v>0.99331479153625868</v>
      </c>
      <c r="G31" s="214">
        <v>6.6852084637413238E-3</v>
      </c>
      <c r="H31" s="213">
        <v>2218844</v>
      </c>
      <c r="I31" s="213">
        <v>0</v>
      </c>
      <c r="J31" s="213">
        <v>256850</v>
      </c>
      <c r="K31" s="213">
        <v>140975</v>
      </c>
      <c r="L31" s="213">
        <v>1840850</v>
      </c>
      <c r="M31" s="213">
        <v>30000</v>
      </c>
      <c r="N31" s="146">
        <v>60</v>
      </c>
    </row>
    <row r="32" spans="2:15" ht="12.95" customHeight="1" x14ac:dyDescent="0.25">
      <c r="B32" s="170">
        <v>5</v>
      </c>
      <c r="C32" s="211">
        <v>8935184.0699999984</v>
      </c>
      <c r="D32" s="211">
        <v>0</v>
      </c>
      <c r="E32" s="211">
        <v>8935184.0699999984</v>
      </c>
      <c r="F32" s="212">
        <v>1</v>
      </c>
      <c r="G32" s="212">
        <v>0</v>
      </c>
      <c r="H32" s="211">
        <v>7713980</v>
      </c>
      <c r="I32" s="211">
        <v>524200</v>
      </c>
      <c r="J32" s="211">
        <v>247500</v>
      </c>
      <c r="K32" s="211">
        <v>386504.07</v>
      </c>
      <c r="L32" s="211">
        <v>63000</v>
      </c>
      <c r="M32" s="211">
        <v>0</v>
      </c>
      <c r="N32" s="143">
        <v>37</v>
      </c>
    </row>
    <row r="33" spans="1:14" ht="12.95" customHeight="1" x14ac:dyDescent="0.25">
      <c r="B33" s="145">
        <v>6</v>
      </c>
      <c r="C33" s="213">
        <v>434000</v>
      </c>
      <c r="D33" s="213">
        <v>90000</v>
      </c>
      <c r="E33" s="213">
        <v>524000</v>
      </c>
      <c r="F33" s="214">
        <v>0.8282442748091603</v>
      </c>
      <c r="G33" s="214">
        <v>0.1717557251908397</v>
      </c>
      <c r="H33" s="213">
        <v>0</v>
      </c>
      <c r="I33" s="213">
        <v>285000</v>
      </c>
      <c r="J33" s="213">
        <v>0</v>
      </c>
      <c r="K33" s="213">
        <v>0</v>
      </c>
      <c r="L33" s="213">
        <v>149000</v>
      </c>
      <c r="M33" s="213">
        <v>90000</v>
      </c>
      <c r="N33" s="146">
        <v>7</v>
      </c>
    </row>
    <row r="34" spans="1:14" ht="12.95" customHeight="1" x14ac:dyDescent="0.25">
      <c r="A34" s="112"/>
      <c r="B34" s="170">
        <v>7</v>
      </c>
      <c r="C34" s="211">
        <v>2376803.04</v>
      </c>
      <c r="D34" s="211">
        <v>970900</v>
      </c>
      <c r="E34" s="211">
        <v>3347703.04</v>
      </c>
      <c r="F34" s="212">
        <v>0.7099802496221409</v>
      </c>
      <c r="G34" s="212">
        <v>0.2900197503778591</v>
      </c>
      <c r="H34" s="211">
        <v>2135215.04</v>
      </c>
      <c r="I34" s="211">
        <v>124155</v>
      </c>
      <c r="J34" s="211">
        <v>0</v>
      </c>
      <c r="K34" s="211">
        <v>73000</v>
      </c>
      <c r="L34" s="211">
        <v>29433</v>
      </c>
      <c r="M34" s="211">
        <v>970900</v>
      </c>
      <c r="N34" s="143">
        <v>29</v>
      </c>
    </row>
    <row r="35" spans="1:14" ht="12.95" customHeight="1" x14ac:dyDescent="0.25">
      <c r="B35" s="145">
        <v>8</v>
      </c>
      <c r="C35" s="213">
        <v>3875920</v>
      </c>
      <c r="D35" s="213">
        <v>762810.71</v>
      </c>
      <c r="E35" s="213">
        <v>4638730.71</v>
      </c>
      <c r="F35" s="214">
        <v>0.83555615583470677</v>
      </c>
      <c r="G35" s="214">
        <v>0.1644438441652932</v>
      </c>
      <c r="H35" s="213">
        <v>966050</v>
      </c>
      <c r="I35" s="213">
        <v>1392220</v>
      </c>
      <c r="J35" s="213">
        <v>389300</v>
      </c>
      <c r="K35" s="213">
        <v>29000</v>
      </c>
      <c r="L35" s="213">
        <v>1069350</v>
      </c>
      <c r="M35" s="213">
        <v>578112</v>
      </c>
      <c r="N35" s="146">
        <v>87</v>
      </c>
    </row>
    <row r="36" spans="1:14" ht="12.95" customHeight="1" x14ac:dyDescent="0.25">
      <c r="B36" s="170">
        <v>9</v>
      </c>
      <c r="C36" s="211">
        <v>11460335</v>
      </c>
      <c r="D36" s="211">
        <v>2763902</v>
      </c>
      <c r="E36" s="211">
        <v>14224237</v>
      </c>
      <c r="F36" s="212">
        <v>0.8056906672744556</v>
      </c>
      <c r="G36" s="212">
        <v>0.1943093327255444</v>
      </c>
      <c r="H36" s="211">
        <v>5707282</v>
      </c>
      <c r="I36" s="211">
        <v>793450</v>
      </c>
      <c r="J36" s="211">
        <v>1214910</v>
      </c>
      <c r="K36" s="211">
        <v>1723770</v>
      </c>
      <c r="L36" s="211">
        <v>1887973</v>
      </c>
      <c r="M36" s="211">
        <v>2280870</v>
      </c>
      <c r="N36" s="143">
        <v>80</v>
      </c>
    </row>
    <row r="37" spans="1:14" ht="12.95" customHeight="1" x14ac:dyDescent="0.25">
      <c r="B37" s="145">
        <v>10</v>
      </c>
      <c r="C37" s="213">
        <v>3218466</v>
      </c>
      <c r="D37" s="213">
        <v>464000</v>
      </c>
      <c r="E37" s="213">
        <v>3682466</v>
      </c>
      <c r="F37" s="214">
        <v>0.87399747886334866</v>
      </c>
      <c r="G37" s="214">
        <v>0.12600252113665139</v>
      </c>
      <c r="H37" s="213">
        <v>1387295</v>
      </c>
      <c r="I37" s="213">
        <v>208000</v>
      </c>
      <c r="J37" s="213">
        <v>441200</v>
      </c>
      <c r="K37" s="213">
        <v>918471</v>
      </c>
      <c r="L37" s="213">
        <v>263500</v>
      </c>
      <c r="M37" s="213">
        <v>464000</v>
      </c>
      <c r="N37" s="146">
        <v>45</v>
      </c>
    </row>
    <row r="38" spans="1:14" ht="12.95" customHeight="1" x14ac:dyDescent="0.25">
      <c r="B38" s="170">
        <v>11</v>
      </c>
      <c r="C38" s="236">
        <v>8354056</v>
      </c>
      <c r="D38" s="237">
        <v>47002200</v>
      </c>
      <c r="E38" s="238">
        <v>55356256</v>
      </c>
      <c r="F38" s="212">
        <v>0.15091439710084439</v>
      </c>
      <c r="G38" s="212">
        <v>0.84908560289915558</v>
      </c>
      <c r="H38" s="211">
        <v>4088560</v>
      </c>
      <c r="I38" s="211">
        <v>2802750</v>
      </c>
      <c r="J38" s="211">
        <v>1076000</v>
      </c>
      <c r="K38" s="211">
        <v>34000</v>
      </c>
      <c r="L38" s="211">
        <v>29000</v>
      </c>
      <c r="M38" s="211">
        <v>45390000</v>
      </c>
      <c r="N38" s="143">
        <v>60</v>
      </c>
    </row>
    <row r="39" spans="1:14" ht="12.95" customHeight="1" x14ac:dyDescent="0.25">
      <c r="B39" s="145">
        <v>12</v>
      </c>
      <c r="C39" s="213">
        <v>10515730</v>
      </c>
      <c r="D39" s="213">
        <v>1489300</v>
      </c>
      <c r="E39" s="213">
        <v>12005030</v>
      </c>
      <c r="F39" s="214">
        <v>0.87594366694627168</v>
      </c>
      <c r="G39" s="214">
        <v>0.1240563330537283</v>
      </c>
      <c r="H39" s="213">
        <v>7776020</v>
      </c>
      <c r="I39" s="213">
        <v>937770</v>
      </c>
      <c r="J39" s="213">
        <v>0</v>
      </c>
      <c r="K39" s="213">
        <v>83000</v>
      </c>
      <c r="L39" s="213">
        <v>0</v>
      </c>
      <c r="M39" s="213">
        <v>750000</v>
      </c>
      <c r="N39" s="146">
        <v>56</v>
      </c>
    </row>
    <row r="40" spans="1:14" ht="12.95" customHeight="1" x14ac:dyDescent="0.25">
      <c r="B40" s="170">
        <v>13</v>
      </c>
      <c r="C40" s="236">
        <v>1146850.02</v>
      </c>
      <c r="D40" s="237">
        <v>324000</v>
      </c>
      <c r="E40" s="238">
        <v>1470850.02</v>
      </c>
      <c r="F40" s="212">
        <v>0.77971921297590896</v>
      </c>
      <c r="G40" s="212">
        <v>0.22028078702409101</v>
      </c>
      <c r="H40" s="211">
        <v>866150.02</v>
      </c>
      <c r="I40" s="211">
        <v>108000</v>
      </c>
      <c r="J40" s="211">
        <v>0</v>
      </c>
      <c r="K40" s="211">
        <v>126500</v>
      </c>
      <c r="L40" s="211">
        <v>0</v>
      </c>
      <c r="M40" s="211">
        <v>0</v>
      </c>
      <c r="N40" s="143">
        <v>20</v>
      </c>
    </row>
    <row r="41" spans="1:14" ht="12.95" customHeight="1" x14ac:dyDescent="0.25">
      <c r="B41" s="145">
        <v>14</v>
      </c>
      <c r="C41" s="213">
        <v>2644383.77</v>
      </c>
      <c r="D41" s="213">
        <v>22322185</v>
      </c>
      <c r="E41" s="213">
        <v>24966568.77</v>
      </c>
      <c r="F41" s="214">
        <v>0.1059169882077472</v>
      </c>
      <c r="G41" s="214">
        <v>0.8940830117922528</v>
      </c>
      <c r="H41" s="213">
        <v>2403203.7999999998</v>
      </c>
      <c r="I41" s="213">
        <v>74180</v>
      </c>
      <c r="J41" s="213">
        <v>0</v>
      </c>
      <c r="K41" s="213">
        <v>0</v>
      </c>
      <c r="L41" s="213">
        <v>0</v>
      </c>
      <c r="M41" s="213">
        <v>0</v>
      </c>
      <c r="N41" s="146">
        <v>20</v>
      </c>
    </row>
    <row r="42" spans="1:14" ht="12.95" customHeight="1" x14ac:dyDescent="0.25">
      <c r="B42" s="170">
        <v>15</v>
      </c>
      <c r="C42" s="236">
        <v>683386</v>
      </c>
      <c r="D42" s="237">
        <v>10455547</v>
      </c>
      <c r="E42" s="238">
        <v>11138933</v>
      </c>
      <c r="F42" s="212">
        <v>6.1351118639460349E-2</v>
      </c>
      <c r="G42" s="212">
        <v>0.9386488813605397</v>
      </c>
      <c r="H42" s="211">
        <v>234700</v>
      </c>
      <c r="I42" s="211">
        <v>39600</v>
      </c>
      <c r="J42" s="211">
        <v>0</v>
      </c>
      <c r="K42" s="211">
        <v>38436</v>
      </c>
      <c r="L42" s="211">
        <v>0</v>
      </c>
      <c r="M42" s="211">
        <v>0</v>
      </c>
      <c r="N42" s="143">
        <v>35</v>
      </c>
    </row>
    <row r="43" spans="1:14" ht="12.95" customHeight="1" x14ac:dyDescent="0.25">
      <c r="B43" s="145">
        <v>16</v>
      </c>
      <c r="C43" s="213">
        <v>1648675</v>
      </c>
      <c r="D43" s="213">
        <v>1398600</v>
      </c>
      <c r="E43" s="213">
        <v>3047275</v>
      </c>
      <c r="F43" s="214">
        <v>0.54103256187905591</v>
      </c>
      <c r="G43" s="214">
        <v>0.45896743812094409</v>
      </c>
      <c r="H43" s="213">
        <v>1322675</v>
      </c>
      <c r="I43" s="213">
        <v>76700</v>
      </c>
      <c r="J43" s="213">
        <v>0</v>
      </c>
      <c r="K43" s="213">
        <v>34000</v>
      </c>
      <c r="L43" s="213">
        <v>0</v>
      </c>
      <c r="M43" s="213">
        <v>0</v>
      </c>
      <c r="N43" s="146">
        <v>22</v>
      </c>
    </row>
    <row r="44" spans="1:14" ht="12.95" customHeight="1" x14ac:dyDescent="0.25">
      <c r="B44" s="540">
        <v>17</v>
      </c>
      <c r="C44" s="541">
        <v>6954029</v>
      </c>
      <c r="D44" s="542">
        <v>269700</v>
      </c>
      <c r="E44" s="543">
        <v>7223729</v>
      </c>
      <c r="F44" s="212">
        <v>0.96266471236670148</v>
      </c>
      <c r="G44" s="212">
        <v>3.7335287633298533E-2</v>
      </c>
      <c r="H44" s="211">
        <v>4585299</v>
      </c>
      <c r="I44" s="211">
        <v>1821230</v>
      </c>
      <c r="J44" s="211">
        <v>0</v>
      </c>
      <c r="K44" s="211">
        <v>249000</v>
      </c>
      <c r="L44" s="211">
        <v>0</v>
      </c>
      <c r="M44" s="211">
        <v>0</v>
      </c>
      <c r="N44" s="143">
        <v>53</v>
      </c>
    </row>
    <row r="45" spans="1:14" ht="12.95" customHeight="1" x14ac:dyDescent="0.25">
      <c r="B45" s="145">
        <v>18</v>
      </c>
      <c r="C45" s="213">
        <v>1214200</v>
      </c>
      <c r="D45" s="213">
        <v>298000</v>
      </c>
      <c r="E45" s="213">
        <v>1512200</v>
      </c>
      <c r="F45" s="214">
        <v>0.8029361195609046</v>
      </c>
      <c r="G45" s="214">
        <v>0.1970638804390954</v>
      </c>
      <c r="H45" s="213">
        <v>378000</v>
      </c>
      <c r="I45" s="213">
        <v>250000</v>
      </c>
      <c r="J45" s="213">
        <v>0</v>
      </c>
      <c r="K45" s="213">
        <v>548200</v>
      </c>
      <c r="L45" s="213">
        <v>0</v>
      </c>
      <c r="M45" s="213">
        <v>0</v>
      </c>
      <c r="N45" s="146">
        <v>16</v>
      </c>
    </row>
    <row r="46" spans="1:14" ht="12.95" customHeight="1" x14ac:dyDescent="0.25">
      <c r="B46" s="170">
        <v>19</v>
      </c>
      <c r="C46" s="236">
        <v>50000</v>
      </c>
      <c r="D46" s="237">
        <v>200000</v>
      </c>
      <c r="E46" s="238">
        <v>250000</v>
      </c>
      <c r="F46" s="212">
        <v>0.2</v>
      </c>
      <c r="G46" s="212">
        <v>0.8</v>
      </c>
      <c r="H46" s="211">
        <v>0</v>
      </c>
      <c r="I46" s="211">
        <v>50000</v>
      </c>
      <c r="J46" s="211">
        <v>0</v>
      </c>
      <c r="K46" s="211">
        <v>0</v>
      </c>
      <c r="L46" s="211">
        <v>0</v>
      </c>
      <c r="M46" s="211">
        <v>0</v>
      </c>
      <c r="N46" s="143">
        <v>2</v>
      </c>
    </row>
    <row r="47" spans="1:14" ht="12.95" customHeight="1" x14ac:dyDescent="0.25">
      <c r="B47" s="145">
        <v>20</v>
      </c>
      <c r="C47" s="213">
        <v>0</v>
      </c>
      <c r="D47" s="213">
        <v>0</v>
      </c>
      <c r="E47" s="213">
        <v>0</v>
      </c>
      <c r="F47" s="214">
        <v>0</v>
      </c>
      <c r="G47" s="214">
        <v>0</v>
      </c>
      <c r="H47" s="213">
        <v>0</v>
      </c>
      <c r="I47" s="213">
        <v>0</v>
      </c>
      <c r="J47" s="213">
        <v>0</v>
      </c>
      <c r="K47" s="213">
        <v>0</v>
      </c>
      <c r="L47" s="213">
        <v>0</v>
      </c>
      <c r="M47" s="213">
        <v>0</v>
      </c>
      <c r="N47" s="146">
        <v>0</v>
      </c>
    </row>
    <row r="48" spans="1:14" ht="12.95" customHeight="1" x14ac:dyDescent="0.25">
      <c r="B48" s="170">
        <v>21</v>
      </c>
      <c r="C48" s="236">
        <v>0</v>
      </c>
      <c r="D48" s="237">
        <v>0</v>
      </c>
      <c r="E48" s="238">
        <v>0</v>
      </c>
      <c r="F48" s="212">
        <v>0</v>
      </c>
      <c r="G48" s="212">
        <v>0</v>
      </c>
      <c r="H48" s="211">
        <v>0</v>
      </c>
      <c r="I48" s="211">
        <v>0</v>
      </c>
      <c r="J48" s="211">
        <v>0</v>
      </c>
      <c r="K48" s="211">
        <v>0</v>
      </c>
      <c r="L48" s="211">
        <v>0</v>
      </c>
      <c r="M48" s="211">
        <v>0</v>
      </c>
      <c r="N48" s="143">
        <v>0</v>
      </c>
    </row>
    <row r="49" spans="1:15" ht="12.95" customHeight="1" x14ac:dyDescent="0.25">
      <c r="B49" s="145">
        <v>22</v>
      </c>
      <c r="C49" s="213">
        <v>0</v>
      </c>
      <c r="D49" s="213">
        <v>0</v>
      </c>
      <c r="E49" s="213">
        <v>0</v>
      </c>
      <c r="F49" s="214">
        <v>0</v>
      </c>
      <c r="G49" s="214">
        <v>0</v>
      </c>
      <c r="H49" s="213">
        <v>0</v>
      </c>
      <c r="I49" s="213">
        <v>0</v>
      </c>
      <c r="J49" s="213">
        <v>0</v>
      </c>
      <c r="K49" s="213">
        <v>0</v>
      </c>
      <c r="L49" s="213">
        <v>0</v>
      </c>
      <c r="M49" s="213">
        <v>0</v>
      </c>
      <c r="N49" s="146">
        <v>0</v>
      </c>
    </row>
    <row r="50" spans="1:15" ht="12.95" customHeight="1" x14ac:dyDescent="0.25">
      <c r="B50" s="170">
        <v>23</v>
      </c>
      <c r="C50" s="236">
        <v>0</v>
      </c>
      <c r="D50" s="237">
        <v>0</v>
      </c>
      <c r="E50" s="238">
        <v>0</v>
      </c>
      <c r="F50" s="212">
        <v>0</v>
      </c>
      <c r="G50" s="212">
        <v>0</v>
      </c>
      <c r="H50" s="211">
        <v>0</v>
      </c>
      <c r="I50" s="211">
        <v>0</v>
      </c>
      <c r="J50" s="211">
        <v>0</v>
      </c>
      <c r="K50" s="211">
        <v>0</v>
      </c>
      <c r="L50" s="211">
        <v>0</v>
      </c>
      <c r="M50" s="211">
        <v>0</v>
      </c>
      <c r="N50" s="143">
        <v>0</v>
      </c>
    </row>
    <row r="51" spans="1:15" ht="12.95" customHeight="1" x14ac:dyDescent="0.25">
      <c r="B51" s="145">
        <v>24</v>
      </c>
      <c r="C51" s="213">
        <v>0</v>
      </c>
      <c r="D51" s="213">
        <v>0</v>
      </c>
      <c r="E51" s="213">
        <v>0</v>
      </c>
      <c r="F51" s="214">
        <v>0</v>
      </c>
      <c r="G51" s="214">
        <v>0</v>
      </c>
      <c r="H51" s="213">
        <v>0</v>
      </c>
      <c r="I51" s="213">
        <v>0</v>
      </c>
      <c r="J51" s="213">
        <v>0</v>
      </c>
      <c r="K51" s="213">
        <v>0</v>
      </c>
      <c r="L51" s="213">
        <v>0</v>
      </c>
      <c r="M51" s="213">
        <v>0</v>
      </c>
      <c r="N51" s="146">
        <v>0</v>
      </c>
    </row>
    <row r="52" spans="1:15" ht="12.95" customHeight="1" x14ac:dyDescent="0.25">
      <c r="B52" s="170">
        <v>25</v>
      </c>
      <c r="C52" s="236">
        <v>0</v>
      </c>
      <c r="D52" s="237">
        <v>0</v>
      </c>
      <c r="E52" s="238">
        <v>0</v>
      </c>
      <c r="F52" s="212">
        <v>0</v>
      </c>
      <c r="G52" s="212">
        <v>0</v>
      </c>
      <c r="H52" s="211">
        <v>0</v>
      </c>
      <c r="I52" s="211">
        <v>0</v>
      </c>
      <c r="J52" s="211">
        <v>0</v>
      </c>
      <c r="K52" s="211">
        <v>0</v>
      </c>
      <c r="L52" s="211">
        <v>0</v>
      </c>
      <c r="M52" s="211">
        <v>0</v>
      </c>
      <c r="N52" s="143">
        <v>0</v>
      </c>
    </row>
    <row r="53" spans="1:15" ht="12.95" customHeight="1" x14ac:dyDescent="0.25">
      <c r="B53" s="145">
        <v>26</v>
      </c>
      <c r="C53" s="213">
        <v>0</v>
      </c>
      <c r="D53" s="213">
        <v>0</v>
      </c>
      <c r="E53" s="213">
        <v>0</v>
      </c>
      <c r="F53" s="214">
        <v>0</v>
      </c>
      <c r="G53" s="214">
        <v>0</v>
      </c>
      <c r="H53" s="213">
        <v>0</v>
      </c>
      <c r="I53" s="213">
        <v>0</v>
      </c>
      <c r="J53" s="213">
        <v>0</v>
      </c>
      <c r="K53" s="213">
        <v>0</v>
      </c>
      <c r="L53" s="213">
        <v>0</v>
      </c>
      <c r="M53" s="213">
        <v>0</v>
      </c>
      <c r="N53" s="146">
        <v>0</v>
      </c>
    </row>
    <row r="54" spans="1:15" ht="12.95" customHeight="1" x14ac:dyDescent="0.25">
      <c r="B54" s="170">
        <v>27</v>
      </c>
      <c r="C54" s="236">
        <v>0</v>
      </c>
      <c r="D54" s="237">
        <v>0</v>
      </c>
      <c r="E54" s="238">
        <v>0</v>
      </c>
      <c r="F54" s="212">
        <v>0</v>
      </c>
      <c r="G54" s="212">
        <v>0</v>
      </c>
      <c r="H54" s="211">
        <v>0</v>
      </c>
      <c r="I54" s="211">
        <v>0</v>
      </c>
      <c r="J54" s="211">
        <v>0</v>
      </c>
      <c r="K54" s="211">
        <v>0</v>
      </c>
      <c r="L54" s="211">
        <v>0</v>
      </c>
      <c r="M54" s="211">
        <v>0</v>
      </c>
      <c r="N54" s="143">
        <v>0</v>
      </c>
    </row>
    <row r="55" spans="1:15" ht="12.95" customHeight="1" x14ac:dyDescent="0.25">
      <c r="B55" s="145">
        <v>28</v>
      </c>
      <c r="C55" s="213">
        <v>0</v>
      </c>
      <c r="D55" s="213">
        <v>0</v>
      </c>
      <c r="E55" s="213">
        <v>0</v>
      </c>
      <c r="F55" s="214">
        <v>0</v>
      </c>
      <c r="G55" s="214">
        <v>0</v>
      </c>
      <c r="H55" s="213">
        <v>0</v>
      </c>
      <c r="I55" s="213">
        <v>0</v>
      </c>
      <c r="J55" s="213">
        <v>0</v>
      </c>
      <c r="K55" s="213">
        <v>0</v>
      </c>
      <c r="L55" s="213">
        <v>0</v>
      </c>
      <c r="M55" s="213">
        <v>0</v>
      </c>
      <c r="N55" s="146">
        <v>0</v>
      </c>
    </row>
    <row r="56" spans="1:15" ht="12.95" customHeight="1" x14ac:dyDescent="0.25">
      <c r="B56" s="170">
        <v>29</v>
      </c>
      <c r="C56" s="236">
        <v>0</v>
      </c>
      <c r="D56" s="237">
        <v>0</v>
      </c>
      <c r="E56" s="238">
        <v>0</v>
      </c>
      <c r="F56" s="212">
        <v>0</v>
      </c>
      <c r="G56" s="212">
        <v>0</v>
      </c>
      <c r="H56" s="211">
        <v>0</v>
      </c>
      <c r="I56" s="211">
        <v>0</v>
      </c>
      <c r="J56" s="211">
        <v>0</v>
      </c>
      <c r="K56" s="211">
        <v>0</v>
      </c>
      <c r="L56" s="211">
        <v>0</v>
      </c>
      <c r="M56" s="211">
        <v>0</v>
      </c>
      <c r="N56" s="143">
        <v>0</v>
      </c>
    </row>
    <row r="57" spans="1:15" ht="12.95" customHeight="1" x14ac:dyDescent="0.25">
      <c r="B57" s="145">
        <v>30</v>
      </c>
      <c r="C57" s="213">
        <v>0</v>
      </c>
      <c r="D57" s="213">
        <v>0</v>
      </c>
      <c r="E57" s="213">
        <v>0</v>
      </c>
      <c r="F57" s="214">
        <v>0</v>
      </c>
      <c r="G57" s="214">
        <v>0</v>
      </c>
      <c r="H57" s="213">
        <v>0</v>
      </c>
      <c r="I57" s="213">
        <v>0</v>
      </c>
      <c r="J57" s="213">
        <v>0</v>
      </c>
      <c r="K57" s="213">
        <v>0</v>
      </c>
      <c r="L57" s="213">
        <v>0</v>
      </c>
      <c r="M57" s="213">
        <v>0</v>
      </c>
      <c r="N57" s="146">
        <v>0</v>
      </c>
    </row>
    <row r="58" spans="1:15" ht="15.95" customHeight="1" x14ac:dyDescent="0.25">
      <c r="B58" s="197" t="s">
        <v>60</v>
      </c>
      <c r="C58" s="239">
        <v>80302622.900000006</v>
      </c>
      <c r="D58" s="239">
        <v>89982989.710000008</v>
      </c>
      <c r="E58" s="239">
        <v>170285612.61000001</v>
      </c>
      <c r="F58" s="240">
        <v>0.47157608719366489</v>
      </c>
      <c r="G58" s="240">
        <v>0.52842391280633516</v>
      </c>
      <c r="H58" s="239">
        <v>50250944.859999999</v>
      </c>
      <c r="I58" s="239">
        <v>10101395</v>
      </c>
      <c r="J58" s="239">
        <v>5081215</v>
      </c>
      <c r="K58" s="239">
        <v>5929256.0700000003</v>
      </c>
      <c r="L58" s="239">
        <v>5583526</v>
      </c>
      <c r="M58" s="239">
        <v>50774382</v>
      </c>
      <c r="N58" s="152">
        <v>721</v>
      </c>
    </row>
    <row r="59" spans="1:15" ht="15" customHeight="1" x14ac:dyDescent="0.25">
      <c r="B59" s="154" t="s">
        <v>61</v>
      </c>
      <c r="C59" s="241">
        <v>4226453.8368421057</v>
      </c>
      <c r="D59" s="241">
        <v>4735946.8268421059</v>
      </c>
      <c r="E59" s="241">
        <v>8962400.6636842117</v>
      </c>
      <c r="F59" s="242">
        <v>0.47157608719366489</v>
      </c>
      <c r="G59" s="242">
        <v>0.52842391280633516</v>
      </c>
      <c r="H59" s="241">
        <v>2644786.5715789469</v>
      </c>
      <c r="I59" s="241">
        <v>531652.36842105258</v>
      </c>
      <c r="J59" s="241">
        <v>267432.36842105258</v>
      </c>
      <c r="K59" s="241">
        <v>312066.10894736851</v>
      </c>
      <c r="L59" s="241">
        <v>293869.78947368421</v>
      </c>
      <c r="M59" s="241">
        <v>2672335.8947368418</v>
      </c>
      <c r="N59" s="243">
        <v>37.94736842105263</v>
      </c>
    </row>
    <row r="60" spans="1:15" ht="15" customHeight="1" x14ac:dyDescent="0.25">
      <c r="B60" s="155" t="s">
        <v>62</v>
      </c>
      <c r="C60" s="244">
        <v>11460335</v>
      </c>
      <c r="D60" s="245">
        <v>47002200</v>
      </c>
      <c r="E60" s="246">
        <v>55356256</v>
      </c>
      <c r="F60" s="247" t="s">
        <v>44</v>
      </c>
      <c r="G60" s="247" t="s">
        <v>44</v>
      </c>
      <c r="H60" s="248">
        <v>7776020</v>
      </c>
      <c r="I60" s="248">
        <v>2802750</v>
      </c>
      <c r="J60" s="248">
        <v>1214910</v>
      </c>
      <c r="K60" s="248">
        <v>1723770</v>
      </c>
      <c r="L60" s="248">
        <v>1887973</v>
      </c>
      <c r="M60" s="248">
        <v>45390000</v>
      </c>
      <c r="N60" s="156">
        <v>87</v>
      </c>
    </row>
    <row r="61" spans="1:15" ht="15" customHeight="1" x14ac:dyDescent="0.25">
      <c r="B61" s="157" t="s">
        <v>63</v>
      </c>
      <c r="C61" s="244">
        <v>0</v>
      </c>
      <c r="D61" s="245">
        <v>0</v>
      </c>
      <c r="E61" s="246">
        <v>0</v>
      </c>
      <c r="F61" s="249" t="s">
        <v>44</v>
      </c>
      <c r="G61" s="249" t="s">
        <v>44</v>
      </c>
      <c r="H61" s="250">
        <v>0</v>
      </c>
      <c r="I61" s="250">
        <v>0</v>
      </c>
      <c r="J61" s="250">
        <v>0</v>
      </c>
      <c r="K61" s="250">
        <v>0</v>
      </c>
      <c r="L61" s="250">
        <v>0</v>
      </c>
      <c r="M61" s="250">
        <v>0</v>
      </c>
      <c r="N61" s="158">
        <v>0</v>
      </c>
    </row>
    <row r="62" spans="1:15" ht="18" customHeight="1" x14ac:dyDescent="0.25">
      <c r="A62" s="159"/>
      <c r="B62" s="160"/>
      <c r="C62" s="251"/>
      <c r="D62" s="251"/>
      <c r="E62" s="252"/>
      <c r="F62" s="253"/>
      <c r="G62" s="253"/>
      <c r="H62" s="251"/>
      <c r="I62" s="251"/>
      <c r="J62" s="251"/>
      <c r="K62" s="251"/>
      <c r="L62" s="251"/>
      <c r="M62" s="251"/>
      <c r="N62" s="161"/>
      <c r="O62" s="159"/>
    </row>
    <row r="63" spans="1:15" x14ac:dyDescent="0.25">
      <c r="A63" s="159"/>
      <c r="B63" s="160"/>
      <c r="C63" s="251"/>
      <c r="D63" s="251"/>
      <c r="E63" s="252"/>
      <c r="F63" s="253"/>
      <c r="G63" s="253"/>
      <c r="H63" s="251"/>
      <c r="I63" s="251"/>
      <c r="J63" s="251"/>
      <c r="K63" s="251"/>
      <c r="L63" s="251"/>
      <c r="M63" s="251"/>
      <c r="N63" s="161"/>
      <c r="O63" s="159"/>
    </row>
    <row r="64" spans="1:15" x14ac:dyDescent="0.25">
      <c r="A64" s="159"/>
      <c r="B64" s="160"/>
      <c r="C64" s="251"/>
      <c r="D64" s="251"/>
      <c r="E64" s="252"/>
      <c r="F64" s="253"/>
      <c r="G64" s="253"/>
      <c r="H64" s="251"/>
      <c r="I64" s="251"/>
      <c r="J64" s="251"/>
      <c r="K64" s="251"/>
      <c r="L64" s="251"/>
      <c r="M64" s="251"/>
      <c r="N64" s="161"/>
      <c r="O64" s="159"/>
    </row>
    <row r="65" spans="1:15" x14ac:dyDescent="0.25">
      <c r="A65" s="159"/>
      <c r="B65" s="160"/>
      <c r="C65" s="251"/>
      <c r="D65" s="251"/>
      <c r="E65" s="252"/>
      <c r="F65" s="253"/>
      <c r="G65" s="253"/>
      <c r="H65" s="251"/>
      <c r="I65" s="251"/>
      <c r="J65" s="251"/>
      <c r="K65" s="251"/>
      <c r="L65" s="251"/>
      <c r="M65" s="251"/>
      <c r="N65" s="161"/>
      <c r="O65" s="159"/>
    </row>
    <row r="66" spans="1:15" ht="9.9499999999999993" customHeight="1" x14ac:dyDescent="0.25">
      <c r="A66" s="159"/>
      <c r="B66" s="160"/>
      <c r="C66" s="251"/>
      <c r="D66" s="251"/>
      <c r="E66" s="252"/>
      <c r="F66" s="253"/>
      <c r="G66" s="253"/>
      <c r="H66" s="251"/>
      <c r="I66" s="251"/>
      <c r="J66" s="251"/>
      <c r="K66" s="251"/>
      <c r="L66" s="251"/>
      <c r="M66" s="251"/>
      <c r="N66" s="161"/>
      <c r="O66" s="159"/>
    </row>
    <row r="67" spans="1:15" x14ac:dyDescent="0.25">
      <c r="A67" s="159"/>
      <c r="B67" s="160"/>
      <c r="C67" s="159"/>
      <c r="D67" s="159"/>
      <c r="E67" s="159"/>
      <c r="F67" s="159"/>
      <c r="G67" s="159"/>
      <c r="H67" s="251"/>
      <c r="I67" s="251"/>
      <c r="J67" s="159"/>
      <c r="K67" s="159"/>
      <c r="L67" s="159"/>
      <c r="M67" s="159"/>
      <c r="N67" s="159"/>
      <c r="O67" s="159"/>
    </row>
    <row r="68" spans="1:15" x14ac:dyDescent="0.25">
      <c r="A68" s="159"/>
      <c r="B68" s="160"/>
      <c r="C68" s="251"/>
      <c r="D68" s="251"/>
      <c r="E68" s="252"/>
      <c r="F68" s="253"/>
      <c r="G68" s="253"/>
      <c r="H68" s="251"/>
      <c r="I68" s="251"/>
      <c r="J68" s="251"/>
      <c r="K68" s="251"/>
      <c r="L68" s="251"/>
      <c r="M68" s="251"/>
      <c r="N68" s="161"/>
      <c r="O68" s="159"/>
    </row>
    <row r="69" spans="1:15" ht="18" customHeight="1" x14ac:dyDescent="0.25">
      <c r="A69" s="159"/>
      <c r="B69" s="162"/>
      <c r="C69" s="254"/>
      <c r="D69" s="255"/>
      <c r="E69" s="252"/>
      <c r="F69" s="256"/>
      <c r="G69" s="257"/>
      <c r="H69" s="252"/>
      <c r="I69" s="252"/>
      <c r="J69" s="252"/>
      <c r="K69" s="252"/>
      <c r="L69" s="252"/>
      <c r="M69" s="252"/>
      <c r="N69" s="162"/>
      <c r="O69" s="159"/>
    </row>
    <row r="70" spans="1:15" ht="18" customHeight="1" x14ac:dyDescent="0.25">
      <c r="A70" s="159"/>
      <c r="B70" s="160"/>
      <c r="C70" s="252"/>
      <c r="D70" s="252"/>
      <c r="E70" s="252"/>
      <c r="F70" s="258"/>
      <c r="G70" s="258"/>
      <c r="H70" s="251"/>
      <c r="I70" s="251"/>
      <c r="J70" s="251"/>
      <c r="K70" s="251"/>
      <c r="L70" s="251"/>
      <c r="M70" s="251"/>
      <c r="N70" s="259"/>
      <c r="O70" s="159"/>
    </row>
    <row r="71" spans="1:15" ht="18" customHeight="1" x14ac:dyDescent="0.25">
      <c r="A71" s="159"/>
      <c r="B71" s="160"/>
      <c r="C71" s="252"/>
      <c r="D71" s="252"/>
      <c r="E71" s="252"/>
      <c r="F71" s="163"/>
      <c r="G71" s="163"/>
      <c r="H71" s="251"/>
      <c r="I71" s="251"/>
      <c r="J71" s="251"/>
      <c r="K71" s="251"/>
      <c r="L71" s="251"/>
      <c r="M71" s="251"/>
      <c r="N71" s="161"/>
      <c r="O71" s="159"/>
    </row>
    <row r="72" spans="1:15" ht="18" customHeight="1" x14ac:dyDescent="0.25">
      <c r="A72" s="159"/>
      <c r="B72" s="160"/>
      <c r="C72" s="251"/>
      <c r="D72" s="251"/>
      <c r="E72" s="251"/>
      <c r="F72" s="163"/>
      <c r="G72" s="163"/>
      <c r="H72" s="251"/>
      <c r="I72" s="251"/>
      <c r="J72" s="251"/>
      <c r="K72" s="251"/>
      <c r="L72" s="251"/>
      <c r="M72" s="251"/>
      <c r="N72" s="161"/>
      <c r="O72" s="159"/>
    </row>
    <row r="73" spans="1:15" ht="18" customHeight="1" x14ac:dyDescent="0.25">
      <c r="A73" s="159"/>
      <c r="B73" s="159"/>
      <c r="C73" s="159"/>
      <c r="D73" s="159"/>
      <c r="E73" s="159"/>
      <c r="F73" s="159"/>
      <c r="G73" s="159"/>
      <c r="H73" s="159"/>
      <c r="I73" s="159"/>
      <c r="J73" s="159"/>
      <c r="K73" s="159"/>
      <c r="L73" s="159"/>
      <c r="M73" s="159"/>
      <c r="N73" s="159"/>
      <c r="O73" s="159"/>
    </row>
    <row r="74" spans="1:15" ht="18" customHeight="1" x14ac:dyDescent="0.25">
      <c r="A74" s="159"/>
      <c r="B74" s="159"/>
      <c r="C74" s="159"/>
      <c r="D74" s="159"/>
      <c r="E74" s="159"/>
      <c r="F74" s="159"/>
      <c r="G74" s="159"/>
      <c r="H74" s="159"/>
      <c r="I74" s="159"/>
      <c r="J74" s="159"/>
      <c r="K74" s="159"/>
      <c r="L74" s="159"/>
      <c r="M74" s="159"/>
      <c r="N74" s="159"/>
      <c r="O74" s="159"/>
    </row>
    <row r="75" spans="1:15" ht="18" customHeight="1" x14ac:dyDescent="0.25">
      <c r="A75" s="159"/>
      <c r="B75" s="159"/>
      <c r="C75" s="159"/>
      <c r="D75" s="159"/>
      <c r="E75" s="159"/>
      <c r="F75" s="159"/>
      <c r="G75" s="159"/>
      <c r="H75" s="159"/>
      <c r="I75" s="159"/>
      <c r="J75" s="159"/>
      <c r="K75" s="159"/>
      <c r="L75" s="159"/>
      <c r="M75" s="159"/>
      <c r="N75" s="159"/>
      <c r="O75" s="159"/>
    </row>
    <row r="76" spans="1:15" ht="18" customHeight="1" x14ac:dyDescent="0.25">
      <c r="A76" s="159"/>
      <c r="B76" s="159"/>
      <c r="C76" s="159"/>
      <c r="D76" s="159"/>
      <c r="E76" s="159"/>
      <c r="F76" s="159"/>
      <c r="G76" s="159"/>
      <c r="H76" s="159"/>
      <c r="I76" s="159"/>
      <c r="J76" s="159"/>
      <c r="K76" s="159"/>
      <c r="L76" s="159"/>
      <c r="M76" s="159"/>
      <c r="N76" s="159"/>
      <c r="O76" s="159"/>
    </row>
    <row r="77" spans="1:15" ht="18" customHeight="1" x14ac:dyDescent="0.25">
      <c r="A77" s="159"/>
      <c r="B77" s="164"/>
      <c r="C77" s="159"/>
      <c r="D77" s="159"/>
      <c r="E77" s="159"/>
      <c r="F77" s="159"/>
      <c r="G77" s="159"/>
      <c r="H77" s="159"/>
      <c r="I77" s="164"/>
      <c r="J77" s="159"/>
      <c r="K77" s="159"/>
      <c r="L77" s="159"/>
      <c r="M77" s="159"/>
      <c r="N77" s="159"/>
      <c r="O77" s="159"/>
    </row>
    <row r="78" spans="1:15" ht="18" customHeight="1" x14ac:dyDescent="0.25">
      <c r="A78" s="159"/>
      <c r="B78" s="165"/>
      <c r="C78" s="166"/>
      <c r="D78" s="166"/>
      <c r="E78" s="167"/>
      <c r="F78" s="167"/>
      <c r="G78" s="167"/>
      <c r="H78" s="159"/>
      <c r="I78" s="165"/>
      <c r="J78" s="166"/>
      <c r="K78" s="166"/>
      <c r="L78" s="167"/>
      <c r="M78" s="167"/>
      <c r="N78" s="167"/>
      <c r="O78" s="159"/>
    </row>
    <row r="79" spans="1:15" x14ac:dyDescent="0.25">
      <c r="A79" s="159"/>
      <c r="B79" s="168"/>
      <c r="C79" s="169"/>
      <c r="D79" s="168"/>
      <c r="E79" s="161"/>
      <c r="F79" s="251"/>
      <c r="G79" s="253"/>
      <c r="H79" s="159"/>
      <c r="I79" s="168"/>
      <c r="J79" s="169"/>
      <c r="K79" s="168"/>
      <c r="L79" s="161"/>
      <c r="M79" s="251"/>
      <c r="N79" s="253"/>
      <c r="O79" s="159"/>
    </row>
    <row r="80" spans="1:15" x14ac:dyDescent="0.25">
      <c r="A80" s="159"/>
      <c r="B80" s="168"/>
      <c r="C80" s="169"/>
      <c r="D80" s="168"/>
      <c r="E80" s="161"/>
      <c r="F80" s="251"/>
      <c r="G80" s="253"/>
      <c r="H80" s="159"/>
      <c r="I80" s="168"/>
      <c r="J80" s="169"/>
      <c r="K80" s="168"/>
      <c r="L80" s="161"/>
      <c r="M80" s="251"/>
      <c r="N80" s="253"/>
      <c r="O80" s="159"/>
    </row>
    <row r="81" spans="1:15" x14ac:dyDescent="0.25">
      <c r="A81" s="159"/>
      <c r="B81" s="168"/>
      <c r="C81" s="169"/>
      <c r="D81" s="168"/>
      <c r="E81" s="161"/>
      <c r="F81" s="251"/>
      <c r="G81" s="253"/>
      <c r="H81" s="159"/>
      <c r="I81" s="168"/>
      <c r="J81" s="169"/>
      <c r="K81" s="168"/>
      <c r="L81" s="161"/>
      <c r="M81" s="251"/>
      <c r="N81" s="253"/>
      <c r="O81" s="159"/>
    </row>
    <row r="82" spans="1:15" x14ac:dyDescent="0.25">
      <c r="A82" s="159"/>
      <c r="B82" s="168"/>
      <c r="C82" s="169"/>
      <c r="D82" s="168"/>
      <c r="E82" s="161"/>
      <c r="F82" s="251"/>
      <c r="G82" s="253"/>
      <c r="H82" s="159"/>
      <c r="I82" s="168"/>
      <c r="J82" s="169"/>
      <c r="K82" s="168"/>
      <c r="L82" s="161"/>
      <c r="M82" s="251"/>
      <c r="N82" s="253"/>
      <c r="O82" s="159"/>
    </row>
    <row r="83" spans="1:15" x14ac:dyDescent="0.25">
      <c r="A83" s="159"/>
      <c r="B83" s="168"/>
      <c r="C83" s="169"/>
      <c r="D83" s="168"/>
      <c r="E83" s="161"/>
      <c r="F83" s="251"/>
      <c r="G83" s="253"/>
      <c r="H83" s="159"/>
      <c r="I83" s="168"/>
      <c r="J83" s="169"/>
      <c r="K83" s="168"/>
      <c r="L83" s="161"/>
      <c r="M83" s="251"/>
      <c r="N83" s="253"/>
      <c r="O83" s="159"/>
    </row>
    <row r="84" spans="1:15" x14ac:dyDescent="0.25">
      <c r="A84" s="159"/>
      <c r="B84" s="168"/>
      <c r="C84" s="169"/>
      <c r="D84" s="168"/>
      <c r="E84" s="161"/>
      <c r="F84" s="251"/>
      <c r="G84" s="253"/>
      <c r="H84" s="159"/>
      <c r="I84" s="168"/>
      <c r="J84" s="169"/>
      <c r="K84" s="168"/>
      <c r="L84" s="161"/>
      <c r="M84" s="251"/>
      <c r="N84" s="253"/>
      <c r="O84" s="159"/>
    </row>
    <row r="85" spans="1:15" x14ac:dyDescent="0.25">
      <c r="A85" s="159"/>
      <c r="B85" s="168"/>
      <c r="C85" s="169"/>
      <c r="D85" s="168"/>
      <c r="E85" s="161"/>
      <c r="F85" s="251"/>
      <c r="G85" s="253"/>
      <c r="H85" s="159"/>
      <c r="I85" s="168"/>
      <c r="J85" s="169"/>
      <c r="K85" s="168"/>
      <c r="L85" s="161"/>
      <c r="M85" s="251"/>
      <c r="N85" s="253"/>
      <c r="O85" s="159"/>
    </row>
    <row r="86" spans="1:15" x14ac:dyDescent="0.25">
      <c r="A86" s="159"/>
      <c r="B86" s="168"/>
      <c r="C86" s="169"/>
      <c r="D86" s="168"/>
      <c r="E86" s="161"/>
      <c r="F86" s="251"/>
      <c r="G86" s="253"/>
      <c r="H86" s="159"/>
      <c r="I86" s="168"/>
      <c r="J86" s="169"/>
      <c r="K86" s="168"/>
      <c r="L86" s="161"/>
      <c r="M86" s="251"/>
      <c r="N86" s="253"/>
      <c r="O86" s="159"/>
    </row>
    <row r="87" spans="1:15" x14ac:dyDescent="0.25">
      <c r="A87" s="159"/>
      <c r="B87" s="168"/>
      <c r="C87" s="169"/>
      <c r="D87" s="168"/>
      <c r="E87" s="161"/>
      <c r="F87" s="251"/>
      <c r="G87" s="253"/>
      <c r="H87" s="159"/>
      <c r="I87" s="168"/>
      <c r="J87" s="169"/>
      <c r="K87" s="168"/>
      <c r="L87" s="161"/>
      <c r="M87" s="251"/>
      <c r="N87" s="253"/>
      <c r="O87" s="159"/>
    </row>
    <row r="88" spans="1:15" x14ac:dyDescent="0.25">
      <c r="A88" s="159"/>
      <c r="B88" s="168"/>
      <c r="C88" s="169"/>
      <c r="D88" s="168"/>
      <c r="E88" s="161"/>
      <c r="F88" s="251"/>
      <c r="G88" s="253"/>
      <c r="H88" s="159"/>
      <c r="I88" s="168"/>
      <c r="J88" s="169"/>
      <c r="K88" s="168"/>
      <c r="L88" s="161"/>
      <c r="M88" s="251"/>
      <c r="N88" s="253"/>
      <c r="O88" s="159"/>
    </row>
    <row r="89" spans="1:15" x14ac:dyDescent="0.25">
      <c r="A89" s="159"/>
      <c r="B89" s="159"/>
      <c r="C89" s="159"/>
      <c r="D89" s="159"/>
      <c r="E89" s="159"/>
      <c r="F89" s="159"/>
      <c r="G89" s="159"/>
      <c r="H89" s="159"/>
      <c r="I89" s="159"/>
      <c r="J89" s="159"/>
      <c r="K89" s="159"/>
      <c r="L89" s="159"/>
      <c r="M89" s="159"/>
      <c r="N89" s="159"/>
      <c r="O89" s="159"/>
    </row>
    <row r="90" spans="1:15" x14ac:dyDescent="0.25">
      <c r="A90" s="159"/>
      <c r="B90" s="159"/>
      <c r="C90" s="159"/>
      <c r="D90" s="159"/>
      <c r="E90" s="159"/>
      <c r="F90" s="159"/>
      <c r="G90" s="159"/>
      <c r="H90" s="159"/>
      <c r="I90" s="159"/>
      <c r="J90" s="159"/>
      <c r="K90" s="159"/>
      <c r="L90" s="159"/>
      <c r="M90" s="159"/>
      <c r="N90" s="159"/>
      <c r="O90" s="159"/>
    </row>
    <row r="91" spans="1:15" x14ac:dyDescent="0.25">
      <c r="A91" s="159"/>
      <c r="B91" s="159"/>
      <c r="C91" s="159"/>
      <c r="D91" s="159"/>
      <c r="E91" s="159"/>
      <c r="F91" s="159"/>
      <c r="G91" s="159"/>
      <c r="H91" s="159"/>
      <c r="I91" s="159"/>
      <c r="J91" s="159"/>
      <c r="K91" s="159"/>
      <c r="L91" s="159"/>
      <c r="M91" s="159"/>
      <c r="N91" s="159"/>
      <c r="O91" s="159"/>
    </row>
    <row r="92" spans="1:15" x14ac:dyDescent="0.25">
      <c r="A92" s="159"/>
      <c r="B92" s="159"/>
      <c r="C92" s="159"/>
      <c r="D92" s="159"/>
      <c r="E92" s="159"/>
      <c r="F92" s="159"/>
      <c r="G92" s="159"/>
      <c r="H92" s="159"/>
      <c r="I92" s="159"/>
      <c r="J92" s="159"/>
      <c r="K92" s="159"/>
      <c r="L92" s="159"/>
      <c r="M92" s="159"/>
      <c r="N92" s="159"/>
      <c r="O92" s="159"/>
    </row>
    <row r="93" spans="1:15" x14ac:dyDescent="0.25">
      <c r="A93" s="159"/>
      <c r="B93" s="159"/>
      <c r="C93" s="159"/>
      <c r="D93" s="159"/>
      <c r="E93" s="159"/>
      <c r="F93" s="159"/>
      <c r="G93" s="159"/>
      <c r="H93" s="159"/>
      <c r="I93" s="159"/>
      <c r="J93" s="159"/>
      <c r="K93" s="159"/>
      <c r="L93" s="159"/>
      <c r="M93" s="159"/>
      <c r="N93" s="159"/>
      <c r="O93" s="159"/>
    </row>
    <row r="94" spans="1:15" x14ac:dyDescent="0.25">
      <c r="A94" s="159"/>
      <c r="B94" s="159"/>
      <c r="C94" s="159"/>
      <c r="D94" s="159"/>
      <c r="E94" s="159"/>
      <c r="F94" s="159"/>
      <c r="G94" s="159"/>
      <c r="H94" s="159"/>
      <c r="I94" s="159"/>
      <c r="J94" s="159"/>
      <c r="K94" s="159"/>
      <c r="L94" s="159"/>
      <c r="M94" s="159"/>
      <c r="N94" s="159"/>
      <c r="O94" s="159"/>
    </row>
    <row r="95" spans="1:15" x14ac:dyDescent="0.25">
      <c r="A95" s="159"/>
      <c r="B95" s="159"/>
      <c r="C95" s="159"/>
      <c r="D95" s="159"/>
      <c r="E95" s="159"/>
      <c r="F95" s="159"/>
      <c r="G95" s="159"/>
      <c r="H95" s="159"/>
      <c r="I95" s="159"/>
      <c r="J95" s="159"/>
      <c r="K95" s="159"/>
      <c r="L95" s="159"/>
      <c r="M95" s="159"/>
      <c r="N95" s="159"/>
      <c r="O95" s="159"/>
    </row>
    <row r="96" spans="1:15" x14ac:dyDescent="0.25">
      <c r="A96" s="159"/>
      <c r="B96" s="159"/>
      <c r="C96" s="159"/>
      <c r="D96" s="159"/>
      <c r="E96" s="159"/>
      <c r="F96" s="159"/>
      <c r="G96" s="159"/>
      <c r="H96" s="159"/>
      <c r="I96" s="159"/>
      <c r="J96" s="159"/>
      <c r="K96" s="159"/>
      <c r="L96" s="159"/>
      <c r="M96" s="159"/>
      <c r="N96" s="159"/>
      <c r="O96" s="159"/>
    </row>
    <row r="97" spans="1:15" x14ac:dyDescent="0.25">
      <c r="A97" s="159"/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</row>
    <row r="98" spans="1:15" x14ac:dyDescent="0.25">
      <c r="A98" s="159"/>
      <c r="B98" s="159"/>
      <c r="C98" s="159"/>
      <c r="D98" s="159"/>
      <c r="E98" s="159"/>
      <c r="F98" s="159"/>
      <c r="G98" s="159"/>
      <c r="H98" s="159"/>
      <c r="I98" s="159"/>
      <c r="J98" s="159"/>
      <c r="K98" s="159"/>
      <c r="L98" s="159"/>
      <c r="M98" s="159"/>
      <c r="N98" s="159"/>
      <c r="O98" s="159"/>
    </row>
    <row r="99" spans="1:15" x14ac:dyDescent="0.25">
      <c r="A99" s="159"/>
      <c r="B99" s="159"/>
      <c r="C99" s="159"/>
      <c r="D99" s="159"/>
      <c r="E99" s="159"/>
      <c r="F99" s="159"/>
      <c r="G99" s="159"/>
      <c r="H99" s="159"/>
      <c r="I99" s="159"/>
      <c r="J99" s="159"/>
      <c r="K99" s="159"/>
      <c r="L99" s="159"/>
      <c r="M99" s="159"/>
      <c r="N99" s="159"/>
      <c r="O99" s="159"/>
    </row>
    <row r="100" spans="1:15" x14ac:dyDescent="0.25">
      <c r="A100" s="159"/>
      <c r="B100" s="159"/>
      <c r="C100" s="159"/>
      <c r="D100" s="159"/>
      <c r="E100" s="159"/>
      <c r="F100" s="159"/>
      <c r="G100" s="159"/>
      <c r="H100" s="159"/>
      <c r="I100" s="159"/>
      <c r="J100" s="159"/>
      <c r="K100" s="159"/>
      <c r="L100" s="159"/>
      <c r="M100" s="159"/>
      <c r="N100" s="159"/>
      <c r="O100" s="159"/>
    </row>
    <row r="101" spans="1:15" x14ac:dyDescent="0.25">
      <c r="A101" s="159"/>
      <c r="B101" s="159"/>
      <c r="C101" s="159"/>
      <c r="D101" s="159"/>
      <c r="E101" s="159"/>
      <c r="F101" s="159"/>
      <c r="G101" s="159"/>
      <c r="H101" s="159"/>
      <c r="I101" s="159"/>
      <c r="J101" s="159"/>
      <c r="K101" s="159"/>
      <c r="L101" s="159"/>
      <c r="M101" s="159"/>
      <c r="N101" s="159"/>
      <c r="O101" s="159"/>
    </row>
    <row r="102" spans="1:15" x14ac:dyDescent="0.25">
      <c r="A102" s="159"/>
      <c r="B102" s="159"/>
      <c r="C102" s="159"/>
      <c r="D102" s="159"/>
      <c r="E102" s="159"/>
      <c r="F102" s="159"/>
      <c r="G102" s="159"/>
      <c r="H102" s="159"/>
      <c r="I102" s="159"/>
      <c r="J102" s="159"/>
      <c r="K102" s="159"/>
      <c r="L102" s="159"/>
      <c r="M102" s="159"/>
      <c r="N102" s="159"/>
      <c r="O102" s="159"/>
    </row>
    <row r="103" spans="1:15" x14ac:dyDescent="0.25">
      <c r="A103" s="159"/>
      <c r="B103" s="159"/>
      <c r="C103" s="159"/>
      <c r="D103" s="159"/>
      <c r="E103" s="159"/>
      <c r="F103" s="159"/>
      <c r="G103" s="159"/>
      <c r="H103" s="159"/>
      <c r="I103" s="159"/>
      <c r="J103" s="159"/>
      <c r="K103" s="159"/>
      <c r="L103" s="159"/>
      <c r="M103" s="159"/>
      <c r="N103" s="159"/>
      <c r="O103" s="159"/>
    </row>
    <row r="104" spans="1:15" x14ac:dyDescent="0.25">
      <c r="A104" s="159"/>
      <c r="B104" s="159"/>
      <c r="C104" s="159"/>
      <c r="D104" s="159"/>
      <c r="E104" s="159"/>
      <c r="F104" s="159"/>
      <c r="G104" s="159"/>
      <c r="H104" s="159"/>
      <c r="I104" s="159"/>
      <c r="J104" s="159"/>
      <c r="K104" s="159"/>
      <c r="L104" s="159"/>
      <c r="M104" s="159"/>
      <c r="N104" s="159"/>
      <c r="O104" s="159"/>
    </row>
    <row r="105" spans="1:15" x14ac:dyDescent="0.25">
      <c r="A105" s="159"/>
      <c r="B105" s="159"/>
      <c r="C105" s="159"/>
      <c r="D105" s="159"/>
      <c r="E105" s="159"/>
      <c r="F105" s="159"/>
      <c r="G105" s="159"/>
      <c r="H105" s="159"/>
      <c r="I105" s="159"/>
      <c r="J105" s="159"/>
      <c r="K105" s="159"/>
      <c r="L105" s="159"/>
      <c r="M105" s="159"/>
      <c r="N105" s="159"/>
      <c r="O105" s="159"/>
    </row>
    <row r="106" spans="1:15" x14ac:dyDescent="0.25">
      <c r="A106" s="159"/>
      <c r="B106" s="159"/>
      <c r="C106" s="159"/>
      <c r="D106" s="159"/>
      <c r="E106" s="159"/>
      <c r="F106" s="159"/>
      <c r="G106" s="159"/>
      <c r="H106" s="159"/>
      <c r="I106" s="159"/>
      <c r="J106" s="159"/>
      <c r="K106" s="159"/>
      <c r="L106" s="159"/>
      <c r="M106" s="159"/>
      <c r="N106" s="159"/>
      <c r="O106" s="159"/>
    </row>
    <row r="107" spans="1:15" x14ac:dyDescent="0.25">
      <c r="A107" s="159"/>
      <c r="B107" s="159"/>
      <c r="C107" s="159"/>
      <c r="D107" s="159"/>
      <c r="E107" s="159"/>
      <c r="F107" s="159"/>
      <c r="G107" s="159"/>
      <c r="H107" s="159"/>
      <c r="I107" s="159"/>
      <c r="J107" s="159"/>
      <c r="K107" s="159"/>
      <c r="L107" s="159"/>
      <c r="M107" s="159"/>
      <c r="N107" s="159"/>
      <c r="O107" s="159"/>
    </row>
    <row r="108" spans="1:15" x14ac:dyDescent="0.25">
      <c r="A108" s="159"/>
      <c r="B108" s="159"/>
      <c r="C108" s="159"/>
      <c r="D108" s="159"/>
      <c r="E108" s="159"/>
      <c r="F108" s="159"/>
      <c r="G108" s="159"/>
      <c r="H108" s="159"/>
      <c r="I108" s="159"/>
      <c r="J108" s="159"/>
      <c r="K108" s="159"/>
      <c r="L108" s="159"/>
      <c r="M108" s="159"/>
      <c r="N108" s="159"/>
      <c r="O108" s="159"/>
    </row>
    <row r="109" spans="1:15" x14ac:dyDescent="0.25">
      <c r="A109" s="159"/>
      <c r="B109" s="159"/>
      <c r="C109" s="159"/>
      <c r="D109" s="159"/>
      <c r="E109" s="159"/>
      <c r="F109" s="159"/>
      <c r="G109" s="159"/>
      <c r="H109" s="159"/>
      <c r="I109" s="159"/>
      <c r="J109" s="159"/>
      <c r="K109" s="159"/>
      <c r="L109" s="159"/>
      <c r="M109" s="159"/>
      <c r="N109" s="159"/>
      <c r="O109" s="159"/>
    </row>
    <row r="110" spans="1:15" x14ac:dyDescent="0.25">
      <c r="A110" s="159"/>
      <c r="B110" s="159"/>
      <c r="C110" s="159"/>
      <c r="D110" s="159"/>
      <c r="E110" s="159"/>
      <c r="F110" s="159"/>
      <c r="G110" s="159"/>
      <c r="H110" s="159"/>
      <c r="I110" s="159"/>
      <c r="J110" s="159"/>
      <c r="K110" s="159"/>
      <c r="L110" s="159"/>
      <c r="M110" s="159"/>
      <c r="N110" s="159"/>
      <c r="O110" s="159"/>
    </row>
    <row r="111" spans="1:15" x14ac:dyDescent="0.25">
      <c r="A111" s="159"/>
      <c r="B111" s="159"/>
      <c r="C111" s="159"/>
      <c r="D111" s="159"/>
      <c r="E111" s="159"/>
      <c r="F111" s="159"/>
      <c r="G111" s="159"/>
      <c r="H111" s="159"/>
      <c r="I111" s="159"/>
      <c r="J111" s="159"/>
      <c r="K111" s="159"/>
      <c r="L111" s="159"/>
      <c r="M111" s="159"/>
      <c r="N111" s="159"/>
      <c r="O111" s="159"/>
    </row>
    <row r="112" spans="1:15" x14ac:dyDescent="0.25">
      <c r="A112" s="159"/>
      <c r="B112" s="159"/>
      <c r="C112" s="159"/>
      <c r="D112" s="159"/>
      <c r="E112" s="159"/>
      <c r="F112" s="159"/>
      <c r="G112" s="159"/>
      <c r="H112" s="159"/>
      <c r="I112" s="159"/>
      <c r="J112" s="159"/>
      <c r="K112" s="159"/>
      <c r="L112" s="159"/>
      <c r="M112" s="159"/>
      <c r="N112" s="159"/>
      <c r="O112" s="159"/>
    </row>
    <row r="113" spans="1:15" x14ac:dyDescent="0.25">
      <c r="A113" s="159"/>
      <c r="B113" s="159"/>
      <c r="C113" s="159"/>
      <c r="D113" s="159"/>
      <c r="E113" s="159"/>
      <c r="F113" s="159"/>
      <c r="G113" s="159"/>
      <c r="H113" s="159"/>
      <c r="I113" s="159"/>
      <c r="J113" s="159"/>
      <c r="K113" s="159"/>
      <c r="L113" s="159"/>
      <c r="M113" s="159"/>
      <c r="N113" s="159"/>
      <c r="O113" s="159"/>
    </row>
    <row r="114" spans="1:15" x14ac:dyDescent="0.25">
      <c r="A114" s="159"/>
      <c r="B114" s="159"/>
      <c r="C114" s="159"/>
      <c r="D114" s="159"/>
      <c r="E114" s="159"/>
      <c r="F114" s="159"/>
      <c r="G114" s="159"/>
      <c r="H114" s="159"/>
      <c r="I114" s="159"/>
      <c r="J114" s="159"/>
      <c r="K114" s="159"/>
      <c r="L114" s="159"/>
      <c r="M114" s="159"/>
      <c r="N114" s="159"/>
      <c r="O114" s="159"/>
    </row>
    <row r="115" spans="1:15" x14ac:dyDescent="0.25">
      <c r="A115" s="159"/>
      <c r="B115" s="159"/>
      <c r="C115" s="159"/>
      <c r="D115" s="159"/>
      <c r="E115" s="159"/>
      <c r="F115" s="159"/>
      <c r="G115" s="159"/>
      <c r="H115" s="159"/>
      <c r="I115" s="159"/>
      <c r="J115" s="159"/>
      <c r="K115" s="159"/>
      <c r="L115" s="159"/>
      <c r="M115" s="159"/>
      <c r="N115" s="159"/>
      <c r="O115" s="159"/>
    </row>
    <row r="116" spans="1:15" x14ac:dyDescent="0.25">
      <c r="A116" s="159"/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</row>
    <row r="117" spans="1:15" x14ac:dyDescent="0.25">
      <c r="A117" s="159"/>
      <c r="B117" s="159"/>
      <c r="C117" s="159"/>
      <c r="D117" s="159"/>
      <c r="E117" s="159"/>
      <c r="F117" s="159"/>
      <c r="G117" s="159"/>
      <c r="H117" s="159"/>
      <c r="I117" s="159"/>
      <c r="J117" s="159"/>
      <c r="K117" s="159"/>
      <c r="L117" s="159"/>
      <c r="M117" s="159"/>
      <c r="N117" s="159"/>
      <c r="O117" s="159"/>
    </row>
    <row r="118" spans="1:15" x14ac:dyDescent="0.25">
      <c r="A118" s="159"/>
      <c r="B118" s="159"/>
      <c r="C118" s="159"/>
      <c r="D118" s="159"/>
      <c r="E118" s="159"/>
      <c r="F118" s="159"/>
      <c r="G118" s="159"/>
      <c r="H118" s="159"/>
      <c r="I118" s="159"/>
      <c r="J118" s="159"/>
      <c r="K118" s="159"/>
      <c r="L118" s="159"/>
      <c r="M118" s="159"/>
      <c r="N118" s="159"/>
      <c r="O118" s="159"/>
    </row>
    <row r="119" spans="1:15" x14ac:dyDescent="0.25">
      <c r="A119" s="159"/>
      <c r="B119" s="159"/>
      <c r="C119" s="159"/>
      <c r="D119" s="159"/>
      <c r="E119" s="159"/>
      <c r="F119" s="159"/>
      <c r="G119" s="159"/>
      <c r="H119" s="159"/>
      <c r="I119" s="159"/>
      <c r="J119" s="159"/>
      <c r="K119" s="159"/>
      <c r="L119" s="159"/>
      <c r="M119" s="159"/>
      <c r="N119" s="159"/>
      <c r="O119" s="159"/>
    </row>
    <row r="120" spans="1:15" x14ac:dyDescent="0.25">
      <c r="A120" s="159"/>
      <c r="B120" s="159"/>
      <c r="C120" s="159"/>
      <c r="D120" s="159"/>
      <c r="E120" s="159"/>
      <c r="F120" s="159"/>
      <c r="G120" s="159"/>
      <c r="H120" s="159"/>
      <c r="I120" s="159"/>
      <c r="J120" s="159"/>
      <c r="K120" s="159"/>
      <c r="L120" s="159"/>
      <c r="M120" s="159"/>
      <c r="N120" s="159"/>
      <c r="O120" s="159"/>
    </row>
    <row r="121" spans="1:15" x14ac:dyDescent="0.25">
      <c r="A121" s="159"/>
      <c r="B121" s="159"/>
      <c r="C121" s="159"/>
      <c r="D121" s="159"/>
      <c r="E121" s="159"/>
      <c r="F121" s="159"/>
      <c r="G121" s="159"/>
      <c r="H121" s="159"/>
      <c r="I121" s="159"/>
      <c r="J121" s="159"/>
      <c r="K121" s="159"/>
      <c r="L121" s="159"/>
      <c r="M121" s="159"/>
      <c r="N121" s="159"/>
      <c r="O121" s="159"/>
    </row>
    <row r="122" spans="1:15" x14ac:dyDescent="0.25">
      <c r="A122" s="159"/>
      <c r="B122" s="159"/>
      <c r="C122" s="159"/>
      <c r="D122" s="159"/>
      <c r="E122" s="159"/>
      <c r="F122" s="159"/>
      <c r="G122" s="159"/>
      <c r="H122" s="159"/>
      <c r="I122" s="159"/>
      <c r="J122" s="159"/>
      <c r="K122" s="159"/>
      <c r="L122" s="159"/>
      <c r="M122" s="159"/>
      <c r="N122" s="159"/>
      <c r="O122" s="159"/>
    </row>
    <row r="123" spans="1:15" x14ac:dyDescent="0.25">
      <c r="A123" s="159"/>
      <c r="B123" s="159"/>
      <c r="C123" s="159"/>
      <c r="D123" s="159"/>
      <c r="E123" s="159"/>
      <c r="F123" s="159"/>
      <c r="G123" s="159"/>
      <c r="H123" s="159"/>
      <c r="I123" s="159"/>
      <c r="J123" s="159"/>
      <c r="K123" s="159"/>
      <c r="L123" s="159"/>
      <c r="M123" s="159"/>
      <c r="N123" s="159"/>
      <c r="O123" s="159"/>
    </row>
    <row r="124" spans="1:15" x14ac:dyDescent="0.25">
      <c r="A124" s="159"/>
      <c r="B124" s="159"/>
      <c r="C124" s="159"/>
      <c r="D124" s="159"/>
      <c r="E124" s="159"/>
      <c r="F124" s="159"/>
      <c r="G124" s="159"/>
      <c r="H124" s="159"/>
      <c r="I124" s="159"/>
      <c r="J124" s="159"/>
      <c r="K124" s="159"/>
      <c r="L124" s="159"/>
      <c r="M124" s="159"/>
      <c r="N124" s="159"/>
      <c r="O124" s="159"/>
    </row>
    <row r="125" spans="1:15" x14ac:dyDescent="0.25">
      <c r="A125" s="159"/>
      <c r="B125" s="159"/>
      <c r="C125" s="159"/>
      <c r="D125" s="159"/>
      <c r="E125" s="159"/>
      <c r="F125" s="159"/>
      <c r="G125" s="159"/>
      <c r="H125" s="159"/>
      <c r="I125" s="159"/>
      <c r="J125" s="159"/>
      <c r="K125" s="159"/>
      <c r="L125" s="159"/>
      <c r="M125" s="159"/>
      <c r="N125" s="159"/>
      <c r="O125" s="159"/>
    </row>
    <row r="126" spans="1:15" x14ac:dyDescent="0.25">
      <c r="A126" s="159"/>
      <c r="B126" s="159"/>
      <c r="C126" s="159"/>
      <c r="D126" s="159"/>
      <c r="E126" s="159"/>
      <c r="F126" s="159"/>
      <c r="G126" s="159"/>
      <c r="H126" s="159"/>
      <c r="I126" s="159"/>
      <c r="J126" s="159"/>
      <c r="K126" s="159"/>
      <c r="L126" s="159"/>
      <c r="M126" s="159"/>
      <c r="N126" s="159"/>
      <c r="O126" s="159"/>
    </row>
    <row r="127" spans="1:15" x14ac:dyDescent="0.25">
      <c r="A127" s="159"/>
      <c r="B127" s="159"/>
      <c r="C127" s="159"/>
      <c r="D127" s="159"/>
      <c r="E127" s="159"/>
      <c r="F127" s="159"/>
      <c r="G127" s="159"/>
      <c r="H127" s="159"/>
      <c r="I127" s="159"/>
      <c r="J127" s="159"/>
      <c r="K127" s="159"/>
      <c r="L127" s="159"/>
      <c r="M127" s="159"/>
      <c r="N127" s="159"/>
      <c r="O127" s="159"/>
    </row>
    <row r="128" spans="1:15" x14ac:dyDescent="0.25">
      <c r="A128" s="159"/>
      <c r="B128" s="159"/>
      <c r="C128" s="159"/>
      <c r="D128" s="159"/>
      <c r="E128" s="159"/>
      <c r="F128" s="159"/>
      <c r="G128" s="159"/>
      <c r="H128" s="159"/>
      <c r="I128" s="159"/>
      <c r="J128" s="159"/>
      <c r="K128" s="159"/>
      <c r="L128" s="159"/>
      <c r="M128" s="159"/>
      <c r="N128" s="159"/>
      <c r="O128" s="159"/>
    </row>
    <row r="129" spans="1:15" x14ac:dyDescent="0.25">
      <c r="A129" s="159"/>
      <c r="B129" s="159"/>
      <c r="C129" s="159"/>
      <c r="D129" s="159"/>
      <c r="E129" s="159"/>
      <c r="F129" s="159"/>
      <c r="G129" s="159"/>
      <c r="H129" s="159"/>
      <c r="I129" s="159"/>
      <c r="J129" s="159"/>
      <c r="K129" s="159"/>
      <c r="L129" s="159"/>
      <c r="M129" s="159"/>
      <c r="N129" s="159"/>
      <c r="O129" s="159"/>
    </row>
    <row r="130" spans="1:15" x14ac:dyDescent="0.25">
      <c r="A130" s="159"/>
      <c r="B130" s="159"/>
      <c r="C130" s="159"/>
      <c r="D130" s="159"/>
      <c r="E130" s="159"/>
      <c r="F130" s="159"/>
      <c r="G130" s="159"/>
      <c r="H130" s="159"/>
      <c r="I130" s="159"/>
      <c r="J130" s="159"/>
      <c r="K130" s="159"/>
      <c r="L130" s="159"/>
      <c r="M130" s="159"/>
      <c r="N130" s="159"/>
      <c r="O130" s="159"/>
    </row>
  </sheetData>
  <autoFilter ref="B27:N61" xr:uid="{00000000-0001-0000-0000-000000000000}"/>
  <mergeCells count="23">
    <mergeCell ref="B26:N26"/>
    <mergeCell ref="B9:G9"/>
    <mergeCell ref="B23:C23"/>
    <mergeCell ref="B3:N3"/>
    <mergeCell ref="E7:G7"/>
    <mergeCell ref="L6:N6"/>
    <mergeCell ref="B6:D6"/>
    <mergeCell ref="B20:G20"/>
    <mergeCell ref="B5:D5"/>
    <mergeCell ref="I9:N9"/>
    <mergeCell ref="B7:D7"/>
    <mergeCell ref="B25:C25"/>
    <mergeCell ref="L5:N5"/>
    <mergeCell ref="B22:C22"/>
    <mergeCell ref="E6:G6"/>
    <mergeCell ref="B21:C21"/>
    <mergeCell ref="B2:N2"/>
    <mergeCell ref="L7:N7"/>
    <mergeCell ref="I6:K6"/>
    <mergeCell ref="B24:C24"/>
    <mergeCell ref="E5:G5"/>
    <mergeCell ref="I7:K7"/>
    <mergeCell ref="I5:K5"/>
  </mergeCells>
  <pageMargins left="0.2" right="0.2" top="0.25" bottom="0.25" header="0.1" footer="0.1"/>
  <pageSetup scale="71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Q43"/>
  <sheetViews>
    <sheetView workbookViewId="0">
      <selection activeCell="E38" sqref="E38"/>
    </sheetView>
  </sheetViews>
  <sheetFormatPr baseColWidth="10" defaultColWidth="9.140625" defaultRowHeight="15" x14ac:dyDescent="0.25"/>
  <cols>
    <col min="1" max="1" width="4" style="471" customWidth="1"/>
    <col min="2" max="2" width="7" style="471" customWidth="1"/>
    <col min="3" max="3" width="12" style="471" customWidth="1"/>
    <col min="4" max="4" width="14" style="471" customWidth="1"/>
    <col min="5" max="5" width="17" style="471" customWidth="1"/>
    <col min="6" max="6" width="16" style="471" customWidth="1"/>
    <col min="7" max="7" width="18" style="471" customWidth="1"/>
    <col min="8" max="8" width="15" style="471" customWidth="1"/>
    <col min="9" max="9" width="18.140625" style="471" customWidth="1"/>
    <col min="10" max="10" width="3" style="471" customWidth="1"/>
    <col min="11" max="11" width="27" style="471" bestFit="1" customWidth="1"/>
    <col min="12" max="12" width="8" style="471" customWidth="1"/>
    <col min="13" max="13" width="27" style="471" customWidth="1"/>
    <col min="14" max="14" width="24" style="471" customWidth="1"/>
    <col min="15" max="15" width="14" style="471" customWidth="1"/>
    <col min="16" max="16" width="18" style="471" customWidth="1"/>
    <col min="17" max="17" width="13" style="471" customWidth="1"/>
  </cols>
  <sheetData>
    <row r="2" spans="2:16" ht="21" customHeight="1" x14ac:dyDescent="0.35">
      <c r="B2" s="113" t="s">
        <v>64</v>
      </c>
    </row>
    <row r="3" spans="2:16" x14ac:dyDescent="0.25">
      <c r="B3" s="114" t="s">
        <v>65</v>
      </c>
    </row>
    <row r="5" spans="2:16" x14ac:dyDescent="0.25">
      <c r="B5" s="566" t="s">
        <v>66</v>
      </c>
      <c r="C5" s="555"/>
      <c r="D5" s="551"/>
      <c r="E5" s="566" t="s">
        <v>67</v>
      </c>
      <c r="F5" s="551"/>
      <c r="G5" s="566" t="s">
        <v>68</v>
      </c>
      <c r="H5" s="551"/>
      <c r="I5" s="566" t="s">
        <v>69</v>
      </c>
      <c r="J5" s="551"/>
      <c r="K5" s="566" t="s">
        <v>70</v>
      </c>
      <c r="L5" s="551"/>
      <c r="M5" s="566" t="s">
        <v>71</v>
      </c>
      <c r="N5" s="551"/>
      <c r="O5" s="566" t="s">
        <v>72</v>
      </c>
      <c r="P5" s="551"/>
    </row>
    <row r="6" spans="2:16" ht="18.75" customHeight="1" x14ac:dyDescent="0.25">
      <c r="B6" s="567">
        <v>119524699</v>
      </c>
      <c r="C6" s="555"/>
      <c r="D6" s="551"/>
      <c r="E6" s="567">
        <v>110671013</v>
      </c>
      <c r="F6" s="551"/>
      <c r="G6" s="567">
        <v>8853686</v>
      </c>
      <c r="H6" s="551"/>
      <c r="I6" s="567">
        <v>78892</v>
      </c>
      <c r="J6" s="551"/>
      <c r="K6" s="570">
        <v>6438</v>
      </c>
      <c r="L6" s="551"/>
      <c r="M6" s="567">
        <v>8537478.5</v>
      </c>
      <c r="N6" s="551"/>
      <c r="O6" s="571" t="s">
        <v>73</v>
      </c>
      <c r="P6" s="551"/>
    </row>
    <row r="9" spans="2:16" x14ac:dyDescent="0.25">
      <c r="B9" s="569" t="s">
        <v>74</v>
      </c>
      <c r="C9" s="545"/>
      <c r="D9" s="545"/>
      <c r="E9" s="545"/>
      <c r="F9" s="545"/>
      <c r="G9" s="545"/>
      <c r="H9" s="545"/>
      <c r="I9" s="545"/>
      <c r="K9" s="569" t="s">
        <v>75</v>
      </c>
      <c r="L9" s="545"/>
      <c r="M9" s="545"/>
      <c r="N9" s="545"/>
      <c r="O9" s="545"/>
      <c r="P9" s="545"/>
    </row>
    <row r="10" spans="2:16" x14ac:dyDescent="0.25">
      <c r="B10" s="115" t="s">
        <v>48</v>
      </c>
      <c r="C10" s="115" t="s">
        <v>76</v>
      </c>
      <c r="D10" s="115" t="s">
        <v>77</v>
      </c>
      <c r="E10" s="115" t="s">
        <v>78</v>
      </c>
      <c r="F10" s="115" t="s">
        <v>79</v>
      </c>
      <c r="G10" s="115" t="s">
        <v>80</v>
      </c>
      <c r="H10" s="115" t="s">
        <v>81</v>
      </c>
      <c r="I10" s="115" t="s">
        <v>82</v>
      </c>
      <c r="K10" s="115" t="s">
        <v>83</v>
      </c>
      <c r="L10" s="115" t="s">
        <v>84</v>
      </c>
      <c r="M10" s="115" t="s">
        <v>78</v>
      </c>
      <c r="N10" s="115" t="s">
        <v>80</v>
      </c>
      <c r="O10" s="115" t="s">
        <v>81</v>
      </c>
      <c r="P10" s="115" t="s">
        <v>85</v>
      </c>
    </row>
    <row r="11" spans="2:16" x14ac:dyDescent="0.25">
      <c r="B11" s="116">
        <v>1</v>
      </c>
      <c r="C11" s="117" t="s">
        <v>86</v>
      </c>
      <c r="D11" s="118">
        <v>411</v>
      </c>
      <c r="E11" s="260">
        <v>6282219</v>
      </c>
      <c r="F11" s="260">
        <v>502578</v>
      </c>
      <c r="G11" s="260">
        <v>6784797</v>
      </c>
      <c r="H11" s="260">
        <v>16508.02189781022</v>
      </c>
      <c r="I11" s="119">
        <v>5.6764811430313658E-2</v>
      </c>
      <c r="K11" s="120" t="s">
        <v>87</v>
      </c>
      <c r="L11" s="118">
        <v>1888</v>
      </c>
      <c r="M11" s="260">
        <v>53977788</v>
      </c>
      <c r="N11" s="260">
        <v>58296004</v>
      </c>
      <c r="O11" s="260">
        <v>30877.12076271186</v>
      </c>
      <c r="P11" s="119">
        <v>0.48773186201456148</v>
      </c>
    </row>
    <row r="12" spans="2:16" x14ac:dyDescent="0.25">
      <c r="B12" s="116">
        <v>2</v>
      </c>
      <c r="C12" s="117" t="s">
        <v>88</v>
      </c>
      <c r="D12" s="118">
        <v>374</v>
      </c>
      <c r="E12" s="260">
        <v>5447496</v>
      </c>
      <c r="F12" s="260">
        <v>435805</v>
      </c>
      <c r="G12" s="260">
        <v>5883301</v>
      </c>
      <c r="H12" s="260">
        <v>15730.7513368984</v>
      </c>
      <c r="I12" s="119">
        <v>4.9222470746401972E-2</v>
      </c>
      <c r="K12" s="120" t="s">
        <v>89</v>
      </c>
      <c r="L12" s="118">
        <v>1481</v>
      </c>
      <c r="M12" s="260">
        <v>32326551</v>
      </c>
      <c r="N12" s="260">
        <v>34912676</v>
      </c>
      <c r="O12" s="260">
        <v>23573.717758271439</v>
      </c>
      <c r="P12" s="119">
        <v>0.29209591232687399</v>
      </c>
    </row>
    <row r="13" spans="2:16" x14ac:dyDescent="0.25">
      <c r="B13" s="116">
        <v>3</v>
      </c>
      <c r="C13" s="117" t="s">
        <v>90</v>
      </c>
      <c r="D13" s="118">
        <v>408</v>
      </c>
      <c r="E13" s="260">
        <v>5692967</v>
      </c>
      <c r="F13" s="260">
        <v>455433</v>
      </c>
      <c r="G13" s="260">
        <v>6148400</v>
      </c>
      <c r="H13" s="260">
        <v>15069.607843137261</v>
      </c>
      <c r="I13" s="119">
        <v>5.1440414001795561E-2</v>
      </c>
      <c r="K13" s="120" t="s">
        <v>91</v>
      </c>
      <c r="L13" s="118">
        <v>1526</v>
      </c>
      <c r="M13" s="260">
        <v>10248185</v>
      </c>
      <c r="N13" s="260">
        <v>11068035</v>
      </c>
      <c r="O13" s="260">
        <v>7252.9718217562258</v>
      </c>
      <c r="P13" s="119">
        <v>9.2600400524748452E-2</v>
      </c>
    </row>
    <row r="14" spans="2:16" x14ac:dyDescent="0.25">
      <c r="B14" s="116">
        <v>4</v>
      </c>
      <c r="C14" s="117" t="s">
        <v>92</v>
      </c>
      <c r="D14" s="118">
        <v>400</v>
      </c>
      <c r="E14" s="260">
        <v>5913241</v>
      </c>
      <c r="F14" s="260">
        <v>473060</v>
      </c>
      <c r="G14" s="260">
        <v>6386301</v>
      </c>
      <c r="H14" s="260">
        <v>15965.752500000001</v>
      </c>
      <c r="I14" s="119">
        <v>5.3430805962540011E-2</v>
      </c>
      <c r="K14" s="120" t="s">
        <v>93</v>
      </c>
      <c r="L14" s="118">
        <v>231</v>
      </c>
      <c r="M14" s="260">
        <v>8833329</v>
      </c>
      <c r="N14" s="260">
        <v>9540001</v>
      </c>
      <c r="O14" s="260">
        <v>41298.705627705633</v>
      </c>
      <c r="P14" s="119">
        <v>7.9816147455849265E-2</v>
      </c>
    </row>
    <row r="15" spans="2:16" x14ac:dyDescent="0.25">
      <c r="B15" s="116">
        <v>5</v>
      </c>
      <c r="C15" s="117" t="s">
        <v>94</v>
      </c>
      <c r="D15" s="118">
        <v>519</v>
      </c>
      <c r="E15" s="260">
        <v>10334818</v>
      </c>
      <c r="F15" s="260">
        <v>826782</v>
      </c>
      <c r="G15" s="260">
        <v>11161600</v>
      </c>
      <c r="H15" s="260">
        <v>21505.97302504817</v>
      </c>
      <c r="I15" s="119">
        <v>9.3383209440251344E-2</v>
      </c>
      <c r="K15" s="120" t="s">
        <v>95</v>
      </c>
      <c r="L15" s="118">
        <v>780</v>
      </c>
      <c r="M15" s="260">
        <v>3885530</v>
      </c>
      <c r="N15" s="260">
        <v>4196383</v>
      </c>
      <c r="O15" s="260">
        <v>5379.9782051282054</v>
      </c>
      <c r="P15" s="119">
        <v>3.5108919203385727E-2</v>
      </c>
    </row>
    <row r="16" spans="2:16" x14ac:dyDescent="0.25">
      <c r="B16" s="116">
        <v>6</v>
      </c>
      <c r="C16" s="117" t="s">
        <v>96</v>
      </c>
      <c r="D16" s="118">
        <v>842</v>
      </c>
      <c r="E16" s="260">
        <v>18761854</v>
      </c>
      <c r="F16" s="260">
        <v>1500947</v>
      </c>
      <c r="G16" s="260">
        <v>20262801</v>
      </c>
      <c r="H16" s="260">
        <v>24065.084323040381</v>
      </c>
      <c r="I16" s="119">
        <v>0.16952814915685341</v>
      </c>
      <c r="K16" s="120" t="s">
        <v>97</v>
      </c>
      <c r="L16" s="118">
        <v>276</v>
      </c>
      <c r="M16" s="260">
        <v>1162699</v>
      </c>
      <c r="N16" s="260">
        <v>1255714</v>
      </c>
      <c r="O16" s="260">
        <v>4549.688405797101</v>
      </c>
      <c r="P16" s="119">
        <v>1.0505895522062769E-2</v>
      </c>
    </row>
    <row r="17" spans="2:17" x14ac:dyDescent="0.25">
      <c r="B17" s="116">
        <v>7</v>
      </c>
      <c r="C17" s="117" t="s">
        <v>98</v>
      </c>
      <c r="D17" s="118">
        <v>349</v>
      </c>
      <c r="E17" s="260">
        <v>5144910</v>
      </c>
      <c r="F17" s="260">
        <v>411590</v>
      </c>
      <c r="G17" s="260">
        <v>5556500</v>
      </c>
      <c r="H17" s="260">
        <v>15921.20343839542</v>
      </c>
      <c r="I17" s="119">
        <v>4.6488299460181029E-2</v>
      </c>
      <c r="K17" s="120" t="s">
        <v>99</v>
      </c>
      <c r="L17" s="118">
        <v>256</v>
      </c>
      <c r="M17" s="260">
        <v>236931</v>
      </c>
      <c r="N17" s="260">
        <v>255886</v>
      </c>
      <c r="O17" s="260">
        <v>999.5546875</v>
      </c>
      <c r="P17" s="119">
        <v>2.1408629525182911E-3</v>
      </c>
    </row>
    <row r="18" spans="2:17" x14ac:dyDescent="0.25">
      <c r="B18" s="116">
        <v>8</v>
      </c>
      <c r="C18" s="117" t="s">
        <v>100</v>
      </c>
      <c r="D18" s="118">
        <v>402</v>
      </c>
      <c r="E18" s="260">
        <v>5927405</v>
      </c>
      <c r="F18" s="260">
        <v>474199</v>
      </c>
      <c r="G18" s="260">
        <v>6401604</v>
      </c>
      <c r="H18" s="260">
        <v>15924.38805970149</v>
      </c>
      <c r="I18" s="119">
        <v>5.3558838077475517E-2</v>
      </c>
      <c r="K18" s="131" t="s">
        <v>101</v>
      </c>
      <c r="L18" s="121">
        <v>6438</v>
      </c>
      <c r="M18" s="261">
        <v>110671013</v>
      </c>
      <c r="N18" s="261">
        <v>119524699</v>
      </c>
      <c r="O18" s="261">
        <v>18565.50155327742</v>
      </c>
      <c r="P18" s="122">
        <v>1</v>
      </c>
    </row>
    <row r="19" spans="2:17" x14ac:dyDescent="0.25">
      <c r="B19" s="116">
        <v>9</v>
      </c>
      <c r="C19" s="117" t="s">
        <v>102</v>
      </c>
      <c r="D19" s="118">
        <v>401</v>
      </c>
      <c r="E19" s="260">
        <v>6138790</v>
      </c>
      <c r="F19" s="260">
        <v>491108</v>
      </c>
      <c r="G19" s="260">
        <v>6629898</v>
      </c>
      <c r="H19" s="260">
        <v>16533.411471321691</v>
      </c>
      <c r="I19" s="119">
        <v>5.5468853345533212E-2</v>
      </c>
    </row>
    <row r="20" spans="2:17" x14ac:dyDescent="0.25">
      <c r="B20" s="116">
        <v>10</v>
      </c>
      <c r="C20" s="117" t="s">
        <v>103</v>
      </c>
      <c r="D20" s="118">
        <v>418</v>
      </c>
      <c r="E20" s="260">
        <v>6117773</v>
      </c>
      <c r="F20" s="260">
        <v>489425</v>
      </c>
      <c r="G20" s="260">
        <v>6607198</v>
      </c>
      <c r="H20" s="260">
        <v>15806.69377990431</v>
      </c>
      <c r="I20" s="119">
        <v>5.5278934440152833E-2</v>
      </c>
    </row>
    <row r="21" spans="2:17" x14ac:dyDescent="0.25">
      <c r="B21" s="116">
        <v>11</v>
      </c>
      <c r="C21" s="117" t="s">
        <v>104</v>
      </c>
      <c r="D21" s="118">
        <v>390</v>
      </c>
      <c r="E21" s="260">
        <v>5473329</v>
      </c>
      <c r="F21" s="260">
        <v>437870</v>
      </c>
      <c r="G21" s="260">
        <v>5911199</v>
      </c>
      <c r="H21" s="260">
        <v>15156.92051282051</v>
      </c>
      <c r="I21" s="119">
        <v>4.9455878571172979E-2</v>
      </c>
      <c r="K21" s="569" t="s">
        <v>105</v>
      </c>
      <c r="L21" s="545"/>
      <c r="M21" s="545"/>
      <c r="N21" s="545"/>
      <c r="O21" s="545"/>
      <c r="P21" s="545"/>
      <c r="Q21" s="545"/>
    </row>
    <row r="22" spans="2:17" x14ac:dyDescent="0.25">
      <c r="B22" s="116">
        <v>12</v>
      </c>
      <c r="C22" s="117" t="s">
        <v>106</v>
      </c>
      <c r="D22" s="118">
        <v>487</v>
      </c>
      <c r="E22" s="260">
        <v>9342039</v>
      </c>
      <c r="F22" s="260">
        <v>747361</v>
      </c>
      <c r="G22" s="260">
        <v>10089400</v>
      </c>
      <c r="H22" s="260">
        <v>20717.453798767969</v>
      </c>
      <c r="I22" s="119">
        <v>8.4412678587879153E-2</v>
      </c>
      <c r="K22" s="115" t="s">
        <v>107</v>
      </c>
      <c r="L22" s="115" t="s">
        <v>108</v>
      </c>
      <c r="M22" s="115" t="s">
        <v>109</v>
      </c>
      <c r="N22" s="115" t="s">
        <v>110</v>
      </c>
      <c r="O22" s="115" t="s">
        <v>84</v>
      </c>
      <c r="P22" s="115" t="s">
        <v>80</v>
      </c>
      <c r="Q22" s="115" t="s">
        <v>111</v>
      </c>
    </row>
    <row r="23" spans="2:17" x14ac:dyDescent="0.25">
      <c r="B23" s="116">
        <v>13</v>
      </c>
      <c r="C23" s="117" t="s">
        <v>112</v>
      </c>
      <c r="D23" s="118">
        <v>727</v>
      </c>
      <c r="E23" s="260">
        <v>15770930</v>
      </c>
      <c r="F23" s="260">
        <v>1261670</v>
      </c>
      <c r="G23" s="260">
        <v>17032600</v>
      </c>
      <c r="H23" s="260">
        <v>23428.610729023381</v>
      </c>
      <c r="I23" s="119">
        <v>0.142502764219469</v>
      </c>
      <c r="K23" s="123" t="s">
        <v>113</v>
      </c>
      <c r="L23" s="124">
        <v>119</v>
      </c>
      <c r="M23" s="125" t="s">
        <v>114</v>
      </c>
      <c r="N23" s="125" t="s">
        <v>89</v>
      </c>
      <c r="O23" s="126">
        <v>165</v>
      </c>
      <c r="P23" s="262">
        <v>7920000</v>
      </c>
      <c r="Q23" s="127">
        <v>6.6262455093068259E-2</v>
      </c>
    </row>
    <row r="24" spans="2:17" x14ac:dyDescent="0.25">
      <c r="B24" s="116">
        <v>14</v>
      </c>
      <c r="C24" s="117" t="s">
        <v>115</v>
      </c>
      <c r="D24" s="118">
        <v>310</v>
      </c>
      <c r="E24" s="260">
        <v>4323242</v>
      </c>
      <c r="F24" s="260">
        <v>345858</v>
      </c>
      <c r="G24" s="260">
        <v>4669100</v>
      </c>
      <c r="H24" s="260">
        <v>15061.61290322581</v>
      </c>
      <c r="I24" s="119">
        <v>3.9063892559980433E-2</v>
      </c>
      <c r="K24" s="123" t="s">
        <v>116</v>
      </c>
      <c r="L24" s="124">
        <v>233</v>
      </c>
      <c r="M24" s="125" t="s">
        <v>117</v>
      </c>
      <c r="N24" s="125" t="s">
        <v>89</v>
      </c>
      <c r="O24" s="126">
        <v>318</v>
      </c>
      <c r="P24" s="262">
        <v>6374381</v>
      </c>
      <c r="Q24" s="127">
        <v>5.3331077621036303E-2</v>
      </c>
    </row>
    <row r="25" spans="2:17" x14ac:dyDescent="0.25">
      <c r="B25" s="116">
        <v>15</v>
      </c>
      <c r="C25" s="117" t="s">
        <v>118</v>
      </c>
      <c r="D25" s="118">
        <v>0</v>
      </c>
      <c r="E25" s="260">
        <v>0</v>
      </c>
      <c r="F25" s="260">
        <v>0</v>
      </c>
      <c r="G25" s="260">
        <v>0</v>
      </c>
      <c r="H25" s="260">
        <v>0</v>
      </c>
      <c r="I25" s="119">
        <v>0</v>
      </c>
      <c r="K25" s="123" t="s">
        <v>119</v>
      </c>
      <c r="L25" s="124">
        <v>117</v>
      </c>
      <c r="M25" s="125" t="s">
        <v>120</v>
      </c>
      <c r="N25" s="125" t="s">
        <v>87</v>
      </c>
      <c r="O25" s="126">
        <v>97</v>
      </c>
      <c r="P25" s="262">
        <v>4365000</v>
      </c>
      <c r="Q25" s="127">
        <v>3.6519648545611481E-2</v>
      </c>
    </row>
    <row r="26" spans="2:17" x14ac:dyDescent="0.25">
      <c r="B26" s="116">
        <v>16</v>
      </c>
      <c r="C26" s="117" t="s">
        <v>121</v>
      </c>
      <c r="D26" s="118">
        <v>0</v>
      </c>
      <c r="E26" s="260">
        <v>0</v>
      </c>
      <c r="F26" s="260">
        <v>0</v>
      </c>
      <c r="G26" s="260">
        <v>0</v>
      </c>
      <c r="H26" s="260">
        <v>0</v>
      </c>
      <c r="I26" s="119">
        <v>0</v>
      </c>
      <c r="K26" s="117" t="s">
        <v>122</v>
      </c>
      <c r="L26" s="116">
        <v>93</v>
      </c>
      <c r="M26" s="120" t="s">
        <v>123</v>
      </c>
      <c r="N26" s="120" t="s">
        <v>89</v>
      </c>
      <c r="O26" s="118">
        <v>179</v>
      </c>
      <c r="P26" s="260">
        <v>3935434</v>
      </c>
      <c r="Q26" s="119">
        <v>3.2925696805143179E-2</v>
      </c>
    </row>
    <row r="27" spans="2:17" x14ac:dyDescent="0.25">
      <c r="B27" s="116">
        <v>17</v>
      </c>
      <c r="C27" s="117" t="s">
        <v>124</v>
      </c>
      <c r="D27" s="118">
        <v>0</v>
      </c>
      <c r="E27" s="260">
        <v>0</v>
      </c>
      <c r="F27" s="260">
        <v>0</v>
      </c>
      <c r="G27" s="260">
        <v>0</v>
      </c>
      <c r="H27" s="260">
        <v>0</v>
      </c>
      <c r="I27" s="119">
        <v>0</v>
      </c>
      <c r="K27" s="117" t="s">
        <v>125</v>
      </c>
      <c r="L27" s="116">
        <v>118</v>
      </c>
      <c r="M27" s="120" t="s">
        <v>126</v>
      </c>
      <c r="N27" s="120" t="s">
        <v>87</v>
      </c>
      <c r="O27" s="118">
        <v>82</v>
      </c>
      <c r="P27" s="260">
        <v>3690000</v>
      </c>
      <c r="Q27" s="119">
        <v>3.0872280213815891E-2</v>
      </c>
    </row>
    <row r="28" spans="2:17" x14ac:dyDescent="0.25">
      <c r="B28" s="116">
        <v>18</v>
      </c>
      <c r="C28" s="117" t="s">
        <v>127</v>
      </c>
      <c r="D28" s="118">
        <v>0</v>
      </c>
      <c r="E28" s="260">
        <v>0</v>
      </c>
      <c r="F28" s="260">
        <v>0</v>
      </c>
      <c r="G28" s="260">
        <v>0</v>
      </c>
      <c r="H28" s="260">
        <v>0</v>
      </c>
      <c r="I28" s="119">
        <v>0</v>
      </c>
      <c r="K28" s="117" t="s">
        <v>128</v>
      </c>
      <c r="L28" s="116">
        <v>88</v>
      </c>
      <c r="M28" s="120" t="s">
        <v>129</v>
      </c>
      <c r="N28" s="120" t="s">
        <v>87</v>
      </c>
      <c r="O28" s="118">
        <v>99</v>
      </c>
      <c r="P28" s="260">
        <v>3514500</v>
      </c>
      <c r="Q28" s="119">
        <v>2.9403964447549041E-2</v>
      </c>
    </row>
    <row r="29" spans="2:17" x14ac:dyDescent="0.25">
      <c r="B29" s="116">
        <v>19</v>
      </c>
      <c r="C29" s="117" t="s">
        <v>130</v>
      </c>
      <c r="D29" s="118">
        <v>0</v>
      </c>
      <c r="E29" s="260">
        <v>0</v>
      </c>
      <c r="F29" s="260">
        <v>0</v>
      </c>
      <c r="G29" s="260">
        <v>0</v>
      </c>
      <c r="H29" s="260">
        <v>0</v>
      </c>
      <c r="I29" s="119">
        <v>0</v>
      </c>
      <c r="K29" s="117" t="s">
        <v>131</v>
      </c>
      <c r="L29" s="116">
        <v>215</v>
      </c>
      <c r="M29" s="120" t="s">
        <v>132</v>
      </c>
      <c r="N29" s="120" t="s">
        <v>87</v>
      </c>
      <c r="O29" s="118">
        <v>85</v>
      </c>
      <c r="P29" s="260">
        <v>3427000</v>
      </c>
      <c r="Q29" s="119">
        <v>2.8671898182316271E-2</v>
      </c>
    </row>
    <row r="30" spans="2:17" x14ac:dyDescent="0.25">
      <c r="B30" s="116">
        <v>20</v>
      </c>
      <c r="C30" s="117" t="s">
        <v>133</v>
      </c>
      <c r="D30" s="118">
        <v>0</v>
      </c>
      <c r="E30" s="260">
        <v>0</v>
      </c>
      <c r="F30" s="260">
        <v>0</v>
      </c>
      <c r="G30" s="260">
        <v>0</v>
      </c>
      <c r="H30" s="260">
        <v>0</v>
      </c>
      <c r="I30" s="119">
        <v>0</v>
      </c>
      <c r="K30" s="117" t="s">
        <v>134</v>
      </c>
      <c r="L30" s="116">
        <v>113</v>
      </c>
      <c r="M30" s="120" t="s">
        <v>135</v>
      </c>
      <c r="N30" s="120" t="s">
        <v>89</v>
      </c>
      <c r="O30" s="118">
        <v>134</v>
      </c>
      <c r="P30" s="260">
        <v>3216000</v>
      </c>
      <c r="Q30" s="119">
        <v>2.6906572674154989E-2</v>
      </c>
    </row>
    <row r="31" spans="2:17" x14ac:dyDescent="0.25">
      <c r="B31" s="116">
        <v>21</v>
      </c>
      <c r="C31" s="117" t="s">
        <v>136</v>
      </c>
      <c r="D31" s="118">
        <v>0</v>
      </c>
      <c r="E31" s="260">
        <v>0</v>
      </c>
      <c r="F31" s="260">
        <v>0</v>
      </c>
      <c r="G31" s="260">
        <v>0</v>
      </c>
      <c r="H31" s="260">
        <v>0</v>
      </c>
      <c r="I31" s="119">
        <v>0</v>
      </c>
      <c r="K31" s="117" t="s">
        <v>137</v>
      </c>
      <c r="L31" s="116">
        <v>44</v>
      </c>
      <c r="M31" s="120" t="s">
        <v>138</v>
      </c>
      <c r="N31" s="120" t="s">
        <v>87</v>
      </c>
      <c r="O31" s="118">
        <v>95</v>
      </c>
      <c r="P31" s="260">
        <v>2897500</v>
      </c>
      <c r="Q31" s="119">
        <v>2.4241851468707731E-2</v>
      </c>
    </row>
    <row r="32" spans="2:17" x14ac:dyDescent="0.25">
      <c r="B32" s="116">
        <v>22</v>
      </c>
      <c r="C32" s="117" t="s">
        <v>139</v>
      </c>
      <c r="D32" s="118">
        <v>0</v>
      </c>
      <c r="E32" s="260">
        <v>0</v>
      </c>
      <c r="F32" s="260">
        <v>0</v>
      </c>
      <c r="G32" s="260">
        <v>0</v>
      </c>
      <c r="H32" s="260">
        <v>0</v>
      </c>
      <c r="I32" s="119">
        <v>0</v>
      </c>
      <c r="K32" s="117" t="s">
        <v>140</v>
      </c>
      <c r="L32" s="116">
        <v>223</v>
      </c>
      <c r="M32" s="120" t="s">
        <v>141</v>
      </c>
      <c r="N32" s="120" t="s">
        <v>87</v>
      </c>
      <c r="O32" s="118">
        <v>37</v>
      </c>
      <c r="P32" s="260">
        <v>2775000</v>
      </c>
      <c r="Q32" s="119">
        <v>2.321695869738187E-2</v>
      </c>
    </row>
    <row r="33" spans="2:17" x14ac:dyDescent="0.25">
      <c r="B33" s="116">
        <v>23</v>
      </c>
      <c r="C33" s="117" t="s">
        <v>142</v>
      </c>
      <c r="D33" s="118">
        <v>0</v>
      </c>
      <c r="E33" s="260">
        <v>0</v>
      </c>
      <c r="F33" s="260">
        <v>0</v>
      </c>
      <c r="G33" s="260">
        <v>0</v>
      </c>
      <c r="H33" s="260">
        <v>0</v>
      </c>
      <c r="I33" s="119">
        <v>0</v>
      </c>
      <c r="K33" s="117" t="s">
        <v>143</v>
      </c>
      <c r="L33" s="116">
        <v>87</v>
      </c>
      <c r="M33" s="120" t="s">
        <v>144</v>
      </c>
      <c r="N33" s="120" t="s">
        <v>89</v>
      </c>
      <c r="O33" s="118">
        <v>68</v>
      </c>
      <c r="P33" s="260">
        <v>2754000</v>
      </c>
      <c r="Q33" s="119">
        <v>2.3041262793726001E-2</v>
      </c>
    </row>
    <row r="34" spans="2:17" x14ac:dyDescent="0.25">
      <c r="B34" s="116">
        <v>24</v>
      </c>
      <c r="C34" s="117" t="s">
        <v>145</v>
      </c>
      <c r="D34" s="118">
        <v>0</v>
      </c>
      <c r="E34" s="260">
        <v>0</v>
      </c>
      <c r="F34" s="260">
        <v>0</v>
      </c>
      <c r="G34" s="260">
        <v>0</v>
      </c>
      <c r="H34" s="260">
        <v>0</v>
      </c>
      <c r="I34" s="119">
        <v>0</v>
      </c>
      <c r="K34" s="117" t="s">
        <v>146</v>
      </c>
      <c r="L34" s="116">
        <v>109</v>
      </c>
      <c r="M34" s="120" t="s">
        <v>147</v>
      </c>
      <c r="N34" s="120" t="s">
        <v>91</v>
      </c>
      <c r="O34" s="118">
        <v>191</v>
      </c>
      <c r="P34" s="260">
        <v>2674001</v>
      </c>
      <c r="Q34" s="119">
        <v>2.2371953431984799E-2</v>
      </c>
    </row>
    <row r="35" spans="2:17" x14ac:dyDescent="0.25">
      <c r="B35" s="116">
        <v>25</v>
      </c>
      <c r="C35" s="117" t="s">
        <v>148</v>
      </c>
      <c r="D35" s="118">
        <v>0</v>
      </c>
      <c r="E35" s="260">
        <v>0</v>
      </c>
      <c r="F35" s="260">
        <v>0</v>
      </c>
      <c r="G35" s="260">
        <v>0</v>
      </c>
      <c r="H35" s="260">
        <v>0</v>
      </c>
      <c r="I35" s="119">
        <v>0</v>
      </c>
      <c r="K35" s="117" t="s">
        <v>149</v>
      </c>
      <c r="L35" s="116">
        <v>94</v>
      </c>
      <c r="M35" s="120" t="s">
        <v>150</v>
      </c>
      <c r="N35" s="120" t="s">
        <v>89</v>
      </c>
      <c r="O35" s="118">
        <v>127</v>
      </c>
      <c r="P35" s="260">
        <v>2554333</v>
      </c>
      <c r="Q35" s="119">
        <v>2.1370754508237669E-2</v>
      </c>
    </row>
    <row r="36" spans="2:17" x14ac:dyDescent="0.25">
      <c r="B36" s="116">
        <v>26</v>
      </c>
      <c r="C36" s="117" t="s">
        <v>151</v>
      </c>
      <c r="D36" s="118">
        <v>0</v>
      </c>
      <c r="E36" s="260">
        <v>0</v>
      </c>
      <c r="F36" s="260">
        <v>0</v>
      </c>
      <c r="G36" s="260">
        <v>0</v>
      </c>
      <c r="H36" s="260">
        <v>0</v>
      </c>
      <c r="I36" s="119">
        <v>0</v>
      </c>
      <c r="K36" s="117" t="s">
        <v>152</v>
      </c>
      <c r="L36" s="116">
        <v>219</v>
      </c>
      <c r="M36" s="120" t="s">
        <v>153</v>
      </c>
      <c r="N36" s="120" t="s">
        <v>87</v>
      </c>
      <c r="O36" s="118">
        <v>34</v>
      </c>
      <c r="P36" s="260">
        <v>2550000</v>
      </c>
      <c r="Q36" s="119">
        <v>2.1334502586783339E-2</v>
      </c>
    </row>
    <row r="37" spans="2:17" x14ac:dyDescent="0.25">
      <c r="B37" s="116">
        <v>27</v>
      </c>
      <c r="C37" s="117" t="s">
        <v>154</v>
      </c>
      <c r="D37" s="118">
        <v>0</v>
      </c>
      <c r="E37" s="260">
        <v>0</v>
      </c>
      <c r="F37" s="260">
        <v>0</v>
      </c>
      <c r="G37" s="260">
        <v>0</v>
      </c>
      <c r="H37" s="260">
        <v>0</v>
      </c>
      <c r="I37" s="119">
        <v>0</v>
      </c>
      <c r="K37" s="117" t="s">
        <v>155</v>
      </c>
      <c r="L37" s="116">
        <v>8</v>
      </c>
      <c r="M37" s="120" t="s">
        <v>156</v>
      </c>
      <c r="N37" s="120" t="s">
        <v>87</v>
      </c>
      <c r="O37" s="118">
        <v>118</v>
      </c>
      <c r="P37" s="260">
        <v>2374524</v>
      </c>
      <c r="Q37" s="119">
        <v>1.9866387615834952E-2</v>
      </c>
    </row>
    <row r="38" spans="2:17" x14ac:dyDescent="0.25">
      <c r="B38" s="116">
        <v>28</v>
      </c>
      <c r="C38" s="117" t="s">
        <v>157</v>
      </c>
      <c r="D38" s="118">
        <v>0</v>
      </c>
      <c r="E38" s="260">
        <v>0</v>
      </c>
      <c r="F38" s="260">
        <v>0</v>
      </c>
      <c r="G38" s="260">
        <v>0</v>
      </c>
      <c r="H38" s="260">
        <v>0</v>
      </c>
      <c r="I38" s="119">
        <v>0</v>
      </c>
      <c r="K38" s="117" t="s">
        <v>158</v>
      </c>
      <c r="L38" s="116">
        <v>50</v>
      </c>
      <c r="M38" s="120" t="s">
        <v>159</v>
      </c>
      <c r="N38" s="120" t="s">
        <v>87</v>
      </c>
      <c r="O38" s="118">
        <v>42</v>
      </c>
      <c r="P38" s="260">
        <v>2226000</v>
      </c>
      <c r="Q38" s="119">
        <v>1.8623765787521451E-2</v>
      </c>
    </row>
    <row r="39" spans="2:17" x14ac:dyDescent="0.25">
      <c r="B39" s="116">
        <v>29</v>
      </c>
      <c r="C39" s="117" t="s">
        <v>160</v>
      </c>
      <c r="D39" s="118">
        <v>0</v>
      </c>
      <c r="E39" s="260">
        <v>0</v>
      </c>
      <c r="F39" s="260">
        <v>0</v>
      </c>
      <c r="G39" s="260">
        <v>0</v>
      </c>
      <c r="H39" s="260">
        <v>0</v>
      </c>
      <c r="I39" s="119">
        <v>0</v>
      </c>
      <c r="K39" s="117" t="s">
        <v>161</v>
      </c>
      <c r="L39" s="116">
        <v>104</v>
      </c>
      <c r="M39" s="120" t="s">
        <v>162</v>
      </c>
      <c r="N39" s="120" t="s">
        <v>89</v>
      </c>
      <c r="O39" s="118">
        <v>124</v>
      </c>
      <c r="P39" s="260">
        <v>2139670</v>
      </c>
      <c r="Q39" s="119">
        <v>1.7901488294063812E-2</v>
      </c>
    </row>
    <row r="40" spans="2:17" x14ac:dyDescent="0.25">
      <c r="B40" s="116">
        <v>30</v>
      </c>
      <c r="C40" s="117" t="s">
        <v>163</v>
      </c>
      <c r="D40" s="118">
        <v>0</v>
      </c>
      <c r="E40" s="260">
        <v>0</v>
      </c>
      <c r="F40" s="260">
        <v>0</v>
      </c>
      <c r="G40" s="260">
        <v>0</v>
      </c>
      <c r="H40" s="260">
        <v>0</v>
      </c>
      <c r="I40" s="119">
        <v>0</v>
      </c>
      <c r="K40" s="117" t="s">
        <v>164</v>
      </c>
      <c r="L40" s="116">
        <v>212</v>
      </c>
      <c r="M40" s="120" t="s">
        <v>165</v>
      </c>
      <c r="N40" s="120" t="s">
        <v>91</v>
      </c>
      <c r="O40" s="118">
        <v>76</v>
      </c>
      <c r="P40" s="260">
        <v>1824000</v>
      </c>
      <c r="Q40" s="119">
        <v>1.526044420325208E-2</v>
      </c>
    </row>
    <row r="41" spans="2:17" x14ac:dyDescent="0.25">
      <c r="B41" s="568" t="s">
        <v>166</v>
      </c>
      <c r="C41" s="545"/>
      <c r="D41" s="121">
        <v>6438</v>
      </c>
      <c r="E41" s="261">
        <v>110671013</v>
      </c>
      <c r="F41" s="261">
        <v>8853686</v>
      </c>
      <c r="G41" s="261">
        <v>119524699</v>
      </c>
      <c r="H41" s="261">
        <v>18565.50155327742</v>
      </c>
      <c r="I41" s="122">
        <v>1</v>
      </c>
      <c r="K41" s="117" t="s">
        <v>167</v>
      </c>
      <c r="L41" s="116">
        <v>41</v>
      </c>
      <c r="M41" s="120" t="s">
        <v>168</v>
      </c>
      <c r="N41" s="120" t="s">
        <v>87</v>
      </c>
      <c r="O41" s="118">
        <v>34</v>
      </c>
      <c r="P41" s="260">
        <v>1802000</v>
      </c>
      <c r="Q41" s="119">
        <v>1.5076381827993561E-2</v>
      </c>
    </row>
    <row r="42" spans="2:17" x14ac:dyDescent="0.25">
      <c r="B42" s="565" t="s">
        <v>61</v>
      </c>
      <c r="C42" s="551"/>
      <c r="D42" s="128">
        <v>459.85714285714278</v>
      </c>
      <c r="E42" s="263">
        <v>7905072.3571428573</v>
      </c>
      <c r="F42" s="263">
        <v>632406.14285714284</v>
      </c>
      <c r="G42" s="263">
        <v>8537478.5</v>
      </c>
      <c r="H42" s="263">
        <v>18565.50155327742</v>
      </c>
      <c r="I42" s="132" t="s">
        <v>44</v>
      </c>
      <c r="K42" s="117" t="s">
        <v>169</v>
      </c>
      <c r="L42" s="116">
        <v>40</v>
      </c>
      <c r="M42" s="120" t="s">
        <v>170</v>
      </c>
      <c r="N42" s="120" t="s">
        <v>87</v>
      </c>
      <c r="O42" s="118">
        <v>30</v>
      </c>
      <c r="P42" s="260">
        <v>1785000</v>
      </c>
      <c r="Q42" s="119">
        <v>1.493415181074834E-2</v>
      </c>
    </row>
    <row r="43" spans="2:17" x14ac:dyDescent="0.25">
      <c r="B43" s="565" t="s">
        <v>62</v>
      </c>
      <c r="C43" s="551"/>
      <c r="D43" s="128">
        <v>842</v>
      </c>
      <c r="E43" s="263">
        <v>18761854</v>
      </c>
      <c r="F43" s="263">
        <v>1500947</v>
      </c>
      <c r="G43" s="263">
        <v>20262801</v>
      </c>
      <c r="H43" s="132" t="s">
        <v>44</v>
      </c>
      <c r="I43" s="132" t="s">
        <v>44</v>
      </c>
      <c r="K43" s="565" t="s">
        <v>171</v>
      </c>
      <c r="L43" s="555"/>
      <c r="M43" s="555"/>
      <c r="N43" s="551"/>
      <c r="O43" s="128">
        <v>2135</v>
      </c>
      <c r="P43" s="263">
        <v>64798343</v>
      </c>
      <c r="Q43" s="129">
        <v>0.54213349660893084</v>
      </c>
    </row>
  </sheetData>
  <mergeCells count="21">
    <mergeCell ref="I6:J6"/>
    <mergeCell ref="O6:P6"/>
    <mergeCell ref="E5:F5"/>
    <mergeCell ref="K5:L5"/>
    <mergeCell ref="M5:N5"/>
    <mergeCell ref="B43:C43"/>
    <mergeCell ref="O5:P5"/>
    <mergeCell ref="B42:C42"/>
    <mergeCell ref="G6:H6"/>
    <mergeCell ref="B6:D6"/>
    <mergeCell ref="B5:D5"/>
    <mergeCell ref="E6:F6"/>
    <mergeCell ref="M6:N6"/>
    <mergeCell ref="B41:C41"/>
    <mergeCell ref="K21:Q21"/>
    <mergeCell ref="G5:H5"/>
    <mergeCell ref="I5:J5"/>
    <mergeCell ref="B9:I9"/>
    <mergeCell ref="K9:P9"/>
    <mergeCell ref="K43:N43"/>
    <mergeCell ref="K6:L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2:Q225"/>
  <sheetViews>
    <sheetView topLeftCell="F1" zoomScaleNormal="100" workbookViewId="0">
      <selection activeCell="L83" sqref="L83"/>
    </sheetView>
  </sheetViews>
  <sheetFormatPr baseColWidth="10" defaultColWidth="8.7109375" defaultRowHeight="15" x14ac:dyDescent="0.25"/>
  <cols>
    <col min="1" max="1" width="4" style="471" customWidth="1"/>
    <col min="2" max="2" width="8" style="471" customWidth="1"/>
    <col min="3" max="3" width="20" style="471" customWidth="1"/>
    <col min="4" max="4" width="28" style="471" customWidth="1"/>
    <col min="5" max="5" width="38" style="471" customWidth="1"/>
    <col min="6" max="6" width="16.5703125" style="471" customWidth="1"/>
    <col min="7" max="7" width="16" style="471" customWidth="1"/>
    <col min="8" max="8" width="18" style="471" customWidth="1"/>
    <col min="9" max="9" width="8" style="471" customWidth="1"/>
    <col min="10" max="10" width="40.140625" style="471" bestFit="1" customWidth="1"/>
    <col min="11" max="11" width="28" style="471" customWidth="1"/>
    <col min="12" max="12" width="66" style="471" bestFit="1" customWidth="1"/>
    <col min="13" max="13" width="14" style="471" customWidth="1"/>
    <col min="14" max="14" width="15" style="471" customWidth="1"/>
    <col min="15" max="15" width="18" style="471" customWidth="1"/>
    <col min="16" max="16" width="13" style="471" customWidth="1"/>
  </cols>
  <sheetData>
    <row r="2" spans="2:17" ht="27.95" customHeight="1" x14ac:dyDescent="0.25">
      <c r="B2" s="572" t="s">
        <v>172</v>
      </c>
      <c r="C2" s="545"/>
      <c r="D2" s="545"/>
      <c r="E2" s="545"/>
      <c r="F2" s="545"/>
      <c r="G2" s="545"/>
      <c r="H2" s="545"/>
    </row>
    <row r="3" spans="2:17" ht="18" customHeight="1" x14ac:dyDescent="0.25">
      <c r="B3" s="573" t="s">
        <v>173</v>
      </c>
      <c r="C3" s="545"/>
      <c r="D3" s="545"/>
      <c r="E3" s="545"/>
      <c r="F3" s="545"/>
      <c r="G3" s="545"/>
      <c r="H3" s="545"/>
    </row>
    <row r="5" spans="2:17" ht="18" customHeight="1" x14ac:dyDescent="0.25">
      <c r="B5" s="578" t="s">
        <v>174</v>
      </c>
      <c r="C5" s="575"/>
      <c r="D5" s="578" t="s">
        <v>175</v>
      </c>
      <c r="E5" s="575"/>
      <c r="F5" s="473" t="s">
        <v>176</v>
      </c>
      <c r="G5" s="473" t="s">
        <v>177</v>
      </c>
      <c r="H5" s="473" t="s">
        <v>178</v>
      </c>
    </row>
    <row r="6" spans="2:17" ht="24" customHeight="1" x14ac:dyDescent="0.25">
      <c r="B6" s="576">
        <v>50250944.859999999</v>
      </c>
      <c r="C6" s="575"/>
      <c r="D6" s="574">
        <v>2265.065000000001</v>
      </c>
      <c r="E6" s="575"/>
      <c r="F6" s="472">
        <v>22185.21095862591</v>
      </c>
      <c r="G6" s="264">
        <v>133</v>
      </c>
      <c r="H6" s="265">
        <v>0.29509800675344322</v>
      </c>
    </row>
    <row r="8" spans="2:17" x14ac:dyDescent="0.25">
      <c r="B8" s="579" t="s">
        <v>179</v>
      </c>
      <c r="C8" s="545"/>
      <c r="D8" s="545"/>
      <c r="E8" s="545"/>
      <c r="F8" s="545"/>
      <c r="G8" s="545"/>
      <c r="I8" s="577" t="s">
        <v>180</v>
      </c>
      <c r="J8" s="545"/>
      <c r="K8" s="545"/>
      <c r="L8" s="545"/>
      <c r="M8" s="545"/>
      <c r="N8" s="545"/>
      <c r="O8" s="545"/>
      <c r="P8" s="24"/>
      <c r="Q8" s="24"/>
    </row>
    <row r="9" spans="2:17" ht="21.95" customHeight="1" x14ac:dyDescent="0.25">
      <c r="B9" s="6" t="s">
        <v>48</v>
      </c>
      <c r="C9" s="6" t="s">
        <v>181</v>
      </c>
      <c r="D9" s="6" t="s">
        <v>182</v>
      </c>
      <c r="E9" s="6" t="s">
        <v>183</v>
      </c>
      <c r="F9" s="6" t="s">
        <v>184</v>
      </c>
      <c r="G9" s="6" t="s">
        <v>14</v>
      </c>
      <c r="I9" s="26" t="s">
        <v>48</v>
      </c>
      <c r="J9" s="26" t="s">
        <v>185</v>
      </c>
      <c r="K9" s="26" t="s">
        <v>186</v>
      </c>
      <c r="L9" s="26" t="s">
        <v>187</v>
      </c>
      <c r="M9" s="26" t="s">
        <v>188</v>
      </c>
      <c r="N9" s="26" t="s">
        <v>189</v>
      </c>
      <c r="O9" s="26" t="s">
        <v>190</v>
      </c>
      <c r="P9" s="35"/>
      <c r="Q9" s="24"/>
    </row>
    <row r="10" spans="2:17" ht="18" hidden="1" customHeight="1" x14ac:dyDescent="0.25">
      <c r="B10" s="7">
        <v>1</v>
      </c>
      <c r="C10" s="266">
        <v>6130295</v>
      </c>
      <c r="D10" s="8">
        <v>277.27999999999997</v>
      </c>
      <c r="E10" s="266">
        <v>22108.6807559146</v>
      </c>
      <c r="F10" s="267">
        <v>0.1219936265293938</v>
      </c>
      <c r="G10" s="9">
        <v>13</v>
      </c>
      <c r="I10" s="362">
        <v>1</v>
      </c>
      <c r="J10" s="362" t="s">
        <v>191</v>
      </c>
      <c r="K10" s="363" t="s">
        <v>192</v>
      </c>
      <c r="L10" s="364" t="s">
        <v>193</v>
      </c>
      <c r="M10" s="365">
        <v>4.7549999999999999</v>
      </c>
      <c r="N10" s="366">
        <v>7900</v>
      </c>
      <c r="O10" s="366">
        <v>37565</v>
      </c>
      <c r="P10" s="367"/>
      <c r="Q10" s="24"/>
    </row>
    <row r="11" spans="2:17" ht="18" hidden="1" customHeight="1" x14ac:dyDescent="0.25">
      <c r="B11" s="10">
        <v>2</v>
      </c>
      <c r="C11" s="269">
        <v>528586</v>
      </c>
      <c r="D11" s="11">
        <v>47.234000000000009</v>
      </c>
      <c r="E11" s="269">
        <v>11190.794766481769</v>
      </c>
      <c r="F11" s="270">
        <v>1.051892658879648E-2</v>
      </c>
      <c r="G11" s="12">
        <v>4</v>
      </c>
      <c r="I11" s="362">
        <v>1</v>
      </c>
      <c r="J11" s="362" t="s">
        <v>191</v>
      </c>
      <c r="K11" s="363" t="s">
        <v>192</v>
      </c>
      <c r="L11" s="364" t="s">
        <v>193</v>
      </c>
      <c r="M11" s="365">
        <v>3.3650000000000002</v>
      </c>
      <c r="N11" s="366">
        <v>8915.2999999999993</v>
      </c>
      <c r="O11" s="366">
        <v>30000</v>
      </c>
      <c r="P11" s="367"/>
      <c r="Q11" s="24"/>
    </row>
    <row r="12" spans="2:17" ht="18" hidden="1" customHeight="1" x14ac:dyDescent="0.25">
      <c r="B12" s="7">
        <v>3</v>
      </c>
      <c r="C12" s="266">
        <v>1808790</v>
      </c>
      <c r="D12" s="8">
        <v>65.460000000000008</v>
      </c>
      <c r="E12" s="266">
        <v>27631.98900091659</v>
      </c>
      <c r="F12" s="267">
        <v>3.5995144072202417E-2</v>
      </c>
      <c r="G12" s="9">
        <v>9</v>
      </c>
      <c r="I12" s="362">
        <v>1</v>
      </c>
      <c r="J12" s="362" t="s">
        <v>194</v>
      </c>
      <c r="K12" s="363" t="s">
        <v>195</v>
      </c>
      <c r="L12" s="364" t="s">
        <v>196</v>
      </c>
      <c r="M12" s="365">
        <v>20</v>
      </c>
      <c r="N12" s="366">
        <v>16500</v>
      </c>
      <c r="O12" s="366">
        <v>330000</v>
      </c>
      <c r="P12" s="367"/>
      <c r="Q12" s="24"/>
    </row>
    <row r="13" spans="2:17" ht="18" hidden="1" customHeight="1" x14ac:dyDescent="0.25">
      <c r="B13" s="10">
        <v>4</v>
      </c>
      <c r="C13" s="269">
        <v>2218844</v>
      </c>
      <c r="D13" s="11">
        <v>106.76</v>
      </c>
      <c r="E13" s="269">
        <v>20783.476957662049</v>
      </c>
      <c r="F13" s="270">
        <v>4.4155269242831897E-2</v>
      </c>
      <c r="G13" s="12">
        <v>8</v>
      </c>
      <c r="I13" s="362">
        <v>1</v>
      </c>
      <c r="J13" s="362" t="s">
        <v>197</v>
      </c>
      <c r="K13" s="363" t="s">
        <v>198</v>
      </c>
      <c r="L13" s="364" t="s">
        <v>199</v>
      </c>
      <c r="M13" s="365">
        <v>4.58</v>
      </c>
      <c r="N13" s="366">
        <v>18500</v>
      </c>
      <c r="O13" s="366">
        <v>84730</v>
      </c>
      <c r="P13" s="367"/>
      <c r="Q13" s="24"/>
    </row>
    <row r="14" spans="2:17" ht="18" hidden="1" customHeight="1" x14ac:dyDescent="0.25">
      <c r="B14" s="7">
        <v>5</v>
      </c>
      <c r="C14" s="266">
        <v>7713980</v>
      </c>
      <c r="D14" s="8">
        <v>316.14999999999998</v>
      </c>
      <c r="E14" s="266">
        <v>24399.746955559069</v>
      </c>
      <c r="F14" s="267">
        <v>0.15350915334012691</v>
      </c>
      <c r="G14" s="9">
        <v>9</v>
      </c>
      <c r="I14" s="362">
        <v>1</v>
      </c>
      <c r="J14" s="362" t="s">
        <v>197</v>
      </c>
      <c r="K14" s="363" t="s">
        <v>200</v>
      </c>
      <c r="L14" s="364" t="s">
        <v>201</v>
      </c>
      <c r="M14" s="365">
        <v>15.1</v>
      </c>
      <c r="N14" s="366">
        <v>18500</v>
      </c>
      <c r="O14" s="366">
        <v>279350</v>
      </c>
      <c r="P14" s="367"/>
      <c r="Q14" s="24"/>
    </row>
    <row r="15" spans="2:17" ht="18" hidden="1" customHeight="1" x14ac:dyDescent="0.25">
      <c r="B15" s="10">
        <v>6</v>
      </c>
      <c r="C15" s="269">
        <v>0</v>
      </c>
      <c r="D15" s="11">
        <v>0</v>
      </c>
      <c r="E15" s="269">
        <v>0</v>
      </c>
      <c r="F15" s="270">
        <v>0</v>
      </c>
      <c r="G15" s="12">
        <v>0</v>
      </c>
      <c r="I15" s="362">
        <v>1</v>
      </c>
      <c r="J15" s="362" t="s">
        <v>202</v>
      </c>
      <c r="K15" s="363" t="s">
        <v>203</v>
      </c>
      <c r="L15" s="364" t="s">
        <v>204</v>
      </c>
      <c r="M15" s="365">
        <v>9.8699999999999992</v>
      </c>
      <c r="N15" s="366">
        <v>55000</v>
      </c>
      <c r="O15" s="366">
        <v>542850</v>
      </c>
      <c r="P15" s="367"/>
      <c r="Q15" s="24"/>
    </row>
    <row r="16" spans="2:17" ht="18" hidden="1" customHeight="1" x14ac:dyDescent="0.25">
      <c r="B16" s="7">
        <v>7</v>
      </c>
      <c r="C16" s="266">
        <v>2135215.04</v>
      </c>
      <c r="D16" s="8">
        <v>100.00700000000001</v>
      </c>
      <c r="E16" s="266">
        <v>21350.655854090219</v>
      </c>
      <c r="F16" s="267">
        <v>4.2491042625143589E-2</v>
      </c>
      <c r="G16" s="9">
        <v>9</v>
      </c>
      <c r="I16" s="362">
        <v>1</v>
      </c>
      <c r="J16" s="362" t="s">
        <v>202</v>
      </c>
      <c r="K16" s="363" t="s">
        <v>205</v>
      </c>
      <c r="L16" s="364" t="s">
        <v>206</v>
      </c>
      <c r="M16" s="365">
        <v>19.809999999999999</v>
      </c>
      <c r="N16" s="366">
        <v>18000</v>
      </c>
      <c r="O16" s="366">
        <v>356580</v>
      </c>
      <c r="P16" s="367"/>
      <c r="Q16" s="24"/>
    </row>
    <row r="17" spans="2:17" ht="18" hidden="1" customHeight="1" x14ac:dyDescent="0.25">
      <c r="B17" s="10">
        <v>8</v>
      </c>
      <c r="C17" s="269">
        <v>966050</v>
      </c>
      <c r="D17" s="11">
        <v>67.25</v>
      </c>
      <c r="E17" s="269">
        <v>14365.05576208178</v>
      </c>
      <c r="F17" s="270">
        <v>1.922451413981234E-2</v>
      </c>
      <c r="G17" s="12">
        <v>11</v>
      </c>
      <c r="I17" s="362">
        <v>1</v>
      </c>
      <c r="J17" s="362" t="s">
        <v>207</v>
      </c>
      <c r="K17" s="363" t="s">
        <v>205</v>
      </c>
      <c r="L17" s="364" t="s">
        <v>208</v>
      </c>
      <c r="M17" s="365">
        <v>6</v>
      </c>
      <c r="N17" s="366">
        <v>3666.67</v>
      </c>
      <c r="O17" s="366">
        <v>22000</v>
      </c>
      <c r="P17" s="367"/>
      <c r="Q17" s="24"/>
    </row>
    <row r="18" spans="2:17" ht="18" customHeight="1" x14ac:dyDescent="0.25">
      <c r="B18" s="7">
        <v>9</v>
      </c>
      <c r="C18" s="266">
        <v>5707282</v>
      </c>
      <c r="D18" s="8">
        <v>325.93999999999988</v>
      </c>
      <c r="E18" s="266">
        <v>17510.222740381669</v>
      </c>
      <c r="F18" s="267">
        <v>0.11357561566057291</v>
      </c>
      <c r="G18" s="9">
        <v>12</v>
      </c>
      <c r="I18" s="362">
        <v>1</v>
      </c>
      <c r="J18" s="362" t="s">
        <v>209</v>
      </c>
      <c r="K18" s="363" t="s">
        <v>210</v>
      </c>
      <c r="L18" s="364" t="s">
        <v>211</v>
      </c>
      <c r="M18" s="365">
        <v>28.6</v>
      </c>
      <c r="N18" s="366">
        <v>14900</v>
      </c>
      <c r="O18" s="366">
        <v>426140</v>
      </c>
      <c r="P18" s="367"/>
      <c r="Q18" s="24"/>
    </row>
    <row r="19" spans="2:17" ht="18" customHeight="1" x14ac:dyDescent="0.25">
      <c r="B19" s="10">
        <v>10</v>
      </c>
      <c r="C19" s="269">
        <v>1387295</v>
      </c>
      <c r="D19" s="11">
        <v>115.505</v>
      </c>
      <c r="E19" s="269">
        <v>12010.692177827799</v>
      </c>
      <c r="F19" s="270">
        <v>2.7607341590591541E-2</v>
      </c>
      <c r="G19" s="12">
        <v>7</v>
      </c>
      <c r="I19" s="362">
        <v>1</v>
      </c>
      <c r="J19" s="362" t="s">
        <v>209</v>
      </c>
      <c r="K19" s="363" t="s">
        <v>212</v>
      </c>
      <c r="L19" s="364" t="s">
        <v>213</v>
      </c>
      <c r="M19" s="365">
        <v>27.65</v>
      </c>
      <c r="N19" s="366">
        <v>23900</v>
      </c>
      <c r="O19" s="366">
        <v>660835</v>
      </c>
      <c r="P19" s="367"/>
      <c r="Q19" s="24"/>
    </row>
    <row r="20" spans="2:17" ht="18" customHeight="1" x14ac:dyDescent="0.25">
      <c r="B20" s="7">
        <v>11</v>
      </c>
      <c r="C20" s="266">
        <v>4088560</v>
      </c>
      <c r="D20" s="8">
        <v>68.97</v>
      </c>
      <c r="E20" s="266">
        <v>59280.266782659128</v>
      </c>
      <c r="F20" s="267">
        <v>8.1362848228840254E-2</v>
      </c>
      <c r="G20" s="9">
        <v>9</v>
      </c>
      <c r="I20" s="362">
        <v>1</v>
      </c>
      <c r="J20" s="362" t="s">
        <v>209</v>
      </c>
      <c r="K20" s="363" t="s">
        <v>214</v>
      </c>
      <c r="L20" s="364" t="s">
        <v>215</v>
      </c>
      <c r="M20" s="365">
        <v>28.7</v>
      </c>
      <c r="N20" s="366">
        <v>25900</v>
      </c>
      <c r="O20" s="366">
        <v>743330</v>
      </c>
      <c r="P20" s="367"/>
      <c r="Q20" s="24"/>
    </row>
    <row r="21" spans="2:17" ht="18" customHeight="1" x14ac:dyDescent="0.25">
      <c r="B21" s="10">
        <v>12</v>
      </c>
      <c r="C21" s="269">
        <v>7776020</v>
      </c>
      <c r="D21" s="11">
        <v>297.35000000000002</v>
      </c>
      <c r="E21" s="269">
        <v>26151.067765259799</v>
      </c>
      <c r="F21" s="270">
        <v>0.15474375699131879</v>
      </c>
      <c r="G21" s="12">
        <v>13</v>
      </c>
      <c r="I21" s="362">
        <v>1</v>
      </c>
      <c r="J21" s="362" t="s">
        <v>209</v>
      </c>
      <c r="K21" s="363" t="s">
        <v>216</v>
      </c>
      <c r="L21" s="363" t="s">
        <v>217</v>
      </c>
      <c r="M21" s="365">
        <v>18.5</v>
      </c>
      <c r="N21" s="366">
        <v>34500</v>
      </c>
      <c r="O21" s="366">
        <v>638250</v>
      </c>
      <c r="P21" s="367"/>
      <c r="Q21" s="24"/>
    </row>
    <row r="22" spans="2:17" ht="18" customHeight="1" x14ac:dyDescent="0.25">
      <c r="B22" s="7">
        <v>13</v>
      </c>
      <c r="C22" s="266">
        <v>866150.02</v>
      </c>
      <c r="D22" s="8">
        <v>86.9</v>
      </c>
      <c r="E22" s="266">
        <v>9967.2039125431529</v>
      </c>
      <c r="F22" s="267">
        <v>1.7236492217471911E-2</v>
      </c>
      <c r="G22" s="9">
        <v>6</v>
      </c>
      <c r="I22" s="362">
        <v>1</v>
      </c>
      <c r="J22" s="362" t="s">
        <v>218</v>
      </c>
      <c r="K22" s="363" t="s">
        <v>219</v>
      </c>
      <c r="L22" s="364" t="s">
        <v>220</v>
      </c>
      <c r="M22" s="365">
        <v>90.35</v>
      </c>
      <c r="N22" s="366">
        <v>21900</v>
      </c>
      <c r="O22" s="366">
        <v>1978665</v>
      </c>
      <c r="P22" s="367"/>
      <c r="Q22" s="24"/>
    </row>
    <row r="23" spans="2:17" ht="18" hidden="1" customHeight="1" x14ac:dyDescent="0.25">
      <c r="B23" s="10">
        <v>14</v>
      </c>
      <c r="C23" s="269">
        <v>2403203.7999999998</v>
      </c>
      <c r="D23" s="11">
        <v>112.89400000000001</v>
      </c>
      <c r="E23" s="269">
        <v>21287.258844579868</v>
      </c>
      <c r="F23" s="270">
        <v>4.7824051999327918E-2</v>
      </c>
      <c r="G23" s="12">
        <v>7</v>
      </c>
      <c r="I23" s="368" t="s">
        <v>221</v>
      </c>
      <c r="J23" s="369"/>
      <c r="K23" s="369"/>
      <c r="L23" s="369"/>
      <c r="M23" s="370">
        <v>277.27999999999997</v>
      </c>
      <c r="N23" s="371">
        <v>22108.6807559146</v>
      </c>
      <c r="O23" s="371">
        <v>6130295</v>
      </c>
      <c r="P23" s="367"/>
      <c r="Q23" s="24"/>
    </row>
    <row r="24" spans="2:17" ht="18" hidden="1" customHeight="1" x14ac:dyDescent="0.25">
      <c r="B24" s="7">
        <v>15</v>
      </c>
      <c r="C24" s="266">
        <v>234700</v>
      </c>
      <c r="D24" s="8">
        <v>2</v>
      </c>
      <c r="E24" s="266">
        <v>117350</v>
      </c>
      <c r="F24" s="267">
        <v>4.6705589447895608E-3</v>
      </c>
      <c r="G24" s="9">
        <v>2</v>
      </c>
      <c r="I24" s="362">
        <v>2</v>
      </c>
      <c r="J24" s="362" t="s">
        <v>222</v>
      </c>
      <c r="K24" s="363" t="s">
        <v>223</v>
      </c>
      <c r="L24" s="363" t="s">
        <v>224</v>
      </c>
      <c r="M24" s="365">
        <v>34.700000000000003</v>
      </c>
      <c r="N24" s="366">
        <v>7500</v>
      </c>
      <c r="O24" s="366">
        <v>260250</v>
      </c>
      <c r="P24" s="367"/>
      <c r="Q24" s="24"/>
    </row>
    <row r="25" spans="2:17" ht="18" hidden="1" customHeight="1" x14ac:dyDescent="0.25">
      <c r="B25" s="10">
        <v>16</v>
      </c>
      <c r="C25" s="269">
        <v>1322675</v>
      </c>
      <c r="D25" s="11">
        <v>31.905000000000001</v>
      </c>
      <c r="E25" s="269">
        <v>41456.668233819153</v>
      </c>
      <c r="F25" s="270">
        <v>2.6321395621216579E-2</v>
      </c>
      <c r="G25" s="12">
        <v>5</v>
      </c>
      <c r="I25" s="362">
        <v>2</v>
      </c>
      <c r="J25" s="362" t="s">
        <v>225</v>
      </c>
      <c r="K25" s="363" t="s">
        <v>226</v>
      </c>
      <c r="L25" s="364" t="s">
        <v>227</v>
      </c>
      <c r="M25" s="365">
        <v>5</v>
      </c>
      <c r="N25" s="366">
        <v>21500</v>
      </c>
      <c r="O25" s="366">
        <v>107500</v>
      </c>
      <c r="P25" s="367"/>
      <c r="Q25" s="24"/>
    </row>
    <row r="26" spans="2:17" ht="18" hidden="1" customHeight="1" x14ac:dyDescent="0.25">
      <c r="B26" s="7">
        <v>17</v>
      </c>
      <c r="C26" s="266">
        <v>4585299</v>
      </c>
      <c r="D26" s="8">
        <v>218.46</v>
      </c>
      <c r="E26" s="266">
        <v>20989.192529524851</v>
      </c>
      <c r="F26" s="267">
        <v>9.1248015590049539E-2</v>
      </c>
      <c r="G26" s="9">
        <v>8</v>
      </c>
      <c r="I26" s="362">
        <v>2</v>
      </c>
      <c r="J26" s="362" t="s">
        <v>228</v>
      </c>
      <c r="K26" s="363" t="s">
        <v>229</v>
      </c>
      <c r="L26" s="364" t="s">
        <v>230</v>
      </c>
      <c r="M26" s="365">
        <v>2.77</v>
      </c>
      <c r="N26" s="366">
        <v>19900</v>
      </c>
      <c r="O26" s="366">
        <v>55123</v>
      </c>
      <c r="P26" s="367"/>
      <c r="Q26" s="24"/>
    </row>
    <row r="27" spans="2:17" ht="18" hidden="1" customHeight="1" x14ac:dyDescent="0.25">
      <c r="B27" s="10">
        <v>18</v>
      </c>
      <c r="C27" s="269">
        <v>378000</v>
      </c>
      <c r="D27" s="11">
        <v>25</v>
      </c>
      <c r="E27" s="269">
        <v>15120</v>
      </c>
      <c r="F27" s="270">
        <v>7.5222466175136511E-3</v>
      </c>
      <c r="G27" s="12">
        <v>1</v>
      </c>
      <c r="I27" s="362">
        <v>2</v>
      </c>
      <c r="J27" s="362" t="s">
        <v>228</v>
      </c>
      <c r="K27" s="363" t="s">
        <v>229</v>
      </c>
      <c r="L27" s="364" t="s">
        <v>230</v>
      </c>
      <c r="M27" s="365">
        <v>4.7640000000000002</v>
      </c>
      <c r="N27" s="366">
        <v>22190</v>
      </c>
      <c r="O27" s="366">
        <v>105713</v>
      </c>
      <c r="P27" s="367"/>
      <c r="Q27" s="24"/>
    </row>
    <row r="28" spans="2:17" ht="18" hidden="1" customHeight="1" x14ac:dyDescent="0.25">
      <c r="B28" s="7">
        <v>19</v>
      </c>
      <c r="C28" s="266">
        <v>0</v>
      </c>
      <c r="D28" s="8">
        <v>0</v>
      </c>
      <c r="E28" s="266">
        <v>0</v>
      </c>
      <c r="F28" s="267">
        <v>0</v>
      </c>
      <c r="G28" s="9">
        <v>0</v>
      </c>
      <c r="I28" s="368" t="s">
        <v>231</v>
      </c>
      <c r="J28" s="369"/>
      <c r="K28" s="369"/>
      <c r="L28" s="369"/>
      <c r="M28" s="370">
        <v>47.234000000000009</v>
      </c>
      <c r="N28" s="371">
        <v>11190.794766481769</v>
      </c>
      <c r="O28" s="371">
        <v>528586</v>
      </c>
      <c r="P28" s="367"/>
      <c r="Q28" s="24"/>
    </row>
    <row r="29" spans="2:17" ht="18" hidden="1" customHeight="1" x14ac:dyDescent="0.25">
      <c r="B29" s="10">
        <v>20</v>
      </c>
      <c r="C29" s="269">
        <v>0</v>
      </c>
      <c r="D29" s="11">
        <v>0</v>
      </c>
      <c r="E29" s="269">
        <v>0</v>
      </c>
      <c r="F29" s="270">
        <v>0</v>
      </c>
      <c r="G29" s="12">
        <v>0</v>
      </c>
      <c r="I29" s="362">
        <v>3</v>
      </c>
      <c r="J29" s="362" t="s">
        <v>232</v>
      </c>
      <c r="K29" s="363" t="s">
        <v>233</v>
      </c>
      <c r="L29" s="364" t="s">
        <v>234</v>
      </c>
      <c r="M29" s="365">
        <v>5.96</v>
      </c>
      <c r="N29" s="366">
        <v>34000</v>
      </c>
      <c r="O29" s="366">
        <v>202640</v>
      </c>
      <c r="P29" s="367"/>
      <c r="Q29" s="24"/>
    </row>
    <row r="30" spans="2:17" ht="18" hidden="1" customHeight="1" x14ac:dyDescent="0.25">
      <c r="B30" s="7">
        <v>21</v>
      </c>
      <c r="C30" s="266">
        <v>0</v>
      </c>
      <c r="D30" s="8">
        <v>0</v>
      </c>
      <c r="E30" s="266">
        <v>0</v>
      </c>
      <c r="F30" s="267">
        <v>0</v>
      </c>
      <c r="G30" s="9">
        <v>0</v>
      </c>
      <c r="I30" s="362">
        <v>3</v>
      </c>
      <c r="J30" s="362" t="s">
        <v>232</v>
      </c>
      <c r="K30" s="363" t="s">
        <v>235</v>
      </c>
      <c r="L30" s="364" t="s">
        <v>236</v>
      </c>
      <c r="M30" s="365">
        <v>7</v>
      </c>
      <c r="N30" s="366">
        <v>20000</v>
      </c>
      <c r="O30" s="366">
        <v>140000</v>
      </c>
      <c r="P30" s="367"/>
      <c r="Q30" s="24"/>
    </row>
    <row r="31" spans="2:17" ht="18" hidden="1" customHeight="1" x14ac:dyDescent="0.25">
      <c r="B31" s="10">
        <v>22</v>
      </c>
      <c r="C31" s="269">
        <v>0</v>
      </c>
      <c r="D31" s="11">
        <v>0</v>
      </c>
      <c r="E31" s="269">
        <v>0</v>
      </c>
      <c r="F31" s="270">
        <v>0</v>
      </c>
      <c r="G31" s="12">
        <v>0</v>
      </c>
      <c r="I31" s="362">
        <v>3</v>
      </c>
      <c r="J31" s="362" t="s">
        <v>237</v>
      </c>
      <c r="K31" s="363" t="s">
        <v>226</v>
      </c>
      <c r="L31" s="363" t="s">
        <v>238</v>
      </c>
      <c r="M31" s="365">
        <v>5.8</v>
      </c>
      <c r="N31" s="366">
        <v>22000</v>
      </c>
      <c r="O31" s="366">
        <v>127600</v>
      </c>
      <c r="P31" s="367"/>
      <c r="Q31" s="24"/>
    </row>
    <row r="32" spans="2:17" ht="18" hidden="1" customHeight="1" x14ac:dyDescent="0.25">
      <c r="B32" s="7">
        <v>23</v>
      </c>
      <c r="C32" s="266">
        <v>0</v>
      </c>
      <c r="D32" s="8">
        <v>0</v>
      </c>
      <c r="E32" s="266">
        <v>0</v>
      </c>
      <c r="F32" s="267">
        <v>0</v>
      </c>
      <c r="G32" s="9">
        <v>0</v>
      </c>
      <c r="I32" s="362">
        <v>3</v>
      </c>
      <c r="J32" s="362" t="s">
        <v>237</v>
      </c>
      <c r="K32" s="363" t="s">
        <v>239</v>
      </c>
      <c r="L32" s="364" t="s">
        <v>240</v>
      </c>
      <c r="M32" s="365">
        <v>7.35</v>
      </c>
      <c r="N32" s="366">
        <v>54000</v>
      </c>
      <c r="O32" s="366">
        <v>396900</v>
      </c>
      <c r="P32" s="367"/>
      <c r="Q32" s="24"/>
    </row>
    <row r="33" spans="1:17" ht="18" hidden="1" customHeight="1" x14ac:dyDescent="0.25">
      <c r="B33" s="10">
        <v>24</v>
      </c>
      <c r="C33" s="269">
        <v>0</v>
      </c>
      <c r="D33" s="11">
        <v>0</v>
      </c>
      <c r="E33" s="269">
        <v>0</v>
      </c>
      <c r="F33" s="270">
        <v>0</v>
      </c>
      <c r="G33" s="12">
        <v>0</v>
      </c>
      <c r="I33" s="362">
        <v>3</v>
      </c>
      <c r="J33" s="362" t="s">
        <v>241</v>
      </c>
      <c r="K33" s="363" t="s">
        <v>233</v>
      </c>
      <c r="L33" s="364" t="s">
        <v>242</v>
      </c>
      <c r="M33" s="365">
        <v>4.05</v>
      </c>
      <c r="N33" s="366">
        <v>33000</v>
      </c>
      <c r="O33" s="366">
        <v>133650</v>
      </c>
      <c r="P33" s="367"/>
      <c r="Q33" s="24"/>
    </row>
    <row r="34" spans="1:17" ht="18" hidden="1" customHeight="1" x14ac:dyDescent="0.25">
      <c r="B34" s="7">
        <v>25</v>
      </c>
      <c r="C34" s="266">
        <v>0</v>
      </c>
      <c r="D34" s="8">
        <v>0</v>
      </c>
      <c r="E34" s="266">
        <v>0</v>
      </c>
      <c r="F34" s="267">
        <v>0</v>
      </c>
      <c r="G34" s="9">
        <v>0</v>
      </c>
      <c r="I34" s="362">
        <v>3</v>
      </c>
      <c r="J34" s="362" t="s">
        <v>241</v>
      </c>
      <c r="K34" s="363" t="s">
        <v>243</v>
      </c>
      <c r="L34" s="364" t="s">
        <v>244</v>
      </c>
      <c r="M34" s="365">
        <v>10.3</v>
      </c>
      <c r="N34" s="366">
        <v>20000</v>
      </c>
      <c r="O34" s="366">
        <v>206000</v>
      </c>
      <c r="P34" s="367"/>
      <c r="Q34" s="24"/>
    </row>
    <row r="35" spans="1:17" ht="18" hidden="1" customHeight="1" x14ac:dyDescent="0.25">
      <c r="B35" s="10">
        <v>26</v>
      </c>
      <c r="C35" s="269">
        <v>0</v>
      </c>
      <c r="D35" s="11">
        <v>0</v>
      </c>
      <c r="E35" s="269">
        <v>0</v>
      </c>
      <c r="F35" s="270">
        <v>0</v>
      </c>
      <c r="G35" s="12">
        <v>0</v>
      </c>
      <c r="I35" s="362">
        <v>3</v>
      </c>
      <c r="J35" s="362" t="s">
        <v>245</v>
      </c>
      <c r="K35" s="363" t="s">
        <v>246</v>
      </c>
      <c r="L35" s="363" t="s">
        <v>247</v>
      </c>
      <c r="M35" s="365">
        <v>4</v>
      </c>
      <c r="N35" s="366">
        <v>48000</v>
      </c>
      <c r="O35" s="366">
        <v>192000</v>
      </c>
      <c r="P35" s="367"/>
      <c r="Q35" s="24"/>
    </row>
    <row r="36" spans="1:17" ht="18" hidden="1" customHeight="1" x14ac:dyDescent="0.25">
      <c r="B36" s="7">
        <v>27</v>
      </c>
      <c r="C36" s="266">
        <v>0</v>
      </c>
      <c r="D36" s="8">
        <v>0</v>
      </c>
      <c r="E36" s="266">
        <v>0</v>
      </c>
      <c r="F36" s="267">
        <v>0</v>
      </c>
      <c r="G36" s="9">
        <v>0</v>
      </c>
      <c r="I36" s="362">
        <v>3</v>
      </c>
      <c r="J36" s="362" t="s">
        <v>245</v>
      </c>
      <c r="K36" s="363" t="s">
        <v>246</v>
      </c>
      <c r="L36" s="364" t="s">
        <v>248</v>
      </c>
      <c r="M36" s="365">
        <v>1</v>
      </c>
      <c r="N36" s="366">
        <v>46000</v>
      </c>
      <c r="O36" s="366">
        <v>46000</v>
      </c>
      <c r="P36" s="367"/>
      <c r="Q36" s="24"/>
    </row>
    <row r="37" spans="1:17" ht="18" hidden="1" customHeight="1" x14ac:dyDescent="0.25">
      <c r="B37" s="10">
        <v>28</v>
      </c>
      <c r="C37" s="269">
        <v>0</v>
      </c>
      <c r="D37" s="11">
        <v>0</v>
      </c>
      <c r="E37" s="269">
        <v>0</v>
      </c>
      <c r="F37" s="270">
        <v>0</v>
      </c>
      <c r="G37" s="12">
        <v>0</v>
      </c>
      <c r="I37" s="362">
        <v>3</v>
      </c>
      <c r="J37" s="362" t="s">
        <v>249</v>
      </c>
      <c r="K37" s="363" t="s">
        <v>250</v>
      </c>
      <c r="L37" s="363" t="s">
        <v>251</v>
      </c>
      <c r="M37" s="365">
        <v>20</v>
      </c>
      <c r="N37" s="366">
        <v>18200</v>
      </c>
      <c r="O37" s="366">
        <v>364000</v>
      </c>
      <c r="P37" s="367"/>
      <c r="Q37" s="24"/>
    </row>
    <row r="38" spans="1:17" ht="18" hidden="1" customHeight="1" x14ac:dyDescent="0.25">
      <c r="B38" s="7">
        <v>29</v>
      </c>
      <c r="C38" s="266">
        <v>0</v>
      </c>
      <c r="D38" s="8">
        <v>0</v>
      </c>
      <c r="E38" s="266">
        <v>0</v>
      </c>
      <c r="F38" s="267">
        <v>0</v>
      </c>
      <c r="G38" s="9">
        <v>0</v>
      </c>
      <c r="I38" s="372" t="s">
        <v>252</v>
      </c>
      <c r="J38" s="372"/>
      <c r="K38" s="368"/>
      <c r="L38" s="373"/>
      <c r="M38" s="370">
        <v>65.460000000000008</v>
      </c>
      <c r="N38" s="371">
        <v>27631.98900091659</v>
      </c>
      <c r="O38" s="371">
        <v>1808790</v>
      </c>
      <c r="P38" s="367"/>
      <c r="Q38" s="24"/>
    </row>
    <row r="39" spans="1:17" ht="18" hidden="1" customHeight="1" x14ac:dyDescent="0.25">
      <c r="B39" s="10">
        <v>30</v>
      </c>
      <c r="C39" s="269">
        <v>0</v>
      </c>
      <c r="D39" s="11">
        <v>0</v>
      </c>
      <c r="E39" s="269">
        <v>0</v>
      </c>
      <c r="F39" s="270">
        <v>0</v>
      </c>
      <c r="G39" s="12">
        <v>0</v>
      </c>
      <c r="I39" s="362">
        <v>4</v>
      </c>
      <c r="J39" s="362" t="s">
        <v>253</v>
      </c>
      <c r="K39" s="363" t="s">
        <v>254</v>
      </c>
      <c r="L39" s="363" t="s">
        <v>255</v>
      </c>
      <c r="M39" s="365">
        <v>26.5</v>
      </c>
      <c r="N39" s="366">
        <v>19500</v>
      </c>
      <c r="O39" s="366">
        <v>516750</v>
      </c>
      <c r="P39" s="367"/>
      <c r="Q39" s="24"/>
    </row>
    <row r="40" spans="1:17" ht="18" hidden="1" customHeight="1" thickBot="1" x14ac:dyDescent="0.3">
      <c r="B40" s="22" t="s">
        <v>60</v>
      </c>
      <c r="C40" s="271">
        <v>50250944.859999999</v>
      </c>
      <c r="D40" s="13">
        <v>2265.0650000000001</v>
      </c>
      <c r="E40" s="271">
        <v>22185.21095862591</v>
      </c>
      <c r="F40" s="272">
        <v>1</v>
      </c>
      <c r="G40" s="14">
        <v>133</v>
      </c>
      <c r="I40" s="362">
        <v>4</v>
      </c>
      <c r="J40" s="362" t="s">
        <v>256</v>
      </c>
      <c r="K40" s="363" t="s">
        <v>200</v>
      </c>
      <c r="L40" s="364" t="s">
        <v>257</v>
      </c>
      <c r="M40" s="365">
        <v>23.5</v>
      </c>
      <c r="N40" s="366">
        <v>18500</v>
      </c>
      <c r="O40" s="366">
        <v>434750</v>
      </c>
      <c r="P40" s="367"/>
      <c r="Q40" s="24"/>
    </row>
    <row r="41" spans="1:17" ht="18" hidden="1" customHeight="1" thickTop="1" x14ac:dyDescent="0.25">
      <c r="I41" s="362">
        <v>4</v>
      </c>
      <c r="J41" s="362" t="s">
        <v>258</v>
      </c>
      <c r="K41" s="363" t="s">
        <v>259</v>
      </c>
      <c r="L41" s="364" t="s">
        <v>260</v>
      </c>
      <c r="M41" s="365">
        <v>10</v>
      </c>
      <c r="N41" s="366">
        <v>10000</v>
      </c>
      <c r="O41" s="366">
        <v>100000</v>
      </c>
      <c r="P41" s="367"/>
      <c r="Q41" s="24"/>
    </row>
    <row r="42" spans="1:17" ht="20.100000000000001" hidden="1" customHeight="1" x14ac:dyDescent="0.25">
      <c r="I42" s="362">
        <v>4</v>
      </c>
      <c r="J42" s="362" t="s">
        <v>261</v>
      </c>
      <c r="K42" s="363" t="s">
        <v>262</v>
      </c>
      <c r="L42" s="363" t="s">
        <v>263</v>
      </c>
      <c r="M42" s="365">
        <v>3.0950000000000002</v>
      </c>
      <c r="N42" s="366">
        <v>13980</v>
      </c>
      <c r="O42" s="366">
        <v>43269</v>
      </c>
      <c r="P42" s="367"/>
      <c r="Q42" s="24"/>
    </row>
    <row r="43" spans="1:17" hidden="1" x14ac:dyDescent="0.25">
      <c r="A43" s="24"/>
      <c r="B43" s="24"/>
      <c r="C43" s="24"/>
      <c r="D43" s="24"/>
      <c r="E43" s="24"/>
      <c r="F43" s="24"/>
      <c r="G43" s="24"/>
      <c r="H43" s="24"/>
      <c r="I43" s="362">
        <v>4</v>
      </c>
      <c r="J43" s="362" t="s">
        <v>264</v>
      </c>
      <c r="K43" s="363" t="s">
        <v>265</v>
      </c>
      <c r="L43" s="363" t="s">
        <v>266</v>
      </c>
      <c r="M43" s="365">
        <v>20.74</v>
      </c>
      <c r="N43" s="366">
        <v>18000</v>
      </c>
      <c r="O43" s="366">
        <v>373320</v>
      </c>
      <c r="P43" s="374"/>
      <c r="Q43" s="24"/>
    </row>
    <row r="44" spans="1:17" hidden="1" x14ac:dyDescent="0.25">
      <c r="A44" s="24"/>
      <c r="B44" s="24"/>
      <c r="C44" s="24"/>
      <c r="D44" s="24"/>
      <c r="E44" s="24"/>
      <c r="F44" s="24"/>
      <c r="G44" s="24"/>
      <c r="H44" s="24"/>
      <c r="I44" s="362">
        <v>4</v>
      </c>
      <c r="J44" s="362" t="s">
        <v>264</v>
      </c>
      <c r="K44" s="363" t="s">
        <v>267</v>
      </c>
      <c r="L44" s="363" t="s">
        <v>268</v>
      </c>
      <c r="M44" s="365">
        <v>6.7649999999999997</v>
      </c>
      <c r="N44" s="366">
        <v>55000</v>
      </c>
      <c r="O44" s="366">
        <v>372075</v>
      </c>
      <c r="P44" s="374"/>
      <c r="Q44" s="24"/>
    </row>
    <row r="45" spans="1:17" ht="15.75" hidden="1" customHeight="1" x14ac:dyDescent="0.25">
      <c r="A45" s="24"/>
      <c r="B45" s="36"/>
      <c r="C45" s="24"/>
      <c r="D45" s="24"/>
      <c r="E45" s="24"/>
      <c r="F45" s="24"/>
      <c r="G45" s="24"/>
      <c r="H45" s="24"/>
      <c r="I45" s="362">
        <v>4</v>
      </c>
      <c r="J45" s="362" t="s">
        <v>264</v>
      </c>
      <c r="K45" s="363" t="s">
        <v>269</v>
      </c>
      <c r="L45" s="363" t="s">
        <v>270</v>
      </c>
      <c r="M45" s="365">
        <v>9.16</v>
      </c>
      <c r="N45" s="366">
        <v>23000</v>
      </c>
      <c r="O45" s="366">
        <v>210680</v>
      </c>
      <c r="P45" s="374"/>
      <c r="Q45" s="24"/>
    </row>
    <row r="46" spans="1:17" hidden="1" x14ac:dyDescent="0.25">
      <c r="A46" s="24"/>
      <c r="B46" s="25"/>
      <c r="C46" s="24"/>
      <c r="D46" s="24"/>
      <c r="E46" s="24"/>
      <c r="F46" s="24"/>
      <c r="G46" s="24"/>
      <c r="H46" s="24"/>
      <c r="I46" s="362">
        <v>4</v>
      </c>
      <c r="J46" s="362" t="s">
        <v>264</v>
      </c>
      <c r="K46" s="363" t="s">
        <v>271</v>
      </c>
      <c r="L46" s="363" t="s">
        <v>272</v>
      </c>
      <c r="M46" s="365">
        <v>7</v>
      </c>
      <c r="N46" s="366">
        <v>24000</v>
      </c>
      <c r="O46" s="366">
        <v>168000</v>
      </c>
      <c r="P46" s="374"/>
      <c r="Q46" s="24"/>
    </row>
    <row r="47" spans="1:17" hidden="1" x14ac:dyDescent="0.25">
      <c r="A47" s="24"/>
      <c r="B47" s="24"/>
      <c r="C47" s="24"/>
      <c r="D47" s="24"/>
      <c r="E47" s="24"/>
      <c r="F47" s="24"/>
      <c r="G47" s="24"/>
      <c r="H47" s="24"/>
      <c r="I47" s="372" t="s">
        <v>273</v>
      </c>
      <c r="J47" s="372"/>
      <c r="K47" s="368"/>
      <c r="L47" s="368"/>
      <c r="M47" s="370">
        <v>106.76</v>
      </c>
      <c r="N47" s="371">
        <v>20783.476957662049</v>
      </c>
      <c r="O47" s="371">
        <v>2218844</v>
      </c>
      <c r="P47" s="374"/>
      <c r="Q47" s="24"/>
    </row>
    <row r="48" spans="1:17" x14ac:dyDescent="0.25">
      <c r="A48" s="24"/>
      <c r="B48" s="37"/>
      <c r="C48" s="37"/>
      <c r="D48" s="37"/>
      <c r="E48" s="37"/>
      <c r="F48" s="37"/>
      <c r="G48" s="37"/>
      <c r="H48" s="37"/>
      <c r="I48" s="362">
        <v>5</v>
      </c>
      <c r="J48" s="362" t="s">
        <v>274</v>
      </c>
      <c r="K48" s="363" t="s">
        <v>275</v>
      </c>
      <c r="L48" s="363" t="s">
        <v>276</v>
      </c>
      <c r="M48" s="365">
        <v>19.7</v>
      </c>
      <c r="N48" s="366">
        <v>22900</v>
      </c>
      <c r="O48" s="366" t="s">
        <v>277</v>
      </c>
      <c r="P48" s="374"/>
      <c r="Q48" s="24"/>
    </row>
    <row r="49" spans="1:17" x14ac:dyDescent="0.25">
      <c r="A49" s="24"/>
      <c r="B49" s="38"/>
      <c r="C49" s="38"/>
      <c r="D49" s="39"/>
      <c r="E49" s="39"/>
      <c r="F49" s="40"/>
      <c r="G49" s="273"/>
      <c r="H49" s="273"/>
      <c r="I49" s="362">
        <v>5</v>
      </c>
      <c r="J49" s="362" t="s">
        <v>274</v>
      </c>
      <c r="K49" s="363" t="s">
        <v>278</v>
      </c>
      <c r="L49" s="363" t="s">
        <v>279</v>
      </c>
      <c r="M49" s="365">
        <v>26.1</v>
      </c>
      <c r="N49" s="366">
        <v>18500</v>
      </c>
      <c r="O49" s="366">
        <v>482850</v>
      </c>
      <c r="P49" s="374"/>
      <c r="Q49" s="24"/>
    </row>
    <row r="50" spans="1:17" x14ac:dyDescent="0.25">
      <c r="A50" s="24"/>
      <c r="B50" s="38"/>
      <c r="C50" s="38"/>
      <c r="D50" s="39"/>
      <c r="E50" s="39"/>
      <c r="F50" s="40"/>
      <c r="G50" s="273"/>
      <c r="H50" s="273"/>
      <c r="I50" s="362">
        <v>5</v>
      </c>
      <c r="J50" s="362" t="s">
        <v>274</v>
      </c>
      <c r="K50" s="363" t="s">
        <v>280</v>
      </c>
      <c r="L50" s="363" t="s">
        <v>281</v>
      </c>
      <c r="M50" s="365">
        <v>30.66</v>
      </c>
      <c r="N50" s="366">
        <v>18900</v>
      </c>
      <c r="O50" s="366">
        <v>579474</v>
      </c>
      <c r="P50" s="374"/>
      <c r="Q50" s="24"/>
    </row>
    <row r="51" spans="1:17" x14ac:dyDescent="0.25">
      <c r="A51" s="24"/>
      <c r="B51" s="38"/>
      <c r="C51" s="38"/>
      <c r="D51" s="39"/>
      <c r="E51" s="39"/>
      <c r="F51" s="40"/>
      <c r="G51" s="273"/>
      <c r="H51" s="273"/>
      <c r="I51" s="362">
        <v>5</v>
      </c>
      <c r="J51" s="362" t="s">
        <v>274</v>
      </c>
      <c r="K51" s="363" t="s">
        <v>282</v>
      </c>
      <c r="L51" s="363" t="s">
        <v>283</v>
      </c>
      <c r="M51" s="365">
        <v>21.55</v>
      </c>
      <c r="N51" s="366">
        <v>42000</v>
      </c>
      <c r="O51" s="366">
        <v>905100</v>
      </c>
      <c r="P51" s="374"/>
      <c r="Q51" s="24"/>
    </row>
    <row r="52" spans="1:17" x14ac:dyDescent="0.25">
      <c r="A52" s="24"/>
      <c r="B52" s="38"/>
      <c r="C52" s="38"/>
      <c r="D52" s="39"/>
      <c r="E52" s="39"/>
      <c r="F52" s="40"/>
      <c r="G52" s="273"/>
      <c r="H52" s="273"/>
      <c r="I52" s="362">
        <v>5</v>
      </c>
      <c r="J52" s="362" t="s">
        <v>274</v>
      </c>
      <c r="K52" s="363" t="s">
        <v>284</v>
      </c>
      <c r="L52" s="363" t="s">
        <v>285</v>
      </c>
      <c r="M52" s="365">
        <v>18</v>
      </c>
      <c r="N52" s="366">
        <v>44000</v>
      </c>
      <c r="O52" s="366">
        <v>792000</v>
      </c>
      <c r="P52" s="374"/>
      <c r="Q52" s="24"/>
    </row>
    <row r="53" spans="1:17" x14ac:dyDescent="0.25">
      <c r="A53" s="24"/>
      <c r="B53" s="38"/>
      <c r="C53" s="38"/>
      <c r="D53" s="39"/>
      <c r="E53" s="39"/>
      <c r="F53" s="40"/>
      <c r="G53" s="273"/>
      <c r="H53" s="273"/>
      <c r="I53" s="362">
        <v>5</v>
      </c>
      <c r="J53" s="362" t="s">
        <v>274</v>
      </c>
      <c r="K53" s="363" t="s">
        <v>214</v>
      </c>
      <c r="L53" s="363" t="s">
        <v>286</v>
      </c>
      <c r="M53" s="365">
        <v>20.239999999999998</v>
      </c>
      <c r="N53" s="366">
        <v>25900</v>
      </c>
      <c r="O53" s="366">
        <v>524216</v>
      </c>
      <c r="P53" s="374"/>
      <c r="Q53" s="24"/>
    </row>
    <row r="54" spans="1:17" x14ac:dyDescent="0.25">
      <c r="A54" s="24"/>
      <c r="B54" s="38"/>
      <c r="C54" s="38"/>
      <c r="D54" s="39"/>
      <c r="E54" s="39"/>
      <c r="F54" s="40"/>
      <c r="G54" s="273"/>
      <c r="H54" s="273"/>
      <c r="I54" s="362">
        <v>5</v>
      </c>
      <c r="J54" s="362" t="s">
        <v>274</v>
      </c>
      <c r="K54" s="363" t="s">
        <v>216</v>
      </c>
      <c r="L54" s="363" t="s">
        <v>287</v>
      </c>
      <c r="M54" s="365">
        <v>9</v>
      </c>
      <c r="N54" s="366">
        <v>34500</v>
      </c>
      <c r="O54" s="366">
        <v>310500</v>
      </c>
      <c r="P54" s="374"/>
      <c r="Q54" s="24"/>
    </row>
    <row r="55" spans="1:17" x14ac:dyDescent="0.25">
      <c r="A55" s="24"/>
      <c r="B55" s="38"/>
      <c r="C55" s="38"/>
      <c r="D55" s="39"/>
      <c r="E55" s="39"/>
      <c r="F55" s="40"/>
      <c r="G55" s="273"/>
      <c r="H55" s="273"/>
      <c r="I55" s="362">
        <v>5</v>
      </c>
      <c r="J55" s="362" t="s">
        <v>274</v>
      </c>
      <c r="K55" s="363" t="s">
        <v>288</v>
      </c>
      <c r="L55" s="363" t="s">
        <v>289</v>
      </c>
      <c r="M55" s="365">
        <v>150.9</v>
      </c>
      <c r="N55" s="366">
        <v>21900</v>
      </c>
      <c r="O55" s="366">
        <v>3304710</v>
      </c>
      <c r="P55" s="374"/>
      <c r="Q55" s="24"/>
    </row>
    <row r="56" spans="1:17" hidden="1" x14ac:dyDescent="0.25">
      <c r="A56" s="24"/>
      <c r="B56" s="38"/>
      <c r="C56" s="38"/>
      <c r="D56" s="39"/>
      <c r="E56" s="39"/>
      <c r="F56" s="40"/>
      <c r="G56" s="273"/>
      <c r="H56" s="273"/>
      <c r="I56" s="362">
        <v>5</v>
      </c>
      <c r="J56" s="362" t="s">
        <v>290</v>
      </c>
      <c r="K56" s="363" t="s">
        <v>250</v>
      </c>
      <c r="L56" s="363" t="s">
        <v>251</v>
      </c>
      <c r="M56" s="365">
        <v>20</v>
      </c>
      <c r="N56" s="366">
        <v>18200</v>
      </c>
      <c r="O56" s="366">
        <v>364000</v>
      </c>
      <c r="P56" s="374"/>
      <c r="Q56" s="24"/>
    </row>
    <row r="57" spans="1:17" hidden="1" x14ac:dyDescent="0.25">
      <c r="A57" s="24"/>
      <c r="B57" s="38"/>
      <c r="C57" s="38"/>
      <c r="D57" s="39"/>
      <c r="E57" s="39"/>
      <c r="F57" s="40"/>
      <c r="G57" s="273"/>
      <c r="H57" s="273"/>
      <c r="I57" s="372" t="s">
        <v>291</v>
      </c>
      <c r="J57" s="372"/>
      <c r="K57" s="368"/>
      <c r="L57" s="368"/>
      <c r="M57" s="370">
        <v>316.14999999999998</v>
      </c>
      <c r="N57" s="371">
        <v>22972.797722600029</v>
      </c>
      <c r="O57" s="371">
        <v>7262850</v>
      </c>
      <c r="P57" s="374"/>
      <c r="Q57" s="24"/>
    </row>
    <row r="58" spans="1:17" hidden="1" x14ac:dyDescent="0.25">
      <c r="A58" s="24"/>
      <c r="B58" s="38"/>
      <c r="C58" s="38"/>
      <c r="D58" s="39"/>
      <c r="E58" s="39"/>
      <c r="F58" s="40"/>
      <c r="G58" s="273"/>
      <c r="H58" s="273"/>
      <c r="I58" s="362">
        <v>7</v>
      </c>
      <c r="J58" s="362" t="s">
        <v>292</v>
      </c>
      <c r="K58" s="363" t="s">
        <v>293</v>
      </c>
      <c r="L58" s="363" t="s">
        <v>294</v>
      </c>
      <c r="M58" s="365">
        <v>3.32</v>
      </c>
      <c r="N58" s="366">
        <v>8974.59</v>
      </c>
      <c r="O58" s="366">
        <v>29795.64</v>
      </c>
      <c r="P58" s="374"/>
      <c r="Q58" s="24"/>
    </row>
    <row r="59" spans="1:17" hidden="1" x14ac:dyDescent="0.25">
      <c r="A59" s="24"/>
      <c r="B59" s="38"/>
      <c r="C59" s="38"/>
      <c r="D59" s="39"/>
      <c r="E59" s="39"/>
      <c r="F59" s="40"/>
      <c r="G59" s="273"/>
      <c r="H59" s="273"/>
      <c r="I59" s="362">
        <v>7</v>
      </c>
      <c r="J59" s="362" t="s">
        <v>292</v>
      </c>
      <c r="K59" s="363" t="s">
        <v>192</v>
      </c>
      <c r="L59" s="363" t="s">
        <v>295</v>
      </c>
      <c r="M59" s="365">
        <v>3.93</v>
      </c>
      <c r="N59" s="366">
        <v>7984.07</v>
      </c>
      <c r="O59" s="366">
        <v>31377.4</v>
      </c>
      <c r="P59" s="374"/>
      <c r="Q59" s="24"/>
    </row>
    <row r="60" spans="1:17" hidden="1" x14ac:dyDescent="0.25">
      <c r="A60" s="24"/>
      <c r="B60" s="41"/>
      <c r="C60" s="24"/>
      <c r="D60" s="24"/>
      <c r="E60" s="24"/>
      <c r="F60" s="42"/>
      <c r="G60" s="274"/>
      <c r="H60" s="274"/>
      <c r="I60" s="362">
        <v>7</v>
      </c>
      <c r="J60" s="362" t="s">
        <v>296</v>
      </c>
      <c r="K60" s="363" t="s">
        <v>297</v>
      </c>
      <c r="L60" s="363" t="s">
        <v>298</v>
      </c>
      <c r="M60" s="365">
        <v>38.6</v>
      </c>
      <c r="N60" s="366">
        <v>11500</v>
      </c>
      <c r="O60" s="366">
        <v>443900</v>
      </c>
      <c r="P60" s="374"/>
      <c r="Q60" s="24"/>
    </row>
    <row r="61" spans="1:17" hidden="1" x14ac:dyDescent="0.25">
      <c r="A61" s="24"/>
      <c r="B61" s="38"/>
      <c r="C61" s="38"/>
      <c r="D61" s="39"/>
      <c r="E61" s="39"/>
      <c r="F61" s="40"/>
      <c r="G61" s="273"/>
      <c r="H61" s="273"/>
      <c r="I61" s="362">
        <v>7</v>
      </c>
      <c r="J61" s="362" t="s">
        <v>299</v>
      </c>
      <c r="K61" s="363" t="s">
        <v>259</v>
      </c>
      <c r="L61" s="363" t="s">
        <v>300</v>
      </c>
      <c r="M61" s="365">
        <v>1</v>
      </c>
      <c r="N61" s="366">
        <v>130000</v>
      </c>
      <c r="O61" s="366">
        <v>130000</v>
      </c>
      <c r="P61" s="374"/>
      <c r="Q61" s="24"/>
    </row>
    <row r="62" spans="1:17" x14ac:dyDescent="0.25">
      <c r="A62" s="24"/>
      <c r="B62" s="38"/>
      <c r="C62" s="38"/>
      <c r="D62" s="39"/>
      <c r="E62" s="39"/>
      <c r="F62" s="40"/>
      <c r="G62" s="273"/>
      <c r="H62" s="273"/>
      <c r="I62" s="362">
        <v>7</v>
      </c>
      <c r="J62" s="362" t="s">
        <v>301</v>
      </c>
      <c r="K62" s="363" t="s">
        <v>302</v>
      </c>
      <c r="L62" s="363" t="s">
        <v>303</v>
      </c>
      <c r="M62" s="365">
        <v>5.5919999999999996</v>
      </c>
      <c r="N62" s="366">
        <v>26900</v>
      </c>
      <c r="O62" s="366">
        <v>150425</v>
      </c>
      <c r="P62" s="374"/>
      <c r="Q62" s="24"/>
    </row>
    <row r="63" spans="1:17" x14ac:dyDescent="0.25">
      <c r="A63" s="24"/>
      <c r="B63" s="41"/>
      <c r="C63" s="24"/>
      <c r="D63" s="24"/>
      <c r="E63" s="24"/>
      <c r="F63" s="42"/>
      <c r="G63" s="274"/>
      <c r="H63" s="274"/>
      <c r="I63" s="362">
        <v>7</v>
      </c>
      <c r="J63" s="362" t="s">
        <v>301</v>
      </c>
      <c r="K63" s="363" t="s">
        <v>214</v>
      </c>
      <c r="L63" s="363" t="s">
        <v>304</v>
      </c>
      <c r="M63" s="365">
        <v>21.61</v>
      </c>
      <c r="N63" s="366">
        <v>25900</v>
      </c>
      <c r="O63" s="366">
        <v>559699</v>
      </c>
      <c r="P63" s="374"/>
      <c r="Q63" s="24"/>
    </row>
    <row r="64" spans="1:17" x14ac:dyDescent="0.25">
      <c r="A64" s="24"/>
      <c r="B64" s="38"/>
      <c r="C64" s="38"/>
      <c r="D64" s="39"/>
      <c r="E64" s="39"/>
      <c r="F64" s="40"/>
      <c r="G64" s="273"/>
      <c r="H64" s="273"/>
      <c r="I64" s="362">
        <v>7</v>
      </c>
      <c r="J64" s="362" t="s">
        <v>301</v>
      </c>
      <c r="K64" s="363" t="s">
        <v>216</v>
      </c>
      <c r="L64" s="363" t="s">
        <v>305</v>
      </c>
      <c r="M64" s="365">
        <v>20.565000000000001</v>
      </c>
      <c r="N64" s="366">
        <v>34500</v>
      </c>
      <c r="O64" s="366">
        <v>709493</v>
      </c>
      <c r="P64" s="374"/>
      <c r="Q64" s="24"/>
    </row>
    <row r="65" spans="1:17" hidden="1" x14ac:dyDescent="0.25">
      <c r="A65" s="24"/>
      <c r="B65" s="38"/>
      <c r="C65" s="38"/>
      <c r="D65" s="39"/>
      <c r="E65" s="39"/>
      <c r="F65" s="40"/>
      <c r="G65" s="273"/>
      <c r="H65" s="273"/>
      <c r="I65" s="362">
        <v>7</v>
      </c>
      <c r="J65" s="362" t="s">
        <v>306</v>
      </c>
      <c r="K65" s="363" t="s">
        <v>229</v>
      </c>
      <c r="L65" s="363" t="s">
        <v>307</v>
      </c>
      <c r="M65" s="365">
        <v>3.39</v>
      </c>
      <c r="N65" s="366">
        <v>17500</v>
      </c>
      <c r="O65" s="366">
        <v>59325</v>
      </c>
      <c r="P65" s="374"/>
      <c r="Q65" s="24"/>
    </row>
    <row r="66" spans="1:17" hidden="1" x14ac:dyDescent="0.25">
      <c r="A66" s="24"/>
      <c r="B66" s="38"/>
      <c r="C66" s="38"/>
      <c r="D66" s="39"/>
      <c r="E66" s="39"/>
      <c r="F66" s="40"/>
      <c r="G66" s="273"/>
      <c r="H66" s="273"/>
      <c r="I66" s="362">
        <v>7</v>
      </c>
      <c r="J66" s="362" t="s">
        <v>306</v>
      </c>
      <c r="K66" s="363" t="s">
        <v>308</v>
      </c>
      <c r="L66" s="363" t="s">
        <v>309</v>
      </c>
      <c r="M66" s="365">
        <v>2</v>
      </c>
      <c r="N66" s="366">
        <v>10600</v>
      </c>
      <c r="O66" s="366">
        <v>21200</v>
      </c>
      <c r="P66" s="374"/>
      <c r="Q66" s="24"/>
    </row>
    <row r="67" spans="1:17" hidden="1" x14ac:dyDescent="0.25">
      <c r="A67" s="24"/>
      <c r="B67" s="38"/>
      <c r="C67" s="38"/>
      <c r="D67" s="39"/>
      <c r="E67" s="39"/>
      <c r="F67" s="40"/>
      <c r="G67" s="273"/>
      <c r="H67" s="273"/>
      <c r="I67" s="372" t="s">
        <v>310</v>
      </c>
      <c r="J67" s="372"/>
      <c r="K67" s="368"/>
      <c r="L67" s="368"/>
      <c r="M67" s="370">
        <v>100.00700000000001</v>
      </c>
      <c r="N67" s="371">
        <v>21350.655854090219</v>
      </c>
      <c r="O67" s="371">
        <v>2135215.04</v>
      </c>
      <c r="P67" s="374"/>
      <c r="Q67" s="24"/>
    </row>
    <row r="68" spans="1:17" hidden="1" x14ac:dyDescent="0.25">
      <c r="A68" s="24"/>
      <c r="B68" s="38"/>
      <c r="C68" s="38"/>
      <c r="D68" s="39"/>
      <c r="E68" s="39"/>
      <c r="F68" s="40"/>
      <c r="G68" s="273"/>
      <c r="H68" s="273"/>
      <c r="I68" s="362">
        <v>8</v>
      </c>
      <c r="J68" s="362" t="s">
        <v>311</v>
      </c>
      <c r="K68" s="363" t="s">
        <v>200</v>
      </c>
      <c r="L68" s="363" t="s">
        <v>312</v>
      </c>
      <c r="M68" s="365">
        <v>14.1</v>
      </c>
      <c r="N68" s="366">
        <v>18500</v>
      </c>
      <c r="O68" s="366">
        <v>260850</v>
      </c>
      <c r="P68" s="374"/>
      <c r="Q68" s="24"/>
    </row>
    <row r="69" spans="1:17" hidden="1" x14ac:dyDescent="0.25">
      <c r="A69" s="24"/>
      <c r="B69" s="38"/>
      <c r="C69" s="38"/>
      <c r="D69" s="39"/>
      <c r="E69" s="39"/>
      <c r="F69" s="40"/>
      <c r="G69" s="273"/>
      <c r="H69" s="273"/>
      <c r="I69" s="362">
        <v>8</v>
      </c>
      <c r="J69" s="362" t="s">
        <v>313</v>
      </c>
      <c r="K69" s="363" t="s">
        <v>254</v>
      </c>
      <c r="L69" s="363" t="s">
        <v>314</v>
      </c>
      <c r="M69" s="365">
        <v>13.6</v>
      </c>
      <c r="N69" s="366">
        <v>19500</v>
      </c>
      <c r="O69" s="366">
        <v>265200</v>
      </c>
      <c r="P69" s="374"/>
      <c r="Q69" s="24"/>
    </row>
    <row r="70" spans="1:17" hidden="1" x14ac:dyDescent="0.25">
      <c r="A70" s="24"/>
      <c r="B70" s="41"/>
      <c r="C70" s="24"/>
      <c r="D70" s="24"/>
      <c r="E70" s="24"/>
      <c r="F70" s="42"/>
      <c r="G70" s="274"/>
      <c r="H70" s="274"/>
      <c r="I70" s="362">
        <v>8</v>
      </c>
      <c r="J70" s="362" t="s">
        <v>311</v>
      </c>
      <c r="K70" s="363" t="s">
        <v>223</v>
      </c>
      <c r="L70" s="363" t="s">
        <v>315</v>
      </c>
      <c r="M70" s="365">
        <v>14.9</v>
      </c>
      <c r="N70" s="366">
        <v>7500</v>
      </c>
      <c r="O70" s="366">
        <v>111750</v>
      </c>
      <c r="P70" s="374"/>
      <c r="Q70" s="24"/>
    </row>
    <row r="71" spans="1:17" ht="15.75" hidden="1" customHeight="1" x14ac:dyDescent="0.25">
      <c r="A71" s="24"/>
      <c r="B71" s="38"/>
      <c r="C71" s="38"/>
      <c r="D71" s="39"/>
      <c r="E71" s="39"/>
      <c r="F71" s="40"/>
      <c r="G71" s="273"/>
      <c r="H71" s="273"/>
      <c r="I71" s="362">
        <v>8</v>
      </c>
      <c r="J71" s="362" t="s">
        <v>316</v>
      </c>
      <c r="K71" s="363" t="s">
        <v>233</v>
      </c>
      <c r="L71" s="363" t="s">
        <v>317</v>
      </c>
      <c r="M71" s="365">
        <v>5</v>
      </c>
      <c r="N71" s="366">
        <v>33000</v>
      </c>
      <c r="O71" s="366">
        <v>165000</v>
      </c>
      <c r="P71" s="374"/>
      <c r="Q71" s="24"/>
    </row>
    <row r="72" spans="1:17" hidden="1" x14ac:dyDescent="0.25">
      <c r="I72" s="362">
        <v>8</v>
      </c>
      <c r="J72" s="362" t="s">
        <v>316</v>
      </c>
      <c r="K72" s="363" t="s">
        <v>192</v>
      </c>
      <c r="L72" s="363" t="s">
        <v>318</v>
      </c>
      <c r="M72" s="365">
        <v>8.65</v>
      </c>
      <c r="N72" s="366">
        <v>7000</v>
      </c>
      <c r="O72" s="366">
        <v>60550</v>
      </c>
      <c r="P72" s="374"/>
    </row>
    <row r="73" spans="1:17" hidden="1" x14ac:dyDescent="0.25">
      <c r="I73" s="362">
        <v>8</v>
      </c>
      <c r="J73" s="362" t="s">
        <v>319</v>
      </c>
      <c r="K73" s="363" t="s">
        <v>320</v>
      </c>
      <c r="L73" s="363" t="s">
        <v>320</v>
      </c>
      <c r="M73" s="365">
        <v>1</v>
      </c>
      <c r="N73" s="366">
        <v>72200</v>
      </c>
      <c r="O73" s="366">
        <v>72200</v>
      </c>
      <c r="P73" s="374"/>
    </row>
    <row r="74" spans="1:17" hidden="1" x14ac:dyDescent="0.25">
      <c r="I74" s="362">
        <v>8</v>
      </c>
      <c r="J74" s="362" t="s">
        <v>321</v>
      </c>
      <c r="K74" s="363" t="s">
        <v>322</v>
      </c>
      <c r="L74" s="363" t="s">
        <v>323</v>
      </c>
      <c r="M74" s="365">
        <v>2</v>
      </c>
      <c r="N74" s="366">
        <v>3050</v>
      </c>
      <c r="O74" s="366">
        <v>6100</v>
      </c>
      <c r="P74" s="374"/>
    </row>
    <row r="75" spans="1:17" hidden="1" x14ac:dyDescent="0.25">
      <c r="I75" s="362">
        <v>8</v>
      </c>
      <c r="J75" s="362" t="s">
        <v>321</v>
      </c>
      <c r="K75" s="363" t="s">
        <v>322</v>
      </c>
      <c r="L75" s="363" t="s">
        <v>323</v>
      </c>
      <c r="M75" s="365">
        <v>2</v>
      </c>
      <c r="N75" s="366">
        <v>3050</v>
      </c>
      <c r="O75" s="366">
        <v>6100</v>
      </c>
      <c r="P75" s="374"/>
    </row>
    <row r="76" spans="1:17" hidden="1" x14ac:dyDescent="0.25">
      <c r="I76" s="362">
        <v>8</v>
      </c>
      <c r="J76" s="362" t="s">
        <v>321</v>
      </c>
      <c r="K76" s="363" t="s">
        <v>322</v>
      </c>
      <c r="L76" s="363" t="s">
        <v>323</v>
      </c>
      <c r="M76" s="365">
        <v>2</v>
      </c>
      <c r="N76" s="366">
        <v>3050</v>
      </c>
      <c r="O76" s="366">
        <v>6100</v>
      </c>
      <c r="P76" s="374"/>
    </row>
    <row r="77" spans="1:17" hidden="1" x14ac:dyDescent="0.25">
      <c r="I77" s="362">
        <v>8</v>
      </c>
      <c r="J77" s="362" t="s">
        <v>321</v>
      </c>
      <c r="K77" s="363" t="s">
        <v>322</v>
      </c>
      <c r="L77" s="363" t="s">
        <v>323</v>
      </c>
      <c r="M77" s="365">
        <v>2</v>
      </c>
      <c r="N77" s="366">
        <v>3050</v>
      </c>
      <c r="O77" s="366">
        <v>6100</v>
      </c>
      <c r="P77" s="374"/>
    </row>
    <row r="78" spans="1:17" hidden="1" x14ac:dyDescent="0.25">
      <c r="I78" s="362">
        <v>8</v>
      </c>
      <c r="J78" s="362" t="s">
        <v>321</v>
      </c>
      <c r="K78" s="363" t="s">
        <v>322</v>
      </c>
      <c r="L78" s="363" t="s">
        <v>323</v>
      </c>
      <c r="M78" s="365">
        <v>2</v>
      </c>
      <c r="N78" s="366">
        <v>3050</v>
      </c>
      <c r="O78" s="366">
        <v>6100</v>
      </c>
      <c r="P78" s="374"/>
    </row>
    <row r="79" spans="1:17" hidden="1" x14ac:dyDescent="0.25">
      <c r="I79" s="372" t="s">
        <v>324</v>
      </c>
      <c r="J79" s="372"/>
      <c r="K79" s="368"/>
      <c r="L79" s="368"/>
      <c r="M79" s="370">
        <v>67.25</v>
      </c>
      <c r="N79" s="371">
        <v>14365.05576208178</v>
      </c>
      <c r="O79" s="371">
        <v>966050</v>
      </c>
      <c r="P79" s="374"/>
    </row>
    <row r="80" spans="1:17" x14ac:dyDescent="0.25">
      <c r="I80" s="362">
        <v>9</v>
      </c>
      <c r="J80" s="362" t="s">
        <v>325</v>
      </c>
      <c r="K80" s="363" t="s">
        <v>275</v>
      </c>
      <c r="L80" s="363" t="s">
        <v>326</v>
      </c>
      <c r="M80" s="365">
        <v>20.2</v>
      </c>
      <c r="N80" s="366">
        <v>22900</v>
      </c>
      <c r="O80" s="366">
        <v>462580</v>
      </c>
      <c r="P80" s="374"/>
    </row>
    <row r="81" spans="9:16" x14ac:dyDescent="0.25">
      <c r="I81" s="362">
        <v>9</v>
      </c>
      <c r="J81" s="362" t="s">
        <v>325</v>
      </c>
      <c r="K81" s="363" t="s">
        <v>210</v>
      </c>
      <c r="L81" s="363" t="s">
        <v>327</v>
      </c>
      <c r="M81" s="365">
        <v>28.6</v>
      </c>
      <c r="N81" s="366">
        <v>15900</v>
      </c>
      <c r="O81" s="366">
        <v>454740</v>
      </c>
      <c r="P81" s="374"/>
    </row>
    <row r="82" spans="9:16" x14ac:dyDescent="0.25">
      <c r="I82" s="362">
        <v>9</v>
      </c>
      <c r="J82" s="362" t="s">
        <v>325</v>
      </c>
      <c r="K82" s="363" t="s">
        <v>212</v>
      </c>
      <c r="L82" s="363" t="s">
        <v>328</v>
      </c>
      <c r="M82" s="365">
        <v>24.7</v>
      </c>
      <c r="N82" s="366">
        <v>23900</v>
      </c>
      <c r="O82" s="366">
        <v>590330</v>
      </c>
      <c r="P82" s="374"/>
    </row>
    <row r="83" spans="9:16" x14ac:dyDescent="0.25">
      <c r="I83" s="362">
        <v>9</v>
      </c>
      <c r="J83" s="362" t="s">
        <v>325</v>
      </c>
      <c r="K83" s="363" t="s">
        <v>214</v>
      </c>
      <c r="L83" s="363" t="s">
        <v>329</v>
      </c>
      <c r="M83" s="365">
        <v>22.18</v>
      </c>
      <c r="N83" s="366">
        <v>25900</v>
      </c>
      <c r="O83" s="366">
        <v>574462</v>
      </c>
      <c r="P83" s="374"/>
    </row>
    <row r="84" spans="9:16" x14ac:dyDescent="0.25">
      <c r="I84" s="362">
        <v>9</v>
      </c>
      <c r="J84" s="362" t="s">
        <v>325</v>
      </c>
      <c r="K84" s="363" t="s">
        <v>288</v>
      </c>
      <c r="L84" s="363" t="s">
        <v>330</v>
      </c>
      <c r="M84" s="365">
        <v>68.7</v>
      </c>
      <c r="N84" s="366">
        <v>21900</v>
      </c>
      <c r="O84" s="366">
        <v>1504530</v>
      </c>
      <c r="P84" s="374"/>
    </row>
    <row r="85" spans="9:16" x14ac:dyDescent="0.25">
      <c r="I85" s="362">
        <v>9</v>
      </c>
      <c r="J85" s="362" t="s">
        <v>325</v>
      </c>
      <c r="K85" s="363" t="s">
        <v>331</v>
      </c>
      <c r="L85" s="363" t="s">
        <v>332</v>
      </c>
      <c r="M85" s="365">
        <v>17.260000000000002</v>
      </c>
      <c r="N85" s="366">
        <v>11500</v>
      </c>
      <c r="O85" s="366">
        <v>198490</v>
      </c>
      <c r="P85" s="374"/>
    </row>
    <row r="86" spans="9:16" hidden="1" x14ac:dyDescent="0.25">
      <c r="I86" s="362">
        <v>9</v>
      </c>
      <c r="J86" s="362" t="s">
        <v>333</v>
      </c>
      <c r="K86" s="363" t="s">
        <v>297</v>
      </c>
      <c r="L86" s="363" t="s">
        <v>334</v>
      </c>
      <c r="M86" s="365">
        <v>38.4</v>
      </c>
      <c r="N86" s="366">
        <v>11000</v>
      </c>
      <c r="O86" s="366">
        <v>422400</v>
      </c>
      <c r="P86" s="374"/>
    </row>
    <row r="87" spans="9:16" ht="18.95" hidden="1" customHeight="1" x14ac:dyDescent="0.25">
      <c r="I87" s="362">
        <v>9</v>
      </c>
      <c r="J87" s="362" t="s">
        <v>335</v>
      </c>
      <c r="K87" s="363" t="s">
        <v>200</v>
      </c>
      <c r="L87" s="363" t="s">
        <v>336</v>
      </c>
      <c r="M87" s="365">
        <v>13.6</v>
      </c>
      <c r="N87" s="366">
        <v>18500</v>
      </c>
      <c r="O87" s="366">
        <v>251600</v>
      </c>
      <c r="P87" s="374"/>
    </row>
    <row r="88" spans="9:16" ht="18.95" hidden="1" customHeight="1" x14ac:dyDescent="0.25">
      <c r="I88" s="362">
        <v>9</v>
      </c>
      <c r="J88" s="362" t="s">
        <v>335</v>
      </c>
      <c r="K88" s="363" t="s">
        <v>223</v>
      </c>
      <c r="L88" s="363" t="s">
        <v>337</v>
      </c>
      <c r="M88" s="365">
        <v>43.4</v>
      </c>
      <c r="N88" s="366">
        <v>7500</v>
      </c>
      <c r="O88" s="366">
        <v>325500</v>
      </c>
      <c r="P88" s="374"/>
    </row>
    <row r="89" spans="9:16" ht="18.95" hidden="1" customHeight="1" x14ac:dyDescent="0.25">
      <c r="I89" s="362">
        <v>9</v>
      </c>
      <c r="J89" s="362" t="s">
        <v>338</v>
      </c>
      <c r="K89" s="363" t="s">
        <v>254</v>
      </c>
      <c r="L89" s="363" t="s">
        <v>339</v>
      </c>
      <c r="M89" s="365">
        <v>27.9</v>
      </c>
      <c r="N89" s="366">
        <v>18500</v>
      </c>
      <c r="O89" s="366">
        <v>516150</v>
      </c>
      <c r="P89" s="374"/>
    </row>
    <row r="90" spans="9:16" ht="18.95" hidden="1" customHeight="1" x14ac:dyDescent="0.25">
      <c r="I90" s="362">
        <v>9</v>
      </c>
      <c r="J90" s="362" t="s">
        <v>340</v>
      </c>
      <c r="K90" s="363" t="s">
        <v>195</v>
      </c>
      <c r="L90" s="363" t="s">
        <v>341</v>
      </c>
      <c r="M90" s="365">
        <v>20</v>
      </c>
      <c r="N90" s="366">
        <v>16500</v>
      </c>
      <c r="O90" s="366">
        <v>330000</v>
      </c>
      <c r="P90" s="374"/>
    </row>
    <row r="91" spans="9:16" s="112" customFormat="1" ht="18.95" hidden="1" customHeight="1" x14ac:dyDescent="0.25">
      <c r="I91" s="362">
        <v>9</v>
      </c>
      <c r="J91" s="362" t="s">
        <v>319</v>
      </c>
      <c r="K91" s="375" t="s">
        <v>342</v>
      </c>
      <c r="L91" s="375" t="s">
        <v>342</v>
      </c>
      <c r="M91" s="365">
        <v>1</v>
      </c>
      <c r="N91" s="366">
        <v>76500</v>
      </c>
      <c r="O91" s="366">
        <v>76500</v>
      </c>
      <c r="P91" s="374"/>
    </row>
    <row r="92" spans="9:16" ht="20.100000000000001" hidden="1" customHeight="1" x14ac:dyDescent="0.25">
      <c r="I92" s="372" t="s">
        <v>343</v>
      </c>
      <c r="J92" s="372"/>
      <c r="K92" s="368"/>
      <c r="L92" s="368"/>
      <c r="M92" s="370">
        <v>325.93999999999988</v>
      </c>
      <c r="N92" s="371">
        <v>17510.222740381669</v>
      </c>
      <c r="O92" s="371">
        <v>5707282</v>
      </c>
      <c r="P92" s="374"/>
    </row>
    <row r="93" spans="9:16" ht="21.95" hidden="1" customHeight="1" thickBot="1" x14ac:dyDescent="0.3">
      <c r="I93" s="362">
        <v>10</v>
      </c>
      <c r="J93" s="362" t="s">
        <v>344</v>
      </c>
      <c r="K93" s="363" t="s">
        <v>223</v>
      </c>
      <c r="L93" s="363" t="s">
        <v>345</v>
      </c>
      <c r="M93" s="365">
        <v>87.3</v>
      </c>
      <c r="N93" s="366">
        <v>7500</v>
      </c>
      <c r="O93" s="366">
        <v>654750</v>
      </c>
      <c r="P93" s="374"/>
    </row>
    <row r="94" spans="9:16" ht="15.75" hidden="1" customHeight="1" thickTop="1" x14ac:dyDescent="0.25">
      <c r="I94" s="362">
        <v>10</v>
      </c>
      <c r="J94" s="362" t="s">
        <v>346</v>
      </c>
      <c r="K94" s="363" t="s">
        <v>246</v>
      </c>
      <c r="L94" s="363" t="s">
        <v>347</v>
      </c>
      <c r="M94" s="365">
        <v>1</v>
      </c>
      <c r="N94" s="366">
        <v>18000</v>
      </c>
      <c r="O94" s="366">
        <v>18000</v>
      </c>
      <c r="P94" s="374"/>
    </row>
    <row r="95" spans="9:16" hidden="1" x14ac:dyDescent="0.25">
      <c r="I95" s="362">
        <v>10</v>
      </c>
      <c r="J95" s="362" t="s">
        <v>346</v>
      </c>
      <c r="K95" s="363" t="s">
        <v>348</v>
      </c>
      <c r="L95" s="363" t="s">
        <v>349</v>
      </c>
      <c r="M95" s="365">
        <v>1</v>
      </c>
      <c r="N95" s="366">
        <v>5000</v>
      </c>
      <c r="O95" s="366">
        <v>5000</v>
      </c>
      <c r="P95" s="374"/>
    </row>
    <row r="96" spans="9:16" hidden="1" x14ac:dyDescent="0.25">
      <c r="I96" s="362">
        <v>10</v>
      </c>
      <c r="J96" s="362" t="s">
        <v>350</v>
      </c>
      <c r="K96" s="363" t="s">
        <v>308</v>
      </c>
      <c r="L96" s="363" t="s">
        <v>351</v>
      </c>
      <c r="M96" s="365">
        <v>1</v>
      </c>
      <c r="N96" s="366">
        <v>8950</v>
      </c>
      <c r="O96" s="366">
        <v>8950</v>
      </c>
      <c r="P96" s="374"/>
    </row>
    <row r="97" spans="9:16" hidden="1" x14ac:dyDescent="0.25">
      <c r="I97" s="362">
        <v>10</v>
      </c>
      <c r="J97" s="362" t="s">
        <v>352</v>
      </c>
      <c r="K97" s="363" t="s">
        <v>254</v>
      </c>
      <c r="L97" s="363" t="s">
        <v>353</v>
      </c>
      <c r="M97" s="365">
        <v>16.149999999999999</v>
      </c>
      <c r="N97" s="366">
        <v>18500</v>
      </c>
      <c r="O97" s="366">
        <v>298775</v>
      </c>
      <c r="P97" s="374"/>
    </row>
    <row r="98" spans="9:16" hidden="1" x14ac:dyDescent="0.25">
      <c r="I98" s="362">
        <v>10</v>
      </c>
      <c r="J98" s="362" t="s">
        <v>352</v>
      </c>
      <c r="K98" s="363" t="s">
        <v>239</v>
      </c>
      <c r="L98" s="363" t="s">
        <v>354</v>
      </c>
      <c r="M98" s="365">
        <v>4.9050000000000002</v>
      </c>
      <c r="N98" s="366">
        <v>54000</v>
      </c>
      <c r="O98" s="366">
        <v>264870</v>
      </c>
      <c r="P98" s="374"/>
    </row>
    <row r="99" spans="9:16" hidden="1" x14ac:dyDescent="0.25">
      <c r="I99" s="362">
        <v>10</v>
      </c>
      <c r="J99" s="362" t="s">
        <v>355</v>
      </c>
      <c r="K99" s="363" t="s">
        <v>356</v>
      </c>
      <c r="L99" s="363" t="s">
        <v>357</v>
      </c>
      <c r="M99" s="365">
        <v>4.1500000000000004</v>
      </c>
      <c r="N99" s="366">
        <v>33000</v>
      </c>
      <c r="O99" s="366">
        <v>136950</v>
      </c>
      <c r="P99" s="374"/>
    </row>
    <row r="100" spans="9:16" hidden="1" x14ac:dyDescent="0.25">
      <c r="I100" s="372" t="s">
        <v>358</v>
      </c>
      <c r="J100" s="372"/>
      <c r="K100" s="368"/>
      <c r="L100" s="368"/>
      <c r="M100" s="370">
        <v>115.505</v>
      </c>
      <c r="N100" s="371">
        <v>12010.692177827799</v>
      </c>
      <c r="O100" s="371">
        <v>1387295</v>
      </c>
      <c r="P100" s="374"/>
    </row>
    <row r="101" spans="9:16" hidden="1" x14ac:dyDescent="0.25">
      <c r="I101" s="362">
        <v>11</v>
      </c>
      <c r="J101" s="362" t="s">
        <v>359</v>
      </c>
      <c r="K101" s="363" t="s">
        <v>360</v>
      </c>
      <c r="L101" s="363" t="s">
        <v>360</v>
      </c>
      <c r="M101" s="365">
        <v>1</v>
      </c>
      <c r="N101" s="366">
        <v>364000</v>
      </c>
      <c r="O101" s="366">
        <v>364000</v>
      </c>
      <c r="P101" s="374"/>
    </row>
    <row r="102" spans="9:16" hidden="1" x14ac:dyDescent="0.25">
      <c r="I102" s="362">
        <v>11</v>
      </c>
      <c r="J102" s="362" t="s">
        <v>359</v>
      </c>
      <c r="K102" s="363" t="s">
        <v>360</v>
      </c>
      <c r="L102" s="363" t="s">
        <v>360</v>
      </c>
      <c r="M102" s="365">
        <v>1</v>
      </c>
      <c r="N102" s="366">
        <v>364000</v>
      </c>
      <c r="O102" s="366">
        <v>364000</v>
      </c>
      <c r="P102" s="374"/>
    </row>
    <row r="103" spans="9:16" hidden="1" x14ac:dyDescent="0.25">
      <c r="I103" s="362">
        <v>11</v>
      </c>
      <c r="J103" s="362" t="s">
        <v>359</v>
      </c>
      <c r="K103" s="363" t="s">
        <v>361</v>
      </c>
      <c r="L103" s="363" t="s">
        <v>361</v>
      </c>
      <c r="M103" s="365">
        <v>1</v>
      </c>
      <c r="N103" s="366">
        <v>1124100</v>
      </c>
      <c r="O103" s="366">
        <v>1124100</v>
      </c>
      <c r="P103" s="374"/>
    </row>
    <row r="104" spans="9:16" hidden="1" x14ac:dyDescent="0.25">
      <c r="I104" s="362">
        <v>11</v>
      </c>
      <c r="J104" s="362" t="s">
        <v>359</v>
      </c>
      <c r="K104" s="363" t="s">
        <v>360</v>
      </c>
      <c r="L104" s="363" t="s">
        <v>362</v>
      </c>
      <c r="M104" s="365">
        <v>2</v>
      </c>
      <c r="N104" s="366">
        <v>364000</v>
      </c>
      <c r="O104" s="366">
        <v>728000</v>
      </c>
      <c r="P104" s="374"/>
    </row>
    <row r="105" spans="9:16" hidden="1" x14ac:dyDescent="0.25">
      <c r="I105" s="362">
        <v>11</v>
      </c>
      <c r="J105" s="362" t="s">
        <v>319</v>
      </c>
      <c r="K105" s="363" t="s">
        <v>363</v>
      </c>
      <c r="L105" s="363" t="s">
        <v>363</v>
      </c>
      <c r="M105" s="365">
        <v>1</v>
      </c>
      <c r="N105" s="366">
        <v>377500</v>
      </c>
      <c r="O105" s="366">
        <v>377500</v>
      </c>
      <c r="P105" s="374"/>
    </row>
    <row r="106" spans="9:16" hidden="1" x14ac:dyDescent="0.25">
      <c r="I106" s="362">
        <v>11</v>
      </c>
      <c r="J106" s="362" t="s">
        <v>364</v>
      </c>
      <c r="K106" s="363" t="s">
        <v>365</v>
      </c>
      <c r="L106" s="363" t="s">
        <v>366</v>
      </c>
      <c r="M106" s="365">
        <v>1</v>
      </c>
      <c r="N106" s="366">
        <v>12750</v>
      </c>
      <c r="O106" s="366">
        <v>12750</v>
      </c>
      <c r="P106" s="374"/>
    </row>
    <row r="107" spans="9:16" hidden="1" x14ac:dyDescent="0.25">
      <c r="I107" s="362">
        <v>11</v>
      </c>
      <c r="J107" s="362" t="s">
        <v>364</v>
      </c>
      <c r="K107" s="363" t="s">
        <v>365</v>
      </c>
      <c r="L107" s="363" t="s">
        <v>367</v>
      </c>
      <c r="M107" s="365">
        <v>1</v>
      </c>
      <c r="N107" s="366">
        <v>12750</v>
      </c>
      <c r="O107" s="366">
        <v>12750</v>
      </c>
      <c r="P107" s="374"/>
    </row>
    <row r="108" spans="9:16" hidden="1" x14ac:dyDescent="0.25">
      <c r="I108" s="362">
        <v>11</v>
      </c>
      <c r="J108" s="362" t="s">
        <v>368</v>
      </c>
      <c r="K108" s="363" t="s">
        <v>265</v>
      </c>
      <c r="L108" s="363" t="s">
        <v>369</v>
      </c>
      <c r="M108" s="365">
        <v>20.97</v>
      </c>
      <c r="N108" s="366">
        <v>18000</v>
      </c>
      <c r="O108" s="366">
        <v>377460</v>
      </c>
      <c r="P108" s="374"/>
    </row>
    <row r="109" spans="9:16" hidden="1" x14ac:dyDescent="0.25">
      <c r="I109" s="362">
        <v>11</v>
      </c>
      <c r="J109" s="362" t="s">
        <v>370</v>
      </c>
      <c r="K109" s="363" t="s">
        <v>250</v>
      </c>
      <c r="L109" s="363" t="s">
        <v>251</v>
      </c>
      <c r="M109" s="365">
        <v>40</v>
      </c>
      <c r="N109" s="366">
        <v>18200</v>
      </c>
      <c r="O109" s="366">
        <v>728000</v>
      </c>
      <c r="P109" s="374"/>
    </row>
    <row r="110" spans="9:16" hidden="1" x14ac:dyDescent="0.25">
      <c r="I110" s="372" t="s">
        <v>371</v>
      </c>
      <c r="J110" s="372"/>
      <c r="K110" s="368"/>
      <c r="L110" s="368"/>
      <c r="M110" s="370">
        <v>68.97</v>
      </c>
      <c r="N110" s="371">
        <v>59280.266782659128</v>
      </c>
      <c r="O110" s="371">
        <v>4088560</v>
      </c>
      <c r="P110" s="374"/>
    </row>
    <row r="111" spans="9:16" hidden="1" x14ac:dyDescent="0.25">
      <c r="I111" s="362">
        <v>12</v>
      </c>
      <c r="J111" s="362" t="s">
        <v>372</v>
      </c>
      <c r="K111" s="363" t="s">
        <v>214</v>
      </c>
      <c r="L111" s="363" t="s">
        <v>373</v>
      </c>
      <c r="M111" s="365">
        <v>26.73</v>
      </c>
      <c r="N111" s="366">
        <v>25900</v>
      </c>
      <c r="O111" s="366">
        <v>692307</v>
      </c>
      <c r="P111" s="374"/>
    </row>
    <row r="112" spans="9:16" hidden="1" x14ac:dyDescent="0.25">
      <c r="I112" s="362">
        <v>12</v>
      </c>
      <c r="J112" s="362" t="s">
        <v>372</v>
      </c>
      <c r="K112" s="363" t="s">
        <v>374</v>
      </c>
      <c r="L112" s="363" t="s">
        <v>375</v>
      </c>
      <c r="M112" s="365">
        <v>106.3</v>
      </c>
      <c r="N112" s="366">
        <v>21900</v>
      </c>
      <c r="O112" s="366">
        <v>2327970</v>
      </c>
      <c r="P112" s="374"/>
    </row>
    <row r="113" spans="9:16" hidden="1" x14ac:dyDescent="0.25">
      <c r="I113" s="362">
        <v>12</v>
      </c>
      <c r="J113" s="362" t="s">
        <v>372</v>
      </c>
      <c r="K113" s="363" t="s">
        <v>376</v>
      </c>
      <c r="L113" s="363" t="s">
        <v>377</v>
      </c>
      <c r="M113" s="365">
        <v>29.9</v>
      </c>
      <c r="N113" s="366">
        <v>34500</v>
      </c>
      <c r="O113" s="366">
        <v>1031550</v>
      </c>
      <c r="P113" s="374"/>
    </row>
    <row r="114" spans="9:16" hidden="1" x14ac:dyDescent="0.25">
      <c r="I114" s="362">
        <v>12</v>
      </c>
      <c r="J114" s="362" t="s">
        <v>372</v>
      </c>
      <c r="K114" s="363" t="s">
        <v>284</v>
      </c>
      <c r="L114" s="363" t="s">
        <v>378</v>
      </c>
      <c r="M114" s="365">
        <v>11</v>
      </c>
      <c r="N114" s="366">
        <v>44000</v>
      </c>
      <c r="O114" s="366">
        <v>484000</v>
      </c>
      <c r="P114" s="374"/>
    </row>
    <row r="115" spans="9:16" hidden="1" x14ac:dyDescent="0.25">
      <c r="I115" s="362">
        <v>12</v>
      </c>
      <c r="J115" s="362" t="s">
        <v>372</v>
      </c>
      <c r="K115" s="363" t="s">
        <v>250</v>
      </c>
      <c r="L115" s="363" t="s">
        <v>379</v>
      </c>
      <c r="M115" s="365">
        <v>41.6</v>
      </c>
      <c r="N115" s="366">
        <v>18900</v>
      </c>
      <c r="O115" s="366">
        <v>786240</v>
      </c>
      <c r="P115" s="374"/>
    </row>
    <row r="116" spans="9:16" hidden="1" x14ac:dyDescent="0.25">
      <c r="I116" s="362">
        <v>12</v>
      </c>
      <c r="J116" s="362" t="s">
        <v>372</v>
      </c>
      <c r="K116" s="363" t="s">
        <v>302</v>
      </c>
      <c r="L116" s="363" t="s">
        <v>380</v>
      </c>
      <c r="M116" s="365">
        <v>19.23</v>
      </c>
      <c r="N116" s="366">
        <v>26900</v>
      </c>
      <c r="O116" s="366">
        <v>517287</v>
      </c>
      <c r="P116" s="374"/>
    </row>
    <row r="117" spans="9:16" hidden="1" x14ac:dyDescent="0.25">
      <c r="I117" s="362">
        <v>12</v>
      </c>
      <c r="J117" s="362" t="s">
        <v>381</v>
      </c>
      <c r="K117" s="363" t="s">
        <v>382</v>
      </c>
      <c r="L117" s="363" t="s">
        <v>383</v>
      </c>
      <c r="M117" s="365">
        <v>9.19</v>
      </c>
      <c r="N117" s="366">
        <v>20400</v>
      </c>
      <c r="O117" s="366">
        <v>187476</v>
      </c>
      <c r="P117" s="374"/>
    </row>
    <row r="118" spans="9:16" hidden="1" x14ac:dyDescent="0.25">
      <c r="I118" s="362">
        <v>12</v>
      </c>
      <c r="J118" s="362" t="s">
        <v>384</v>
      </c>
      <c r="K118" s="363" t="s">
        <v>376</v>
      </c>
      <c r="L118" s="363" t="s">
        <v>385</v>
      </c>
      <c r="M118" s="365">
        <v>39.75</v>
      </c>
      <c r="N118" s="366">
        <v>30000</v>
      </c>
      <c r="O118" s="366">
        <v>1192500</v>
      </c>
      <c r="P118" s="374"/>
    </row>
    <row r="119" spans="9:16" hidden="1" x14ac:dyDescent="0.25">
      <c r="I119" s="362">
        <v>12</v>
      </c>
      <c r="J119" s="362" t="s">
        <v>384</v>
      </c>
      <c r="K119" s="363" t="s">
        <v>382</v>
      </c>
      <c r="L119" s="363" t="s">
        <v>383</v>
      </c>
      <c r="M119" s="365">
        <v>4.6500000000000004</v>
      </c>
      <c r="N119" s="366">
        <v>18600</v>
      </c>
      <c r="O119" s="366">
        <v>86490</v>
      </c>
      <c r="P119" s="374"/>
    </row>
    <row r="120" spans="9:16" hidden="1" x14ac:dyDescent="0.25">
      <c r="I120" s="362">
        <v>12</v>
      </c>
      <c r="J120" s="362" t="s">
        <v>386</v>
      </c>
      <c r="K120" s="363" t="s">
        <v>387</v>
      </c>
      <c r="L120" s="363" t="s">
        <v>388</v>
      </c>
      <c r="M120" s="365">
        <v>5</v>
      </c>
      <c r="N120" s="366">
        <v>48000</v>
      </c>
      <c r="O120" s="366">
        <v>240000</v>
      </c>
      <c r="P120" s="374"/>
    </row>
    <row r="121" spans="9:16" hidden="1" x14ac:dyDescent="0.25">
      <c r="I121" s="362">
        <v>12</v>
      </c>
      <c r="J121" s="362" t="s">
        <v>386</v>
      </c>
      <c r="K121" s="363" t="s">
        <v>389</v>
      </c>
      <c r="L121" s="363" t="s">
        <v>390</v>
      </c>
      <c r="M121" s="365">
        <v>2</v>
      </c>
      <c r="N121" s="366">
        <v>46000</v>
      </c>
      <c r="O121" s="366">
        <v>92000</v>
      </c>
      <c r="P121" s="374"/>
    </row>
    <row r="122" spans="9:16" hidden="1" x14ac:dyDescent="0.25">
      <c r="I122" s="362">
        <v>12</v>
      </c>
      <c r="J122" s="362" t="s">
        <v>391</v>
      </c>
      <c r="K122" s="363" t="s">
        <v>392</v>
      </c>
      <c r="L122" s="363" t="s">
        <v>393</v>
      </c>
      <c r="M122" s="365">
        <v>1</v>
      </c>
      <c r="N122" s="366">
        <v>38200</v>
      </c>
      <c r="O122" s="366">
        <v>38200</v>
      </c>
      <c r="P122" s="374"/>
    </row>
    <row r="123" spans="9:16" hidden="1" x14ac:dyDescent="0.25">
      <c r="I123" s="362">
        <v>12</v>
      </c>
      <c r="J123" s="362" t="s">
        <v>391</v>
      </c>
      <c r="K123" s="363" t="s">
        <v>394</v>
      </c>
      <c r="L123" s="363" t="s">
        <v>395</v>
      </c>
      <c r="M123" s="365">
        <v>1</v>
      </c>
      <c r="N123" s="366">
        <v>100000</v>
      </c>
      <c r="O123" s="366">
        <v>100000</v>
      </c>
      <c r="P123" s="374"/>
    </row>
    <row r="124" spans="9:16" hidden="1" x14ac:dyDescent="0.25">
      <c r="I124" s="372" t="s">
        <v>396</v>
      </c>
      <c r="J124" s="372"/>
      <c r="K124" s="368"/>
      <c r="L124" s="368"/>
      <c r="M124" s="370">
        <v>297.35000000000002</v>
      </c>
      <c r="N124" s="371">
        <v>26151.067765259799</v>
      </c>
      <c r="O124" s="371">
        <v>7776020</v>
      </c>
      <c r="P124" s="374"/>
    </row>
    <row r="125" spans="9:16" hidden="1" x14ac:dyDescent="0.25">
      <c r="I125" s="362">
        <v>13</v>
      </c>
      <c r="J125" s="362" t="s">
        <v>391</v>
      </c>
      <c r="K125" s="363" t="s">
        <v>397</v>
      </c>
      <c r="L125" s="363" t="s">
        <v>398</v>
      </c>
      <c r="M125" s="365">
        <v>7</v>
      </c>
      <c r="N125" s="366">
        <v>9714.2900000000009</v>
      </c>
      <c r="O125" s="366">
        <v>68000.03</v>
      </c>
      <c r="P125" s="374"/>
    </row>
    <row r="126" spans="9:16" hidden="1" x14ac:dyDescent="0.25">
      <c r="I126" s="362">
        <v>13</v>
      </c>
      <c r="J126" s="362" t="s">
        <v>391</v>
      </c>
      <c r="K126" s="363" t="s">
        <v>399</v>
      </c>
      <c r="L126" s="363" t="s">
        <v>400</v>
      </c>
      <c r="M126" s="365">
        <v>7</v>
      </c>
      <c r="N126" s="366">
        <v>4028.57</v>
      </c>
      <c r="O126" s="366">
        <v>28199.99</v>
      </c>
      <c r="P126" s="374"/>
    </row>
    <row r="127" spans="9:16" hidden="1" x14ac:dyDescent="0.25">
      <c r="I127" s="362">
        <v>13</v>
      </c>
      <c r="J127" s="362" t="s">
        <v>391</v>
      </c>
      <c r="K127" s="363" t="s">
        <v>192</v>
      </c>
      <c r="L127" s="363" t="s">
        <v>401</v>
      </c>
      <c r="M127" s="365">
        <v>1</v>
      </c>
      <c r="N127" s="366">
        <v>81100</v>
      </c>
      <c r="O127" s="366">
        <v>81100</v>
      </c>
      <c r="P127" s="374"/>
    </row>
    <row r="128" spans="9:16" hidden="1" x14ac:dyDescent="0.25">
      <c r="I128" s="372" t="s">
        <v>402</v>
      </c>
      <c r="J128" s="372"/>
      <c r="K128" s="368"/>
      <c r="L128" s="368"/>
      <c r="M128" s="370">
        <v>15</v>
      </c>
      <c r="N128" s="371">
        <v>11820.001333333341</v>
      </c>
      <c r="O128" s="371">
        <v>177300.02</v>
      </c>
      <c r="P128" s="374"/>
    </row>
    <row r="129" spans="9:16" hidden="1" x14ac:dyDescent="0.25">
      <c r="I129" s="362">
        <v>14</v>
      </c>
      <c r="J129" s="362" t="s">
        <v>403</v>
      </c>
      <c r="K129" s="363" t="s">
        <v>404</v>
      </c>
      <c r="L129" s="363" t="s">
        <v>405</v>
      </c>
      <c r="M129" s="365">
        <v>4.0999999999999996</v>
      </c>
      <c r="N129" s="366">
        <v>34000</v>
      </c>
      <c r="O129" s="366">
        <v>139400</v>
      </c>
      <c r="P129" s="374"/>
    </row>
    <row r="130" spans="9:16" hidden="1" x14ac:dyDescent="0.25">
      <c r="I130" s="362">
        <v>14</v>
      </c>
      <c r="J130" s="362" t="s">
        <v>403</v>
      </c>
      <c r="K130" s="363" t="s">
        <v>278</v>
      </c>
      <c r="L130" s="363" t="s">
        <v>406</v>
      </c>
      <c r="M130" s="365">
        <v>20.399999999999999</v>
      </c>
      <c r="N130" s="366">
        <v>20000</v>
      </c>
      <c r="O130" s="366">
        <v>408000</v>
      </c>
      <c r="P130" s="374"/>
    </row>
    <row r="131" spans="9:16" hidden="1" x14ac:dyDescent="0.25">
      <c r="I131" s="362">
        <v>14</v>
      </c>
      <c r="J131" s="362" t="s">
        <v>407</v>
      </c>
      <c r="K131" s="363" t="s">
        <v>214</v>
      </c>
      <c r="L131" s="363" t="s">
        <v>373</v>
      </c>
      <c r="M131" s="365">
        <v>19.422000000000001</v>
      </c>
      <c r="N131" s="366">
        <v>25900</v>
      </c>
      <c r="O131" s="366">
        <v>503029.8</v>
      </c>
      <c r="P131" s="374"/>
    </row>
    <row r="132" spans="9:16" hidden="1" x14ac:dyDescent="0.25">
      <c r="I132" s="362">
        <v>14</v>
      </c>
      <c r="J132" s="362" t="s">
        <v>407</v>
      </c>
      <c r="K132" s="363" t="s">
        <v>408</v>
      </c>
      <c r="L132" s="363" t="s">
        <v>409</v>
      </c>
      <c r="M132" s="365">
        <v>5.3220000000000001</v>
      </c>
      <c r="N132" s="366">
        <v>29500</v>
      </c>
      <c r="O132" s="366">
        <v>156999</v>
      </c>
      <c r="P132" s="374"/>
    </row>
    <row r="133" spans="9:16" hidden="1" x14ac:dyDescent="0.25">
      <c r="I133" s="362">
        <v>14</v>
      </c>
      <c r="J133" s="362" t="s">
        <v>410</v>
      </c>
      <c r="K133" s="363" t="s">
        <v>411</v>
      </c>
      <c r="L133" s="363" t="s">
        <v>412</v>
      </c>
      <c r="M133" s="365">
        <v>18.25</v>
      </c>
      <c r="N133" s="366">
        <v>19500</v>
      </c>
      <c r="O133" s="366">
        <v>355875</v>
      </c>
      <c r="P133" s="374"/>
    </row>
    <row r="134" spans="9:16" hidden="1" x14ac:dyDescent="0.25">
      <c r="I134" s="362">
        <v>14</v>
      </c>
      <c r="J134" s="362" t="s">
        <v>413</v>
      </c>
      <c r="K134" s="363" t="s">
        <v>414</v>
      </c>
      <c r="L134" s="363" t="s">
        <v>415</v>
      </c>
      <c r="M134" s="365">
        <v>17.100000000000001</v>
      </c>
      <c r="N134" s="366">
        <v>18500</v>
      </c>
      <c r="O134" s="366">
        <v>316350</v>
      </c>
      <c r="P134" s="374"/>
    </row>
    <row r="135" spans="9:16" hidden="1" x14ac:dyDescent="0.25">
      <c r="I135" s="362">
        <v>14</v>
      </c>
      <c r="J135" s="362" t="s">
        <v>416</v>
      </c>
      <c r="K135" s="363" t="s">
        <v>414</v>
      </c>
      <c r="L135" s="363" t="s">
        <v>417</v>
      </c>
      <c r="M135" s="365">
        <v>28.3</v>
      </c>
      <c r="N135" s="366">
        <v>18500</v>
      </c>
      <c r="O135" s="366">
        <v>523550</v>
      </c>
      <c r="P135" s="374"/>
    </row>
    <row r="136" spans="9:16" hidden="1" x14ac:dyDescent="0.25">
      <c r="I136" s="369" t="s">
        <v>418</v>
      </c>
      <c r="J136" s="369"/>
      <c r="K136" s="369"/>
      <c r="L136" s="369"/>
      <c r="M136" s="376">
        <v>112.89400000000001</v>
      </c>
      <c r="N136" s="377">
        <v>21287.258844579868</v>
      </c>
      <c r="O136" s="377">
        <v>2403203.7999999998</v>
      </c>
      <c r="P136" s="374"/>
    </row>
    <row r="137" spans="9:16" hidden="1" x14ac:dyDescent="0.25">
      <c r="I137" s="362">
        <v>15</v>
      </c>
      <c r="J137" s="362" t="s">
        <v>419</v>
      </c>
      <c r="K137" s="363" t="s">
        <v>420</v>
      </c>
      <c r="L137" s="363" t="s">
        <v>421</v>
      </c>
      <c r="M137" s="365">
        <v>1</v>
      </c>
      <c r="N137" s="366">
        <v>144700</v>
      </c>
      <c r="O137" s="366">
        <v>144700</v>
      </c>
      <c r="P137" s="374"/>
    </row>
    <row r="138" spans="9:16" hidden="1" x14ac:dyDescent="0.25">
      <c r="I138" s="362">
        <v>15</v>
      </c>
      <c r="J138" s="362" t="s">
        <v>391</v>
      </c>
      <c r="K138" s="363" t="s">
        <v>259</v>
      </c>
      <c r="L138" s="363" t="s">
        <v>422</v>
      </c>
      <c r="M138" s="365">
        <v>1</v>
      </c>
      <c r="N138" s="366">
        <v>90000</v>
      </c>
      <c r="O138" s="366">
        <v>90000</v>
      </c>
      <c r="P138" s="374"/>
    </row>
    <row r="139" spans="9:16" hidden="1" x14ac:dyDescent="0.25">
      <c r="I139" s="372" t="s">
        <v>423</v>
      </c>
      <c r="J139" s="372"/>
      <c r="K139" s="368"/>
      <c r="L139" s="368"/>
      <c r="M139" s="370">
        <v>2</v>
      </c>
      <c r="N139" s="371">
        <v>117350</v>
      </c>
      <c r="O139" s="371">
        <v>234700</v>
      </c>
      <c r="P139" s="374"/>
    </row>
    <row r="140" spans="9:16" hidden="1" x14ac:dyDescent="0.25">
      <c r="I140" s="362">
        <v>16</v>
      </c>
      <c r="J140" s="362" t="s">
        <v>424</v>
      </c>
      <c r="K140" s="363" t="s">
        <v>195</v>
      </c>
      <c r="L140" s="363" t="s">
        <v>425</v>
      </c>
      <c r="M140" s="365">
        <v>20</v>
      </c>
      <c r="N140" s="366">
        <v>16500</v>
      </c>
      <c r="O140" s="366">
        <v>330000</v>
      </c>
      <c r="P140" s="374"/>
    </row>
    <row r="141" spans="9:16" hidden="1" x14ac:dyDescent="0.25">
      <c r="I141" s="362">
        <v>16</v>
      </c>
      <c r="J141" s="362" t="s">
        <v>426</v>
      </c>
      <c r="K141" s="363" t="s">
        <v>427</v>
      </c>
      <c r="L141" s="363" t="s">
        <v>428</v>
      </c>
      <c r="M141" s="365">
        <v>1</v>
      </c>
      <c r="N141" s="366">
        <v>70900</v>
      </c>
      <c r="O141" s="366">
        <v>70900</v>
      </c>
      <c r="P141" s="374"/>
    </row>
    <row r="142" spans="9:16" hidden="1" x14ac:dyDescent="0.25">
      <c r="I142" s="362">
        <v>16</v>
      </c>
      <c r="J142" s="362" t="s">
        <v>429</v>
      </c>
      <c r="K142" s="363" t="s">
        <v>271</v>
      </c>
      <c r="L142" s="363" t="s">
        <v>430</v>
      </c>
      <c r="M142" s="365">
        <v>5</v>
      </c>
      <c r="N142" s="366">
        <v>24000</v>
      </c>
      <c r="O142" s="366">
        <v>120000</v>
      </c>
      <c r="P142" s="374"/>
    </row>
    <row r="143" spans="9:16" hidden="1" x14ac:dyDescent="0.25">
      <c r="I143" s="362">
        <v>16</v>
      </c>
      <c r="J143" s="362" t="s">
        <v>429</v>
      </c>
      <c r="K143" s="363" t="s">
        <v>267</v>
      </c>
      <c r="L143" s="363" t="s">
        <v>431</v>
      </c>
      <c r="M143" s="365">
        <v>4.9050000000000002</v>
      </c>
      <c r="N143" s="366">
        <v>55000</v>
      </c>
      <c r="O143" s="366">
        <v>269775</v>
      </c>
      <c r="P143" s="374"/>
    </row>
    <row r="144" spans="9:16" hidden="1" x14ac:dyDescent="0.25">
      <c r="I144" s="372" t="s">
        <v>432</v>
      </c>
      <c r="J144" s="372"/>
      <c r="K144" s="368"/>
      <c r="L144" s="368"/>
      <c r="M144" s="370">
        <v>30.905000000000001</v>
      </c>
      <c r="N144" s="371">
        <v>25584.047888691151</v>
      </c>
      <c r="O144" s="371">
        <v>790675</v>
      </c>
      <c r="P144" s="374"/>
    </row>
    <row r="145" spans="9:16" x14ac:dyDescent="0.25">
      <c r="I145" s="362">
        <v>17</v>
      </c>
      <c r="J145" s="362" t="s">
        <v>433</v>
      </c>
      <c r="K145" s="363" t="s">
        <v>214</v>
      </c>
      <c r="L145" s="363" t="s">
        <v>434</v>
      </c>
      <c r="M145" s="365">
        <v>22.71</v>
      </c>
      <c r="N145" s="366">
        <v>25900</v>
      </c>
      <c r="O145" s="366">
        <v>588189</v>
      </c>
      <c r="P145" s="374"/>
    </row>
    <row r="146" spans="9:16" x14ac:dyDescent="0.25">
      <c r="I146" s="362">
        <v>17</v>
      </c>
      <c r="J146" s="362" t="s">
        <v>433</v>
      </c>
      <c r="K146" s="363" t="s">
        <v>435</v>
      </c>
      <c r="L146" s="363" t="s">
        <v>436</v>
      </c>
      <c r="M146" s="365">
        <v>25.2</v>
      </c>
      <c r="N146" s="366">
        <v>23900</v>
      </c>
      <c r="O146" s="366">
        <v>602280</v>
      </c>
      <c r="P146" s="374"/>
    </row>
    <row r="147" spans="9:16" x14ac:dyDescent="0.25">
      <c r="I147" s="362">
        <v>17</v>
      </c>
      <c r="J147" s="362" t="s">
        <v>433</v>
      </c>
      <c r="K147" s="363" t="s">
        <v>437</v>
      </c>
      <c r="L147" s="363" t="s">
        <v>438</v>
      </c>
      <c r="M147" s="365">
        <v>13.55</v>
      </c>
      <c r="N147" s="366">
        <v>44000</v>
      </c>
      <c r="O147" s="366">
        <v>596200</v>
      </c>
      <c r="P147" s="374"/>
    </row>
    <row r="148" spans="9:16" x14ac:dyDescent="0.25">
      <c r="I148" s="362">
        <v>17</v>
      </c>
      <c r="J148" s="362" t="s">
        <v>433</v>
      </c>
      <c r="K148" s="363" t="s">
        <v>439</v>
      </c>
      <c r="L148" s="363" t="s">
        <v>440</v>
      </c>
      <c r="M148" s="365">
        <v>10.7</v>
      </c>
      <c r="N148" s="366">
        <v>44000</v>
      </c>
      <c r="O148" s="366">
        <v>470800</v>
      </c>
      <c r="P148" s="374"/>
    </row>
    <row r="149" spans="9:16" x14ac:dyDescent="0.25">
      <c r="I149" s="362">
        <v>17</v>
      </c>
      <c r="J149" s="362" t="s">
        <v>433</v>
      </c>
      <c r="K149" s="363" t="s">
        <v>441</v>
      </c>
      <c r="L149" s="363" t="s">
        <v>442</v>
      </c>
      <c r="M149" s="365">
        <v>70.2</v>
      </c>
      <c r="N149" s="366">
        <v>21900</v>
      </c>
      <c r="O149" s="366">
        <v>1537380</v>
      </c>
      <c r="P149" s="374"/>
    </row>
    <row r="150" spans="9:16" x14ac:dyDescent="0.25">
      <c r="I150" s="362">
        <v>17</v>
      </c>
      <c r="J150" s="362" t="s">
        <v>433</v>
      </c>
      <c r="K150" s="363" t="s">
        <v>443</v>
      </c>
      <c r="L150" s="363" t="s">
        <v>444</v>
      </c>
      <c r="M150" s="365">
        <v>27.6</v>
      </c>
      <c r="N150" s="366">
        <v>14500</v>
      </c>
      <c r="O150" s="366">
        <v>400200</v>
      </c>
      <c r="P150" s="374"/>
    </row>
    <row r="151" spans="9:16" hidden="1" x14ac:dyDescent="0.25">
      <c r="I151" s="362">
        <v>17</v>
      </c>
      <c r="J151" s="362" t="s">
        <v>445</v>
      </c>
      <c r="K151" s="363" t="s">
        <v>446</v>
      </c>
      <c r="L151" s="363" t="s">
        <v>447</v>
      </c>
      <c r="M151" s="365">
        <v>43.5</v>
      </c>
      <c r="N151" s="366">
        <v>6500</v>
      </c>
      <c r="O151" s="366">
        <v>282750</v>
      </c>
      <c r="P151" s="374"/>
    </row>
    <row r="152" spans="9:16" hidden="1" x14ac:dyDescent="0.25">
      <c r="I152" s="362">
        <v>17</v>
      </c>
      <c r="J152" s="362" t="s">
        <v>448</v>
      </c>
      <c r="K152" s="363" t="s">
        <v>449</v>
      </c>
      <c r="L152" s="363" t="s">
        <v>450</v>
      </c>
      <c r="M152" s="365">
        <v>5</v>
      </c>
      <c r="N152" s="366">
        <v>21500</v>
      </c>
      <c r="O152" s="366">
        <v>107500</v>
      </c>
      <c r="P152" s="374"/>
    </row>
    <row r="153" spans="9:16" hidden="1" x14ac:dyDescent="0.25">
      <c r="I153" s="369" t="s">
        <v>451</v>
      </c>
      <c r="J153" s="369"/>
      <c r="K153" s="369"/>
      <c r="L153" s="369"/>
      <c r="M153" s="376">
        <v>218.46</v>
      </c>
      <c r="N153" s="377">
        <v>20989.192529524851</v>
      </c>
      <c r="O153" s="377">
        <v>4585299</v>
      </c>
      <c r="P153" s="374"/>
    </row>
    <row r="154" spans="9:16" hidden="1" x14ac:dyDescent="0.25">
      <c r="I154" s="362">
        <v>18</v>
      </c>
      <c r="J154" s="362" t="s">
        <v>452</v>
      </c>
      <c r="K154" s="363" t="s">
        <v>453</v>
      </c>
      <c r="L154" s="363" t="s">
        <v>454</v>
      </c>
      <c r="M154" s="365">
        <v>25</v>
      </c>
      <c r="N154" s="366">
        <v>15120</v>
      </c>
      <c r="O154" s="366">
        <v>378000</v>
      </c>
      <c r="P154" s="374"/>
    </row>
    <row r="155" spans="9:16" hidden="1" x14ac:dyDescent="0.25">
      <c r="I155" s="369" t="s">
        <v>455</v>
      </c>
      <c r="J155" s="369"/>
      <c r="K155" s="369"/>
      <c r="L155" s="369"/>
      <c r="M155" s="376">
        <v>25</v>
      </c>
      <c r="N155" s="377">
        <v>15120</v>
      </c>
      <c r="O155" s="377">
        <v>378000</v>
      </c>
      <c r="P155" s="374"/>
    </row>
    <row r="156" spans="9:16" hidden="1" x14ac:dyDescent="0.25">
      <c r="I156" s="378" t="s">
        <v>456</v>
      </c>
      <c r="J156" s="378"/>
      <c r="K156" s="378"/>
      <c r="L156" s="378"/>
      <c r="M156" s="379">
        <v>2192.165</v>
      </c>
      <c r="N156" s="380">
        <v>22160.268437822891</v>
      </c>
      <c r="O156" s="380">
        <v>48578964.859999999</v>
      </c>
      <c r="P156" s="374"/>
    </row>
    <row r="157" spans="9:16" x14ac:dyDescent="0.25">
      <c r="I157" s="374"/>
      <c r="J157" s="374"/>
      <c r="K157" s="374"/>
      <c r="L157" s="374"/>
      <c r="M157" s="374"/>
      <c r="N157" s="374"/>
      <c r="O157" s="374"/>
      <c r="P157" s="374"/>
    </row>
    <row r="158" spans="9:16" x14ac:dyDescent="0.25">
      <c r="I158" s="374"/>
      <c r="J158" s="374"/>
      <c r="K158" s="374"/>
      <c r="L158" s="374"/>
      <c r="M158" s="374"/>
      <c r="N158" s="374"/>
      <c r="O158" s="374"/>
      <c r="P158" s="374"/>
    </row>
    <row r="159" spans="9:16" x14ac:dyDescent="0.25">
      <c r="I159" s="374"/>
      <c r="J159" s="374"/>
      <c r="K159" s="374"/>
      <c r="L159" s="374"/>
      <c r="M159" s="374"/>
      <c r="N159" s="374"/>
      <c r="O159" s="374"/>
      <c r="P159" s="374"/>
    </row>
    <row r="160" spans="9:16" x14ac:dyDescent="0.25">
      <c r="I160" s="374"/>
      <c r="J160" s="374"/>
      <c r="K160" s="374"/>
      <c r="L160" s="374"/>
      <c r="M160" s="374"/>
      <c r="N160" s="374"/>
      <c r="O160" s="374"/>
      <c r="P160" s="374"/>
    </row>
    <row r="161" spans="9:16" x14ac:dyDescent="0.25">
      <c r="I161" s="374"/>
      <c r="J161" s="374"/>
      <c r="K161" s="374"/>
      <c r="L161" s="374"/>
      <c r="M161" s="374"/>
      <c r="N161" s="374"/>
      <c r="O161" s="374"/>
      <c r="P161" s="374"/>
    </row>
    <row r="162" spans="9:16" x14ac:dyDescent="0.25">
      <c r="I162" s="374"/>
      <c r="J162" s="374"/>
      <c r="K162" s="374"/>
      <c r="L162" s="374"/>
      <c r="M162" s="374"/>
      <c r="N162" s="374"/>
      <c r="O162" s="374"/>
      <c r="P162" s="374"/>
    </row>
    <row r="163" spans="9:16" x14ac:dyDescent="0.25">
      <c r="I163" s="374"/>
      <c r="J163" s="374"/>
      <c r="K163" s="374"/>
      <c r="L163" s="374"/>
      <c r="M163" s="374"/>
      <c r="N163" s="374"/>
      <c r="O163" s="374"/>
      <c r="P163" s="374"/>
    </row>
    <row r="164" spans="9:16" x14ac:dyDescent="0.25">
      <c r="I164" s="374"/>
      <c r="J164" s="374"/>
      <c r="K164" s="374"/>
      <c r="L164" s="374"/>
      <c r="M164" s="374"/>
      <c r="N164" s="374"/>
      <c r="O164" s="374"/>
      <c r="P164" s="374"/>
    </row>
    <row r="165" spans="9:16" x14ac:dyDescent="0.25">
      <c r="I165" s="374"/>
      <c r="J165" s="374"/>
      <c r="K165" s="374"/>
      <c r="L165" s="374"/>
      <c r="M165" s="374"/>
      <c r="N165" s="374"/>
      <c r="O165" s="374"/>
      <c r="P165" s="374"/>
    </row>
    <row r="166" spans="9:16" x14ac:dyDescent="0.25">
      <c r="I166" s="374"/>
      <c r="J166" s="374"/>
      <c r="K166" s="374"/>
      <c r="L166" s="374"/>
      <c r="M166" s="374"/>
      <c r="N166" s="374"/>
      <c r="O166" s="374"/>
      <c r="P166" s="374"/>
    </row>
    <row r="167" spans="9:16" x14ac:dyDescent="0.25">
      <c r="I167" s="374"/>
      <c r="J167" s="374"/>
      <c r="K167" s="374"/>
      <c r="L167" s="374"/>
      <c r="M167" s="374"/>
      <c r="N167" s="374"/>
      <c r="O167" s="374"/>
      <c r="P167" s="374"/>
    </row>
    <row r="168" spans="9:16" x14ac:dyDescent="0.25">
      <c r="I168" s="374"/>
      <c r="J168" s="374"/>
      <c r="K168" s="374"/>
      <c r="L168" s="374"/>
      <c r="M168" s="374"/>
      <c r="N168" s="374"/>
      <c r="O168" s="374"/>
      <c r="P168" s="374"/>
    </row>
    <row r="169" spans="9:16" x14ac:dyDescent="0.25">
      <c r="I169" s="374"/>
      <c r="J169" s="374"/>
      <c r="K169" s="374"/>
      <c r="L169" s="374"/>
      <c r="M169" s="374"/>
      <c r="N169" s="374"/>
      <c r="O169" s="374"/>
      <c r="P169" s="374"/>
    </row>
    <row r="170" spans="9:16" x14ac:dyDescent="0.25">
      <c r="I170" s="374"/>
      <c r="J170" s="374"/>
      <c r="K170" s="374"/>
      <c r="L170" s="374"/>
      <c r="M170" s="374"/>
      <c r="N170" s="374"/>
      <c r="O170" s="374"/>
      <c r="P170" s="374"/>
    </row>
    <row r="171" spans="9:16" x14ac:dyDescent="0.25">
      <c r="I171" s="374"/>
      <c r="J171" s="374"/>
      <c r="K171" s="374"/>
      <c r="L171" s="374"/>
      <c r="M171" s="374"/>
      <c r="N171" s="374"/>
      <c r="O171" s="374"/>
      <c r="P171" s="374"/>
    </row>
    <row r="172" spans="9:16" x14ac:dyDescent="0.25">
      <c r="I172" s="374"/>
      <c r="J172" s="374"/>
      <c r="K172" s="374"/>
      <c r="L172" s="374"/>
      <c r="M172" s="374"/>
      <c r="N172" s="374"/>
      <c r="O172" s="374"/>
      <c r="P172" s="374"/>
    </row>
    <row r="173" spans="9:16" x14ac:dyDescent="0.25">
      <c r="I173" s="374"/>
      <c r="J173" s="374"/>
      <c r="K173" s="374"/>
      <c r="L173" s="374"/>
      <c r="M173" s="374"/>
      <c r="N173" s="374"/>
      <c r="O173" s="374"/>
      <c r="P173" s="374"/>
    </row>
    <row r="174" spans="9:16" x14ac:dyDescent="0.25">
      <c r="I174" s="374"/>
      <c r="J174" s="374"/>
      <c r="K174" s="374"/>
      <c r="L174" s="374"/>
      <c r="M174" s="374"/>
      <c r="N174" s="374"/>
      <c r="O174" s="374"/>
      <c r="P174" s="374"/>
    </row>
    <row r="175" spans="9:16" x14ac:dyDescent="0.25">
      <c r="I175" s="374"/>
      <c r="J175" s="374"/>
      <c r="K175" s="374"/>
      <c r="L175" s="374"/>
      <c r="M175" s="374"/>
      <c r="N175" s="374"/>
      <c r="O175" s="374"/>
      <c r="P175" s="374"/>
    </row>
    <row r="176" spans="9:16" x14ac:dyDescent="0.25">
      <c r="I176" s="374"/>
      <c r="J176" s="374"/>
      <c r="K176" s="374"/>
      <c r="L176" s="374"/>
      <c r="M176" s="374"/>
      <c r="N176" s="374"/>
      <c r="O176" s="374"/>
      <c r="P176" s="374"/>
    </row>
    <row r="177" spans="9:16" x14ac:dyDescent="0.25">
      <c r="I177" s="374"/>
      <c r="J177" s="374"/>
      <c r="K177" s="374"/>
      <c r="L177" s="374"/>
      <c r="M177" s="374"/>
      <c r="N177" s="374"/>
      <c r="O177" s="374"/>
      <c r="P177" s="374"/>
    </row>
    <row r="178" spans="9:16" x14ac:dyDescent="0.25">
      <c r="I178" s="374"/>
      <c r="J178" s="374"/>
      <c r="K178" s="374"/>
      <c r="L178" s="374"/>
      <c r="M178" s="374"/>
      <c r="N178" s="374"/>
      <c r="O178" s="374"/>
      <c r="P178" s="374"/>
    </row>
    <row r="179" spans="9:16" x14ac:dyDescent="0.25">
      <c r="I179" s="374"/>
      <c r="J179" s="374"/>
      <c r="K179" s="374"/>
      <c r="L179" s="374"/>
      <c r="M179" s="374"/>
      <c r="N179" s="374"/>
      <c r="O179" s="374"/>
      <c r="P179" s="374"/>
    </row>
    <row r="180" spans="9:16" x14ac:dyDescent="0.25">
      <c r="I180" s="374"/>
      <c r="J180" s="374"/>
      <c r="K180" s="374"/>
      <c r="L180" s="374"/>
      <c r="M180" s="374"/>
      <c r="N180" s="374"/>
      <c r="O180" s="374"/>
      <c r="P180" s="374"/>
    </row>
    <row r="181" spans="9:16" x14ac:dyDescent="0.25">
      <c r="I181" s="374"/>
      <c r="J181" s="374"/>
      <c r="K181" s="374"/>
      <c r="L181" s="374"/>
      <c r="M181" s="374"/>
      <c r="N181" s="374"/>
      <c r="O181" s="374"/>
      <c r="P181" s="374"/>
    </row>
    <row r="182" spans="9:16" x14ac:dyDescent="0.25">
      <c r="I182" s="374"/>
      <c r="J182" s="374"/>
      <c r="K182" s="374"/>
      <c r="L182" s="374"/>
      <c r="M182" s="374"/>
      <c r="N182" s="374"/>
      <c r="O182" s="374"/>
      <c r="P182" s="374"/>
    </row>
    <row r="183" spans="9:16" x14ac:dyDescent="0.25">
      <c r="I183" s="374"/>
      <c r="J183" s="374"/>
      <c r="K183" s="374"/>
      <c r="L183" s="374"/>
      <c r="M183" s="374"/>
      <c r="N183" s="374"/>
      <c r="O183" s="374"/>
      <c r="P183" s="374"/>
    </row>
    <row r="184" spans="9:16" x14ac:dyDescent="0.25">
      <c r="I184" s="374"/>
      <c r="J184" s="374"/>
      <c r="K184" s="374"/>
      <c r="L184" s="374"/>
      <c r="M184" s="374"/>
      <c r="N184" s="374"/>
      <c r="O184" s="374"/>
      <c r="P184" s="374"/>
    </row>
    <row r="185" spans="9:16" x14ac:dyDescent="0.25">
      <c r="I185" s="374"/>
      <c r="J185" s="374"/>
      <c r="K185" s="374"/>
      <c r="L185" s="374"/>
      <c r="M185" s="374"/>
      <c r="N185" s="374"/>
      <c r="O185" s="374"/>
      <c r="P185" s="374"/>
    </row>
    <row r="186" spans="9:16" x14ac:dyDescent="0.25">
      <c r="I186" s="374"/>
      <c r="J186" s="374"/>
      <c r="K186" s="374"/>
      <c r="L186" s="374"/>
      <c r="M186" s="374"/>
      <c r="N186" s="374"/>
      <c r="O186" s="374"/>
      <c r="P186" s="374"/>
    </row>
    <row r="187" spans="9:16" x14ac:dyDescent="0.25">
      <c r="I187" s="374"/>
      <c r="J187" s="374"/>
      <c r="K187" s="374"/>
      <c r="L187" s="374"/>
      <c r="M187" s="374"/>
      <c r="N187" s="374"/>
      <c r="O187" s="374"/>
      <c r="P187" s="374"/>
    </row>
    <row r="188" spans="9:16" x14ac:dyDescent="0.25">
      <c r="I188" s="374"/>
      <c r="J188" s="374"/>
      <c r="K188" s="374"/>
      <c r="L188" s="374"/>
      <c r="M188" s="374"/>
      <c r="N188" s="374"/>
      <c r="O188" s="374"/>
      <c r="P188" s="374"/>
    </row>
    <row r="189" spans="9:16" x14ac:dyDescent="0.25">
      <c r="I189" s="374"/>
      <c r="J189" s="374"/>
      <c r="K189" s="374"/>
      <c r="L189" s="374"/>
      <c r="M189" s="374"/>
      <c r="N189" s="374"/>
      <c r="O189" s="374"/>
      <c r="P189" s="374"/>
    </row>
    <row r="190" spans="9:16" x14ac:dyDescent="0.25">
      <c r="I190" s="374"/>
      <c r="J190" s="374"/>
      <c r="K190" s="374"/>
      <c r="L190" s="374"/>
      <c r="M190" s="374"/>
      <c r="N190" s="374"/>
      <c r="O190" s="374"/>
      <c r="P190" s="374"/>
    </row>
    <row r="191" spans="9:16" x14ac:dyDescent="0.25">
      <c r="I191" s="374"/>
      <c r="J191" s="374"/>
      <c r="K191" s="374"/>
      <c r="L191" s="374"/>
      <c r="M191" s="374"/>
      <c r="N191" s="374"/>
      <c r="O191" s="374"/>
      <c r="P191" s="374"/>
    </row>
    <row r="192" spans="9:16" x14ac:dyDescent="0.25">
      <c r="I192" s="374"/>
      <c r="J192" s="374"/>
      <c r="K192" s="374"/>
      <c r="L192" s="374"/>
      <c r="M192" s="374"/>
      <c r="N192" s="374"/>
      <c r="O192" s="374"/>
      <c r="P192" s="374"/>
    </row>
    <row r="193" spans="9:16" x14ac:dyDescent="0.25">
      <c r="I193" s="374"/>
      <c r="J193" s="374"/>
      <c r="K193" s="374"/>
      <c r="L193" s="374"/>
      <c r="M193" s="374"/>
      <c r="N193" s="374"/>
      <c r="O193" s="374"/>
      <c r="P193" s="374"/>
    </row>
    <row r="194" spans="9:16" x14ac:dyDescent="0.25">
      <c r="I194" s="374"/>
      <c r="J194" s="374"/>
      <c r="K194" s="374"/>
      <c r="L194" s="374"/>
      <c r="M194" s="374"/>
      <c r="N194" s="374"/>
      <c r="O194" s="374"/>
      <c r="P194" s="374"/>
    </row>
    <row r="195" spans="9:16" x14ac:dyDescent="0.25">
      <c r="I195" s="374"/>
      <c r="J195" s="374"/>
      <c r="K195" s="374"/>
      <c r="L195" s="374"/>
      <c r="M195" s="374"/>
      <c r="N195" s="374"/>
      <c r="O195" s="374"/>
      <c r="P195" s="374"/>
    </row>
    <row r="196" spans="9:16" x14ac:dyDescent="0.25">
      <c r="I196" s="374"/>
      <c r="J196" s="374"/>
      <c r="K196" s="374"/>
      <c r="L196" s="374"/>
      <c r="M196" s="374"/>
      <c r="N196" s="374"/>
      <c r="O196" s="374"/>
      <c r="P196" s="374"/>
    </row>
    <row r="197" spans="9:16" x14ac:dyDescent="0.25">
      <c r="I197" s="374"/>
      <c r="J197" s="374"/>
      <c r="K197" s="374"/>
      <c r="L197" s="374"/>
      <c r="M197" s="374"/>
      <c r="N197" s="374"/>
      <c r="O197" s="374"/>
      <c r="P197" s="374"/>
    </row>
    <row r="198" spans="9:16" x14ac:dyDescent="0.25">
      <c r="I198" s="374"/>
      <c r="J198" s="374"/>
      <c r="K198" s="374"/>
      <c r="L198" s="374"/>
      <c r="M198" s="374"/>
      <c r="N198" s="374"/>
      <c r="O198" s="374"/>
      <c r="P198" s="374"/>
    </row>
    <row r="199" spans="9:16" x14ac:dyDescent="0.25">
      <c r="I199" s="374"/>
      <c r="J199" s="374"/>
      <c r="K199" s="374"/>
      <c r="L199" s="374"/>
      <c r="M199" s="374"/>
      <c r="N199" s="374"/>
      <c r="O199" s="374"/>
      <c r="P199" s="374"/>
    </row>
    <row r="200" spans="9:16" x14ac:dyDescent="0.25">
      <c r="I200" s="374"/>
      <c r="J200" s="374"/>
      <c r="K200" s="374"/>
      <c r="L200" s="374"/>
      <c r="M200" s="374"/>
      <c r="N200" s="374"/>
      <c r="O200" s="374"/>
      <c r="P200" s="374"/>
    </row>
    <row r="201" spans="9:16" x14ac:dyDescent="0.25">
      <c r="I201" s="374"/>
      <c r="J201" s="374"/>
      <c r="K201" s="374"/>
      <c r="L201" s="374"/>
      <c r="M201" s="374"/>
      <c r="N201" s="374"/>
      <c r="O201" s="374"/>
      <c r="P201" s="374"/>
    </row>
    <row r="202" spans="9:16" x14ac:dyDescent="0.25">
      <c r="I202" s="374"/>
      <c r="J202" s="374"/>
      <c r="K202" s="374"/>
      <c r="L202" s="374"/>
      <c r="M202" s="374"/>
      <c r="N202" s="374"/>
      <c r="O202" s="374"/>
      <c r="P202" s="374"/>
    </row>
    <row r="203" spans="9:16" x14ac:dyDescent="0.25">
      <c r="I203" s="374"/>
      <c r="J203" s="374"/>
      <c r="K203" s="374"/>
      <c r="L203" s="374"/>
      <c r="M203" s="374"/>
      <c r="N203" s="374"/>
      <c r="O203" s="374"/>
      <c r="P203" s="374"/>
    </row>
    <row r="204" spans="9:16" x14ac:dyDescent="0.25">
      <c r="I204" s="374"/>
      <c r="J204" s="374"/>
      <c r="K204" s="374"/>
      <c r="L204" s="374"/>
      <c r="M204" s="374"/>
      <c r="N204" s="374"/>
      <c r="O204" s="374"/>
      <c r="P204" s="374"/>
    </row>
    <row r="205" spans="9:16" x14ac:dyDescent="0.25">
      <c r="I205" s="374"/>
      <c r="J205" s="374"/>
      <c r="K205" s="374"/>
      <c r="L205" s="374"/>
      <c r="M205" s="374"/>
      <c r="N205" s="374"/>
      <c r="O205" s="374"/>
      <c r="P205" s="374"/>
    </row>
    <row r="206" spans="9:16" x14ac:dyDescent="0.25">
      <c r="I206" s="374"/>
      <c r="J206" s="374"/>
      <c r="K206" s="374"/>
      <c r="L206" s="374"/>
      <c r="M206" s="374"/>
      <c r="N206" s="374"/>
      <c r="O206" s="374"/>
      <c r="P206" s="374"/>
    </row>
    <row r="207" spans="9:16" x14ac:dyDescent="0.25">
      <c r="I207" s="374"/>
      <c r="J207" s="374"/>
      <c r="K207" s="374"/>
      <c r="L207" s="374"/>
      <c r="M207" s="374"/>
      <c r="N207" s="374"/>
      <c r="O207" s="374"/>
      <c r="P207" s="374"/>
    </row>
    <row r="208" spans="9:16" x14ac:dyDescent="0.25">
      <c r="I208" s="374"/>
      <c r="J208" s="374"/>
      <c r="K208" s="374"/>
      <c r="L208" s="374"/>
      <c r="M208" s="374"/>
      <c r="N208" s="374"/>
      <c r="O208" s="374"/>
      <c r="P208" s="374"/>
    </row>
    <row r="209" spans="9:16" x14ac:dyDescent="0.25">
      <c r="I209" s="374"/>
      <c r="J209" s="374"/>
      <c r="K209" s="374"/>
      <c r="L209" s="374"/>
      <c r="M209" s="374"/>
      <c r="N209" s="374"/>
      <c r="O209" s="374"/>
      <c r="P209" s="374"/>
    </row>
    <row r="210" spans="9:16" x14ac:dyDescent="0.25">
      <c r="I210" s="374"/>
      <c r="J210" s="374"/>
      <c r="K210" s="374"/>
      <c r="L210" s="374"/>
      <c r="M210" s="374"/>
      <c r="N210" s="374"/>
      <c r="O210" s="374"/>
      <c r="P210" s="374"/>
    </row>
    <row r="211" spans="9:16" x14ac:dyDescent="0.25">
      <c r="I211" s="374"/>
      <c r="J211" s="374"/>
      <c r="K211" s="374"/>
      <c r="L211" s="374"/>
      <c r="M211" s="374"/>
      <c r="N211" s="374"/>
      <c r="O211" s="374"/>
      <c r="P211" s="374"/>
    </row>
    <row r="212" spans="9:16" x14ac:dyDescent="0.25">
      <c r="I212" s="374"/>
      <c r="J212" s="374"/>
      <c r="K212" s="374"/>
      <c r="L212" s="374"/>
      <c r="M212" s="374"/>
      <c r="N212" s="374"/>
      <c r="O212" s="374"/>
      <c r="P212" s="374"/>
    </row>
    <row r="213" spans="9:16" x14ac:dyDescent="0.25">
      <c r="I213" s="374"/>
      <c r="J213" s="374"/>
      <c r="K213" s="374"/>
      <c r="L213" s="374"/>
      <c r="M213" s="374"/>
      <c r="N213" s="374"/>
      <c r="O213" s="374"/>
      <c r="P213" s="374"/>
    </row>
    <row r="214" spans="9:16" x14ac:dyDescent="0.25">
      <c r="I214" s="374"/>
      <c r="J214" s="374"/>
      <c r="K214" s="374"/>
      <c r="L214" s="374"/>
      <c r="M214" s="374"/>
      <c r="N214" s="374"/>
      <c r="O214" s="374"/>
      <c r="P214" s="374"/>
    </row>
    <row r="215" spans="9:16" x14ac:dyDescent="0.25">
      <c r="I215" s="374"/>
      <c r="J215" s="374"/>
      <c r="K215" s="374"/>
      <c r="L215" s="374"/>
      <c r="M215" s="374"/>
      <c r="N215" s="374"/>
      <c r="O215" s="374"/>
      <c r="P215" s="374"/>
    </row>
    <row r="216" spans="9:16" x14ac:dyDescent="0.25">
      <c r="I216" s="374"/>
      <c r="J216" s="374"/>
      <c r="K216" s="374"/>
      <c r="L216" s="374"/>
      <c r="M216" s="374"/>
      <c r="N216" s="374"/>
      <c r="O216" s="374"/>
      <c r="P216" s="374"/>
    </row>
    <row r="217" spans="9:16" x14ac:dyDescent="0.25">
      <c r="I217" s="374"/>
      <c r="J217" s="374"/>
      <c r="K217" s="374"/>
      <c r="L217" s="374"/>
      <c r="M217" s="374"/>
      <c r="N217" s="374"/>
      <c r="O217" s="374"/>
      <c r="P217" s="374"/>
    </row>
    <row r="218" spans="9:16" x14ac:dyDescent="0.25">
      <c r="I218" s="374"/>
      <c r="J218" s="374"/>
      <c r="K218" s="374"/>
      <c r="L218" s="374"/>
      <c r="M218" s="374"/>
      <c r="N218" s="374"/>
      <c r="O218" s="374"/>
      <c r="P218" s="374"/>
    </row>
    <row r="219" spans="9:16" x14ac:dyDescent="0.25">
      <c r="I219" s="374"/>
      <c r="J219" s="374"/>
      <c r="K219" s="374"/>
      <c r="L219" s="374"/>
      <c r="M219" s="374"/>
      <c r="N219" s="374"/>
      <c r="O219" s="374"/>
      <c r="P219" s="374"/>
    </row>
    <row r="220" spans="9:16" x14ac:dyDescent="0.25">
      <c r="I220" s="374"/>
      <c r="J220" s="374"/>
      <c r="K220" s="374"/>
      <c r="L220" s="374"/>
      <c r="M220" s="374"/>
      <c r="N220" s="374"/>
      <c r="O220" s="374"/>
      <c r="P220" s="374"/>
    </row>
    <row r="221" spans="9:16" x14ac:dyDescent="0.25">
      <c r="I221" s="374"/>
      <c r="J221" s="374"/>
      <c r="K221" s="374"/>
      <c r="L221" s="374"/>
      <c r="M221" s="374"/>
      <c r="N221" s="374"/>
      <c r="O221" s="374"/>
      <c r="P221" s="374"/>
    </row>
    <row r="222" spans="9:16" x14ac:dyDescent="0.25">
      <c r="I222" s="374"/>
      <c r="J222" s="374"/>
      <c r="K222" s="374"/>
      <c r="L222" s="374"/>
      <c r="M222" s="374"/>
      <c r="N222" s="374"/>
      <c r="O222" s="374"/>
      <c r="P222" s="374"/>
    </row>
    <row r="223" spans="9:16" x14ac:dyDescent="0.25">
      <c r="I223" s="374"/>
      <c r="J223" s="374"/>
      <c r="K223" s="374"/>
      <c r="L223" s="374"/>
      <c r="M223" s="374"/>
      <c r="N223" s="374"/>
      <c r="O223" s="374"/>
      <c r="P223" s="374"/>
    </row>
    <row r="224" spans="9:16" x14ac:dyDescent="0.25">
      <c r="I224" s="374"/>
      <c r="J224" s="374"/>
      <c r="K224" s="374"/>
      <c r="L224" s="374"/>
      <c r="M224" s="374"/>
      <c r="N224" s="374"/>
      <c r="O224" s="374"/>
      <c r="P224" s="374"/>
    </row>
    <row r="225" spans="9:16" x14ac:dyDescent="0.25">
      <c r="I225" s="374"/>
      <c r="J225" s="374"/>
      <c r="K225" s="374"/>
      <c r="L225" s="374"/>
      <c r="M225" s="374"/>
      <c r="N225" s="374"/>
      <c r="O225" s="374"/>
      <c r="P225" s="374"/>
    </row>
  </sheetData>
  <autoFilter ref="I9:O156" xr:uid="{00000000-0009-0000-0000-000002000000}">
    <filterColumn colId="3">
      <filters>
        <filter val="CAMARON DE CULTIVO PRECOCIDO 91-110P (Carnes Los Monos - YP24244)"/>
        <filter val="CAMARON DE CULTIVO PRECOCIDO 91-110P (Carnes Los Monos - YP24314)"/>
        <filter val="COSTILLA DE CERDO (Distribuidora de Carnes ET Los Monos - Factura YP24490)"/>
        <filter val="COSTILLA DE CERDO IBP 244L (Carnes Los Monos - YP24314)"/>
        <filter val="COSTILLA DE CERDO IBP 244M (Carnes Los Monos - YP24140)"/>
        <filter val="COSTILLA DE RES DELANTERA (Carnes Los Monos - YP24244)"/>
        <filter val="COSTILLA SAN LUIS JUNIOR T/M (Carnes Los Monos - YP24244)"/>
        <filter val="LENGUA DE RES (Distribuidora de Carnes ET Los Monos - Factura YP24490)"/>
        <filter val="LENGUA DE RES IMP X KL (Carnes Los Monos - YP24140)"/>
        <filter val="LENGUA DE RES IMP X KL (Carnes Los Monos - YP24314)"/>
        <filter val="LOMO CARACHO (Distribuidora de Carnes ET Los Monos - Factura YP24490)"/>
        <filter val="LOMO CARACHO PORCIONADO PARRILLA (Carnes Los Monos - YP24244)"/>
        <filter val="MORRILLO DE RES (Carnes Los Monos - MY8683)"/>
        <filter val="PUNTA DE ANCA CERDO (Distribuidora de Carnes ET Los Monos - Factura YP24490)"/>
        <filter val="PUNTA DE ANCA IMP PORC. PARRILLA (Carnes Los Monos - YP24244)"/>
        <filter val="SOBACO (Carnes Los Monos - MY8683)"/>
        <filter val="SOBACO (Carnes Los Monos - YP24140)"/>
        <filter val="SOBACO (Carnes Los Monos - YP24244)"/>
        <filter val="SOBACO (Carnes Los Monos - YP24314)"/>
        <filter val="SOBACO (Distribuidora de Carnes ET Los Monos - Factura YP24490)"/>
        <filter val="SOBREBARRIGA DELGADA (Carnes Los Monos - MY8683)"/>
        <filter val="SOBREBARRIGA DELGADA (Carnes Los Monos - YP24140)"/>
        <filter val="SOBREBARRIGA DELGADA (Carnes Los Monos - YP24244)"/>
        <filter val="TOCINETA BARRIL (Carnes Los Monos - YP24152)"/>
        <filter val="TOCINETA BARRIL (Carnes Los Monos - YP24244)"/>
        <filter val="TOCINETA BARRIL (Carnes Los Monos - YP24314)"/>
        <filter val="TOCINETA BARRIL (Distribuidora de Carnes ET Los Monos - Factura YP24490)"/>
        <filter val="TROZOS DE PECHUGA (Carnes Los Monos - YP24314)"/>
      </filters>
    </filterColumn>
  </autoFilter>
  <mergeCells count="8">
    <mergeCell ref="B2:H2"/>
    <mergeCell ref="B3:H3"/>
    <mergeCell ref="D6:E6"/>
    <mergeCell ref="B6:C6"/>
    <mergeCell ref="I8:O8"/>
    <mergeCell ref="B5:C5"/>
    <mergeCell ref="D5:E5"/>
    <mergeCell ref="B8:G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U295"/>
  <sheetViews>
    <sheetView topLeftCell="F22" workbookViewId="0">
      <selection activeCell="I9" sqref="I9"/>
    </sheetView>
  </sheetViews>
  <sheetFormatPr baseColWidth="10" defaultColWidth="8.7109375" defaultRowHeight="15" x14ac:dyDescent="0.25"/>
  <cols>
    <col min="1" max="1" width="4" style="471" customWidth="1"/>
    <col min="2" max="2" width="8" style="471" customWidth="1"/>
    <col min="3" max="3" width="20" style="471" customWidth="1"/>
    <col min="4" max="4" width="28" style="471" customWidth="1"/>
    <col min="5" max="5" width="38" style="471" customWidth="1"/>
    <col min="6" max="6" width="15.42578125" style="471" bestFit="1" customWidth="1"/>
    <col min="7" max="7" width="16" style="471" customWidth="1"/>
    <col min="8" max="8" width="18" style="471" customWidth="1"/>
    <col min="9" max="9" width="3.42578125" style="471" bestFit="1" customWidth="1"/>
    <col min="10" max="10" width="21.85546875" style="471" bestFit="1" customWidth="1"/>
    <col min="11" max="11" width="25.5703125" style="471" bestFit="1" customWidth="1"/>
    <col min="12" max="12" width="53" style="471" bestFit="1" customWidth="1"/>
    <col min="13" max="13" width="14" style="471" bestFit="1" customWidth="1"/>
    <col min="14" max="14" width="18.42578125" style="471" bestFit="1" customWidth="1"/>
    <col min="15" max="15" width="9.85546875" style="471" bestFit="1" customWidth="1"/>
    <col min="16" max="16" width="17.28515625" style="471" bestFit="1" customWidth="1"/>
    <col min="17" max="17" width="18.140625" style="471" bestFit="1" customWidth="1"/>
    <col min="18" max="18" width="16.85546875" style="471" bestFit="1" customWidth="1"/>
  </cols>
  <sheetData>
    <row r="2" spans="2:21" ht="27.95" customHeight="1" x14ac:dyDescent="0.25">
      <c r="B2" s="580" t="s">
        <v>457</v>
      </c>
      <c r="C2" s="545"/>
      <c r="D2" s="545"/>
      <c r="E2" s="545"/>
      <c r="F2" s="545"/>
      <c r="G2" s="545"/>
      <c r="H2" s="545"/>
    </row>
    <row r="3" spans="2:21" ht="18" customHeight="1" x14ac:dyDescent="0.25">
      <c r="B3" s="581" t="s">
        <v>458</v>
      </c>
      <c r="C3" s="545"/>
      <c r="D3" s="545"/>
      <c r="E3" s="545"/>
      <c r="F3" s="545"/>
      <c r="G3" s="545"/>
      <c r="H3" s="545"/>
    </row>
    <row r="5" spans="2:21" ht="18" customHeight="1" x14ac:dyDescent="0.25">
      <c r="B5" s="585" t="s">
        <v>459</v>
      </c>
      <c r="C5" s="575"/>
      <c r="D5" s="585" t="s">
        <v>460</v>
      </c>
      <c r="E5" s="575"/>
      <c r="F5" s="475" t="s">
        <v>461</v>
      </c>
      <c r="G5" s="475" t="s">
        <v>462</v>
      </c>
      <c r="H5" s="475" t="s">
        <v>178</v>
      </c>
    </row>
    <row r="6" spans="2:21" ht="24" customHeight="1" x14ac:dyDescent="0.25">
      <c r="B6" s="583">
        <v>5929256.0700000022</v>
      </c>
      <c r="C6" s="575"/>
      <c r="D6" s="582">
        <v>1478</v>
      </c>
      <c r="E6" s="575"/>
      <c r="F6" s="474">
        <v>4011.6752841677958</v>
      </c>
      <c r="G6" s="275">
        <v>95</v>
      </c>
      <c r="H6" s="276">
        <v>3.4819477577237239E-2</v>
      </c>
    </row>
    <row r="8" spans="2:21" x14ac:dyDescent="0.25">
      <c r="B8" s="586" t="s">
        <v>463</v>
      </c>
      <c r="C8" s="545"/>
      <c r="D8" s="545"/>
      <c r="E8" s="545"/>
      <c r="F8" s="545"/>
      <c r="G8" s="545"/>
      <c r="I8" s="584" t="s">
        <v>464</v>
      </c>
      <c r="J8" s="545"/>
      <c r="K8" s="545"/>
      <c r="L8" s="545"/>
      <c r="M8" s="545"/>
      <c r="N8" s="545"/>
      <c r="O8" s="545"/>
      <c r="P8" s="545"/>
      <c r="Q8" s="545"/>
      <c r="R8" s="545"/>
      <c r="S8" s="24"/>
      <c r="T8" s="24"/>
      <c r="U8" s="24"/>
    </row>
    <row r="9" spans="2:21" ht="21.95" customHeight="1" x14ac:dyDescent="0.25">
      <c r="B9" s="15" t="s">
        <v>48</v>
      </c>
      <c r="C9" s="15" t="s">
        <v>181</v>
      </c>
      <c r="D9" s="15" t="s">
        <v>465</v>
      </c>
      <c r="E9" s="15" t="s">
        <v>466</v>
      </c>
      <c r="F9" s="15" t="s">
        <v>184</v>
      </c>
      <c r="G9" s="15" t="s">
        <v>467</v>
      </c>
      <c r="I9" s="30" t="s">
        <v>48</v>
      </c>
      <c r="J9" s="30" t="s">
        <v>185</v>
      </c>
      <c r="K9" s="30" t="s">
        <v>468</v>
      </c>
      <c r="L9" s="30" t="s">
        <v>469</v>
      </c>
      <c r="M9" s="30" t="s">
        <v>470</v>
      </c>
      <c r="N9" s="30" t="s">
        <v>471</v>
      </c>
      <c r="O9" s="30" t="s">
        <v>472</v>
      </c>
      <c r="P9" s="30" t="s">
        <v>473</v>
      </c>
      <c r="Q9" s="30" t="s">
        <v>474</v>
      </c>
      <c r="R9" s="30" t="s">
        <v>475</v>
      </c>
      <c r="S9" s="24"/>
      <c r="T9" s="24"/>
      <c r="U9" s="24"/>
    </row>
    <row r="10" spans="2:21" ht="18" customHeight="1" x14ac:dyDescent="0.25">
      <c r="B10" s="7">
        <v>1</v>
      </c>
      <c r="C10" s="266">
        <v>411700</v>
      </c>
      <c r="D10" s="16">
        <v>5</v>
      </c>
      <c r="E10" s="266">
        <v>82340</v>
      </c>
      <c r="F10" s="267">
        <v>6.94353549820627E-2</v>
      </c>
      <c r="G10" s="9">
        <v>4</v>
      </c>
      <c r="I10" s="362">
        <v>1</v>
      </c>
      <c r="J10" s="362" t="s">
        <v>476</v>
      </c>
      <c r="K10" s="363" t="s">
        <v>477</v>
      </c>
      <c r="L10" s="363" t="s">
        <v>478</v>
      </c>
      <c r="M10" s="365">
        <v>1</v>
      </c>
      <c r="N10" s="366">
        <v>92200</v>
      </c>
      <c r="O10" s="381">
        <v>1</v>
      </c>
      <c r="P10" s="382">
        <v>1</v>
      </c>
      <c r="Q10" s="366">
        <v>92200</v>
      </c>
      <c r="R10" s="366">
        <v>92200</v>
      </c>
      <c r="S10" s="374"/>
      <c r="T10" s="24"/>
      <c r="U10" s="24"/>
    </row>
    <row r="11" spans="2:21" ht="18" customHeight="1" x14ac:dyDescent="0.25">
      <c r="B11" s="17">
        <v>2</v>
      </c>
      <c r="C11" s="277">
        <v>162100</v>
      </c>
      <c r="D11" s="18">
        <v>4</v>
      </c>
      <c r="E11" s="277">
        <v>40525</v>
      </c>
      <c r="F11" s="278">
        <v>2.7339011519534519E-2</v>
      </c>
      <c r="G11" s="19">
        <v>3</v>
      </c>
      <c r="I11" s="362">
        <v>1</v>
      </c>
      <c r="J11" s="362" t="s">
        <v>476</v>
      </c>
      <c r="K11" s="363" t="s">
        <v>479</v>
      </c>
      <c r="L11" s="363" t="s">
        <v>480</v>
      </c>
      <c r="M11" s="365">
        <v>1</v>
      </c>
      <c r="N11" s="366">
        <v>77500</v>
      </c>
      <c r="O11" s="381">
        <v>1</v>
      </c>
      <c r="P11" s="382">
        <v>1</v>
      </c>
      <c r="Q11" s="366">
        <v>77500</v>
      </c>
      <c r="R11" s="366">
        <v>77500</v>
      </c>
      <c r="S11" s="374"/>
      <c r="T11" s="24"/>
      <c r="U11" s="24"/>
    </row>
    <row r="12" spans="2:21" ht="18" customHeight="1" x14ac:dyDescent="0.25">
      <c r="B12" s="7">
        <v>3</v>
      </c>
      <c r="C12" s="266">
        <v>970600</v>
      </c>
      <c r="D12" s="16">
        <v>29</v>
      </c>
      <c r="E12" s="266">
        <v>33468.965517241377</v>
      </c>
      <c r="F12" s="267">
        <v>0.16369675867279579</v>
      </c>
      <c r="G12" s="9">
        <v>8</v>
      </c>
      <c r="I12" s="362">
        <v>1</v>
      </c>
      <c r="J12" s="362" t="s">
        <v>476</v>
      </c>
      <c r="K12" s="363" t="s">
        <v>481</v>
      </c>
      <c r="L12" s="363" t="s">
        <v>482</v>
      </c>
      <c r="M12" s="365">
        <v>1</v>
      </c>
      <c r="N12" s="366">
        <v>93000</v>
      </c>
      <c r="O12" s="381">
        <v>1</v>
      </c>
      <c r="P12" s="382">
        <v>1</v>
      </c>
      <c r="Q12" s="366">
        <v>93000</v>
      </c>
      <c r="R12" s="366">
        <v>93000</v>
      </c>
      <c r="S12" s="374"/>
      <c r="T12" s="24"/>
      <c r="U12" s="24"/>
    </row>
    <row r="13" spans="2:21" ht="18" customHeight="1" x14ac:dyDescent="0.25">
      <c r="B13" s="17">
        <v>4</v>
      </c>
      <c r="C13" s="277">
        <v>140975</v>
      </c>
      <c r="D13" s="18">
        <v>7</v>
      </c>
      <c r="E13" s="277">
        <v>20139.28571428571</v>
      </c>
      <c r="F13" s="278">
        <v>2.3776169950440341E-2</v>
      </c>
      <c r="G13" s="19">
        <v>2</v>
      </c>
      <c r="I13" s="362">
        <v>1</v>
      </c>
      <c r="J13" s="362" t="s">
        <v>476</v>
      </c>
      <c r="K13" s="363" t="s">
        <v>483</v>
      </c>
      <c r="L13" s="363" t="s">
        <v>484</v>
      </c>
      <c r="M13" s="365">
        <v>2</v>
      </c>
      <c r="N13" s="366">
        <v>74500</v>
      </c>
      <c r="O13" s="381">
        <v>1</v>
      </c>
      <c r="P13" s="382">
        <v>2</v>
      </c>
      <c r="Q13" s="366">
        <v>74500</v>
      </c>
      <c r="R13" s="366">
        <v>149000</v>
      </c>
      <c r="S13" s="374"/>
      <c r="T13" s="24"/>
      <c r="U13" s="24"/>
    </row>
    <row r="14" spans="2:21" ht="18" customHeight="1" x14ac:dyDescent="0.25">
      <c r="B14" s="7">
        <v>5</v>
      </c>
      <c r="C14" s="266">
        <v>386504.07</v>
      </c>
      <c r="D14" s="16">
        <v>219</v>
      </c>
      <c r="E14" s="266">
        <v>1764.8587671232881</v>
      </c>
      <c r="F14" s="267">
        <v>6.5185929809234905E-2</v>
      </c>
      <c r="G14" s="9">
        <v>15</v>
      </c>
      <c r="I14" s="368" t="s">
        <v>485</v>
      </c>
      <c r="J14" s="369"/>
      <c r="K14" s="369"/>
      <c r="L14" s="369"/>
      <c r="M14" s="370">
        <v>5</v>
      </c>
      <c r="N14" s="371">
        <v>82340</v>
      </c>
      <c r="O14" s="383" t="s">
        <v>44</v>
      </c>
      <c r="P14" s="384">
        <v>5</v>
      </c>
      <c r="Q14" s="371">
        <v>82340</v>
      </c>
      <c r="R14" s="371">
        <v>411700</v>
      </c>
      <c r="S14" s="374"/>
      <c r="T14" s="24"/>
      <c r="U14" s="24"/>
    </row>
    <row r="15" spans="2:21" ht="18" customHeight="1" x14ac:dyDescent="0.25">
      <c r="B15" s="17">
        <v>6</v>
      </c>
      <c r="C15" s="277">
        <v>0</v>
      </c>
      <c r="D15" s="18">
        <v>0</v>
      </c>
      <c r="E15" s="277">
        <v>0</v>
      </c>
      <c r="F15" s="278">
        <v>0</v>
      </c>
      <c r="G15" s="19">
        <v>0</v>
      </c>
      <c r="I15" s="362">
        <v>2</v>
      </c>
      <c r="J15" s="362" t="s">
        <v>486</v>
      </c>
      <c r="K15" s="363" t="s">
        <v>487</v>
      </c>
      <c r="L15" s="363" t="s">
        <v>488</v>
      </c>
      <c r="M15" s="365">
        <v>2</v>
      </c>
      <c r="N15" s="366">
        <v>39000</v>
      </c>
      <c r="O15" s="381">
        <v>1</v>
      </c>
      <c r="P15" s="382">
        <v>2</v>
      </c>
      <c r="Q15" s="366">
        <v>39000</v>
      </c>
      <c r="R15" s="366">
        <v>78000</v>
      </c>
      <c r="S15" s="374"/>
      <c r="T15" s="24"/>
      <c r="U15" s="24"/>
    </row>
    <row r="16" spans="2:21" ht="18" customHeight="1" x14ac:dyDescent="0.25">
      <c r="B16" s="7">
        <v>7</v>
      </c>
      <c r="C16" s="266">
        <v>73000</v>
      </c>
      <c r="D16" s="16">
        <v>11</v>
      </c>
      <c r="E16" s="266">
        <v>6636.363636363636</v>
      </c>
      <c r="F16" s="267">
        <v>1.231183122101184E-2</v>
      </c>
      <c r="G16" s="9">
        <v>4</v>
      </c>
      <c r="I16" s="362">
        <v>2</v>
      </c>
      <c r="J16" s="362" t="s">
        <v>486</v>
      </c>
      <c r="K16" s="363" t="s">
        <v>489</v>
      </c>
      <c r="L16" s="363" t="s">
        <v>490</v>
      </c>
      <c r="M16" s="365">
        <v>1</v>
      </c>
      <c r="N16" s="366">
        <v>32500</v>
      </c>
      <c r="O16" s="381">
        <v>1</v>
      </c>
      <c r="P16" s="382">
        <v>1</v>
      </c>
      <c r="Q16" s="366">
        <v>32500</v>
      </c>
      <c r="R16" s="366">
        <v>32500</v>
      </c>
      <c r="S16" s="374"/>
      <c r="T16" s="24"/>
      <c r="U16" s="24"/>
    </row>
    <row r="17" spans="2:21" ht="18" customHeight="1" x14ac:dyDescent="0.25">
      <c r="B17" s="17">
        <v>8</v>
      </c>
      <c r="C17" s="277">
        <v>29000</v>
      </c>
      <c r="D17" s="18">
        <v>4</v>
      </c>
      <c r="E17" s="277">
        <v>7250</v>
      </c>
      <c r="F17" s="278">
        <v>4.8910014439636097E-3</v>
      </c>
      <c r="G17" s="19">
        <v>2</v>
      </c>
      <c r="I17" s="362">
        <v>2</v>
      </c>
      <c r="J17" s="362" t="s">
        <v>486</v>
      </c>
      <c r="K17" s="363" t="s">
        <v>491</v>
      </c>
      <c r="L17" s="363" t="s">
        <v>492</v>
      </c>
      <c r="M17" s="365">
        <v>1</v>
      </c>
      <c r="N17" s="366">
        <v>51600</v>
      </c>
      <c r="O17" s="381">
        <v>1</v>
      </c>
      <c r="P17" s="382">
        <v>1</v>
      </c>
      <c r="Q17" s="366">
        <v>51600</v>
      </c>
      <c r="R17" s="366">
        <v>51600</v>
      </c>
      <c r="S17" s="374"/>
      <c r="T17" s="24"/>
      <c r="U17" s="24"/>
    </row>
    <row r="18" spans="2:21" ht="18" customHeight="1" x14ac:dyDescent="0.25">
      <c r="B18" s="7">
        <v>9</v>
      </c>
      <c r="C18" s="266">
        <v>1723770</v>
      </c>
      <c r="D18" s="16">
        <v>1151</v>
      </c>
      <c r="E18" s="266">
        <v>1497.6281494352741</v>
      </c>
      <c r="F18" s="267">
        <v>0.290722812381419</v>
      </c>
      <c r="G18" s="9">
        <v>26</v>
      </c>
      <c r="I18" s="368" t="s">
        <v>493</v>
      </c>
      <c r="J18" s="369"/>
      <c r="K18" s="369"/>
      <c r="L18" s="369"/>
      <c r="M18" s="370">
        <v>4</v>
      </c>
      <c r="N18" s="371">
        <v>40525</v>
      </c>
      <c r="O18" s="383" t="s">
        <v>44</v>
      </c>
      <c r="P18" s="384">
        <v>4</v>
      </c>
      <c r="Q18" s="371">
        <v>40525</v>
      </c>
      <c r="R18" s="371">
        <v>162100</v>
      </c>
      <c r="S18" s="374"/>
      <c r="T18" s="24"/>
      <c r="U18" s="24"/>
    </row>
    <row r="19" spans="2:21" ht="18" customHeight="1" x14ac:dyDescent="0.25">
      <c r="B19" s="17">
        <v>10</v>
      </c>
      <c r="C19" s="277">
        <v>918471</v>
      </c>
      <c r="D19" s="18">
        <v>15</v>
      </c>
      <c r="E19" s="277">
        <v>61231.4</v>
      </c>
      <c r="F19" s="278">
        <v>0.154904930594438</v>
      </c>
      <c r="G19" s="19">
        <v>9</v>
      </c>
      <c r="I19" s="362">
        <v>3</v>
      </c>
      <c r="J19" s="362" t="s">
        <v>494</v>
      </c>
      <c r="K19" s="363" t="s">
        <v>495</v>
      </c>
      <c r="L19" s="363" t="s">
        <v>496</v>
      </c>
      <c r="M19" s="365">
        <v>1</v>
      </c>
      <c r="N19" s="366">
        <v>32000</v>
      </c>
      <c r="O19" s="381">
        <v>1</v>
      </c>
      <c r="P19" s="382">
        <v>1</v>
      </c>
      <c r="Q19" s="366">
        <v>32000</v>
      </c>
      <c r="R19" s="366">
        <v>32000</v>
      </c>
      <c r="S19" s="374"/>
      <c r="T19" s="24"/>
      <c r="U19" s="24"/>
    </row>
    <row r="20" spans="2:21" ht="18" customHeight="1" x14ac:dyDescent="0.25">
      <c r="B20" s="7">
        <v>11</v>
      </c>
      <c r="C20" s="266">
        <v>34000</v>
      </c>
      <c r="D20" s="16">
        <v>5</v>
      </c>
      <c r="E20" s="266">
        <v>6800</v>
      </c>
      <c r="F20" s="267">
        <v>5.7342775549918184E-3</v>
      </c>
      <c r="G20" s="9">
        <v>2</v>
      </c>
      <c r="I20" s="362">
        <v>3</v>
      </c>
      <c r="J20" s="362" t="s">
        <v>494</v>
      </c>
      <c r="K20" s="363" t="s">
        <v>497</v>
      </c>
      <c r="L20" s="363" t="s">
        <v>498</v>
      </c>
      <c r="M20" s="365">
        <v>2</v>
      </c>
      <c r="N20" s="366">
        <v>65000</v>
      </c>
      <c r="O20" s="381">
        <v>1</v>
      </c>
      <c r="P20" s="382">
        <v>2</v>
      </c>
      <c r="Q20" s="366">
        <v>65000</v>
      </c>
      <c r="R20" s="366">
        <v>130000</v>
      </c>
      <c r="S20" s="374"/>
      <c r="T20" s="24"/>
      <c r="U20" s="24"/>
    </row>
    <row r="21" spans="2:21" ht="18" customHeight="1" x14ac:dyDescent="0.25">
      <c r="B21" s="17">
        <v>12</v>
      </c>
      <c r="C21" s="277">
        <v>83000</v>
      </c>
      <c r="D21" s="18">
        <v>4</v>
      </c>
      <c r="E21" s="277">
        <v>20750</v>
      </c>
      <c r="F21" s="278">
        <v>1.3998383443068261E-2</v>
      </c>
      <c r="G21" s="19">
        <v>4</v>
      </c>
      <c r="I21" s="362">
        <v>3</v>
      </c>
      <c r="J21" s="362" t="s">
        <v>494</v>
      </c>
      <c r="K21" s="363" t="s">
        <v>499</v>
      </c>
      <c r="L21" s="363" t="s">
        <v>500</v>
      </c>
      <c r="M21" s="365">
        <v>2</v>
      </c>
      <c r="N21" s="366">
        <v>65000</v>
      </c>
      <c r="O21" s="381">
        <v>1</v>
      </c>
      <c r="P21" s="382">
        <v>2</v>
      </c>
      <c r="Q21" s="366">
        <v>65000</v>
      </c>
      <c r="R21" s="366">
        <v>130000</v>
      </c>
      <c r="S21" s="374"/>
      <c r="T21" s="24"/>
      <c r="U21" s="24"/>
    </row>
    <row r="22" spans="2:21" ht="18" customHeight="1" x14ac:dyDescent="0.25">
      <c r="B22" s="7">
        <v>13</v>
      </c>
      <c r="C22" s="266">
        <v>126500</v>
      </c>
      <c r="D22" s="16">
        <v>3</v>
      </c>
      <c r="E22" s="266">
        <v>42166.666666666657</v>
      </c>
      <c r="F22" s="267">
        <v>2.1334885609013681E-2</v>
      </c>
      <c r="G22" s="9">
        <v>2</v>
      </c>
      <c r="I22" s="362">
        <v>3</v>
      </c>
      <c r="J22" s="362" t="s">
        <v>494</v>
      </c>
      <c r="K22" s="363" t="s">
        <v>501</v>
      </c>
      <c r="L22" s="363" t="s">
        <v>502</v>
      </c>
      <c r="M22" s="365">
        <v>10</v>
      </c>
      <c r="N22" s="366">
        <v>28800</v>
      </c>
      <c r="O22" s="381">
        <v>1</v>
      </c>
      <c r="P22" s="382">
        <v>10</v>
      </c>
      <c r="Q22" s="366">
        <v>28800</v>
      </c>
      <c r="R22" s="366">
        <v>288000</v>
      </c>
      <c r="S22" s="374"/>
      <c r="T22" s="24"/>
      <c r="U22" s="24"/>
    </row>
    <row r="23" spans="2:21" ht="18" customHeight="1" x14ac:dyDescent="0.25">
      <c r="B23" s="17">
        <v>14</v>
      </c>
      <c r="C23" s="277">
        <v>0</v>
      </c>
      <c r="D23" s="18">
        <v>0</v>
      </c>
      <c r="E23" s="277">
        <v>0</v>
      </c>
      <c r="F23" s="278">
        <v>0</v>
      </c>
      <c r="G23" s="19">
        <v>0</v>
      </c>
      <c r="I23" s="362">
        <v>3</v>
      </c>
      <c r="J23" s="362" t="s">
        <v>494</v>
      </c>
      <c r="K23" s="363" t="s">
        <v>503</v>
      </c>
      <c r="L23" s="363" t="s">
        <v>504</v>
      </c>
      <c r="M23" s="365">
        <v>8</v>
      </c>
      <c r="N23" s="366">
        <v>30000</v>
      </c>
      <c r="O23" s="381">
        <v>1</v>
      </c>
      <c r="P23" s="382">
        <v>8</v>
      </c>
      <c r="Q23" s="366">
        <v>30000</v>
      </c>
      <c r="R23" s="366">
        <v>240000</v>
      </c>
      <c r="S23" s="374"/>
      <c r="T23" s="24"/>
      <c r="U23" s="24"/>
    </row>
    <row r="24" spans="2:21" ht="18" customHeight="1" x14ac:dyDescent="0.25">
      <c r="B24" s="7">
        <v>15</v>
      </c>
      <c r="C24" s="266">
        <v>38436</v>
      </c>
      <c r="D24" s="16">
        <v>6</v>
      </c>
      <c r="E24" s="266">
        <v>6406</v>
      </c>
      <c r="F24" s="267">
        <v>6.4824321206960449E-3</v>
      </c>
      <c r="G24" s="9">
        <v>3</v>
      </c>
      <c r="I24" s="362">
        <v>3</v>
      </c>
      <c r="J24" s="362" t="s">
        <v>505</v>
      </c>
      <c r="K24" s="363" t="s">
        <v>506</v>
      </c>
      <c r="L24" s="363" t="s">
        <v>507</v>
      </c>
      <c r="M24" s="365">
        <v>2</v>
      </c>
      <c r="N24" s="366">
        <v>25100</v>
      </c>
      <c r="O24" s="381">
        <v>1</v>
      </c>
      <c r="P24" s="382">
        <v>2</v>
      </c>
      <c r="Q24" s="366">
        <v>25100</v>
      </c>
      <c r="R24" s="366">
        <v>50200</v>
      </c>
      <c r="S24" s="374"/>
      <c r="T24" s="24"/>
      <c r="U24" s="24"/>
    </row>
    <row r="25" spans="2:21" ht="18" customHeight="1" x14ac:dyDescent="0.25">
      <c r="B25" s="17">
        <v>16</v>
      </c>
      <c r="C25" s="277">
        <v>34000</v>
      </c>
      <c r="D25" s="18">
        <v>1</v>
      </c>
      <c r="E25" s="277">
        <v>34000</v>
      </c>
      <c r="F25" s="278">
        <v>5.7342775549918184E-3</v>
      </c>
      <c r="G25" s="19">
        <v>1</v>
      </c>
      <c r="I25" s="362">
        <v>3</v>
      </c>
      <c r="J25" s="362" t="s">
        <v>505</v>
      </c>
      <c r="K25" s="363" t="s">
        <v>506</v>
      </c>
      <c r="L25" s="363" t="s">
        <v>508</v>
      </c>
      <c r="M25" s="365">
        <v>2</v>
      </c>
      <c r="N25" s="366">
        <v>25100</v>
      </c>
      <c r="O25" s="381">
        <v>1</v>
      </c>
      <c r="P25" s="382">
        <v>2</v>
      </c>
      <c r="Q25" s="366">
        <v>25100</v>
      </c>
      <c r="R25" s="366">
        <v>50200</v>
      </c>
      <c r="S25" s="374"/>
      <c r="T25" s="24"/>
      <c r="U25" s="24"/>
    </row>
    <row r="26" spans="2:21" ht="18" customHeight="1" x14ac:dyDescent="0.25">
      <c r="B26" s="7">
        <v>17</v>
      </c>
      <c r="C26" s="266">
        <v>249000</v>
      </c>
      <c r="D26" s="16">
        <v>6</v>
      </c>
      <c r="E26" s="266">
        <v>41500</v>
      </c>
      <c r="F26" s="267">
        <v>4.199515032920479E-2</v>
      </c>
      <c r="G26" s="9">
        <v>3</v>
      </c>
      <c r="I26" s="362">
        <v>3</v>
      </c>
      <c r="J26" s="362" t="s">
        <v>505</v>
      </c>
      <c r="K26" s="363" t="s">
        <v>506</v>
      </c>
      <c r="L26" s="363" t="s">
        <v>509</v>
      </c>
      <c r="M26" s="365">
        <v>2</v>
      </c>
      <c r="N26" s="366">
        <v>25100</v>
      </c>
      <c r="O26" s="381">
        <v>1</v>
      </c>
      <c r="P26" s="382">
        <v>2</v>
      </c>
      <c r="Q26" s="366">
        <v>25100</v>
      </c>
      <c r="R26" s="366">
        <v>50200</v>
      </c>
      <c r="S26" s="374"/>
      <c r="T26" s="24"/>
      <c r="U26" s="24"/>
    </row>
    <row r="27" spans="2:21" ht="18" customHeight="1" x14ac:dyDescent="0.25">
      <c r="B27" s="17">
        <v>18</v>
      </c>
      <c r="C27" s="277">
        <v>548200</v>
      </c>
      <c r="D27" s="18">
        <v>8</v>
      </c>
      <c r="E27" s="277">
        <v>68525</v>
      </c>
      <c r="F27" s="278">
        <v>9.2456792813132793E-2</v>
      </c>
      <c r="G27" s="19">
        <v>7</v>
      </c>
      <c r="I27" s="368" t="s">
        <v>510</v>
      </c>
      <c r="J27" s="369"/>
      <c r="K27" s="369"/>
      <c r="L27" s="369"/>
      <c r="M27" s="370">
        <v>29</v>
      </c>
      <c r="N27" s="371">
        <v>33468.965517241377</v>
      </c>
      <c r="O27" s="383" t="s">
        <v>44</v>
      </c>
      <c r="P27" s="384">
        <v>29</v>
      </c>
      <c r="Q27" s="371">
        <v>33468.965517241377</v>
      </c>
      <c r="R27" s="371">
        <v>970600</v>
      </c>
      <c r="S27" s="374"/>
      <c r="T27" s="24"/>
      <c r="U27" s="24"/>
    </row>
    <row r="28" spans="2:21" ht="18" customHeight="1" x14ac:dyDescent="0.25">
      <c r="B28" s="7">
        <v>19</v>
      </c>
      <c r="C28" s="266">
        <v>0</v>
      </c>
      <c r="D28" s="16">
        <v>0</v>
      </c>
      <c r="E28" s="266">
        <v>0</v>
      </c>
      <c r="F28" s="267">
        <v>0</v>
      </c>
      <c r="G28" s="9">
        <v>0</v>
      </c>
      <c r="I28" s="362">
        <v>4</v>
      </c>
      <c r="J28" s="362" t="s">
        <v>511</v>
      </c>
      <c r="K28" s="363" t="s">
        <v>512</v>
      </c>
      <c r="L28" s="363" t="s">
        <v>513</v>
      </c>
      <c r="M28" s="365">
        <v>5</v>
      </c>
      <c r="N28" s="366">
        <v>24395</v>
      </c>
      <c r="O28" s="381">
        <v>1</v>
      </c>
      <c r="P28" s="382">
        <v>5</v>
      </c>
      <c r="Q28" s="366">
        <v>24395</v>
      </c>
      <c r="R28" s="366">
        <v>121975</v>
      </c>
      <c r="S28" s="374"/>
      <c r="T28" s="24"/>
      <c r="U28" s="24"/>
    </row>
    <row r="29" spans="2:21" ht="18" customHeight="1" x14ac:dyDescent="0.25">
      <c r="B29" s="17">
        <v>20</v>
      </c>
      <c r="C29" s="277">
        <v>0</v>
      </c>
      <c r="D29" s="18">
        <v>0</v>
      </c>
      <c r="E29" s="277">
        <v>0</v>
      </c>
      <c r="F29" s="278">
        <v>0</v>
      </c>
      <c r="G29" s="19">
        <v>0</v>
      </c>
      <c r="I29" s="362">
        <v>4</v>
      </c>
      <c r="J29" s="362" t="s">
        <v>514</v>
      </c>
      <c r="K29" s="363" t="s">
        <v>515</v>
      </c>
      <c r="L29" s="363" t="s">
        <v>516</v>
      </c>
      <c r="M29" s="365">
        <v>2</v>
      </c>
      <c r="N29" s="366">
        <v>9500</v>
      </c>
      <c r="O29" s="381">
        <v>1</v>
      </c>
      <c r="P29" s="382">
        <v>2</v>
      </c>
      <c r="Q29" s="366">
        <v>9500</v>
      </c>
      <c r="R29" s="366">
        <v>19000</v>
      </c>
      <c r="S29" s="374"/>
      <c r="T29" s="24"/>
      <c r="U29" s="24"/>
    </row>
    <row r="30" spans="2:21" ht="18" customHeight="1" x14ac:dyDescent="0.25">
      <c r="B30" s="7">
        <v>21</v>
      </c>
      <c r="C30" s="266">
        <v>0</v>
      </c>
      <c r="D30" s="16">
        <v>0</v>
      </c>
      <c r="E30" s="266">
        <v>0</v>
      </c>
      <c r="F30" s="267">
        <v>0</v>
      </c>
      <c r="G30" s="9">
        <v>0</v>
      </c>
      <c r="I30" s="372" t="s">
        <v>517</v>
      </c>
      <c r="J30" s="372"/>
      <c r="K30" s="368"/>
      <c r="L30" s="368"/>
      <c r="M30" s="370">
        <v>7</v>
      </c>
      <c r="N30" s="371">
        <v>20139.28571428571</v>
      </c>
      <c r="O30" s="385" t="s">
        <v>44</v>
      </c>
      <c r="P30" s="384">
        <v>7</v>
      </c>
      <c r="Q30" s="371">
        <v>20139.28571428571</v>
      </c>
      <c r="R30" s="371">
        <v>140975</v>
      </c>
      <c r="S30" s="374"/>
      <c r="T30" s="24"/>
      <c r="U30" s="24"/>
    </row>
    <row r="31" spans="2:21" ht="18" customHeight="1" x14ac:dyDescent="0.25">
      <c r="B31" s="17">
        <v>22</v>
      </c>
      <c r="C31" s="277">
        <v>0</v>
      </c>
      <c r="D31" s="18">
        <v>0</v>
      </c>
      <c r="E31" s="277">
        <v>0</v>
      </c>
      <c r="F31" s="278">
        <v>0</v>
      </c>
      <c r="G31" s="19">
        <v>0</v>
      </c>
      <c r="I31" s="362">
        <v>5</v>
      </c>
      <c r="J31" s="362" t="s">
        <v>518</v>
      </c>
      <c r="K31" s="363" t="s">
        <v>519</v>
      </c>
      <c r="L31" s="363" t="s">
        <v>520</v>
      </c>
      <c r="M31" s="365">
        <v>5</v>
      </c>
      <c r="N31" s="366">
        <v>1820.73</v>
      </c>
      <c r="O31" s="381">
        <v>1</v>
      </c>
      <c r="P31" s="382">
        <v>5</v>
      </c>
      <c r="Q31" s="366">
        <v>1820.73</v>
      </c>
      <c r="R31" s="366">
        <v>9103.65</v>
      </c>
      <c r="S31" s="374"/>
      <c r="T31" s="24"/>
      <c r="U31" s="24"/>
    </row>
    <row r="32" spans="2:21" ht="18" customHeight="1" x14ac:dyDescent="0.25">
      <c r="B32" s="7">
        <v>23</v>
      </c>
      <c r="C32" s="266">
        <v>0</v>
      </c>
      <c r="D32" s="16">
        <v>0</v>
      </c>
      <c r="E32" s="266">
        <v>0</v>
      </c>
      <c r="F32" s="267">
        <v>0</v>
      </c>
      <c r="G32" s="9">
        <v>0</v>
      </c>
      <c r="I32" s="362">
        <v>5</v>
      </c>
      <c r="J32" s="362" t="s">
        <v>518</v>
      </c>
      <c r="K32" s="363" t="s">
        <v>521</v>
      </c>
      <c r="L32" s="363" t="s">
        <v>522</v>
      </c>
      <c r="M32" s="365">
        <v>5</v>
      </c>
      <c r="N32" s="366">
        <v>1820.73</v>
      </c>
      <c r="O32" s="381">
        <v>1</v>
      </c>
      <c r="P32" s="382">
        <v>5</v>
      </c>
      <c r="Q32" s="366">
        <v>1820.73</v>
      </c>
      <c r="R32" s="366">
        <v>9103.65</v>
      </c>
      <c r="S32" s="374"/>
      <c r="T32" s="24"/>
      <c r="U32" s="24"/>
    </row>
    <row r="33" spans="2:21" ht="18" customHeight="1" x14ac:dyDescent="0.25">
      <c r="B33" s="17">
        <v>24</v>
      </c>
      <c r="C33" s="277">
        <v>0</v>
      </c>
      <c r="D33" s="18">
        <v>0</v>
      </c>
      <c r="E33" s="277">
        <v>0</v>
      </c>
      <c r="F33" s="278">
        <v>0</v>
      </c>
      <c r="G33" s="19">
        <v>0</v>
      </c>
      <c r="I33" s="362">
        <v>5</v>
      </c>
      <c r="J33" s="362" t="s">
        <v>518</v>
      </c>
      <c r="K33" s="363" t="s">
        <v>523</v>
      </c>
      <c r="L33" s="363" t="s">
        <v>524</v>
      </c>
      <c r="M33" s="365">
        <v>5</v>
      </c>
      <c r="N33" s="366">
        <v>1820.73</v>
      </c>
      <c r="O33" s="381">
        <v>1</v>
      </c>
      <c r="P33" s="382">
        <v>5</v>
      </c>
      <c r="Q33" s="366">
        <v>1820.73</v>
      </c>
      <c r="R33" s="366">
        <v>9103.65</v>
      </c>
      <c r="S33" s="374"/>
      <c r="T33" s="24"/>
      <c r="U33" s="24"/>
    </row>
    <row r="34" spans="2:21" ht="18" customHeight="1" x14ac:dyDescent="0.25">
      <c r="B34" s="7">
        <v>25</v>
      </c>
      <c r="C34" s="266">
        <v>0</v>
      </c>
      <c r="D34" s="16">
        <v>0</v>
      </c>
      <c r="E34" s="266">
        <v>0</v>
      </c>
      <c r="F34" s="267">
        <v>0</v>
      </c>
      <c r="G34" s="9">
        <v>0</v>
      </c>
      <c r="I34" s="362">
        <v>5</v>
      </c>
      <c r="J34" s="362" t="s">
        <v>518</v>
      </c>
      <c r="K34" s="363" t="s">
        <v>525</v>
      </c>
      <c r="L34" s="363" t="s">
        <v>526</v>
      </c>
      <c r="M34" s="365">
        <v>6</v>
      </c>
      <c r="N34" s="366">
        <v>1890.76</v>
      </c>
      <c r="O34" s="381">
        <v>1</v>
      </c>
      <c r="P34" s="382">
        <v>6</v>
      </c>
      <c r="Q34" s="366">
        <v>1890.76</v>
      </c>
      <c r="R34" s="366">
        <v>11344.56</v>
      </c>
      <c r="S34" s="374"/>
      <c r="T34" s="24"/>
      <c r="U34" s="24"/>
    </row>
    <row r="35" spans="2:21" ht="18" customHeight="1" x14ac:dyDescent="0.25">
      <c r="B35" s="17">
        <v>26</v>
      </c>
      <c r="C35" s="277">
        <v>0</v>
      </c>
      <c r="D35" s="18">
        <v>0</v>
      </c>
      <c r="E35" s="277">
        <v>0</v>
      </c>
      <c r="F35" s="278">
        <v>0</v>
      </c>
      <c r="G35" s="19">
        <v>0</v>
      </c>
      <c r="I35" s="362">
        <v>5</v>
      </c>
      <c r="J35" s="362" t="s">
        <v>518</v>
      </c>
      <c r="K35" s="363" t="s">
        <v>527</v>
      </c>
      <c r="L35" s="363" t="s">
        <v>528</v>
      </c>
      <c r="M35" s="365">
        <v>6</v>
      </c>
      <c r="N35" s="366">
        <v>1890.76</v>
      </c>
      <c r="O35" s="381">
        <v>1</v>
      </c>
      <c r="P35" s="382">
        <v>6</v>
      </c>
      <c r="Q35" s="366">
        <v>1890.76</v>
      </c>
      <c r="R35" s="366">
        <v>11344.56</v>
      </c>
      <c r="S35" s="374"/>
      <c r="T35" s="24"/>
      <c r="U35" s="24"/>
    </row>
    <row r="36" spans="2:21" ht="18" customHeight="1" x14ac:dyDescent="0.25">
      <c r="B36" s="7">
        <v>27</v>
      </c>
      <c r="C36" s="266">
        <v>0</v>
      </c>
      <c r="D36" s="16">
        <v>0</v>
      </c>
      <c r="E36" s="266">
        <v>0</v>
      </c>
      <c r="F36" s="267">
        <v>0</v>
      </c>
      <c r="G36" s="9">
        <v>0</v>
      </c>
      <c r="I36" s="362">
        <v>5</v>
      </c>
      <c r="J36" s="362" t="s">
        <v>518</v>
      </c>
      <c r="K36" s="363" t="s">
        <v>529</v>
      </c>
      <c r="L36" s="363" t="s">
        <v>530</v>
      </c>
      <c r="M36" s="365">
        <v>6</v>
      </c>
      <c r="N36" s="366">
        <v>3151.26</v>
      </c>
      <c r="O36" s="381">
        <v>1</v>
      </c>
      <c r="P36" s="382">
        <v>6</v>
      </c>
      <c r="Q36" s="366">
        <v>3151.26</v>
      </c>
      <c r="R36" s="366">
        <v>18907.560000000001</v>
      </c>
      <c r="S36" s="374"/>
      <c r="T36" s="24"/>
      <c r="U36" s="24"/>
    </row>
    <row r="37" spans="2:21" ht="18" customHeight="1" x14ac:dyDescent="0.25">
      <c r="B37" s="17">
        <v>28</v>
      </c>
      <c r="C37" s="277">
        <v>0</v>
      </c>
      <c r="D37" s="18">
        <v>0</v>
      </c>
      <c r="E37" s="277">
        <v>0</v>
      </c>
      <c r="F37" s="278">
        <v>0</v>
      </c>
      <c r="G37" s="19">
        <v>0</v>
      </c>
      <c r="I37" s="362">
        <v>5</v>
      </c>
      <c r="J37" s="362" t="s">
        <v>518</v>
      </c>
      <c r="K37" s="363" t="s">
        <v>531</v>
      </c>
      <c r="L37" s="363" t="s">
        <v>532</v>
      </c>
      <c r="M37" s="365">
        <v>6</v>
      </c>
      <c r="N37" s="366">
        <v>3151.26</v>
      </c>
      <c r="O37" s="381">
        <v>1</v>
      </c>
      <c r="P37" s="382">
        <v>6</v>
      </c>
      <c r="Q37" s="366">
        <v>3151.26</v>
      </c>
      <c r="R37" s="366">
        <v>18907.560000000001</v>
      </c>
      <c r="S37" s="374"/>
      <c r="T37" s="24"/>
      <c r="U37" s="24"/>
    </row>
    <row r="38" spans="2:21" ht="18" customHeight="1" x14ac:dyDescent="0.25">
      <c r="B38" s="7">
        <v>29</v>
      </c>
      <c r="C38" s="266">
        <v>0</v>
      </c>
      <c r="D38" s="16">
        <v>0</v>
      </c>
      <c r="E38" s="266">
        <v>0</v>
      </c>
      <c r="F38" s="267">
        <v>0</v>
      </c>
      <c r="G38" s="9">
        <v>0</v>
      </c>
      <c r="I38" s="362">
        <v>5</v>
      </c>
      <c r="J38" s="362" t="s">
        <v>518</v>
      </c>
      <c r="K38" s="363" t="s">
        <v>533</v>
      </c>
      <c r="L38" s="363" t="s">
        <v>534</v>
      </c>
      <c r="M38" s="365">
        <v>15</v>
      </c>
      <c r="N38" s="366">
        <v>1450.98</v>
      </c>
      <c r="O38" s="381">
        <v>1</v>
      </c>
      <c r="P38" s="382">
        <v>15</v>
      </c>
      <c r="Q38" s="366">
        <v>1450.98</v>
      </c>
      <c r="R38" s="366">
        <v>21764.7</v>
      </c>
      <c r="S38" s="374"/>
      <c r="T38" s="24"/>
      <c r="U38" s="24"/>
    </row>
    <row r="39" spans="2:21" ht="18" customHeight="1" x14ac:dyDescent="0.25">
      <c r="B39" s="17">
        <v>30</v>
      </c>
      <c r="C39" s="277">
        <v>0</v>
      </c>
      <c r="D39" s="18">
        <v>0</v>
      </c>
      <c r="E39" s="277">
        <v>0</v>
      </c>
      <c r="F39" s="278">
        <v>0</v>
      </c>
      <c r="G39" s="19">
        <v>0</v>
      </c>
      <c r="I39" s="362">
        <v>5</v>
      </c>
      <c r="J39" s="362" t="s">
        <v>518</v>
      </c>
      <c r="K39" s="363" t="s">
        <v>535</v>
      </c>
      <c r="L39" s="363" t="s">
        <v>536</v>
      </c>
      <c r="M39" s="365">
        <v>15</v>
      </c>
      <c r="N39" s="366">
        <v>1450.98</v>
      </c>
      <c r="O39" s="381">
        <v>1</v>
      </c>
      <c r="P39" s="382">
        <v>15</v>
      </c>
      <c r="Q39" s="366">
        <v>1450.98</v>
      </c>
      <c r="R39" s="366">
        <v>21764.7</v>
      </c>
      <c r="S39" s="374"/>
      <c r="T39" s="24"/>
      <c r="U39" s="24"/>
    </row>
    <row r="40" spans="2:21" ht="18" customHeight="1" x14ac:dyDescent="0.25">
      <c r="B40" s="23" t="s">
        <v>60</v>
      </c>
      <c r="C40" s="279">
        <v>5929256.0700000003</v>
      </c>
      <c r="D40" s="20">
        <v>1478</v>
      </c>
      <c r="E40" s="279">
        <v>4011.675284167794</v>
      </c>
      <c r="F40" s="280">
        <v>1</v>
      </c>
      <c r="G40" s="21">
        <v>95</v>
      </c>
      <c r="I40" s="362">
        <v>5</v>
      </c>
      <c r="J40" s="362" t="s">
        <v>518</v>
      </c>
      <c r="K40" s="363" t="s">
        <v>537</v>
      </c>
      <c r="L40" s="363" t="s">
        <v>538</v>
      </c>
      <c r="M40" s="365">
        <v>15</v>
      </c>
      <c r="N40" s="366">
        <v>1450.98</v>
      </c>
      <c r="O40" s="381">
        <v>1</v>
      </c>
      <c r="P40" s="382">
        <v>15</v>
      </c>
      <c r="Q40" s="366">
        <v>1450.98</v>
      </c>
      <c r="R40" s="366">
        <v>21764.7</v>
      </c>
      <c r="S40" s="374"/>
      <c r="T40" s="24"/>
      <c r="U40" s="24"/>
    </row>
    <row r="41" spans="2:21" ht="18" customHeight="1" x14ac:dyDescent="0.25">
      <c r="I41" s="362">
        <v>5</v>
      </c>
      <c r="J41" s="362" t="s">
        <v>518</v>
      </c>
      <c r="K41" s="363" t="s">
        <v>539</v>
      </c>
      <c r="L41" s="363" t="s">
        <v>540</v>
      </c>
      <c r="M41" s="365">
        <v>15</v>
      </c>
      <c r="N41" s="366">
        <v>1450.98</v>
      </c>
      <c r="O41" s="381">
        <v>1</v>
      </c>
      <c r="P41" s="382">
        <v>15</v>
      </c>
      <c r="Q41" s="366">
        <v>1450.98</v>
      </c>
      <c r="R41" s="366">
        <v>21764.7</v>
      </c>
      <c r="S41" s="374"/>
    </row>
    <row r="42" spans="2:21" ht="18" customHeight="1" x14ac:dyDescent="0.25">
      <c r="I42" s="362">
        <v>5</v>
      </c>
      <c r="J42" s="362" t="s">
        <v>518</v>
      </c>
      <c r="K42" s="363" t="s">
        <v>541</v>
      </c>
      <c r="L42" s="363" t="s">
        <v>542</v>
      </c>
      <c r="M42" s="365">
        <v>12</v>
      </c>
      <c r="N42" s="366">
        <v>3151.26</v>
      </c>
      <c r="O42" s="381">
        <v>1</v>
      </c>
      <c r="P42" s="382">
        <v>12</v>
      </c>
      <c r="Q42" s="366">
        <v>3151.26</v>
      </c>
      <c r="R42" s="366">
        <v>37815.120000000003</v>
      </c>
      <c r="S42" s="374"/>
    </row>
    <row r="43" spans="2:21" ht="18" customHeight="1" x14ac:dyDescent="0.25">
      <c r="I43" s="362">
        <v>5</v>
      </c>
      <c r="J43" s="362" t="s">
        <v>518</v>
      </c>
      <c r="K43" s="363" t="s">
        <v>543</v>
      </c>
      <c r="L43" s="363" t="s">
        <v>544</v>
      </c>
      <c r="M43" s="365">
        <v>12</v>
      </c>
      <c r="N43" s="366">
        <v>3151.26</v>
      </c>
      <c r="O43" s="362">
        <v>1</v>
      </c>
      <c r="P43" s="382">
        <v>12</v>
      </c>
      <c r="Q43" s="366">
        <v>3151.26</v>
      </c>
      <c r="R43" s="366">
        <v>37815.120000000003</v>
      </c>
      <c r="S43" s="374"/>
    </row>
    <row r="44" spans="2:21" ht="18" customHeight="1" x14ac:dyDescent="0.25">
      <c r="I44" s="362">
        <v>5</v>
      </c>
      <c r="J44" s="362" t="s">
        <v>518</v>
      </c>
      <c r="K44" s="363" t="s">
        <v>545</v>
      </c>
      <c r="L44" s="363" t="s">
        <v>546</v>
      </c>
      <c r="M44" s="365">
        <v>48</v>
      </c>
      <c r="N44" s="366">
        <v>1333.33</v>
      </c>
      <c r="O44" s="381">
        <v>1</v>
      </c>
      <c r="P44" s="382">
        <v>48</v>
      </c>
      <c r="Q44" s="366">
        <v>1333.33</v>
      </c>
      <c r="R44" s="366">
        <v>63999.839999999997</v>
      </c>
      <c r="S44" s="374"/>
    </row>
    <row r="45" spans="2:21" ht="18" customHeight="1" x14ac:dyDescent="0.25">
      <c r="I45" s="362">
        <v>5</v>
      </c>
      <c r="J45" s="362" t="s">
        <v>518</v>
      </c>
      <c r="K45" s="363" t="s">
        <v>547</v>
      </c>
      <c r="L45" s="363" t="s">
        <v>548</v>
      </c>
      <c r="M45" s="365">
        <v>48</v>
      </c>
      <c r="N45" s="366">
        <v>1500</v>
      </c>
      <c r="O45" s="381">
        <v>1</v>
      </c>
      <c r="P45" s="382">
        <v>48</v>
      </c>
      <c r="Q45" s="366">
        <v>1500</v>
      </c>
      <c r="R45" s="366">
        <v>72000</v>
      </c>
      <c r="S45" s="374"/>
    </row>
    <row r="46" spans="2:21" ht="18" customHeight="1" x14ac:dyDescent="0.25">
      <c r="I46" s="372" t="s">
        <v>549</v>
      </c>
      <c r="J46" s="372"/>
      <c r="K46" s="368"/>
      <c r="L46" s="368"/>
      <c r="M46" s="370">
        <v>219</v>
      </c>
      <c r="N46" s="371">
        <v>1764.8587671232881</v>
      </c>
      <c r="O46" s="385" t="s">
        <v>44</v>
      </c>
      <c r="P46" s="384">
        <v>219</v>
      </c>
      <c r="Q46" s="371">
        <v>1764.8587671232881</v>
      </c>
      <c r="R46" s="371">
        <v>386504.07</v>
      </c>
      <c r="S46" s="374"/>
    </row>
    <row r="47" spans="2:21" ht="18" customHeight="1" x14ac:dyDescent="0.25">
      <c r="I47" s="362">
        <v>7</v>
      </c>
      <c r="J47" s="362" t="s">
        <v>550</v>
      </c>
      <c r="K47" s="363" t="s">
        <v>515</v>
      </c>
      <c r="L47" s="363" t="s">
        <v>516</v>
      </c>
      <c r="M47" s="365">
        <v>2</v>
      </c>
      <c r="N47" s="366">
        <v>9500</v>
      </c>
      <c r="O47" s="381">
        <v>1</v>
      </c>
      <c r="P47" s="382">
        <v>2</v>
      </c>
      <c r="Q47" s="366">
        <v>9500</v>
      </c>
      <c r="R47" s="366">
        <v>19000</v>
      </c>
      <c r="S47" s="374"/>
    </row>
    <row r="48" spans="2:21" ht="18" customHeight="1" x14ac:dyDescent="0.25">
      <c r="I48" s="362">
        <v>7</v>
      </c>
      <c r="J48" s="362" t="s">
        <v>550</v>
      </c>
      <c r="K48" s="363" t="s">
        <v>551</v>
      </c>
      <c r="L48" s="363" t="s">
        <v>552</v>
      </c>
      <c r="M48" s="365">
        <v>4</v>
      </c>
      <c r="N48" s="366">
        <v>5000</v>
      </c>
      <c r="O48" s="381">
        <v>1</v>
      </c>
      <c r="P48" s="382">
        <v>4</v>
      </c>
      <c r="Q48" s="366">
        <v>5000</v>
      </c>
      <c r="R48" s="366">
        <v>20000</v>
      </c>
      <c r="S48" s="374"/>
    </row>
    <row r="49" spans="9:19" ht="20.100000000000001" customHeight="1" x14ac:dyDescent="0.25">
      <c r="I49" s="362">
        <v>7</v>
      </c>
      <c r="J49" s="362" t="s">
        <v>553</v>
      </c>
      <c r="K49" s="363" t="s">
        <v>515</v>
      </c>
      <c r="L49" s="363" t="s">
        <v>516</v>
      </c>
      <c r="M49" s="365">
        <v>2</v>
      </c>
      <c r="N49" s="366">
        <v>9500</v>
      </c>
      <c r="O49" s="362">
        <v>1</v>
      </c>
      <c r="P49" s="382">
        <v>2</v>
      </c>
      <c r="Q49" s="366">
        <v>9500</v>
      </c>
      <c r="R49" s="366">
        <v>19000</v>
      </c>
      <c r="S49" s="374"/>
    </row>
    <row r="50" spans="9:19" x14ac:dyDescent="0.25">
      <c r="I50" s="362">
        <v>7</v>
      </c>
      <c r="J50" s="362" t="s">
        <v>553</v>
      </c>
      <c r="K50" s="363" t="s">
        <v>551</v>
      </c>
      <c r="L50" s="363" t="s">
        <v>552</v>
      </c>
      <c r="M50" s="365">
        <v>3</v>
      </c>
      <c r="N50" s="366">
        <v>5000</v>
      </c>
      <c r="O50" s="381">
        <v>1</v>
      </c>
      <c r="P50" s="382">
        <v>3</v>
      </c>
      <c r="Q50" s="366">
        <v>5000</v>
      </c>
      <c r="R50" s="366">
        <v>15000</v>
      </c>
      <c r="S50" s="374"/>
    </row>
    <row r="51" spans="9:19" x14ac:dyDescent="0.25">
      <c r="I51" s="372" t="s">
        <v>554</v>
      </c>
      <c r="J51" s="372"/>
      <c r="K51" s="368"/>
      <c r="L51" s="368"/>
      <c r="M51" s="370">
        <v>11</v>
      </c>
      <c r="N51" s="371">
        <v>6636.363636363636</v>
      </c>
      <c r="O51" s="385" t="s">
        <v>44</v>
      </c>
      <c r="P51" s="384">
        <v>11</v>
      </c>
      <c r="Q51" s="371">
        <v>6636.363636363636</v>
      </c>
      <c r="R51" s="371">
        <v>73000</v>
      </c>
      <c r="S51" s="374"/>
    </row>
    <row r="52" spans="9:19" x14ac:dyDescent="0.25">
      <c r="I52" s="362">
        <v>8</v>
      </c>
      <c r="J52" s="362" t="s">
        <v>555</v>
      </c>
      <c r="K52" s="363" t="s">
        <v>556</v>
      </c>
      <c r="L52" s="363" t="s">
        <v>516</v>
      </c>
      <c r="M52" s="365">
        <v>2</v>
      </c>
      <c r="N52" s="366">
        <v>9500</v>
      </c>
      <c r="O52" s="381">
        <v>1</v>
      </c>
      <c r="P52" s="382">
        <v>2</v>
      </c>
      <c r="Q52" s="366">
        <v>9500</v>
      </c>
      <c r="R52" s="366">
        <v>19000</v>
      </c>
      <c r="S52" s="374"/>
    </row>
    <row r="53" spans="9:19" x14ac:dyDescent="0.25">
      <c r="I53" s="362">
        <v>8</v>
      </c>
      <c r="J53" s="362" t="s">
        <v>557</v>
      </c>
      <c r="K53" s="363" t="s">
        <v>558</v>
      </c>
      <c r="L53" s="363" t="s">
        <v>552</v>
      </c>
      <c r="M53" s="365">
        <v>2</v>
      </c>
      <c r="N53" s="366">
        <v>5000</v>
      </c>
      <c r="O53" s="381">
        <v>1</v>
      </c>
      <c r="P53" s="382">
        <v>2</v>
      </c>
      <c r="Q53" s="366">
        <v>5000</v>
      </c>
      <c r="R53" s="366">
        <v>10000</v>
      </c>
      <c r="S53" s="374"/>
    </row>
    <row r="54" spans="9:19" x14ac:dyDescent="0.25">
      <c r="I54" s="368" t="s">
        <v>559</v>
      </c>
      <c r="J54" s="369"/>
      <c r="K54" s="369"/>
      <c r="L54" s="369"/>
      <c r="M54" s="370">
        <v>4</v>
      </c>
      <c r="N54" s="371">
        <v>7250</v>
      </c>
      <c r="O54" s="372" t="s">
        <v>44</v>
      </c>
      <c r="P54" s="384">
        <v>4</v>
      </c>
      <c r="Q54" s="371">
        <v>7250</v>
      </c>
      <c r="R54" s="371">
        <v>29000</v>
      </c>
      <c r="S54" s="374"/>
    </row>
    <row r="55" spans="9:19" x14ac:dyDescent="0.25">
      <c r="I55" s="362">
        <v>9</v>
      </c>
      <c r="J55" s="362" t="s">
        <v>560</v>
      </c>
      <c r="K55" s="363" t="s">
        <v>561</v>
      </c>
      <c r="L55" s="363" t="s">
        <v>562</v>
      </c>
      <c r="M55" s="365">
        <v>720</v>
      </c>
      <c r="N55" s="366">
        <v>700</v>
      </c>
      <c r="O55" s="381">
        <v>1</v>
      </c>
      <c r="P55" s="382">
        <v>720</v>
      </c>
      <c r="Q55" s="366">
        <v>700</v>
      </c>
      <c r="R55" s="366">
        <v>504000</v>
      </c>
      <c r="S55" s="374"/>
    </row>
    <row r="56" spans="9:19" x14ac:dyDescent="0.25">
      <c r="I56" s="362">
        <v>9</v>
      </c>
      <c r="J56" s="362" t="s">
        <v>563</v>
      </c>
      <c r="K56" s="363" t="s">
        <v>564</v>
      </c>
      <c r="L56" s="363" t="s">
        <v>565</v>
      </c>
      <c r="M56" s="365">
        <v>7</v>
      </c>
      <c r="N56" s="366">
        <v>2166.67</v>
      </c>
      <c r="O56" s="381">
        <v>1</v>
      </c>
      <c r="P56" s="382">
        <v>7</v>
      </c>
      <c r="Q56" s="366">
        <v>2166.6685714285709</v>
      </c>
      <c r="R56" s="366">
        <v>15166.68</v>
      </c>
      <c r="S56" s="374"/>
    </row>
    <row r="57" spans="9:19" x14ac:dyDescent="0.25">
      <c r="I57" s="362">
        <v>9</v>
      </c>
      <c r="J57" s="362" t="s">
        <v>563</v>
      </c>
      <c r="K57" s="363" t="s">
        <v>566</v>
      </c>
      <c r="L57" s="363" t="s">
        <v>567</v>
      </c>
      <c r="M57" s="365">
        <v>8</v>
      </c>
      <c r="N57" s="366">
        <v>2166.67</v>
      </c>
      <c r="O57" s="362">
        <v>1</v>
      </c>
      <c r="P57" s="382">
        <v>8</v>
      </c>
      <c r="Q57" s="366">
        <v>2166.6687499999998</v>
      </c>
      <c r="R57" s="366">
        <v>17333.349999999999</v>
      </c>
      <c r="S57" s="374"/>
    </row>
    <row r="58" spans="9:19" x14ac:dyDescent="0.25">
      <c r="I58" s="362">
        <v>9</v>
      </c>
      <c r="J58" s="362" t="s">
        <v>563</v>
      </c>
      <c r="K58" s="363" t="s">
        <v>568</v>
      </c>
      <c r="L58" s="363" t="s">
        <v>569</v>
      </c>
      <c r="M58" s="365">
        <v>15</v>
      </c>
      <c r="N58" s="366">
        <v>2166.67</v>
      </c>
      <c r="O58" s="362">
        <v>1</v>
      </c>
      <c r="P58" s="382">
        <v>15</v>
      </c>
      <c r="Q58" s="366">
        <v>2166.668666666666</v>
      </c>
      <c r="R58" s="366">
        <v>32500.03</v>
      </c>
      <c r="S58" s="374"/>
    </row>
    <row r="59" spans="9:19" x14ac:dyDescent="0.25">
      <c r="I59" s="362">
        <v>9</v>
      </c>
      <c r="J59" s="362" t="s">
        <v>563</v>
      </c>
      <c r="K59" s="363" t="s">
        <v>570</v>
      </c>
      <c r="L59" s="363" t="s">
        <v>571</v>
      </c>
      <c r="M59" s="365">
        <v>24</v>
      </c>
      <c r="N59" s="366">
        <v>1500</v>
      </c>
      <c r="O59" s="362">
        <v>1</v>
      </c>
      <c r="P59" s="382">
        <v>24</v>
      </c>
      <c r="Q59" s="366">
        <v>1500</v>
      </c>
      <c r="R59" s="366">
        <v>36000</v>
      </c>
      <c r="S59" s="374"/>
    </row>
    <row r="60" spans="9:19" x14ac:dyDescent="0.25">
      <c r="I60" s="362">
        <v>9</v>
      </c>
      <c r="J60" s="362" t="s">
        <v>563</v>
      </c>
      <c r="K60" s="363" t="s">
        <v>572</v>
      </c>
      <c r="L60" s="363" t="s">
        <v>573</v>
      </c>
      <c r="M60" s="365">
        <v>48</v>
      </c>
      <c r="N60" s="366">
        <v>1333.33</v>
      </c>
      <c r="O60" s="362">
        <v>1</v>
      </c>
      <c r="P60" s="382">
        <v>48</v>
      </c>
      <c r="Q60" s="366">
        <v>1333.33</v>
      </c>
      <c r="R60" s="366">
        <v>63999.839999999997</v>
      </c>
      <c r="S60" s="374"/>
    </row>
    <row r="61" spans="9:19" x14ac:dyDescent="0.25">
      <c r="I61" s="362">
        <v>9</v>
      </c>
      <c r="J61" s="362" t="s">
        <v>563</v>
      </c>
      <c r="K61" s="363" t="s">
        <v>574</v>
      </c>
      <c r="L61" s="363" t="s">
        <v>575</v>
      </c>
      <c r="M61" s="365">
        <v>90</v>
      </c>
      <c r="N61" s="366">
        <v>1916.67</v>
      </c>
      <c r="O61" s="362">
        <v>1</v>
      </c>
      <c r="P61" s="382">
        <v>90</v>
      </c>
      <c r="Q61" s="366">
        <v>1916.67</v>
      </c>
      <c r="R61" s="366">
        <v>172500.3</v>
      </c>
      <c r="S61" s="374"/>
    </row>
    <row r="62" spans="9:19" x14ac:dyDescent="0.25">
      <c r="I62" s="362">
        <v>9</v>
      </c>
      <c r="J62" s="362" t="s">
        <v>563</v>
      </c>
      <c r="K62" s="363" t="s">
        <v>576</v>
      </c>
      <c r="L62" s="363" t="s">
        <v>577</v>
      </c>
      <c r="M62" s="365">
        <v>15</v>
      </c>
      <c r="N62" s="366">
        <v>1726.67</v>
      </c>
      <c r="O62" s="362">
        <v>1</v>
      </c>
      <c r="P62" s="382">
        <v>15</v>
      </c>
      <c r="Q62" s="366">
        <v>1726.6659999999999</v>
      </c>
      <c r="R62" s="366">
        <v>25899.99</v>
      </c>
      <c r="S62" s="374"/>
    </row>
    <row r="63" spans="9:19" x14ac:dyDescent="0.25">
      <c r="I63" s="362">
        <v>9</v>
      </c>
      <c r="J63" s="362" t="s">
        <v>563</v>
      </c>
      <c r="K63" s="363" t="s">
        <v>578</v>
      </c>
      <c r="L63" s="363" t="s">
        <v>579</v>
      </c>
      <c r="M63" s="365">
        <v>15</v>
      </c>
      <c r="N63" s="366">
        <v>1726.67</v>
      </c>
      <c r="O63" s="362">
        <v>1</v>
      </c>
      <c r="P63" s="382">
        <v>15</v>
      </c>
      <c r="Q63" s="366">
        <v>1726.6659999999999</v>
      </c>
      <c r="R63" s="366">
        <v>25899.99</v>
      </c>
      <c r="S63" s="374"/>
    </row>
    <row r="64" spans="9:19" x14ac:dyDescent="0.25">
      <c r="I64" s="362">
        <v>9</v>
      </c>
      <c r="J64" s="362" t="s">
        <v>563</v>
      </c>
      <c r="K64" s="363" t="s">
        <v>580</v>
      </c>
      <c r="L64" s="363" t="s">
        <v>581</v>
      </c>
      <c r="M64" s="365">
        <v>15</v>
      </c>
      <c r="N64" s="366">
        <v>1726.67</v>
      </c>
      <c r="O64" s="362">
        <v>1</v>
      </c>
      <c r="P64" s="382">
        <v>15</v>
      </c>
      <c r="Q64" s="366">
        <v>1726.6659999999999</v>
      </c>
      <c r="R64" s="366">
        <v>25899.99</v>
      </c>
      <c r="S64" s="374"/>
    </row>
    <row r="65" spans="9:19" x14ac:dyDescent="0.25">
      <c r="I65" s="362">
        <v>9</v>
      </c>
      <c r="J65" s="362" t="s">
        <v>563</v>
      </c>
      <c r="K65" s="363" t="s">
        <v>582</v>
      </c>
      <c r="L65" s="363" t="s">
        <v>583</v>
      </c>
      <c r="M65" s="365">
        <v>15</v>
      </c>
      <c r="N65" s="366">
        <v>1726.67</v>
      </c>
      <c r="O65" s="362">
        <v>1</v>
      </c>
      <c r="P65" s="382">
        <v>15</v>
      </c>
      <c r="Q65" s="366">
        <v>1726.6659999999999</v>
      </c>
      <c r="R65" s="366">
        <v>25899.99</v>
      </c>
      <c r="S65" s="374"/>
    </row>
    <row r="66" spans="9:19" x14ac:dyDescent="0.25">
      <c r="I66" s="362">
        <v>9</v>
      </c>
      <c r="J66" s="362" t="s">
        <v>563</v>
      </c>
      <c r="K66" s="363" t="s">
        <v>584</v>
      </c>
      <c r="L66" s="363" t="s">
        <v>585</v>
      </c>
      <c r="M66" s="365">
        <v>30</v>
      </c>
      <c r="N66" s="366">
        <v>1500</v>
      </c>
      <c r="O66" s="362">
        <v>1</v>
      </c>
      <c r="P66" s="382">
        <v>30</v>
      </c>
      <c r="Q66" s="366">
        <v>1499.9949999999999</v>
      </c>
      <c r="R66" s="366">
        <v>44999.85</v>
      </c>
      <c r="S66" s="374"/>
    </row>
    <row r="67" spans="9:19" x14ac:dyDescent="0.25">
      <c r="I67" s="362">
        <v>9</v>
      </c>
      <c r="J67" s="362" t="s">
        <v>563</v>
      </c>
      <c r="K67" s="363" t="s">
        <v>586</v>
      </c>
      <c r="L67" s="363" t="s">
        <v>587</v>
      </c>
      <c r="M67" s="365">
        <v>12</v>
      </c>
      <c r="N67" s="366">
        <v>3750</v>
      </c>
      <c r="O67" s="362">
        <v>1</v>
      </c>
      <c r="P67" s="382">
        <v>12</v>
      </c>
      <c r="Q67" s="366">
        <v>3749.999166666666</v>
      </c>
      <c r="R67" s="366">
        <v>44999.99</v>
      </c>
      <c r="S67" s="374"/>
    </row>
    <row r="68" spans="9:19" x14ac:dyDescent="0.25">
      <c r="I68" s="362">
        <v>9</v>
      </c>
      <c r="J68" s="362" t="s">
        <v>563</v>
      </c>
      <c r="K68" s="363" t="s">
        <v>588</v>
      </c>
      <c r="L68" s="363" t="s">
        <v>589</v>
      </c>
      <c r="M68" s="365">
        <v>12</v>
      </c>
      <c r="N68" s="366">
        <v>3750</v>
      </c>
      <c r="O68" s="362">
        <v>1</v>
      </c>
      <c r="P68" s="382">
        <v>12</v>
      </c>
      <c r="Q68" s="366">
        <v>3749.999166666666</v>
      </c>
      <c r="R68" s="366">
        <v>44999.99</v>
      </c>
      <c r="S68" s="374"/>
    </row>
    <row r="69" spans="9:19" x14ac:dyDescent="0.25">
      <c r="I69" s="362">
        <v>9</v>
      </c>
      <c r="J69" s="362" t="s">
        <v>563</v>
      </c>
      <c r="K69" s="363" t="s">
        <v>590</v>
      </c>
      <c r="L69" s="363" t="s">
        <v>591</v>
      </c>
      <c r="M69" s="365">
        <v>12</v>
      </c>
      <c r="N69" s="366">
        <v>3750</v>
      </c>
      <c r="O69" s="362">
        <v>1</v>
      </c>
      <c r="P69" s="382">
        <v>12</v>
      </c>
      <c r="Q69" s="366">
        <v>3750.000833333334</v>
      </c>
      <c r="R69" s="366">
        <v>45000.01</v>
      </c>
      <c r="S69" s="374"/>
    </row>
    <row r="70" spans="9:19" x14ac:dyDescent="0.25">
      <c r="I70" s="362">
        <v>9</v>
      </c>
      <c r="J70" s="362" t="s">
        <v>592</v>
      </c>
      <c r="K70" s="363" t="s">
        <v>558</v>
      </c>
      <c r="L70" s="363" t="s">
        <v>552</v>
      </c>
      <c r="M70" s="365">
        <v>2</v>
      </c>
      <c r="N70" s="366">
        <v>5000</v>
      </c>
      <c r="O70" s="362">
        <v>1</v>
      </c>
      <c r="P70" s="382">
        <v>2</v>
      </c>
      <c r="Q70" s="366">
        <v>5000</v>
      </c>
      <c r="R70" s="366">
        <v>10000</v>
      </c>
      <c r="S70" s="374"/>
    </row>
    <row r="71" spans="9:19" x14ac:dyDescent="0.25">
      <c r="I71" s="362">
        <v>9</v>
      </c>
      <c r="J71" s="362" t="s">
        <v>593</v>
      </c>
      <c r="K71" s="363" t="s">
        <v>594</v>
      </c>
      <c r="L71" s="363" t="s">
        <v>595</v>
      </c>
      <c r="M71" s="365">
        <v>5</v>
      </c>
      <c r="N71" s="366">
        <v>26000</v>
      </c>
      <c r="O71" s="362">
        <v>1</v>
      </c>
      <c r="P71" s="382">
        <v>5</v>
      </c>
      <c r="Q71" s="366">
        <v>26000</v>
      </c>
      <c r="R71" s="366">
        <v>130000</v>
      </c>
      <c r="S71" s="374"/>
    </row>
    <row r="72" spans="9:19" x14ac:dyDescent="0.25">
      <c r="I72" s="362">
        <v>9</v>
      </c>
      <c r="J72" s="362" t="s">
        <v>596</v>
      </c>
      <c r="K72" s="363" t="s">
        <v>597</v>
      </c>
      <c r="L72" s="363" t="s">
        <v>598</v>
      </c>
      <c r="M72" s="365">
        <v>1</v>
      </c>
      <c r="N72" s="366">
        <v>44900</v>
      </c>
      <c r="O72" s="362">
        <v>1</v>
      </c>
      <c r="P72" s="382">
        <v>1</v>
      </c>
      <c r="Q72" s="366">
        <v>44900</v>
      </c>
      <c r="R72" s="366">
        <v>44900</v>
      </c>
      <c r="S72" s="374"/>
    </row>
    <row r="73" spans="9:19" x14ac:dyDescent="0.25">
      <c r="I73" s="362">
        <v>9</v>
      </c>
      <c r="J73" s="362" t="s">
        <v>599</v>
      </c>
      <c r="K73" s="363" t="s">
        <v>600</v>
      </c>
      <c r="L73" s="363" t="s">
        <v>601</v>
      </c>
      <c r="M73" s="365">
        <v>5</v>
      </c>
      <c r="N73" s="366">
        <v>3160</v>
      </c>
      <c r="O73" s="362">
        <v>1</v>
      </c>
      <c r="P73" s="382">
        <v>5</v>
      </c>
      <c r="Q73" s="366">
        <v>3160</v>
      </c>
      <c r="R73" s="366">
        <v>15800</v>
      </c>
      <c r="S73" s="374"/>
    </row>
    <row r="74" spans="9:19" x14ac:dyDescent="0.25">
      <c r="I74" s="362">
        <v>9</v>
      </c>
      <c r="J74" s="362" t="s">
        <v>599</v>
      </c>
      <c r="K74" s="363" t="s">
        <v>602</v>
      </c>
      <c r="L74" s="363" t="s">
        <v>603</v>
      </c>
      <c r="M74" s="365">
        <v>5</v>
      </c>
      <c r="N74" s="366">
        <v>2510</v>
      </c>
      <c r="O74" s="362">
        <v>1</v>
      </c>
      <c r="P74" s="382">
        <v>5</v>
      </c>
      <c r="Q74" s="366">
        <v>2510</v>
      </c>
      <c r="R74" s="366">
        <v>12550</v>
      </c>
      <c r="S74" s="374"/>
    </row>
    <row r="75" spans="9:19" x14ac:dyDescent="0.25">
      <c r="I75" s="362">
        <v>9</v>
      </c>
      <c r="J75" s="362" t="s">
        <v>599</v>
      </c>
      <c r="K75" s="363" t="s">
        <v>604</v>
      </c>
      <c r="L75" s="363" t="s">
        <v>605</v>
      </c>
      <c r="M75" s="365">
        <v>2</v>
      </c>
      <c r="N75" s="366">
        <v>18200</v>
      </c>
      <c r="O75" s="362">
        <v>1</v>
      </c>
      <c r="P75" s="382">
        <v>2</v>
      </c>
      <c r="Q75" s="366">
        <v>18200</v>
      </c>
      <c r="R75" s="366">
        <v>36400</v>
      </c>
      <c r="S75" s="374"/>
    </row>
    <row r="76" spans="9:19" x14ac:dyDescent="0.25">
      <c r="I76" s="362">
        <v>9</v>
      </c>
      <c r="J76" s="362" t="s">
        <v>599</v>
      </c>
      <c r="K76" s="363" t="s">
        <v>606</v>
      </c>
      <c r="L76" s="363" t="s">
        <v>607</v>
      </c>
      <c r="M76" s="365">
        <v>70</v>
      </c>
      <c r="N76" s="366">
        <v>4180</v>
      </c>
      <c r="O76" s="362">
        <v>1</v>
      </c>
      <c r="P76" s="382">
        <v>70</v>
      </c>
      <c r="Q76" s="366">
        <v>4180</v>
      </c>
      <c r="R76" s="366">
        <v>292600</v>
      </c>
      <c r="S76" s="374"/>
    </row>
    <row r="77" spans="9:19" x14ac:dyDescent="0.25">
      <c r="I77" s="362">
        <v>9</v>
      </c>
      <c r="J77" s="362" t="s">
        <v>599</v>
      </c>
      <c r="K77" s="363" t="s">
        <v>608</v>
      </c>
      <c r="L77" s="363" t="s">
        <v>609</v>
      </c>
      <c r="M77" s="365">
        <v>6</v>
      </c>
      <c r="N77" s="366">
        <v>1100</v>
      </c>
      <c r="O77" s="362">
        <v>1</v>
      </c>
      <c r="P77" s="382">
        <v>6</v>
      </c>
      <c r="Q77" s="366">
        <v>1100</v>
      </c>
      <c r="R77" s="366">
        <v>6600</v>
      </c>
      <c r="S77" s="374"/>
    </row>
    <row r="78" spans="9:19" x14ac:dyDescent="0.25">
      <c r="I78" s="362">
        <v>9</v>
      </c>
      <c r="J78" s="362" t="s">
        <v>599</v>
      </c>
      <c r="K78" s="363" t="s">
        <v>610</v>
      </c>
      <c r="L78" s="363" t="s">
        <v>611</v>
      </c>
      <c r="M78" s="365">
        <v>6</v>
      </c>
      <c r="N78" s="366">
        <v>2510</v>
      </c>
      <c r="O78" s="362">
        <v>1</v>
      </c>
      <c r="P78" s="382">
        <v>6</v>
      </c>
      <c r="Q78" s="366">
        <v>2510</v>
      </c>
      <c r="R78" s="366">
        <v>15060</v>
      </c>
      <c r="S78" s="374"/>
    </row>
    <row r="79" spans="9:19" x14ac:dyDescent="0.25">
      <c r="I79" s="362">
        <v>9</v>
      </c>
      <c r="J79" s="362" t="s">
        <v>599</v>
      </c>
      <c r="K79" s="363" t="s">
        <v>612</v>
      </c>
      <c r="L79" s="363" t="s">
        <v>613</v>
      </c>
      <c r="M79" s="365">
        <v>5</v>
      </c>
      <c r="N79" s="366">
        <v>3160</v>
      </c>
      <c r="O79" s="362">
        <v>1</v>
      </c>
      <c r="P79" s="382">
        <v>5</v>
      </c>
      <c r="Q79" s="366">
        <v>3160</v>
      </c>
      <c r="R79" s="366">
        <v>15800</v>
      </c>
      <c r="S79" s="374"/>
    </row>
    <row r="80" spans="9:19" x14ac:dyDescent="0.25">
      <c r="I80" s="362">
        <v>9</v>
      </c>
      <c r="J80" s="362" t="s">
        <v>599</v>
      </c>
      <c r="K80" s="363" t="s">
        <v>614</v>
      </c>
      <c r="L80" s="363" t="s">
        <v>615</v>
      </c>
      <c r="M80" s="365">
        <v>6</v>
      </c>
      <c r="N80" s="366">
        <v>3160</v>
      </c>
      <c r="O80" s="362">
        <v>1</v>
      </c>
      <c r="P80" s="382">
        <v>6</v>
      </c>
      <c r="Q80" s="366">
        <v>3160</v>
      </c>
      <c r="R80" s="366">
        <v>18960</v>
      </c>
      <c r="S80" s="374"/>
    </row>
    <row r="81" spans="9:19" x14ac:dyDescent="0.25">
      <c r="I81" s="369" t="s">
        <v>616</v>
      </c>
      <c r="J81" s="369"/>
      <c r="K81" s="369"/>
      <c r="L81" s="369"/>
      <c r="M81" s="376">
        <v>1151</v>
      </c>
      <c r="N81" s="377">
        <v>1497.6281494352741</v>
      </c>
      <c r="O81" s="372" t="s">
        <v>44</v>
      </c>
      <c r="P81" s="386">
        <v>1151</v>
      </c>
      <c r="Q81" s="377">
        <v>1497.6281494352741</v>
      </c>
      <c r="R81" s="377">
        <v>1723770</v>
      </c>
      <c r="S81" s="374"/>
    </row>
    <row r="82" spans="9:19" x14ac:dyDescent="0.25">
      <c r="I82" s="362">
        <v>10</v>
      </c>
      <c r="J82" s="362" t="s">
        <v>319</v>
      </c>
      <c r="K82" s="363" t="s">
        <v>617</v>
      </c>
      <c r="L82" s="363" t="s">
        <v>617</v>
      </c>
      <c r="M82" s="365">
        <v>1</v>
      </c>
      <c r="N82" s="366">
        <v>329500</v>
      </c>
      <c r="O82" s="362">
        <v>1</v>
      </c>
      <c r="P82" s="382">
        <v>1</v>
      </c>
      <c r="Q82" s="366">
        <v>329500</v>
      </c>
      <c r="R82" s="366">
        <v>329500</v>
      </c>
      <c r="S82" s="374"/>
    </row>
    <row r="83" spans="9:19" x14ac:dyDescent="0.25">
      <c r="I83" s="362">
        <v>10</v>
      </c>
      <c r="J83" s="362" t="s">
        <v>618</v>
      </c>
      <c r="K83" s="363" t="s">
        <v>619</v>
      </c>
      <c r="L83" s="363" t="s">
        <v>620</v>
      </c>
      <c r="M83" s="365">
        <v>1</v>
      </c>
      <c r="N83" s="366">
        <v>10504</v>
      </c>
      <c r="O83" s="362">
        <v>1</v>
      </c>
      <c r="P83" s="382">
        <v>1</v>
      </c>
      <c r="Q83" s="366">
        <v>10504</v>
      </c>
      <c r="R83" s="366">
        <v>10504</v>
      </c>
      <c r="S83" s="374"/>
    </row>
    <row r="84" spans="9:19" x14ac:dyDescent="0.25">
      <c r="I84" s="362">
        <v>10</v>
      </c>
      <c r="J84" s="362" t="s">
        <v>621</v>
      </c>
      <c r="K84" s="363" t="s">
        <v>622</v>
      </c>
      <c r="L84" s="363" t="s">
        <v>623</v>
      </c>
      <c r="M84" s="365">
        <v>1</v>
      </c>
      <c r="N84" s="366">
        <v>12000</v>
      </c>
      <c r="O84" s="362">
        <v>1</v>
      </c>
      <c r="P84" s="382">
        <v>1</v>
      </c>
      <c r="Q84" s="366">
        <v>12000</v>
      </c>
      <c r="R84" s="366">
        <v>12000</v>
      </c>
      <c r="S84" s="374"/>
    </row>
    <row r="85" spans="9:19" x14ac:dyDescent="0.25">
      <c r="I85" s="362">
        <v>10</v>
      </c>
      <c r="J85" s="362" t="s">
        <v>624</v>
      </c>
      <c r="K85" s="363" t="s">
        <v>625</v>
      </c>
      <c r="L85" s="363" t="s">
        <v>626</v>
      </c>
      <c r="M85" s="365">
        <v>1</v>
      </c>
      <c r="N85" s="366">
        <v>33782</v>
      </c>
      <c r="O85" s="362">
        <v>1</v>
      </c>
      <c r="P85" s="382">
        <v>1</v>
      </c>
      <c r="Q85" s="366">
        <v>33782</v>
      </c>
      <c r="R85" s="366">
        <v>33782</v>
      </c>
      <c r="S85" s="374"/>
    </row>
    <row r="86" spans="9:19" x14ac:dyDescent="0.25">
      <c r="I86" s="362">
        <v>10</v>
      </c>
      <c r="J86" s="362" t="s">
        <v>627</v>
      </c>
      <c r="K86" s="363" t="s">
        <v>628</v>
      </c>
      <c r="L86" s="363" t="s">
        <v>629</v>
      </c>
      <c r="M86" s="365">
        <v>1</v>
      </c>
      <c r="N86" s="366">
        <v>37815</v>
      </c>
      <c r="O86" s="362">
        <v>1</v>
      </c>
      <c r="P86" s="382">
        <v>1</v>
      </c>
      <c r="Q86" s="366">
        <v>37815</v>
      </c>
      <c r="R86" s="366">
        <v>37815</v>
      </c>
      <c r="S86" s="374"/>
    </row>
    <row r="87" spans="9:19" x14ac:dyDescent="0.25">
      <c r="I87" s="362">
        <v>10</v>
      </c>
      <c r="J87" s="362" t="s">
        <v>630</v>
      </c>
      <c r="K87" s="363" t="s">
        <v>631</v>
      </c>
      <c r="L87" s="363" t="s">
        <v>632</v>
      </c>
      <c r="M87" s="365">
        <v>1</v>
      </c>
      <c r="N87" s="366">
        <v>264500</v>
      </c>
      <c r="O87" s="362">
        <v>1</v>
      </c>
      <c r="P87" s="382">
        <v>1</v>
      </c>
      <c r="Q87" s="366">
        <v>264500</v>
      </c>
      <c r="R87" s="366">
        <v>264500</v>
      </c>
      <c r="S87" s="374"/>
    </row>
    <row r="88" spans="9:19" x14ac:dyDescent="0.25">
      <c r="I88" s="362">
        <v>10</v>
      </c>
      <c r="J88" s="362" t="s">
        <v>633</v>
      </c>
      <c r="K88" s="363" t="s">
        <v>634</v>
      </c>
      <c r="L88" s="363" t="s">
        <v>635</v>
      </c>
      <c r="M88" s="365">
        <v>1</v>
      </c>
      <c r="N88" s="366">
        <v>65000</v>
      </c>
      <c r="O88" s="362">
        <v>1</v>
      </c>
      <c r="P88" s="382">
        <v>1</v>
      </c>
      <c r="Q88" s="366">
        <v>65000</v>
      </c>
      <c r="R88" s="366">
        <v>65000</v>
      </c>
      <c r="S88" s="374"/>
    </row>
    <row r="89" spans="9:19" x14ac:dyDescent="0.25">
      <c r="I89" s="362">
        <v>10</v>
      </c>
      <c r="J89" s="362" t="s">
        <v>636</v>
      </c>
      <c r="K89" s="363" t="s">
        <v>637</v>
      </c>
      <c r="L89" s="363" t="s">
        <v>638</v>
      </c>
      <c r="M89" s="365">
        <v>2</v>
      </c>
      <c r="N89" s="366">
        <v>9500</v>
      </c>
      <c r="O89" s="362">
        <v>1</v>
      </c>
      <c r="P89" s="382">
        <v>2</v>
      </c>
      <c r="Q89" s="366">
        <v>9500</v>
      </c>
      <c r="R89" s="366">
        <v>19000</v>
      </c>
      <c r="S89" s="374"/>
    </row>
    <row r="90" spans="9:19" x14ac:dyDescent="0.25">
      <c r="I90" s="362">
        <v>10</v>
      </c>
      <c r="J90" s="362" t="s">
        <v>639</v>
      </c>
      <c r="K90" s="363" t="s">
        <v>512</v>
      </c>
      <c r="L90" s="363" t="s">
        <v>513</v>
      </c>
      <c r="M90" s="365">
        <v>6</v>
      </c>
      <c r="N90" s="366">
        <v>24395</v>
      </c>
      <c r="O90" s="362">
        <v>1</v>
      </c>
      <c r="P90" s="382">
        <v>6</v>
      </c>
      <c r="Q90" s="366">
        <v>24395</v>
      </c>
      <c r="R90" s="366">
        <v>146370</v>
      </c>
      <c r="S90" s="374"/>
    </row>
    <row r="91" spans="9:19" x14ac:dyDescent="0.25">
      <c r="I91" s="369" t="s">
        <v>640</v>
      </c>
      <c r="J91" s="369"/>
      <c r="K91" s="369"/>
      <c r="L91" s="369"/>
      <c r="M91" s="376">
        <v>15</v>
      </c>
      <c r="N91" s="377">
        <v>61231.4</v>
      </c>
      <c r="O91" s="372" t="s">
        <v>44</v>
      </c>
      <c r="P91" s="386">
        <v>15</v>
      </c>
      <c r="Q91" s="377">
        <v>61231.4</v>
      </c>
      <c r="R91" s="377">
        <v>918471</v>
      </c>
      <c r="S91" s="374"/>
    </row>
    <row r="92" spans="9:19" x14ac:dyDescent="0.25">
      <c r="I92" s="362">
        <v>11</v>
      </c>
      <c r="J92" s="362" t="s">
        <v>641</v>
      </c>
      <c r="K92" s="363" t="s">
        <v>642</v>
      </c>
      <c r="L92" s="363" t="s">
        <v>516</v>
      </c>
      <c r="M92" s="365">
        <v>2</v>
      </c>
      <c r="N92" s="366">
        <v>9500</v>
      </c>
      <c r="O92" s="362">
        <v>1</v>
      </c>
      <c r="P92" s="382">
        <v>2</v>
      </c>
      <c r="Q92" s="366">
        <v>9500</v>
      </c>
      <c r="R92" s="366">
        <v>19000</v>
      </c>
      <c r="S92" s="374"/>
    </row>
    <row r="93" spans="9:19" x14ac:dyDescent="0.25">
      <c r="I93" s="362">
        <v>11</v>
      </c>
      <c r="J93" s="362" t="s">
        <v>641</v>
      </c>
      <c r="K93" s="363" t="s">
        <v>643</v>
      </c>
      <c r="L93" s="363" t="s">
        <v>552</v>
      </c>
      <c r="M93" s="365">
        <v>3</v>
      </c>
      <c r="N93" s="366">
        <v>5000</v>
      </c>
      <c r="O93" s="362">
        <v>1</v>
      </c>
      <c r="P93" s="382">
        <v>3</v>
      </c>
      <c r="Q93" s="366">
        <v>5000</v>
      </c>
      <c r="R93" s="366">
        <v>15000</v>
      </c>
      <c r="S93" s="374"/>
    </row>
    <row r="94" spans="9:19" x14ac:dyDescent="0.25">
      <c r="I94" s="369" t="s">
        <v>644</v>
      </c>
      <c r="J94" s="369"/>
      <c r="K94" s="369"/>
      <c r="L94" s="369"/>
      <c r="M94" s="376">
        <v>5</v>
      </c>
      <c r="N94" s="377">
        <v>6800</v>
      </c>
      <c r="O94" s="372" t="s">
        <v>44</v>
      </c>
      <c r="P94" s="386">
        <v>5</v>
      </c>
      <c r="Q94" s="377">
        <v>6800</v>
      </c>
      <c r="R94" s="377">
        <v>34000</v>
      </c>
      <c r="S94" s="374"/>
    </row>
    <row r="95" spans="9:19" x14ac:dyDescent="0.25">
      <c r="I95" s="362">
        <v>12</v>
      </c>
      <c r="J95" s="362" t="s">
        <v>645</v>
      </c>
      <c r="K95" s="363" t="s">
        <v>646</v>
      </c>
      <c r="L95" s="363" t="s">
        <v>647</v>
      </c>
      <c r="M95" s="365">
        <v>1</v>
      </c>
      <c r="N95" s="366">
        <v>20750</v>
      </c>
      <c r="O95" s="362">
        <v>1</v>
      </c>
      <c r="P95" s="382">
        <v>1</v>
      </c>
      <c r="Q95" s="366">
        <v>20750</v>
      </c>
      <c r="R95" s="366">
        <v>20750</v>
      </c>
      <c r="S95" s="374"/>
    </row>
    <row r="96" spans="9:19" x14ac:dyDescent="0.25">
      <c r="I96" s="362">
        <v>12</v>
      </c>
      <c r="J96" s="362" t="s">
        <v>645</v>
      </c>
      <c r="K96" s="363" t="s">
        <v>646</v>
      </c>
      <c r="L96" s="363" t="s">
        <v>648</v>
      </c>
      <c r="M96" s="365">
        <v>1</v>
      </c>
      <c r="N96" s="366">
        <v>20750</v>
      </c>
      <c r="O96" s="362">
        <v>1</v>
      </c>
      <c r="P96" s="382">
        <v>1</v>
      </c>
      <c r="Q96" s="366">
        <v>20750</v>
      </c>
      <c r="R96" s="366">
        <v>20750</v>
      </c>
      <c r="S96" s="374"/>
    </row>
    <row r="97" spans="9:19" x14ac:dyDescent="0.25">
      <c r="I97" s="362">
        <v>12</v>
      </c>
      <c r="J97" s="362" t="s">
        <v>645</v>
      </c>
      <c r="K97" s="363" t="s">
        <v>646</v>
      </c>
      <c r="L97" s="363" t="s">
        <v>649</v>
      </c>
      <c r="M97" s="365">
        <v>1</v>
      </c>
      <c r="N97" s="366">
        <v>20750</v>
      </c>
      <c r="O97" s="362">
        <v>1</v>
      </c>
      <c r="P97" s="382">
        <v>1</v>
      </c>
      <c r="Q97" s="366">
        <v>20750</v>
      </c>
      <c r="R97" s="366">
        <v>20750</v>
      </c>
      <c r="S97" s="374"/>
    </row>
    <row r="98" spans="9:19" x14ac:dyDescent="0.25">
      <c r="I98" s="362">
        <v>12</v>
      </c>
      <c r="J98" s="362" t="s">
        <v>645</v>
      </c>
      <c r="K98" s="363" t="s">
        <v>646</v>
      </c>
      <c r="L98" s="363" t="s">
        <v>650</v>
      </c>
      <c r="M98" s="365">
        <v>1</v>
      </c>
      <c r="N98" s="366">
        <v>20750</v>
      </c>
      <c r="O98" s="362">
        <v>1</v>
      </c>
      <c r="P98" s="382">
        <v>1</v>
      </c>
      <c r="Q98" s="366">
        <v>20750</v>
      </c>
      <c r="R98" s="366">
        <v>20750</v>
      </c>
      <c r="S98" s="374"/>
    </row>
    <row r="99" spans="9:19" x14ac:dyDescent="0.25">
      <c r="I99" s="369" t="s">
        <v>651</v>
      </c>
      <c r="J99" s="369"/>
      <c r="K99" s="369"/>
      <c r="L99" s="369"/>
      <c r="M99" s="376">
        <v>4</v>
      </c>
      <c r="N99" s="377">
        <v>20750</v>
      </c>
      <c r="O99" s="372" t="s">
        <v>44</v>
      </c>
      <c r="P99" s="386">
        <v>4</v>
      </c>
      <c r="Q99" s="377">
        <v>20750</v>
      </c>
      <c r="R99" s="377">
        <v>83000</v>
      </c>
      <c r="S99" s="374"/>
    </row>
    <row r="100" spans="9:19" x14ac:dyDescent="0.25">
      <c r="I100" s="362">
        <v>13</v>
      </c>
      <c r="J100" s="362" t="s">
        <v>652</v>
      </c>
      <c r="K100" s="363" t="s">
        <v>653</v>
      </c>
      <c r="L100" s="363" t="s">
        <v>654</v>
      </c>
      <c r="M100" s="365">
        <v>2</v>
      </c>
      <c r="N100" s="366">
        <v>32000</v>
      </c>
      <c r="O100" s="362">
        <v>1</v>
      </c>
      <c r="P100" s="382">
        <v>2</v>
      </c>
      <c r="Q100" s="366">
        <v>32000</v>
      </c>
      <c r="R100" s="366">
        <v>64000</v>
      </c>
      <c r="S100" s="374"/>
    </row>
    <row r="101" spans="9:19" x14ac:dyDescent="0.25">
      <c r="I101" s="362">
        <v>13</v>
      </c>
      <c r="J101" s="362" t="s">
        <v>655</v>
      </c>
      <c r="K101" s="363" t="s">
        <v>656</v>
      </c>
      <c r="L101" s="363" t="s">
        <v>657</v>
      </c>
      <c r="M101" s="365">
        <v>1</v>
      </c>
      <c r="N101" s="366">
        <v>62500</v>
      </c>
      <c r="O101" s="362">
        <v>1</v>
      </c>
      <c r="P101" s="382">
        <v>1</v>
      </c>
      <c r="Q101" s="366">
        <v>62500</v>
      </c>
      <c r="R101" s="366">
        <v>62500</v>
      </c>
      <c r="S101" s="374"/>
    </row>
    <row r="102" spans="9:19" x14ac:dyDescent="0.25">
      <c r="I102" s="369" t="s">
        <v>658</v>
      </c>
      <c r="J102" s="369"/>
      <c r="K102" s="369"/>
      <c r="L102" s="369"/>
      <c r="M102" s="376">
        <v>3</v>
      </c>
      <c r="N102" s="377">
        <v>42166.666666666657</v>
      </c>
      <c r="O102" s="372" t="s">
        <v>44</v>
      </c>
      <c r="P102" s="386">
        <v>3</v>
      </c>
      <c r="Q102" s="377">
        <v>42166.666666666657</v>
      </c>
      <c r="R102" s="377">
        <v>126500</v>
      </c>
      <c r="S102" s="374"/>
    </row>
    <row r="103" spans="9:19" x14ac:dyDescent="0.25">
      <c r="I103" s="362">
        <v>15</v>
      </c>
      <c r="J103" s="362" t="s">
        <v>659</v>
      </c>
      <c r="K103" s="363" t="s">
        <v>660</v>
      </c>
      <c r="L103" s="363" t="s">
        <v>661</v>
      </c>
      <c r="M103" s="365">
        <v>4</v>
      </c>
      <c r="N103" s="366">
        <v>1309</v>
      </c>
      <c r="O103" s="362">
        <v>1</v>
      </c>
      <c r="P103" s="382">
        <v>4</v>
      </c>
      <c r="Q103" s="366">
        <v>1309</v>
      </c>
      <c r="R103" s="366">
        <v>5236</v>
      </c>
      <c r="S103" s="374"/>
    </row>
    <row r="104" spans="9:19" x14ac:dyDescent="0.25">
      <c r="I104" s="362">
        <v>15</v>
      </c>
      <c r="J104" s="362" t="s">
        <v>662</v>
      </c>
      <c r="K104" s="363" t="s">
        <v>663</v>
      </c>
      <c r="L104" s="363" t="s">
        <v>664</v>
      </c>
      <c r="M104" s="365">
        <v>1</v>
      </c>
      <c r="N104" s="366">
        <v>19000</v>
      </c>
      <c r="O104" s="362">
        <v>1</v>
      </c>
      <c r="P104" s="382">
        <v>1</v>
      </c>
      <c r="Q104" s="366">
        <v>19000</v>
      </c>
      <c r="R104" s="366">
        <v>19000</v>
      </c>
      <c r="S104" s="374"/>
    </row>
    <row r="105" spans="9:19" x14ac:dyDescent="0.25">
      <c r="I105" s="362">
        <v>15</v>
      </c>
      <c r="J105" s="362" t="s">
        <v>665</v>
      </c>
      <c r="K105" s="363" t="s">
        <v>666</v>
      </c>
      <c r="L105" s="363" t="s">
        <v>667</v>
      </c>
      <c r="M105" s="365">
        <v>1</v>
      </c>
      <c r="N105" s="366">
        <v>14200</v>
      </c>
      <c r="O105" s="362">
        <v>1</v>
      </c>
      <c r="P105" s="382">
        <v>1</v>
      </c>
      <c r="Q105" s="366">
        <v>14200</v>
      </c>
      <c r="R105" s="366">
        <v>14200</v>
      </c>
      <c r="S105" s="374"/>
    </row>
    <row r="106" spans="9:19" x14ac:dyDescent="0.25">
      <c r="I106" s="369" t="s">
        <v>668</v>
      </c>
      <c r="J106" s="369"/>
      <c r="K106" s="369"/>
      <c r="L106" s="369"/>
      <c r="M106" s="376">
        <v>6</v>
      </c>
      <c r="N106" s="377">
        <v>6406</v>
      </c>
      <c r="O106" s="372" t="s">
        <v>44</v>
      </c>
      <c r="P106" s="386">
        <v>6</v>
      </c>
      <c r="Q106" s="377">
        <v>6406</v>
      </c>
      <c r="R106" s="377">
        <v>38436</v>
      </c>
      <c r="S106" s="374"/>
    </row>
    <row r="107" spans="9:19" x14ac:dyDescent="0.25">
      <c r="I107" s="362">
        <v>16</v>
      </c>
      <c r="J107" s="362" t="s">
        <v>669</v>
      </c>
      <c r="K107" s="363" t="s">
        <v>663</v>
      </c>
      <c r="L107" s="363" t="s">
        <v>670</v>
      </c>
      <c r="M107" s="365">
        <v>1</v>
      </c>
      <c r="N107" s="366">
        <v>34000</v>
      </c>
      <c r="O107" s="362">
        <v>1</v>
      </c>
      <c r="P107" s="382">
        <v>1</v>
      </c>
      <c r="Q107" s="366">
        <v>34000</v>
      </c>
      <c r="R107" s="366">
        <v>34000</v>
      </c>
      <c r="S107" s="374"/>
    </row>
    <row r="108" spans="9:19" x14ac:dyDescent="0.25">
      <c r="I108" s="369" t="s">
        <v>671</v>
      </c>
      <c r="J108" s="369"/>
      <c r="K108" s="369"/>
      <c r="L108" s="369"/>
      <c r="M108" s="376">
        <v>1</v>
      </c>
      <c r="N108" s="377">
        <v>34000</v>
      </c>
      <c r="O108" s="372" t="s">
        <v>44</v>
      </c>
      <c r="P108" s="386">
        <v>1</v>
      </c>
      <c r="Q108" s="377">
        <v>34000</v>
      </c>
      <c r="R108" s="377">
        <v>34000</v>
      </c>
      <c r="S108" s="374"/>
    </row>
    <row r="109" spans="9:19" x14ac:dyDescent="0.25">
      <c r="I109" s="362">
        <v>17</v>
      </c>
      <c r="J109" s="362" t="s">
        <v>672</v>
      </c>
      <c r="K109" s="363" t="s">
        <v>673</v>
      </c>
      <c r="L109" s="363" t="s">
        <v>674</v>
      </c>
      <c r="M109" s="365">
        <v>2</v>
      </c>
      <c r="N109" s="366">
        <v>57800</v>
      </c>
      <c r="O109" s="362">
        <v>1</v>
      </c>
      <c r="P109" s="382">
        <v>2</v>
      </c>
      <c r="Q109" s="366">
        <v>57800</v>
      </c>
      <c r="R109" s="366">
        <v>115600</v>
      </c>
      <c r="S109" s="374"/>
    </row>
    <row r="110" spans="9:19" x14ac:dyDescent="0.25">
      <c r="I110" s="362">
        <v>17</v>
      </c>
      <c r="J110" s="362" t="s">
        <v>672</v>
      </c>
      <c r="K110" s="363" t="s">
        <v>675</v>
      </c>
      <c r="L110" s="363" t="s">
        <v>676</v>
      </c>
      <c r="M110" s="365">
        <v>3</v>
      </c>
      <c r="N110" s="366">
        <v>34800</v>
      </c>
      <c r="O110" s="362">
        <v>1</v>
      </c>
      <c r="P110" s="382">
        <v>3</v>
      </c>
      <c r="Q110" s="366">
        <v>34800</v>
      </c>
      <c r="R110" s="366">
        <v>104400</v>
      </c>
      <c r="S110" s="374"/>
    </row>
    <row r="111" spans="9:19" x14ac:dyDescent="0.25">
      <c r="I111" s="362">
        <v>17</v>
      </c>
      <c r="J111" s="362" t="s">
        <v>677</v>
      </c>
      <c r="K111" s="363" t="s">
        <v>663</v>
      </c>
      <c r="L111" s="363" t="s">
        <v>678</v>
      </c>
      <c r="M111" s="365">
        <v>1</v>
      </c>
      <c r="N111" s="366">
        <v>29000</v>
      </c>
      <c r="O111" s="362">
        <v>1</v>
      </c>
      <c r="P111" s="382">
        <v>1</v>
      </c>
      <c r="Q111" s="366">
        <v>29000</v>
      </c>
      <c r="R111" s="366">
        <v>29000</v>
      </c>
      <c r="S111" s="374"/>
    </row>
    <row r="112" spans="9:19" x14ac:dyDescent="0.25">
      <c r="I112" s="369" t="s">
        <v>679</v>
      </c>
      <c r="J112" s="369"/>
      <c r="K112" s="369"/>
      <c r="L112" s="369"/>
      <c r="M112" s="376">
        <v>6</v>
      </c>
      <c r="N112" s="377">
        <v>41500</v>
      </c>
      <c r="O112" s="372" t="s">
        <v>44</v>
      </c>
      <c r="P112" s="386">
        <v>6</v>
      </c>
      <c r="Q112" s="377">
        <v>41500</v>
      </c>
      <c r="R112" s="377">
        <v>249000</v>
      </c>
      <c r="S112" s="374"/>
    </row>
    <row r="113" spans="9:19" x14ac:dyDescent="0.25">
      <c r="I113" s="362">
        <v>18</v>
      </c>
      <c r="J113" s="362" t="s">
        <v>680</v>
      </c>
      <c r="K113" s="363" t="s">
        <v>681</v>
      </c>
      <c r="L113" s="363" t="s">
        <v>682</v>
      </c>
      <c r="M113" s="365">
        <v>2</v>
      </c>
      <c r="N113" s="366">
        <v>74500</v>
      </c>
      <c r="O113" s="362">
        <v>1</v>
      </c>
      <c r="P113" s="382">
        <v>2</v>
      </c>
      <c r="Q113" s="366">
        <v>74500</v>
      </c>
      <c r="R113" s="366">
        <v>149000</v>
      </c>
      <c r="S113" s="374"/>
    </row>
    <row r="114" spans="9:19" x14ac:dyDescent="0.25">
      <c r="I114" s="362">
        <v>18</v>
      </c>
      <c r="J114" s="362" t="s">
        <v>680</v>
      </c>
      <c r="K114" s="363" t="s">
        <v>683</v>
      </c>
      <c r="L114" s="363" t="s">
        <v>684</v>
      </c>
      <c r="M114" s="365">
        <v>1</v>
      </c>
      <c r="N114" s="366">
        <v>77500</v>
      </c>
      <c r="O114" s="362">
        <v>1</v>
      </c>
      <c r="P114" s="382">
        <v>1</v>
      </c>
      <c r="Q114" s="366">
        <v>77500</v>
      </c>
      <c r="R114" s="366">
        <v>77500</v>
      </c>
      <c r="S114" s="374"/>
    </row>
    <row r="115" spans="9:19" x14ac:dyDescent="0.25">
      <c r="I115" s="362">
        <v>18</v>
      </c>
      <c r="J115" s="362" t="s">
        <v>680</v>
      </c>
      <c r="K115" s="363" t="s">
        <v>685</v>
      </c>
      <c r="L115" s="363" t="s">
        <v>686</v>
      </c>
      <c r="M115" s="365">
        <v>1</v>
      </c>
      <c r="N115" s="366">
        <v>92200</v>
      </c>
      <c r="O115" s="362">
        <v>1</v>
      </c>
      <c r="P115" s="382">
        <v>1</v>
      </c>
      <c r="Q115" s="366">
        <v>92200</v>
      </c>
      <c r="R115" s="366">
        <v>92200</v>
      </c>
      <c r="S115" s="374"/>
    </row>
    <row r="116" spans="9:19" x14ac:dyDescent="0.25">
      <c r="I116" s="362">
        <v>18</v>
      </c>
      <c r="J116" s="362" t="s">
        <v>680</v>
      </c>
      <c r="K116" s="363" t="s">
        <v>687</v>
      </c>
      <c r="L116" s="363" t="s">
        <v>688</v>
      </c>
      <c r="M116" s="365">
        <v>1</v>
      </c>
      <c r="N116" s="366">
        <v>93000</v>
      </c>
      <c r="O116" s="362">
        <v>1</v>
      </c>
      <c r="P116" s="382">
        <v>1</v>
      </c>
      <c r="Q116" s="366">
        <v>93000</v>
      </c>
      <c r="R116" s="366">
        <v>93000</v>
      </c>
      <c r="S116" s="374"/>
    </row>
    <row r="117" spans="9:19" x14ac:dyDescent="0.25">
      <c r="I117" s="362">
        <v>18</v>
      </c>
      <c r="J117" s="362" t="s">
        <v>680</v>
      </c>
      <c r="K117" s="363" t="s">
        <v>689</v>
      </c>
      <c r="L117" s="363" t="s">
        <v>690</v>
      </c>
      <c r="M117" s="365">
        <v>1</v>
      </c>
      <c r="N117" s="366">
        <v>51600</v>
      </c>
      <c r="O117" s="362">
        <v>1</v>
      </c>
      <c r="P117" s="382">
        <v>1</v>
      </c>
      <c r="Q117" s="366">
        <v>51600</v>
      </c>
      <c r="R117" s="366">
        <v>51600</v>
      </c>
      <c r="S117" s="374"/>
    </row>
    <row r="118" spans="9:19" x14ac:dyDescent="0.25">
      <c r="I118" s="362">
        <v>18</v>
      </c>
      <c r="J118" s="362" t="s">
        <v>680</v>
      </c>
      <c r="K118" s="363" t="s">
        <v>691</v>
      </c>
      <c r="L118" s="363" t="s">
        <v>692</v>
      </c>
      <c r="M118" s="365">
        <v>1</v>
      </c>
      <c r="N118" s="366">
        <v>60900</v>
      </c>
      <c r="O118" s="362">
        <v>1</v>
      </c>
      <c r="P118" s="382">
        <v>1</v>
      </c>
      <c r="Q118" s="366">
        <v>60900</v>
      </c>
      <c r="R118" s="366">
        <v>60900</v>
      </c>
      <c r="S118" s="374"/>
    </row>
    <row r="119" spans="9:19" x14ac:dyDescent="0.25">
      <c r="I119" s="362">
        <v>18</v>
      </c>
      <c r="J119" s="362" t="s">
        <v>693</v>
      </c>
      <c r="K119" s="363" t="s">
        <v>663</v>
      </c>
      <c r="L119" s="363" t="s">
        <v>694</v>
      </c>
      <c r="M119" s="365">
        <v>1</v>
      </c>
      <c r="N119" s="366">
        <v>24000</v>
      </c>
      <c r="O119" s="362">
        <v>1</v>
      </c>
      <c r="P119" s="382">
        <v>1</v>
      </c>
      <c r="Q119" s="366">
        <v>24000</v>
      </c>
      <c r="R119" s="366">
        <v>24000</v>
      </c>
      <c r="S119" s="374"/>
    </row>
    <row r="120" spans="9:19" x14ac:dyDescent="0.25">
      <c r="I120" s="369" t="s">
        <v>695</v>
      </c>
      <c r="J120" s="369"/>
      <c r="K120" s="369"/>
      <c r="L120" s="369"/>
      <c r="M120" s="376">
        <v>8</v>
      </c>
      <c r="N120" s="377">
        <v>68525</v>
      </c>
      <c r="O120" s="372" t="s">
        <v>44</v>
      </c>
      <c r="P120" s="386">
        <v>8</v>
      </c>
      <c r="Q120" s="377">
        <v>68525</v>
      </c>
      <c r="R120" s="377">
        <v>548200</v>
      </c>
      <c r="S120" s="374"/>
    </row>
    <row r="121" spans="9:19" x14ac:dyDescent="0.25">
      <c r="I121" s="378" t="s">
        <v>696</v>
      </c>
      <c r="J121" s="378"/>
      <c r="K121" s="378"/>
      <c r="L121" s="378"/>
      <c r="M121" s="379">
        <v>1478</v>
      </c>
      <c r="N121" s="380">
        <v>4011.675284167794</v>
      </c>
      <c r="O121" s="387" t="s">
        <v>44</v>
      </c>
      <c r="P121" s="388">
        <v>1478</v>
      </c>
      <c r="Q121" s="380">
        <v>4011.675284167794</v>
      </c>
      <c r="R121" s="380">
        <v>5929256.0700000003</v>
      </c>
      <c r="S121" s="374"/>
    </row>
    <row r="122" spans="9:19" x14ac:dyDescent="0.25">
      <c r="I122" s="374"/>
      <c r="J122" s="374"/>
      <c r="K122" s="374"/>
      <c r="L122" s="374"/>
      <c r="M122" s="374"/>
      <c r="N122" s="374"/>
      <c r="O122" s="374"/>
      <c r="P122" s="374"/>
      <c r="Q122" s="374"/>
      <c r="R122" s="374"/>
      <c r="S122" s="374"/>
    </row>
    <row r="123" spans="9:19" x14ac:dyDescent="0.25">
      <c r="I123" s="374"/>
      <c r="J123" s="374"/>
      <c r="K123" s="374"/>
      <c r="L123" s="374"/>
      <c r="M123" s="374"/>
      <c r="N123" s="374"/>
      <c r="O123" s="374"/>
      <c r="P123" s="374"/>
      <c r="Q123" s="374"/>
      <c r="R123" s="374"/>
      <c r="S123" s="374"/>
    </row>
    <row r="124" spans="9:19" x14ac:dyDescent="0.25">
      <c r="I124" s="374"/>
      <c r="J124" s="374"/>
      <c r="K124" s="374"/>
      <c r="L124" s="374"/>
      <c r="M124" s="374"/>
      <c r="N124" s="374"/>
      <c r="O124" s="374"/>
      <c r="P124" s="374"/>
      <c r="Q124" s="374"/>
      <c r="R124" s="374"/>
      <c r="S124" s="374"/>
    </row>
    <row r="125" spans="9:19" x14ac:dyDescent="0.25">
      <c r="I125" s="374"/>
      <c r="J125" s="374"/>
      <c r="K125" s="374"/>
      <c r="L125" s="374"/>
      <c r="M125" s="374"/>
      <c r="N125" s="374"/>
      <c r="O125" s="374"/>
      <c r="P125" s="374"/>
      <c r="Q125" s="374"/>
      <c r="R125" s="374"/>
      <c r="S125" s="374"/>
    </row>
    <row r="126" spans="9:19" x14ac:dyDescent="0.25">
      <c r="I126" s="374"/>
      <c r="J126" s="374"/>
      <c r="K126" s="374"/>
      <c r="L126" s="374"/>
      <c r="M126" s="374"/>
      <c r="N126" s="374"/>
      <c r="O126" s="374"/>
      <c r="P126" s="374"/>
      <c r="Q126" s="374"/>
      <c r="R126" s="374"/>
      <c r="S126" s="374"/>
    </row>
    <row r="127" spans="9:19" x14ac:dyDescent="0.25">
      <c r="I127" s="374"/>
      <c r="J127" s="374"/>
      <c r="K127" s="374"/>
      <c r="L127" s="374"/>
      <c r="M127" s="374"/>
      <c r="N127" s="374"/>
      <c r="O127" s="374"/>
      <c r="P127" s="374"/>
      <c r="Q127" s="374"/>
      <c r="R127" s="374"/>
      <c r="S127" s="374"/>
    </row>
    <row r="128" spans="9:19" x14ac:dyDescent="0.25">
      <c r="I128" s="374"/>
      <c r="J128" s="374"/>
      <c r="K128" s="374"/>
      <c r="L128" s="374"/>
      <c r="M128" s="374"/>
      <c r="N128" s="374"/>
      <c r="O128" s="374"/>
      <c r="P128" s="374"/>
      <c r="Q128" s="374"/>
      <c r="R128" s="374"/>
      <c r="S128" s="374"/>
    </row>
    <row r="129" spans="9:19" x14ac:dyDescent="0.25">
      <c r="I129" s="374"/>
      <c r="J129" s="374"/>
      <c r="K129" s="374"/>
      <c r="L129" s="374"/>
      <c r="M129" s="374"/>
      <c r="N129" s="374"/>
      <c r="O129" s="374"/>
      <c r="P129" s="374"/>
      <c r="Q129" s="374"/>
      <c r="R129" s="374"/>
      <c r="S129" s="374"/>
    </row>
    <row r="130" spans="9:19" x14ac:dyDescent="0.25">
      <c r="I130" s="374"/>
      <c r="J130" s="374"/>
      <c r="K130" s="374"/>
      <c r="L130" s="374"/>
      <c r="M130" s="374"/>
      <c r="N130" s="374"/>
      <c r="O130" s="374"/>
      <c r="P130" s="374"/>
      <c r="Q130" s="374"/>
      <c r="R130" s="374"/>
      <c r="S130" s="374"/>
    </row>
    <row r="131" spans="9:19" x14ac:dyDescent="0.25">
      <c r="I131" s="374"/>
      <c r="J131" s="374"/>
      <c r="K131" s="374"/>
      <c r="L131" s="374"/>
      <c r="M131" s="374"/>
      <c r="N131" s="374"/>
      <c r="O131" s="374"/>
      <c r="P131" s="374"/>
      <c r="Q131" s="374"/>
      <c r="R131" s="374"/>
      <c r="S131" s="374"/>
    </row>
    <row r="132" spans="9:19" x14ac:dyDescent="0.25">
      <c r="I132" s="374"/>
      <c r="J132" s="374"/>
      <c r="K132" s="374"/>
      <c r="L132" s="374"/>
      <c r="M132" s="374"/>
      <c r="N132" s="374"/>
      <c r="O132" s="374"/>
      <c r="P132" s="374"/>
      <c r="Q132" s="374"/>
      <c r="R132" s="374"/>
      <c r="S132" s="374"/>
    </row>
    <row r="133" spans="9:19" x14ac:dyDescent="0.25">
      <c r="I133" s="374"/>
      <c r="J133" s="374"/>
      <c r="K133" s="374"/>
      <c r="L133" s="374"/>
      <c r="M133" s="374"/>
      <c r="N133" s="374"/>
      <c r="O133" s="374"/>
      <c r="P133" s="374"/>
      <c r="Q133" s="374"/>
      <c r="R133" s="374"/>
      <c r="S133" s="374"/>
    </row>
    <row r="134" spans="9:19" x14ac:dyDescent="0.25">
      <c r="I134" s="374"/>
      <c r="J134" s="374"/>
      <c r="K134" s="374"/>
      <c r="L134" s="374"/>
      <c r="M134" s="374"/>
      <c r="N134" s="374"/>
      <c r="O134" s="374"/>
      <c r="P134" s="374"/>
      <c r="Q134" s="374"/>
      <c r="R134" s="374"/>
      <c r="S134" s="374"/>
    </row>
    <row r="135" spans="9:19" x14ac:dyDescent="0.25">
      <c r="I135" s="374"/>
      <c r="J135" s="374"/>
      <c r="K135" s="374"/>
      <c r="L135" s="374"/>
      <c r="M135" s="374"/>
      <c r="N135" s="374"/>
      <c r="O135" s="374"/>
      <c r="P135" s="374"/>
      <c r="Q135" s="374"/>
      <c r="R135" s="374"/>
      <c r="S135" s="374"/>
    </row>
    <row r="136" spans="9:19" x14ac:dyDescent="0.25">
      <c r="I136" s="374"/>
      <c r="J136" s="374"/>
      <c r="K136" s="374"/>
      <c r="L136" s="374"/>
      <c r="M136" s="374"/>
      <c r="N136" s="374"/>
      <c r="O136" s="374"/>
      <c r="P136" s="374"/>
      <c r="Q136" s="374"/>
      <c r="R136" s="374"/>
      <c r="S136" s="374"/>
    </row>
    <row r="137" spans="9:19" x14ac:dyDescent="0.25">
      <c r="I137" s="374"/>
      <c r="J137" s="374"/>
      <c r="K137" s="374"/>
      <c r="L137" s="374"/>
      <c r="M137" s="374"/>
      <c r="N137" s="374"/>
      <c r="O137" s="374"/>
      <c r="P137" s="374"/>
      <c r="Q137" s="374"/>
      <c r="R137" s="374"/>
      <c r="S137" s="374"/>
    </row>
    <row r="138" spans="9:19" x14ac:dyDescent="0.25">
      <c r="I138" s="374"/>
      <c r="J138" s="374"/>
      <c r="K138" s="374"/>
      <c r="L138" s="374"/>
      <c r="M138" s="374"/>
      <c r="N138" s="374"/>
      <c r="O138" s="374"/>
      <c r="P138" s="374"/>
      <c r="Q138" s="374"/>
      <c r="R138" s="374"/>
      <c r="S138" s="374"/>
    </row>
    <row r="139" spans="9:19" x14ac:dyDescent="0.25">
      <c r="I139" s="374"/>
      <c r="J139" s="374"/>
      <c r="K139" s="374"/>
      <c r="L139" s="374"/>
      <c r="M139" s="374"/>
      <c r="N139" s="374"/>
      <c r="O139" s="374"/>
      <c r="P139" s="374"/>
      <c r="Q139" s="374"/>
      <c r="R139" s="374"/>
      <c r="S139" s="374"/>
    </row>
    <row r="140" spans="9:19" x14ac:dyDescent="0.25">
      <c r="I140" s="374"/>
      <c r="J140" s="374"/>
      <c r="K140" s="374"/>
      <c r="L140" s="374"/>
      <c r="M140" s="374"/>
      <c r="N140" s="374"/>
      <c r="O140" s="374"/>
      <c r="P140" s="374"/>
      <c r="Q140" s="374"/>
      <c r="R140" s="374"/>
      <c r="S140" s="374"/>
    </row>
    <row r="141" spans="9:19" x14ac:dyDescent="0.25">
      <c r="I141" s="374"/>
      <c r="J141" s="374"/>
      <c r="K141" s="374"/>
      <c r="L141" s="374"/>
      <c r="M141" s="374"/>
      <c r="N141" s="374"/>
      <c r="O141" s="374"/>
      <c r="P141" s="374"/>
      <c r="Q141" s="374"/>
      <c r="R141" s="374"/>
      <c r="S141" s="374"/>
    </row>
    <row r="142" spans="9:19" x14ac:dyDescent="0.25">
      <c r="I142" s="374"/>
      <c r="J142" s="374"/>
      <c r="K142" s="374"/>
      <c r="L142" s="374"/>
      <c r="M142" s="374"/>
      <c r="N142" s="374"/>
      <c r="O142" s="374"/>
      <c r="P142" s="374"/>
      <c r="Q142" s="374"/>
      <c r="R142" s="374"/>
      <c r="S142" s="374"/>
    </row>
    <row r="143" spans="9:19" x14ac:dyDescent="0.25">
      <c r="I143" s="374"/>
      <c r="J143" s="374"/>
      <c r="K143" s="374"/>
      <c r="L143" s="374"/>
      <c r="M143" s="374"/>
      <c r="N143" s="374"/>
      <c r="O143" s="374"/>
      <c r="P143" s="374"/>
      <c r="Q143" s="374"/>
      <c r="R143" s="374"/>
      <c r="S143" s="374"/>
    </row>
    <row r="144" spans="9:19" x14ac:dyDescent="0.25">
      <c r="I144" s="374"/>
      <c r="J144" s="374"/>
      <c r="K144" s="374"/>
      <c r="L144" s="374"/>
      <c r="M144" s="374"/>
      <c r="N144" s="374"/>
      <c r="O144" s="374"/>
      <c r="P144" s="374"/>
      <c r="Q144" s="374"/>
      <c r="R144" s="374"/>
      <c r="S144" s="374"/>
    </row>
    <row r="145" spans="9:19" x14ac:dyDescent="0.25">
      <c r="I145" s="374"/>
      <c r="J145" s="374"/>
      <c r="K145" s="374"/>
      <c r="L145" s="374"/>
      <c r="M145" s="374"/>
      <c r="N145" s="374"/>
      <c r="O145" s="374"/>
      <c r="P145" s="374"/>
      <c r="Q145" s="374"/>
      <c r="R145" s="374"/>
      <c r="S145" s="374"/>
    </row>
    <row r="146" spans="9:19" x14ac:dyDescent="0.25">
      <c r="I146" s="374"/>
      <c r="J146" s="374"/>
      <c r="K146" s="374"/>
      <c r="L146" s="374"/>
      <c r="M146" s="374"/>
      <c r="N146" s="374"/>
      <c r="O146" s="374"/>
      <c r="P146" s="374"/>
      <c r="Q146" s="374"/>
      <c r="R146" s="374"/>
      <c r="S146" s="374"/>
    </row>
    <row r="147" spans="9:19" x14ac:dyDescent="0.25">
      <c r="I147" s="374"/>
      <c r="J147" s="374"/>
      <c r="K147" s="374"/>
      <c r="L147" s="374"/>
      <c r="M147" s="374"/>
      <c r="N147" s="374"/>
      <c r="O147" s="374"/>
      <c r="P147" s="374"/>
      <c r="Q147" s="374"/>
      <c r="R147" s="374"/>
      <c r="S147" s="374"/>
    </row>
    <row r="148" spans="9:19" x14ac:dyDescent="0.25">
      <c r="I148" s="374"/>
      <c r="J148" s="374"/>
      <c r="K148" s="374"/>
      <c r="L148" s="374"/>
      <c r="M148" s="374"/>
      <c r="N148" s="374"/>
      <c r="O148" s="374"/>
      <c r="P148" s="374"/>
      <c r="Q148" s="374"/>
      <c r="R148" s="374"/>
      <c r="S148" s="374"/>
    </row>
    <row r="149" spans="9:19" x14ac:dyDescent="0.25">
      <c r="I149" s="374"/>
      <c r="J149" s="374"/>
      <c r="K149" s="374"/>
      <c r="L149" s="374"/>
      <c r="M149" s="374"/>
      <c r="N149" s="374"/>
      <c r="O149" s="374"/>
      <c r="P149" s="374"/>
      <c r="Q149" s="374"/>
      <c r="R149" s="374"/>
      <c r="S149" s="374"/>
    </row>
    <row r="150" spans="9:19" x14ac:dyDescent="0.25">
      <c r="I150" s="374"/>
      <c r="J150" s="374"/>
      <c r="K150" s="374"/>
      <c r="L150" s="374"/>
      <c r="M150" s="374"/>
      <c r="N150" s="374"/>
      <c r="O150" s="374"/>
      <c r="P150" s="374"/>
      <c r="Q150" s="374"/>
      <c r="R150" s="374"/>
      <c r="S150" s="374"/>
    </row>
    <row r="151" spans="9:19" x14ac:dyDescent="0.25">
      <c r="I151" s="374"/>
      <c r="J151" s="374"/>
      <c r="K151" s="374"/>
      <c r="L151" s="374"/>
      <c r="M151" s="374"/>
      <c r="N151" s="374"/>
      <c r="O151" s="374"/>
      <c r="P151" s="374"/>
      <c r="Q151" s="374"/>
      <c r="R151" s="374"/>
      <c r="S151" s="374"/>
    </row>
    <row r="152" spans="9:19" x14ac:dyDescent="0.25">
      <c r="I152" s="374"/>
      <c r="J152" s="374"/>
      <c r="K152" s="374"/>
      <c r="L152" s="374"/>
      <c r="M152" s="374"/>
      <c r="N152" s="374"/>
      <c r="O152" s="374"/>
      <c r="P152" s="374"/>
      <c r="Q152" s="374"/>
      <c r="R152" s="374"/>
      <c r="S152" s="374"/>
    </row>
    <row r="153" spans="9:19" x14ac:dyDescent="0.25">
      <c r="I153" s="374"/>
      <c r="J153" s="374"/>
      <c r="K153" s="374"/>
      <c r="L153" s="374"/>
      <c r="M153" s="374"/>
      <c r="N153" s="374"/>
      <c r="O153" s="374"/>
      <c r="P153" s="374"/>
      <c r="Q153" s="374"/>
      <c r="R153" s="374"/>
      <c r="S153" s="374"/>
    </row>
    <row r="154" spans="9:19" x14ac:dyDescent="0.25">
      <c r="I154" s="374"/>
      <c r="J154" s="374"/>
      <c r="K154" s="374"/>
      <c r="L154" s="374"/>
      <c r="M154" s="374"/>
      <c r="N154" s="374"/>
      <c r="O154" s="374"/>
      <c r="P154" s="374"/>
      <c r="Q154" s="374"/>
      <c r="R154" s="374"/>
      <c r="S154" s="374"/>
    </row>
    <row r="155" spans="9:19" x14ac:dyDescent="0.25">
      <c r="I155" s="374"/>
      <c r="J155" s="374"/>
      <c r="K155" s="374"/>
      <c r="L155" s="374"/>
      <c r="M155" s="374"/>
      <c r="N155" s="374"/>
      <c r="O155" s="374"/>
      <c r="P155" s="374"/>
      <c r="Q155" s="374"/>
      <c r="R155" s="374"/>
      <c r="S155" s="374"/>
    </row>
    <row r="156" spans="9:19" x14ac:dyDescent="0.25">
      <c r="I156" s="374"/>
      <c r="J156" s="374"/>
      <c r="K156" s="374"/>
      <c r="L156" s="374"/>
      <c r="M156" s="374"/>
      <c r="N156" s="374"/>
      <c r="O156" s="374"/>
      <c r="P156" s="374"/>
      <c r="Q156" s="374"/>
      <c r="R156" s="374"/>
      <c r="S156" s="374"/>
    </row>
    <row r="157" spans="9:19" x14ac:dyDescent="0.25">
      <c r="I157" s="374"/>
      <c r="J157" s="374"/>
      <c r="K157" s="374"/>
      <c r="L157" s="374"/>
      <c r="M157" s="374"/>
      <c r="N157" s="374"/>
      <c r="O157" s="374"/>
      <c r="P157" s="374"/>
      <c r="Q157" s="374"/>
      <c r="R157" s="374"/>
      <c r="S157" s="374"/>
    </row>
    <row r="158" spans="9:19" x14ac:dyDescent="0.25">
      <c r="I158" s="374"/>
      <c r="J158" s="374"/>
      <c r="K158" s="374"/>
      <c r="L158" s="374"/>
      <c r="M158" s="374"/>
      <c r="N158" s="374"/>
      <c r="O158" s="374"/>
      <c r="P158" s="374"/>
      <c r="Q158" s="374"/>
      <c r="R158" s="374"/>
      <c r="S158" s="374"/>
    </row>
    <row r="159" spans="9:19" x14ac:dyDescent="0.25">
      <c r="I159" s="374"/>
      <c r="J159" s="374"/>
      <c r="K159" s="374"/>
      <c r="L159" s="374"/>
      <c r="M159" s="374"/>
      <c r="N159" s="374"/>
      <c r="O159" s="374"/>
      <c r="P159" s="374"/>
      <c r="Q159" s="374"/>
      <c r="R159" s="374"/>
      <c r="S159" s="374"/>
    </row>
    <row r="160" spans="9:19" x14ac:dyDescent="0.25">
      <c r="I160" s="374"/>
      <c r="J160" s="374"/>
      <c r="K160" s="374"/>
      <c r="L160" s="374"/>
      <c r="M160" s="374"/>
      <c r="N160" s="374"/>
      <c r="O160" s="374"/>
      <c r="P160" s="374"/>
      <c r="Q160" s="374"/>
      <c r="R160" s="374"/>
      <c r="S160" s="374"/>
    </row>
    <row r="161" spans="9:19" x14ac:dyDescent="0.25">
      <c r="I161" s="374"/>
      <c r="J161" s="374"/>
      <c r="K161" s="374"/>
      <c r="L161" s="374"/>
      <c r="M161" s="374"/>
      <c r="N161" s="374"/>
      <c r="O161" s="374"/>
      <c r="P161" s="374"/>
      <c r="Q161" s="374"/>
      <c r="R161" s="374"/>
      <c r="S161" s="374"/>
    </row>
    <row r="162" spans="9:19" x14ac:dyDescent="0.25">
      <c r="I162" s="374"/>
      <c r="J162" s="374"/>
      <c r="K162" s="374"/>
      <c r="L162" s="374"/>
      <c r="M162" s="374"/>
      <c r="N162" s="374"/>
      <c r="O162" s="374"/>
      <c r="P162" s="374"/>
      <c r="Q162" s="374"/>
      <c r="R162" s="374"/>
      <c r="S162" s="374"/>
    </row>
    <row r="163" spans="9:19" x14ac:dyDescent="0.25">
      <c r="I163" s="374"/>
      <c r="J163" s="374"/>
      <c r="K163" s="374"/>
      <c r="L163" s="374"/>
      <c r="M163" s="374"/>
      <c r="N163" s="374"/>
      <c r="O163" s="374"/>
      <c r="P163" s="374"/>
      <c r="Q163" s="374"/>
      <c r="R163" s="374"/>
      <c r="S163" s="374"/>
    </row>
    <row r="164" spans="9:19" x14ac:dyDescent="0.25">
      <c r="I164" s="374"/>
      <c r="J164" s="374"/>
      <c r="K164" s="374"/>
      <c r="L164" s="374"/>
      <c r="M164" s="374"/>
      <c r="N164" s="374"/>
      <c r="O164" s="374"/>
      <c r="P164" s="374"/>
      <c r="Q164" s="374"/>
      <c r="R164" s="374"/>
      <c r="S164" s="374"/>
    </row>
    <row r="165" spans="9:19" x14ac:dyDescent="0.25">
      <c r="I165" s="374"/>
      <c r="J165" s="374"/>
      <c r="K165" s="374"/>
      <c r="L165" s="374"/>
      <c r="M165" s="374"/>
      <c r="N165" s="374"/>
      <c r="O165" s="374"/>
      <c r="P165" s="374"/>
      <c r="Q165" s="374"/>
      <c r="R165" s="374"/>
      <c r="S165" s="374"/>
    </row>
    <row r="166" spans="9:19" x14ac:dyDescent="0.25">
      <c r="I166" s="374"/>
      <c r="J166" s="374"/>
      <c r="K166" s="374"/>
      <c r="L166" s="374"/>
      <c r="M166" s="374"/>
      <c r="N166" s="374"/>
      <c r="O166" s="374"/>
      <c r="P166" s="374"/>
      <c r="Q166" s="374"/>
      <c r="R166" s="374"/>
      <c r="S166" s="374"/>
    </row>
    <row r="167" spans="9:19" x14ac:dyDescent="0.25">
      <c r="I167" s="374"/>
      <c r="J167" s="374"/>
      <c r="K167" s="374"/>
      <c r="L167" s="374"/>
      <c r="M167" s="374"/>
      <c r="N167" s="374"/>
      <c r="O167" s="374"/>
      <c r="P167" s="374"/>
      <c r="Q167" s="374"/>
      <c r="R167" s="374"/>
      <c r="S167" s="374"/>
    </row>
    <row r="168" spans="9:19" x14ac:dyDescent="0.25">
      <c r="I168" s="374"/>
      <c r="J168" s="374"/>
      <c r="K168" s="374"/>
      <c r="L168" s="374"/>
      <c r="M168" s="374"/>
      <c r="N168" s="374"/>
      <c r="O168" s="374"/>
      <c r="P168" s="374"/>
      <c r="Q168" s="374"/>
      <c r="R168" s="374"/>
      <c r="S168" s="374"/>
    </row>
    <row r="169" spans="9:19" x14ac:dyDescent="0.25">
      <c r="I169" s="374"/>
      <c r="J169" s="374"/>
      <c r="K169" s="374"/>
      <c r="L169" s="374"/>
      <c r="M169" s="374"/>
      <c r="N169" s="374"/>
      <c r="O169" s="374"/>
      <c r="P169" s="374"/>
      <c r="Q169" s="374"/>
      <c r="R169" s="374"/>
      <c r="S169" s="374"/>
    </row>
    <row r="170" spans="9:19" x14ac:dyDescent="0.25">
      <c r="I170" s="374"/>
      <c r="J170" s="374"/>
      <c r="K170" s="374"/>
      <c r="L170" s="374"/>
      <c r="M170" s="374"/>
      <c r="N170" s="374"/>
      <c r="O170" s="374"/>
      <c r="P170" s="374"/>
      <c r="Q170" s="374"/>
      <c r="R170" s="374"/>
      <c r="S170" s="374"/>
    </row>
    <row r="171" spans="9:19" x14ac:dyDescent="0.25">
      <c r="I171" s="374"/>
      <c r="J171" s="374"/>
      <c r="K171" s="374"/>
      <c r="L171" s="374"/>
      <c r="M171" s="374"/>
      <c r="N171" s="374"/>
      <c r="O171" s="374"/>
      <c r="P171" s="374"/>
      <c r="Q171" s="374"/>
      <c r="R171" s="374"/>
      <c r="S171" s="374"/>
    </row>
    <row r="172" spans="9:19" x14ac:dyDescent="0.25">
      <c r="I172" s="374"/>
      <c r="J172" s="374"/>
      <c r="K172" s="374"/>
      <c r="L172" s="374"/>
      <c r="M172" s="374"/>
      <c r="N172" s="374"/>
      <c r="O172" s="374"/>
      <c r="P172" s="374"/>
      <c r="Q172" s="374"/>
      <c r="R172" s="374"/>
      <c r="S172" s="374"/>
    </row>
    <row r="173" spans="9:19" x14ac:dyDescent="0.25">
      <c r="I173" s="374"/>
      <c r="J173" s="374"/>
      <c r="K173" s="374"/>
      <c r="L173" s="374"/>
      <c r="M173" s="374"/>
      <c r="N173" s="374"/>
      <c r="O173" s="374"/>
      <c r="P173" s="374"/>
      <c r="Q173" s="374"/>
      <c r="R173" s="374"/>
      <c r="S173" s="374"/>
    </row>
    <row r="174" spans="9:19" x14ac:dyDescent="0.25">
      <c r="I174" s="374"/>
      <c r="J174" s="374"/>
      <c r="K174" s="374"/>
      <c r="L174" s="374"/>
      <c r="M174" s="374"/>
      <c r="N174" s="374"/>
      <c r="O174" s="374"/>
      <c r="P174" s="374"/>
      <c r="Q174" s="374"/>
      <c r="R174" s="374"/>
      <c r="S174" s="374"/>
    </row>
    <row r="175" spans="9:19" x14ac:dyDescent="0.25">
      <c r="I175" s="374"/>
      <c r="J175" s="374"/>
      <c r="K175" s="374"/>
      <c r="L175" s="374"/>
      <c r="M175" s="374"/>
      <c r="N175" s="374"/>
      <c r="O175" s="374"/>
      <c r="P175" s="374"/>
      <c r="Q175" s="374"/>
      <c r="R175" s="374"/>
      <c r="S175" s="374"/>
    </row>
    <row r="176" spans="9:19" x14ac:dyDescent="0.25">
      <c r="I176" s="374"/>
      <c r="J176" s="374"/>
      <c r="K176" s="374"/>
      <c r="L176" s="374"/>
      <c r="M176" s="374"/>
      <c r="N176" s="374"/>
      <c r="O176" s="374"/>
      <c r="P176" s="374"/>
      <c r="Q176" s="374"/>
      <c r="R176" s="374"/>
      <c r="S176" s="374"/>
    </row>
    <row r="177" spans="9:19" x14ac:dyDescent="0.25">
      <c r="I177" s="374"/>
      <c r="J177" s="374"/>
      <c r="K177" s="374"/>
      <c r="L177" s="374"/>
      <c r="M177" s="374"/>
      <c r="N177" s="374"/>
      <c r="O177" s="374"/>
      <c r="P177" s="374"/>
      <c r="Q177" s="374"/>
      <c r="R177" s="374"/>
      <c r="S177" s="374"/>
    </row>
    <row r="178" spans="9:19" x14ac:dyDescent="0.25">
      <c r="I178" s="374"/>
      <c r="J178" s="374"/>
      <c r="K178" s="374"/>
      <c r="L178" s="374"/>
      <c r="M178" s="374"/>
      <c r="N178" s="374"/>
      <c r="O178" s="374"/>
      <c r="P178" s="374"/>
      <c r="Q178" s="374"/>
      <c r="R178" s="374"/>
      <c r="S178" s="374"/>
    </row>
    <row r="179" spans="9:19" x14ac:dyDescent="0.25">
      <c r="I179" s="374"/>
      <c r="J179" s="374"/>
      <c r="K179" s="374"/>
      <c r="L179" s="374"/>
      <c r="M179" s="374"/>
      <c r="N179" s="374"/>
      <c r="O179" s="374"/>
      <c r="P179" s="374"/>
      <c r="Q179" s="374"/>
      <c r="R179" s="374"/>
      <c r="S179" s="374"/>
    </row>
    <row r="180" spans="9:19" x14ac:dyDescent="0.25">
      <c r="I180" s="374"/>
      <c r="J180" s="374"/>
      <c r="K180" s="374"/>
      <c r="L180" s="374"/>
      <c r="M180" s="374"/>
      <c r="N180" s="374"/>
      <c r="O180" s="374"/>
      <c r="P180" s="374"/>
      <c r="Q180" s="374"/>
      <c r="R180" s="374"/>
      <c r="S180" s="374"/>
    </row>
    <row r="181" spans="9:19" x14ac:dyDescent="0.25">
      <c r="I181" s="374"/>
      <c r="J181" s="374"/>
      <c r="K181" s="374"/>
      <c r="L181" s="374"/>
      <c r="M181" s="374"/>
      <c r="N181" s="374"/>
      <c r="O181" s="374"/>
      <c r="P181" s="374"/>
      <c r="Q181" s="374"/>
      <c r="R181" s="374"/>
      <c r="S181" s="374"/>
    </row>
    <row r="182" spans="9:19" x14ac:dyDescent="0.25">
      <c r="I182" s="374"/>
      <c r="J182" s="374"/>
      <c r="K182" s="374"/>
      <c r="L182" s="374"/>
      <c r="M182" s="374"/>
      <c r="N182" s="374"/>
      <c r="O182" s="374"/>
      <c r="P182" s="374"/>
      <c r="Q182" s="374"/>
      <c r="R182" s="374"/>
      <c r="S182" s="374"/>
    </row>
    <row r="183" spans="9:19" x14ac:dyDescent="0.25">
      <c r="I183" s="374"/>
      <c r="J183" s="374"/>
      <c r="K183" s="374"/>
      <c r="L183" s="374"/>
      <c r="M183" s="374"/>
      <c r="N183" s="374"/>
      <c r="O183" s="374"/>
      <c r="P183" s="374"/>
      <c r="Q183" s="374"/>
      <c r="R183" s="374"/>
      <c r="S183" s="374"/>
    </row>
    <row r="184" spans="9:19" x14ac:dyDescent="0.25">
      <c r="I184" s="374"/>
      <c r="J184" s="374"/>
      <c r="K184" s="374"/>
      <c r="L184" s="374"/>
      <c r="M184" s="374"/>
      <c r="N184" s="374"/>
      <c r="O184" s="374"/>
      <c r="P184" s="374"/>
      <c r="Q184" s="374"/>
      <c r="R184" s="374"/>
      <c r="S184" s="374"/>
    </row>
    <row r="185" spans="9:19" x14ac:dyDescent="0.25">
      <c r="I185" s="374"/>
      <c r="J185" s="374"/>
      <c r="K185" s="374"/>
      <c r="L185" s="374"/>
      <c r="M185" s="374"/>
      <c r="N185" s="374"/>
      <c r="O185" s="374"/>
      <c r="P185" s="374"/>
      <c r="Q185" s="374"/>
      <c r="R185" s="374"/>
      <c r="S185" s="374"/>
    </row>
    <row r="186" spans="9:19" x14ac:dyDescent="0.25">
      <c r="I186" s="374"/>
      <c r="J186" s="374"/>
      <c r="K186" s="374"/>
      <c r="L186" s="374"/>
      <c r="M186" s="374"/>
      <c r="N186" s="374"/>
      <c r="O186" s="374"/>
      <c r="P186" s="374"/>
      <c r="Q186" s="374"/>
      <c r="R186" s="374"/>
      <c r="S186" s="374"/>
    </row>
    <row r="187" spans="9:19" x14ac:dyDescent="0.25">
      <c r="I187" s="374"/>
      <c r="J187" s="374"/>
      <c r="K187" s="374"/>
      <c r="L187" s="374"/>
      <c r="M187" s="374"/>
      <c r="N187" s="374"/>
      <c r="O187" s="374"/>
      <c r="P187" s="374"/>
      <c r="Q187" s="374"/>
      <c r="R187" s="374"/>
      <c r="S187" s="374"/>
    </row>
    <row r="188" spans="9:19" x14ac:dyDescent="0.25">
      <c r="I188" s="374"/>
      <c r="J188" s="374"/>
      <c r="K188" s="374"/>
      <c r="L188" s="374"/>
      <c r="M188" s="374"/>
      <c r="N188" s="374"/>
      <c r="O188" s="374"/>
      <c r="P188" s="374"/>
      <c r="Q188" s="374"/>
      <c r="R188" s="374"/>
      <c r="S188" s="374"/>
    </row>
    <row r="189" spans="9:19" x14ac:dyDescent="0.25">
      <c r="I189" s="374"/>
      <c r="J189" s="374"/>
      <c r="K189" s="374"/>
      <c r="L189" s="374"/>
      <c r="M189" s="374"/>
      <c r="N189" s="374"/>
      <c r="O189" s="374"/>
      <c r="P189" s="374"/>
      <c r="Q189" s="374"/>
      <c r="R189" s="374"/>
      <c r="S189" s="374"/>
    </row>
    <row r="190" spans="9:19" x14ac:dyDescent="0.25">
      <c r="I190" s="374"/>
      <c r="J190" s="374"/>
      <c r="K190" s="374"/>
      <c r="L190" s="374"/>
      <c r="M190" s="374"/>
      <c r="N190" s="374"/>
      <c r="O190" s="374"/>
      <c r="P190" s="374"/>
      <c r="Q190" s="374"/>
      <c r="R190" s="374"/>
      <c r="S190" s="374"/>
    </row>
    <row r="191" spans="9:19" x14ac:dyDescent="0.25">
      <c r="I191" s="374"/>
      <c r="J191" s="374"/>
      <c r="K191" s="374"/>
      <c r="L191" s="374"/>
      <c r="M191" s="374"/>
      <c r="N191" s="374"/>
      <c r="O191" s="374"/>
      <c r="P191" s="374"/>
      <c r="Q191" s="374"/>
      <c r="R191" s="374"/>
      <c r="S191" s="374"/>
    </row>
    <row r="192" spans="9:19" x14ac:dyDescent="0.25">
      <c r="I192" s="374"/>
      <c r="J192" s="374"/>
      <c r="K192" s="374"/>
      <c r="L192" s="374"/>
      <c r="M192" s="374"/>
      <c r="N192" s="374"/>
      <c r="O192" s="374"/>
      <c r="P192" s="374"/>
      <c r="Q192" s="374"/>
      <c r="R192" s="374"/>
      <c r="S192" s="374"/>
    </row>
    <row r="193" spans="9:19" x14ac:dyDescent="0.25">
      <c r="I193" s="374"/>
      <c r="J193" s="374"/>
      <c r="K193" s="374"/>
      <c r="L193" s="374"/>
      <c r="M193" s="374"/>
      <c r="N193" s="374"/>
      <c r="O193" s="374"/>
      <c r="P193" s="374"/>
      <c r="Q193" s="374"/>
      <c r="R193" s="374"/>
      <c r="S193" s="374"/>
    </row>
    <row r="194" spans="9:19" x14ac:dyDescent="0.25">
      <c r="I194" s="374"/>
      <c r="J194" s="374"/>
      <c r="K194" s="374"/>
      <c r="L194" s="374"/>
      <c r="M194" s="374"/>
      <c r="N194" s="374"/>
      <c r="O194" s="374"/>
      <c r="P194" s="374"/>
      <c r="Q194" s="374"/>
      <c r="R194" s="374"/>
      <c r="S194" s="374"/>
    </row>
    <row r="195" spans="9:19" x14ac:dyDescent="0.25">
      <c r="I195" s="374"/>
      <c r="J195" s="374"/>
      <c r="K195" s="374"/>
      <c r="L195" s="374"/>
      <c r="M195" s="374"/>
      <c r="N195" s="374"/>
      <c r="O195" s="374"/>
      <c r="P195" s="374"/>
      <c r="Q195" s="374"/>
      <c r="R195" s="374"/>
      <c r="S195" s="374"/>
    </row>
    <row r="196" spans="9:19" x14ac:dyDescent="0.25">
      <c r="I196" s="374"/>
      <c r="J196" s="374"/>
      <c r="K196" s="374"/>
      <c r="L196" s="374"/>
      <c r="M196" s="374"/>
      <c r="N196" s="374"/>
      <c r="O196" s="374"/>
      <c r="P196" s="374"/>
      <c r="Q196" s="374"/>
      <c r="R196" s="374"/>
      <c r="S196" s="374"/>
    </row>
    <row r="197" spans="9:19" x14ac:dyDescent="0.25">
      <c r="I197" s="374"/>
      <c r="J197" s="374"/>
      <c r="K197" s="374"/>
      <c r="L197" s="374"/>
      <c r="M197" s="374"/>
      <c r="N197" s="374"/>
      <c r="O197" s="374"/>
      <c r="P197" s="374"/>
      <c r="Q197" s="374"/>
      <c r="R197" s="374"/>
      <c r="S197" s="374"/>
    </row>
    <row r="198" spans="9:19" x14ac:dyDescent="0.25">
      <c r="I198" s="374"/>
      <c r="J198" s="374"/>
      <c r="K198" s="374"/>
      <c r="L198" s="374"/>
      <c r="M198" s="374"/>
      <c r="N198" s="374"/>
      <c r="O198" s="374"/>
      <c r="P198" s="374"/>
      <c r="Q198" s="374"/>
      <c r="R198" s="374"/>
      <c r="S198" s="374"/>
    </row>
    <row r="199" spans="9:19" x14ac:dyDescent="0.25">
      <c r="I199" s="374"/>
      <c r="J199" s="374"/>
      <c r="K199" s="374"/>
      <c r="L199" s="374"/>
      <c r="M199" s="374"/>
      <c r="N199" s="374"/>
      <c r="O199" s="374"/>
      <c r="P199" s="374"/>
      <c r="Q199" s="374"/>
      <c r="R199" s="374"/>
      <c r="S199" s="374"/>
    </row>
    <row r="200" spans="9:19" x14ac:dyDescent="0.25">
      <c r="I200" s="374"/>
      <c r="J200" s="374"/>
      <c r="K200" s="374"/>
      <c r="L200" s="374"/>
      <c r="M200" s="374"/>
      <c r="N200" s="374"/>
      <c r="O200" s="374"/>
      <c r="P200" s="374"/>
      <c r="Q200" s="374"/>
      <c r="R200" s="374"/>
      <c r="S200" s="374"/>
    </row>
    <row r="201" spans="9:19" x14ac:dyDescent="0.25">
      <c r="I201" s="374"/>
      <c r="J201" s="374"/>
      <c r="K201" s="374"/>
      <c r="L201" s="374"/>
      <c r="M201" s="374"/>
      <c r="N201" s="374"/>
      <c r="O201" s="374"/>
      <c r="P201" s="374"/>
      <c r="Q201" s="374"/>
      <c r="R201" s="374"/>
      <c r="S201" s="374"/>
    </row>
    <row r="202" spans="9:19" x14ac:dyDescent="0.25">
      <c r="I202" s="374"/>
      <c r="J202" s="374"/>
      <c r="K202" s="374"/>
      <c r="L202" s="374"/>
      <c r="M202" s="374"/>
      <c r="N202" s="374"/>
      <c r="O202" s="374"/>
      <c r="P202" s="374"/>
      <c r="Q202" s="374"/>
      <c r="R202" s="374"/>
      <c r="S202" s="374"/>
    </row>
    <row r="203" spans="9:19" x14ac:dyDescent="0.25">
      <c r="I203" s="374"/>
      <c r="J203" s="374"/>
      <c r="K203" s="374"/>
      <c r="L203" s="374"/>
      <c r="M203" s="374"/>
      <c r="N203" s="374"/>
      <c r="O203" s="374"/>
      <c r="P203" s="374"/>
      <c r="Q203" s="374"/>
      <c r="R203" s="374"/>
      <c r="S203" s="374"/>
    </row>
    <row r="204" spans="9:19" x14ac:dyDescent="0.25">
      <c r="I204" s="374"/>
      <c r="J204" s="374"/>
      <c r="K204" s="374"/>
      <c r="L204" s="374"/>
      <c r="M204" s="374"/>
      <c r="N204" s="374"/>
      <c r="O204" s="374"/>
      <c r="P204" s="374"/>
      <c r="Q204" s="374"/>
      <c r="R204" s="374"/>
      <c r="S204" s="374"/>
    </row>
    <row r="205" spans="9:19" x14ac:dyDescent="0.25">
      <c r="I205" s="374"/>
      <c r="J205" s="374"/>
      <c r="K205" s="374"/>
      <c r="L205" s="374"/>
      <c r="M205" s="374"/>
      <c r="N205" s="374"/>
      <c r="O205" s="374"/>
      <c r="P205" s="374"/>
      <c r="Q205" s="374"/>
      <c r="R205" s="374"/>
      <c r="S205" s="374"/>
    </row>
    <row r="206" spans="9:19" x14ac:dyDescent="0.25">
      <c r="I206" s="374"/>
      <c r="J206" s="374"/>
      <c r="K206" s="374"/>
      <c r="L206" s="374"/>
      <c r="M206" s="374"/>
      <c r="N206" s="374"/>
      <c r="O206" s="374"/>
      <c r="P206" s="374"/>
      <c r="Q206" s="374"/>
      <c r="R206" s="374"/>
      <c r="S206" s="374"/>
    </row>
    <row r="207" spans="9:19" x14ac:dyDescent="0.25">
      <c r="I207" s="374"/>
      <c r="J207" s="374"/>
      <c r="K207" s="374"/>
      <c r="L207" s="374"/>
      <c r="M207" s="374"/>
      <c r="N207" s="374"/>
      <c r="O207" s="374"/>
      <c r="P207" s="374"/>
      <c r="Q207" s="374"/>
      <c r="R207" s="374"/>
      <c r="S207" s="374"/>
    </row>
    <row r="208" spans="9:19" x14ac:dyDescent="0.25">
      <c r="I208" s="374"/>
      <c r="J208" s="374"/>
      <c r="K208" s="374"/>
      <c r="L208" s="374"/>
      <c r="M208" s="374"/>
      <c r="N208" s="374"/>
      <c r="O208" s="374"/>
      <c r="P208" s="374"/>
      <c r="Q208" s="374"/>
      <c r="R208" s="374"/>
      <c r="S208" s="374"/>
    </row>
    <row r="209" spans="9:19" x14ac:dyDescent="0.25">
      <c r="I209" s="374"/>
      <c r="J209" s="374"/>
      <c r="K209" s="374"/>
      <c r="L209" s="374"/>
      <c r="M209" s="374"/>
      <c r="N209" s="374"/>
      <c r="O209" s="374"/>
      <c r="P209" s="374"/>
      <c r="Q209" s="374"/>
      <c r="R209" s="374"/>
      <c r="S209" s="374"/>
    </row>
    <row r="210" spans="9:19" x14ac:dyDescent="0.25">
      <c r="I210" s="374"/>
      <c r="J210" s="374"/>
      <c r="K210" s="374"/>
      <c r="L210" s="374"/>
      <c r="M210" s="374"/>
      <c r="N210" s="374"/>
      <c r="O210" s="374"/>
      <c r="P210" s="374"/>
      <c r="Q210" s="374"/>
      <c r="R210" s="374"/>
      <c r="S210" s="374"/>
    </row>
    <row r="211" spans="9:19" x14ac:dyDescent="0.25">
      <c r="I211" s="374"/>
      <c r="J211" s="374"/>
      <c r="K211" s="374"/>
      <c r="L211" s="374"/>
      <c r="M211" s="374"/>
      <c r="N211" s="374"/>
      <c r="O211" s="374"/>
      <c r="P211" s="374"/>
      <c r="Q211" s="374"/>
      <c r="R211" s="374"/>
      <c r="S211" s="374"/>
    </row>
    <row r="212" spans="9:19" x14ac:dyDescent="0.25">
      <c r="I212" s="374"/>
      <c r="J212" s="374"/>
      <c r="K212" s="374"/>
      <c r="L212" s="374"/>
      <c r="M212" s="374"/>
      <c r="N212" s="374"/>
      <c r="O212" s="374"/>
      <c r="P212" s="374"/>
      <c r="Q212" s="374"/>
      <c r="R212" s="374"/>
      <c r="S212" s="374"/>
    </row>
    <row r="213" spans="9:19" x14ac:dyDescent="0.25">
      <c r="I213" s="374"/>
      <c r="J213" s="374"/>
      <c r="K213" s="374"/>
      <c r="L213" s="374"/>
      <c r="M213" s="374"/>
      <c r="N213" s="374"/>
      <c r="O213" s="374"/>
      <c r="P213" s="374"/>
      <c r="Q213" s="374"/>
      <c r="R213" s="374"/>
      <c r="S213" s="374"/>
    </row>
    <row r="214" spans="9:19" x14ac:dyDescent="0.25">
      <c r="I214" s="374"/>
      <c r="J214" s="374"/>
      <c r="K214" s="374"/>
      <c r="L214" s="374"/>
      <c r="M214" s="374"/>
      <c r="N214" s="374"/>
      <c r="O214" s="374"/>
      <c r="P214" s="374"/>
      <c r="Q214" s="374"/>
      <c r="R214" s="374"/>
      <c r="S214" s="374"/>
    </row>
    <row r="215" spans="9:19" x14ac:dyDescent="0.25">
      <c r="I215" s="374"/>
      <c r="J215" s="374"/>
      <c r="K215" s="374"/>
      <c r="L215" s="374"/>
      <c r="M215" s="374"/>
      <c r="N215" s="374"/>
      <c r="O215" s="374"/>
      <c r="P215" s="374"/>
      <c r="Q215" s="374"/>
      <c r="R215" s="374"/>
      <c r="S215" s="374"/>
    </row>
    <row r="216" spans="9:19" x14ac:dyDescent="0.25">
      <c r="I216" s="374"/>
      <c r="J216" s="374"/>
      <c r="K216" s="374"/>
      <c r="L216" s="374"/>
      <c r="M216" s="374"/>
      <c r="N216" s="374"/>
      <c r="O216" s="374"/>
      <c r="P216" s="374"/>
      <c r="Q216" s="374"/>
      <c r="R216" s="374"/>
      <c r="S216" s="374"/>
    </row>
    <row r="217" spans="9:19" x14ac:dyDescent="0.25">
      <c r="I217" s="374"/>
      <c r="J217" s="374"/>
      <c r="K217" s="374"/>
      <c r="L217" s="374"/>
      <c r="M217" s="374"/>
      <c r="N217" s="374"/>
      <c r="O217" s="374"/>
      <c r="P217" s="374"/>
      <c r="Q217" s="374"/>
      <c r="R217" s="374"/>
      <c r="S217" s="374"/>
    </row>
    <row r="218" spans="9:19" x14ac:dyDescent="0.25">
      <c r="I218" s="374"/>
      <c r="J218" s="374"/>
      <c r="K218" s="374"/>
      <c r="L218" s="374"/>
      <c r="M218" s="374"/>
      <c r="N218" s="374"/>
      <c r="O218" s="374"/>
      <c r="P218" s="374"/>
      <c r="Q218" s="374"/>
      <c r="R218" s="374"/>
      <c r="S218" s="374"/>
    </row>
    <row r="219" spans="9:19" x14ac:dyDescent="0.25">
      <c r="I219" s="374"/>
      <c r="J219" s="374"/>
      <c r="K219" s="374"/>
      <c r="L219" s="374"/>
      <c r="M219" s="374"/>
      <c r="N219" s="374"/>
      <c r="O219" s="374"/>
      <c r="P219" s="374"/>
      <c r="Q219" s="374"/>
      <c r="R219" s="374"/>
      <c r="S219" s="374"/>
    </row>
    <row r="220" spans="9:19" x14ac:dyDescent="0.25">
      <c r="I220" s="374"/>
      <c r="J220" s="374"/>
      <c r="K220" s="374"/>
      <c r="L220" s="374"/>
      <c r="M220" s="374"/>
      <c r="N220" s="374"/>
      <c r="O220" s="374"/>
      <c r="P220" s="374"/>
      <c r="Q220" s="374"/>
      <c r="R220" s="374"/>
      <c r="S220" s="374"/>
    </row>
    <row r="221" spans="9:19" x14ac:dyDescent="0.25">
      <c r="I221" s="374"/>
      <c r="J221" s="374"/>
      <c r="K221" s="374"/>
      <c r="L221" s="374"/>
      <c r="M221" s="374"/>
      <c r="N221" s="374"/>
      <c r="O221" s="374"/>
      <c r="P221" s="374"/>
      <c r="Q221" s="374"/>
      <c r="R221" s="374"/>
      <c r="S221" s="374"/>
    </row>
    <row r="222" spans="9:19" x14ac:dyDescent="0.25">
      <c r="I222" s="374"/>
      <c r="J222" s="374"/>
      <c r="K222" s="374"/>
      <c r="L222" s="374"/>
      <c r="M222" s="374"/>
      <c r="N222" s="374"/>
      <c r="O222" s="374"/>
      <c r="P222" s="374"/>
      <c r="Q222" s="374"/>
      <c r="R222" s="374"/>
      <c r="S222" s="374"/>
    </row>
    <row r="223" spans="9:19" x14ac:dyDescent="0.25">
      <c r="I223" s="374"/>
      <c r="J223" s="374"/>
      <c r="K223" s="374"/>
      <c r="L223" s="374"/>
      <c r="M223" s="374"/>
      <c r="N223" s="374"/>
      <c r="O223" s="374"/>
      <c r="P223" s="374"/>
      <c r="Q223" s="374"/>
      <c r="R223" s="374"/>
      <c r="S223" s="374"/>
    </row>
    <row r="224" spans="9:19" x14ac:dyDescent="0.25">
      <c r="I224" s="374"/>
      <c r="J224" s="374"/>
      <c r="K224" s="374"/>
      <c r="L224" s="374"/>
      <c r="M224" s="374"/>
      <c r="N224" s="374"/>
      <c r="O224" s="374"/>
      <c r="P224" s="374"/>
      <c r="Q224" s="374"/>
      <c r="R224" s="374"/>
      <c r="S224" s="374"/>
    </row>
    <row r="225" spans="9:19" x14ac:dyDescent="0.25">
      <c r="I225" s="374"/>
      <c r="J225" s="374"/>
      <c r="K225" s="374"/>
      <c r="L225" s="374"/>
      <c r="M225" s="374"/>
      <c r="N225" s="374"/>
      <c r="O225" s="374"/>
      <c r="P225" s="374"/>
      <c r="Q225" s="374"/>
      <c r="R225" s="374"/>
      <c r="S225" s="374"/>
    </row>
    <row r="226" spans="9:19" x14ac:dyDescent="0.25">
      <c r="I226" s="374"/>
      <c r="J226" s="374"/>
      <c r="K226" s="374"/>
      <c r="L226" s="374"/>
      <c r="M226" s="374"/>
      <c r="N226" s="374"/>
      <c r="O226" s="374"/>
      <c r="P226" s="374"/>
      <c r="Q226" s="374"/>
      <c r="R226" s="374"/>
      <c r="S226" s="374"/>
    </row>
    <row r="227" spans="9:19" x14ac:dyDescent="0.25">
      <c r="I227" s="374"/>
      <c r="J227" s="374"/>
      <c r="K227" s="374"/>
      <c r="L227" s="374"/>
      <c r="M227" s="374"/>
      <c r="N227" s="374"/>
      <c r="O227" s="374"/>
      <c r="P227" s="374"/>
      <c r="Q227" s="374"/>
      <c r="R227" s="374"/>
      <c r="S227" s="374"/>
    </row>
    <row r="228" spans="9:19" x14ac:dyDescent="0.25">
      <c r="I228" s="374"/>
      <c r="J228" s="374"/>
      <c r="K228" s="374"/>
      <c r="L228" s="374"/>
      <c r="M228" s="374"/>
      <c r="N228" s="374"/>
      <c r="O228" s="374"/>
      <c r="P228" s="374"/>
      <c r="Q228" s="374"/>
      <c r="R228" s="374"/>
      <c r="S228" s="374"/>
    </row>
    <row r="229" spans="9:19" x14ac:dyDescent="0.25">
      <c r="I229" s="374"/>
      <c r="J229" s="374"/>
      <c r="K229" s="374"/>
      <c r="L229" s="374"/>
      <c r="M229" s="374"/>
      <c r="N229" s="374"/>
      <c r="O229" s="374"/>
      <c r="P229" s="374"/>
      <c r="Q229" s="374"/>
      <c r="R229" s="374"/>
      <c r="S229" s="374"/>
    </row>
    <row r="230" spans="9:19" x14ac:dyDescent="0.25">
      <c r="I230" s="374"/>
      <c r="J230" s="374"/>
      <c r="K230" s="374"/>
      <c r="L230" s="374"/>
      <c r="M230" s="374"/>
      <c r="N230" s="374"/>
      <c r="O230" s="374"/>
      <c r="P230" s="374"/>
      <c r="Q230" s="374"/>
      <c r="R230" s="374"/>
      <c r="S230" s="374"/>
    </row>
    <row r="231" spans="9:19" x14ac:dyDescent="0.25">
      <c r="I231" s="374"/>
      <c r="J231" s="374"/>
      <c r="K231" s="374"/>
      <c r="L231" s="374"/>
      <c r="M231" s="374"/>
      <c r="N231" s="374"/>
      <c r="O231" s="374"/>
      <c r="P231" s="374"/>
      <c r="Q231" s="374"/>
      <c r="R231" s="374"/>
      <c r="S231" s="374"/>
    </row>
    <row r="232" spans="9:19" x14ac:dyDescent="0.25">
      <c r="I232" s="374"/>
      <c r="J232" s="374"/>
      <c r="K232" s="374"/>
      <c r="L232" s="374"/>
      <c r="M232" s="374"/>
      <c r="N232" s="374"/>
      <c r="O232" s="374"/>
      <c r="P232" s="374"/>
      <c r="Q232" s="374"/>
      <c r="R232" s="374"/>
      <c r="S232" s="374"/>
    </row>
    <row r="233" spans="9:19" x14ac:dyDescent="0.25">
      <c r="I233" s="374"/>
      <c r="J233" s="374"/>
      <c r="K233" s="374"/>
      <c r="L233" s="374"/>
      <c r="M233" s="374"/>
      <c r="N233" s="374"/>
      <c r="O233" s="374"/>
      <c r="P233" s="374"/>
      <c r="Q233" s="374"/>
      <c r="R233" s="374"/>
      <c r="S233" s="374"/>
    </row>
    <row r="234" spans="9:19" x14ac:dyDescent="0.25">
      <c r="I234" s="374"/>
      <c r="J234" s="374"/>
      <c r="K234" s="374"/>
      <c r="L234" s="374"/>
      <c r="M234" s="374"/>
      <c r="N234" s="374"/>
      <c r="O234" s="374"/>
      <c r="P234" s="374"/>
      <c r="Q234" s="374"/>
      <c r="R234" s="374"/>
      <c r="S234" s="374"/>
    </row>
    <row r="235" spans="9:19" x14ac:dyDescent="0.25">
      <c r="I235" s="374"/>
      <c r="J235" s="374"/>
      <c r="K235" s="374"/>
      <c r="L235" s="374"/>
      <c r="M235" s="374"/>
      <c r="N235" s="374"/>
      <c r="O235" s="374"/>
      <c r="P235" s="374"/>
      <c r="Q235" s="374"/>
      <c r="R235" s="374"/>
      <c r="S235" s="374"/>
    </row>
    <row r="236" spans="9:19" x14ac:dyDescent="0.25">
      <c r="I236" s="374"/>
      <c r="J236" s="374"/>
      <c r="K236" s="374"/>
      <c r="L236" s="374"/>
      <c r="M236" s="374"/>
      <c r="N236" s="374"/>
      <c r="O236" s="374"/>
      <c r="P236" s="374"/>
      <c r="Q236" s="374"/>
      <c r="R236" s="374"/>
      <c r="S236" s="374"/>
    </row>
    <row r="237" spans="9:19" x14ac:dyDescent="0.25">
      <c r="I237" s="374"/>
      <c r="J237" s="374"/>
      <c r="K237" s="374"/>
      <c r="L237" s="374"/>
      <c r="M237" s="374"/>
      <c r="N237" s="374"/>
      <c r="O237" s="374"/>
      <c r="P237" s="374"/>
      <c r="Q237" s="374"/>
      <c r="R237" s="374"/>
      <c r="S237" s="374"/>
    </row>
    <row r="238" spans="9:19" x14ac:dyDescent="0.25">
      <c r="I238" s="374"/>
      <c r="J238" s="374"/>
      <c r="K238" s="374"/>
      <c r="L238" s="374"/>
      <c r="M238" s="374"/>
      <c r="N238" s="374"/>
      <c r="O238" s="374"/>
      <c r="P238" s="374"/>
      <c r="Q238" s="374"/>
      <c r="R238" s="374"/>
      <c r="S238" s="374"/>
    </row>
    <row r="239" spans="9:19" x14ac:dyDescent="0.25">
      <c r="I239" s="374"/>
      <c r="J239" s="374"/>
      <c r="K239" s="374"/>
      <c r="L239" s="374"/>
      <c r="M239" s="374"/>
      <c r="N239" s="374"/>
      <c r="O239" s="374"/>
      <c r="P239" s="374"/>
      <c r="Q239" s="374"/>
      <c r="R239" s="374"/>
      <c r="S239" s="374"/>
    </row>
    <row r="240" spans="9:19" x14ac:dyDescent="0.25">
      <c r="I240" s="374"/>
      <c r="J240" s="374"/>
      <c r="K240" s="374"/>
      <c r="L240" s="374"/>
      <c r="M240" s="374"/>
      <c r="N240" s="374"/>
      <c r="O240" s="374"/>
      <c r="P240" s="374"/>
      <c r="Q240" s="374"/>
      <c r="R240" s="374"/>
      <c r="S240" s="374"/>
    </row>
    <row r="241" spans="9:19" x14ac:dyDescent="0.25">
      <c r="I241" s="374"/>
      <c r="J241" s="374"/>
      <c r="K241" s="374"/>
      <c r="L241" s="374"/>
      <c r="M241" s="374"/>
      <c r="N241" s="374"/>
      <c r="O241" s="374"/>
      <c r="P241" s="374"/>
      <c r="Q241" s="374"/>
      <c r="R241" s="374"/>
      <c r="S241" s="374"/>
    </row>
    <row r="242" spans="9:19" x14ac:dyDescent="0.25">
      <c r="I242" s="374"/>
      <c r="J242" s="374"/>
      <c r="K242" s="374"/>
      <c r="L242" s="374"/>
      <c r="M242" s="374"/>
      <c r="N242" s="374"/>
      <c r="O242" s="374"/>
      <c r="P242" s="374"/>
      <c r="Q242" s="374"/>
      <c r="R242" s="374"/>
      <c r="S242" s="374"/>
    </row>
    <row r="243" spans="9:19" x14ac:dyDescent="0.25">
      <c r="I243" s="374"/>
      <c r="J243" s="374"/>
      <c r="K243" s="374"/>
      <c r="L243" s="374"/>
      <c r="M243" s="374"/>
      <c r="N243" s="374"/>
      <c r="O243" s="374"/>
      <c r="P243" s="374"/>
      <c r="Q243" s="374"/>
      <c r="R243" s="374"/>
      <c r="S243" s="374"/>
    </row>
    <row r="244" spans="9:19" x14ac:dyDescent="0.25">
      <c r="I244" s="374"/>
      <c r="J244" s="374"/>
      <c r="K244" s="374"/>
      <c r="L244" s="374"/>
      <c r="M244" s="374"/>
      <c r="N244" s="374"/>
      <c r="O244" s="374"/>
      <c r="P244" s="374"/>
      <c r="Q244" s="374"/>
      <c r="R244" s="374"/>
      <c r="S244" s="374"/>
    </row>
    <row r="245" spans="9:19" x14ac:dyDescent="0.25">
      <c r="I245" s="374"/>
      <c r="J245" s="374"/>
      <c r="K245" s="374"/>
      <c r="L245" s="374"/>
      <c r="M245" s="374"/>
      <c r="N245" s="374"/>
      <c r="O245" s="374"/>
      <c r="P245" s="374"/>
      <c r="Q245" s="374"/>
      <c r="R245" s="374"/>
      <c r="S245" s="374"/>
    </row>
    <row r="246" spans="9:19" x14ac:dyDescent="0.25">
      <c r="I246" s="374"/>
      <c r="J246" s="374"/>
      <c r="K246" s="374"/>
      <c r="L246" s="374"/>
      <c r="M246" s="374"/>
      <c r="N246" s="374"/>
      <c r="O246" s="374"/>
      <c r="P246" s="374"/>
      <c r="Q246" s="374"/>
      <c r="R246" s="374"/>
      <c r="S246" s="374"/>
    </row>
    <row r="247" spans="9:19" x14ac:dyDescent="0.25">
      <c r="I247" s="374"/>
      <c r="J247" s="374"/>
      <c r="K247" s="374"/>
      <c r="L247" s="374"/>
      <c r="M247" s="374"/>
      <c r="N247" s="374"/>
      <c r="O247" s="374"/>
      <c r="P247" s="374"/>
      <c r="Q247" s="374"/>
      <c r="R247" s="374"/>
      <c r="S247" s="374"/>
    </row>
    <row r="248" spans="9:19" x14ac:dyDescent="0.25">
      <c r="I248" s="374"/>
      <c r="J248" s="374"/>
      <c r="K248" s="374"/>
      <c r="L248" s="374"/>
      <c r="M248" s="374"/>
      <c r="N248" s="374"/>
      <c r="O248" s="374"/>
      <c r="P248" s="374"/>
      <c r="Q248" s="374"/>
      <c r="R248" s="374"/>
      <c r="S248" s="374"/>
    </row>
    <row r="249" spans="9:19" x14ac:dyDescent="0.25">
      <c r="I249" s="374"/>
      <c r="J249" s="374"/>
      <c r="K249" s="374"/>
      <c r="L249" s="374"/>
      <c r="M249" s="374"/>
      <c r="N249" s="374"/>
      <c r="O249" s="374"/>
      <c r="P249" s="374"/>
      <c r="Q249" s="374"/>
      <c r="R249" s="374"/>
      <c r="S249" s="374"/>
    </row>
    <row r="250" spans="9:19" x14ac:dyDescent="0.25">
      <c r="I250" s="374"/>
      <c r="J250" s="374"/>
      <c r="K250" s="374"/>
      <c r="L250" s="374"/>
      <c r="M250" s="374"/>
      <c r="N250" s="374"/>
      <c r="O250" s="374"/>
      <c r="P250" s="374"/>
      <c r="Q250" s="374"/>
      <c r="R250" s="374"/>
      <c r="S250" s="374"/>
    </row>
    <row r="251" spans="9:19" x14ac:dyDescent="0.25">
      <c r="I251" s="374"/>
      <c r="J251" s="374"/>
      <c r="K251" s="374"/>
      <c r="L251" s="374"/>
      <c r="M251" s="374"/>
      <c r="N251" s="374"/>
      <c r="O251" s="374"/>
      <c r="P251" s="374"/>
      <c r="Q251" s="374"/>
      <c r="R251" s="374"/>
      <c r="S251" s="374"/>
    </row>
    <row r="252" spans="9:19" x14ac:dyDescent="0.25">
      <c r="I252" s="374"/>
      <c r="J252" s="374"/>
      <c r="K252" s="374"/>
      <c r="L252" s="374"/>
      <c r="M252" s="374"/>
      <c r="N252" s="374"/>
      <c r="O252" s="374"/>
      <c r="P252" s="374"/>
      <c r="Q252" s="374"/>
      <c r="R252" s="374"/>
      <c r="S252" s="374"/>
    </row>
    <row r="253" spans="9:19" x14ac:dyDescent="0.25">
      <c r="I253" s="374"/>
      <c r="J253" s="374"/>
      <c r="K253" s="374"/>
      <c r="L253" s="374"/>
      <c r="M253" s="374"/>
      <c r="N253" s="374"/>
      <c r="O253" s="374"/>
      <c r="P253" s="374"/>
      <c r="Q253" s="374"/>
      <c r="R253" s="374"/>
      <c r="S253" s="374"/>
    </row>
    <row r="254" spans="9:19" x14ac:dyDescent="0.25">
      <c r="I254" s="374"/>
      <c r="J254" s="374"/>
      <c r="K254" s="374"/>
      <c r="L254" s="374"/>
      <c r="M254" s="374"/>
      <c r="N254" s="374"/>
      <c r="O254" s="374"/>
      <c r="P254" s="374"/>
      <c r="Q254" s="374"/>
      <c r="R254" s="374"/>
      <c r="S254" s="374"/>
    </row>
    <row r="255" spans="9:19" x14ac:dyDescent="0.25">
      <c r="I255" s="374"/>
      <c r="J255" s="374"/>
      <c r="K255" s="374"/>
      <c r="L255" s="374"/>
      <c r="M255" s="374"/>
      <c r="N255" s="374"/>
      <c r="O255" s="374"/>
      <c r="P255" s="374"/>
      <c r="Q255" s="374"/>
      <c r="R255" s="374"/>
      <c r="S255" s="374"/>
    </row>
    <row r="256" spans="9:19" x14ac:dyDescent="0.25">
      <c r="I256" s="374"/>
      <c r="J256" s="374"/>
      <c r="K256" s="374"/>
      <c r="L256" s="374"/>
      <c r="M256" s="374"/>
      <c r="N256" s="374"/>
      <c r="O256" s="374"/>
      <c r="P256" s="374"/>
      <c r="Q256" s="374"/>
      <c r="R256" s="374"/>
      <c r="S256" s="374"/>
    </row>
    <row r="257" spans="9:19" x14ac:dyDescent="0.25">
      <c r="I257" s="374"/>
      <c r="J257" s="374"/>
      <c r="K257" s="374"/>
      <c r="L257" s="374"/>
      <c r="M257" s="374"/>
      <c r="N257" s="374"/>
      <c r="O257" s="374"/>
      <c r="P257" s="374"/>
      <c r="Q257" s="374"/>
      <c r="R257" s="374"/>
      <c r="S257" s="374"/>
    </row>
    <row r="258" spans="9:19" x14ac:dyDescent="0.25">
      <c r="I258" s="374"/>
      <c r="J258" s="374"/>
      <c r="K258" s="374"/>
      <c r="L258" s="374"/>
      <c r="M258" s="374"/>
      <c r="N258" s="374"/>
      <c r="O258" s="374"/>
      <c r="P258" s="374"/>
      <c r="Q258" s="374"/>
      <c r="R258" s="374"/>
      <c r="S258" s="374"/>
    </row>
    <row r="259" spans="9:19" x14ac:dyDescent="0.25">
      <c r="I259" s="374"/>
      <c r="J259" s="374"/>
      <c r="K259" s="374"/>
      <c r="L259" s="374"/>
      <c r="M259" s="374"/>
      <c r="N259" s="374"/>
      <c r="O259" s="374"/>
      <c r="P259" s="374"/>
      <c r="Q259" s="374"/>
      <c r="R259" s="374"/>
      <c r="S259" s="374"/>
    </row>
    <row r="260" spans="9:19" x14ac:dyDescent="0.25">
      <c r="I260" s="374"/>
      <c r="J260" s="374"/>
      <c r="K260" s="374"/>
      <c r="L260" s="374"/>
      <c r="M260" s="374"/>
      <c r="N260" s="374"/>
      <c r="O260" s="374"/>
      <c r="P260" s="374"/>
      <c r="Q260" s="374"/>
      <c r="R260" s="374"/>
      <c r="S260" s="374"/>
    </row>
    <row r="261" spans="9:19" x14ac:dyDescent="0.25">
      <c r="I261" s="374"/>
      <c r="J261" s="374"/>
      <c r="K261" s="374"/>
      <c r="L261" s="374"/>
      <c r="M261" s="374"/>
      <c r="N261" s="374"/>
      <c r="O261" s="374"/>
      <c r="P261" s="374"/>
      <c r="Q261" s="374"/>
      <c r="R261" s="374"/>
      <c r="S261" s="374"/>
    </row>
    <row r="262" spans="9:19" x14ac:dyDescent="0.25">
      <c r="I262" s="374"/>
      <c r="J262" s="374"/>
      <c r="K262" s="374"/>
      <c r="L262" s="374"/>
      <c r="M262" s="374"/>
      <c r="N262" s="374"/>
      <c r="O262" s="374"/>
      <c r="P262" s="374"/>
      <c r="Q262" s="374"/>
      <c r="R262" s="374"/>
      <c r="S262" s="374"/>
    </row>
    <row r="263" spans="9:19" x14ac:dyDescent="0.25">
      <c r="I263" s="374"/>
      <c r="J263" s="374"/>
      <c r="K263" s="374"/>
      <c r="L263" s="374"/>
      <c r="M263" s="374"/>
      <c r="N263" s="374"/>
      <c r="O263" s="374"/>
      <c r="P263" s="374"/>
      <c r="Q263" s="374"/>
      <c r="R263" s="374"/>
      <c r="S263" s="374"/>
    </row>
    <row r="264" spans="9:19" x14ac:dyDescent="0.25">
      <c r="I264" s="374"/>
      <c r="J264" s="374"/>
      <c r="K264" s="374"/>
      <c r="L264" s="374"/>
      <c r="M264" s="374"/>
      <c r="N264" s="374"/>
      <c r="O264" s="374"/>
      <c r="P264" s="374"/>
      <c r="Q264" s="374"/>
      <c r="R264" s="374"/>
      <c r="S264" s="374"/>
    </row>
    <row r="265" spans="9:19" x14ac:dyDescent="0.25">
      <c r="I265" s="374"/>
      <c r="J265" s="374"/>
      <c r="K265" s="374"/>
      <c r="L265" s="374"/>
      <c r="M265" s="374"/>
      <c r="N265" s="374"/>
      <c r="O265" s="374"/>
      <c r="P265" s="374"/>
      <c r="Q265" s="374"/>
      <c r="R265" s="374"/>
      <c r="S265" s="374"/>
    </row>
    <row r="266" spans="9:19" x14ac:dyDescent="0.25">
      <c r="I266" s="374"/>
      <c r="J266" s="374"/>
      <c r="K266" s="374"/>
      <c r="L266" s="374"/>
      <c r="M266" s="374"/>
      <c r="N266" s="374"/>
      <c r="O266" s="374"/>
      <c r="P266" s="374"/>
      <c r="Q266" s="374"/>
      <c r="R266" s="374"/>
      <c r="S266" s="374"/>
    </row>
    <row r="267" spans="9:19" x14ac:dyDescent="0.25">
      <c r="I267" s="374"/>
      <c r="J267" s="374"/>
      <c r="K267" s="374"/>
      <c r="L267" s="374"/>
      <c r="M267" s="374"/>
      <c r="N267" s="374"/>
      <c r="O267" s="374"/>
      <c r="P267" s="374"/>
      <c r="Q267" s="374"/>
      <c r="R267" s="374"/>
      <c r="S267" s="374"/>
    </row>
    <row r="268" spans="9:19" x14ac:dyDescent="0.25">
      <c r="I268" s="374"/>
      <c r="J268" s="374"/>
      <c r="K268" s="374"/>
      <c r="L268" s="374"/>
      <c r="M268" s="374"/>
      <c r="N268" s="374"/>
      <c r="O268" s="374"/>
      <c r="P268" s="374"/>
      <c r="Q268" s="374"/>
      <c r="R268" s="374"/>
      <c r="S268" s="374"/>
    </row>
    <row r="269" spans="9:19" x14ac:dyDescent="0.25">
      <c r="I269" s="374"/>
      <c r="J269" s="374"/>
      <c r="K269" s="374"/>
      <c r="L269" s="374"/>
      <c r="M269" s="374"/>
      <c r="N269" s="374"/>
      <c r="O269" s="374"/>
      <c r="P269" s="374"/>
      <c r="Q269" s="374"/>
      <c r="R269" s="374"/>
      <c r="S269" s="374"/>
    </row>
    <row r="270" spans="9:19" x14ac:dyDescent="0.25">
      <c r="I270" s="374"/>
      <c r="J270" s="374"/>
      <c r="K270" s="374"/>
      <c r="L270" s="374"/>
      <c r="M270" s="374"/>
      <c r="N270" s="374"/>
      <c r="O270" s="374"/>
      <c r="P270" s="374"/>
      <c r="Q270" s="374"/>
      <c r="R270" s="374"/>
      <c r="S270" s="374"/>
    </row>
    <row r="271" spans="9:19" x14ac:dyDescent="0.25">
      <c r="I271" s="374"/>
      <c r="J271" s="374"/>
      <c r="K271" s="374"/>
      <c r="L271" s="374"/>
      <c r="M271" s="374"/>
      <c r="N271" s="374"/>
      <c r="O271" s="374"/>
      <c r="P271" s="374"/>
      <c r="Q271" s="374"/>
      <c r="R271" s="374"/>
      <c r="S271" s="374"/>
    </row>
    <row r="272" spans="9:19" x14ac:dyDescent="0.25">
      <c r="I272" s="374"/>
      <c r="J272" s="374"/>
      <c r="K272" s="374"/>
      <c r="L272" s="374"/>
      <c r="M272" s="374"/>
      <c r="N272" s="374"/>
      <c r="O272" s="374"/>
      <c r="P272" s="374"/>
      <c r="Q272" s="374"/>
      <c r="R272" s="374"/>
      <c r="S272" s="374"/>
    </row>
    <row r="273" spans="9:19" x14ac:dyDescent="0.25">
      <c r="I273" s="374"/>
      <c r="J273" s="374"/>
      <c r="K273" s="374"/>
      <c r="L273" s="374"/>
      <c r="M273" s="374"/>
      <c r="N273" s="374"/>
      <c r="O273" s="374"/>
      <c r="P273" s="374"/>
      <c r="Q273" s="374"/>
      <c r="R273" s="374"/>
      <c r="S273" s="374"/>
    </row>
    <row r="274" spans="9:19" x14ac:dyDescent="0.25">
      <c r="I274" s="374"/>
      <c r="J274" s="374"/>
      <c r="K274" s="374"/>
      <c r="L274" s="374"/>
      <c r="M274" s="374"/>
      <c r="N274" s="374"/>
      <c r="O274" s="374"/>
      <c r="P274" s="374"/>
      <c r="Q274" s="374"/>
      <c r="R274" s="374"/>
      <c r="S274" s="374"/>
    </row>
    <row r="275" spans="9:19" x14ac:dyDescent="0.25">
      <c r="I275" s="374"/>
      <c r="J275" s="374"/>
      <c r="K275" s="374"/>
      <c r="L275" s="374"/>
      <c r="M275" s="374"/>
      <c r="N275" s="374"/>
      <c r="O275" s="374"/>
      <c r="P275" s="374"/>
      <c r="Q275" s="374"/>
      <c r="R275" s="374"/>
      <c r="S275" s="374"/>
    </row>
    <row r="276" spans="9:19" x14ac:dyDescent="0.25">
      <c r="I276" s="374"/>
      <c r="J276" s="374"/>
      <c r="K276" s="374"/>
      <c r="L276" s="374"/>
      <c r="M276" s="374"/>
      <c r="N276" s="374"/>
      <c r="O276" s="374"/>
      <c r="P276" s="374"/>
      <c r="Q276" s="374"/>
      <c r="R276" s="374"/>
      <c r="S276" s="374"/>
    </row>
    <row r="277" spans="9:19" x14ac:dyDescent="0.25">
      <c r="I277" s="374"/>
      <c r="J277" s="374"/>
      <c r="K277" s="374"/>
      <c r="L277" s="374"/>
      <c r="M277" s="374"/>
      <c r="N277" s="374"/>
      <c r="O277" s="374"/>
      <c r="P277" s="374"/>
      <c r="Q277" s="374"/>
      <c r="R277" s="374"/>
      <c r="S277" s="374"/>
    </row>
    <row r="278" spans="9:19" x14ac:dyDescent="0.25">
      <c r="I278" s="374"/>
      <c r="J278" s="374"/>
      <c r="K278" s="374"/>
      <c r="L278" s="374"/>
      <c r="M278" s="374"/>
      <c r="N278" s="374"/>
      <c r="O278" s="374"/>
      <c r="P278" s="374"/>
      <c r="Q278" s="374"/>
      <c r="R278" s="374"/>
      <c r="S278" s="374"/>
    </row>
    <row r="279" spans="9:19" x14ac:dyDescent="0.25">
      <c r="I279" s="374"/>
      <c r="J279" s="374"/>
      <c r="K279" s="374"/>
      <c r="L279" s="374"/>
      <c r="M279" s="374"/>
      <c r="N279" s="374"/>
      <c r="O279" s="374"/>
      <c r="P279" s="374"/>
      <c r="Q279" s="374"/>
      <c r="R279" s="374"/>
      <c r="S279" s="374"/>
    </row>
    <row r="280" spans="9:19" x14ac:dyDescent="0.25">
      <c r="I280" s="374"/>
      <c r="J280" s="374"/>
      <c r="K280" s="374"/>
      <c r="L280" s="374"/>
      <c r="M280" s="374"/>
      <c r="N280" s="374"/>
      <c r="O280" s="374"/>
      <c r="P280" s="374"/>
      <c r="Q280" s="374"/>
      <c r="R280" s="374"/>
      <c r="S280" s="374"/>
    </row>
    <row r="281" spans="9:19" x14ac:dyDescent="0.25">
      <c r="I281" s="374"/>
      <c r="J281" s="374"/>
      <c r="K281" s="374"/>
      <c r="L281" s="374"/>
      <c r="M281" s="374"/>
      <c r="N281" s="374"/>
      <c r="O281" s="374"/>
      <c r="P281" s="374"/>
      <c r="Q281" s="374"/>
      <c r="R281" s="374"/>
      <c r="S281" s="374"/>
    </row>
    <row r="282" spans="9:19" x14ac:dyDescent="0.25">
      <c r="I282" s="374"/>
      <c r="J282" s="374"/>
      <c r="K282" s="374"/>
      <c r="L282" s="374"/>
      <c r="M282" s="374"/>
      <c r="N282" s="374"/>
      <c r="O282" s="374"/>
      <c r="P282" s="374"/>
      <c r="Q282" s="374"/>
      <c r="R282" s="374"/>
      <c r="S282" s="374"/>
    </row>
    <row r="283" spans="9:19" x14ac:dyDescent="0.25">
      <c r="I283" s="374"/>
      <c r="J283" s="374"/>
      <c r="K283" s="374"/>
      <c r="L283" s="374"/>
      <c r="M283" s="374"/>
      <c r="N283" s="374"/>
      <c r="O283" s="374"/>
      <c r="P283" s="374"/>
      <c r="Q283" s="374"/>
      <c r="R283" s="374"/>
      <c r="S283" s="374"/>
    </row>
    <row r="284" spans="9:19" x14ac:dyDescent="0.25">
      <c r="I284" s="374"/>
      <c r="J284" s="374"/>
      <c r="K284" s="374"/>
      <c r="L284" s="374"/>
      <c r="M284" s="374"/>
      <c r="N284" s="374"/>
      <c r="O284" s="374"/>
      <c r="P284" s="374"/>
      <c r="Q284" s="374"/>
      <c r="R284" s="374"/>
      <c r="S284" s="374"/>
    </row>
    <row r="285" spans="9:19" x14ac:dyDescent="0.25">
      <c r="I285" s="374"/>
      <c r="J285" s="374"/>
      <c r="K285" s="374"/>
      <c r="L285" s="374"/>
      <c r="M285" s="374"/>
      <c r="N285" s="374"/>
      <c r="O285" s="374"/>
      <c r="P285" s="374"/>
      <c r="Q285" s="374"/>
      <c r="R285" s="374"/>
      <c r="S285" s="374"/>
    </row>
    <row r="286" spans="9:19" x14ac:dyDescent="0.25">
      <c r="I286" s="374"/>
      <c r="J286" s="374"/>
      <c r="K286" s="374"/>
      <c r="L286" s="374"/>
      <c r="M286" s="374"/>
      <c r="N286" s="374"/>
      <c r="O286" s="374"/>
      <c r="P286" s="374"/>
      <c r="Q286" s="374"/>
      <c r="R286" s="374"/>
      <c r="S286" s="374"/>
    </row>
    <row r="287" spans="9:19" x14ac:dyDescent="0.25">
      <c r="I287" s="374"/>
      <c r="J287" s="374"/>
      <c r="K287" s="374"/>
      <c r="L287" s="374"/>
      <c r="M287" s="374"/>
      <c r="N287" s="374"/>
      <c r="O287" s="374"/>
      <c r="P287" s="374"/>
      <c r="Q287" s="374"/>
      <c r="R287" s="374"/>
      <c r="S287" s="374"/>
    </row>
    <row r="288" spans="9:19" x14ac:dyDescent="0.25">
      <c r="I288" s="374"/>
      <c r="J288" s="374"/>
      <c r="K288" s="374"/>
      <c r="L288" s="374"/>
      <c r="M288" s="374"/>
      <c r="N288" s="374"/>
      <c r="O288" s="374"/>
      <c r="P288" s="374"/>
      <c r="Q288" s="374"/>
      <c r="R288" s="374"/>
      <c r="S288" s="374"/>
    </row>
    <row r="289" spans="9:19" x14ac:dyDescent="0.25">
      <c r="I289" s="374"/>
      <c r="J289" s="374"/>
      <c r="K289" s="374"/>
      <c r="L289" s="374"/>
      <c r="M289" s="374"/>
      <c r="N289" s="374"/>
      <c r="O289" s="374"/>
      <c r="P289" s="374"/>
      <c r="Q289" s="374"/>
      <c r="R289" s="374"/>
      <c r="S289" s="374"/>
    </row>
    <row r="290" spans="9:19" x14ac:dyDescent="0.25">
      <c r="I290" s="374"/>
      <c r="J290" s="374"/>
      <c r="K290" s="374"/>
      <c r="L290" s="374"/>
      <c r="M290" s="374"/>
      <c r="N290" s="374"/>
      <c r="O290" s="374"/>
      <c r="P290" s="374"/>
      <c r="Q290" s="374"/>
      <c r="R290" s="374"/>
      <c r="S290" s="374"/>
    </row>
    <row r="291" spans="9:19" x14ac:dyDescent="0.25">
      <c r="I291" s="374"/>
      <c r="J291" s="374"/>
      <c r="K291" s="374"/>
      <c r="L291" s="374"/>
      <c r="M291" s="374"/>
      <c r="N291" s="374"/>
      <c r="O291" s="374"/>
      <c r="P291" s="374"/>
      <c r="Q291" s="374"/>
      <c r="R291" s="374"/>
      <c r="S291" s="374"/>
    </row>
    <row r="292" spans="9:19" x14ac:dyDescent="0.25">
      <c r="I292" s="374"/>
      <c r="J292" s="374"/>
      <c r="K292" s="374"/>
      <c r="L292" s="374"/>
      <c r="M292" s="374"/>
      <c r="N292" s="374"/>
      <c r="O292" s="374"/>
      <c r="P292" s="374"/>
      <c r="Q292" s="374"/>
      <c r="R292" s="374"/>
      <c r="S292" s="374"/>
    </row>
    <row r="293" spans="9:19" x14ac:dyDescent="0.25">
      <c r="I293" s="374"/>
      <c r="J293" s="374"/>
      <c r="K293" s="374"/>
      <c r="L293" s="374"/>
      <c r="M293" s="374"/>
      <c r="N293" s="374"/>
      <c r="O293" s="374"/>
      <c r="P293" s="374"/>
      <c r="Q293" s="374"/>
      <c r="R293" s="374"/>
      <c r="S293" s="374"/>
    </row>
    <row r="294" spans="9:19" x14ac:dyDescent="0.25">
      <c r="I294" s="374"/>
      <c r="J294" s="374"/>
      <c r="K294" s="374"/>
      <c r="L294" s="374"/>
      <c r="M294" s="374"/>
      <c r="N294" s="374"/>
      <c r="O294" s="374"/>
      <c r="P294" s="374"/>
      <c r="Q294" s="374"/>
      <c r="R294" s="374"/>
      <c r="S294" s="374"/>
    </row>
    <row r="295" spans="9:19" x14ac:dyDescent="0.25">
      <c r="I295" s="374"/>
      <c r="J295" s="374"/>
      <c r="K295" s="374"/>
      <c r="L295" s="374"/>
      <c r="M295" s="374"/>
      <c r="N295" s="374"/>
      <c r="O295" s="374"/>
      <c r="P295" s="374"/>
      <c r="Q295" s="374"/>
      <c r="R295" s="374"/>
      <c r="S295" s="374"/>
    </row>
  </sheetData>
  <autoFilter ref="I9:R121" xr:uid="{00000000-0001-0000-0300-000000000000}"/>
  <mergeCells count="8">
    <mergeCell ref="B2:H2"/>
    <mergeCell ref="B3:H3"/>
    <mergeCell ref="D6:E6"/>
    <mergeCell ref="B6:C6"/>
    <mergeCell ref="I8:R8"/>
    <mergeCell ref="B5:C5"/>
    <mergeCell ref="D5:E5"/>
    <mergeCell ref="B8:G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O113"/>
  <sheetViews>
    <sheetView topLeftCell="A82" workbookViewId="0"/>
  </sheetViews>
  <sheetFormatPr baseColWidth="10" defaultColWidth="9.140625" defaultRowHeight="15" x14ac:dyDescent="0.25"/>
  <cols>
    <col min="1" max="1" width="3" style="471" customWidth="1"/>
    <col min="2" max="2" width="32" style="471" customWidth="1"/>
    <col min="3" max="3" width="25" style="471" customWidth="1"/>
    <col min="4" max="4" width="10" style="471" customWidth="1"/>
    <col min="5" max="5" width="18" style="471" customWidth="1"/>
    <col min="6" max="6" width="10" style="471" customWidth="1"/>
    <col min="7" max="7" width="16" style="471" customWidth="1"/>
    <col min="8" max="8" width="3" style="471" customWidth="1"/>
    <col min="9" max="9" width="6" style="471" customWidth="1"/>
    <col min="10" max="10" width="16" style="471" customWidth="1"/>
    <col min="11" max="11" width="24" style="471" customWidth="1"/>
    <col min="12" max="12" width="22" style="471" customWidth="1"/>
    <col min="13" max="13" width="42" style="471" customWidth="1"/>
    <col min="14" max="14" width="16" style="471" customWidth="1"/>
    <col min="15" max="15" width="20" style="471" customWidth="1"/>
  </cols>
  <sheetData>
    <row r="2" spans="2:15" ht="24" customHeight="1" x14ac:dyDescent="0.25">
      <c r="B2" s="587" t="s">
        <v>0</v>
      </c>
      <c r="C2" s="545"/>
      <c r="D2" s="545"/>
      <c r="E2" s="545"/>
      <c r="F2" s="545"/>
      <c r="G2" s="545"/>
      <c r="H2" s="545"/>
      <c r="I2" s="545"/>
      <c r="J2" s="545"/>
      <c r="K2" s="545"/>
      <c r="L2" s="545"/>
      <c r="M2" s="545"/>
      <c r="N2" s="545"/>
      <c r="O2" s="545"/>
    </row>
    <row r="3" spans="2:15" ht="18" customHeight="1" x14ac:dyDescent="0.25">
      <c r="B3" s="591" t="s">
        <v>697</v>
      </c>
      <c r="C3" s="545"/>
      <c r="D3" s="545"/>
      <c r="E3" s="545"/>
      <c r="F3" s="545"/>
      <c r="G3" s="545"/>
      <c r="H3" s="545"/>
      <c r="I3" s="545"/>
      <c r="J3" s="545"/>
      <c r="K3" s="545"/>
      <c r="L3" s="545"/>
      <c r="M3" s="545"/>
      <c r="N3" s="545"/>
      <c r="O3" s="545"/>
    </row>
    <row r="4" spans="2:15" ht="6" customHeight="1" x14ac:dyDescent="0.25"/>
    <row r="5" spans="2:15" ht="15.95" customHeight="1" x14ac:dyDescent="0.25">
      <c r="B5" s="589" t="s">
        <v>698</v>
      </c>
      <c r="C5" s="545"/>
      <c r="D5" s="545"/>
      <c r="E5" s="589" t="s">
        <v>699</v>
      </c>
      <c r="F5" s="545"/>
      <c r="G5" s="545"/>
      <c r="I5" s="589" t="s">
        <v>700</v>
      </c>
      <c r="J5" s="545"/>
      <c r="K5" s="545"/>
      <c r="L5" s="589" t="s">
        <v>701</v>
      </c>
      <c r="M5" s="545"/>
      <c r="N5" s="545"/>
      <c r="O5" s="344" t="s">
        <v>702</v>
      </c>
    </row>
    <row r="6" spans="2:15" ht="24" customHeight="1" x14ac:dyDescent="0.25">
      <c r="B6" s="592">
        <v>49888437</v>
      </c>
      <c r="C6" s="545"/>
      <c r="D6" s="545"/>
      <c r="E6" s="592">
        <v>39220837</v>
      </c>
      <c r="F6" s="545"/>
      <c r="G6" s="545"/>
      <c r="I6" s="592">
        <v>6060600</v>
      </c>
      <c r="J6" s="545"/>
      <c r="K6" s="545"/>
      <c r="L6" s="592">
        <v>3063200</v>
      </c>
      <c r="M6" s="545"/>
      <c r="N6" s="545"/>
      <c r="O6" s="345">
        <v>91</v>
      </c>
    </row>
    <row r="7" spans="2:15" ht="14.1" customHeight="1" x14ac:dyDescent="0.25">
      <c r="B7" s="590" t="s">
        <v>703</v>
      </c>
      <c r="C7" s="545"/>
      <c r="D7" s="545"/>
      <c r="E7" s="590" t="s">
        <v>704</v>
      </c>
      <c r="F7" s="545"/>
      <c r="G7" s="545"/>
      <c r="I7" s="590" t="s">
        <v>705</v>
      </c>
      <c r="J7" s="545"/>
      <c r="K7" s="545"/>
      <c r="L7" s="590" t="s">
        <v>706</v>
      </c>
      <c r="M7" s="545"/>
      <c r="N7" s="545"/>
      <c r="O7" s="346" t="s">
        <v>707</v>
      </c>
    </row>
    <row r="8" spans="2:15" ht="8.1" customHeight="1" x14ac:dyDescent="0.25"/>
    <row r="9" spans="2:15" ht="20.100000000000001" customHeight="1" x14ac:dyDescent="0.25">
      <c r="B9" s="588" t="s">
        <v>708</v>
      </c>
      <c r="C9" s="545"/>
      <c r="D9" s="545"/>
      <c r="E9" s="545"/>
      <c r="F9" s="545"/>
      <c r="G9" s="545"/>
      <c r="I9" s="588" t="s">
        <v>709</v>
      </c>
      <c r="J9" s="545"/>
      <c r="K9" s="545"/>
      <c r="L9" s="545"/>
      <c r="M9" s="545"/>
      <c r="N9" s="545"/>
      <c r="O9" s="545"/>
    </row>
    <row r="10" spans="2:15" ht="20.100000000000001" customHeight="1" x14ac:dyDescent="0.25">
      <c r="B10" s="347" t="s">
        <v>710</v>
      </c>
      <c r="C10" s="347" t="s">
        <v>711</v>
      </c>
      <c r="D10" s="347" t="s">
        <v>712</v>
      </c>
      <c r="E10" s="347" t="s">
        <v>15</v>
      </c>
      <c r="F10" s="347" t="s">
        <v>713</v>
      </c>
      <c r="G10" s="347" t="s">
        <v>714</v>
      </c>
      <c r="I10" s="347" t="s">
        <v>48</v>
      </c>
      <c r="J10" s="347" t="s">
        <v>715</v>
      </c>
      <c r="K10" s="347" t="s">
        <v>716</v>
      </c>
      <c r="L10" s="347" t="s">
        <v>717</v>
      </c>
      <c r="M10" s="347" t="s">
        <v>718</v>
      </c>
      <c r="N10" s="347" t="s">
        <v>719</v>
      </c>
      <c r="O10" s="347" t="s">
        <v>720</v>
      </c>
    </row>
    <row r="11" spans="2:15" x14ac:dyDescent="0.25">
      <c r="B11" s="335" t="s">
        <v>721</v>
      </c>
      <c r="C11" s="335" t="s">
        <v>722</v>
      </c>
      <c r="D11" s="348">
        <v>4</v>
      </c>
      <c r="E11" s="336">
        <v>4302852</v>
      </c>
      <c r="F11" s="349">
        <v>8.6249485025959027E-2</v>
      </c>
      <c r="G11" s="336">
        <v>1075713</v>
      </c>
      <c r="I11" s="334">
        <v>7</v>
      </c>
      <c r="J11" s="334" t="s">
        <v>723</v>
      </c>
      <c r="K11" s="350" t="s">
        <v>724</v>
      </c>
      <c r="L11" s="335" t="s">
        <v>725</v>
      </c>
      <c r="M11" s="335" t="s">
        <v>726</v>
      </c>
      <c r="N11" s="336">
        <v>90000</v>
      </c>
      <c r="O11" s="334" t="s">
        <v>727</v>
      </c>
    </row>
    <row r="12" spans="2:15" x14ac:dyDescent="0.25">
      <c r="B12" s="338" t="s">
        <v>728</v>
      </c>
      <c r="C12" s="338" t="s">
        <v>729</v>
      </c>
      <c r="D12" s="351">
        <v>3</v>
      </c>
      <c r="E12" s="339">
        <v>34917985</v>
      </c>
      <c r="F12" s="352">
        <v>0.69992140663777458</v>
      </c>
      <c r="G12" s="339">
        <v>11639328.33333333</v>
      </c>
      <c r="I12" s="337">
        <v>7</v>
      </c>
      <c r="J12" s="337" t="s">
        <v>730</v>
      </c>
      <c r="K12" s="353" t="s">
        <v>724</v>
      </c>
      <c r="L12" s="338" t="s">
        <v>725</v>
      </c>
      <c r="M12" s="338" t="s">
        <v>731</v>
      </c>
      <c r="N12" s="339">
        <v>74000</v>
      </c>
      <c r="O12" s="337" t="s">
        <v>732</v>
      </c>
    </row>
    <row r="13" spans="2:15" x14ac:dyDescent="0.25">
      <c r="B13" s="335" t="s">
        <v>733</v>
      </c>
      <c r="C13" s="335" t="s">
        <v>734</v>
      </c>
      <c r="D13" s="348">
        <v>3</v>
      </c>
      <c r="E13" s="336">
        <v>2400000</v>
      </c>
      <c r="F13" s="349">
        <v>4.8107339983411393E-2</v>
      </c>
      <c r="G13" s="336">
        <v>800000</v>
      </c>
      <c r="I13" s="334">
        <v>7</v>
      </c>
      <c r="J13" s="334" t="s">
        <v>723</v>
      </c>
      <c r="K13" s="350" t="s">
        <v>735</v>
      </c>
      <c r="L13" s="335" t="s">
        <v>736</v>
      </c>
      <c r="M13" s="335" t="s">
        <v>737</v>
      </c>
      <c r="N13" s="336">
        <v>66000</v>
      </c>
      <c r="O13" s="334" t="s">
        <v>727</v>
      </c>
    </row>
    <row r="14" spans="2:15" x14ac:dyDescent="0.25">
      <c r="B14" s="338" t="s">
        <v>738</v>
      </c>
      <c r="C14" s="338" t="s">
        <v>739</v>
      </c>
      <c r="D14" s="351">
        <v>3</v>
      </c>
      <c r="E14" s="339">
        <v>330000</v>
      </c>
      <c r="F14" s="352">
        <v>6.6147592477190653E-3</v>
      </c>
      <c r="G14" s="339">
        <v>110000</v>
      </c>
      <c r="I14" s="337">
        <v>7</v>
      </c>
      <c r="J14" s="337" t="s">
        <v>723</v>
      </c>
      <c r="K14" s="353" t="s">
        <v>740</v>
      </c>
      <c r="L14" s="338" t="s">
        <v>741</v>
      </c>
      <c r="M14" s="338" t="s">
        <v>742</v>
      </c>
      <c r="N14" s="339">
        <v>4000</v>
      </c>
      <c r="O14" s="337" t="s">
        <v>743</v>
      </c>
    </row>
    <row r="15" spans="2:15" x14ac:dyDescent="0.25">
      <c r="B15" s="335" t="s">
        <v>744</v>
      </c>
      <c r="C15" s="335" t="s">
        <v>745</v>
      </c>
      <c r="D15" s="348">
        <v>7</v>
      </c>
      <c r="E15" s="336">
        <v>1836600</v>
      </c>
      <c r="F15" s="349">
        <v>3.6814141922305567E-2</v>
      </c>
      <c r="G15" s="336">
        <v>262371.42857142858</v>
      </c>
      <c r="I15" s="334">
        <v>7</v>
      </c>
      <c r="J15" s="334" t="s">
        <v>723</v>
      </c>
      <c r="K15" s="350" t="s">
        <v>724</v>
      </c>
      <c r="L15" s="335" t="s">
        <v>725</v>
      </c>
      <c r="M15" s="335" t="s">
        <v>746</v>
      </c>
      <c r="N15" s="336">
        <v>85000</v>
      </c>
      <c r="O15" s="334" t="s">
        <v>747</v>
      </c>
    </row>
    <row r="16" spans="2:15" x14ac:dyDescent="0.25">
      <c r="B16" s="338" t="s">
        <v>748</v>
      </c>
      <c r="C16" s="338" t="s">
        <v>749</v>
      </c>
      <c r="D16" s="351">
        <v>2</v>
      </c>
      <c r="E16" s="339">
        <v>1494000</v>
      </c>
      <c r="F16" s="352">
        <v>2.9946819139673592E-2</v>
      </c>
      <c r="G16" s="339">
        <v>747000</v>
      </c>
      <c r="I16" s="337">
        <v>7</v>
      </c>
      <c r="J16" s="337" t="s">
        <v>723</v>
      </c>
      <c r="K16" s="353" t="s">
        <v>750</v>
      </c>
      <c r="L16" s="338" t="s">
        <v>751</v>
      </c>
      <c r="M16" s="338" t="s">
        <v>752</v>
      </c>
      <c r="N16" s="339">
        <v>15000</v>
      </c>
      <c r="O16" s="337" t="s">
        <v>753</v>
      </c>
    </row>
    <row r="17" spans="2:15" x14ac:dyDescent="0.25">
      <c r="B17" s="335" t="s">
        <v>754</v>
      </c>
      <c r="C17" s="335" t="s">
        <v>755</v>
      </c>
      <c r="D17" s="348">
        <v>11</v>
      </c>
      <c r="E17" s="336">
        <v>718000</v>
      </c>
      <c r="F17" s="349">
        <v>1.439211254503724E-2</v>
      </c>
      <c r="G17" s="336">
        <v>65272.727272727272</v>
      </c>
      <c r="I17" s="354" t="s">
        <v>756</v>
      </c>
      <c r="J17" s="355"/>
      <c r="K17" s="355"/>
      <c r="L17" s="355"/>
      <c r="M17" s="355"/>
      <c r="N17" s="356">
        <v>334000</v>
      </c>
      <c r="O17" s="355"/>
    </row>
    <row r="18" spans="2:15" x14ac:dyDescent="0.25">
      <c r="B18" s="338" t="s">
        <v>757</v>
      </c>
      <c r="C18" s="338" t="s">
        <v>758</v>
      </c>
      <c r="D18" s="351">
        <v>9</v>
      </c>
      <c r="E18" s="339">
        <v>594000</v>
      </c>
      <c r="F18" s="352">
        <v>1.1906566645894319E-2</v>
      </c>
      <c r="G18" s="339">
        <v>66000</v>
      </c>
      <c r="I18" s="337">
        <v>8</v>
      </c>
      <c r="J18" s="337" t="s">
        <v>723</v>
      </c>
      <c r="K18" s="353" t="s">
        <v>759</v>
      </c>
      <c r="L18" s="338" t="s">
        <v>736</v>
      </c>
      <c r="M18" s="338" t="s">
        <v>760</v>
      </c>
      <c r="N18" s="339">
        <v>66000</v>
      </c>
      <c r="O18" s="337" t="s">
        <v>727</v>
      </c>
    </row>
    <row r="19" spans="2:15" x14ac:dyDescent="0.25">
      <c r="B19" s="335" t="s">
        <v>761</v>
      </c>
      <c r="C19" s="335" t="s">
        <v>762</v>
      </c>
      <c r="D19" s="348">
        <v>10</v>
      </c>
      <c r="E19" s="336">
        <v>660000</v>
      </c>
      <c r="F19" s="349">
        <v>1.3229518495438131E-2</v>
      </c>
      <c r="G19" s="336">
        <v>66000</v>
      </c>
      <c r="I19" s="334">
        <v>8</v>
      </c>
      <c r="J19" s="334" t="s">
        <v>723</v>
      </c>
      <c r="K19" s="350" t="s">
        <v>763</v>
      </c>
      <c r="L19" s="335" t="s">
        <v>736</v>
      </c>
      <c r="M19" s="335" t="s">
        <v>764</v>
      </c>
      <c r="N19" s="336">
        <v>66000</v>
      </c>
      <c r="O19" s="334" t="s">
        <v>727</v>
      </c>
    </row>
    <row r="20" spans="2:15" x14ac:dyDescent="0.25">
      <c r="B20" s="338" t="s">
        <v>765</v>
      </c>
      <c r="C20" s="338" t="s">
        <v>762</v>
      </c>
      <c r="D20" s="351">
        <v>6</v>
      </c>
      <c r="E20" s="339">
        <v>462000</v>
      </c>
      <c r="F20" s="352">
        <v>9.2606629468066914E-3</v>
      </c>
      <c r="G20" s="339">
        <v>77000</v>
      </c>
      <c r="I20" s="337">
        <v>8</v>
      </c>
      <c r="J20" s="337" t="s">
        <v>723</v>
      </c>
      <c r="K20" s="353" t="s">
        <v>735</v>
      </c>
      <c r="L20" s="338" t="s">
        <v>736</v>
      </c>
      <c r="M20" s="338" t="s">
        <v>766</v>
      </c>
      <c r="N20" s="339">
        <v>66000</v>
      </c>
      <c r="O20" s="337" t="s">
        <v>727</v>
      </c>
    </row>
    <row r="21" spans="2:15" x14ac:dyDescent="0.25">
      <c r="B21" s="335" t="s">
        <v>767</v>
      </c>
      <c r="C21" s="335" t="s">
        <v>768</v>
      </c>
      <c r="D21" s="348">
        <v>2</v>
      </c>
      <c r="E21" s="336">
        <v>140000</v>
      </c>
      <c r="F21" s="349">
        <v>2.8062614990323311E-3</v>
      </c>
      <c r="G21" s="336">
        <v>70000</v>
      </c>
      <c r="I21" s="334">
        <v>8</v>
      </c>
      <c r="J21" s="334" t="s">
        <v>723</v>
      </c>
      <c r="K21" s="350" t="s">
        <v>769</v>
      </c>
      <c r="L21" s="335" t="s">
        <v>736</v>
      </c>
      <c r="M21" s="335" t="s">
        <v>770</v>
      </c>
      <c r="N21" s="336">
        <v>132000</v>
      </c>
      <c r="O21" s="334" t="s">
        <v>727</v>
      </c>
    </row>
    <row r="22" spans="2:15" x14ac:dyDescent="0.25">
      <c r="B22" s="338" t="s">
        <v>771</v>
      </c>
      <c r="C22" s="338" t="s">
        <v>772</v>
      </c>
      <c r="D22" s="351">
        <v>6</v>
      </c>
      <c r="E22" s="339">
        <v>489200</v>
      </c>
      <c r="F22" s="352">
        <v>9.8058794666186881E-3</v>
      </c>
      <c r="G22" s="339">
        <v>81533.333333333328</v>
      </c>
      <c r="I22" s="337">
        <v>8</v>
      </c>
      <c r="J22" s="337" t="s">
        <v>723</v>
      </c>
      <c r="K22" s="353" t="s">
        <v>773</v>
      </c>
      <c r="L22" s="338" t="s">
        <v>741</v>
      </c>
      <c r="M22" s="338" t="s">
        <v>774</v>
      </c>
      <c r="N22" s="339">
        <v>20000</v>
      </c>
      <c r="O22" s="337" t="s">
        <v>743</v>
      </c>
    </row>
    <row r="23" spans="2:15" x14ac:dyDescent="0.25">
      <c r="B23" s="335" t="s">
        <v>775</v>
      </c>
      <c r="C23" s="335" t="s">
        <v>776</v>
      </c>
      <c r="D23" s="348">
        <v>2</v>
      </c>
      <c r="E23" s="336">
        <v>900000</v>
      </c>
      <c r="F23" s="349">
        <v>1.8040252493779271E-2</v>
      </c>
      <c r="G23" s="336">
        <v>450000</v>
      </c>
      <c r="I23" s="354" t="s">
        <v>777</v>
      </c>
      <c r="J23" s="355"/>
      <c r="K23" s="355"/>
      <c r="L23" s="355"/>
      <c r="M23" s="355"/>
      <c r="N23" s="356">
        <v>350000</v>
      </c>
      <c r="O23" s="355"/>
    </row>
    <row r="24" spans="2:15" x14ac:dyDescent="0.25">
      <c r="B24" s="338" t="s">
        <v>778</v>
      </c>
      <c r="C24" s="338" t="s">
        <v>779</v>
      </c>
      <c r="D24" s="351">
        <v>10</v>
      </c>
      <c r="E24" s="339">
        <v>305500</v>
      </c>
      <c r="F24" s="352">
        <v>6.123663485388408E-3</v>
      </c>
      <c r="G24" s="339">
        <v>30550</v>
      </c>
      <c r="I24" s="337">
        <v>9</v>
      </c>
      <c r="J24" s="337" t="s">
        <v>723</v>
      </c>
      <c r="K24" s="353" t="s">
        <v>759</v>
      </c>
      <c r="L24" s="338" t="s">
        <v>736</v>
      </c>
      <c r="M24" s="338" t="s">
        <v>760</v>
      </c>
      <c r="N24" s="339">
        <v>66000</v>
      </c>
      <c r="O24" s="337" t="s">
        <v>727</v>
      </c>
    </row>
    <row r="25" spans="2:15" x14ac:dyDescent="0.25">
      <c r="B25" s="335" t="s">
        <v>780</v>
      </c>
      <c r="C25" s="335" t="s">
        <v>781</v>
      </c>
      <c r="D25" s="348">
        <v>7</v>
      </c>
      <c r="E25" s="336">
        <v>88800</v>
      </c>
      <c r="F25" s="349">
        <v>1.7799715793862211E-3</v>
      </c>
      <c r="G25" s="336">
        <v>12685.71428571429</v>
      </c>
      <c r="I25" s="334">
        <v>9</v>
      </c>
      <c r="J25" s="334" t="s">
        <v>723</v>
      </c>
      <c r="K25" s="350" t="s">
        <v>782</v>
      </c>
      <c r="L25" s="335" t="s">
        <v>736</v>
      </c>
      <c r="M25" s="335" t="s">
        <v>783</v>
      </c>
      <c r="N25" s="336">
        <v>66000</v>
      </c>
      <c r="O25" s="334" t="s">
        <v>727</v>
      </c>
    </row>
    <row r="26" spans="2:15" x14ac:dyDescent="0.25">
      <c r="B26" s="338" t="s">
        <v>784</v>
      </c>
      <c r="C26" s="338" t="s">
        <v>785</v>
      </c>
      <c r="D26" s="351">
        <v>6</v>
      </c>
      <c r="E26" s="339">
        <v>249500</v>
      </c>
      <c r="F26" s="352">
        <v>5.001158885775475E-3</v>
      </c>
      <c r="G26" s="339">
        <v>41583.333333333343</v>
      </c>
      <c r="I26" s="337">
        <v>9</v>
      </c>
      <c r="J26" s="337" t="s">
        <v>723</v>
      </c>
      <c r="K26" s="353" t="s">
        <v>735</v>
      </c>
      <c r="L26" s="338" t="s">
        <v>736</v>
      </c>
      <c r="M26" s="338" t="s">
        <v>786</v>
      </c>
      <c r="N26" s="339">
        <v>66000</v>
      </c>
      <c r="O26" s="337" t="s">
        <v>727</v>
      </c>
    </row>
    <row r="27" spans="2:15" x14ac:dyDescent="0.25">
      <c r="B27" s="340" t="s">
        <v>787</v>
      </c>
      <c r="C27" s="341" t="s">
        <v>788</v>
      </c>
      <c r="D27" s="357">
        <v>91</v>
      </c>
      <c r="E27" s="342">
        <v>49888437</v>
      </c>
      <c r="F27" s="358">
        <v>1</v>
      </c>
      <c r="G27" s="342">
        <v>548224.58241758239</v>
      </c>
      <c r="I27" s="334">
        <v>9</v>
      </c>
      <c r="J27" s="334" t="s">
        <v>723</v>
      </c>
      <c r="K27" s="350" t="s">
        <v>724</v>
      </c>
      <c r="L27" s="335" t="s">
        <v>725</v>
      </c>
      <c r="M27" s="335" t="s">
        <v>789</v>
      </c>
      <c r="N27" s="336">
        <v>500000</v>
      </c>
      <c r="O27" s="334" t="s">
        <v>790</v>
      </c>
    </row>
    <row r="28" spans="2:15" x14ac:dyDescent="0.25">
      <c r="I28" s="354" t="s">
        <v>791</v>
      </c>
      <c r="J28" s="355"/>
      <c r="K28" s="355"/>
      <c r="L28" s="355"/>
      <c r="M28" s="355"/>
      <c r="N28" s="356">
        <v>698000</v>
      </c>
      <c r="O28" s="355"/>
    </row>
    <row r="29" spans="2:15" x14ac:dyDescent="0.25">
      <c r="I29" s="334">
        <v>10</v>
      </c>
      <c r="J29" s="334" t="s">
        <v>792</v>
      </c>
      <c r="K29" s="350" t="s">
        <v>735</v>
      </c>
      <c r="L29" s="335" t="s">
        <v>751</v>
      </c>
      <c r="M29" s="335" t="s">
        <v>793</v>
      </c>
      <c r="N29" s="336">
        <v>20000</v>
      </c>
      <c r="O29" s="334" t="s">
        <v>794</v>
      </c>
    </row>
    <row r="30" spans="2:15" x14ac:dyDescent="0.25">
      <c r="I30" s="337">
        <v>10</v>
      </c>
      <c r="J30" s="337" t="s">
        <v>795</v>
      </c>
      <c r="K30" s="353" t="s">
        <v>735</v>
      </c>
      <c r="L30" s="338" t="s">
        <v>736</v>
      </c>
      <c r="M30" s="338" t="s">
        <v>796</v>
      </c>
      <c r="N30" s="339">
        <v>58000</v>
      </c>
      <c r="O30" s="337" t="s">
        <v>797</v>
      </c>
    </row>
    <row r="31" spans="2:15" x14ac:dyDescent="0.25">
      <c r="I31" s="334">
        <v>10</v>
      </c>
      <c r="J31" s="334" t="s">
        <v>798</v>
      </c>
      <c r="K31" s="350" t="s">
        <v>799</v>
      </c>
      <c r="L31" s="335" t="s">
        <v>725</v>
      </c>
      <c r="M31" s="335" t="s">
        <v>800</v>
      </c>
      <c r="N31" s="336">
        <v>10000</v>
      </c>
      <c r="O31" s="334" t="s">
        <v>797</v>
      </c>
    </row>
    <row r="32" spans="2:15" x14ac:dyDescent="0.25">
      <c r="I32" s="337">
        <v>10</v>
      </c>
      <c r="J32" s="337" t="s">
        <v>801</v>
      </c>
      <c r="K32" s="353" t="s">
        <v>802</v>
      </c>
      <c r="L32" s="338" t="s">
        <v>751</v>
      </c>
      <c r="M32" s="338" t="s">
        <v>803</v>
      </c>
      <c r="N32" s="339">
        <v>50000</v>
      </c>
      <c r="O32" s="337" t="s">
        <v>797</v>
      </c>
    </row>
    <row r="33" spans="9:15" x14ac:dyDescent="0.25">
      <c r="I33" s="334">
        <v>10</v>
      </c>
      <c r="J33" s="334" t="s">
        <v>723</v>
      </c>
      <c r="K33" s="350" t="s">
        <v>759</v>
      </c>
      <c r="L33" s="335" t="s">
        <v>736</v>
      </c>
      <c r="M33" s="335" t="s">
        <v>760</v>
      </c>
      <c r="N33" s="336">
        <v>66000</v>
      </c>
      <c r="O33" s="334" t="s">
        <v>727</v>
      </c>
    </row>
    <row r="34" spans="9:15" x14ac:dyDescent="0.25">
      <c r="I34" s="337">
        <v>10</v>
      </c>
      <c r="J34" s="337" t="s">
        <v>723</v>
      </c>
      <c r="K34" s="353" t="s">
        <v>782</v>
      </c>
      <c r="L34" s="338" t="s">
        <v>736</v>
      </c>
      <c r="M34" s="338" t="s">
        <v>783</v>
      </c>
      <c r="N34" s="339">
        <v>66000</v>
      </c>
      <c r="O34" s="337" t="s">
        <v>727</v>
      </c>
    </row>
    <row r="35" spans="9:15" x14ac:dyDescent="0.25">
      <c r="I35" s="334">
        <v>10</v>
      </c>
      <c r="J35" s="334" t="s">
        <v>723</v>
      </c>
      <c r="K35" s="350" t="s">
        <v>804</v>
      </c>
      <c r="L35" s="335" t="s">
        <v>805</v>
      </c>
      <c r="M35" s="335" t="s">
        <v>806</v>
      </c>
      <c r="N35" s="336">
        <v>70000</v>
      </c>
      <c r="O35" s="334" t="s">
        <v>727</v>
      </c>
    </row>
    <row r="36" spans="9:15" x14ac:dyDescent="0.25">
      <c r="I36" s="337">
        <v>10</v>
      </c>
      <c r="J36" s="337" t="s">
        <v>723</v>
      </c>
      <c r="K36" s="353" t="s">
        <v>807</v>
      </c>
      <c r="L36" s="338" t="s">
        <v>751</v>
      </c>
      <c r="M36" s="338" t="s">
        <v>808</v>
      </c>
      <c r="N36" s="339">
        <v>28000</v>
      </c>
      <c r="O36" s="337" t="s">
        <v>727</v>
      </c>
    </row>
    <row r="37" spans="9:15" x14ac:dyDescent="0.25">
      <c r="I37" s="334">
        <v>10</v>
      </c>
      <c r="J37" s="334" t="s">
        <v>723</v>
      </c>
      <c r="K37" s="350" t="s">
        <v>735</v>
      </c>
      <c r="L37" s="335" t="s">
        <v>736</v>
      </c>
      <c r="M37" s="335" t="s">
        <v>766</v>
      </c>
      <c r="N37" s="336">
        <v>66000</v>
      </c>
      <c r="O37" s="334" t="s">
        <v>727</v>
      </c>
    </row>
    <row r="38" spans="9:15" x14ac:dyDescent="0.25">
      <c r="I38" s="354" t="s">
        <v>809</v>
      </c>
      <c r="J38" s="355"/>
      <c r="K38" s="355"/>
      <c r="L38" s="355"/>
      <c r="M38" s="355"/>
      <c r="N38" s="356">
        <v>434000</v>
      </c>
      <c r="O38" s="355"/>
    </row>
    <row r="39" spans="9:15" x14ac:dyDescent="0.25">
      <c r="I39" s="334">
        <v>11</v>
      </c>
      <c r="J39" s="334" t="s">
        <v>810</v>
      </c>
      <c r="K39" s="350" t="s">
        <v>811</v>
      </c>
      <c r="L39" s="335" t="s">
        <v>812</v>
      </c>
      <c r="M39" s="335" t="s">
        <v>813</v>
      </c>
      <c r="N39" s="336">
        <v>1149000</v>
      </c>
      <c r="O39" s="334" t="s">
        <v>810</v>
      </c>
    </row>
    <row r="40" spans="9:15" x14ac:dyDescent="0.25">
      <c r="I40" s="337">
        <v>11</v>
      </c>
      <c r="J40" s="337" t="s">
        <v>814</v>
      </c>
      <c r="K40" s="353" t="s">
        <v>815</v>
      </c>
      <c r="L40" s="338" t="s">
        <v>816</v>
      </c>
      <c r="M40" s="338" t="s">
        <v>817</v>
      </c>
      <c r="N40" s="339">
        <v>1200000</v>
      </c>
      <c r="O40" s="337" t="s">
        <v>818</v>
      </c>
    </row>
    <row r="41" spans="9:15" x14ac:dyDescent="0.25">
      <c r="I41" s="334">
        <v>11</v>
      </c>
      <c r="J41" s="334" t="s">
        <v>819</v>
      </c>
      <c r="K41" s="350" t="s">
        <v>820</v>
      </c>
      <c r="L41" s="335" t="s">
        <v>821</v>
      </c>
      <c r="M41" s="335" t="s">
        <v>822</v>
      </c>
      <c r="N41" s="336">
        <v>16523800</v>
      </c>
      <c r="O41" s="334" t="s">
        <v>823</v>
      </c>
    </row>
    <row r="42" spans="9:15" x14ac:dyDescent="0.25">
      <c r="I42" s="337">
        <v>11</v>
      </c>
      <c r="J42" s="337" t="s">
        <v>814</v>
      </c>
      <c r="K42" s="353" t="s">
        <v>824</v>
      </c>
      <c r="L42" s="338" t="s">
        <v>751</v>
      </c>
      <c r="M42" s="338" t="s">
        <v>825</v>
      </c>
      <c r="N42" s="339">
        <v>15000</v>
      </c>
      <c r="O42" s="337" t="s">
        <v>794</v>
      </c>
    </row>
    <row r="43" spans="9:15" x14ac:dyDescent="0.25">
      <c r="I43" s="334">
        <v>11</v>
      </c>
      <c r="J43" s="334" t="s">
        <v>723</v>
      </c>
      <c r="K43" s="350" t="s">
        <v>759</v>
      </c>
      <c r="L43" s="335" t="s">
        <v>736</v>
      </c>
      <c r="M43" s="335" t="s">
        <v>826</v>
      </c>
      <c r="N43" s="336">
        <v>66000</v>
      </c>
      <c r="O43" s="334" t="s">
        <v>727</v>
      </c>
    </row>
    <row r="44" spans="9:15" x14ac:dyDescent="0.25">
      <c r="I44" s="337">
        <v>11</v>
      </c>
      <c r="J44" s="337" t="s">
        <v>723</v>
      </c>
      <c r="K44" s="353" t="s">
        <v>782</v>
      </c>
      <c r="L44" s="338" t="s">
        <v>736</v>
      </c>
      <c r="M44" s="338" t="s">
        <v>827</v>
      </c>
      <c r="N44" s="339">
        <v>66000</v>
      </c>
      <c r="O44" s="337" t="s">
        <v>727</v>
      </c>
    </row>
    <row r="45" spans="9:15" x14ac:dyDescent="0.25">
      <c r="I45" s="334">
        <v>11</v>
      </c>
      <c r="J45" s="334" t="s">
        <v>723</v>
      </c>
      <c r="K45" s="350" t="s">
        <v>769</v>
      </c>
      <c r="L45" s="335" t="s">
        <v>736</v>
      </c>
      <c r="M45" s="335" t="s">
        <v>828</v>
      </c>
      <c r="N45" s="336">
        <v>66000</v>
      </c>
      <c r="O45" s="334" t="s">
        <v>727</v>
      </c>
    </row>
    <row r="46" spans="9:15" x14ac:dyDescent="0.25">
      <c r="I46" s="337">
        <v>11</v>
      </c>
      <c r="J46" s="337" t="s">
        <v>723</v>
      </c>
      <c r="K46" s="353" t="s">
        <v>799</v>
      </c>
      <c r="L46" s="338" t="s">
        <v>725</v>
      </c>
      <c r="M46" s="338" t="s">
        <v>829</v>
      </c>
      <c r="N46" s="339">
        <v>300000</v>
      </c>
      <c r="O46" s="337" t="s">
        <v>727</v>
      </c>
    </row>
    <row r="47" spans="9:15" x14ac:dyDescent="0.25">
      <c r="I47" s="334">
        <v>11</v>
      </c>
      <c r="J47" s="334" t="s">
        <v>830</v>
      </c>
      <c r="K47" s="350" t="s">
        <v>815</v>
      </c>
      <c r="L47" s="335" t="s">
        <v>816</v>
      </c>
      <c r="M47" s="335" t="s">
        <v>831</v>
      </c>
      <c r="N47" s="336">
        <v>900000</v>
      </c>
      <c r="O47" s="334" t="s">
        <v>832</v>
      </c>
    </row>
    <row r="48" spans="9:15" x14ac:dyDescent="0.25">
      <c r="I48" s="337">
        <v>11</v>
      </c>
      <c r="J48" s="337" t="s">
        <v>391</v>
      </c>
      <c r="K48" s="353" t="s">
        <v>735</v>
      </c>
      <c r="L48" s="338" t="s">
        <v>833</v>
      </c>
      <c r="M48" s="338" t="s">
        <v>737</v>
      </c>
      <c r="N48" s="339">
        <v>66000</v>
      </c>
      <c r="O48" s="337" t="s">
        <v>834</v>
      </c>
    </row>
    <row r="49" spans="9:15" x14ac:dyDescent="0.25">
      <c r="I49" s="334">
        <v>11</v>
      </c>
      <c r="J49" s="334" t="s">
        <v>391</v>
      </c>
      <c r="K49" s="350" t="s">
        <v>735</v>
      </c>
      <c r="L49" s="335" t="s">
        <v>833</v>
      </c>
      <c r="M49" s="335" t="s">
        <v>835</v>
      </c>
      <c r="N49" s="336">
        <v>49500</v>
      </c>
      <c r="O49" s="334" t="s">
        <v>834</v>
      </c>
    </row>
    <row r="50" spans="9:15" x14ac:dyDescent="0.25">
      <c r="I50" s="337">
        <v>11</v>
      </c>
      <c r="J50" s="337" t="s">
        <v>723</v>
      </c>
      <c r="K50" s="353" t="s">
        <v>836</v>
      </c>
      <c r="L50" s="338" t="s">
        <v>812</v>
      </c>
      <c r="M50" s="338" t="s">
        <v>837</v>
      </c>
      <c r="N50" s="339">
        <v>345000</v>
      </c>
      <c r="O50" s="337" t="s">
        <v>727</v>
      </c>
    </row>
    <row r="51" spans="9:15" x14ac:dyDescent="0.25">
      <c r="I51" s="354" t="s">
        <v>838</v>
      </c>
      <c r="J51" s="355"/>
      <c r="K51" s="355"/>
      <c r="L51" s="355"/>
      <c r="M51" s="355"/>
      <c r="N51" s="356">
        <v>20746300</v>
      </c>
      <c r="O51" s="355"/>
    </row>
    <row r="52" spans="9:15" x14ac:dyDescent="0.25">
      <c r="I52" s="337">
        <v>12</v>
      </c>
      <c r="J52" s="337" t="s">
        <v>723</v>
      </c>
      <c r="K52" s="353" t="s">
        <v>769</v>
      </c>
      <c r="L52" s="338" t="s">
        <v>736</v>
      </c>
      <c r="M52" s="338" t="s">
        <v>839</v>
      </c>
      <c r="N52" s="339">
        <v>66000</v>
      </c>
      <c r="O52" s="337" t="s">
        <v>727</v>
      </c>
    </row>
    <row r="53" spans="9:15" x14ac:dyDescent="0.25">
      <c r="I53" s="334">
        <v>12</v>
      </c>
      <c r="J53" s="334" t="s">
        <v>723</v>
      </c>
      <c r="K53" s="350" t="s">
        <v>759</v>
      </c>
      <c r="L53" s="335" t="s">
        <v>736</v>
      </c>
      <c r="M53" s="335" t="s">
        <v>840</v>
      </c>
      <c r="N53" s="336">
        <v>66000</v>
      </c>
      <c r="O53" s="334" t="s">
        <v>727</v>
      </c>
    </row>
    <row r="54" spans="9:15" x14ac:dyDescent="0.25">
      <c r="I54" s="337">
        <v>12</v>
      </c>
      <c r="J54" s="337" t="s">
        <v>723</v>
      </c>
      <c r="K54" s="353" t="s">
        <v>782</v>
      </c>
      <c r="L54" s="338" t="s">
        <v>736</v>
      </c>
      <c r="M54" s="338" t="s">
        <v>841</v>
      </c>
      <c r="N54" s="339">
        <v>66000</v>
      </c>
      <c r="O54" s="337" t="s">
        <v>727</v>
      </c>
    </row>
    <row r="55" spans="9:15" x14ac:dyDescent="0.25">
      <c r="I55" s="334">
        <v>12</v>
      </c>
      <c r="J55" s="334" t="s">
        <v>723</v>
      </c>
      <c r="K55" s="350" t="s">
        <v>724</v>
      </c>
      <c r="L55" s="335" t="s">
        <v>725</v>
      </c>
      <c r="M55" s="335" t="s">
        <v>842</v>
      </c>
      <c r="N55" s="336">
        <v>750000</v>
      </c>
      <c r="O55" s="334" t="s">
        <v>843</v>
      </c>
    </row>
    <row r="56" spans="9:15" x14ac:dyDescent="0.25">
      <c r="I56" s="337">
        <v>12</v>
      </c>
      <c r="J56" s="337" t="s">
        <v>723</v>
      </c>
      <c r="K56" s="353" t="s">
        <v>724</v>
      </c>
      <c r="L56" s="338" t="s">
        <v>725</v>
      </c>
      <c r="M56" s="338" t="s">
        <v>844</v>
      </c>
      <c r="N56" s="339">
        <v>241800</v>
      </c>
      <c r="O56" s="337" t="s">
        <v>845</v>
      </c>
    </row>
    <row r="57" spans="9:15" x14ac:dyDescent="0.25">
      <c r="I57" s="334">
        <v>12</v>
      </c>
      <c r="J57" s="334" t="s">
        <v>723</v>
      </c>
      <c r="K57" s="350" t="s">
        <v>735</v>
      </c>
      <c r="L57" s="335" t="s">
        <v>736</v>
      </c>
      <c r="M57" s="335" t="s">
        <v>846</v>
      </c>
      <c r="N57" s="336">
        <v>66000</v>
      </c>
      <c r="O57" s="334" t="s">
        <v>727</v>
      </c>
    </row>
    <row r="58" spans="9:15" x14ac:dyDescent="0.25">
      <c r="I58" s="337">
        <v>12</v>
      </c>
      <c r="J58" s="337" t="s">
        <v>723</v>
      </c>
      <c r="K58" s="353" t="s">
        <v>782</v>
      </c>
      <c r="L58" s="338" t="s">
        <v>736</v>
      </c>
      <c r="M58" s="338" t="s">
        <v>847</v>
      </c>
      <c r="N58" s="339">
        <v>66000</v>
      </c>
      <c r="O58" s="337" t="s">
        <v>727</v>
      </c>
    </row>
    <row r="59" spans="9:15" x14ac:dyDescent="0.25">
      <c r="I59" s="334">
        <v>12</v>
      </c>
      <c r="J59" s="334" t="s">
        <v>723</v>
      </c>
      <c r="K59" s="350" t="s">
        <v>848</v>
      </c>
      <c r="L59" s="335" t="s">
        <v>751</v>
      </c>
      <c r="M59" s="335" t="s">
        <v>849</v>
      </c>
      <c r="N59" s="336">
        <v>40000</v>
      </c>
      <c r="O59" s="334" t="s">
        <v>794</v>
      </c>
    </row>
    <row r="60" spans="9:15" x14ac:dyDescent="0.25">
      <c r="I60" s="337">
        <v>12</v>
      </c>
      <c r="J60" s="337" t="s">
        <v>723</v>
      </c>
      <c r="K60" s="353" t="s">
        <v>824</v>
      </c>
      <c r="L60" s="338" t="s">
        <v>751</v>
      </c>
      <c r="M60" s="338" t="s">
        <v>850</v>
      </c>
      <c r="N60" s="339">
        <v>30000</v>
      </c>
      <c r="O60" s="337" t="s">
        <v>794</v>
      </c>
    </row>
    <row r="61" spans="9:15" x14ac:dyDescent="0.25">
      <c r="I61" s="334">
        <v>12</v>
      </c>
      <c r="J61" s="334" t="s">
        <v>723</v>
      </c>
      <c r="K61" s="350" t="s">
        <v>851</v>
      </c>
      <c r="L61" s="335" t="s">
        <v>751</v>
      </c>
      <c r="M61" s="335" t="s">
        <v>852</v>
      </c>
      <c r="N61" s="336">
        <v>27500</v>
      </c>
      <c r="O61" s="334" t="s">
        <v>794</v>
      </c>
    </row>
    <row r="62" spans="9:15" x14ac:dyDescent="0.25">
      <c r="I62" s="337">
        <v>12</v>
      </c>
      <c r="J62" s="337" t="s">
        <v>723</v>
      </c>
      <c r="K62" s="353" t="s">
        <v>853</v>
      </c>
      <c r="L62" s="338" t="s">
        <v>751</v>
      </c>
      <c r="M62" s="338" t="s">
        <v>854</v>
      </c>
      <c r="N62" s="339">
        <v>50000</v>
      </c>
      <c r="O62" s="337" t="s">
        <v>794</v>
      </c>
    </row>
    <row r="63" spans="9:15" x14ac:dyDescent="0.25">
      <c r="I63" s="354" t="s">
        <v>855</v>
      </c>
      <c r="J63" s="355"/>
      <c r="K63" s="355"/>
      <c r="L63" s="355"/>
      <c r="M63" s="355"/>
      <c r="N63" s="356">
        <v>1469300</v>
      </c>
      <c r="O63" s="355"/>
    </row>
    <row r="64" spans="9:15" x14ac:dyDescent="0.25">
      <c r="I64" s="337">
        <v>13</v>
      </c>
      <c r="J64" s="337" t="s">
        <v>723</v>
      </c>
      <c r="K64" s="353" t="s">
        <v>782</v>
      </c>
      <c r="L64" s="338" t="s">
        <v>736</v>
      </c>
      <c r="M64" s="338" t="s">
        <v>841</v>
      </c>
      <c r="N64" s="339">
        <v>66000</v>
      </c>
      <c r="O64" s="337" t="s">
        <v>727</v>
      </c>
    </row>
    <row r="65" spans="9:15" x14ac:dyDescent="0.25">
      <c r="I65" s="334">
        <v>13</v>
      </c>
      <c r="J65" s="334" t="s">
        <v>723</v>
      </c>
      <c r="K65" s="350" t="s">
        <v>769</v>
      </c>
      <c r="L65" s="335" t="s">
        <v>736</v>
      </c>
      <c r="M65" s="335" t="s">
        <v>839</v>
      </c>
      <c r="N65" s="336">
        <v>66000</v>
      </c>
      <c r="O65" s="334" t="s">
        <v>727</v>
      </c>
    </row>
    <row r="66" spans="9:15" x14ac:dyDescent="0.25">
      <c r="I66" s="337">
        <v>13</v>
      </c>
      <c r="J66" s="337" t="s">
        <v>723</v>
      </c>
      <c r="K66" s="353" t="s">
        <v>856</v>
      </c>
      <c r="L66" s="338" t="s">
        <v>833</v>
      </c>
      <c r="M66" s="338" t="s">
        <v>857</v>
      </c>
      <c r="N66" s="339">
        <v>70000</v>
      </c>
      <c r="O66" s="337" t="s">
        <v>727</v>
      </c>
    </row>
    <row r="67" spans="9:15" x14ac:dyDescent="0.25">
      <c r="I67" s="334">
        <v>13</v>
      </c>
      <c r="J67" s="334" t="s">
        <v>723</v>
      </c>
      <c r="K67" s="350" t="s">
        <v>750</v>
      </c>
      <c r="L67" s="335" t="s">
        <v>741</v>
      </c>
      <c r="M67" s="335" t="s">
        <v>858</v>
      </c>
      <c r="N67" s="336">
        <v>22500</v>
      </c>
      <c r="O67" s="334" t="s">
        <v>743</v>
      </c>
    </row>
    <row r="68" spans="9:15" x14ac:dyDescent="0.25">
      <c r="I68" s="337">
        <v>13</v>
      </c>
      <c r="J68" s="337" t="s">
        <v>723</v>
      </c>
      <c r="K68" s="353" t="s">
        <v>859</v>
      </c>
      <c r="L68" s="338" t="s">
        <v>741</v>
      </c>
      <c r="M68" s="338" t="s">
        <v>860</v>
      </c>
      <c r="N68" s="339">
        <v>9000</v>
      </c>
      <c r="O68" s="337" t="s">
        <v>743</v>
      </c>
    </row>
    <row r="69" spans="9:15" x14ac:dyDescent="0.25">
      <c r="I69" s="334">
        <v>13</v>
      </c>
      <c r="J69" s="334" t="s">
        <v>723</v>
      </c>
      <c r="K69" s="350" t="s">
        <v>861</v>
      </c>
      <c r="L69" s="335" t="s">
        <v>741</v>
      </c>
      <c r="M69" s="335" t="s">
        <v>862</v>
      </c>
      <c r="N69" s="336">
        <v>24500</v>
      </c>
      <c r="O69" s="334" t="s">
        <v>743</v>
      </c>
    </row>
    <row r="70" spans="9:15" x14ac:dyDescent="0.25">
      <c r="I70" s="337">
        <v>13</v>
      </c>
      <c r="J70" s="337" t="s">
        <v>723</v>
      </c>
      <c r="K70" s="353" t="s">
        <v>735</v>
      </c>
      <c r="L70" s="338" t="s">
        <v>736</v>
      </c>
      <c r="M70" s="338" t="s">
        <v>863</v>
      </c>
      <c r="N70" s="339">
        <v>66000</v>
      </c>
      <c r="O70" s="337" t="s">
        <v>727</v>
      </c>
    </row>
    <row r="71" spans="9:15" x14ac:dyDescent="0.25">
      <c r="I71" s="354" t="s">
        <v>864</v>
      </c>
      <c r="J71" s="355"/>
      <c r="K71" s="355"/>
      <c r="L71" s="355"/>
      <c r="M71" s="355"/>
      <c r="N71" s="356">
        <v>324000</v>
      </c>
      <c r="O71" s="355"/>
    </row>
    <row r="72" spans="9:15" x14ac:dyDescent="0.25">
      <c r="I72" s="337">
        <v>14</v>
      </c>
      <c r="J72" s="337" t="s">
        <v>810</v>
      </c>
      <c r="K72" s="353" t="s">
        <v>815</v>
      </c>
      <c r="L72" s="338" t="s">
        <v>816</v>
      </c>
      <c r="M72" s="338" t="s">
        <v>865</v>
      </c>
      <c r="N72" s="339">
        <v>300000</v>
      </c>
      <c r="O72" s="337" t="s">
        <v>866</v>
      </c>
    </row>
    <row r="73" spans="9:15" x14ac:dyDescent="0.25">
      <c r="I73" s="334">
        <v>14</v>
      </c>
      <c r="J73" s="334" t="s">
        <v>867</v>
      </c>
      <c r="K73" s="350" t="s">
        <v>820</v>
      </c>
      <c r="L73" s="335" t="s">
        <v>821</v>
      </c>
      <c r="M73" s="335" t="s">
        <v>868</v>
      </c>
      <c r="N73" s="336">
        <v>16246091</v>
      </c>
      <c r="O73" s="334" t="s">
        <v>823</v>
      </c>
    </row>
    <row r="74" spans="9:15" x14ac:dyDescent="0.25">
      <c r="I74" s="337">
        <v>14</v>
      </c>
      <c r="J74" s="337" t="s">
        <v>867</v>
      </c>
      <c r="K74" s="353" t="s">
        <v>820</v>
      </c>
      <c r="L74" s="338" t="s">
        <v>821</v>
      </c>
      <c r="M74" s="338" t="s">
        <v>869</v>
      </c>
      <c r="N74" s="339">
        <v>2148094</v>
      </c>
      <c r="O74" s="337" t="s">
        <v>823</v>
      </c>
    </row>
    <row r="75" spans="9:15" x14ac:dyDescent="0.25">
      <c r="I75" s="334">
        <v>14</v>
      </c>
      <c r="J75" s="334" t="s">
        <v>723</v>
      </c>
      <c r="K75" s="350" t="s">
        <v>759</v>
      </c>
      <c r="L75" s="335" t="s">
        <v>736</v>
      </c>
      <c r="M75" s="335" t="s">
        <v>840</v>
      </c>
      <c r="N75" s="336">
        <v>66000</v>
      </c>
      <c r="O75" s="334" t="s">
        <v>727</v>
      </c>
    </row>
    <row r="76" spans="9:15" x14ac:dyDescent="0.25">
      <c r="I76" s="337">
        <v>14</v>
      </c>
      <c r="J76" s="337" t="s">
        <v>723</v>
      </c>
      <c r="K76" s="353" t="s">
        <v>782</v>
      </c>
      <c r="L76" s="338" t="s">
        <v>736</v>
      </c>
      <c r="M76" s="338" t="s">
        <v>841</v>
      </c>
      <c r="N76" s="339">
        <v>66000</v>
      </c>
      <c r="O76" s="337" t="s">
        <v>727</v>
      </c>
    </row>
    <row r="77" spans="9:15" x14ac:dyDescent="0.25">
      <c r="I77" s="334">
        <v>14</v>
      </c>
      <c r="J77" s="334" t="s">
        <v>723</v>
      </c>
      <c r="K77" s="350" t="s">
        <v>769</v>
      </c>
      <c r="L77" s="335" t="s">
        <v>736</v>
      </c>
      <c r="M77" s="335" t="s">
        <v>839</v>
      </c>
      <c r="N77" s="336">
        <v>66000</v>
      </c>
      <c r="O77" s="334" t="s">
        <v>727</v>
      </c>
    </row>
    <row r="78" spans="9:15" x14ac:dyDescent="0.25">
      <c r="I78" s="354" t="s">
        <v>870</v>
      </c>
      <c r="J78" s="355"/>
      <c r="K78" s="355"/>
      <c r="L78" s="355"/>
      <c r="M78" s="355"/>
      <c r="N78" s="356">
        <v>18892185</v>
      </c>
      <c r="O78" s="355"/>
    </row>
    <row r="79" spans="9:15" x14ac:dyDescent="0.25">
      <c r="I79" s="334">
        <v>15</v>
      </c>
      <c r="J79" s="334" t="s">
        <v>871</v>
      </c>
      <c r="K79" s="350" t="s">
        <v>872</v>
      </c>
      <c r="L79" s="335" t="s">
        <v>873</v>
      </c>
      <c r="M79" s="335" t="s">
        <v>874</v>
      </c>
      <c r="N79" s="336">
        <v>897464</v>
      </c>
      <c r="O79" s="334" t="s">
        <v>875</v>
      </c>
    </row>
    <row r="80" spans="9:15" x14ac:dyDescent="0.25">
      <c r="I80" s="337">
        <v>15</v>
      </c>
      <c r="J80" s="337" t="s">
        <v>871</v>
      </c>
      <c r="K80" s="353" t="s">
        <v>876</v>
      </c>
      <c r="L80" s="338" t="s">
        <v>873</v>
      </c>
      <c r="M80" s="338" t="s">
        <v>874</v>
      </c>
      <c r="N80" s="339">
        <v>892864</v>
      </c>
      <c r="O80" s="337" t="s">
        <v>875</v>
      </c>
    </row>
    <row r="81" spans="9:15" x14ac:dyDescent="0.25">
      <c r="I81" s="334">
        <v>15</v>
      </c>
      <c r="J81" s="334" t="s">
        <v>871</v>
      </c>
      <c r="K81" s="350" t="s">
        <v>877</v>
      </c>
      <c r="L81" s="335" t="s">
        <v>873</v>
      </c>
      <c r="M81" s="335" t="s">
        <v>874</v>
      </c>
      <c r="N81" s="336">
        <v>897464</v>
      </c>
      <c r="O81" s="334" t="s">
        <v>875</v>
      </c>
    </row>
    <row r="82" spans="9:15" x14ac:dyDescent="0.25">
      <c r="I82" s="337">
        <v>15</v>
      </c>
      <c r="J82" s="337" t="s">
        <v>871</v>
      </c>
      <c r="K82" s="353" t="s">
        <v>878</v>
      </c>
      <c r="L82" s="338" t="s">
        <v>873</v>
      </c>
      <c r="M82" s="338" t="s">
        <v>874</v>
      </c>
      <c r="N82" s="339">
        <v>1615060</v>
      </c>
      <c r="O82" s="337" t="s">
        <v>875</v>
      </c>
    </row>
    <row r="83" spans="9:15" x14ac:dyDescent="0.25">
      <c r="I83" s="334">
        <v>15</v>
      </c>
      <c r="J83" s="334" t="s">
        <v>723</v>
      </c>
      <c r="K83" s="350" t="s">
        <v>759</v>
      </c>
      <c r="L83" s="335" t="s">
        <v>736</v>
      </c>
      <c r="M83" s="335" t="s">
        <v>879</v>
      </c>
      <c r="N83" s="336">
        <v>66000</v>
      </c>
      <c r="O83" s="334" t="s">
        <v>727</v>
      </c>
    </row>
    <row r="84" spans="9:15" x14ac:dyDescent="0.25">
      <c r="I84" s="337">
        <v>15</v>
      </c>
      <c r="J84" s="337" t="s">
        <v>723</v>
      </c>
      <c r="K84" s="353" t="s">
        <v>769</v>
      </c>
      <c r="L84" s="338" t="s">
        <v>736</v>
      </c>
      <c r="M84" s="338" t="s">
        <v>880</v>
      </c>
      <c r="N84" s="339">
        <v>66000</v>
      </c>
      <c r="O84" s="337" t="s">
        <v>727</v>
      </c>
    </row>
    <row r="85" spans="9:15" x14ac:dyDescent="0.25">
      <c r="I85" s="334">
        <v>15</v>
      </c>
      <c r="J85" s="334" t="s">
        <v>723</v>
      </c>
      <c r="K85" s="350" t="s">
        <v>782</v>
      </c>
      <c r="L85" s="335" t="s">
        <v>736</v>
      </c>
      <c r="M85" s="335" t="s">
        <v>881</v>
      </c>
      <c r="N85" s="336">
        <v>66000</v>
      </c>
      <c r="O85" s="334" t="s">
        <v>727</v>
      </c>
    </row>
    <row r="86" spans="9:15" x14ac:dyDescent="0.25">
      <c r="I86" s="337">
        <v>15</v>
      </c>
      <c r="J86" s="337" t="s">
        <v>723</v>
      </c>
      <c r="K86" s="353" t="s">
        <v>882</v>
      </c>
      <c r="L86" s="338" t="s">
        <v>741</v>
      </c>
      <c r="M86" s="338" t="s">
        <v>883</v>
      </c>
      <c r="N86" s="339">
        <v>5000</v>
      </c>
      <c r="O86" s="337" t="s">
        <v>743</v>
      </c>
    </row>
    <row r="87" spans="9:15" x14ac:dyDescent="0.25">
      <c r="I87" s="334">
        <v>15</v>
      </c>
      <c r="J87" s="334" t="s">
        <v>723</v>
      </c>
      <c r="K87" s="350" t="s">
        <v>735</v>
      </c>
      <c r="L87" s="335" t="s">
        <v>736</v>
      </c>
      <c r="M87" s="335" t="s">
        <v>884</v>
      </c>
      <c r="N87" s="336">
        <v>66000</v>
      </c>
      <c r="O87" s="334" t="s">
        <v>727</v>
      </c>
    </row>
    <row r="88" spans="9:15" x14ac:dyDescent="0.25">
      <c r="I88" s="337">
        <v>15</v>
      </c>
      <c r="J88" s="337" t="s">
        <v>885</v>
      </c>
      <c r="K88" s="353" t="s">
        <v>886</v>
      </c>
      <c r="L88" s="338" t="s">
        <v>887</v>
      </c>
      <c r="M88" s="338" t="s">
        <v>888</v>
      </c>
      <c r="N88" s="339">
        <v>11000</v>
      </c>
      <c r="O88" s="337" t="s">
        <v>887</v>
      </c>
    </row>
    <row r="89" spans="9:15" x14ac:dyDescent="0.25">
      <c r="I89" s="334">
        <v>15</v>
      </c>
      <c r="J89" s="334" t="s">
        <v>885</v>
      </c>
      <c r="K89" s="350" t="s">
        <v>886</v>
      </c>
      <c r="L89" s="335" t="s">
        <v>887</v>
      </c>
      <c r="M89" s="335" t="s">
        <v>889</v>
      </c>
      <c r="N89" s="336">
        <v>11000</v>
      </c>
      <c r="O89" s="334" t="s">
        <v>887</v>
      </c>
    </row>
    <row r="90" spans="9:15" x14ac:dyDescent="0.25">
      <c r="I90" s="337">
        <v>15</v>
      </c>
      <c r="J90" s="337" t="s">
        <v>885</v>
      </c>
      <c r="K90" s="353" t="s">
        <v>886</v>
      </c>
      <c r="L90" s="338" t="s">
        <v>887</v>
      </c>
      <c r="M90" s="338" t="s">
        <v>890</v>
      </c>
      <c r="N90" s="339">
        <v>11000</v>
      </c>
      <c r="O90" s="337" t="s">
        <v>887</v>
      </c>
    </row>
    <row r="91" spans="9:15" x14ac:dyDescent="0.25">
      <c r="I91" s="334">
        <v>15</v>
      </c>
      <c r="J91" s="334" t="s">
        <v>885</v>
      </c>
      <c r="K91" s="350" t="s">
        <v>886</v>
      </c>
      <c r="L91" s="335" t="s">
        <v>887</v>
      </c>
      <c r="M91" s="335" t="s">
        <v>891</v>
      </c>
      <c r="N91" s="336">
        <v>63000</v>
      </c>
      <c r="O91" s="334" t="s">
        <v>887</v>
      </c>
    </row>
    <row r="92" spans="9:15" x14ac:dyDescent="0.25">
      <c r="I92" s="337">
        <v>15</v>
      </c>
      <c r="J92" s="337" t="s">
        <v>885</v>
      </c>
      <c r="K92" s="353" t="s">
        <v>886</v>
      </c>
      <c r="L92" s="338" t="s">
        <v>887</v>
      </c>
      <c r="M92" s="338" t="s">
        <v>892</v>
      </c>
      <c r="N92" s="339">
        <v>46500</v>
      </c>
      <c r="O92" s="337" t="s">
        <v>887</v>
      </c>
    </row>
    <row r="93" spans="9:15" x14ac:dyDescent="0.25">
      <c r="I93" s="334">
        <v>15</v>
      </c>
      <c r="J93" s="334" t="s">
        <v>885</v>
      </c>
      <c r="K93" s="350" t="s">
        <v>886</v>
      </c>
      <c r="L93" s="335" t="s">
        <v>887</v>
      </c>
      <c r="M93" s="335" t="s">
        <v>893</v>
      </c>
      <c r="N93" s="336">
        <v>107000</v>
      </c>
      <c r="O93" s="334" t="s">
        <v>887</v>
      </c>
    </row>
    <row r="94" spans="9:15" x14ac:dyDescent="0.25">
      <c r="I94" s="354" t="s">
        <v>894</v>
      </c>
      <c r="J94" s="355"/>
      <c r="K94" s="355"/>
      <c r="L94" s="355"/>
      <c r="M94" s="355"/>
      <c r="N94" s="356">
        <v>4821352</v>
      </c>
      <c r="O94" s="355"/>
    </row>
    <row r="95" spans="9:15" x14ac:dyDescent="0.25">
      <c r="I95" s="334">
        <v>16</v>
      </c>
      <c r="J95" s="334" t="s">
        <v>391</v>
      </c>
      <c r="K95" s="350" t="s">
        <v>895</v>
      </c>
      <c r="L95" s="335" t="s">
        <v>896</v>
      </c>
      <c r="M95" s="335" t="s">
        <v>897</v>
      </c>
      <c r="N95" s="336">
        <v>100000</v>
      </c>
      <c r="O95" s="334" t="s">
        <v>898</v>
      </c>
    </row>
    <row r="96" spans="9:15" x14ac:dyDescent="0.25">
      <c r="I96" s="337">
        <v>16</v>
      </c>
      <c r="J96" s="337" t="s">
        <v>391</v>
      </c>
      <c r="K96" s="353" t="s">
        <v>899</v>
      </c>
      <c r="L96" s="338" t="s">
        <v>900</v>
      </c>
      <c r="M96" s="338" t="s">
        <v>901</v>
      </c>
      <c r="N96" s="339">
        <v>800000</v>
      </c>
      <c r="O96" s="337" t="s">
        <v>902</v>
      </c>
    </row>
    <row r="97" spans="9:15" x14ac:dyDescent="0.25">
      <c r="I97" s="334">
        <v>16</v>
      </c>
      <c r="J97" s="334" t="s">
        <v>391</v>
      </c>
      <c r="K97" s="350" t="s">
        <v>895</v>
      </c>
      <c r="L97" s="335" t="s">
        <v>751</v>
      </c>
      <c r="M97" s="335" t="s">
        <v>903</v>
      </c>
      <c r="N97" s="336">
        <v>30000</v>
      </c>
      <c r="O97" s="334" t="s">
        <v>794</v>
      </c>
    </row>
    <row r="98" spans="9:15" x14ac:dyDescent="0.25">
      <c r="I98" s="337">
        <v>16</v>
      </c>
      <c r="J98" s="337" t="s">
        <v>723</v>
      </c>
      <c r="K98" s="353" t="s">
        <v>759</v>
      </c>
      <c r="L98" s="338" t="s">
        <v>736</v>
      </c>
      <c r="M98" s="338" t="s">
        <v>904</v>
      </c>
      <c r="N98" s="339">
        <v>66000</v>
      </c>
      <c r="O98" s="337" t="s">
        <v>727</v>
      </c>
    </row>
    <row r="99" spans="9:15" x14ac:dyDescent="0.25">
      <c r="I99" s="334">
        <v>16</v>
      </c>
      <c r="J99" s="334" t="s">
        <v>723</v>
      </c>
      <c r="K99" s="350" t="s">
        <v>905</v>
      </c>
      <c r="L99" s="335" t="s">
        <v>741</v>
      </c>
      <c r="M99" s="335" t="s">
        <v>906</v>
      </c>
      <c r="N99" s="336">
        <v>3800</v>
      </c>
      <c r="O99" s="334" t="s">
        <v>743</v>
      </c>
    </row>
    <row r="100" spans="9:15" x14ac:dyDescent="0.25">
      <c r="I100" s="337">
        <v>16</v>
      </c>
      <c r="J100" s="337" t="s">
        <v>723</v>
      </c>
      <c r="K100" s="353" t="s">
        <v>735</v>
      </c>
      <c r="L100" s="338" t="s">
        <v>736</v>
      </c>
      <c r="M100" s="338" t="s">
        <v>884</v>
      </c>
      <c r="N100" s="339">
        <v>66000</v>
      </c>
      <c r="O100" s="337" t="s">
        <v>727</v>
      </c>
    </row>
    <row r="101" spans="9:15" x14ac:dyDescent="0.25">
      <c r="I101" s="354" t="s">
        <v>907</v>
      </c>
      <c r="J101" s="355"/>
      <c r="K101" s="355"/>
      <c r="L101" s="355"/>
      <c r="M101" s="355"/>
      <c r="N101" s="356">
        <v>1065800</v>
      </c>
      <c r="O101" s="355"/>
    </row>
    <row r="102" spans="9:15" x14ac:dyDescent="0.25">
      <c r="I102" s="337">
        <v>17</v>
      </c>
      <c r="J102" s="337" t="s">
        <v>723</v>
      </c>
      <c r="K102" s="353" t="s">
        <v>782</v>
      </c>
      <c r="L102" s="338" t="s">
        <v>736</v>
      </c>
      <c r="M102" s="338" t="s">
        <v>908</v>
      </c>
      <c r="N102" s="339">
        <v>66000</v>
      </c>
      <c r="O102" s="337" t="s">
        <v>727</v>
      </c>
    </row>
    <row r="103" spans="9:15" x14ac:dyDescent="0.25">
      <c r="I103" s="334">
        <v>17</v>
      </c>
      <c r="J103" s="334" t="s">
        <v>723</v>
      </c>
      <c r="K103" s="350" t="s">
        <v>735</v>
      </c>
      <c r="L103" s="335" t="s">
        <v>736</v>
      </c>
      <c r="M103" s="335" t="s">
        <v>884</v>
      </c>
      <c r="N103" s="336">
        <v>66000</v>
      </c>
      <c r="O103" s="334" t="s">
        <v>727</v>
      </c>
    </row>
    <row r="104" spans="9:15" x14ac:dyDescent="0.25">
      <c r="I104" s="337">
        <v>17</v>
      </c>
      <c r="J104" s="337" t="s">
        <v>909</v>
      </c>
      <c r="K104" s="353" t="s">
        <v>910</v>
      </c>
      <c r="L104" s="338" t="s">
        <v>833</v>
      </c>
      <c r="M104" s="338" t="s">
        <v>911</v>
      </c>
      <c r="N104" s="339">
        <v>37700</v>
      </c>
      <c r="O104" s="337" t="s">
        <v>912</v>
      </c>
    </row>
    <row r="105" spans="9:15" x14ac:dyDescent="0.25">
      <c r="I105" s="334">
        <v>17</v>
      </c>
      <c r="J105" s="334" t="s">
        <v>723</v>
      </c>
      <c r="K105" s="350" t="s">
        <v>913</v>
      </c>
      <c r="L105" s="335" t="s">
        <v>805</v>
      </c>
      <c r="M105" s="335" t="s">
        <v>914</v>
      </c>
      <c r="N105" s="336">
        <v>70000</v>
      </c>
      <c r="O105" s="334" t="s">
        <v>727</v>
      </c>
    </row>
    <row r="106" spans="9:15" x14ac:dyDescent="0.25">
      <c r="I106" s="354" t="s">
        <v>915</v>
      </c>
      <c r="J106" s="355"/>
      <c r="K106" s="355"/>
      <c r="L106" s="355"/>
      <c r="M106" s="355"/>
      <c r="N106" s="356">
        <v>239700</v>
      </c>
      <c r="O106" s="355"/>
    </row>
    <row r="107" spans="9:15" x14ac:dyDescent="0.25">
      <c r="I107" s="334">
        <v>18</v>
      </c>
      <c r="J107" s="334" t="s">
        <v>723</v>
      </c>
      <c r="K107" s="350" t="s">
        <v>782</v>
      </c>
      <c r="L107" s="335" t="s">
        <v>736</v>
      </c>
      <c r="M107" s="335" t="s">
        <v>908</v>
      </c>
      <c r="N107" s="336">
        <v>66000</v>
      </c>
      <c r="O107" s="334" t="s">
        <v>727</v>
      </c>
    </row>
    <row r="108" spans="9:15" x14ac:dyDescent="0.25">
      <c r="I108" s="337">
        <v>18</v>
      </c>
      <c r="J108" s="337" t="s">
        <v>723</v>
      </c>
      <c r="K108" s="353" t="s">
        <v>759</v>
      </c>
      <c r="L108" s="338" t="s">
        <v>736</v>
      </c>
      <c r="M108" s="338" t="s">
        <v>904</v>
      </c>
      <c r="N108" s="339">
        <v>66000</v>
      </c>
      <c r="O108" s="337" t="s">
        <v>727</v>
      </c>
    </row>
    <row r="109" spans="9:15" x14ac:dyDescent="0.25">
      <c r="I109" s="334">
        <v>18</v>
      </c>
      <c r="J109" s="334" t="s">
        <v>723</v>
      </c>
      <c r="K109" s="350" t="s">
        <v>735</v>
      </c>
      <c r="L109" s="335" t="s">
        <v>736</v>
      </c>
      <c r="M109" s="335" t="s">
        <v>884</v>
      </c>
      <c r="N109" s="336">
        <v>66000</v>
      </c>
      <c r="O109" s="334" t="s">
        <v>727</v>
      </c>
    </row>
    <row r="110" spans="9:15" x14ac:dyDescent="0.25">
      <c r="I110" s="354" t="s">
        <v>916</v>
      </c>
      <c r="J110" s="355"/>
      <c r="K110" s="355"/>
      <c r="L110" s="355"/>
      <c r="M110" s="355"/>
      <c r="N110" s="356">
        <v>198000</v>
      </c>
      <c r="O110" s="355"/>
    </row>
    <row r="111" spans="9:15" x14ac:dyDescent="0.25">
      <c r="I111" s="334">
        <v>19</v>
      </c>
      <c r="J111" s="334" t="s">
        <v>917</v>
      </c>
      <c r="K111" s="350" t="s">
        <v>918</v>
      </c>
      <c r="L111" s="335" t="s">
        <v>833</v>
      </c>
      <c r="M111" s="335" t="s">
        <v>919</v>
      </c>
      <c r="N111" s="336">
        <v>200000</v>
      </c>
      <c r="O111" s="334" t="s">
        <v>797</v>
      </c>
    </row>
    <row r="112" spans="9:15" x14ac:dyDescent="0.25">
      <c r="I112" s="354" t="s">
        <v>920</v>
      </c>
      <c r="J112" s="355"/>
      <c r="K112" s="355"/>
      <c r="L112" s="355"/>
      <c r="M112" s="355"/>
      <c r="N112" s="356">
        <v>200000</v>
      </c>
      <c r="O112" s="355"/>
    </row>
    <row r="113" spans="9:15" x14ac:dyDescent="0.25">
      <c r="I113" s="359" t="s">
        <v>921</v>
      </c>
      <c r="J113" s="360"/>
      <c r="K113" s="360"/>
      <c r="L113" s="360"/>
      <c r="M113" s="360"/>
      <c r="N113" s="361">
        <v>49772637</v>
      </c>
      <c r="O113" s="360"/>
    </row>
  </sheetData>
  <mergeCells count="16">
    <mergeCell ref="B2:O2"/>
    <mergeCell ref="B9:G9"/>
    <mergeCell ref="L5:N5"/>
    <mergeCell ref="L7:N7"/>
    <mergeCell ref="B3:O3"/>
    <mergeCell ref="I7:K7"/>
    <mergeCell ref="B7:D7"/>
    <mergeCell ref="L6:N6"/>
    <mergeCell ref="E7:G7"/>
    <mergeCell ref="E6:G6"/>
    <mergeCell ref="I6:K6"/>
    <mergeCell ref="B5:D5"/>
    <mergeCell ref="B6:D6"/>
    <mergeCell ref="E5:G5"/>
    <mergeCell ref="I9:O9"/>
    <mergeCell ref="I5:K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100"/>
  <sheetViews>
    <sheetView topLeftCell="A1056" workbookViewId="0">
      <selection activeCell="A1100" sqref="A1100"/>
    </sheetView>
  </sheetViews>
  <sheetFormatPr baseColWidth="10" defaultColWidth="9.140625" defaultRowHeight="15" x14ac:dyDescent="0.25"/>
  <cols>
    <col min="1" max="1" width="8" style="471" customWidth="1"/>
    <col min="2" max="2" width="13" style="471" customWidth="1"/>
    <col min="3" max="3" width="10" style="471" customWidth="1"/>
    <col min="4" max="4" width="25" style="471" customWidth="1"/>
    <col min="5" max="5" width="32" style="471" customWidth="1"/>
    <col min="6" max="6" width="9" style="471" customWidth="1"/>
    <col min="7" max="7" width="16.85546875" style="471" bestFit="1" customWidth="1"/>
    <col min="8" max="8" width="19.28515625" style="471" bestFit="1" customWidth="1"/>
    <col min="9" max="9" width="16" style="471" customWidth="1"/>
    <col min="10" max="10" width="14" style="471" customWidth="1"/>
    <col min="11" max="11" width="16" style="471" customWidth="1"/>
    <col min="12" max="12" width="18.140625" style="471" bestFit="1" customWidth="1"/>
    <col min="13" max="13" width="21.140625" style="471" customWidth="1"/>
    <col min="14" max="14" width="14.28515625" style="471" customWidth="1"/>
    <col min="15" max="15" width="42" style="471" customWidth="1"/>
  </cols>
  <sheetData>
    <row r="1" spans="1:15" ht="24.95" customHeight="1" x14ac:dyDescent="0.25">
      <c r="A1" s="130" t="s">
        <v>48</v>
      </c>
      <c r="B1" s="130" t="s">
        <v>76</v>
      </c>
      <c r="C1" s="130" t="s">
        <v>108</v>
      </c>
      <c r="D1" s="130" t="s">
        <v>110</v>
      </c>
      <c r="E1" s="130" t="s">
        <v>109</v>
      </c>
      <c r="F1" s="130" t="s">
        <v>922</v>
      </c>
      <c r="G1" s="130" t="s">
        <v>923</v>
      </c>
      <c r="H1" s="130" t="s">
        <v>924</v>
      </c>
      <c r="I1" s="130" t="s">
        <v>925</v>
      </c>
      <c r="J1" s="130" t="s">
        <v>926</v>
      </c>
      <c r="K1" s="130" t="s">
        <v>927</v>
      </c>
      <c r="L1" s="130" t="s">
        <v>928</v>
      </c>
      <c r="M1" s="130" t="s">
        <v>929</v>
      </c>
      <c r="N1" s="130" t="s">
        <v>930</v>
      </c>
      <c r="O1" s="461" t="s">
        <v>931</v>
      </c>
    </row>
    <row r="2" spans="1:15" ht="18" customHeight="1" x14ac:dyDescent="0.25">
      <c r="A2" s="116">
        <v>1</v>
      </c>
      <c r="B2" s="117" t="s">
        <v>86</v>
      </c>
      <c r="C2" s="116">
        <v>73</v>
      </c>
      <c r="D2" s="120" t="s">
        <v>91</v>
      </c>
      <c r="E2" s="120" t="s">
        <v>932</v>
      </c>
      <c r="F2" s="117" t="s">
        <v>933</v>
      </c>
      <c r="G2" s="281">
        <v>13</v>
      </c>
      <c r="H2" s="260">
        <v>2593</v>
      </c>
      <c r="I2" s="260">
        <v>33704</v>
      </c>
      <c r="J2" s="260">
        <v>0</v>
      </c>
      <c r="K2" s="260">
        <v>33704</v>
      </c>
      <c r="L2" s="260">
        <v>2696</v>
      </c>
      <c r="M2" s="260">
        <v>36400</v>
      </c>
      <c r="N2" s="119">
        <v>5.4000000000000003E-3</v>
      </c>
      <c r="O2" s="462" t="s">
        <v>934</v>
      </c>
    </row>
    <row r="3" spans="1:15" ht="18" customHeight="1" x14ac:dyDescent="0.25">
      <c r="A3" s="116">
        <v>1</v>
      </c>
      <c r="B3" s="117" t="s">
        <v>86</v>
      </c>
      <c r="C3" s="116">
        <v>65</v>
      </c>
      <c r="D3" s="120" t="s">
        <v>91</v>
      </c>
      <c r="E3" s="120" t="s">
        <v>935</v>
      </c>
      <c r="F3" s="117" t="s">
        <v>933</v>
      </c>
      <c r="G3" s="281">
        <v>2</v>
      </c>
      <c r="H3" s="260">
        <v>2778</v>
      </c>
      <c r="I3" s="260">
        <v>5556</v>
      </c>
      <c r="J3" s="260">
        <v>0</v>
      </c>
      <c r="K3" s="260">
        <v>5556</v>
      </c>
      <c r="L3" s="260">
        <v>444</v>
      </c>
      <c r="M3" s="260">
        <v>6000</v>
      </c>
      <c r="N3" s="119">
        <v>8.9999999999999998E-4</v>
      </c>
      <c r="O3" s="462" t="s">
        <v>934</v>
      </c>
    </row>
    <row r="4" spans="1:15" ht="18" customHeight="1" x14ac:dyDescent="0.25">
      <c r="A4" s="116">
        <v>1</v>
      </c>
      <c r="B4" s="117" t="s">
        <v>86</v>
      </c>
      <c r="C4" s="116">
        <v>1</v>
      </c>
      <c r="D4" s="120" t="s">
        <v>87</v>
      </c>
      <c r="E4" s="120" t="s">
        <v>936</v>
      </c>
      <c r="F4" s="117" t="s">
        <v>933</v>
      </c>
      <c r="G4" s="281">
        <v>22</v>
      </c>
      <c r="H4" s="260">
        <v>18729</v>
      </c>
      <c r="I4" s="260">
        <v>415741</v>
      </c>
      <c r="J4" s="260">
        <v>3704</v>
      </c>
      <c r="K4" s="260">
        <v>412037</v>
      </c>
      <c r="L4" s="260">
        <v>32963</v>
      </c>
      <c r="M4" s="260">
        <v>445000</v>
      </c>
      <c r="N4" s="119">
        <v>6.5599999999999992E-2</v>
      </c>
      <c r="O4" s="462" t="s">
        <v>934</v>
      </c>
    </row>
    <row r="5" spans="1:15" ht="18" customHeight="1" x14ac:dyDescent="0.25">
      <c r="A5" s="116">
        <v>1</v>
      </c>
      <c r="B5" s="117" t="s">
        <v>86</v>
      </c>
      <c r="C5" s="116">
        <v>12</v>
      </c>
      <c r="D5" s="120" t="s">
        <v>93</v>
      </c>
      <c r="E5" s="120" t="s">
        <v>937</v>
      </c>
      <c r="F5" s="117" t="s">
        <v>933</v>
      </c>
      <c r="G5" s="281">
        <v>7</v>
      </c>
      <c r="H5" s="260">
        <v>41667</v>
      </c>
      <c r="I5" s="260">
        <v>291667</v>
      </c>
      <c r="J5" s="260">
        <v>0</v>
      </c>
      <c r="K5" s="260">
        <v>291667</v>
      </c>
      <c r="L5" s="260">
        <v>23333</v>
      </c>
      <c r="M5" s="260">
        <v>315000</v>
      </c>
      <c r="N5" s="119">
        <v>4.6399999999999997E-2</v>
      </c>
      <c r="O5" s="462" t="s">
        <v>934</v>
      </c>
    </row>
    <row r="6" spans="1:15" ht="18" customHeight="1" x14ac:dyDescent="0.25">
      <c r="A6" s="116">
        <v>1</v>
      </c>
      <c r="B6" s="117" t="s">
        <v>86</v>
      </c>
      <c r="C6" s="116">
        <v>104</v>
      </c>
      <c r="D6" s="120" t="s">
        <v>89</v>
      </c>
      <c r="E6" s="120" t="s">
        <v>162</v>
      </c>
      <c r="F6" s="117" t="s">
        <v>933</v>
      </c>
      <c r="G6" s="281">
        <v>9</v>
      </c>
      <c r="H6" s="260">
        <v>15844</v>
      </c>
      <c r="I6" s="260">
        <v>144444</v>
      </c>
      <c r="J6" s="260">
        <v>1852</v>
      </c>
      <c r="K6" s="260">
        <v>142592</v>
      </c>
      <c r="L6" s="260">
        <v>11407</v>
      </c>
      <c r="M6" s="260">
        <v>153999</v>
      </c>
      <c r="N6" s="119">
        <v>2.2700000000000001E-2</v>
      </c>
      <c r="O6" s="462" t="s">
        <v>934</v>
      </c>
    </row>
    <row r="7" spans="1:15" ht="18" customHeight="1" x14ac:dyDescent="0.25">
      <c r="A7" s="116">
        <v>1</v>
      </c>
      <c r="B7" s="117" t="s">
        <v>86</v>
      </c>
      <c r="C7" s="116">
        <v>95</v>
      </c>
      <c r="D7" s="120" t="s">
        <v>87</v>
      </c>
      <c r="E7" s="120" t="s">
        <v>938</v>
      </c>
      <c r="F7" s="117" t="s">
        <v>933</v>
      </c>
      <c r="G7" s="281">
        <v>2</v>
      </c>
      <c r="H7" s="260">
        <v>926</v>
      </c>
      <c r="I7" s="260">
        <v>1852</v>
      </c>
      <c r="J7" s="260">
        <v>0</v>
      </c>
      <c r="K7" s="260">
        <v>1852</v>
      </c>
      <c r="L7" s="260">
        <v>148</v>
      </c>
      <c r="M7" s="260">
        <v>2000</v>
      </c>
      <c r="N7" s="119">
        <v>2.9999999999999997E-4</v>
      </c>
      <c r="O7" s="462" t="s">
        <v>934</v>
      </c>
    </row>
    <row r="8" spans="1:15" ht="18" customHeight="1" x14ac:dyDescent="0.25">
      <c r="A8" s="116">
        <v>1</v>
      </c>
      <c r="B8" s="117" t="s">
        <v>86</v>
      </c>
      <c r="C8" s="116">
        <v>136</v>
      </c>
      <c r="D8" s="120" t="s">
        <v>89</v>
      </c>
      <c r="E8" s="120" t="s">
        <v>939</v>
      </c>
      <c r="F8" s="117" t="s">
        <v>933</v>
      </c>
      <c r="G8" s="281">
        <v>1</v>
      </c>
      <c r="H8" s="260">
        <v>24074</v>
      </c>
      <c r="I8" s="260">
        <v>24074</v>
      </c>
      <c r="J8" s="260">
        <v>0</v>
      </c>
      <c r="K8" s="260">
        <v>24074</v>
      </c>
      <c r="L8" s="260">
        <v>1926</v>
      </c>
      <c r="M8" s="260">
        <v>26000</v>
      </c>
      <c r="N8" s="119">
        <v>3.8E-3</v>
      </c>
      <c r="O8" s="462" t="s">
        <v>934</v>
      </c>
    </row>
    <row r="9" spans="1:15" ht="18" customHeight="1" x14ac:dyDescent="0.25">
      <c r="A9" s="116">
        <v>1</v>
      </c>
      <c r="B9" s="117" t="s">
        <v>86</v>
      </c>
      <c r="C9" s="116">
        <v>8</v>
      </c>
      <c r="D9" s="120" t="s">
        <v>87</v>
      </c>
      <c r="E9" s="120" t="s">
        <v>156</v>
      </c>
      <c r="F9" s="117" t="s">
        <v>933</v>
      </c>
      <c r="G9" s="281">
        <v>11</v>
      </c>
      <c r="H9" s="260">
        <v>18855</v>
      </c>
      <c r="I9" s="260">
        <v>207407</v>
      </c>
      <c r="J9" s="260">
        <v>0</v>
      </c>
      <c r="K9" s="260">
        <v>207407</v>
      </c>
      <c r="L9" s="260">
        <v>16593</v>
      </c>
      <c r="M9" s="260">
        <v>224000</v>
      </c>
      <c r="N9" s="119">
        <v>3.3000000000000002E-2</v>
      </c>
      <c r="O9" s="462" t="s">
        <v>934</v>
      </c>
    </row>
    <row r="10" spans="1:15" ht="18" customHeight="1" x14ac:dyDescent="0.25">
      <c r="A10" s="116">
        <v>1</v>
      </c>
      <c r="B10" s="117" t="s">
        <v>86</v>
      </c>
      <c r="C10" s="116">
        <v>311</v>
      </c>
      <c r="D10" s="120" t="s">
        <v>93</v>
      </c>
      <c r="E10" s="120" t="s">
        <v>940</v>
      </c>
      <c r="F10" s="117" t="s">
        <v>933</v>
      </c>
      <c r="G10" s="281">
        <v>2</v>
      </c>
      <c r="H10" s="260">
        <v>44907</v>
      </c>
      <c r="I10" s="260">
        <v>89815</v>
      </c>
      <c r="J10" s="260">
        <v>0</v>
      </c>
      <c r="K10" s="260">
        <v>89815</v>
      </c>
      <c r="L10" s="260">
        <v>7185</v>
      </c>
      <c r="M10" s="260">
        <v>97000</v>
      </c>
      <c r="N10" s="119">
        <v>1.43E-2</v>
      </c>
      <c r="O10" s="462" t="s">
        <v>934</v>
      </c>
    </row>
    <row r="11" spans="1:15" ht="18" customHeight="1" x14ac:dyDescent="0.25">
      <c r="A11" s="116">
        <v>1</v>
      </c>
      <c r="B11" s="117" t="s">
        <v>86</v>
      </c>
      <c r="C11" s="116">
        <v>87</v>
      </c>
      <c r="D11" s="120" t="s">
        <v>89</v>
      </c>
      <c r="E11" s="120" t="s">
        <v>144</v>
      </c>
      <c r="F11" s="117" t="s">
        <v>933</v>
      </c>
      <c r="G11" s="281">
        <v>2</v>
      </c>
      <c r="H11" s="260">
        <v>37500</v>
      </c>
      <c r="I11" s="260">
        <v>75000</v>
      </c>
      <c r="J11" s="260">
        <v>0</v>
      </c>
      <c r="K11" s="260">
        <v>75000</v>
      </c>
      <c r="L11" s="260">
        <v>6000</v>
      </c>
      <c r="M11" s="260">
        <v>81000</v>
      </c>
      <c r="N11" s="119">
        <v>1.1900000000000001E-2</v>
      </c>
      <c r="O11" s="462" t="s">
        <v>934</v>
      </c>
    </row>
    <row r="12" spans="1:15" ht="18" customHeight="1" x14ac:dyDescent="0.25">
      <c r="A12" s="116">
        <v>1</v>
      </c>
      <c r="B12" s="117" t="s">
        <v>86</v>
      </c>
      <c r="C12" s="116">
        <v>206</v>
      </c>
      <c r="D12" s="120" t="s">
        <v>93</v>
      </c>
      <c r="E12" s="120" t="s">
        <v>941</v>
      </c>
      <c r="F12" s="117" t="s">
        <v>933</v>
      </c>
      <c r="G12" s="281">
        <v>2</v>
      </c>
      <c r="H12" s="260">
        <v>44907</v>
      </c>
      <c r="I12" s="260">
        <v>89815</v>
      </c>
      <c r="J12" s="260">
        <v>0</v>
      </c>
      <c r="K12" s="260">
        <v>89815</v>
      </c>
      <c r="L12" s="260">
        <v>7185</v>
      </c>
      <c r="M12" s="260">
        <v>97000</v>
      </c>
      <c r="N12" s="119">
        <v>1.43E-2</v>
      </c>
      <c r="O12" s="462" t="s">
        <v>934</v>
      </c>
    </row>
    <row r="13" spans="1:15" ht="18" customHeight="1" x14ac:dyDescent="0.25">
      <c r="A13" s="116">
        <v>1</v>
      </c>
      <c r="B13" s="117" t="s">
        <v>86</v>
      </c>
      <c r="C13" s="116">
        <v>13</v>
      </c>
      <c r="D13" s="120" t="s">
        <v>87</v>
      </c>
      <c r="E13" s="120" t="s">
        <v>942</v>
      </c>
      <c r="F13" s="117" t="s">
        <v>933</v>
      </c>
      <c r="G13" s="281">
        <v>2</v>
      </c>
      <c r="H13" s="260">
        <v>18519</v>
      </c>
      <c r="I13" s="260">
        <v>37037</v>
      </c>
      <c r="J13" s="260">
        <v>0</v>
      </c>
      <c r="K13" s="260">
        <v>37037</v>
      </c>
      <c r="L13" s="260">
        <v>2963</v>
      </c>
      <c r="M13" s="260">
        <v>40000</v>
      </c>
      <c r="N13" s="119">
        <v>5.8999999999999999E-3</v>
      </c>
      <c r="O13" s="462" t="s">
        <v>934</v>
      </c>
    </row>
    <row r="14" spans="1:15" ht="18" customHeight="1" x14ac:dyDescent="0.25">
      <c r="A14" s="116">
        <v>1</v>
      </c>
      <c r="B14" s="117" t="s">
        <v>86</v>
      </c>
      <c r="C14" s="116">
        <v>246</v>
      </c>
      <c r="D14" s="120" t="s">
        <v>91</v>
      </c>
      <c r="E14" s="120" t="s">
        <v>943</v>
      </c>
      <c r="F14" s="117" t="s">
        <v>933</v>
      </c>
      <c r="G14" s="281">
        <v>1</v>
      </c>
      <c r="H14" s="260">
        <v>6481</v>
      </c>
      <c r="I14" s="260">
        <v>6481</v>
      </c>
      <c r="J14" s="260">
        <v>0</v>
      </c>
      <c r="K14" s="260">
        <v>6481</v>
      </c>
      <c r="L14" s="260">
        <v>519</v>
      </c>
      <c r="M14" s="260">
        <v>7000</v>
      </c>
      <c r="N14" s="119">
        <v>1E-3</v>
      </c>
      <c r="O14" s="462" t="s">
        <v>934</v>
      </c>
    </row>
    <row r="15" spans="1:15" ht="18" customHeight="1" x14ac:dyDescent="0.25">
      <c r="A15" s="116">
        <v>1</v>
      </c>
      <c r="B15" s="117" t="s">
        <v>86</v>
      </c>
      <c r="C15" s="116">
        <v>70</v>
      </c>
      <c r="D15" s="120" t="s">
        <v>91</v>
      </c>
      <c r="E15" s="120" t="s">
        <v>944</v>
      </c>
      <c r="F15" s="117" t="s">
        <v>933</v>
      </c>
      <c r="G15" s="281">
        <v>0</v>
      </c>
      <c r="H15" s="260">
        <v>0</v>
      </c>
      <c r="I15" s="260">
        <v>0</v>
      </c>
      <c r="J15" s="260">
        <v>0</v>
      </c>
      <c r="K15" s="260">
        <v>0</v>
      </c>
      <c r="L15" s="260">
        <v>0</v>
      </c>
      <c r="M15" s="260">
        <v>0</v>
      </c>
      <c r="N15" s="119">
        <v>0</v>
      </c>
      <c r="O15" s="462" t="s">
        <v>934</v>
      </c>
    </row>
    <row r="16" spans="1:15" ht="18" customHeight="1" x14ac:dyDescent="0.25">
      <c r="A16" s="116">
        <v>1</v>
      </c>
      <c r="B16" s="117" t="s">
        <v>86</v>
      </c>
      <c r="C16" s="116">
        <v>71</v>
      </c>
      <c r="D16" s="120" t="s">
        <v>91</v>
      </c>
      <c r="E16" s="120" t="s">
        <v>945</v>
      </c>
      <c r="F16" s="117" t="s">
        <v>933</v>
      </c>
      <c r="G16" s="281">
        <v>1</v>
      </c>
      <c r="H16" s="260">
        <v>5556</v>
      </c>
      <c r="I16" s="260">
        <v>5556</v>
      </c>
      <c r="J16" s="260">
        <v>0</v>
      </c>
      <c r="K16" s="260">
        <v>5556</v>
      </c>
      <c r="L16" s="260">
        <v>444</v>
      </c>
      <c r="M16" s="260">
        <v>6000</v>
      </c>
      <c r="N16" s="119">
        <v>8.9999999999999998E-4</v>
      </c>
      <c r="O16" s="462" t="s">
        <v>934</v>
      </c>
    </row>
    <row r="17" spans="1:15" ht="18" customHeight="1" x14ac:dyDescent="0.25">
      <c r="A17" s="116">
        <v>1</v>
      </c>
      <c r="B17" s="117" t="s">
        <v>86</v>
      </c>
      <c r="C17" s="116">
        <v>83</v>
      </c>
      <c r="D17" s="120" t="s">
        <v>87</v>
      </c>
      <c r="E17" s="120" t="s">
        <v>946</v>
      </c>
      <c r="F17" s="117" t="s">
        <v>933</v>
      </c>
      <c r="G17" s="281">
        <v>1</v>
      </c>
      <c r="H17" s="260">
        <v>20833</v>
      </c>
      <c r="I17" s="260">
        <v>20833</v>
      </c>
      <c r="J17" s="260">
        <v>0</v>
      </c>
      <c r="K17" s="260">
        <v>20833</v>
      </c>
      <c r="L17" s="260">
        <v>1667</v>
      </c>
      <c r="M17" s="260">
        <v>22500</v>
      </c>
      <c r="N17" s="119">
        <v>3.3E-3</v>
      </c>
      <c r="O17" s="462" t="s">
        <v>934</v>
      </c>
    </row>
    <row r="18" spans="1:15" ht="18" customHeight="1" x14ac:dyDescent="0.25">
      <c r="A18" s="116">
        <v>1</v>
      </c>
      <c r="B18" s="117" t="s">
        <v>86</v>
      </c>
      <c r="C18" s="116">
        <v>43</v>
      </c>
      <c r="D18" s="120" t="s">
        <v>87</v>
      </c>
      <c r="E18" s="120" t="s">
        <v>947</v>
      </c>
      <c r="F18" s="117" t="s">
        <v>933</v>
      </c>
      <c r="G18" s="281">
        <v>1</v>
      </c>
      <c r="H18" s="260">
        <v>8333</v>
      </c>
      <c r="I18" s="260">
        <v>8333</v>
      </c>
      <c r="J18" s="260">
        <v>0</v>
      </c>
      <c r="K18" s="260">
        <v>8333</v>
      </c>
      <c r="L18" s="260">
        <v>667</v>
      </c>
      <c r="M18" s="260">
        <v>9000</v>
      </c>
      <c r="N18" s="119">
        <v>1.2999999999999999E-3</v>
      </c>
      <c r="O18" s="462" t="s">
        <v>934</v>
      </c>
    </row>
    <row r="19" spans="1:15" ht="18" customHeight="1" x14ac:dyDescent="0.25">
      <c r="A19" s="116">
        <v>1</v>
      </c>
      <c r="B19" s="117" t="s">
        <v>86</v>
      </c>
      <c r="C19" s="116">
        <v>122</v>
      </c>
      <c r="D19" s="120" t="s">
        <v>91</v>
      </c>
      <c r="E19" s="120" t="s">
        <v>948</v>
      </c>
      <c r="F19" s="117" t="s">
        <v>933</v>
      </c>
      <c r="G19" s="281">
        <v>1</v>
      </c>
      <c r="H19" s="260">
        <v>2778</v>
      </c>
      <c r="I19" s="260">
        <v>2778</v>
      </c>
      <c r="J19" s="260">
        <v>0</v>
      </c>
      <c r="K19" s="260">
        <v>2778</v>
      </c>
      <c r="L19" s="260">
        <v>222</v>
      </c>
      <c r="M19" s="260">
        <v>3000</v>
      </c>
      <c r="N19" s="119">
        <v>4.0000000000000002E-4</v>
      </c>
      <c r="O19" s="462" t="s">
        <v>934</v>
      </c>
    </row>
    <row r="20" spans="1:15" ht="18" customHeight="1" x14ac:dyDescent="0.25">
      <c r="A20" s="116">
        <v>1</v>
      </c>
      <c r="B20" s="117" t="s">
        <v>86</v>
      </c>
      <c r="C20" s="116">
        <v>44</v>
      </c>
      <c r="D20" s="120" t="s">
        <v>87</v>
      </c>
      <c r="E20" s="120" t="s">
        <v>138</v>
      </c>
      <c r="F20" s="117" t="s">
        <v>933</v>
      </c>
      <c r="G20" s="281">
        <v>1</v>
      </c>
      <c r="H20" s="260">
        <v>28241</v>
      </c>
      <c r="I20" s="260">
        <v>28241</v>
      </c>
      <c r="J20" s="260">
        <v>0</v>
      </c>
      <c r="K20" s="260">
        <v>28241</v>
      </c>
      <c r="L20" s="260">
        <v>2259</v>
      </c>
      <c r="M20" s="260">
        <v>30500</v>
      </c>
      <c r="N20" s="119">
        <v>4.5000000000000014E-3</v>
      </c>
      <c r="O20" s="462" t="s">
        <v>934</v>
      </c>
    </row>
    <row r="21" spans="1:15" ht="18" customHeight="1" x14ac:dyDescent="0.25">
      <c r="A21" s="116">
        <v>1</v>
      </c>
      <c r="B21" s="117" t="s">
        <v>86</v>
      </c>
      <c r="C21" s="116">
        <v>15</v>
      </c>
      <c r="D21" s="120" t="s">
        <v>87</v>
      </c>
      <c r="E21" s="120" t="s">
        <v>278</v>
      </c>
      <c r="F21" s="117" t="s">
        <v>933</v>
      </c>
      <c r="G21" s="281">
        <v>37</v>
      </c>
      <c r="H21" s="260">
        <v>18719</v>
      </c>
      <c r="I21" s="260">
        <v>694444</v>
      </c>
      <c r="J21" s="260">
        <v>1852</v>
      </c>
      <c r="K21" s="260">
        <v>692592</v>
      </c>
      <c r="L21" s="260">
        <v>55407</v>
      </c>
      <c r="M21" s="260">
        <v>747999</v>
      </c>
      <c r="N21" s="119">
        <v>0.11020000000000001</v>
      </c>
      <c r="O21" s="462" t="s">
        <v>934</v>
      </c>
    </row>
    <row r="22" spans="1:15" ht="18" customHeight="1" x14ac:dyDescent="0.25">
      <c r="A22" s="116">
        <v>1</v>
      </c>
      <c r="B22" s="117" t="s">
        <v>86</v>
      </c>
      <c r="C22" s="116">
        <v>110</v>
      </c>
      <c r="D22" s="120" t="s">
        <v>99</v>
      </c>
      <c r="E22" s="120" t="s">
        <v>949</v>
      </c>
      <c r="F22" s="117" t="s">
        <v>933</v>
      </c>
      <c r="G22" s="281">
        <v>12</v>
      </c>
      <c r="H22" s="260">
        <v>926</v>
      </c>
      <c r="I22" s="260">
        <v>11111</v>
      </c>
      <c r="J22" s="260">
        <v>0</v>
      </c>
      <c r="K22" s="260">
        <v>11111</v>
      </c>
      <c r="L22" s="260">
        <v>889</v>
      </c>
      <c r="M22" s="260">
        <v>12000</v>
      </c>
      <c r="N22" s="119">
        <v>1.8E-3</v>
      </c>
      <c r="O22" s="462" t="s">
        <v>934</v>
      </c>
    </row>
    <row r="23" spans="1:15" ht="18" customHeight="1" x14ac:dyDescent="0.25">
      <c r="A23" s="116">
        <v>1</v>
      </c>
      <c r="B23" s="117" t="s">
        <v>86</v>
      </c>
      <c r="C23" s="116">
        <v>45</v>
      </c>
      <c r="D23" s="120" t="s">
        <v>87</v>
      </c>
      <c r="E23" s="120" t="s">
        <v>950</v>
      </c>
      <c r="F23" s="117" t="s">
        <v>933</v>
      </c>
      <c r="G23" s="281">
        <v>1</v>
      </c>
      <c r="H23" s="260">
        <v>35648</v>
      </c>
      <c r="I23" s="260">
        <v>35648</v>
      </c>
      <c r="J23" s="260">
        <v>0</v>
      </c>
      <c r="K23" s="260">
        <v>35648</v>
      </c>
      <c r="L23" s="260">
        <v>2852</v>
      </c>
      <c r="M23" s="260">
        <v>38500</v>
      </c>
      <c r="N23" s="119">
        <v>5.6999999999999993E-3</v>
      </c>
      <c r="O23" s="462" t="s">
        <v>934</v>
      </c>
    </row>
    <row r="24" spans="1:15" ht="18" customHeight="1" x14ac:dyDescent="0.25">
      <c r="A24" s="116">
        <v>1</v>
      </c>
      <c r="B24" s="117" t="s">
        <v>86</v>
      </c>
      <c r="C24" s="116">
        <v>30</v>
      </c>
      <c r="D24" s="120" t="s">
        <v>95</v>
      </c>
      <c r="E24" s="120" t="s">
        <v>951</v>
      </c>
      <c r="F24" s="117" t="s">
        <v>933</v>
      </c>
      <c r="G24" s="281">
        <v>1</v>
      </c>
      <c r="H24" s="260">
        <v>6481</v>
      </c>
      <c r="I24" s="260">
        <v>6481</v>
      </c>
      <c r="J24" s="260">
        <v>0</v>
      </c>
      <c r="K24" s="260">
        <v>6481</v>
      </c>
      <c r="L24" s="260">
        <v>519</v>
      </c>
      <c r="M24" s="260">
        <v>7000</v>
      </c>
      <c r="N24" s="119">
        <v>1E-3</v>
      </c>
      <c r="O24" s="462" t="s">
        <v>934</v>
      </c>
    </row>
    <row r="25" spans="1:15" ht="18" customHeight="1" x14ac:dyDescent="0.25">
      <c r="A25" s="116">
        <v>1</v>
      </c>
      <c r="B25" s="117" t="s">
        <v>86</v>
      </c>
      <c r="C25" s="116">
        <v>305</v>
      </c>
      <c r="D25" s="120" t="s">
        <v>91</v>
      </c>
      <c r="E25" s="120" t="s">
        <v>952</v>
      </c>
      <c r="F25" s="117" t="s">
        <v>933</v>
      </c>
      <c r="G25" s="281">
        <v>2</v>
      </c>
      <c r="H25" s="260">
        <v>9259</v>
      </c>
      <c r="I25" s="260">
        <v>18519</v>
      </c>
      <c r="J25" s="260">
        <v>0</v>
      </c>
      <c r="K25" s="260">
        <v>18519</v>
      </c>
      <c r="L25" s="260">
        <v>1481</v>
      </c>
      <c r="M25" s="260">
        <v>20000</v>
      </c>
      <c r="N25" s="119">
        <v>2.8999999999999998E-3</v>
      </c>
      <c r="O25" s="462" t="s">
        <v>934</v>
      </c>
    </row>
    <row r="26" spans="1:15" ht="18" customHeight="1" x14ac:dyDescent="0.25">
      <c r="A26" s="116">
        <v>1</v>
      </c>
      <c r="B26" s="117" t="s">
        <v>86</v>
      </c>
      <c r="C26" s="116">
        <v>94</v>
      </c>
      <c r="D26" s="120" t="s">
        <v>89</v>
      </c>
      <c r="E26" s="120" t="s">
        <v>150</v>
      </c>
      <c r="F26" s="117" t="s">
        <v>933</v>
      </c>
      <c r="G26" s="281">
        <v>19</v>
      </c>
      <c r="H26" s="260">
        <v>18665</v>
      </c>
      <c r="I26" s="260">
        <v>356481</v>
      </c>
      <c r="J26" s="260">
        <v>1852</v>
      </c>
      <c r="K26" s="260">
        <v>354629</v>
      </c>
      <c r="L26" s="260">
        <v>28370</v>
      </c>
      <c r="M26" s="260">
        <v>382999</v>
      </c>
      <c r="N26" s="119">
        <v>5.6399999999999999E-2</v>
      </c>
      <c r="O26" s="462" t="s">
        <v>934</v>
      </c>
    </row>
    <row r="27" spans="1:15" ht="18" customHeight="1" x14ac:dyDescent="0.25">
      <c r="A27" s="116">
        <v>1</v>
      </c>
      <c r="B27" s="117" t="s">
        <v>86</v>
      </c>
      <c r="C27" s="116">
        <v>233</v>
      </c>
      <c r="D27" s="120" t="s">
        <v>89</v>
      </c>
      <c r="E27" s="120" t="s">
        <v>117</v>
      </c>
      <c r="F27" s="117" t="s">
        <v>933</v>
      </c>
      <c r="G27" s="281">
        <v>36</v>
      </c>
      <c r="H27" s="260">
        <v>18596</v>
      </c>
      <c r="I27" s="260">
        <v>671296</v>
      </c>
      <c r="J27" s="260">
        <v>1852</v>
      </c>
      <c r="K27" s="260">
        <v>669444</v>
      </c>
      <c r="L27" s="260">
        <v>53556</v>
      </c>
      <c r="M27" s="260">
        <v>723000</v>
      </c>
      <c r="N27" s="119">
        <v>0.1066</v>
      </c>
      <c r="O27" s="462" t="s">
        <v>934</v>
      </c>
    </row>
    <row r="28" spans="1:15" ht="18" customHeight="1" x14ac:dyDescent="0.25">
      <c r="A28" s="116">
        <v>1</v>
      </c>
      <c r="B28" s="117" t="s">
        <v>86</v>
      </c>
      <c r="C28" s="116">
        <v>217</v>
      </c>
      <c r="D28" s="120" t="s">
        <v>89</v>
      </c>
      <c r="E28" s="120" t="s">
        <v>953</v>
      </c>
      <c r="F28" s="117" t="s">
        <v>933</v>
      </c>
      <c r="G28" s="281">
        <v>3</v>
      </c>
      <c r="H28" s="260">
        <v>27778</v>
      </c>
      <c r="I28" s="260">
        <v>83333</v>
      </c>
      <c r="J28" s="260">
        <v>0</v>
      </c>
      <c r="K28" s="260">
        <v>83333</v>
      </c>
      <c r="L28" s="260">
        <v>6667</v>
      </c>
      <c r="M28" s="260">
        <v>90000</v>
      </c>
      <c r="N28" s="119">
        <v>1.3299999999999999E-2</v>
      </c>
      <c r="O28" s="462" t="s">
        <v>934</v>
      </c>
    </row>
    <row r="29" spans="1:15" ht="18" customHeight="1" x14ac:dyDescent="0.25">
      <c r="A29" s="116">
        <v>1</v>
      </c>
      <c r="B29" s="117" t="s">
        <v>86</v>
      </c>
      <c r="C29" s="116">
        <v>218</v>
      </c>
      <c r="D29" s="120" t="s">
        <v>89</v>
      </c>
      <c r="E29" s="120" t="s">
        <v>954</v>
      </c>
      <c r="F29" s="117" t="s">
        <v>933</v>
      </c>
      <c r="G29" s="281">
        <v>7</v>
      </c>
      <c r="H29" s="260">
        <v>18651</v>
      </c>
      <c r="I29" s="260">
        <v>130556</v>
      </c>
      <c r="J29" s="260">
        <v>0</v>
      </c>
      <c r="K29" s="260">
        <v>130556</v>
      </c>
      <c r="L29" s="260">
        <v>10444</v>
      </c>
      <c r="M29" s="260">
        <v>141000</v>
      </c>
      <c r="N29" s="119">
        <v>2.0799999999999999E-2</v>
      </c>
      <c r="O29" s="462" t="s">
        <v>934</v>
      </c>
    </row>
    <row r="30" spans="1:15" ht="18" customHeight="1" x14ac:dyDescent="0.25">
      <c r="A30" s="116">
        <v>1</v>
      </c>
      <c r="B30" s="117" t="s">
        <v>86</v>
      </c>
      <c r="C30" s="116">
        <v>34</v>
      </c>
      <c r="D30" s="120" t="s">
        <v>91</v>
      </c>
      <c r="E30" s="120" t="s">
        <v>955</v>
      </c>
      <c r="F30" s="117" t="s">
        <v>933</v>
      </c>
      <c r="G30" s="281">
        <v>6</v>
      </c>
      <c r="H30" s="260">
        <v>6481</v>
      </c>
      <c r="I30" s="260">
        <v>38889</v>
      </c>
      <c r="J30" s="260">
        <v>0</v>
      </c>
      <c r="K30" s="260">
        <v>38889</v>
      </c>
      <c r="L30" s="260">
        <v>3111</v>
      </c>
      <c r="M30" s="260">
        <v>42000</v>
      </c>
      <c r="N30" s="119">
        <v>6.1999999999999998E-3</v>
      </c>
      <c r="O30" s="462" t="s">
        <v>934</v>
      </c>
    </row>
    <row r="31" spans="1:15" ht="18" customHeight="1" x14ac:dyDescent="0.25">
      <c r="A31" s="116">
        <v>1</v>
      </c>
      <c r="B31" s="117" t="s">
        <v>86</v>
      </c>
      <c r="C31" s="116">
        <v>121</v>
      </c>
      <c r="D31" s="120" t="s">
        <v>91</v>
      </c>
      <c r="E31" s="120" t="s">
        <v>956</v>
      </c>
      <c r="F31" s="117" t="s">
        <v>933</v>
      </c>
      <c r="G31" s="281">
        <v>3</v>
      </c>
      <c r="H31" s="260">
        <v>2778</v>
      </c>
      <c r="I31" s="260">
        <v>8333</v>
      </c>
      <c r="J31" s="260">
        <v>0</v>
      </c>
      <c r="K31" s="260">
        <v>8333</v>
      </c>
      <c r="L31" s="260">
        <v>667</v>
      </c>
      <c r="M31" s="260">
        <v>9000</v>
      </c>
      <c r="N31" s="119">
        <v>1.2999999999999999E-3</v>
      </c>
      <c r="O31" s="462" t="s">
        <v>934</v>
      </c>
    </row>
    <row r="32" spans="1:15" ht="18" customHeight="1" x14ac:dyDescent="0.25">
      <c r="A32" s="116">
        <v>1</v>
      </c>
      <c r="B32" s="117" t="s">
        <v>86</v>
      </c>
      <c r="C32" s="116">
        <v>208</v>
      </c>
      <c r="D32" s="120" t="s">
        <v>91</v>
      </c>
      <c r="E32" s="120" t="s">
        <v>957</v>
      </c>
      <c r="F32" s="117" t="s">
        <v>933</v>
      </c>
      <c r="G32" s="281">
        <v>9</v>
      </c>
      <c r="H32" s="260">
        <v>3704</v>
      </c>
      <c r="I32" s="260">
        <v>33333</v>
      </c>
      <c r="J32" s="260">
        <v>0</v>
      </c>
      <c r="K32" s="260">
        <v>33333</v>
      </c>
      <c r="L32" s="260">
        <v>2667</v>
      </c>
      <c r="M32" s="260">
        <v>36000</v>
      </c>
      <c r="N32" s="119">
        <v>5.3E-3</v>
      </c>
      <c r="O32" s="462" t="s">
        <v>934</v>
      </c>
    </row>
    <row r="33" spans="1:15" ht="18" customHeight="1" x14ac:dyDescent="0.25">
      <c r="A33" s="116">
        <v>1</v>
      </c>
      <c r="B33" s="117" t="s">
        <v>86</v>
      </c>
      <c r="C33" s="116">
        <v>90</v>
      </c>
      <c r="D33" s="120" t="s">
        <v>91</v>
      </c>
      <c r="E33" s="120" t="s">
        <v>487</v>
      </c>
      <c r="F33" s="117" t="s">
        <v>933</v>
      </c>
      <c r="G33" s="281">
        <v>3</v>
      </c>
      <c r="H33" s="260">
        <v>4259</v>
      </c>
      <c r="I33" s="260">
        <v>12778</v>
      </c>
      <c r="J33" s="260">
        <v>0</v>
      </c>
      <c r="K33" s="260">
        <v>12778</v>
      </c>
      <c r="L33" s="260">
        <v>1022</v>
      </c>
      <c r="M33" s="260">
        <v>13800</v>
      </c>
      <c r="N33" s="119">
        <v>2E-3</v>
      </c>
      <c r="O33" s="462" t="s">
        <v>934</v>
      </c>
    </row>
    <row r="34" spans="1:15" ht="18" customHeight="1" x14ac:dyDescent="0.25">
      <c r="A34" s="116">
        <v>1</v>
      </c>
      <c r="B34" s="117" t="s">
        <v>86</v>
      </c>
      <c r="C34" s="116">
        <v>123</v>
      </c>
      <c r="D34" s="120" t="s">
        <v>91</v>
      </c>
      <c r="E34" s="120" t="s">
        <v>958</v>
      </c>
      <c r="F34" s="117" t="s">
        <v>933</v>
      </c>
      <c r="G34" s="281">
        <v>2</v>
      </c>
      <c r="H34" s="260">
        <v>2778</v>
      </c>
      <c r="I34" s="260">
        <v>5556</v>
      </c>
      <c r="J34" s="260">
        <v>0</v>
      </c>
      <c r="K34" s="260">
        <v>5556</v>
      </c>
      <c r="L34" s="260">
        <v>444</v>
      </c>
      <c r="M34" s="260">
        <v>6000</v>
      </c>
      <c r="N34" s="119">
        <v>8.9999999999999998E-4</v>
      </c>
      <c r="O34" s="462" t="s">
        <v>934</v>
      </c>
    </row>
    <row r="35" spans="1:15" ht="18" customHeight="1" x14ac:dyDescent="0.25">
      <c r="A35" s="116">
        <v>1</v>
      </c>
      <c r="B35" s="117" t="s">
        <v>86</v>
      </c>
      <c r="C35" s="116">
        <v>31</v>
      </c>
      <c r="D35" s="120" t="s">
        <v>95</v>
      </c>
      <c r="E35" s="120" t="s">
        <v>959</v>
      </c>
      <c r="F35" s="117" t="s">
        <v>933</v>
      </c>
      <c r="G35" s="281">
        <v>9</v>
      </c>
      <c r="H35" s="260">
        <v>1155</v>
      </c>
      <c r="I35" s="260">
        <v>10833</v>
      </c>
      <c r="J35" s="260">
        <v>434</v>
      </c>
      <c r="K35" s="260">
        <v>10399</v>
      </c>
      <c r="L35" s="260">
        <v>832</v>
      </c>
      <c r="M35" s="260">
        <v>11231</v>
      </c>
      <c r="N35" s="119">
        <v>1.6999999999999999E-3</v>
      </c>
      <c r="O35" s="462" t="s">
        <v>934</v>
      </c>
    </row>
    <row r="36" spans="1:15" ht="18" customHeight="1" x14ac:dyDescent="0.25">
      <c r="A36" s="116">
        <v>1</v>
      </c>
      <c r="B36" s="117" t="s">
        <v>86</v>
      </c>
      <c r="C36" s="116">
        <v>212</v>
      </c>
      <c r="D36" s="120" t="s">
        <v>91</v>
      </c>
      <c r="E36" s="120" t="s">
        <v>165</v>
      </c>
      <c r="F36" s="117" t="s">
        <v>933</v>
      </c>
      <c r="G36" s="281">
        <v>3</v>
      </c>
      <c r="H36" s="260">
        <v>22222</v>
      </c>
      <c r="I36" s="260">
        <v>66667</v>
      </c>
      <c r="J36" s="260">
        <v>0</v>
      </c>
      <c r="K36" s="260">
        <v>66667</v>
      </c>
      <c r="L36" s="260">
        <v>5333</v>
      </c>
      <c r="M36" s="260">
        <v>72000</v>
      </c>
      <c r="N36" s="119">
        <v>1.06E-2</v>
      </c>
      <c r="O36" s="462" t="s">
        <v>934</v>
      </c>
    </row>
    <row r="37" spans="1:15" ht="18" customHeight="1" x14ac:dyDescent="0.25">
      <c r="A37" s="116">
        <v>1</v>
      </c>
      <c r="B37" s="117" t="s">
        <v>86</v>
      </c>
      <c r="C37" s="116">
        <v>501</v>
      </c>
      <c r="D37" s="120" t="s">
        <v>91</v>
      </c>
      <c r="E37" s="120" t="s">
        <v>960</v>
      </c>
      <c r="F37" s="117" t="s">
        <v>933</v>
      </c>
      <c r="G37" s="281">
        <v>1</v>
      </c>
      <c r="H37" s="260">
        <v>22222</v>
      </c>
      <c r="I37" s="260">
        <v>22222</v>
      </c>
      <c r="J37" s="260">
        <v>0</v>
      </c>
      <c r="K37" s="260">
        <v>22222</v>
      </c>
      <c r="L37" s="260">
        <v>1778</v>
      </c>
      <c r="M37" s="260">
        <v>24000</v>
      </c>
      <c r="N37" s="119">
        <v>3.5000000000000001E-3</v>
      </c>
      <c r="O37" s="462" t="s">
        <v>934</v>
      </c>
    </row>
    <row r="38" spans="1:15" ht="18" customHeight="1" x14ac:dyDescent="0.25">
      <c r="A38" s="116">
        <v>1</v>
      </c>
      <c r="B38" s="117" t="s">
        <v>86</v>
      </c>
      <c r="C38" s="116">
        <v>75</v>
      </c>
      <c r="D38" s="120" t="s">
        <v>91</v>
      </c>
      <c r="E38" s="120" t="s">
        <v>961</v>
      </c>
      <c r="F38" s="117" t="s">
        <v>933</v>
      </c>
      <c r="G38" s="281">
        <v>1</v>
      </c>
      <c r="H38" s="260">
        <v>9259</v>
      </c>
      <c r="I38" s="260">
        <v>9259</v>
      </c>
      <c r="J38" s="260">
        <v>0</v>
      </c>
      <c r="K38" s="260">
        <v>9259</v>
      </c>
      <c r="L38" s="260">
        <v>741</v>
      </c>
      <c r="M38" s="260">
        <v>10000</v>
      </c>
      <c r="N38" s="119">
        <v>1.5E-3</v>
      </c>
      <c r="O38" s="462" t="s">
        <v>934</v>
      </c>
    </row>
    <row r="39" spans="1:15" ht="18" customHeight="1" x14ac:dyDescent="0.25">
      <c r="A39" s="116">
        <v>1</v>
      </c>
      <c r="B39" s="117" t="s">
        <v>86</v>
      </c>
      <c r="C39" s="116">
        <v>204</v>
      </c>
      <c r="D39" s="120" t="s">
        <v>91</v>
      </c>
      <c r="E39" s="120" t="s">
        <v>962</v>
      </c>
      <c r="F39" s="117" t="s">
        <v>933</v>
      </c>
      <c r="G39" s="281">
        <v>3</v>
      </c>
      <c r="H39" s="260">
        <v>12037</v>
      </c>
      <c r="I39" s="260">
        <v>36111</v>
      </c>
      <c r="J39" s="260">
        <v>0</v>
      </c>
      <c r="K39" s="260">
        <v>36111</v>
      </c>
      <c r="L39" s="260">
        <v>2889</v>
      </c>
      <c r="M39" s="260">
        <v>39000</v>
      </c>
      <c r="N39" s="119">
        <v>5.6999999999999993E-3</v>
      </c>
      <c r="O39" s="462" t="s">
        <v>934</v>
      </c>
    </row>
    <row r="40" spans="1:15" ht="18" customHeight="1" x14ac:dyDescent="0.25">
      <c r="A40" s="116">
        <v>1</v>
      </c>
      <c r="B40" s="117" t="s">
        <v>86</v>
      </c>
      <c r="C40" s="116">
        <v>109</v>
      </c>
      <c r="D40" s="120" t="s">
        <v>91</v>
      </c>
      <c r="E40" s="120" t="s">
        <v>147</v>
      </c>
      <c r="F40" s="117" t="s">
        <v>933</v>
      </c>
      <c r="G40" s="281">
        <v>4</v>
      </c>
      <c r="H40" s="260">
        <v>12963</v>
      </c>
      <c r="I40" s="260">
        <v>51852</v>
      </c>
      <c r="J40" s="260">
        <v>0</v>
      </c>
      <c r="K40" s="260">
        <v>51852</v>
      </c>
      <c r="L40" s="260">
        <v>4148</v>
      </c>
      <c r="M40" s="260">
        <v>56000</v>
      </c>
      <c r="N40" s="119">
        <v>8.3000000000000001E-3</v>
      </c>
      <c r="O40" s="462" t="s">
        <v>934</v>
      </c>
    </row>
    <row r="41" spans="1:15" ht="18" customHeight="1" x14ac:dyDescent="0.25">
      <c r="A41" s="116">
        <v>1</v>
      </c>
      <c r="B41" s="117" t="s">
        <v>86</v>
      </c>
      <c r="C41" s="116">
        <v>147</v>
      </c>
      <c r="D41" s="120" t="s">
        <v>91</v>
      </c>
      <c r="E41" s="120" t="s">
        <v>963</v>
      </c>
      <c r="F41" s="117" t="s">
        <v>933</v>
      </c>
      <c r="G41" s="281">
        <v>1</v>
      </c>
      <c r="H41" s="260">
        <v>6481</v>
      </c>
      <c r="I41" s="260">
        <v>6481</v>
      </c>
      <c r="J41" s="260">
        <v>0</v>
      </c>
      <c r="K41" s="260">
        <v>6481</v>
      </c>
      <c r="L41" s="260">
        <v>519</v>
      </c>
      <c r="M41" s="260">
        <v>7000</v>
      </c>
      <c r="N41" s="119">
        <v>1E-3</v>
      </c>
      <c r="O41" s="462" t="s">
        <v>934</v>
      </c>
    </row>
    <row r="42" spans="1:15" ht="18" customHeight="1" x14ac:dyDescent="0.25">
      <c r="A42" s="116">
        <v>1</v>
      </c>
      <c r="B42" s="117" t="s">
        <v>86</v>
      </c>
      <c r="C42" s="116">
        <v>46</v>
      </c>
      <c r="D42" s="120" t="s">
        <v>87</v>
      </c>
      <c r="E42" s="120" t="s">
        <v>964</v>
      </c>
      <c r="F42" s="117" t="s">
        <v>933</v>
      </c>
      <c r="G42" s="281">
        <v>2</v>
      </c>
      <c r="H42" s="260">
        <v>35648</v>
      </c>
      <c r="I42" s="260">
        <v>71296</v>
      </c>
      <c r="J42" s="260">
        <v>0</v>
      </c>
      <c r="K42" s="260">
        <v>71296</v>
      </c>
      <c r="L42" s="260">
        <v>5704</v>
      </c>
      <c r="M42" s="260">
        <v>77000</v>
      </c>
      <c r="N42" s="119">
        <v>1.1299999999999999E-2</v>
      </c>
      <c r="O42" s="462" t="s">
        <v>934</v>
      </c>
    </row>
    <row r="43" spans="1:15" ht="18" customHeight="1" x14ac:dyDescent="0.25">
      <c r="A43" s="116">
        <v>1</v>
      </c>
      <c r="B43" s="117" t="s">
        <v>86</v>
      </c>
      <c r="C43" s="116">
        <v>72</v>
      </c>
      <c r="D43" s="120" t="s">
        <v>97</v>
      </c>
      <c r="E43" s="120" t="s">
        <v>965</v>
      </c>
      <c r="F43" s="117" t="s">
        <v>933</v>
      </c>
      <c r="G43" s="281">
        <v>8</v>
      </c>
      <c r="H43" s="260">
        <v>3704</v>
      </c>
      <c r="I43" s="260">
        <v>29630</v>
      </c>
      <c r="J43" s="260">
        <v>0</v>
      </c>
      <c r="K43" s="260">
        <v>29630</v>
      </c>
      <c r="L43" s="260">
        <v>2370</v>
      </c>
      <c r="M43" s="260">
        <v>32000</v>
      </c>
      <c r="N43" s="119">
        <v>4.6999999999999993E-3</v>
      </c>
      <c r="O43" s="462" t="s">
        <v>934</v>
      </c>
    </row>
    <row r="44" spans="1:15" ht="18" customHeight="1" x14ac:dyDescent="0.25">
      <c r="A44" s="116">
        <v>1</v>
      </c>
      <c r="B44" s="117" t="s">
        <v>86</v>
      </c>
      <c r="C44" s="116">
        <v>112</v>
      </c>
      <c r="D44" s="120" t="s">
        <v>87</v>
      </c>
      <c r="E44" s="120" t="s">
        <v>966</v>
      </c>
      <c r="F44" s="117" t="s">
        <v>933</v>
      </c>
      <c r="G44" s="281">
        <v>2</v>
      </c>
      <c r="H44" s="260">
        <v>41667</v>
      </c>
      <c r="I44" s="260">
        <v>83333</v>
      </c>
      <c r="J44" s="260">
        <v>0</v>
      </c>
      <c r="K44" s="260">
        <v>83333</v>
      </c>
      <c r="L44" s="260">
        <v>6667</v>
      </c>
      <c r="M44" s="260">
        <v>90000</v>
      </c>
      <c r="N44" s="119">
        <v>1.3299999999999999E-2</v>
      </c>
      <c r="O44" s="462" t="s">
        <v>934</v>
      </c>
    </row>
    <row r="45" spans="1:15" ht="18" customHeight="1" x14ac:dyDescent="0.25">
      <c r="A45" s="116">
        <v>1</v>
      </c>
      <c r="B45" s="117" t="s">
        <v>86</v>
      </c>
      <c r="C45" s="116">
        <v>101</v>
      </c>
      <c r="D45" s="120" t="s">
        <v>87</v>
      </c>
      <c r="E45" s="120" t="s">
        <v>967</v>
      </c>
      <c r="F45" s="117" t="s">
        <v>933</v>
      </c>
      <c r="G45" s="281">
        <v>1</v>
      </c>
      <c r="H45" s="260">
        <v>2315</v>
      </c>
      <c r="I45" s="260">
        <v>2315</v>
      </c>
      <c r="J45" s="260">
        <v>0</v>
      </c>
      <c r="K45" s="260">
        <v>2315</v>
      </c>
      <c r="L45" s="260">
        <v>185</v>
      </c>
      <c r="M45" s="260">
        <v>2500</v>
      </c>
      <c r="N45" s="119">
        <v>4.0000000000000002E-4</v>
      </c>
      <c r="O45" s="462" t="s">
        <v>934</v>
      </c>
    </row>
    <row r="46" spans="1:15" ht="18" customHeight="1" x14ac:dyDescent="0.25">
      <c r="A46" s="116">
        <v>1</v>
      </c>
      <c r="B46" s="117" t="s">
        <v>86</v>
      </c>
      <c r="C46" s="116">
        <v>119</v>
      </c>
      <c r="D46" s="120" t="s">
        <v>89</v>
      </c>
      <c r="E46" s="120" t="s">
        <v>114</v>
      </c>
      <c r="F46" s="117" t="s">
        <v>933</v>
      </c>
      <c r="G46" s="281">
        <v>10</v>
      </c>
      <c r="H46" s="260">
        <v>44444</v>
      </c>
      <c r="I46" s="260">
        <v>444444</v>
      </c>
      <c r="J46" s="260">
        <v>0</v>
      </c>
      <c r="K46" s="260">
        <v>444444</v>
      </c>
      <c r="L46" s="260">
        <v>35556</v>
      </c>
      <c r="M46" s="260">
        <v>480000</v>
      </c>
      <c r="N46" s="119">
        <v>7.0699999999999999E-2</v>
      </c>
      <c r="O46" s="462" t="s">
        <v>934</v>
      </c>
    </row>
    <row r="47" spans="1:15" ht="18" customHeight="1" x14ac:dyDescent="0.25">
      <c r="A47" s="116">
        <v>1</v>
      </c>
      <c r="B47" s="117" t="s">
        <v>86</v>
      </c>
      <c r="C47" s="116">
        <v>19</v>
      </c>
      <c r="D47" s="120" t="s">
        <v>87</v>
      </c>
      <c r="E47" s="120" t="s">
        <v>968</v>
      </c>
      <c r="F47" s="117" t="s">
        <v>933</v>
      </c>
      <c r="G47" s="281">
        <v>1</v>
      </c>
      <c r="H47" s="260">
        <v>9259</v>
      </c>
      <c r="I47" s="260">
        <v>9259</v>
      </c>
      <c r="J47" s="260">
        <v>0</v>
      </c>
      <c r="K47" s="260">
        <v>9259</v>
      </c>
      <c r="L47" s="260">
        <v>741</v>
      </c>
      <c r="M47" s="260">
        <v>10000</v>
      </c>
      <c r="N47" s="119">
        <v>1.5E-3</v>
      </c>
      <c r="O47" s="462" t="s">
        <v>934</v>
      </c>
    </row>
    <row r="48" spans="1:15" ht="18" customHeight="1" x14ac:dyDescent="0.25">
      <c r="A48" s="116">
        <v>1</v>
      </c>
      <c r="B48" s="117" t="s">
        <v>86</v>
      </c>
      <c r="C48" s="116">
        <v>77</v>
      </c>
      <c r="D48" s="120" t="s">
        <v>87</v>
      </c>
      <c r="E48" s="120" t="s">
        <v>969</v>
      </c>
      <c r="F48" s="117" t="s">
        <v>933</v>
      </c>
      <c r="G48" s="281">
        <v>1</v>
      </c>
      <c r="H48" s="260">
        <v>2778</v>
      </c>
      <c r="I48" s="260">
        <v>2778</v>
      </c>
      <c r="J48" s="260">
        <v>0</v>
      </c>
      <c r="K48" s="260">
        <v>2778</v>
      </c>
      <c r="L48" s="260">
        <v>222</v>
      </c>
      <c r="M48" s="260">
        <v>3000</v>
      </c>
      <c r="N48" s="119">
        <v>4.0000000000000002E-4</v>
      </c>
      <c r="O48" s="462" t="s">
        <v>934</v>
      </c>
    </row>
    <row r="49" spans="1:15" ht="18" customHeight="1" x14ac:dyDescent="0.25">
      <c r="A49" s="116">
        <v>1</v>
      </c>
      <c r="B49" s="117" t="s">
        <v>86</v>
      </c>
      <c r="C49" s="116">
        <v>162</v>
      </c>
      <c r="D49" s="120" t="s">
        <v>95</v>
      </c>
      <c r="E49" s="120" t="s">
        <v>970</v>
      </c>
      <c r="F49" s="117" t="s">
        <v>933</v>
      </c>
      <c r="G49" s="281">
        <v>14</v>
      </c>
      <c r="H49" s="260">
        <v>6481</v>
      </c>
      <c r="I49" s="260">
        <v>90741</v>
      </c>
      <c r="J49" s="260">
        <v>0</v>
      </c>
      <c r="K49" s="260">
        <v>90741</v>
      </c>
      <c r="L49" s="260">
        <v>7259</v>
      </c>
      <c r="M49" s="260">
        <v>98000</v>
      </c>
      <c r="N49" s="119">
        <v>1.44E-2</v>
      </c>
      <c r="O49" s="462" t="s">
        <v>934</v>
      </c>
    </row>
    <row r="50" spans="1:15" ht="18" customHeight="1" x14ac:dyDescent="0.25">
      <c r="A50" s="116">
        <v>1</v>
      </c>
      <c r="B50" s="117" t="s">
        <v>86</v>
      </c>
      <c r="C50" s="116">
        <v>81</v>
      </c>
      <c r="D50" s="120" t="s">
        <v>95</v>
      </c>
      <c r="E50" s="120" t="s">
        <v>971</v>
      </c>
      <c r="F50" s="117" t="s">
        <v>933</v>
      </c>
      <c r="G50" s="281">
        <v>1</v>
      </c>
      <c r="H50" s="260">
        <v>1389</v>
      </c>
      <c r="I50" s="260">
        <v>1389</v>
      </c>
      <c r="J50" s="260">
        <v>0</v>
      </c>
      <c r="K50" s="260">
        <v>1389</v>
      </c>
      <c r="L50" s="260">
        <v>111</v>
      </c>
      <c r="M50" s="260">
        <v>1500</v>
      </c>
      <c r="N50" s="119">
        <v>2.0000000000000001E-4</v>
      </c>
      <c r="O50" s="462" t="s">
        <v>934</v>
      </c>
    </row>
    <row r="51" spans="1:15" ht="18" customHeight="1" x14ac:dyDescent="0.25">
      <c r="A51" s="116">
        <v>1</v>
      </c>
      <c r="B51" s="117" t="s">
        <v>86</v>
      </c>
      <c r="C51" s="116">
        <v>86</v>
      </c>
      <c r="D51" s="120" t="s">
        <v>95</v>
      </c>
      <c r="E51" s="120" t="s">
        <v>972</v>
      </c>
      <c r="F51" s="117" t="s">
        <v>933</v>
      </c>
      <c r="G51" s="281">
        <v>14</v>
      </c>
      <c r="H51" s="260">
        <v>3199</v>
      </c>
      <c r="I51" s="260">
        <v>45370</v>
      </c>
      <c r="J51" s="260">
        <v>584</v>
      </c>
      <c r="K51" s="260">
        <v>44786</v>
      </c>
      <c r="L51" s="260">
        <v>3583</v>
      </c>
      <c r="M51" s="260">
        <v>48369</v>
      </c>
      <c r="N51" s="119">
        <v>7.1000000000000004E-3</v>
      </c>
      <c r="O51" s="462" t="s">
        <v>934</v>
      </c>
    </row>
    <row r="52" spans="1:15" ht="18" customHeight="1" x14ac:dyDescent="0.25">
      <c r="A52" s="116">
        <v>1</v>
      </c>
      <c r="B52" s="117" t="s">
        <v>86</v>
      </c>
      <c r="C52" s="116">
        <v>80</v>
      </c>
      <c r="D52" s="120" t="s">
        <v>95</v>
      </c>
      <c r="E52" s="120" t="s">
        <v>973</v>
      </c>
      <c r="F52" s="117" t="s">
        <v>933</v>
      </c>
      <c r="G52" s="281">
        <v>1</v>
      </c>
      <c r="H52" s="260">
        <v>6481</v>
      </c>
      <c r="I52" s="260">
        <v>6481</v>
      </c>
      <c r="J52" s="260">
        <v>0</v>
      </c>
      <c r="K52" s="260">
        <v>6481</v>
      </c>
      <c r="L52" s="260">
        <v>519</v>
      </c>
      <c r="M52" s="260">
        <v>7000</v>
      </c>
      <c r="N52" s="119">
        <v>1E-3</v>
      </c>
      <c r="O52" s="462" t="s">
        <v>934</v>
      </c>
    </row>
    <row r="53" spans="1:15" ht="18" customHeight="1" x14ac:dyDescent="0.25">
      <c r="A53" s="116">
        <v>1</v>
      </c>
      <c r="B53" s="117" t="s">
        <v>86</v>
      </c>
      <c r="C53" s="116">
        <v>169</v>
      </c>
      <c r="D53" s="120" t="s">
        <v>95</v>
      </c>
      <c r="E53" s="120" t="s">
        <v>974</v>
      </c>
      <c r="F53" s="117" t="s">
        <v>933</v>
      </c>
      <c r="G53" s="281">
        <v>14</v>
      </c>
      <c r="H53" s="260">
        <v>6481</v>
      </c>
      <c r="I53" s="260">
        <v>90741</v>
      </c>
      <c r="J53" s="260">
        <v>0</v>
      </c>
      <c r="K53" s="260">
        <v>90741</v>
      </c>
      <c r="L53" s="260">
        <v>7259</v>
      </c>
      <c r="M53" s="260">
        <v>98000</v>
      </c>
      <c r="N53" s="119">
        <v>1.44E-2</v>
      </c>
      <c r="O53" s="462" t="s">
        <v>934</v>
      </c>
    </row>
    <row r="54" spans="1:15" ht="18" customHeight="1" x14ac:dyDescent="0.25">
      <c r="A54" s="116">
        <v>1</v>
      </c>
      <c r="B54" s="117" t="s">
        <v>86</v>
      </c>
      <c r="C54" s="116">
        <v>79</v>
      </c>
      <c r="D54" s="120" t="s">
        <v>95</v>
      </c>
      <c r="E54" s="120" t="s">
        <v>975</v>
      </c>
      <c r="F54" s="117" t="s">
        <v>933</v>
      </c>
      <c r="G54" s="281">
        <v>6</v>
      </c>
      <c r="H54" s="260">
        <v>6481</v>
      </c>
      <c r="I54" s="260">
        <v>38889</v>
      </c>
      <c r="J54" s="260">
        <v>0</v>
      </c>
      <c r="K54" s="260">
        <v>38889</v>
      </c>
      <c r="L54" s="260">
        <v>3111</v>
      </c>
      <c r="M54" s="260">
        <v>42000</v>
      </c>
      <c r="N54" s="119">
        <v>6.1999999999999998E-3</v>
      </c>
      <c r="O54" s="462" t="s">
        <v>934</v>
      </c>
    </row>
    <row r="55" spans="1:15" ht="18" customHeight="1" x14ac:dyDescent="0.25">
      <c r="A55" s="116">
        <v>1</v>
      </c>
      <c r="B55" s="117" t="s">
        <v>86</v>
      </c>
      <c r="C55" s="116">
        <v>62</v>
      </c>
      <c r="D55" s="120" t="s">
        <v>95</v>
      </c>
      <c r="E55" s="120" t="s">
        <v>976</v>
      </c>
      <c r="F55" s="117" t="s">
        <v>933</v>
      </c>
      <c r="G55" s="281">
        <v>3</v>
      </c>
      <c r="H55" s="260">
        <v>6944</v>
      </c>
      <c r="I55" s="260">
        <v>20833</v>
      </c>
      <c r="J55" s="260">
        <v>0</v>
      </c>
      <c r="K55" s="260">
        <v>20833</v>
      </c>
      <c r="L55" s="260">
        <v>1667</v>
      </c>
      <c r="M55" s="260">
        <v>22500</v>
      </c>
      <c r="N55" s="119">
        <v>3.3E-3</v>
      </c>
      <c r="O55" s="462" t="s">
        <v>934</v>
      </c>
    </row>
    <row r="56" spans="1:15" ht="18" customHeight="1" x14ac:dyDescent="0.25">
      <c r="A56" s="116">
        <v>1</v>
      </c>
      <c r="B56" s="117" t="s">
        <v>86</v>
      </c>
      <c r="C56" s="116">
        <v>78</v>
      </c>
      <c r="D56" s="120" t="s">
        <v>95</v>
      </c>
      <c r="E56" s="120" t="s">
        <v>977</v>
      </c>
      <c r="F56" s="117" t="s">
        <v>933</v>
      </c>
      <c r="G56" s="281">
        <v>2</v>
      </c>
      <c r="H56" s="260">
        <v>6481</v>
      </c>
      <c r="I56" s="260">
        <v>12963</v>
      </c>
      <c r="J56" s="260">
        <v>0</v>
      </c>
      <c r="K56" s="260">
        <v>12963</v>
      </c>
      <c r="L56" s="260">
        <v>1037</v>
      </c>
      <c r="M56" s="260">
        <v>14000</v>
      </c>
      <c r="N56" s="119">
        <v>2.0999999999999999E-3</v>
      </c>
      <c r="O56" s="462" t="s">
        <v>934</v>
      </c>
    </row>
    <row r="57" spans="1:15" ht="18" customHeight="1" x14ac:dyDescent="0.25">
      <c r="A57" s="116">
        <v>1</v>
      </c>
      <c r="B57" s="117" t="s">
        <v>86</v>
      </c>
      <c r="C57" s="116">
        <v>84</v>
      </c>
      <c r="D57" s="120" t="s">
        <v>95</v>
      </c>
      <c r="E57" s="120" t="s">
        <v>978</v>
      </c>
      <c r="F57" s="117" t="s">
        <v>933</v>
      </c>
      <c r="G57" s="281">
        <v>10</v>
      </c>
      <c r="H57" s="260">
        <v>7407</v>
      </c>
      <c r="I57" s="260">
        <v>74074</v>
      </c>
      <c r="J57" s="260">
        <v>0</v>
      </c>
      <c r="K57" s="260">
        <v>74074</v>
      </c>
      <c r="L57" s="260">
        <v>5926</v>
      </c>
      <c r="M57" s="260">
        <v>80000</v>
      </c>
      <c r="N57" s="119">
        <v>1.18E-2</v>
      </c>
      <c r="O57" s="462" t="s">
        <v>934</v>
      </c>
    </row>
    <row r="58" spans="1:15" ht="18" customHeight="1" x14ac:dyDescent="0.25">
      <c r="A58" s="116">
        <v>1</v>
      </c>
      <c r="B58" s="117" t="s">
        <v>86</v>
      </c>
      <c r="C58" s="116">
        <v>219</v>
      </c>
      <c r="D58" s="120" t="s">
        <v>87</v>
      </c>
      <c r="E58" s="120" t="s">
        <v>153</v>
      </c>
      <c r="F58" s="117" t="s">
        <v>933</v>
      </c>
      <c r="G58" s="281">
        <v>1</v>
      </c>
      <c r="H58" s="260">
        <v>69444</v>
      </c>
      <c r="I58" s="260">
        <v>69444</v>
      </c>
      <c r="J58" s="260">
        <v>0</v>
      </c>
      <c r="K58" s="260">
        <v>69444</v>
      </c>
      <c r="L58" s="260">
        <v>5556</v>
      </c>
      <c r="M58" s="260">
        <v>75000</v>
      </c>
      <c r="N58" s="119">
        <v>1.11E-2</v>
      </c>
      <c r="O58" s="462" t="s">
        <v>934</v>
      </c>
    </row>
    <row r="59" spans="1:15" ht="18" customHeight="1" x14ac:dyDescent="0.25">
      <c r="A59" s="116">
        <v>1</v>
      </c>
      <c r="B59" s="117" t="s">
        <v>86</v>
      </c>
      <c r="C59" s="116">
        <v>140</v>
      </c>
      <c r="D59" s="120" t="s">
        <v>87</v>
      </c>
      <c r="E59" s="120" t="s">
        <v>979</v>
      </c>
      <c r="F59" s="117" t="s">
        <v>933</v>
      </c>
      <c r="G59" s="281">
        <v>1</v>
      </c>
      <c r="H59" s="260">
        <v>90741</v>
      </c>
      <c r="I59" s="260">
        <v>90741</v>
      </c>
      <c r="J59" s="260">
        <v>0</v>
      </c>
      <c r="K59" s="260">
        <v>90741</v>
      </c>
      <c r="L59" s="260">
        <v>7259</v>
      </c>
      <c r="M59" s="260">
        <v>98000</v>
      </c>
      <c r="N59" s="119">
        <v>1.44E-2</v>
      </c>
      <c r="O59" s="462" t="s">
        <v>934</v>
      </c>
    </row>
    <row r="60" spans="1:15" ht="18" customHeight="1" x14ac:dyDescent="0.25">
      <c r="A60" s="116">
        <v>1</v>
      </c>
      <c r="B60" s="117" t="s">
        <v>86</v>
      </c>
      <c r="C60" s="116">
        <v>221</v>
      </c>
      <c r="D60" s="120" t="s">
        <v>87</v>
      </c>
      <c r="E60" s="120" t="s">
        <v>980</v>
      </c>
      <c r="F60" s="117" t="s">
        <v>933</v>
      </c>
      <c r="G60" s="281">
        <v>1</v>
      </c>
      <c r="H60" s="260">
        <v>54167</v>
      </c>
      <c r="I60" s="260">
        <v>54167</v>
      </c>
      <c r="J60" s="260">
        <v>0</v>
      </c>
      <c r="K60" s="260">
        <v>54167</v>
      </c>
      <c r="L60" s="260">
        <v>4333</v>
      </c>
      <c r="M60" s="260">
        <v>58500</v>
      </c>
      <c r="N60" s="119">
        <v>8.6E-3</v>
      </c>
      <c r="O60" s="462" t="s">
        <v>934</v>
      </c>
    </row>
    <row r="61" spans="1:15" ht="18" customHeight="1" x14ac:dyDescent="0.25">
      <c r="A61" s="116">
        <v>1</v>
      </c>
      <c r="B61" s="117" t="s">
        <v>86</v>
      </c>
      <c r="C61" s="116">
        <v>222</v>
      </c>
      <c r="D61" s="120" t="s">
        <v>93</v>
      </c>
      <c r="E61" s="120" t="s">
        <v>981</v>
      </c>
      <c r="F61" s="117" t="s">
        <v>933</v>
      </c>
      <c r="G61" s="281">
        <v>1</v>
      </c>
      <c r="H61" s="260">
        <v>63426</v>
      </c>
      <c r="I61" s="260">
        <v>63426</v>
      </c>
      <c r="J61" s="260">
        <v>0</v>
      </c>
      <c r="K61" s="260">
        <v>63426</v>
      </c>
      <c r="L61" s="260">
        <v>5074</v>
      </c>
      <c r="M61" s="260">
        <v>68500</v>
      </c>
      <c r="N61" s="119">
        <v>1.01E-2</v>
      </c>
      <c r="O61" s="462" t="s">
        <v>934</v>
      </c>
    </row>
    <row r="62" spans="1:15" ht="18" customHeight="1" x14ac:dyDescent="0.25">
      <c r="A62" s="116">
        <v>1</v>
      </c>
      <c r="B62" s="117" t="s">
        <v>86</v>
      </c>
      <c r="C62" s="116">
        <v>50</v>
      </c>
      <c r="D62" s="120" t="s">
        <v>87</v>
      </c>
      <c r="E62" s="120" t="s">
        <v>159</v>
      </c>
      <c r="F62" s="117" t="s">
        <v>933</v>
      </c>
      <c r="G62" s="281">
        <v>2</v>
      </c>
      <c r="H62" s="260">
        <v>49074</v>
      </c>
      <c r="I62" s="260">
        <v>98148</v>
      </c>
      <c r="J62" s="260">
        <v>0</v>
      </c>
      <c r="K62" s="260">
        <v>98148</v>
      </c>
      <c r="L62" s="260">
        <v>7852</v>
      </c>
      <c r="M62" s="260">
        <v>106000</v>
      </c>
      <c r="N62" s="119">
        <v>1.5599999999999999E-2</v>
      </c>
      <c r="O62" s="462" t="s">
        <v>934</v>
      </c>
    </row>
    <row r="63" spans="1:15" ht="18" customHeight="1" x14ac:dyDescent="0.25">
      <c r="A63" s="116">
        <v>1</v>
      </c>
      <c r="B63" s="117" t="s">
        <v>86</v>
      </c>
      <c r="C63" s="116">
        <v>120</v>
      </c>
      <c r="D63" s="120" t="s">
        <v>93</v>
      </c>
      <c r="E63" s="120" t="s">
        <v>982</v>
      </c>
      <c r="F63" s="117" t="s">
        <v>933</v>
      </c>
      <c r="G63" s="281">
        <v>1</v>
      </c>
      <c r="H63" s="260">
        <v>41667</v>
      </c>
      <c r="I63" s="260">
        <v>41667</v>
      </c>
      <c r="J63" s="260">
        <v>0</v>
      </c>
      <c r="K63" s="260">
        <v>41667</v>
      </c>
      <c r="L63" s="260">
        <v>3333</v>
      </c>
      <c r="M63" s="260">
        <v>45000</v>
      </c>
      <c r="N63" s="119">
        <v>6.6E-3</v>
      </c>
      <c r="O63" s="462" t="s">
        <v>934</v>
      </c>
    </row>
    <row r="64" spans="1:15" ht="18" customHeight="1" x14ac:dyDescent="0.25">
      <c r="A64" s="116">
        <v>1</v>
      </c>
      <c r="B64" s="117" t="s">
        <v>86</v>
      </c>
      <c r="C64" s="116">
        <v>129</v>
      </c>
      <c r="D64" s="120" t="s">
        <v>93</v>
      </c>
      <c r="E64" s="120" t="s">
        <v>983</v>
      </c>
      <c r="F64" s="117" t="s">
        <v>933</v>
      </c>
      <c r="G64" s="281">
        <v>1</v>
      </c>
      <c r="H64" s="260">
        <v>44444</v>
      </c>
      <c r="I64" s="260">
        <v>44444</v>
      </c>
      <c r="J64" s="260">
        <v>0</v>
      </c>
      <c r="K64" s="260">
        <v>44444</v>
      </c>
      <c r="L64" s="260">
        <v>3556</v>
      </c>
      <c r="M64" s="260">
        <v>48000</v>
      </c>
      <c r="N64" s="119">
        <v>7.1000000000000004E-3</v>
      </c>
      <c r="O64" s="462" t="s">
        <v>934</v>
      </c>
    </row>
    <row r="65" spans="1:15" ht="18" customHeight="1" x14ac:dyDescent="0.25">
      <c r="A65" s="116">
        <v>1</v>
      </c>
      <c r="B65" s="117" t="s">
        <v>86</v>
      </c>
      <c r="C65" s="116">
        <v>117</v>
      </c>
      <c r="D65" s="120" t="s">
        <v>87</v>
      </c>
      <c r="E65" s="120" t="s">
        <v>120</v>
      </c>
      <c r="F65" s="117" t="s">
        <v>933</v>
      </c>
      <c r="G65" s="281">
        <v>2</v>
      </c>
      <c r="H65" s="260">
        <v>41667</v>
      </c>
      <c r="I65" s="260">
        <v>83333</v>
      </c>
      <c r="J65" s="260">
        <v>0</v>
      </c>
      <c r="K65" s="260">
        <v>83333</v>
      </c>
      <c r="L65" s="260">
        <v>6667</v>
      </c>
      <c r="M65" s="260">
        <v>90000</v>
      </c>
      <c r="N65" s="119">
        <v>1.3299999999999999E-2</v>
      </c>
      <c r="O65" s="462" t="s">
        <v>934</v>
      </c>
    </row>
    <row r="66" spans="1:15" ht="18" customHeight="1" x14ac:dyDescent="0.25">
      <c r="A66" s="116">
        <v>1</v>
      </c>
      <c r="B66" s="117" t="s">
        <v>86</v>
      </c>
      <c r="C66" s="116">
        <v>28</v>
      </c>
      <c r="D66" s="120" t="s">
        <v>87</v>
      </c>
      <c r="E66" s="120" t="s">
        <v>376</v>
      </c>
      <c r="F66" s="117" t="s">
        <v>933</v>
      </c>
      <c r="G66" s="281">
        <v>34</v>
      </c>
      <c r="H66" s="260">
        <v>18709</v>
      </c>
      <c r="I66" s="260">
        <v>639815</v>
      </c>
      <c r="J66" s="260">
        <v>3704</v>
      </c>
      <c r="K66" s="260">
        <v>636111</v>
      </c>
      <c r="L66" s="260">
        <v>50889</v>
      </c>
      <c r="M66" s="260">
        <v>687000</v>
      </c>
      <c r="N66" s="119">
        <v>0.1013</v>
      </c>
      <c r="O66" s="462" t="s">
        <v>934</v>
      </c>
    </row>
    <row r="67" spans="1:15" ht="18" customHeight="1" x14ac:dyDescent="0.25">
      <c r="A67" s="116">
        <v>1</v>
      </c>
      <c r="B67" s="117" t="s">
        <v>86</v>
      </c>
      <c r="C67" s="116">
        <v>36</v>
      </c>
      <c r="D67" s="120" t="s">
        <v>91</v>
      </c>
      <c r="E67" s="120" t="s">
        <v>984</v>
      </c>
      <c r="F67" s="117" t="s">
        <v>933</v>
      </c>
      <c r="G67" s="281">
        <v>6</v>
      </c>
      <c r="H67" s="260">
        <v>3704</v>
      </c>
      <c r="I67" s="260">
        <v>22222</v>
      </c>
      <c r="J67" s="260">
        <v>0</v>
      </c>
      <c r="K67" s="260">
        <v>22222</v>
      </c>
      <c r="L67" s="260">
        <v>1778</v>
      </c>
      <c r="M67" s="260">
        <v>24000</v>
      </c>
      <c r="N67" s="119">
        <v>3.5000000000000001E-3</v>
      </c>
      <c r="O67" s="462" t="s">
        <v>934</v>
      </c>
    </row>
    <row r="68" spans="1:15" ht="18" customHeight="1" x14ac:dyDescent="0.25">
      <c r="A68" s="116">
        <v>1</v>
      </c>
      <c r="B68" s="117" t="s">
        <v>86</v>
      </c>
      <c r="C68" s="116">
        <v>61</v>
      </c>
      <c r="D68" s="120" t="s">
        <v>97</v>
      </c>
      <c r="E68" s="120" t="s">
        <v>985</v>
      </c>
      <c r="F68" s="117" t="s">
        <v>933</v>
      </c>
      <c r="G68" s="281">
        <v>21</v>
      </c>
      <c r="H68" s="260">
        <v>4630</v>
      </c>
      <c r="I68" s="260">
        <v>97222</v>
      </c>
      <c r="J68" s="260">
        <v>0</v>
      </c>
      <c r="K68" s="260">
        <v>97222</v>
      </c>
      <c r="L68" s="260">
        <v>7778</v>
      </c>
      <c r="M68" s="260">
        <v>105000</v>
      </c>
      <c r="N68" s="119">
        <v>1.55E-2</v>
      </c>
      <c r="O68" s="462" t="s">
        <v>934</v>
      </c>
    </row>
    <row r="69" spans="1:15" ht="18" customHeight="1" x14ac:dyDescent="0.25">
      <c r="A69" s="116">
        <v>1</v>
      </c>
      <c r="B69" s="117" t="s">
        <v>86</v>
      </c>
      <c r="C69" s="116">
        <v>68</v>
      </c>
      <c r="D69" s="120" t="s">
        <v>93</v>
      </c>
      <c r="E69" s="120" t="s">
        <v>986</v>
      </c>
      <c r="F69" s="117" t="s">
        <v>933</v>
      </c>
      <c r="G69" s="281">
        <v>3</v>
      </c>
      <c r="H69" s="260">
        <v>41667</v>
      </c>
      <c r="I69" s="260">
        <v>125000</v>
      </c>
      <c r="J69" s="260">
        <v>0</v>
      </c>
      <c r="K69" s="260">
        <v>125000</v>
      </c>
      <c r="L69" s="260">
        <v>10000</v>
      </c>
      <c r="M69" s="260">
        <v>135000</v>
      </c>
      <c r="N69" s="119">
        <v>1.9900000000000001E-2</v>
      </c>
      <c r="O69" s="462" t="s">
        <v>934</v>
      </c>
    </row>
    <row r="70" spans="1:15" ht="18" customHeight="1" x14ac:dyDescent="0.25">
      <c r="A70" s="116">
        <v>1</v>
      </c>
      <c r="B70" s="117" t="s">
        <v>86</v>
      </c>
      <c r="C70" s="116">
        <v>33</v>
      </c>
      <c r="D70" s="120" t="s">
        <v>91</v>
      </c>
      <c r="E70" s="120" t="s">
        <v>987</v>
      </c>
      <c r="F70" s="117" t="s">
        <v>933</v>
      </c>
      <c r="G70" s="281">
        <v>2</v>
      </c>
      <c r="H70" s="260">
        <v>1852</v>
      </c>
      <c r="I70" s="260">
        <v>3704</v>
      </c>
      <c r="J70" s="260">
        <v>0</v>
      </c>
      <c r="K70" s="260">
        <v>3704</v>
      </c>
      <c r="L70" s="260">
        <v>296</v>
      </c>
      <c r="M70" s="260">
        <v>4000</v>
      </c>
      <c r="N70" s="119">
        <v>5.9999999999999995E-4</v>
      </c>
      <c r="O70" s="462" t="s">
        <v>934</v>
      </c>
    </row>
    <row r="71" spans="1:15" ht="18" customHeight="1" x14ac:dyDescent="0.25">
      <c r="A71" s="116">
        <v>1</v>
      </c>
      <c r="B71" s="117" t="s">
        <v>86</v>
      </c>
      <c r="C71" s="116">
        <v>67</v>
      </c>
      <c r="D71" s="120" t="s">
        <v>93</v>
      </c>
      <c r="E71" s="120" t="s">
        <v>988</v>
      </c>
      <c r="F71" s="117" t="s">
        <v>933</v>
      </c>
      <c r="G71" s="281">
        <v>1</v>
      </c>
      <c r="H71" s="260">
        <v>41667</v>
      </c>
      <c r="I71" s="260">
        <v>41667</v>
      </c>
      <c r="J71" s="260">
        <v>0</v>
      </c>
      <c r="K71" s="260">
        <v>41667</v>
      </c>
      <c r="L71" s="260">
        <v>3333</v>
      </c>
      <c r="M71" s="260">
        <v>45000</v>
      </c>
      <c r="N71" s="119">
        <v>6.6E-3</v>
      </c>
      <c r="O71" s="462" t="s">
        <v>934</v>
      </c>
    </row>
    <row r="72" spans="1:15" ht="18" customHeight="1" x14ac:dyDescent="0.25">
      <c r="A72" s="116">
        <v>2</v>
      </c>
      <c r="B72" s="117" t="s">
        <v>88</v>
      </c>
      <c r="C72" s="116">
        <v>73</v>
      </c>
      <c r="D72" s="120" t="s">
        <v>91</v>
      </c>
      <c r="E72" s="120" t="s">
        <v>932</v>
      </c>
      <c r="F72" s="117" t="s">
        <v>933</v>
      </c>
      <c r="G72" s="281">
        <v>17</v>
      </c>
      <c r="H72" s="260">
        <v>2593</v>
      </c>
      <c r="I72" s="260">
        <v>44074</v>
      </c>
      <c r="J72" s="260">
        <v>0</v>
      </c>
      <c r="K72" s="260">
        <v>44074</v>
      </c>
      <c r="L72" s="260">
        <v>3526</v>
      </c>
      <c r="M72" s="260">
        <v>47600</v>
      </c>
      <c r="N72" s="119">
        <v>8.1000000000000013E-3</v>
      </c>
      <c r="O72" s="462" t="s">
        <v>934</v>
      </c>
    </row>
    <row r="73" spans="1:15" ht="18" customHeight="1" x14ac:dyDescent="0.25">
      <c r="A73" s="116">
        <v>2</v>
      </c>
      <c r="B73" s="117" t="s">
        <v>88</v>
      </c>
      <c r="C73" s="116">
        <v>132</v>
      </c>
      <c r="D73" s="120" t="s">
        <v>91</v>
      </c>
      <c r="E73" s="120" t="s">
        <v>989</v>
      </c>
      <c r="F73" s="117" t="s">
        <v>990</v>
      </c>
      <c r="G73" s="281">
        <v>1</v>
      </c>
      <c r="H73" s="260">
        <v>7870</v>
      </c>
      <c r="I73" s="260">
        <v>7870</v>
      </c>
      <c r="J73" s="260">
        <v>0</v>
      </c>
      <c r="K73" s="260">
        <v>7870</v>
      </c>
      <c r="L73" s="260">
        <v>630</v>
      </c>
      <c r="M73" s="260">
        <v>8500</v>
      </c>
      <c r="N73" s="119">
        <v>1.4E-3</v>
      </c>
      <c r="O73" s="462" t="s">
        <v>934</v>
      </c>
    </row>
    <row r="74" spans="1:15" ht="18" customHeight="1" x14ac:dyDescent="0.25">
      <c r="A74" s="116">
        <v>2</v>
      </c>
      <c r="B74" s="117" t="s">
        <v>88</v>
      </c>
      <c r="C74" s="116">
        <v>65</v>
      </c>
      <c r="D74" s="120" t="s">
        <v>91</v>
      </c>
      <c r="E74" s="120" t="s">
        <v>935</v>
      </c>
      <c r="F74" s="117" t="s">
        <v>933</v>
      </c>
      <c r="G74" s="281">
        <v>2</v>
      </c>
      <c r="H74" s="260">
        <v>2778</v>
      </c>
      <c r="I74" s="260">
        <v>5556</v>
      </c>
      <c r="J74" s="260">
        <v>0</v>
      </c>
      <c r="K74" s="260">
        <v>5556</v>
      </c>
      <c r="L74" s="260">
        <v>444</v>
      </c>
      <c r="M74" s="260">
        <v>6000</v>
      </c>
      <c r="N74" s="119">
        <v>1E-3</v>
      </c>
      <c r="O74" s="462" t="s">
        <v>934</v>
      </c>
    </row>
    <row r="75" spans="1:15" ht="18" customHeight="1" x14ac:dyDescent="0.25">
      <c r="A75" s="116">
        <v>2</v>
      </c>
      <c r="B75" s="117" t="s">
        <v>88</v>
      </c>
      <c r="C75" s="116">
        <v>40</v>
      </c>
      <c r="D75" s="120" t="s">
        <v>87</v>
      </c>
      <c r="E75" s="120" t="s">
        <v>170</v>
      </c>
      <c r="F75" s="117" t="s">
        <v>933</v>
      </c>
      <c r="G75" s="281">
        <v>2</v>
      </c>
      <c r="H75" s="260">
        <v>55093</v>
      </c>
      <c r="I75" s="260">
        <v>110185</v>
      </c>
      <c r="J75" s="260">
        <v>0</v>
      </c>
      <c r="K75" s="260">
        <v>110185</v>
      </c>
      <c r="L75" s="260">
        <v>8815</v>
      </c>
      <c r="M75" s="260">
        <v>119000</v>
      </c>
      <c r="N75" s="119">
        <v>2.0199999999999999E-2</v>
      </c>
      <c r="O75" s="462" t="s">
        <v>934</v>
      </c>
    </row>
    <row r="76" spans="1:15" ht="18" customHeight="1" x14ac:dyDescent="0.25">
      <c r="A76" s="116">
        <v>2</v>
      </c>
      <c r="B76" s="117" t="s">
        <v>88</v>
      </c>
      <c r="C76" s="116">
        <v>131</v>
      </c>
      <c r="D76" s="120" t="s">
        <v>87</v>
      </c>
      <c r="E76" s="120" t="s">
        <v>991</v>
      </c>
      <c r="F76" s="117" t="s">
        <v>933</v>
      </c>
      <c r="G76" s="281">
        <v>1</v>
      </c>
      <c r="H76" s="260">
        <v>278</v>
      </c>
      <c r="I76" s="260">
        <v>278</v>
      </c>
      <c r="J76" s="260">
        <v>0</v>
      </c>
      <c r="K76" s="260">
        <v>278</v>
      </c>
      <c r="L76" s="260">
        <v>22</v>
      </c>
      <c r="M76" s="260">
        <v>300</v>
      </c>
      <c r="N76" s="119">
        <v>1E-4</v>
      </c>
      <c r="O76" s="462" t="s">
        <v>934</v>
      </c>
    </row>
    <row r="77" spans="1:15" ht="18" customHeight="1" x14ac:dyDescent="0.25">
      <c r="A77" s="116">
        <v>2</v>
      </c>
      <c r="B77" s="117" t="s">
        <v>88</v>
      </c>
      <c r="C77" s="116">
        <v>104</v>
      </c>
      <c r="D77" s="120" t="s">
        <v>89</v>
      </c>
      <c r="E77" s="120" t="s">
        <v>162</v>
      </c>
      <c r="F77" s="117" t="s">
        <v>933</v>
      </c>
      <c r="G77" s="281">
        <v>13</v>
      </c>
      <c r="H77" s="260">
        <v>15954</v>
      </c>
      <c r="I77" s="260">
        <v>207407</v>
      </c>
      <c r="J77" s="260">
        <v>0</v>
      </c>
      <c r="K77" s="260">
        <v>207407</v>
      </c>
      <c r="L77" s="260">
        <v>16593</v>
      </c>
      <c r="M77" s="260">
        <v>224000</v>
      </c>
      <c r="N77" s="119">
        <v>3.8100000000000002E-2</v>
      </c>
      <c r="O77" s="462" t="s">
        <v>934</v>
      </c>
    </row>
    <row r="78" spans="1:15" ht="18" customHeight="1" x14ac:dyDescent="0.25">
      <c r="A78" s="116">
        <v>2</v>
      </c>
      <c r="B78" s="117" t="s">
        <v>88</v>
      </c>
      <c r="C78" s="116">
        <v>95</v>
      </c>
      <c r="D78" s="120" t="s">
        <v>87</v>
      </c>
      <c r="E78" s="120" t="s">
        <v>938</v>
      </c>
      <c r="F78" s="117" t="s">
        <v>933</v>
      </c>
      <c r="G78" s="281">
        <v>5</v>
      </c>
      <c r="H78" s="260">
        <v>926</v>
      </c>
      <c r="I78" s="260">
        <v>4630</v>
      </c>
      <c r="J78" s="260">
        <v>0</v>
      </c>
      <c r="K78" s="260">
        <v>4630</v>
      </c>
      <c r="L78" s="260">
        <v>370</v>
      </c>
      <c r="M78" s="260">
        <v>5000</v>
      </c>
      <c r="N78" s="119">
        <v>8.0000000000000004E-4</v>
      </c>
      <c r="O78" s="462" t="s">
        <v>934</v>
      </c>
    </row>
    <row r="79" spans="1:15" ht="18" customHeight="1" x14ac:dyDescent="0.25">
      <c r="A79" s="116">
        <v>2</v>
      </c>
      <c r="B79" s="117" t="s">
        <v>88</v>
      </c>
      <c r="C79" s="116">
        <v>54</v>
      </c>
      <c r="D79" s="120" t="s">
        <v>91</v>
      </c>
      <c r="E79" s="120" t="s">
        <v>992</v>
      </c>
      <c r="F79" s="117" t="s">
        <v>933</v>
      </c>
      <c r="G79" s="281">
        <v>1</v>
      </c>
      <c r="H79" s="260">
        <v>2315</v>
      </c>
      <c r="I79" s="260">
        <v>2315</v>
      </c>
      <c r="J79" s="260">
        <v>0</v>
      </c>
      <c r="K79" s="260">
        <v>2315</v>
      </c>
      <c r="L79" s="260">
        <v>185</v>
      </c>
      <c r="M79" s="260">
        <v>2500</v>
      </c>
      <c r="N79" s="119">
        <v>4.0000000000000002E-4</v>
      </c>
      <c r="O79" s="462" t="s">
        <v>934</v>
      </c>
    </row>
    <row r="80" spans="1:15" ht="18" customHeight="1" x14ac:dyDescent="0.25">
      <c r="A80" s="116">
        <v>2</v>
      </c>
      <c r="B80" s="117" t="s">
        <v>88</v>
      </c>
      <c r="C80" s="116">
        <v>5</v>
      </c>
      <c r="D80" s="120" t="s">
        <v>89</v>
      </c>
      <c r="E80" s="120" t="s">
        <v>993</v>
      </c>
      <c r="F80" s="117" t="s">
        <v>933</v>
      </c>
      <c r="G80" s="281">
        <v>1</v>
      </c>
      <c r="H80" s="260">
        <v>11111</v>
      </c>
      <c r="I80" s="260">
        <v>11111</v>
      </c>
      <c r="J80" s="260">
        <v>0</v>
      </c>
      <c r="K80" s="260">
        <v>11111</v>
      </c>
      <c r="L80" s="260">
        <v>889</v>
      </c>
      <c r="M80" s="260">
        <v>12000</v>
      </c>
      <c r="N80" s="119">
        <v>2E-3</v>
      </c>
      <c r="O80" s="462" t="s">
        <v>934</v>
      </c>
    </row>
    <row r="81" spans="1:15" ht="18" customHeight="1" x14ac:dyDescent="0.25">
      <c r="A81" s="116">
        <v>2</v>
      </c>
      <c r="B81" s="117" t="s">
        <v>88</v>
      </c>
      <c r="C81" s="116">
        <v>6</v>
      </c>
      <c r="D81" s="120" t="s">
        <v>89</v>
      </c>
      <c r="E81" s="120" t="s">
        <v>994</v>
      </c>
      <c r="F81" s="117" t="s">
        <v>933</v>
      </c>
      <c r="G81" s="281">
        <v>1</v>
      </c>
      <c r="H81" s="260">
        <v>14815</v>
      </c>
      <c r="I81" s="260">
        <v>14815</v>
      </c>
      <c r="J81" s="260">
        <v>0</v>
      </c>
      <c r="K81" s="260">
        <v>14815</v>
      </c>
      <c r="L81" s="260">
        <v>1185</v>
      </c>
      <c r="M81" s="260">
        <v>16000</v>
      </c>
      <c r="N81" s="119">
        <v>2.7000000000000001E-3</v>
      </c>
      <c r="O81" s="462" t="s">
        <v>934</v>
      </c>
    </row>
    <row r="82" spans="1:15" ht="18" customHeight="1" x14ac:dyDescent="0.25">
      <c r="A82" s="116">
        <v>2</v>
      </c>
      <c r="B82" s="117" t="s">
        <v>88</v>
      </c>
      <c r="C82" s="116">
        <v>8</v>
      </c>
      <c r="D82" s="120" t="s">
        <v>87</v>
      </c>
      <c r="E82" s="120" t="s">
        <v>156</v>
      </c>
      <c r="F82" s="117" t="s">
        <v>933</v>
      </c>
      <c r="G82" s="281">
        <v>9</v>
      </c>
      <c r="H82" s="260">
        <v>18930</v>
      </c>
      <c r="I82" s="260">
        <v>170370</v>
      </c>
      <c r="J82" s="260">
        <v>0</v>
      </c>
      <c r="K82" s="260">
        <v>170370</v>
      </c>
      <c r="L82" s="260">
        <v>13630</v>
      </c>
      <c r="M82" s="260">
        <v>184000</v>
      </c>
      <c r="N82" s="119">
        <v>3.1300000000000001E-2</v>
      </c>
      <c r="O82" s="462" t="s">
        <v>934</v>
      </c>
    </row>
    <row r="83" spans="1:15" ht="18" customHeight="1" x14ac:dyDescent="0.25">
      <c r="A83" s="116">
        <v>2</v>
      </c>
      <c r="B83" s="117" t="s">
        <v>88</v>
      </c>
      <c r="C83" s="116">
        <v>311</v>
      </c>
      <c r="D83" s="120" t="s">
        <v>93</v>
      </c>
      <c r="E83" s="120" t="s">
        <v>940</v>
      </c>
      <c r="F83" s="117" t="s">
        <v>933</v>
      </c>
      <c r="G83" s="281">
        <v>1</v>
      </c>
      <c r="H83" s="260">
        <v>44907</v>
      </c>
      <c r="I83" s="260">
        <v>44907</v>
      </c>
      <c r="J83" s="260">
        <v>0</v>
      </c>
      <c r="K83" s="260">
        <v>44907</v>
      </c>
      <c r="L83" s="260">
        <v>3593</v>
      </c>
      <c r="M83" s="260">
        <v>48500</v>
      </c>
      <c r="N83" s="119">
        <v>8.199999999999999E-3</v>
      </c>
      <c r="O83" s="462" t="s">
        <v>934</v>
      </c>
    </row>
    <row r="84" spans="1:15" ht="18" customHeight="1" x14ac:dyDescent="0.25">
      <c r="A84" s="116">
        <v>2</v>
      </c>
      <c r="B84" s="117" t="s">
        <v>88</v>
      </c>
      <c r="C84" s="116">
        <v>87</v>
      </c>
      <c r="D84" s="120" t="s">
        <v>89</v>
      </c>
      <c r="E84" s="120" t="s">
        <v>144</v>
      </c>
      <c r="F84" s="117" t="s">
        <v>933</v>
      </c>
      <c r="G84" s="281">
        <v>1</v>
      </c>
      <c r="H84" s="260">
        <v>37500</v>
      </c>
      <c r="I84" s="260">
        <v>37500</v>
      </c>
      <c r="J84" s="260">
        <v>0</v>
      </c>
      <c r="K84" s="260">
        <v>37500</v>
      </c>
      <c r="L84" s="260">
        <v>3000</v>
      </c>
      <c r="M84" s="260">
        <v>40500</v>
      </c>
      <c r="N84" s="119">
        <v>6.8999999999999999E-3</v>
      </c>
      <c r="O84" s="462" t="s">
        <v>934</v>
      </c>
    </row>
    <row r="85" spans="1:15" ht="18" customHeight="1" x14ac:dyDescent="0.25">
      <c r="A85" s="116">
        <v>2</v>
      </c>
      <c r="B85" s="117" t="s">
        <v>88</v>
      </c>
      <c r="C85" s="116">
        <v>206</v>
      </c>
      <c r="D85" s="120" t="s">
        <v>93</v>
      </c>
      <c r="E85" s="120" t="s">
        <v>941</v>
      </c>
      <c r="F85" s="117" t="s">
        <v>933</v>
      </c>
      <c r="G85" s="281">
        <v>1</v>
      </c>
      <c r="H85" s="260">
        <v>44907</v>
      </c>
      <c r="I85" s="260">
        <v>44907</v>
      </c>
      <c r="J85" s="260">
        <v>0</v>
      </c>
      <c r="K85" s="260">
        <v>44907</v>
      </c>
      <c r="L85" s="260">
        <v>3593</v>
      </c>
      <c r="M85" s="260">
        <v>48500</v>
      </c>
      <c r="N85" s="119">
        <v>8.199999999999999E-3</v>
      </c>
      <c r="O85" s="462" t="s">
        <v>934</v>
      </c>
    </row>
    <row r="86" spans="1:15" ht="18" customHeight="1" x14ac:dyDescent="0.25">
      <c r="A86" s="116">
        <v>2</v>
      </c>
      <c r="B86" s="117" t="s">
        <v>88</v>
      </c>
      <c r="C86" s="116">
        <v>13</v>
      </c>
      <c r="D86" s="120" t="s">
        <v>87</v>
      </c>
      <c r="E86" s="120" t="s">
        <v>942</v>
      </c>
      <c r="F86" s="117" t="s">
        <v>933</v>
      </c>
      <c r="G86" s="281">
        <v>6</v>
      </c>
      <c r="H86" s="260">
        <v>18827</v>
      </c>
      <c r="I86" s="260">
        <v>112963</v>
      </c>
      <c r="J86" s="260">
        <v>0</v>
      </c>
      <c r="K86" s="260">
        <v>112963</v>
      </c>
      <c r="L86" s="260">
        <v>9037</v>
      </c>
      <c r="M86" s="260">
        <v>122000</v>
      </c>
      <c r="N86" s="119">
        <v>2.07E-2</v>
      </c>
      <c r="O86" s="462" t="s">
        <v>934</v>
      </c>
    </row>
    <row r="87" spans="1:15" ht="18" customHeight="1" x14ac:dyDescent="0.25">
      <c r="A87" s="116">
        <v>2</v>
      </c>
      <c r="B87" s="117" t="s">
        <v>88</v>
      </c>
      <c r="C87" s="116">
        <v>264</v>
      </c>
      <c r="D87" s="120" t="s">
        <v>91</v>
      </c>
      <c r="E87" s="120" t="s">
        <v>995</v>
      </c>
      <c r="F87" s="117" t="s">
        <v>933</v>
      </c>
      <c r="G87" s="281">
        <v>2</v>
      </c>
      <c r="H87" s="260">
        <v>4630</v>
      </c>
      <c r="I87" s="260">
        <v>9259</v>
      </c>
      <c r="J87" s="260">
        <v>0</v>
      </c>
      <c r="K87" s="260">
        <v>9259</v>
      </c>
      <c r="L87" s="260">
        <v>741</v>
      </c>
      <c r="M87" s="260">
        <v>10000</v>
      </c>
      <c r="N87" s="119">
        <v>1.6999999999999999E-3</v>
      </c>
      <c r="O87" s="462" t="s">
        <v>934</v>
      </c>
    </row>
    <row r="88" spans="1:15" ht="18" customHeight="1" x14ac:dyDescent="0.25">
      <c r="A88" s="116">
        <v>2</v>
      </c>
      <c r="B88" s="117" t="s">
        <v>88</v>
      </c>
      <c r="C88" s="116">
        <v>70</v>
      </c>
      <c r="D88" s="120" t="s">
        <v>91</v>
      </c>
      <c r="E88" s="120" t="s">
        <v>944</v>
      </c>
      <c r="F88" s="117" t="s">
        <v>933</v>
      </c>
      <c r="G88" s="281">
        <v>5</v>
      </c>
      <c r="H88" s="260">
        <v>4630</v>
      </c>
      <c r="I88" s="260">
        <v>23148</v>
      </c>
      <c r="J88" s="260">
        <v>0</v>
      </c>
      <c r="K88" s="260">
        <v>23148</v>
      </c>
      <c r="L88" s="260">
        <v>1852</v>
      </c>
      <c r="M88" s="260">
        <v>25000</v>
      </c>
      <c r="N88" s="119">
        <v>4.1999999999999997E-3</v>
      </c>
      <c r="O88" s="462" t="s">
        <v>934</v>
      </c>
    </row>
    <row r="89" spans="1:15" ht="18" customHeight="1" x14ac:dyDescent="0.25">
      <c r="A89" s="116">
        <v>2</v>
      </c>
      <c r="B89" s="117" t="s">
        <v>88</v>
      </c>
      <c r="C89" s="116">
        <v>83</v>
      </c>
      <c r="D89" s="120" t="s">
        <v>87</v>
      </c>
      <c r="E89" s="120" t="s">
        <v>946</v>
      </c>
      <c r="F89" s="117" t="s">
        <v>933</v>
      </c>
      <c r="G89" s="281">
        <v>8</v>
      </c>
      <c r="H89" s="260">
        <v>20833</v>
      </c>
      <c r="I89" s="260">
        <v>166667</v>
      </c>
      <c r="J89" s="260">
        <v>0</v>
      </c>
      <c r="K89" s="260">
        <v>166667</v>
      </c>
      <c r="L89" s="260">
        <v>13333</v>
      </c>
      <c r="M89" s="260">
        <v>180000</v>
      </c>
      <c r="N89" s="119">
        <v>3.0599999999999999E-2</v>
      </c>
      <c r="O89" s="462" t="s">
        <v>934</v>
      </c>
    </row>
    <row r="90" spans="1:15" ht="18" customHeight="1" x14ac:dyDescent="0.25">
      <c r="A90" s="116">
        <v>2</v>
      </c>
      <c r="B90" s="117" t="s">
        <v>88</v>
      </c>
      <c r="C90" s="116">
        <v>52</v>
      </c>
      <c r="D90" s="120" t="s">
        <v>87</v>
      </c>
      <c r="E90" s="120" t="s">
        <v>996</v>
      </c>
      <c r="F90" s="117" t="s">
        <v>933</v>
      </c>
      <c r="G90" s="281">
        <v>1</v>
      </c>
      <c r="H90" s="260">
        <v>5556</v>
      </c>
      <c r="I90" s="260">
        <v>5556</v>
      </c>
      <c r="J90" s="260">
        <v>0</v>
      </c>
      <c r="K90" s="260">
        <v>5556</v>
      </c>
      <c r="L90" s="260">
        <v>444</v>
      </c>
      <c r="M90" s="260">
        <v>6000</v>
      </c>
      <c r="N90" s="119">
        <v>1E-3</v>
      </c>
      <c r="O90" s="462" t="s">
        <v>934</v>
      </c>
    </row>
    <row r="91" spans="1:15" ht="18" customHeight="1" x14ac:dyDescent="0.25">
      <c r="A91" s="116">
        <v>2</v>
      </c>
      <c r="B91" s="117" t="s">
        <v>88</v>
      </c>
      <c r="C91" s="116">
        <v>41</v>
      </c>
      <c r="D91" s="120" t="s">
        <v>87</v>
      </c>
      <c r="E91" s="120" t="s">
        <v>168</v>
      </c>
      <c r="F91" s="117" t="s">
        <v>933</v>
      </c>
      <c r="G91" s="281">
        <v>2</v>
      </c>
      <c r="H91" s="260">
        <v>49074</v>
      </c>
      <c r="I91" s="260">
        <v>98148</v>
      </c>
      <c r="J91" s="260">
        <v>0</v>
      </c>
      <c r="K91" s="260">
        <v>98148</v>
      </c>
      <c r="L91" s="260">
        <v>7852</v>
      </c>
      <c r="M91" s="260">
        <v>106000</v>
      </c>
      <c r="N91" s="119">
        <v>1.7999999999999999E-2</v>
      </c>
      <c r="O91" s="462" t="s">
        <v>934</v>
      </c>
    </row>
    <row r="92" spans="1:15" ht="18" customHeight="1" x14ac:dyDescent="0.25">
      <c r="A92" s="116">
        <v>2</v>
      </c>
      <c r="B92" s="117" t="s">
        <v>88</v>
      </c>
      <c r="C92" s="116">
        <v>122</v>
      </c>
      <c r="D92" s="120" t="s">
        <v>91</v>
      </c>
      <c r="E92" s="120" t="s">
        <v>948</v>
      </c>
      <c r="F92" s="117" t="s">
        <v>933</v>
      </c>
      <c r="G92" s="281">
        <v>3</v>
      </c>
      <c r="H92" s="260">
        <v>2778</v>
      </c>
      <c r="I92" s="260">
        <v>8333</v>
      </c>
      <c r="J92" s="260">
        <v>0</v>
      </c>
      <c r="K92" s="260">
        <v>8333</v>
      </c>
      <c r="L92" s="260">
        <v>667</v>
      </c>
      <c r="M92" s="260">
        <v>9000</v>
      </c>
      <c r="N92" s="119">
        <v>1.5E-3</v>
      </c>
      <c r="O92" s="462" t="s">
        <v>934</v>
      </c>
    </row>
    <row r="93" spans="1:15" ht="18" customHeight="1" x14ac:dyDescent="0.25">
      <c r="A93" s="116">
        <v>2</v>
      </c>
      <c r="B93" s="117" t="s">
        <v>88</v>
      </c>
      <c r="C93" s="116">
        <v>105</v>
      </c>
      <c r="D93" s="120" t="s">
        <v>87</v>
      </c>
      <c r="E93" s="120" t="s">
        <v>997</v>
      </c>
      <c r="F93" s="117" t="s">
        <v>933</v>
      </c>
      <c r="G93" s="281">
        <v>20</v>
      </c>
      <c r="H93" s="260">
        <v>18565</v>
      </c>
      <c r="I93" s="260">
        <v>373148</v>
      </c>
      <c r="J93" s="260">
        <v>1852</v>
      </c>
      <c r="K93" s="260">
        <v>371296</v>
      </c>
      <c r="L93" s="260">
        <v>29704</v>
      </c>
      <c r="M93" s="260">
        <v>401000</v>
      </c>
      <c r="N93" s="119">
        <v>6.8199999999999997E-2</v>
      </c>
      <c r="O93" s="462" t="s">
        <v>934</v>
      </c>
    </row>
    <row r="94" spans="1:15" ht="18" customHeight="1" x14ac:dyDescent="0.25">
      <c r="A94" s="116">
        <v>2</v>
      </c>
      <c r="B94" s="117" t="s">
        <v>88</v>
      </c>
      <c r="C94" s="116">
        <v>44</v>
      </c>
      <c r="D94" s="120" t="s">
        <v>87</v>
      </c>
      <c r="E94" s="120" t="s">
        <v>138</v>
      </c>
      <c r="F94" s="117" t="s">
        <v>933</v>
      </c>
      <c r="G94" s="281">
        <v>2</v>
      </c>
      <c r="H94" s="260">
        <v>28241</v>
      </c>
      <c r="I94" s="260">
        <v>56481</v>
      </c>
      <c r="J94" s="260">
        <v>0</v>
      </c>
      <c r="K94" s="260">
        <v>56481</v>
      </c>
      <c r="L94" s="260">
        <v>4519</v>
      </c>
      <c r="M94" s="260">
        <v>61000</v>
      </c>
      <c r="N94" s="119">
        <v>1.04E-2</v>
      </c>
      <c r="O94" s="462" t="s">
        <v>934</v>
      </c>
    </row>
    <row r="95" spans="1:15" ht="18" customHeight="1" x14ac:dyDescent="0.25">
      <c r="A95" s="116">
        <v>2</v>
      </c>
      <c r="B95" s="117" t="s">
        <v>88</v>
      </c>
      <c r="C95" s="116">
        <v>110</v>
      </c>
      <c r="D95" s="120" t="s">
        <v>99</v>
      </c>
      <c r="E95" s="120" t="s">
        <v>949</v>
      </c>
      <c r="F95" s="117" t="s">
        <v>933</v>
      </c>
      <c r="G95" s="281">
        <v>11</v>
      </c>
      <c r="H95" s="260">
        <v>926</v>
      </c>
      <c r="I95" s="260">
        <v>10185</v>
      </c>
      <c r="J95" s="260">
        <v>0</v>
      </c>
      <c r="K95" s="260">
        <v>10185</v>
      </c>
      <c r="L95" s="260">
        <v>815</v>
      </c>
      <c r="M95" s="260">
        <v>11000</v>
      </c>
      <c r="N95" s="119">
        <v>1.9E-3</v>
      </c>
      <c r="O95" s="462" t="s">
        <v>934</v>
      </c>
    </row>
    <row r="96" spans="1:15" ht="18" customHeight="1" x14ac:dyDescent="0.25">
      <c r="A96" s="116">
        <v>2</v>
      </c>
      <c r="B96" s="117" t="s">
        <v>88</v>
      </c>
      <c r="C96" s="116">
        <v>102</v>
      </c>
      <c r="D96" s="120" t="s">
        <v>87</v>
      </c>
      <c r="E96" s="120" t="s">
        <v>998</v>
      </c>
      <c r="F96" s="117" t="s">
        <v>933</v>
      </c>
      <c r="G96" s="281">
        <v>1</v>
      </c>
      <c r="H96" s="260">
        <v>6944</v>
      </c>
      <c r="I96" s="260">
        <v>6944</v>
      </c>
      <c r="J96" s="260">
        <v>0</v>
      </c>
      <c r="K96" s="260">
        <v>6944</v>
      </c>
      <c r="L96" s="260">
        <v>556</v>
      </c>
      <c r="M96" s="260">
        <v>7500</v>
      </c>
      <c r="N96" s="119">
        <v>1.2999999999999999E-3</v>
      </c>
      <c r="O96" s="462" t="s">
        <v>934</v>
      </c>
    </row>
    <row r="97" spans="1:15" ht="18" customHeight="1" x14ac:dyDescent="0.25">
      <c r="A97" s="116">
        <v>2</v>
      </c>
      <c r="B97" s="117" t="s">
        <v>88</v>
      </c>
      <c r="C97" s="116">
        <v>45</v>
      </c>
      <c r="D97" s="120" t="s">
        <v>87</v>
      </c>
      <c r="E97" s="120" t="s">
        <v>950</v>
      </c>
      <c r="F97" s="117" t="s">
        <v>933</v>
      </c>
      <c r="G97" s="281">
        <v>3</v>
      </c>
      <c r="H97" s="260">
        <v>35648</v>
      </c>
      <c r="I97" s="260">
        <v>106944</v>
      </c>
      <c r="J97" s="260">
        <v>0</v>
      </c>
      <c r="K97" s="260">
        <v>106944</v>
      </c>
      <c r="L97" s="260">
        <v>8556</v>
      </c>
      <c r="M97" s="260">
        <v>115500</v>
      </c>
      <c r="N97" s="119">
        <v>1.9599999999999999E-2</v>
      </c>
      <c r="O97" s="462" t="s">
        <v>934</v>
      </c>
    </row>
    <row r="98" spans="1:15" ht="18" customHeight="1" x14ac:dyDescent="0.25">
      <c r="A98" s="116">
        <v>2</v>
      </c>
      <c r="B98" s="117" t="s">
        <v>88</v>
      </c>
      <c r="C98" s="116">
        <v>30</v>
      </c>
      <c r="D98" s="120" t="s">
        <v>95</v>
      </c>
      <c r="E98" s="120" t="s">
        <v>951</v>
      </c>
      <c r="F98" s="117" t="s">
        <v>933</v>
      </c>
      <c r="G98" s="281">
        <v>2</v>
      </c>
      <c r="H98" s="260">
        <v>6481</v>
      </c>
      <c r="I98" s="260">
        <v>12963</v>
      </c>
      <c r="J98" s="260">
        <v>0</v>
      </c>
      <c r="K98" s="260">
        <v>12963</v>
      </c>
      <c r="L98" s="260">
        <v>1037</v>
      </c>
      <c r="M98" s="260">
        <v>14000</v>
      </c>
      <c r="N98" s="119">
        <v>2.3999999999999998E-3</v>
      </c>
      <c r="O98" s="462" t="s">
        <v>934</v>
      </c>
    </row>
    <row r="99" spans="1:15" ht="18" customHeight="1" x14ac:dyDescent="0.25">
      <c r="A99" s="116">
        <v>2</v>
      </c>
      <c r="B99" s="117" t="s">
        <v>88</v>
      </c>
      <c r="C99" s="116">
        <v>94</v>
      </c>
      <c r="D99" s="120" t="s">
        <v>89</v>
      </c>
      <c r="E99" s="120" t="s">
        <v>150</v>
      </c>
      <c r="F99" s="117" t="s">
        <v>933</v>
      </c>
      <c r="G99" s="281">
        <v>10</v>
      </c>
      <c r="H99" s="260">
        <v>18611</v>
      </c>
      <c r="I99" s="260">
        <v>186111</v>
      </c>
      <c r="J99" s="260">
        <v>0</v>
      </c>
      <c r="K99" s="260">
        <v>186111</v>
      </c>
      <c r="L99" s="260">
        <v>14889</v>
      </c>
      <c r="M99" s="260">
        <v>201000</v>
      </c>
      <c r="N99" s="119">
        <v>3.4200000000000001E-2</v>
      </c>
      <c r="O99" s="462" t="s">
        <v>934</v>
      </c>
    </row>
    <row r="100" spans="1:15" ht="18" customHeight="1" x14ac:dyDescent="0.25">
      <c r="A100" s="116">
        <v>2</v>
      </c>
      <c r="B100" s="117" t="s">
        <v>88</v>
      </c>
      <c r="C100" s="116">
        <v>233</v>
      </c>
      <c r="D100" s="120" t="s">
        <v>89</v>
      </c>
      <c r="E100" s="120" t="s">
        <v>117</v>
      </c>
      <c r="F100" s="117" t="s">
        <v>933</v>
      </c>
      <c r="G100" s="281">
        <v>40</v>
      </c>
      <c r="H100" s="260">
        <v>18611</v>
      </c>
      <c r="I100" s="260">
        <v>744444</v>
      </c>
      <c r="J100" s="260">
        <v>0</v>
      </c>
      <c r="K100" s="260">
        <v>744444</v>
      </c>
      <c r="L100" s="260">
        <v>59556</v>
      </c>
      <c r="M100" s="260">
        <v>804000</v>
      </c>
      <c r="N100" s="119">
        <v>0.13669999999999999</v>
      </c>
      <c r="O100" s="462" t="s">
        <v>934</v>
      </c>
    </row>
    <row r="101" spans="1:15" ht="18" customHeight="1" x14ac:dyDescent="0.25">
      <c r="A101" s="116">
        <v>2</v>
      </c>
      <c r="B101" s="117" t="s">
        <v>88</v>
      </c>
      <c r="C101" s="116">
        <v>218</v>
      </c>
      <c r="D101" s="120" t="s">
        <v>89</v>
      </c>
      <c r="E101" s="120" t="s">
        <v>954</v>
      </c>
      <c r="F101" s="117" t="s">
        <v>933</v>
      </c>
      <c r="G101" s="281">
        <v>12</v>
      </c>
      <c r="H101" s="260">
        <v>18673</v>
      </c>
      <c r="I101" s="260">
        <v>224074</v>
      </c>
      <c r="J101" s="260">
        <v>0</v>
      </c>
      <c r="K101" s="260">
        <v>224074</v>
      </c>
      <c r="L101" s="260">
        <v>17926</v>
      </c>
      <c r="M101" s="260">
        <v>242000</v>
      </c>
      <c r="N101" s="119">
        <v>4.1099999999999998E-2</v>
      </c>
      <c r="O101" s="462" t="s">
        <v>934</v>
      </c>
    </row>
    <row r="102" spans="1:15" ht="18" customHeight="1" x14ac:dyDescent="0.25">
      <c r="A102" s="116">
        <v>2</v>
      </c>
      <c r="B102" s="117" t="s">
        <v>88</v>
      </c>
      <c r="C102" s="116">
        <v>34</v>
      </c>
      <c r="D102" s="120" t="s">
        <v>91</v>
      </c>
      <c r="E102" s="120" t="s">
        <v>955</v>
      </c>
      <c r="F102" s="117" t="s">
        <v>933</v>
      </c>
      <c r="G102" s="281">
        <v>3</v>
      </c>
      <c r="H102" s="260">
        <v>6481</v>
      </c>
      <c r="I102" s="260">
        <v>19444</v>
      </c>
      <c r="J102" s="260">
        <v>0</v>
      </c>
      <c r="K102" s="260">
        <v>19444</v>
      </c>
      <c r="L102" s="260">
        <v>1556</v>
      </c>
      <c r="M102" s="260">
        <v>21000</v>
      </c>
      <c r="N102" s="119">
        <v>3.5999999999999999E-3</v>
      </c>
      <c r="O102" s="462" t="s">
        <v>934</v>
      </c>
    </row>
    <row r="103" spans="1:15" ht="18" customHeight="1" x14ac:dyDescent="0.25">
      <c r="A103" s="116">
        <v>2</v>
      </c>
      <c r="B103" s="117" t="s">
        <v>88</v>
      </c>
      <c r="C103" s="116">
        <v>121</v>
      </c>
      <c r="D103" s="120" t="s">
        <v>91</v>
      </c>
      <c r="E103" s="120" t="s">
        <v>956</v>
      </c>
      <c r="F103" s="117" t="s">
        <v>933</v>
      </c>
      <c r="G103" s="281">
        <v>1</v>
      </c>
      <c r="H103" s="260">
        <v>2778</v>
      </c>
      <c r="I103" s="260">
        <v>2778</v>
      </c>
      <c r="J103" s="260">
        <v>0</v>
      </c>
      <c r="K103" s="260">
        <v>2778</v>
      </c>
      <c r="L103" s="260">
        <v>222</v>
      </c>
      <c r="M103" s="260">
        <v>3000</v>
      </c>
      <c r="N103" s="119">
        <v>5.0000000000000001E-4</v>
      </c>
      <c r="O103" s="462" t="s">
        <v>934</v>
      </c>
    </row>
    <row r="104" spans="1:15" ht="18" customHeight="1" x14ac:dyDescent="0.25">
      <c r="A104" s="116">
        <v>2</v>
      </c>
      <c r="B104" s="117" t="s">
        <v>88</v>
      </c>
      <c r="C104" s="116">
        <v>208</v>
      </c>
      <c r="D104" s="120" t="s">
        <v>91</v>
      </c>
      <c r="E104" s="120" t="s">
        <v>957</v>
      </c>
      <c r="F104" s="117" t="s">
        <v>933</v>
      </c>
      <c r="G104" s="281">
        <v>5</v>
      </c>
      <c r="H104" s="260">
        <v>3704</v>
      </c>
      <c r="I104" s="260">
        <v>18519</v>
      </c>
      <c r="J104" s="260">
        <v>0</v>
      </c>
      <c r="K104" s="260">
        <v>18519</v>
      </c>
      <c r="L104" s="260">
        <v>1482</v>
      </c>
      <c r="M104" s="260">
        <v>20001</v>
      </c>
      <c r="N104" s="119">
        <v>3.3999999999999998E-3</v>
      </c>
      <c r="O104" s="462" t="s">
        <v>934</v>
      </c>
    </row>
    <row r="105" spans="1:15" ht="18" customHeight="1" x14ac:dyDescent="0.25">
      <c r="A105" s="116">
        <v>2</v>
      </c>
      <c r="B105" s="117" t="s">
        <v>88</v>
      </c>
      <c r="C105" s="116">
        <v>123</v>
      </c>
      <c r="D105" s="120" t="s">
        <v>91</v>
      </c>
      <c r="E105" s="120" t="s">
        <v>958</v>
      </c>
      <c r="F105" s="117" t="s">
        <v>933</v>
      </c>
      <c r="G105" s="281">
        <v>1</v>
      </c>
      <c r="H105" s="260">
        <v>2778</v>
      </c>
      <c r="I105" s="260">
        <v>2778</v>
      </c>
      <c r="J105" s="260">
        <v>0</v>
      </c>
      <c r="K105" s="260">
        <v>2778</v>
      </c>
      <c r="L105" s="260">
        <v>222</v>
      </c>
      <c r="M105" s="260">
        <v>3000</v>
      </c>
      <c r="N105" s="119">
        <v>5.0000000000000001E-4</v>
      </c>
      <c r="O105" s="462" t="s">
        <v>934</v>
      </c>
    </row>
    <row r="106" spans="1:15" ht="18" customHeight="1" x14ac:dyDescent="0.25">
      <c r="A106" s="116">
        <v>2</v>
      </c>
      <c r="B106" s="117" t="s">
        <v>88</v>
      </c>
      <c r="C106" s="116">
        <v>314</v>
      </c>
      <c r="D106" s="120" t="s">
        <v>87</v>
      </c>
      <c r="E106" s="120" t="s">
        <v>999</v>
      </c>
      <c r="F106" s="117" t="s">
        <v>933</v>
      </c>
      <c r="G106" s="281">
        <v>1</v>
      </c>
      <c r="H106" s="260">
        <v>4167</v>
      </c>
      <c r="I106" s="260">
        <v>4167</v>
      </c>
      <c r="J106" s="260">
        <v>0</v>
      </c>
      <c r="K106" s="260">
        <v>4167</v>
      </c>
      <c r="L106" s="260">
        <v>333</v>
      </c>
      <c r="M106" s="260">
        <v>4500</v>
      </c>
      <c r="N106" s="119">
        <v>8.0000000000000004E-4</v>
      </c>
      <c r="O106" s="462" t="s">
        <v>934</v>
      </c>
    </row>
    <row r="107" spans="1:15" ht="18" customHeight="1" x14ac:dyDescent="0.25">
      <c r="A107" s="116">
        <v>2</v>
      </c>
      <c r="B107" s="117" t="s">
        <v>88</v>
      </c>
      <c r="C107" s="116">
        <v>31</v>
      </c>
      <c r="D107" s="120" t="s">
        <v>95</v>
      </c>
      <c r="E107" s="120" t="s">
        <v>959</v>
      </c>
      <c r="F107" s="117" t="s">
        <v>933</v>
      </c>
      <c r="G107" s="281">
        <v>10</v>
      </c>
      <c r="H107" s="260">
        <v>1204</v>
      </c>
      <c r="I107" s="260">
        <v>12037</v>
      </c>
      <c r="J107" s="260">
        <v>0</v>
      </c>
      <c r="K107" s="260">
        <v>12037</v>
      </c>
      <c r="L107" s="260">
        <v>963</v>
      </c>
      <c r="M107" s="260">
        <v>13000</v>
      </c>
      <c r="N107" s="119">
        <v>2.2000000000000001E-3</v>
      </c>
      <c r="O107" s="462" t="s">
        <v>934</v>
      </c>
    </row>
    <row r="108" spans="1:15" ht="18" customHeight="1" x14ac:dyDescent="0.25">
      <c r="A108" s="116">
        <v>2</v>
      </c>
      <c r="B108" s="117" t="s">
        <v>88</v>
      </c>
      <c r="C108" s="116">
        <v>212</v>
      </c>
      <c r="D108" s="120" t="s">
        <v>91</v>
      </c>
      <c r="E108" s="120" t="s">
        <v>165</v>
      </c>
      <c r="F108" s="117" t="s">
        <v>933</v>
      </c>
      <c r="G108" s="281">
        <v>2</v>
      </c>
      <c r="H108" s="260">
        <v>22222</v>
      </c>
      <c r="I108" s="260">
        <v>44444</v>
      </c>
      <c r="J108" s="260">
        <v>0</v>
      </c>
      <c r="K108" s="260">
        <v>44444</v>
      </c>
      <c r="L108" s="260">
        <v>3556</v>
      </c>
      <c r="M108" s="260">
        <v>48000</v>
      </c>
      <c r="N108" s="119">
        <v>8.199999999999999E-3</v>
      </c>
      <c r="O108" s="462" t="s">
        <v>934</v>
      </c>
    </row>
    <row r="109" spans="1:15" ht="18" customHeight="1" x14ac:dyDescent="0.25">
      <c r="A109" s="116">
        <v>2</v>
      </c>
      <c r="B109" s="117" t="s">
        <v>88</v>
      </c>
      <c r="C109" s="116">
        <v>74</v>
      </c>
      <c r="D109" s="120" t="s">
        <v>91</v>
      </c>
      <c r="E109" s="120" t="s">
        <v>1000</v>
      </c>
      <c r="F109" s="117" t="s">
        <v>933</v>
      </c>
      <c r="G109" s="281">
        <v>5</v>
      </c>
      <c r="H109" s="260">
        <v>6481</v>
      </c>
      <c r="I109" s="260">
        <v>32407</v>
      </c>
      <c r="J109" s="260">
        <v>0</v>
      </c>
      <c r="K109" s="260">
        <v>32407</v>
      </c>
      <c r="L109" s="260">
        <v>2593</v>
      </c>
      <c r="M109" s="260">
        <v>35000</v>
      </c>
      <c r="N109" s="119">
        <v>5.8999999999999999E-3</v>
      </c>
      <c r="O109" s="462" t="s">
        <v>934</v>
      </c>
    </row>
    <row r="110" spans="1:15" ht="18" customHeight="1" x14ac:dyDescent="0.25">
      <c r="A110" s="116">
        <v>2</v>
      </c>
      <c r="B110" s="117" t="s">
        <v>88</v>
      </c>
      <c r="C110" s="116">
        <v>235</v>
      </c>
      <c r="D110" s="120" t="s">
        <v>91</v>
      </c>
      <c r="E110" s="120" t="s">
        <v>1001</v>
      </c>
      <c r="F110" s="117" t="s">
        <v>933</v>
      </c>
      <c r="G110" s="281">
        <v>1</v>
      </c>
      <c r="H110" s="260">
        <v>3426</v>
      </c>
      <c r="I110" s="260">
        <v>3426</v>
      </c>
      <c r="J110" s="260">
        <v>0</v>
      </c>
      <c r="K110" s="260">
        <v>3426</v>
      </c>
      <c r="L110" s="260">
        <v>274</v>
      </c>
      <c r="M110" s="260">
        <v>3700</v>
      </c>
      <c r="N110" s="119">
        <v>5.9999999999999995E-4</v>
      </c>
      <c r="O110" s="462" t="s">
        <v>934</v>
      </c>
    </row>
    <row r="111" spans="1:15" ht="18" customHeight="1" x14ac:dyDescent="0.25">
      <c r="A111" s="116">
        <v>2</v>
      </c>
      <c r="B111" s="117" t="s">
        <v>88</v>
      </c>
      <c r="C111" s="116">
        <v>75</v>
      </c>
      <c r="D111" s="120" t="s">
        <v>91</v>
      </c>
      <c r="E111" s="120" t="s">
        <v>961</v>
      </c>
      <c r="F111" s="117" t="s">
        <v>933</v>
      </c>
      <c r="G111" s="281">
        <v>1</v>
      </c>
      <c r="H111" s="260">
        <v>9259</v>
      </c>
      <c r="I111" s="260">
        <v>9259</v>
      </c>
      <c r="J111" s="260">
        <v>0</v>
      </c>
      <c r="K111" s="260">
        <v>9259</v>
      </c>
      <c r="L111" s="260">
        <v>741</v>
      </c>
      <c r="M111" s="260">
        <v>10000</v>
      </c>
      <c r="N111" s="119">
        <v>1.6999999999999999E-3</v>
      </c>
      <c r="O111" s="462" t="s">
        <v>934</v>
      </c>
    </row>
    <row r="112" spans="1:15" ht="18" customHeight="1" x14ac:dyDescent="0.25">
      <c r="A112" s="116">
        <v>2</v>
      </c>
      <c r="B112" s="117" t="s">
        <v>88</v>
      </c>
      <c r="C112" s="116">
        <v>118</v>
      </c>
      <c r="D112" s="120" t="s">
        <v>87</v>
      </c>
      <c r="E112" s="120" t="s">
        <v>126</v>
      </c>
      <c r="F112" s="117" t="s">
        <v>933</v>
      </c>
      <c r="G112" s="281">
        <v>2</v>
      </c>
      <c r="H112" s="260">
        <v>41667</v>
      </c>
      <c r="I112" s="260">
        <v>83333</v>
      </c>
      <c r="J112" s="260">
        <v>0</v>
      </c>
      <c r="K112" s="260">
        <v>83333</v>
      </c>
      <c r="L112" s="260">
        <v>6667</v>
      </c>
      <c r="M112" s="260">
        <v>90000</v>
      </c>
      <c r="N112" s="119">
        <v>1.5299999999999999E-2</v>
      </c>
      <c r="O112" s="462" t="s">
        <v>934</v>
      </c>
    </row>
    <row r="113" spans="1:15" ht="18" customHeight="1" x14ac:dyDescent="0.25">
      <c r="A113" s="116">
        <v>2</v>
      </c>
      <c r="B113" s="117" t="s">
        <v>88</v>
      </c>
      <c r="C113" s="116">
        <v>205</v>
      </c>
      <c r="D113" s="120" t="s">
        <v>91</v>
      </c>
      <c r="E113" s="120" t="s">
        <v>1002</v>
      </c>
      <c r="F113" s="117" t="s">
        <v>933</v>
      </c>
      <c r="G113" s="281">
        <v>1</v>
      </c>
      <c r="H113" s="260">
        <v>12037</v>
      </c>
      <c r="I113" s="260">
        <v>12037</v>
      </c>
      <c r="J113" s="260">
        <v>0</v>
      </c>
      <c r="K113" s="260">
        <v>12037</v>
      </c>
      <c r="L113" s="260">
        <v>963</v>
      </c>
      <c r="M113" s="260">
        <v>13000</v>
      </c>
      <c r="N113" s="119">
        <v>2.2000000000000001E-3</v>
      </c>
      <c r="O113" s="462" t="s">
        <v>934</v>
      </c>
    </row>
    <row r="114" spans="1:15" ht="18" customHeight="1" x14ac:dyDescent="0.25">
      <c r="A114" s="116">
        <v>2</v>
      </c>
      <c r="B114" s="117" t="s">
        <v>88</v>
      </c>
      <c r="C114" s="116">
        <v>204</v>
      </c>
      <c r="D114" s="120" t="s">
        <v>91</v>
      </c>
      <c r="E114" s="120" t="s">
        <v>962</v>
      </c>
      <c r="F114" s="117" t="s">
        <v>933</v>
      </c>
      <c r="G114" s="281">
        <v>1</v>
      </c>
      <c r="H114" s="260">
        <v>12037</v>
      </c>
      <c r="I114" s="260">
        <v>12037</v>
      </c>
      <c r="J114" s="260">
        <v>0</v>
      </c>
      <c r="K114" s="260">
        <v>12037</v>
      </c>
      <c r="L114" s="260">
        <v>963</v>
      </c>
      <c r="M114" s="260">
        <v>13000</v>
      </c>
      <c r="N114" s="119">
        <v>2.2000000000000001E-3</v>
      </c>
      <c r="O114" s="462" t="s">
        <v>934</v>
      </c>
    </row>
    <row r="115" spans="1:15" ht="18" customHeight="1" x14ac:dyDescent="0.25">
      <c r="A115" s="116">
        <v>2</v>
      </c>
      <c r="B115" s="117" t="s">
        <v>88</v>
      </c>
      <c r="C115" s="116">
        <v>109</v>
      </c>
      <c r="D115" s="120" t="s">
        <v>91</v>
      </c>
      <c r="E115" s="120" t="s">
        <v>147</v>
      </c>
      <c r="F115" s="117" t="s">
        <v>933</v>
      </c>
      <c r="G115" s="281">
        <v>3</v>
      </c>
      <c r="H115" s="260">
        <v>12963</v>
      </c>
      <c r="I115" s="260">
        <v>38889</v>
      </c>
      <c r="J115" s="260">
        <v>0</v>
      </c>
      <c r="K115" s="260">
        <v>38889</v>
      </c>
      <c r="L115" s="260">
        <v>3111</v>
      </c>
      <c r="M115" s="260">
        <v>42000</v>
      </c>
      <c r="N115" s="119">
        <v>7.1000000000000004E-3</v>
      </c>
      <c r="O115" s="462" t="s">
        <v>934</v>
      </c>
    </row>
    <row r="116" spans="1:15" ht="18" customHeight="1" x14ac:dyDescent="0.25">
      <c r="A116" s="116">
        <v>2</v>
      </c>
      <c r="B116" s="117" t="s">
        <v>88</v>
      </c>
      <c r="C116" s="116">
        <v>147</v>
      </c>
      <c r="D116" s="120" t="s">
        <v>91</v>
      </c>
      <c r="E116" s="120" t="s">
        <v>963</v>
      </c>
      <c r="F116" s="117" t="s">
        <v>933</v>
      </c>
      <c r="G116" s="281">
        <v>2</v>
      </c>
      <c r="H116" s="260">
        <v>6481</v>
      </c>
      <c r="I116" s="260">
        <v>12963</v>
      </c>
      <c r="J116" s="260">
        <v>0</v>
      </c>
      <c r="K116" s="260">
        <v>12963</v>
      </c>
      <c r="L116" s="260">
        <v>1037</v>
      </c>
      <c r="M116" s="260">
        <v>14000</v>
      </c>
      <c r="N116" s="119">
        <v>2.3999999999999998E-3</v>
      </c>
      <c r="O116" s="462" t="s">
        <v>934</v>
      </c>
    </row>
    <row r="117" spans="1:15" ht="18" customHeight="1" x14ac:dyDescent="0.25">
      <c r="A117" s="116">
        <v>2</v>
      </c>
      <c r="B117" s="117" t="s">
        <v>88</v>
      </c>
      <c r="C117" s="116">
        <v>72</v>
      </c>
      <c r="D117" s="120" t="s">
        <v>97</v>
      </c>
      <c r="E117" s="120" t="s">
        <v>965</v>
      </c>
      <c r="F117" s="117" t="s">
        <v>933</v>
      </c>
      <c r="G117" s="281">
        <v>7</v>
      </c>
      <c r="H117" s="260">
        <v>3704</v>
      </c>
      <c r="I117" s="260">
        <v>25926</v>
      </c>
      <c r="J117" s="260">
        <v>0</v>
      </c>
      <c r="K117" s="260">
        <v>25926</v>
      </c>
      <c r="L117" s="260">
        <v>2074</v>
      </c>
      <c r="M117" s="260">
        <v>28000</v>
      </c>
      <c r="N117" s="119">
        <v>4.7999999999999996E-3</v>
      </c>
      <c r="O117" s="462" t="s">
        <v>934</v>
      </c>
    </row>
    <row r="118" spans="1:15" ht="18" customHeight="1" x14ac:dyDescent="0.25">
      <c r="A118" s="116">
        <v>2</v>
      </c>
      <c r="B118" s="117" t="s">
        <v>88</v>
      </c>
      <c r="C118" s="116">
        <v>112</v>
      </c>
      <c r="D118" s="120" t="s">
        <v>87</v>
      </c>
      <c r="E118" s="120" t="s">
        <v>966</v>
      </c>
      <c r="F118" s="117" t="s">
        <v>933</v>
      </c>
      <c r="G118" s="281">
        <v>1</v>
      </c>
      <c r="H118" s="260">
        <v>41667</v>
      </c>
      <c r="I118" s="260">
        <v>41667</v>
      </c>
      <c r="J118" s="260">
        <v>0</v>
      </c>
      <c r="K118" s="260">
        <v>41667</v>
      </c>
      <c r="L118" s="260">
        <v>3333</v>
      </c>
      <c r="M118" s="260">
        <v>45000</v>
      </c>
      <c r="N118" s="119">
        <v>7.6E-3</v>
      </c>
      <c r="O118" s="462" t="s">
        <v>934</v>
      </c>
    </row>
    <row r="119" spans="1:15" ht="18" customHeight="1" x14ac:dyDescent="0.25">
      <c r="A119" s="116">
        <v>2</v>
      </c>
      <c r="B119" s="117" t="s">
        <v>88</v>
      </c>
      <c r="C119" s="116">
        <v>35</v>
      </c>
      <c r="D119" s="120" t="s">
        <v>87</v>
      </c>
      <c r="E119" s="120" t="s">
        <v>1003</v>
      </c>
      <c r="F119" s="117" t="s">
        <v>933</v>
      </c>
      <c r="G119" s="281">
        <v>1</v>
      </c>
      <c r="H119" s="260">
        <v>7407</v>
      </c>
      <c r="I119" s="260">
        <v>7407</v>
      </c>
      <c r="J119" s="260">
        <v>0</v>
      </c>
      <c r="K119" s="260">
        <v>7407</v>
      </c>
      <c r="L119" s="260">
        <v>593</v>
      </c>
      <c r="M119" s="260">
        <v>8000</v>
      </c>
      <c r="N119" s="119">
        <v>1.4E-3</v>
      </c>
      <c r="O119" s="462" t="s">
        <v>934</v>
      </c>
    </row>
    <row r="120" spans="1:15" ht="18" customHeight="1" x14ac:dyDescent="0.25">
      <c r="A120" s="116">
        <v>2</v>
      </c>
      <c r="B120" s="117" t="s">
        <v>88</v>
      </c>
      <c r="C120" s="116">
        <v>18</v>
      </c>
      <c r="D120" s="120" t="s">
        <v>87</v>
      </c>
      <c r="E120" s="120" t="s">
        <v>302</v>
      </c>
      <c r="F120" s="117" t="s">
        <v>933</v>
      </c>
      <c r="G120" s="281">
        <v>37</v>
      </c>
      <c r="H120" s="260">
        <v>18669</v>
      </c>
      <c r="I120" s="260">
        <v>692593</v>
      </c>
      <c r="J120" s="260">
        <v>1852</v>
      </c>
      <c r="K120" s="260">
        <v>690741</v>
      </c>
      <c r="L120" s="260">
        <v>55259</v>
      </c>
      <c r="M120" s="260">
        <v>746000</v>
      </c>
      <c r="N120" s="119">
        <v>0.1268</v>
      </c>
      <c r="O120" s="462" t="s">
        <v>934</v>
      </c>
    </row>
    <row r="121" spans="1:15" ht="18" customHeight="1" x14ac:dyDescent="0.25">
      <c r="A121" s="116">
        <v>2</v>
      </c>
      <c r="B121" s="117" t="s">
        <v>88</v>
      </c>
      <c r="C121" s="116">
        <v>93</v>
      </c>
      <c r="D121" s="120" t="s">
        <v>89</v>
      </c>
      <c r="E121" s="120" t="s">
        <v>123</v>
      </c>
      <c r="F121" s="117" t="s">
        <v>933</v>
      </c>
      <c r="G121" s="281">
        <v>2</v>
      </c>
      <c r="H121" s="260">
        <v>20370</v>
      </c>
      <c r="I121" s="260">
        <v>40741</v>
      </c>
      <c r="J121" s="260">
        <v>0</v>
      </c>
      <c r="K121" s="260">
        <v>40741</v>
      </c>
      <c r="L121" s="260">
        <v>3259</v>
      </c>
      <c r="M121" s="260">
        <v>44000</v>
      </c>
      <c r="N121" s="119">
        <v>7.4999999999999997E-3</v>
      </c>
      <c r="O121" s="462" t="s">
        <v>934</v>
      </c>
    </row>
    <row r="122" spans="1:15" ht="18" customHeight="1" x14ac:dyDescent="0.25">
      <c r="A122" s="116">
        <v>2</v>
      </c>
      <c r="B122" s="117" t="s">
        <v>88</v>
      </c>
      <c r="C122" s="116">
        <v>119</v>
      </c>
      <c r="D122" s="120" t="s">
        <v>89</v>
      </c>
      <c r="E122" s="120" t="s">
        <v>114</v>
      </c>
      <c r="F122" s="117" t="s">
        <v>933</v>
      </c>
      <c r="G122" s="281">
        <v>7</v>
      </c>
      <c r="H122" s="260">
        <v>44444</v>
      </c>
      <c r="I122" s="260">
        <v>311111</v>
      </c>
      <c r="J122" s="260">
        <v>0</v>
      </c>
      <c r="K122" s="260">
        <v>311111</v>
      </c>
      <c r="L122" s="260">
        <v>24889</v>
      </c>
      <c r="M122" s="260">
        <v>336000</v>
      </c>
      <c r="N122" s="119">
        <v>5.7099999999999998E-2</v>
      </c>
      <c r="O122" s="462" t="s">
        <v>934</v>
      </c>
    </row>
    <row r="123" spans="1:15" ht="18" customHeight="1" x14ac:dyDescent="0.25">
      <c r="A123" s="116">
        <v>2</v>
      </c>
      <c r="B123" s="117" t="s">
        <v>88</v>
      </c>
      <c r="C123" s="116">
        <v>19</v>
      </c>
      <c r="D123" s="120" t="s">
        <v>87</v>
      </c>
      <c r="E123" s="120" t="s">
        <v>968</v>
      </c>
      <c r="F123" s="117" t="s">
        <v>933</v>
      </c>
      <c r="G123" s="281">
        <v>2</v>
      </c>
      <c r="H123" s="260">
        <v>9259</v>
      </c>
      <c r="I123" s="260">
        <v>18519</v>
      </c>
      <c r="J123" s="260">
        <v>0</v>
      </c>
      <c r="K123" s="260">
        <v>18519</v>
      </c>
      <c r="L123" s="260">
        <v>1481</v>
      </c>
      <c r="M123" s="260">
        <v>20000</v>
      </c>
      <c r="N123" s="119">
        <v>3.3999999999999998E-3</v>
      </c>
      <c r="O123" s="462" t="s">
        <v>934</v>
      </c>
    </row>
    <row r="124" spans="1:15" ht="18" customHeight="1" x14ac:dyDescent="0.25">
      <c r="A124" s="116">
        <v>2</v>
      </c>
      <c r="B124" s="117" t="s">
        <v>88</v>
      </c>
      <c r="C124" s="116">
        <v>86</v>
      </c>
      <c r="D124" s="120" t="s">
        <v>95</v>
      </c>
      <c r="E124" s="120" t="s">
        <v>972</v>
      </c>
      <c r="F124" s="117" t="s">
        <v>933</v>
      </c>
      <c r="G124" s="281">
        <v>15</v>
      </c>
      <c r="H124" s="260">
        <v>3241</v>
      </c>
      <c r="I124" s="260">
        <v>48611</v>
      </c>
      <c r="J124" s="260">
        <v>0</v>
      </c>
      <c r="K124" s="260">
        <v>48611</v>
      </c>
      <c r="L124" s="260">
        <v>3889</v>
      </c>
      <c r="M124" s="260">
        <v>52500</v>
      </c>
      <c r="N124" s="119">
        <v>8.8999999999999999E-3</v>
      </c>
      <c r="O124" s="462" t="s">
        <v>934</v>
      </c>
    </row>
    <row r="125" spans="1:15" ht="18" customHeight="1" x14ac:dyDescent="0.25">
      <c r="A125" s="116">
        <v>2</v>
      </c>
      <c r="B125" s="117" t="s">
        <v>88</v>
      </c>
      <c r="C125" s="116">
        <v>80</v>
      </c>
      <c r="D125" s="120" t="s">
        <v>95</v>
      </c>
      <c r="E125" s="120" t="s">
        <v>973</v>
      </c>
      <c r="F125" s="117" t="s">
        <v>933</v>
      </c>
      <c r="G125" s="281">
        <v>7</v>
      </c>
      <c r="H125" s="260">
        <v>6481</v>
      </c>
      <c r="I125" s="260">
        <v>45370</v>
      </c>
      <c r="J125" s="260">
        <v>0</v>
      </c>
      <c r="K125" s="260">
        <v>45370</v>
      </c>
      <c r="L125" s="260">
        <v>3630</v>
      </c>
      <c r="M125" s="260">
        <v>49000</v>
      </c>
      <c r="N125" s="119">
        <v>8.3000000000000001E-3</v>
      </c>
      <c r="O125" s="462" t="s">
        <v>934</v>
      </c>
    </row>
    <row r="126" spans="1:15" ht="18" customHeight="1" x14ac:dyDescent="0.25">
      <c r="A126" s="116">
        <v>2</v>
      </c>
      <c r="B126" s="117" t="s">
        <v>88</v>
      </c>
      <c r="C126" s="116">
        <v>85</v>
      </c>
      <c r="D126" s="120" t="s">
        <v>95</v>
      </c>
      <c r="E126" s="120" t="s">
        <v>1004</v>
      </c>
      <c r="F126" s="117" t="s">
        <v>933</v>
      </c>
      <c r="G126" s="281">
        <v>1</v>
      </c>
      <c r="H126" s="260">
        <v>2315</v>
      </c>
      <c r="I126" s="260">
        <v>2315</v>
      </c>
      <c r="J126" s="260">
        <v>0</v>
      </c>
      <c r="K126" s="260">
        <v>2315</v>
      </c>
      <c r="L126" s="260">
        <v>185</v>
      </c>
      <c r="M126" s="260">
        <v>2500</v>
      </c>
      <c r="N126" s="119">
        <v>4.0000000000000002E-4</v>
      </c>
      <c r="O126" s="462" t="s">
        <v>934</v>
      </c>
    </row>
    <row r="127" spans="1:15" ht="18" customHeight="1" x14ac:dyDescent="0.25">
      <c r="A127" s="116">
        <v>2</v>
      </c>
      <c r="B127" s="117" t="s">
        <v>88</v>
      </c>
      <c r="C127" s="116">
        <v>79</v>
      </c>
      <c r="D127" s="120" t="s">
        <v>95</v>
      </c>
      <c r="E127" s="120" t="s">
        <v>975</v>
      </c>
      <c r="F127" s="117" t="s">
        <v>933</v>
      </c>
      <c r="G127" s="281">
        <v>5</v>
      </c>
      <c r="H127" s="260">
        <v>6481</v>
      </c>
      <c r="I127" s="260">
        <v>32407</v>
      </c>
      <c r="J127" s="260">
        <v>0</v>
      </c>
      <c r="K127" s="260">
        <v>32407</v>
      </c>
      <c r="L127" s="260">
        <v>2593</v>
      </c>
      <c r="M127" s="260">
        <v>35000</v>
      </c>
      <c r="N127" s="119">
        <v>5.8999999999999999E-3</v>
      </c>
      <c r="O127" s="462" t="s">
        <v>934</v>
      </c>
    </row>
    <row r="128" spans="1:15" ht="18" customHeight="1" x14ac:dyDescent="0.25">
      <c r="A128" s="116">
        <v>2</v>
      </c>
      <c r="B128" s="117" t="s">
        <v>88</v>
      </c>
      <c r="C128" s="116">
        <v>82</v>
      </c>
      <c r="D128" s="120" t="s">
        <v>95</v>
      </c>
      <c r="E128" s="120" t="s">
        <v>1005</v>
      </c>
      <c r="F128" s="117" t="s">
        <v>933</v>
      </c>
      <c r="G128" s="281">
        <v>6</v>
      </c>
      <c r="H128" s="260">
        <v>6481</v>
      </c>
      <c r="I128" s="260">
        <v>38889</v>
      </c>
      <c r="J128" s="260">
        <v>0</v>
      </c>
      <c r="K128" s="260">
        <v>38889</v>
      </c>
      <c r="L128" s="260">
        <v>3111</v>
      </c>
      <c r="M128" s="260">
        <v>42000</v>
      </c>
      <c r="N128" s="119">
        <v>7.1000000000000004E-3</v>
      </c>
      <c r="O128" s="462" t="s">
        <v>934</v>
      </c>
    </row>
    <row r="129" spans="1:15" ht="18" customHeight="1" x14ac:dyDescent="0.25">
      <c r="A129" s="116">
        <v>2</v>
      </c>
      <c r="B129" s="117" t="s">
        <v>88</v>
      </c>
      <c r="C129" s="116">
        <v>62</v>
      </c>
      <c r="D129" s="120" t="s">
        <v>95</v>
      </c>
      <c r="E129" s="120" t="s">
        <v>976</v>
      </c>
      <c r="F129" s="117" t="s">
        <v>933</v>
      </c>
      <c r="G129" s="281">
        <v>5</v>
      </c>
      <c r="H129" s="260">
        <v>6944</v>
      </c>
      <c r="I129" s="260">
        <v>34722</v>
      </c>
      <c r="J129" s="260">
        <v>0</v>
      </c>
      <c r="K129" s="260">
        <v>34722</v>
      </c>
      <c r="L129" s="260">
        <v>2778</v>
      </c>
      <c r="M129" s="260">
        <v>37500</v>
      </c>
      <c r="N129" s="119">
        <v>6.4000000000000003E-3</v>
      </c>
      <c r="O129" s="462" t="s">
        <v>934</v>
      </c>
    </row>
    <row r="130" spans="1:15" ht="18" customHeight="1" x14ac:dyDescent="0.25">
      <c r="A130" s="116">
        <v>2</v>
      </c>
      <c r="B130" s="117" t="s">
        <v>88</v>
      </c>
      <c r="C130" s="116">
        <v>137</v>
      </c>
      <c r="D130" s="120" t="s">
        <v>95</v>
      </c>
      <c r="E130" s="120" t="s">
        <v>1006</v>
      </c>
      <c r="F130" s="117" t="s">
        <v>933</v>
      </c>
      <c r="G130" s="281">
        <v>11</v>
      </c>
      <c r="H130" s="260">
        <v>6481</v>
      </c>
      <c r="I130" s="260">
        <v>71296</v>
      </c>
      <c r="J130" s="260">
        <v>0</v>
      </c>
      <c r="K130" s="260">
        <v>71296</v>
      </c>
      <c r="L130" s="260">
        <v>5704</v>
      </c>
      <c r="M130" s="260">
        <v>77000</v>
      </c>
      <c r="N130" s="119">
        <v>1.3100000000000001E-2</v>
      </c>
      <c r="O130" s="462" t="s">
        <v>934</v>
      </c>
    </row>
    <row r="131" spans="1:15" ht="18" customHeight="1" x14ac:dyDescent="0.25">
      <c r="A131" s="116">
        <v>2</v>
      </c>
      <c r="B131" s="117" t="s">
        <v>88</v>
      </c>
      <c r="C131" s="116">
        <v>222</v>
      </c>
      <c r="D131" s="120" t="s">
        <v>93</v>
      </c>
      <c r="E131" s="120" t="s">
        <v>981</v>
      </c>
      <c r="F131" s="117" t="s">
        <v>933</v>
      </c>
      <c r="G131" s="281">
        <v>1</v>
      </c>
      <c r="H131" s="260">
        <v>63426</v>
      </c>
      <c r="I131" s="260">
        <v>63426</v>
      </c>
      <c r="J131" s="260">
        <v>0</v>
      </c>
      <c r="K131" s="260">
        <v>63426</v>
      </c>
      <c r="L131" s="260">
        <v>5074</v>
      </c>
      <c r="M131" s="260">
        <v>68500</v>
      </c>
      <c r="N131" s="119">
        <v>1.1599999999999999E-2</v>
      </c>
      <c r="O131" s="462" t="s">
        <v>934</v>
      </c>
    </row>
    <row r="132" spans="1:15" ht="18" customHeight="1" x14ac:dyDescent="0.25">
      <c r="A132" s="116">
        <v>2</v>
      </c>
      <c r="B132" s="117" t="s">
        <v>88</v>
      </c>
      <c r="C132" s="116">
        <v>223</v>
      </c>
      <c r="D132" s="120" t="s">
        <v>87</v>
      </c>
      <c r="E132" s="120" t="s">
        <v>141</v>
      </c>
      <c r="F132" s="117" t="s">
        <v>933</v>
      </c>
      <c r="G132" s="281">
        <v>1</v>
      </c>
      <c r="H132" s="260">
        <v>69444</v>
      </c>
      <c r="I132" s="260">
        <v>69444</v>
      </c>
      <c r="J132" s="260">
        <v>0</v>
      </c>
      <c r="K132" s="260">
        <v>69444</v>
      </c>
      <c r="L132" s="260">
        <v>5556</v>
      </c>
      <c r="M132" s="260">
        <v>75000</v>
      </c>
      <c r="N132" s="119">
        <v>1.2699999999999999E-2</v>
      </c>
      <c r="O132" s="462" t="s">
        <v>934</v>
      </c>
    </row>
    <row r="133" spans="1:15" ht="18" customHeight="1" x14ac:dyDescent="0.25">
      <c r="A133" s="116">
        <v>2</v>
      </c>
      <c r="B133" s="117" t="s">
        <v>88</v>
      </c>
      <c r="C133" s="116">
        <v>50</v>
      </c>
      <c r="D133" s="120" t="s">
        <v>87</v>
      </c>
      <c r="E133" s="120" t="s">
        <v>159</v>
      </c>
      <c r="F133" s="117" t="s">
        <v>933</v>
      </c>
      <c r="G133" s="281">
        <v>2</v>
      </c>
      <c r="H133" s="260">
        <v>49074</v>
      </c>
      <c r="I133" s="260">
        <v>98148</v>
      </c>
      <c r="J133" s="260">
        <v>0</v>
      </c>
      <c r="K133" s="260">
        <v>98148</v>
      </c>
      <c r="L133" s="260">
        <v>7852</v>
      </c>
      <c r="M133" s="260">
        <v>106000</v>
      </c>
      <c r="N133" s="119">
        <v>1.7999999999999999E-2</v>
      </c>
      <c r="O133" s="462" t="s">
        <v>934</v>
      </c>
    </row>
    <row r="134" spans="1:15" ht="18" customHeight="1" x14ac:dyDescent="0.25">
      <c r="A134" s="116">
        <v>2</v>
      </c>
      <c r="B134" s="117" t="s">
        <v>88</v>
      </c>
      <c r="C134" s="116">
        <v>120</v>
      </c>
      <c r="D134" s="120" t="s">
        <v>93</v>
      </c>
      <c r="E134" s="120" t="s">
        <v>982</v>
      </c>
      <c r="F134" s="117" t="s">
        <v>933</v>
      </c>
      <c r="G134" s="281">
        <v>1</v>
      </c>
      <c r="H134" s="260">
        <v>41667</v>
      </c>
      <c r="I134" s="260">
        <v>41667</v>
      </c>
      <c r="J134" s="260">
        <v>0</v>
      </c>
      <c r="K134" s="260">
        <v>41667</v>
      </c>
      <c r="L134" s="260">
        <v>3333</v>
      </c>
      <c r="M134" s="260">
        <v>45000</v>
      </c>
      <c r="N134" s="119">
        <v>7.6E-3</v>
      </c>
      <c r="O134" s="462" t="s">
        <v>934</v>
      </c>
    </row>
    <row r="135" spans="1:15" ht="18" customHeight="1" x14ac:dyDescent="0.25">
      <c r="A135" s="116">
        <v>2</v>
      </c>
      <c r="B135" s="117" t="s">
        <v>88</v>
      </c>
      <c r="C135" s="116">
        <v>129</v>
      </c>
      <c r="D135" s="120" t="s">
        <v>93</v>
      </c>
      <c r="E135" s="120" t="s">
        <v>983</v>
      </c>
      <c r="F135" s="117" t="s">
        <v>933</v>
      </c>
      <c r="G135" s="281">
        <v>3</v>
      </c>
      <c r="H135" s="260">
        <v>44444</v>
      </c>
      <c r="I135" s="260">
        <v>133333</v>
      </c>
      <c r="J135" s="260">
        <v>0</v>
      </c>
      <c r="K135" s="260">
        <v>133333</v>
      </c>
      <c r="L135" s="260">
        <v>10667</v>
      </c>
      <c r="M135" s="260">
        <v>144000</v>
      </c>
      <c r="N135" s="119">
        <v>2.4500000000000001E-2</v>
      </c>
      <c r="O135" s="462" t="s">
        <v>934</v>
      </c>
    </row>
    <row r="136" spans="1:15" ht="18" customHeight="1" x14ac:dyDescent="0.25">
      <c r="A136" s="116">
        <v>2</v>
      </c>
      <c r="B136" s="117" t="s">
        <v>88</v>
      </c>
      <c r="C136" s="116">
        <v>36</v>
      </c>
      <c r="D136" s="120" t="s">
        <v>91</v>
      </c>
      <c r="E136" s="120" t="s">
        <v>984</v>
      </c>
      <c r="F136" s="117" t="s">
        <v>933</v>
      </c>
      <c r="G136" s="281">
        <v>1</v>
      </c>
      <c r="H136" s="260">
        <v>3704</v>
      </c>
      <c r="I136" s="260">
        <v>3704</v>
      </c>
      <c r="J136" s="260">
        <v>0</v>
      </c>
      <c r="K136" s="260">
        <v>3704</v>
      </c>
      <c r="L136" s="260">
        <v>296</v>
      </c>
      <c r="M136" s="260">
        <v>4000</v>
      </c>
      <c r="N136" s="119">
        <v>7.000000000000001E-4</v>
      </c>
      <c r="O136" s="462" t="s">
        <v>934</v>
      </c>
    </row>
    <row r="137" spans="1:15" ht="18" customHeight="1" x14ac:dyDescent="0.25">
      <c r="A137" s="116">
        <v>2</v>
      </c>
      <c r="B137" s="117" t="s">
        <v>88</v>
      </c>
      <c r="C137" s="116">
        <v>61</v>
      </c>
      <c r="D137" s="120" t="s">
        <v>97</v>
      </c>
      <c r="E137" s="120" t="s">
        <v>985</v>
      </c>
      <c r="F137" s="117" t="s">
        <v>933</v>
      </c>
      <c r="G137" s="281">
        <v>17</v>
      </c>
      <c r="H137" s="260">
        <v>4630</v>
      </c>
      <c r="I137" s="260">
        <v>78704</v>
      </c>
      <c r="J137" s="260">
        <v>0</v>
      </c>
      <c r="K137" s="260">
        <v>78704</v>
      </c>
      <c r="L137" s="260">
        <v>6296</v>
      </c>
      <c r="M137" s="260">
        <v>85000</v>
      </c>
      <c r="N137" s="119">
        <v>1.44E-2</v>
      </c>
      <c r="O137" s="462" t="s">
        <v>934</v>
      </c>
    </row>
    <row r="138" spans="1:15" ht="18" customHeight="1" x14ac:dyDescent="0.25">
      <c r="A138" s="116">
        <v>2</v>
      </c>
      <c r="B138" s="117" t="s">
        <v>88</v>
      </c>
      <c r="C138" s="116">
        <v>215</v>
      </c>
      <c r="D138" s="120" t="s">
        <v>87</v>
      </c>
      <c r="E138" s="120" t="s">
        <v>132</v>
      </c>
      <c r="F138" s="117" t="s">
        <v>933</v>
      </c>
      <c r="G138" s="281">
        <v>5</v>
      </c>
      <c r="H138" s="260">
        <v>37500</v>
      </c>
      <c r="I138" s="260">
        <v>187500</v>
      </c>
      <c r="J138" s="260">
        <v>0</v>
      </c>
      <c r="K138" s="260">
        <v>187500</v>
      </c>
      <c r="L138" s="260">
        <v>15000</v>
      </c>
      <c r="M138" s="260">
        <v>202500</v>
      </c>
      <c r="N138" s="119">
        <v>3.44E-2</v>
      </c>
      <c r="O138" s="462" t="s">
        <v>934</v>
      </c>
    </row>
    <row r="139" spans="1:15" ht="18" customHeight="1" x14ac:dyDescent="0.25">
      <c r="A139" s="116">
        <v>2</v>
      </c>
      <c r="B139" s="117" t="s">
        <v>88</v>
      </c>
      <c r="C139" s="116">
        <v>214</v>
      </c>
      <c r="D139" s="120" t="s">
        <v>87</v>
      </c>
      <c r="E139" s="120" t="s">
        <v>1007</v>
      </c>
      <c r="F139" s="117" t="s">
        <v>933</v>
      </c>
      <c r="G139" s="281">
        <v>1</v>
      </c>
      <c r="H139" s="260">
        <v>37500</v>
      </c>
      <c r="I139" s="260">
        <v>37500</v>
      </c>
      <c r="J139" s="260">
        <v>0</v>
      </c>
      <c r="K139" s="260">
        <v>37500</v>
      </c>
      <c r="L139" s="260">
        <v>3000</v>
      </c>
      <c r="M139" s="260">
        <v>40500</v>
      </c>
      <c r="N139" s="119">
        <v>6.8999999999999999E-3</v>
      </c>
      <c r="O139" s="462" t="s">
        <v>934</v>
      </c>
    </row>
    <row r="140" spans="1:15" ht="18" customHeight="1" x14ac:dyDescent="0.25">
      <c r="A140" s="116">
        <v>2</v>
      </c>
      <c r="B140" s="117" t="s">
        <v>88</v>
      </c>
      <c r="C140" s="116">
        <v>315</v>
      </c>
      <c r="D140" s="120" t="s">
        <v>87</v>
      </c>
      <c r="E140" s="120" t="s">
        <v>1008</v>
      </c>
      <c r="F140" s="117" t="s">
        <v>933</v>
      </c>
      <c r="G140" s="281">
        <v>1</v>
      </c>
      <c r="H140" s="260">
        <v>1852</v>
      </c>
      <c r="I140" s="260">
        <v>1852</v>
      </c>
      <c r="J140" s="260">
        <v>0</v>
      </c>
      <c r="K140" s="260">
        <v>1852</v>
      </c>
      <c r="L140" s="260">
        <v>148</v>
      </c>
      <c r="M140" s="260">
        <v>2000</v>
      </c>
      <c r="N140" s="119">
        <v>2.9999999999999997E-4</v>
      </c>
      <c r="O140" s="462" t="s">
        <v>934</v>
      </c>
    </row>
    <row r="141" spans="1:15" ht="18" customHeight="1" x14ac:dyDescent="0.25">
      <c r="A141" s="116">
        <v>2</v>
      </c>
      <c r="B141" s="117" t="s">
        <v>88</v>
      </c>
      <c r="C141" s="116">
        <v>96</v>
      </c>
      <c r="D141" s="120" t="s">
        <v>93</v>
      </c>
      <c r="E141" s="120" t="s">
        <v>1009</v>
      </c>
      <c r="F141" s="117" t="s">
        <v>933</v>
      </c>
      <c r="G141" s="281">
        <v>2</v>
      </c>
      <c r="H141" s="260">
        <v>35648</v>
      </c>
      <c r="I141" s="260">
        <v>71296</v>
      </c>
      <c r="J141" s="260">
        <v>0</v>
      </c>
      <c r="K141" s="260">
        <v>71296</v>
      </c>
      <c r="L141" s="260">
        <v>5704</v>
      </c>
      <c r="M141" s="260">
        <v>77000</v>
      </c>
      <c r="N141" s="119">
        <v>1.3100000000000001E-2</v>
      </c>
      <c r="O141" s="462" t="s">
        <v>934</v>
      </c>
    </row>
    <row r="142" spans="1:15" ht="18" customHeight="1" x14ac:dyDescent="0.25">
      <c r="A142" s="116">
        <v>2</v>
      </c>
      <c r="B142" s="117" t="s">
        <v>88</v>
      </c>
      <c r="C142" s="116">
        <v>33</v>
      </c>
      <c r="D142" s="120" t="s">
        <v>91</v>
      </c>
      <c r="E142" s="120" t="s">
        <v>987</v>
      </c>
      <c r="F142" s="117" t="s">
        <v>933</v>
      </c>
      <c r="G142" s="281">
        <v>5</v>
      </c>
      <c r="H142" s="260">
        <v>1852</v>
      </c>
      <c r="I142" s="260">
        <v>9259</v>
      </c>
      <c r="J142" s="260">
        <v>0</v>
      </c>
      <c r="K142" s="260">
        <v>9259</v>
      </c>
      <c r="L142" s="260">
        <v>741</v>
      </c>
      <c r="M142" s="260">
        <v>10000</v>
      </c>
      <c r="N142" s="119">
        <v>1.6999999999999999E-3</v>
      </c>
      <c r="O142" s="462" t="s">
        <v>934</v>
      </c>
    </row>
    <row r="143" spans="1:15" ht="18" customHeight="1" x14ac:dyDescent="0.25">
      <c r="A143" s="116">
        <v>2</v>
      </c>
      <c r="B143" s="117" t="s">
        <v>88</v>
      </c>
      <c r="C143" s="116">
        <v>255</v>
      </c>
      <c r="D143" s="120" t="s">
        <v>93</v>
      </c>
      <c r="E143" s="120" t="s">
        <v>1010</v>
      </c>
      <c r="F143" s="117" t="s">
        <v>933</v>
      </c>
      <c r="G143" s="281">
        <v>1</v>
      </c>
      <c r="H143" s="260">
        <v>35648</v>
      </c>
      <c r="I143" s="260">
        <v>35648</v>
      </c>
      <c r="J143" s="260">
        <v>0</v>
      </c>
      <c r="K143" s="260">
        <v>35648</v>
      </c>
      <c r="L143" s="260">
        <v>2852</v>
      </c>
      <c r="M143" s="260">
        <v>38500</v>
      </c>
      <c r="N143" s="119">
        <v>6.5000000000000006E-3</v>
      </c>
      <c r="O143" s="462" t="s">
        <v>934</v>
      </c>
    </row>
    <row r="144" spans="1:15" ht="18" customHeight="1" x14ac:dyDescent="0.25">
      <c r="A144" s="116">
        <v>2</v>
      </c>
      <c r="B144" s="117" t="s">
        <v>88</v>
      </c>
      <c r="C144" s="116">
        <v>67</v>
      </c>
      <c r="D144" s="120" t="s">
        <v>93</v>
      </c>
      <c r="E144" s="120" t="s">
        <v>988</v>
      </c>
      <c r="F144" s="117" t="s">
        <v>933</v>
      </c>
      <c r="G144" s="281">
        <v>1</v>
      </c>
      <c r="H144" s="260">
        <v>41667</v>
      </c>
      <c r="I144" s="260">
        <v>41667</v>
      </c>
      <c r="J144" s="260">
        <v>0</v>
      </c>
      <c r="K144" s="260">
        <v>41667</v>
      </c>
      <c r="L144" s="260">
        <v>3333</v>
      </c>
      <c r="M144" s="260">
        <v>45000</v>
      </c>
      <c r="N144" s="119">
        <v>7.6E-3</v>
      </c>
      <c r="O144" s="462" t="s">
        <v>934</v>
      </c>
    </row>
    <row r="145" spans="1:15" ht="18" customHeight="1" x14ac:dyDescent="0.25">
      <c r="A145" s="116">
        <v>2</v>
      </c>
      <c r="B145" s="117" t="s">
        <v>88</v>
      </c>
      <c r="C145" s="116">
        <v>39</v>
      </c>
      <c r="D145" s="120" t="s">
        <v>91</v>
      </c>
      <c r="E145" s="120" t="s">
        <v>1011</v>
      </c>
      <c r="F145" s="117" t="s">
        <v>933</v>
      </c>
      <c r="G145" s="281">
        <v>2</v>
      </c>
      <c r="H145" s="260">
        <v>3333</v>
      </c>
      <c r="I145" s="260">
        <v>6667</v>
      </c>
      <c r="J145" s="260">
        <v>0</v>
      </c>
      <c r="K145" s="260">
        <v>6667</v>
      </c>
      <c r="L145" s="260">
        <v>533</v>
      </c>
      <c r="M145" s="260">
        <v>7200</v>
      </c>
      <c r="N145" s="119">
        <v>1.1999999999999999E-3</v>
      </c>
      <c r="O145" s="462" t="s">
        <v>934</v>
      </c>
    </row>
    <row r="146" spans="1:15" ht="18" customHeight="1" x14ac:dyDescent="0.25">
      <c r="A146" s="116">
        <v>3</v>
      </c>
      <c r="B146" s="117" t="s">
        <v>90</v>
      </c>
      <c r="C146" s="116">
        <v>73</v>
      </c>
      <c r="D146" s="120" t="s">
        <v>91</v>
      </c>
      <c r="E146" s="120" t="s">
        <v>932</v>
      </c>
      <c r="F146" s="117" t="s">
        <v>933</v>
      </c>
      <c r="G146" s="281">
        <v>9</v>
      </c>
      <c r="H146" s="260">
        <v>2593</v>
      </c>
      <c r="I146" s="260">
        <v>23333</v>
      </c>
      <c r="J146" s="260">
        <v>0</v>
      </c>
      <c r="K146" s="260">
        <v>23333</v>
      </c>
      <c r="L146" s="260">
        <v>1867</v>
      </c>
      <c r="M146" s="260">
        <v>25200</v>
      </c>
      <c r="N146" s="119">
        <v>4.0999999999999986E-3</v>
      </c>
      <c r="O146" s="462" t="s">
        <v>934</v>
      </c>
    </row>
    <row r="147" spans="1:15" ht="18" customHeight="1" x14ac:dyDescent="0.25">
      <c r="A147" s="116">
        <v>3</v>
      </c>
      <c r="B147" s="117" t="s">
        <v>90</v>
      </c>
      <c r="C147" s="116">
        <v>65</v>
      </c>
      <c r="D147" s="120" t="s">
        <v>91</v>
      </c>
      <c r="E147" s="120" t="s">
        <v>935</v>
      </c>
      <c r="F147" s="117" t="s">
        <v>933</v>
      </c>
      <c r="G147" s="281">
        <v>1</v>
      </c>
      <c r="H147" s="260">
        <v>2778</v>
      </c>
      <c r="I147" s="260">
        <v>2778</v>
      </c>
      <c r="J147" s="260">
        <v>0</v>
      </c>
      <c r="K147" s="260">
        <v>2778</v>
      </c>
      <c r="L147" s="260">
        <v>222</v>
      </c>
      <c r="M147" s="260">
        <v>3000</v>
      </c>
      <c r="N147" s="119">
        <v>5.0000000000000001E-4</v>
      </c>
      <c r="O147" s="462" t="s">
        <v>934</v>
      </c>
    </row>
    <row r="148" spans="1:15" ht="18" customHeight="1" x14ac:dyDescent="0.25">
      <c r="A148" s="116">
        <v>3</v>
      </c>
      <c r="B148" s="117" t="s">
        <v>90</v>
      </c>
      <c r="C148" s="116">
        <v>1</v>
      </c>
      <c r="D148" s="120" t="s">
        <v>87</v>
      </c>
      <c r="E148" s="120" t="s">
        <v>936</v>
      </c>
      <c r="F148" s="117" t="s">
        <v>933</v>
      </c>
      <c r="G148" s="281">
        <v>1</v>
      </c>
      <c r="H148" s="260">
        <v>18519</v>
      </c>
      <c r="I148" s="260">
        <v>18519</v>
      </c>
      <c r="J148" s="260">
        <v>0</v>
      </c>
      <c r="K148" s="260">
        <v>18519</v>
      </c>
      <c r="L148" s="260">
        <v>1481</v>
      </c>
      <c r="M148" s="260">
        <v>20000</v>
      </c>
      <c r="N148" s="119">
        <v>3.3E-3</v>
      </c>
      <c r="O148" s="462" t="s">
        <v>934</v>
      </c>
    </row>
    <row r="149" spans="1:15" ht="18" customHeight="1" x14ac:dyDescent="0.25">
      <c r="A149" s="116">
        <v>3</v>
      </c>
      <c r="B149" s="117" t="s">
        <v>90</v>
      </c>
      <c r="C149" s="116">
        <v>3</v>
      </c>
      <c r="D149" s="120" t="s">
        <v>87</v>
      </c>
      <c r="E149" s="120" t="s">
        <v>1012</v>
      </c>
      <c r="F149" s="117" t="s">
        <v>933</v>
      </c>
      <c r="G149" s="281">
        <v>1</v>
      </c>
      <c r="H149" s="260">
        <v>18519</v>
      </c>
      <c r="I149" s="260">
        <v>18519</v>
      </c>
      <c r="J149" s="260">
        <v>0</v>
      </c>
      <c r="K149" s="260">
        <v>18519</v>
      </c>
      <c r="L149" s="260">
        <v>1481</v>
      </c>
      <c r="M149" s="260">
        <v>20000</v>
      </c>
      <c r="N149" s="119">
        <v>3.3E-3</v>
      </c>
      <c r="O149" s="462" t="s">
        <v>934</v>
      </c>
    </row>
    <row r="150" spans="1:15" ht="18" customHeight="1" x14ac:dyDescent="0.25">
      <c r="A150" s="116">
        <v>3</v>
      </c>
      <c r="B150" s="117" t="s">
        <v>90</v>
      </c>
      <c r="C150" s="116">
        <v>131</v>
      </c>
      <c r="D150" s="120" t="s">
        <v>87</v>
      </c>
      <c r="E150" s="120" t="s">
        <v>991</v>
      </c>
      <c r="F150" s="117" t="s">
        <v>933</v>
      </c>
      <c r="G150" s="281">
        <v>1</v>
      </c>
      <c r="H150" s="260">
        <v>278</v>
      </c>
      <c r="I150" s="260">
        <v>278</v>
      </c>
      <c r="J150" s="260">
        <v>0</v>
      </c>
      <c r="K150" s="260">
        <v>278</v>
      </c>
      <c r="L150" s="260">
        <v>22</v>
      </c>
      <c r="M150" s="260">
        <v>300</v>
      </c>
      <c r="N150" s="119">
        <v>0</v>
      </c>
      <c r="O150" s="462" t="s">
        <v>934</v>
      </c>
    </row>
    <row r="151" spans="1:15" ht="18" customHeight="1" x14ac:dyDescent="0.25">
      <c r="A151" s="116">
        <v>3</v>
      </c>
      <c r="B151" s="117" t="s">
        <v>90</v>
      </c>
      <c r="C151" s="116">
        <v>104</v>
      </c>
      <c r="D151" s="120" t="s">
        <v>89</v>
      </c>
      <c r="E151" s="120" t="s">
        <v>162</v>
      </c>
      <c r="F151" s="117" t="s">
        <v>933</v>
      </c>
      <c r="G151" s="281">
        <v>18</v>
      </c>
      <c r="H151" s="260">
        <v>16007</v>
      </c>
      <c r="I151" s="260">
        <v>288889</v>
      </c>
      <c r="J151" s="260">
        <v>768</v>
      </c>
      <c r="K151" s="260">
        <v>288121</v>
      </c>
      <c r="L151" s="260">
        <v>23050</v>
      </c>
      <c r="M151" s="260">
        <v>311171</v>
      </c>
      <c r="N151" s="119">
        <v>5.0599999999999999E-2</v>
      </c>
      <c r="O151" s="462" t="s">
        <v>934</v>
      </c>
    </row>
    <row r="152" spans="1:15" ht="18" customHeight="1" x14ac:dyDescent="0.25">
      <c r="A152" s="116">
        <v>3</v>
      </c>
      <c r="B152" s="117" t="s">
        <v>90</v>
      </c>
      <c r="C152" s="116">
        <v>95</v>
      </c>
      <c r="D152" s="120" t="s">
        <v>87</v>
      </c>
      <c r="E152" s="120" t="s">
        <v>938</v>
      </c>
      <c r="F152" s="117" t="s">
        <v>933</v>
      </c>
      <c r="G152" s="281">
        <v>4</v>
      </c>
      <c r="H152" s="260">
        <v>926</v>
      </c>
      <c r="I152" s="260">
        <v>3704</v>
      </c>
      <c r="J152" s="260">
        <v>0</v>
      </c>
      <c r="K152" s="260">
        <v>3704</v>
      </c>
      <c r="L152" s="260">
        <v>296</v>
      </c>
      <c r="M152" s="260">
        <v>4000</v>
      </c>
      <c r="N152" s="119">
        <v>7.000000000000001E-4</v>
      </c>
      <c r="O152" s="462" t="s">
        <v>934</v>
      </c>
    </row>
    <row r="153" spans="1:15" ht="18" customHeight="1" x14ac:dyDescent="0.25">
      <c r="A153" s="116">
        <v>3</v>
      </c>
      <c r="B153" s="117" t="s">
        <v>90</v>
      </c>
      <c r="C153" s="116">
        <v>2</v>
      </c>
      <c r="D153" s="120" t="s">
        <v>87</v>
      </c>
      <c r="E153" s="120" t="s">
        <v>1013</v>
      </c>
      <c r="F153" s="117" t="s">
        <v>933</v>
      </c>
      <c r="G153" s="281">
        <v>16</v>
      </c>
      <c r="H153" s="260">
        <v>18692</v>
      </c>
      <c r="I153" s="260">
        <v>299074</v>
      </c>
      <c r="J153" s="260">
        <v>0</v>
      </c>
      <c r="K153" s="260">
        <v>299074</v>
      </c>
      <c r="L153" s="260">
        <v>23926</v>
      </c>
      <c r="M153" s="260">
        <v>323000</v>
      </c>
      <c r="N153" s="119">
        <v>5.2499999999999998E-2</v>
      </c>
      <c r="O153" s="462" t="s">
        <v>934</v>
      </c>
    </row>
    <row r="154" spans="1:15" ht="18" customHeight="1" x14ac:dyDescent="0.25">
      <c r="A154" s="116">
        <v>3</v>
      </c>
      <c r="B154" s="117" t="s">
        <v>90</v>
      </c>
      <c r="C154" s="116">
        <v>136</v>
      </c>
      <c r="D154" s="120" t="s">
        <v>89</v>
      </c>
      <c r="E154" s="120" t="s">
        <v>939</v>
      </c>
      <c r="F154" s="117" t="s">
        <v>933</v>
      </c>
      <c r="G154" s="281">
        <v>1</v>
      </c>
      <c r="H154" s="260">
        <v>24074</v>
      </c>
      <c r="I154" s="260">
        <v>24074</v>
      </c>
      <c r="J154" s="260">
        <v>0</v>
      </c>
      <c r="K154" s="260">
        <v>24074</v>
      </c>
      <c r="L154" s="260">
        <v>1926</v>
      </c>
      <c r="M154" s="260">
        <v>26000</v>
      </c>
      <c r="N154" s="119">
        <v>4.1999999999999997E-3</v>
      </c>
      <c r="O154" s="462" t="s">
        <v>934</v>
      </c>
    </row>
    <row r="155" spans="1:15" ht="18" customHeight="1" x14ac:dyDescent="0.25">
      <c r="A155" s="116">
        <v>3</v>
      </c>
      <c r="B155" s="117" t="s">
        <v>90</v>
      </c>
      <c r="C155" s="116">
        <v>6</v>
      </c>
      <c r="D155" s="120" t="s">
        <v>89</v>
      </c>
      <c r="E155" s="120" t="s">
        <v>994</v>
      </c>
      <c r="F155" s="117" t="s">
        <v>933</v>
      </c>
      <c r="G155" s="281">
        <v>4</v>
      </c>
      <c r="H155" s="260">
        <v>14815</v>
      </c>
      <c r="I155" s="260">
        <v>59259</v>
      </c>
      <c r="J155" s="260">
        <v>0</v>
      </c>
      <c r="K155" s="260">
        <v>59259</v>
      </c>
      <c r="L155" s="260">
        <v>4741</v>
      </c>
      <c r="M155" s="260">
        <v>64000</v>
      </c>
      <c r="N155" s="119">
        <v>1.04E-2</v>
      </c>
      <c r="O155" s="462" t="s">
        <v>934</v>
      </c>
    </row>
    <row r="156" spans="1:15" ht="18" customHeight="1" x14ac:dyDescent="0.25">
      <c r="A156" s="116">
        <v>3</v>
      </c>
      <c r="B156" s="117" t="s">
        <v>90</v>
      </c>
      <c r="C156" s="116">
        <v>8</v>
      </c>
      <c r="D156" s="120" t="s">
        <v>87</v>
      </c>
      <c r="E156" s="120" t="s">
        <v>156</v>
      </c>
      <c r="F156" s="117" t="s">
        <v>933</v>
      </c>
      <c r="G156" s="281">
        <v>19</v>
      </c>
      <c r="H156" s="260">
        <v>18374</v>
      </c>
      <c r="I156" s="260">
        <v>353704</v>
      </c>
      <c r="J156" s="260">
        <v>4607</v>
      </c>
      <c r="K156" s="260">
        <v>349097</v>
      </c>
      <c r="L156" s="260">
        <v>27928</v>
      </c>
      <c r="M156" s="260">
        <v>377025</v>
      </c>
      <c r="N156" s="119">
        <v>6.13E-2</v>
      </c>
      <c r="O156" s="462" t="s">
        <v>934</v>
      </c>
    </row>
    <row r="157" spans="1:15" ht="18" customHeight="1" x14ac:dyDescent="0.25">
      <c r="A157" s="116">
        <v>3</v>
      </c>
      <c r="B157" s="117" t="s">
        <v>90</v>
      </c>
      <c r="C157" s="116">
        <v>311</v>
      </c>
      <c r="D157" s="120" t="s">
        <v>93</v>
      </c>
      <c r="E157" s="120" t="s">
        <v>940</v>
      </c>
      <c r="F157" s="117" t="s">
        <v>933</v>
      </c>
      <c r="G157" s="281">
        <v>1</v>
      </c>
      <c r="H157" s="260">
        <v>44907</v>
      </c>
      <c r="I157" s="260">
        <v>44907</v>
      </c>
      <c r="J157" s="260">
        <v>0</v>
      </c>
      <c r="K157" s="260">
        <v>44907</v>
      </c>
      <c r="L157" s="260">
        <v>3593</v>
      </c>
      <c r="M157" s="260">
        <v>48500</v>
      </c>
      <c r="N157" s="119">
        <v>7.9000000000000008E-3</v>
      </c>
      <c r="O157" s="462" t="s">
        <v>934</v>
      </c>
    </row>
    <row r="158" spans="1:15" ht="18" customHeight="1" x14ac:dyDescent="0.25">
      <c r="A158" s="116">
        <v>3</v>
      </c>
      <c r="B158" s="117" t="s">
        <v>90</v>
      </c>
      <c r="C158" s="116">
        <v>87</v>
      </c>
      <c r="D158" s="120" t="s">
        <v>89</v>
      </c>
      <c r="E158" s="120" t="s">
        <v>144</v>
      </c>
      <c r="F158" s="117" t="s">
        <v>933</v>
      </c>
      <c r="G158" s="281">
        <v>1</v>
      </c>
      <c r="H158" s="260">
        <v>37500</v>
      </c>
      <c r="I158" s="260">
        <v>37500</v>
      </c>
      <c r="J158" s="260">
        <v>0</v>
      </c>
      <c r="K158" s="260">
        <v>37500</v>
      </c>
      <c r="L158" s="260">
        <v>3000</v>
      </c>
      <c r="M158" s="260">
        <v>40500</v>
      </c>
      <c r="N158" s="119">
        <v>6.6E-3</v>
      </c>
      <c r="O158" s="462" t="s">
        <v>934</v>
      </c>
    </row>
    <row r="159" spans="1:15" ht="18" customHeight="1" x14ac:dyDescent="0.25">
      <c r="A159" s="116">
        <v>3</v>
      </c>
      <c r="B159" s="117" t="s">
        <v>90</v>
      </c>
      <c r="C159" s="116">
        <v>206</v>
      </c>
      <c r="D159" s="120" t="s">
        <v>93</v>
      </c>
      <c r="E159" s="120" t="s">
        <v>941</v>
      </c>
      <c r="F159" s="117" t="s">
        <v>933</v>
      </c>
      <c r="G159" s="281">
        <v>1</v>
      </c>
      <c r="H159" s="260">
        <v>44907</v>
      </c>
      <c r="I159" s="260">
        <v>44907</v>
      </c>
      <c r="J159" s="260">
        <v>0</v>
      </c>
      <c r="K159" s="260">
        <v>44907</v>
      </c>
      <c r="L159" s="260">
        <v>3593</v>
      </c>
      <c r="M159" s="260">
        <v>48500</v>
      </c>
      <c r="N159" s="119">
        <v>7.9000000000000008E-3</v>
      </c>
      <c r="O159" s="462" t="s">
        <v>934</v>
      </c>
    </row>
    <row r="160" spans="1:15" ht="18" customHeight="1" x14ac:dyDescent="0.25">
      <c r="A160" s="116">
        <v>3</v>
      </c>
      <c r="B160" s="117" t="s">
        <v>90</v>
      </c>
      <c r="C160" s="116">
        <v>13</v>
      </c>
      <c r="D160" s="120" t="s">
        <v>87</v>
      </c>
      <c r="E160" s="120" t="s">
        <v>942</v>
      </c>
      <c r="F160" s="117" t="s">
        <v>933</v>
      </c>
      <c r="G160" s="281">
        <v>1</v>
      </c>
      <c r="H160" s="260">
        <v>18519</v>
      </c>
      <c r="I160" s="260">
        <v>18519</v>
      </c>
      <c r="J160" s="260">
        <v>0</v>
      </c>
      <c r="K160" s="260">
        <v>18519</v>
      </c>
      <c r="L160" s="260">
        <v>1481</v>
      </c>
      <c r="M160" s="260">
        <v>20000</v>
      </c>
      <c r="N160" s="119">
        <v>3.3E-3</v>
      </c>
      <c r="O160" s="462" t="s">
        <v>934</v>
      </c>
    </row>
    <row r="161" spans="1:15" ht="18" customHeight="1" x14ac:dyDescent="0.25">
      <c r="A161" s="116">
        <v>3</v>
      </c>
      <c r="B161" s="117" t="s">
        <v>90</v>
      </c>
      <c r="C161" s="116">
        <v>70</v>
      </c>
      <c r="D161" s="120" t="s">
        <v>91</v>
      </c>
      <c r="E161" s="120" t="s">
        <v>944</v>
      </c>
      <c r="F161" s="117" t="s">
        <v>933</v>
      </c>
      <c r="G161" s="281">
        <v>4</v>
      </c>
      <c r="H161" s="260">
        <v>4630</v>
      </c>
      <c r="I161" s="260">
        <v>18519</v>
      </c>
      <c r="J161" s="260">
        <v>0</v>
      </c>
      <c r="K161" s="260">
        <v>18519</v>
      </c>
      <c r="L161" s="260">
        <v>1481</v>
      </c>
      <c r="M161" s="260">
        <v>20000</v>
      </c>
      <c r="N161" s="119">
        <v>3.3E-3</v>
      </c>
      <c r="O161" s="462" t="s">
        <v>934</v>
      </c>
    </row>
    <row r="162" spans="1:15" ht="18" customHeight="1" x14ac:dyDescent="0.25">
      <c r="A162" s="116">
        <v>3</v>
      </c>
      <c r="B162" s="117" t="s">
        <v>90</v>
      </c>
      <c r="C162" s="116">
        <v>71</v>
      </c>
      <c r="D162" s="120" t="s">
        <v>91</v>
      </c>
      <c r="E162" s="120" t="s">
        <v>945</v>
      </c>
      <c r="F162" s="117" t="s">
        <v>933</v>
      </c>
      <c r="G162" s="281">
        <v>4</v>
      </c>
      <c r="H162" s="260">
        <v>5556</v>
      </c>
      <c r="I162" s="260">
        <v>22222</v>
      </c>
      <c r="J162" s="260">
        <v>0</v>
      </c>
      <c r="K162" s="260">
        <v>22222</v>
      </c>
      <c r="L162" s="260">
        <v>1778</v>
      </c>
      <c r="M162" s="260">
        <v>24000</v>
      </c>
      <c r="N162" s="119">
        <v>3.8999999999999998E-3</v>
      </c>
      <c r="O162" s="462" t="s">
        <v>934</v>
      </c>
    </row>
    <row r="163" spans="1:15" ht="18" customHeight="1" x14ac:dyDescent="0.25">
      <c r="A163" s="116">
        <v>3</v>
      </c>
      <c r="B163" s="117" t="s">
        <v>90</v>
      </c>
      <c r="C163" s="116">
        <v>83</v>
      </c>
      <c r="D163" s="120" t="s">
        <v>87</v>
      </c>
      <c r="E163" s="120" t="s">
        <v>946</v>
      </c>
      <c r="F163" s="117" t="s">
        <v>933</v>
      </c>
      <c r="G163" s="281">
        <v>5</v>
      </c>
      <c r="H163" s="260">
        <v>20833</v>
      </c>
      <c r="I163" s="260">
        <v>104167</v>
      </c>
      <c r="J163" s="260">
        <v>0</v>
      </c>
      <c r="K163" s="260">
        <v>104167</v>
      </c>
      <c r="L163" s="260">
        <v>8333</v>
      </c>
      <c r="M163" s="260">
        <v>112500</v>
      </c>
      <c r="N163" s="119">
        <v>1.83E-2</v>
      </c>
      <c r="O163" s="462" t="s">
        <v>934</v>
      </c>
    </row>
    <row r="164" spans="1:15" ht="18" customHeight="1" x14ac:dyDescent="0.25">
      <c r="A164" s="116">
        <v>3</v>
      </c>
      <c r="B164" s="117" t="s">
        <v>90</v>
      </c>
      <c r="C164" s="116">
        <v>41</v>
      </c>
      <c r="D164" s="120" t="s">
        <v>87</v>
      </c>
      <c r="E164" s="120" t="s">
        <v>168</v>
      </c>
      <c r="F164" s="117" t="s">
        <v>933</v>
      </c>
      <c r="G164" s="281">
        <v>2</v>
      </c>
      <c r="H164" s="260">
        <v>49074</v>
      </c>
      <c r="I164" s="260">
        <v>98148</v>
      </c>
      <c r="J164" s="260">
        <v>0</v>
      </c>
      <c r="K164" s="260">
        <v>98148</v>
      </c>
      <c r="L164" s="260">
        <v>7852</v>
      </c>
      <c r="M164" s="260">
        <v>106000</v>
      </c>
      <c r="N164" s="119">
        <v>1.72E-2</v>
      </c>
      <c r="O164" s="462" t="s">
        <v>934</v>
      </c>
    </row>
    <row r="165" spans="1:15" ht="18" customHeight="1" x14ac:dyDescent="0.25">
      <c r="A165" s="116">
        <v>3</v>
      </c>
      <c r="B165" s="117" t="s">
        <v>90</v>
      </c>
      <c r="C165" s="116">
        <v>122</v>
      </c>
      <c r="D165" s="120" t="s">
        <v>91</v>
      </c>
      <c r="E165" s="120" t="s">
        <v>948</v>
      </c>
      <c r="F165" s="117" t="s">
        <v>933</v>
      </c>
      <c r="G165" s="281">
        <v>5</v>
      </c>
      <c r="H165" s="260">
        <v>2778</v>
      </c>
      <c r="I165" s="260">
        <v>13889</v>
      </c>
      <c r="J165" s="260">
        <v>0</v>
      </c>
      <c r="K165" s="260">
        <v>13889</v>
      </c>
      <c r="L165" s="260">
        <v>1111</v>
      </c>
      <c r="M165" s="260">
        <v>15000</v>
      </c>
      <c r="N165" s="119">
        <v>2.3999999999999998E-3</v>
      </c>
      <c r="O165" s="462" t="s">
        <v>934</v>
      </c>
    </row>
    <row r="166" spans="1:15" ht="18" customHeight="1" x14ac:dyDescent="0.25">
      <c r="A166" s="116">
        <v>3</v>
      </c>
      <c r="B166" s="117" t="s">
        <v>90</v>
      </c>
      <c r="C166" s="116">
        <v>247</v>
      </c>
      <c r="D166" s="120" t="s">
        <v>87</v>
      </c>
      <c r="E166" s="120" t="s">
        <v>1014</v>
      </c>
      <c r="F166" s="117" t="s">
        <v>933</v>
      </c>
      <c r="G166" s="281">
        <v>1</v>
      </c>
      <c r="H166" s="260">
        <v>3056</v>
      </c>
      <c r="I166" s="260">
        <v>3056</v>
      </c>
      <c r="J166" s="260">
        <v>0</v>
      </c>
      <c r="K166" s="260">
        <v>3056</v>
      </c>
      <c r="L166" s="260">
        <v>244</v>
      </c>
      <c r="M166" s="260">
        <v>3300</v>
      </c>
      <c r="N166" s="119">
        <v>5.0000000000000001E-4</v>
      </c>
      <c r="O166" s="462" t="s">
        <v>934</v>
      </c>
    </row>
    <row r="167" spans="1:15" ht="18" customHeight="1" x14ac:dyDescent="0.25">
      <c r="A167" s="116">
        <v>3</v>
      </c>
      <c r="B167" s="117" t="s">
        <v>90</v>
      </c>
      <c r="C167" s="116">
        <v>44</v>
      </c>
      <c r="D167" s="120" t="s">
        <v>87</v>
      </c>
      <c r="E167" s="120" t="s">
        <v>138</v>
      </c>
      <c r="F167" s="117" t="s">
        <v>933</v>
      </c>
      <c r="G167" s="281">
        <v>1</v>
      </c>
      <c r="H167" s="260">
        <v>28241</v>
      </c>
      <c r="I167" s="260">
        <v>28241</v>
      </c>
      <c r="J167" s="260">
        <v>0</v>
      </c>
      <c r="K167" s="260">
        <v>28241</v>
      </c>
      <c r="L167" s="260">
        <v>2259</v>
      </c>
      <c r="M167" s="260">
        <v>30500</v>
      </c>
      <c r="N167" s="119">
        <v>5.0000000000000001E-3</v>
      </c>
      <c r="O167" s="462" t="s">
        <v>934</v>
      </c>
    </row>
    <row r="168" spans="1:15" ht="18" customHeight="1" x14ac:dyDescent="0.25">
      <c r="A168" s="116">
        <v>3</v>
      </c>
      <c r="B168" s="117" t="s">
        <v>90</v>
      </c>
      <c r="C168" s="116">
        <v>110</v>
      </c>
      <c r="D168" s="120" t="s">
        <v>99</v>
      </c>
      <c r="E168" s="120" t="s">
        <v>949</v>
      </c>
      <c r="F168" s="117" t="s">
        <v>933</v>
      </c>
      <c r="G168" s="281">
        <v>15</v>
      </c>
      <c r="H168" s="260">
        <v>926</v>
      </c>
      <c r="I168" s="260">
        <v>13889</v>
      </c>
      <c r="J168" s="260">
        <v>0</v>
      </c>
      <c r="K168" s="260">
        <v>13889</v>
      </c>
      <c r="L168" s="260">
        <v>1111</v>
      </c>
      <c r="M168" s="260">
        <v>15000</v>
      </c>
      <c r="N168" s="119">
        <v>2.3999999999999998E-3</v>
      </c>
      <c r="O168" s="462" t="s">
        <v>934</v>
      </c>
    </row>
    <row r="169" spans="1:15" ht="18" customHeight="1" x14ac:dyDescent="0.25">
      <c r="A169" s="116">
        <v>3</v>
      </c>
      <c r="B169" s="117" t="s">
        <v>90</v>
      </c>
      <c r="C169" s="116">
        <v>4</v>
      </c>
      <c r="D169" s="120" t="s">
        <v>87</v>
      </c>
      <c r="E169" s="120" t="s">
        <v>1015</v>
      </c>
      <c r="F169" s="117" t="s">
        <v>933</v>
      </c>
      <c r="G169" s="281">
        <v>1</v>
      </c>
      <c r="H169" s="260">
        <v>18519</v>
      </c>
      <c r="I169" s="260">
        <v>18519</v>
      </c>
      <c r="J169" s="260">
        <v>0</v>
      </c>
      <c r="K169" s="260">
        <v>18519</v>
      </c>
      <c r="L169" s="260">
        <v>1481</v>
      </c>
      <c r="M169" s="260">
        <v>20000</v>
      </c>
      <c r="N169" s="119">
        <v>3.3E-3</v>
      </c>
      <c r="O169" s="462" t="s">
        <v>934</v>
      </c>
    </row>
    <row r="170" spans="1:15" ht="18" customHeight="1" x14ac:dyDescent="0.25">
      <c r="A170" s="116">
        <v>3</v>
      </c>
      <c r="B170" s="117" t="s">
        <v>90</v>
      </c>
      <c r="C170" s="116">
        <v>26</v>
      </c>
      <c r="D170" s="120" t="s">
        <v>87</v>
      </c>
      <c r="E170" s="120" t="s">
        <v>1016</v>
      </c>
      <c r="F170" s="117" t="s">
        <v>933</v>
      </c>
      <c r="G170" s="281">
        <v>20</v>
      </c>
      <c r="H170" s="260">
        <v>18889</v>
      </c>
      <c r="I170" s="260">
        <v>377778</v>
      </c>
      <c r="J170" s="260">
        <v>0</v>
      </c>
      <c r="K170" s="260">
        <v>377778</v>
      </c>
      <c r="L170" s="260">
        <v>30222</v>
      </c>
      <c r="M170" s="260">
        <v>408000</v>
      </c>
      <c r="N170" s="119">
        <v>6.6400000000000001E-2</v>
      </c>
      <c r="O170" s="462" t="s">
        <v>934</v>
      </c>
    </row>
    <row r="171" spans="1:15" ht="18" customHeight="1" x14ac:dyDescent="0.25">
      <c r="A171" s="116">
        <v>3</v>
      </c>
      <c r="B171" s="117" t="s">
        <v>90</v>
      </c>
      <c r="C171" s="116">
        <v>30</v>
      </c>
      <c r="D171" s="120" t="s">
        <v>95</v>
      </c>
      <c r="E171" s="120" t="s">
        <v>951</v>
      </c>
      <c r="F171" s="117" t="s">
        <v>933</v>
      </c>
      <c r="G171" s="281">
        <v>2</v>
      </c>
      <c r="H171" s="260">
        <v>6481</v>
      </c>
      <c r="I171" s="260">
        <v>12963</v>
      </c>
      <c r="J171" s="260">
        <v>0</v>
      </c>
      <c r="K171" s="260">
        <v>12963</v>
      </c>
      <c r="L171" s="260">
        <v>1037</v>
      </c>
      <c r="M171" s="260">
        <v>14000</v>
      </c>
      <c r="N171" s="119">
        <v>2.3E-3</v>
      </c>
      <c r="O171" s="462" t="s">
        <v>934</v>
      </c>
    </row>
    <row r="172" spans="1:15" ht="18" customHeight="1" x14ac:dyDescent="0.25">
      <c r="A172" s="116">
        <v>3</v>
      </c>
      <c r="B172" s="117" t="s">
        <v>90</v>
      </c>
      <c r="C172" s="116">
        <v>305</v>
      </c>
      <c r="D172" s="120" t="s">
        <v>91</v>
      </c>
      <c r="E172" s="120" t="s">
        <v>952</v>
      </c>
      <c r="F172" s="117" t="s">
        <v>933</v>
      </c>
      <c r="G172" s="281">
        <v>1</v>
      </c>
      <c r="H172" s="260">
        <v>9259</v>
      </c>
      <c r="I172" s="260">
        <v>9259</v>
      </c>
      <c r="J172" s="260">
        <v>0</v>
      </c>
      <c r="K172" s="260">
        <v>9259</v>
      </c>
      <c r="L172" s="260">
        <v>741</v>
      </c>
      <c r="M172" s="260">
        <v>10000</v>
      </c>
      <c r="N172" s="119">
        <v>1.6000000000000001E-3</v>
      </c>
      <c r="O172" s="462" t="s">
        <v>934</v>
      </c>
    </row>
    <row r="173" spans="1:15" ht="18" customHeight="1" x14ac:dyDescent="0.25">
      <c r="A173" s="116">
        <v>3</v>
      </c>
      <c r="B173" s="117" t="s">
        <v>90</v>
      </c>
      <c r="C173" s="116">
        <v>94</v>
      </c>
      <c r="D173" s="120" t="s">
        <v>89</v>
      </c>
      <c r="E173" s="120" t="s">
        <v>150</v>
      </c>
      <c r="F173" s="117" t="s">
        <v>933</v>
      </c>
      <c r="G173" s="281">
        <v>8</v>
      </c>
      <c r="H173" s="260">
        <v>18519</v>
      </c>
      <c r="I173" s="260">
        <v>148148</v>
      </c>
      <c r="J173" s="260">
        <v>0</v>
      </c>
      <c r="K173" s="260">
        <v>148148</v>
      </c>
      <c r="L173" s="260">
        <v>11852</v>
      </c>
      <c r="M173" s="260">
        <v>160000</v>
      </c>
      <c r="N173" s="119">
        <v>2.5999999999999999E-2</v>
      </c>
      <c r="O173" s="462" t="s">
        <v>934</v>
      </c>
    </row>
    <row r="174" spans="1:15" ht="18" customHeight="1" x14ac:dyDescent="0.25">
      <c r="A174" s="116">
        <v>3</v>
      </c>
      <c r="B174" s="117" t="s">
        <v>90</v>
      </c>
      <c r="C174" s="116">
        <v>233</v>
      </c>
      <c r="D174" s="120" t="s">
        <v>89</v>
      </c>
      <c r="E174" s="120" t="s">
        <v>117</v>
      </c>
      <c r="F174" s="117" t="s">
        <v>933</v>
      </c>
      <c r="G174" s="281">
        <v>12</v>
      </c>
      <c r="H174" s="260">
        <v>18596</v>
      </c>
      <c r="I174" s="260">
        <v>223148</v>
      </c>
      <c r="J174" s="260">
        <v>0</v>
      </c>
      <c r="K174" s="260">
        <v>223148</v>
      </c>
      <c r="L174" s="260">
        <v>17852</v>
      </c>
      <c r="M174" s="260">
        <v>241000</v>
      </c>
      <c r="N174" s="119">
        <v>3.9199999999999999E-2</v>
      </c>
      <c r="O174" s="462" t="s">
        <v>934</v>
      </c>
    </row>
    <row r="175" spans="1:15" ht="18" customHeight="1" x14ac:dyDescent="0.25">
      <c r="A175" s="116">
        <v>3</v>
      </c>
      <c r="B175" s="117" t="s">
        <v>90</v>
      </c>
      <c r="C175" s="116">
        <v>217</v>
      </c>
      <c r="D175" s="120" t="s">
        <v>89</v>
      </c>
      <c r="E175" s="120" t="s">
        <v>953</v>
      </c>
      <c r="F175" s="117" t="s">
        <v>933</v>
      </c>
      <c r="G175" s="281">
        <v>2</v>
      </c>
      <c r="H175" s="260">
        <v>27778</v>
      </c>
      <c r="I175" s="260">
        <v>55556</v>
      </c>
      <c r="J175" s="260">
        <v>0</v>
      </c>
      <c r="K175" s="260">
        <v>55556</v>
      </c>
      <c r="L175" s="260">
        <v>4444</v>
      </c>
      <c r="M175" s="260">
        <v>60000</v>
      </c>
      <c r="N175" s="119">
        <v>9.7999999999999997E-3</v>
      </c>
      <c r="O175" s="462" t="s">
        <v>934</v>
      </c>
    </row>
    <row r="176" spans="1:15" ht="18" customHeight="1" x14ac:dyDescent="0.25">
      <c r="A176" s="116">
        <v>3</v>
      </c>
      <c r="B176" s="117" t="s">
        <v>90</v>
      </c>
      <c r="C176" s="116">
        <v>218</v>
      </c>
      <c r="D176" s="120" t="s">
        <v>89</v>
      </c>
      <c r="E176" s="120" t="s">
        <v>954</v>
      </c>
      <c r="F176" s="117" t="s">
        <v>933</v>
      </c>
      <c r="G176" s="281">
        <v>9</v>
      </c>
      <c r="H176" s="260">
        <v>18724</v>
      </c>
      <c r="I176" s="260">
        <v>168519</v>
      </c>
      <c r="J176" s="260">
        <v>0</v>
      </c>
      <c r="K176" s="260">
        <v>168519</v>
      </c>
      <c r="L176" s="260">
        <v>13481</v>
      </c>
      <c r="M176" s="260">
        <v>182000</v>
      </c>
      <c r="N176" s="119">
        <v>2.9600000000000001E-2</v>
      </c>
      <c r="O176" s="462" t="s">
        <v>934</v>
      </c>
    </row>
    <row r="177" spans="1:15" ht="18" customHeight="1" x14ac:dyDescent="0.25">
      <c r="A177" s="116">
        <v>3</v>
      </c>
      <c r="B177" s="117" t="s">
        <v>90</v>
      </c>
      <c r="C177" s="116">
        <v>34</v>
      </c>
      <c r="D177" s="120" t="s">
        <v>91</v>
      </c>
      <c r="E177" s="120" t="s">
        <v>955</v>
      </c>
      <c r="F177" s="117" t="s">
        <v>933</v>
      </c>
      <c r="G177" s="281">
        <v>4</v>
      </c>
      <c r="H177" s="260">
        <v>6481</v>
      </c>
      <c r="I177" s="260">
        <v>25926</v>
      </c>
      <c r="J177" s="260">
        <v>0</v>
      </c>
      <c r="K177" s="260">
        <v>25926</v>
      </c>
      <c r="L177" s="260">
        <v>2074</v>
      </c>
      <c r="M177" s="260">
        <v>28000</v>
      </c>
      <c r="N177" s="119">
        <v>4.5999999999999999E-3</v>
      </c>
      <c r="O177" s="462" t="s">
        <v>934</v>
      </c>
    </row>
    <row r="178" spans="1:15" ht="18" customHeight="1" x14ac:dyDescent="0.25">
      <c r="A178" s="116">
        <v>3</v>
      </c>
      <c r="B178" s="117" t="s">
        <v>90</v>
      </c>
      <c r="C178" s="116">
        <v>121</v>
      </c>
      <c r="D178" s="120" t="s">
        <v>91</v>
      </c>
      <c r="E178" s="120" t="s">
        <v>956</v>
      </c>
      <c r="F178" s="117" t="s">
        <v>933</v>
      </c>
      <c r="G178" s="281">
        <v>11</v>
      </c>
      <c r="H178" s="260">
        <v>2778</v>
      </c>
      <c r="I178" s="260">
        <v>30556</v>
      </c>
      <c r="J178" s="260">
        <v>0</v>
      </c>
      <c r="K178" s="260">
        <v>30556</v>
      </c>
      <c r="L178" s="260">
        <v>2444</v>
      </c>
      <c r="M178" s="260">
        <v>33000</v>
      </c>
      <c r="N178" s="119">
        <v>5.4000000000000003E-3</v>
      </c>
      <c r="O178" s="462" t="s">
        <v>934</v>
      </c>
    </row>
    <row r="179" spans="1:15" ht="18" customHeight="1" x14ac:dyDescent="0.25">
      <c r="A179" s="116">
        <v>3</v>
      </c>
      <c r="B179" s="117" t="s">
        <v>90</v>
      </c>
      <c r="C179" s="116">
        <v>208</v>
      </c>
      <c r="D179" s="120" t="s">
        <v>91</v>
      </c>
      <c r="E179" s="120" t="s">
        <v>957</v>
      </c>
      <c r="F179" s="117" t="s">
        <v>933</v>
      </c>
      <c r="G179" s="281">
        <v>9</v>
      </c>
      <c r="H179" s="260">
        <v>3684</v>
      </c>
      <c r="I179" s="260">
        <v>33333</v>
      </c>
      <c r="J179" s="260">
        <v>181</v>
      </c>
      <c r="K179" s="260">
        <v>33152</v>
      </c>
      <c r="L179" s="260">
        <v>2652</v>
      </c>
      <c r="M179" s="260">
        <v>35804</v>
      </c>
      <c r="N179" s="119">
        <v>5.7999999999999996E-3</v>
      </c>
      <c r="O179" s="462" t="s">
        <v>934</v>
      </c>
    </row>
    <row r="180" spans="1:15" ht="18" customHeight="1" x14ac:dyDescent="0.25">
      <c r="A180" s="116">
        <v>3</v>
      </c>
      <c r="B180" s="117" t="s">
        <v>90</v>
      </c>
      <c r="C180" s="116">
        <v>90</v>
      </c>
      <c r="D180" s="120" t="s">
        <v>91</v>
      </c>
      <c r="E180" s="120" t="s">
        <v>487</v>
      </c>
      <c r="F180" s="117" t="s">
        <v>933</v>
      </c>
      <c r="G180" s="281">
        <v>3</v>
      </c>
      <c r="H180" s="260">
        <v>4259</v>
      </c>
      <c r="I180" s="260">
        <v>12778</v>
      </c>
      <c r="J180" s="260">
        <v>0</v>
      </c>
      <c r="K180" s="260">
        <v>12778</v>
      </c>
      <c r="L180" s="260">
        <v>1022</v>
      </c>
      <c r="M180" s="260">
        <v>13800</v>
      </c>
      <c r="N180" s="119">
        <v>2.2000000000000001E-3</v>
      </c>
      <c r="O180" s="462" t="s">
        <v>934</v>
      </c>
    </row>
    <row r="181" spans="1:15" ht="18" customHeight="1" x14ac:dyDescent="0.25">
      <c r="A181" s="116">
        <v>3</v>
      </c>
      <c r="B181" s="117" t="s">
        <v>90</v>
      </c>
      <c r="C181" s="116">
        <v>123</v>
      </c>
      <c r="D181" s="120" t="s">
        <v>91</v>
      </c>
      <c r="E181" s="120" t="s">
        <v>958</v>
      </c>
      <c r="F181" s="117" t="s">
        <v>933</v>
      </c>
      <c r="G181" s="281">
        <v>2</v>
      </c>
      <c r="H181" s="260">
        <v>2778</v>
      </c>
      <c r="I181" s="260">
        <v>5556</v>
      </c>
      <c r="J181" s="260">
        <v>0</v>
      </c>
      <c r="K181" s="260">
        <v>5556</v>
      </c>
      <c r="L181" s="260">
        <v>444</v>
      </c>
      <c r="M181" s="260">
        <v>6000</v>
      </c>
      <c r="N181" s="119">
        <v>1E-3</v>
      </c>
      <c r="O181" s="462" t="s">
        <v>934</v>
      </c>
    </row>
    <row r="182" spans="1:15" ht="18" customHeight="1" x14ac:dyDescent="0.25">
      <c r="A182" s="116">
        <v>3</v>
      </c>
      <c r="B182" s="117" t="s">
        <v>90</v>
      </c>
      <c r="C182" s="116">
        <v>31</v>
      </c>
      <c r="D182" s="120" t="s">
        <v>95</v>
      </c>
      <c r="E182" s="120" t="s">
        <v>959</v>
      </c>
      <c r="F182" s="117" t="s">
        <v>933</v>
      </c>
      <c r="G182" s="281">
        <v>12</v>
      </c>
      <c r="H182" s="260">
        <v>1204</v>
      </c>
      <c r="I182" s="260">
        <v>14444</v>
      </c>
      <c r="J182" s="260">
        <v>0</v>
      </c>
      <c r="K182" s="260">
        <v>14444</v>
      </c>
      <c r="L182" s="260">
        <v>1156</v>
      </c>
      <c r="M182" s="260">
        <v>15600</v>
      </c>
      <c r="N182" s="119">
        <v>2.5000000000000001E-3</v>
      </c>
      <c r="O182" s="462" t="s">
        <v>934</v>
      </c>
    </row>
    <row r="183" spans="1:15" ht="18" customHeight="1" x14ac:dyDescent="0.25">
      <c r="A183" s="116">
        <v>3</v>
      </c>
      <c r="B183" s="117" t="s">
        <v>90</v>
      </c>
      <c r="C183" s="116">
        <v>74</v>
      </c>
      <c r="D183" s="120" t="s">
        <v>91</v>
      </c>
      <c r="E183" s="120" t="s">
        <v>1000</v>
      </c>
      <c r="F183" s="117" t="s">
        <v>933</v>
      </c>
      <c r="G183" s="281">
        <v>5</v>
      </c>
      <c r="H183" s="260">
        <v>6481</v>
      </c>
      <c r="I183" s="260">
        <v>32407</v>
      </c>
      <c r="J183" s="260">
        <v>0</v>
      </c>
      <c r="K183" s="260">
        <v>32407</v>
      </c>
      <c r="L183" s="260">
        <v>2593</v>
      </c>
      <c r="M183" s="260">
        <v>35000</v>
      </c>
      <c r="N183" s="119">
        <v>5.6999999999999993E-3</v>
      </c>
      <c r="O183" s="462" t="s">
        <v>934</v>
      </c>
    </row>
    <row r="184" spans="1:15" ht="18" customHeight="1" x14ac:dyDescent="0.25">
      <c r="A184" s="116">
        <v>3</v>
      </c>
      <c r="B184" s="117" t="s">
        <v>90</v>
      </c>
      <c r="C184" s="116">
        <v>134</v>
      </c>
      <c r="D184" s="120" t="s">
        <v>91</v>
      </c>
      <c r="E184" s="120" t="s">
        <v>1017</v>
      </c>
      <c r="F184" s="117" t="s">
        <v>933</v>
      </c>
      <c r="G184" s="281">
        <v>1</v>
      </c>
      <c r="H184" s="260">
        <v>12963</v>
      </c>
      <c r="I184" s="260">
        <v>12963</v>
      </c>
      <c r="J184" s="260">
        <v>0</v>
      </c>
      <c r="K184" s="260">
        <v>12963</v>
      </c>
      <c r="L184" s="260">
        <v>1037</v>
      </c>
      <c r="M184" s="260">
        <v>14000</v>
      </c>
      <c r="N184" s="119">
        <v>2.3E-3</v>
      </c>
      <c r="O184" s="462" t="s">
        <v>934</v>
      </c>
    </row>
    <row r="185" spans="1:15" ht="18" customHeight="1" x14ac:dyDescent="0.25">
      <c r="A185" s="116">
        <v>3</v>
      </c>
      <c r="B185" s="117" t="s">
        <v>90</v>
      </c>
      <c r="C185" s="116">
        <v>75</v>
      </c>
      <c r="D185" s="120" t="s">
        <v>91</v>
      </c>
      <c r="E185" s="120" t="s">
        <v>961</v>
      </c>
      <c r="F185" s="117" t="s">
        <v>933</v>
      </c>
      <c r="G185" s="281">
        <v>1</v>
      </c>
      <c r="H185" s="260">
        <v>9259</v>
      </c>
      <c r="I185" s="260">
        <v>9259</v>
      </c>
      <c r="J185" s="260">
        <v>0</v>
      </c>
      <c r="K185" s="260">
        <v>9259</v>
      </c>
      <c r="L185" s="260">
        <v>741</v>
      </c>
      <c r="M185" s="260">
        <v>10000</v>
      </c>
      <c r="N185" s="119">
        <v>1.6000000000000001E-3</v>
      </c>
      <c r="O185" s="462" t="s">
        <v>934</v>
      </c>
    </row>
    <row r="186" spans="1:15" ht="18" customHeight="1" x14ac:dyDescent="0.25">
      <c r="A186" s="116">
        <v>3</v>
      </c>
      <c r="B186" s="117" t="s">
        <v>90</v>
      </c>
      <c r="C186" s="116">
        <v>118</v>
      </c>
      <c r="D186" s="120" t="s">
        <v>87</v>
      </c>
      <c r="E186" s="120" t="s">
        <v>126</v>
      </c>
      <c r="F186" s="117" t="s">
        <v>933</v>
      </c>
      <c r="G186" s="281">
        <v>4</v>
      </c>
      <c r="H186" s="260">
        <v>41667</v>
      </c>
      <c r="I186" s="260">
        <v>166667</v>
      </c>
      <c r="J186" s="260">
        <v>0</v>
      </c>
      <c r="K186" s="260">
        <v>166667</v>
      </c>
      <c r="L186" s="260">
        <v>13333</v>
      </c>
      <c r="M186" s="260">
        <v>180000</v>
      </c>
      <c r="N186" s="119">
        <v>2.93E-2</v>
      </c>
      <c r="O186" s="462" t="s">
        <v>934</v>
      </c>
    </row>
    <row r="187" spans="1:15" ht="18" customHeight="1" x14ac:dyDescent="0.25">
      <c r="A187" s="116">
        <v>3</v>
      </c>
      <c r="B187" s="117" t="s">
        <v>90</v>
      </c>
      <c r="C187" s="116">
        <v>204</v>
      </c>
      <c r="D187" s="120" t="s">
        <v>91</v>
      </c>
      <c r="E187" s="120" t="s">
        <v>962</v>
      </c>
      <c r="F187" s="117" t="s">
        <v>933</v>
      </c>
      <c r="G187" s="281">
        <v>3</v>
      </c>
      <c r="H187" s="260">
        <v>12037</v>
      </c>
      <c r="I187" s="260">
        <v>36111</v>
      </c>
      <c r="J187" s="260">
        <v>0</v>
      </c>
      <c r="K187" s="260">
        <v>36111</v>
      </c>
      <c r="L187" s="260">
        <v>2889</v>
      </c>
      <c r="M187" s="260">
        <v>39000</v>
      </c>
      <c r="N187" s="119">
        <v>6.3E-3</v>
      </c>
      <c r="O187" s="462" t="s">
        <v>934</v>
      </c>
    </row>
    <row r="188" spans="1:15" ht="18" customHeight="1" x14ac:dyDescent="0.25">
      <c r="A188" s="116">
        <v>3</v>
      </c>
      <c r="B188" s="117" t="s">
        <v>90</v>
      </c>
      <c r="C188" s="116">
        <v>109</v>
      </c>
      <c r="D188" s="120" t="s">
        <v>91</v>
      </c>
      <c r="E188" s="120" t="s">
        <v>147</v>
      </c>
      <c r="F188" s="117" t="s">
        <v>933</v>
      </c>
      <c r="G188" s="281">
        <v>4</v>
      </c>
      <c r="H188" s="260">
        <v>12963</v>
      </c>
      <c r="I188" s="260">
        <v>51852</v>
      </c>
      <c r="J188" s="260">
        <v>0</v>
      </c>
      <c r="K188" s="260">
        <v>51852</v>
      </c>
      <c r="L188" s="260">
        <v>4148</v>
      </c>
      <c r="M188" s="260">
        <v>56000</v>
      </c>
      <c r="N188" s="119">
        <v>9.1000000000000004E-3</v>
      </c>
      <c r="O188" s="462" t="s">
        <v>934</v>
      </c>
    </row>
    <row r="189" spans="1:15" ht="18" customHeight="1" x14ac:dyDescent="0.25">
      <c r="A189" s="116">
        <v>3</v>
      </c>
      <c r="B189" s="117" t="s">
        <v>90</v>
      </c>
      <c r="C189" s="116">
        <v>147</v>
      </c>
      <c r="D189" s="120" t="s">
        <v>91</v>
      </c>
      <c r="E189" s="120" t="s">
        <v>963</v>
      </c>
      <c r="F189" s="117" t="s">
        <v>933</v>
      </c>
      <c r="G189" s="281">
        <v>2</v>
      </c>
      <c r="H189" s="260">
        <v>6481</v>
      </c>
      <c r="I189" s="260">
        <v>12963</v>
      </c>
      <c r="J189" s="260">
        <v>0</v>
      </c>
      <c r="K189" s="260">
        <v>12963</v>
      </c>
      <c r="L189" s="260">
        <v>1037</v>
      </c>
      <c r="M189" s="260">
        <v>14000</v>
      </c>
      <c r="N189" s="119">
        <v>2.3E-3</v>
      </c>
      <c r="O189" s="462" t="s">
        <v>934</v>
      </c>
    </row>
    <row r="190" spans="1:15" ht="18" customHeight="1" x14ac:dyDescent="0.25">
      <c r="A190" s="116">
        <v>3</v>
      </c>
      <c r="B190" s="117" t="s">
        <v>90</v>
      </c>
      <c r="C190" s="116">
        <v>72</v>
      </c>
      <c r="D190" s="120" t="s">
        <v>97</v>
      </c>
      <c r="E190" s="120" t="s">
        <v>965</v>
      </c>
      <c r="F190" s="117" t="s">
        <v>933</v>
      </c>
      <c r="G190" s="281">
        <v>10</v>
      </c>
      <c r="H190" s="260">
        <v>3704</v>
      </c>
      <c r="I190" s="260">
        <v>37037</v>
      </c>
      <c r="J190" s="260">
        <v>0</v>
      </c>
      <c r="K190" s="260">
        <v>37037</v>
      </c>
      <c r="L190" s="260">
        <v>2963</v>
      </c>
      <c r="M190" s="260">
        <v>40000</v>
      </c>
      <c r="N190" s="119">
        <v>6.5000000000000006E-3</v>
      </c>
      <c r="O190" s="462" t="s">
        <v>934</v>
      </c>
    </row>
    <row r="191" spans="1:15" ht="18" customHeight="1" x14ac:dyDescent="0.25">
      <c r="A191" s="116">
        <v>3</v>
      </c>
      <c r="B191" s="117" t="s">
        <v>90</v>
      </c>
      <c r="C191" s="116">
        <v>227</v>
      </c>
      <c r="D191" s="120" t="s">
        <v>87</v>
      </c>
      <c r="E191" s="120" t="s">
        <v>1018</v>
      </c>
      <c r="F191" s="117" t="s">
        <v>933</v>
      </c>
      <c r="G191" s="281">
        <v>2</v>
      </c>
      <c r="H191" s="260">
        <v>1389</v>
      </c>
      <c r="I191" s="260">
        <v>2778</v>
      </c>
      <c r="J191" s="260">
        <v>0</v>
      </c>
      <c r="K191" s="260">
        <v>2778</v>
      </c>
      <c r="L191" s="260">
        <v>222</v>
      </c>
      <c r="M191" s="260">
        <v>3000</v>
      </c>
      <c r="N191" s="119">
        <v>5.0000000000000001E-4</v>
      </c>
      <c r="O191" s="462" t="s">
        <v>934</v>
      </c>
    </row>
    <row r="192" spans="1:15" ht="18" customHeight="1" x14ac:dyDescent="0.25">
      <c r="A192" s="116">
        <v>3</v>
      </c>
      <c r="B192" s="117" t="s">
        <v>90</v>
      </c>
      <c r="C192" s="116">
        <v>93</v>
      </c>
      <c r="D192" s="120" t="s">
        <v>89</v>
      </c>
      <c r="E192" s="120" t="s">
        <v>123</v>
      </c>
      <c r="F192" s="117" t="s">
        <v>933</v>
      </c>
      <c r="G192" s="281">
        <v>78</v>
      </c>
      <c r="H192" s="260">
        <v>20370</v>
      </c>
      <c r="I192" s="260">
        <v>1588889</v>
      </c>
      <c r="J192" s="260">
        <v>0</v>
      </c>
      <c r="K192" s="260">
        <v>1588889</v>
      </c>
      <c r="L192" s="260">
        <v>127111</v>
      </c>
      <c r="M192" s="260">
        <v>1716000</v>
      </c>
      <c r="N192" s="119">
        <v>0.27910000000000001</v>
      </c>
      <c r="O192" s="462" t="s">
        <v>934</v>
      </c>
    </row>
    <row r="193" spans="1:15" ht="18" customHeight="1" x14ac:dyDescent="0.25">
      <c r="A193" s="116">
        <v>3</v>
      </c>
      <c r="B193" s="117" t="s">
        <v>90</v>
      </c>
      <c r="C193" s="116">
        <v>119</v>
      </c>
      <c r="D193" s="120" t="s">
        <v>89</v>
      </c>
      <c r="E193" s="120" t="s">
        <v>114</v>
      </c>
      <c r="F193" s="117" t="s">
        <v>933</v>
      </c>
      <c r="G193" s="281">
        <v>7</v>
      </c>
      <c r="H193" s="260">
        <v>44444</v>
      </c>
      <c r="I193" s="260">
        <v>311111</v>
      </c>
      <c r="J193" s="260">
        <v>0</v>
      </c>
      <c r="K193" s="260">
        <v>311111</v>
      </c>
      <c r="L193" s="260">
        <v>24889</v>
      </c>
      <c r="M193" s="260">
        <v>336000</v>
      </c>
      <c r="N193" s="119">
        <v>5.4600000000000003E-2</v>
      </c>
      <c r="O193" s="462" t="s">
        <v>934</v>
      </c>
    </row>
    <row r="194" spans="1:15" ht="18" customHeight="1" x14ac:dyDescent="0.25">
      <c r="A194" s="116">
        <v>3</v>
      </c>
      <c r="B194" s="117" t="s">
        <v>90</v>
      </c>
      <c r="C194" s="116">
        <v>19</v>
      </c>
      <c r="D194" s="120" t="s">
        <v>87</v>
      </c>
      <c r="E194" s="120" t="s">
        <v>968</v>
      </c>
      <c r="F194" s="117" t="s">
        <v>933</v>
      </c>
      <c r="G194" s="281">
        <v>3</v>
      </c>
      <c r="H194" s="260">
        <v>9259</v>
      </c>
      <c r="I194" s="260">
        <v>27778</v>
      </c>
      <c r="J194" s="260">
        <v>0</v>
      </c>
      <c r="K194" s="260">
        <v>27778</v>
      </c>
      <c r="L194" s="260">
        <v>2222</v>
      </c>
      <c r="M194" s="260">
        <v>30000</v>
      </c>
      <c r="N194" s="119">
        <v>4.8999999999999998E-3</v>
      </c>
      <c r="O194" s="462" t="s">
        <v>934</v>
      </c>
    </row>
    <row r="195" spans="1:15" ht="18" customHeight="1" x14ac:dyDescent="0.25">
      <c r="A195" s="116">
        <v>3</v>
      </c>
      <c r="B195" s="117" t="s">
        <v>90</v>
      </c>
      <c r="C195" s="116">
        <v>20</v>
      </c>
      <c r="D195" s="120" t="s">
        <v>87</v>
      </c>
      <c r="E195" s="120" t="s">
        <v>1019</v>
      </c>
      <c r="F195" s="117" t="s">
        <v>933</v>
      </c>
      <c r="G195" s="281">
        <v>1</v>
      </c>
      <c r="H195" s="260">
        <v>6481</v>
      </c>
      <c r="I195" s="260">
        <v>6481</v>
      </c>
      <c r="J195" s="260">
        <v>0</v>
      </c>
      <c r="K195" s="260">
        <v>6481</v>
      </c>
      <c r="L195" s="260">
        <v>519</v>
      </c>
      <c r="M195" s="260">
        <v>7000</v>
      </c>
      <c r="N195" s="119">
        <v>1.1000000000000001E-3</v>
      </c>
      <c r="O195" s="462" t="s">
        <v>934</v>
      </c>
    </row>
    <row r="196" spans="1:15" ht="18" customHeight="1" x14ac:dyDescent="0.25">
      <c r="A196" s="116">
        <v>3</v>
      </c>
      <c r="B196" s="117" t="s">
        <v>90</v>
      </c>
      <c r="C196" s="116">
        <v>77</v>
      </c>
      <c r="D196" s="120" t="s">
        <v>87</v>
      </c>
      <c r="E196" s="120" t="s">
        <v>969</v>
      </c>
      <c r="F196" s="117" t="s">
        <v>933</v>
      </c>
      <c r="G196" s="281">
        <v>1</v>
      </c>
      <c r="H196" s="260">
        <v>2778</v>
      </c>
      <c r="I196" s="260">
        <v>2778</v>
      </c>
      <c r="J196" s="260">
        <v>0</v>
      </c>
      <c r="K196" s="260">
        <v>2778</v>
      </c>
      <c r="L196" s="260">
        <v>222</v>
      </c>
      <c r="M196" s="260">
        <v>3000</v>
      </c>
      <c r="N196" s="119">
        <v>5.0000000000000001E-4</v>
      </c>
      <c r="O196" s="462" t="s">
        <v>934</v>
      </c>
    </row>
    <row r="197" spans="1:15" ht="18" customHeight="1" x14ac:dyDescent="0.25">
      <c r="A197" s="116">
        <v>3</v>
      </c>
      <c r="B197" s="117" t="s">
        <v>90</v>
      </c>
      <c r="C197" s="116">
        <v>81</v>
      </c>
      <c r="D197" s="120" t="s">
        <v>95</v>
      </c>
      <c r="E197" s="120" t="s">
        <v>971</v>
      </c>
      <c r="F197" s="117" t="s">
        <v>933</v>
      </c>
      <c r="G197" s="281">
        <v>1</v>
      </c>
      <c r="H197" s="260">
        <v>1389</v>
      </c>
      <c r="I197" s="260">
        <v>1389</v>
      </c>
      <c r="J197" s="260">
        <v>0</v>
      </c>
      <c r="K197" s="260">
        <v>1389</v>
      </c>
      <c r="L197" s="260">
        <v>111</v>
      </c>
      <c r="M197" s="260">
        <v>1500</v>
      </c>
      <c r="N197" s="119">
        <v>2.0000000000000001E-4</v>
      </c>
      <c r="O197" s="462" t="s">
        <v>934</v>
      </c>
    </row>
    <row r="198" spans="1:15" ht="18" customHeight="1" x14ac:dyDescent="0.25">
      <c r="A198" s="116">
        <v>3</v>
      </c>
      <c r="B198" s="117" t="s">
        <v>90</v>
      </c>
      <c r="C198" s="116">
        <v>86</v>
      </c>
      <c r="D198" s="120" t="s">
        <v>95</v>
      </c>
      <c r="E198" s="120" t="s">
        <v>972</v>
      </c>
      <c r="F198" s="117" t="s">
        <v>933</v>
      </c>
      <c r="G198" s="281">
        <v>17</v>
      </c>
      <c r="H198" s="260">
        <v>3241</v>
      </c>
      <c r="I198" s="260">
        <v>55093</v>
      </c>
      <c r="J198" s="260">
        <v>0</v>
      </c>
      <c r="K198" s="260">
        <v>55093</v>
      </c>
      <c r="L198" s="260">
        <v>4407</v>
      </c>
      <c r="M198" s="260">
        <v>59500</v>
      </c>
      <c r="N198" s="119">
        <v>9.7000000000000003E-3</v>
      </c>
      <c r="O198" s="462" t="s">
        <v>934</v>
      </c>
    </row>
    <row r="199" spans="1:15" ht="18" customHeight="1" x14ac:dyDescent="0.25">
      <c r="A199" s="116">
        <v>3</v>
      </c>
      <c r="B199" s="117" t="s">
        <v>90</v>
      </c>
      <c r="C199" s="116">
        <v>79</v>
      </c>
      <c r="D199" s="120" t="s">
        <v>95</v>
      </c>
      <c r="E199" s="120" t="s">
        <v>975</v>
      </c>
      <c r="F199" s="117" t="s">
        <v>933</v>
      </c>
      <c r="G199" s="281">
        <v>5</v>
      </c>
      <c r="H199" s="260">
        <v>6481</v>
      </c>
      <c r="I199" s="260">
        <v>32407</v>
      </c>
      <c r="J199" s="260">
        <v>0</v>
      </c>
      <c r="K199" s="260">
        <v>32407</v>
      </c>
      <c r="L199" s="260">
        <v>2593</v>
      </c>
      <c r="M199" s="260">
        <v>35000</v>
      </c>
      <c r="N199" s="119">
        <v>5.6999999999999993E-3</v>
      </c>
      <c r="O199" s="462" t="s">
        <v>934</v>
      </c>
    </row>
    <row r="200" spans="1:15" ht="18" customHeight="1" x14ac:dyDescent="0.25">
      <c r="A200" s="116">
        <v>3</v>
      </c>
      <c r="B200" s="117" t="s">
        <v>90</v>
      </c>
      <c r="C200" s="116">
        <v>62</v>
      </c>
      <c r="D200" s="120" t="s">
        <v>95</v>
      </c>
      <c r="E200" s="120" t="s">
        <v>976</v>
      </c>
      <c r="F200" s="117" t="s">
        <v>933</v>
      </c>
      <c r="G200" s="281">
        <v>2</v>
      </c>
      <c r="H200" s="260">
        <v>6944</v>
      </c>
      <c r="I200" s="260">
        <v>13889</v>
      </c>
      <c r="J200" s="260">
        <v>0</v>
      </c>
      <c r="K200" s="260">
        <v>13889</v>
      </c>
      <c r="L200" s="260">
        <v>1111</v>
      </c>
      <c r="M200" s="260">
        <v>15000</v>
      </c>
      <c r="N200" s="119">
        <v>2.3999999999999998E-3</v>
      </c>
      <c r="O200" s="462" t="s">
        <v>934</v>
      </c>
    </row>
    <row r="201" spans="1:15" ht="18" customHeight="1" x14ac:dyDescent="0.25">
      <c r="A201" s="116">
        <v>3</v>
      </c>
      <c r="B201" s="117" t="s">
        <v>90</v>
      </c>
      <c r="C201" s="116">
        <v>170</v>
      </c>
      <c r="D201" s="120" t="s">
        <v>95</v>
      </c>
      <c r="E201" s="120" t="s">
        <v>1020</v>
      </c>
      <c r="F201" s="117" t="s">
        <v>933</v>
      </c>
      <c r="G201" s="281">
        <v>10</v>
      </c>
      <c r="H201" s="260">
        <v>6481</v>
      </c>
      <c r="I201" s="260">
        <v>64815</v>
      </c>
      <c r="J201" s="260">
        <v>0</v>
      </c>
      <c r="K201" s="260">
        <v>64815</v>
      </c>
      <c r="L201" s="260">
        <v>5185</v>
      </c>
      <c r="M201" s="260">
        <v>70000</v>
      </c>
      <c r="N201" s="119">
        <v>1.14E-2</v>
      </c>
      <c r="O201" s="462" t="s">
        <v>934</v>
      </c>
    </row>
    <row r="202" spans="1:15" ht="18" customHeight="1" x14ac:dyDescent="0.25">
      <c r="A202" s="116">
        <v>3</v>
      </c>
      <c r="B202" s="117" t="s">
        <v>90</v>
      </c>
      <c r="C202" s="116">
        <v>137</v>
      </c>
      <c r="D202" s="120" t="s">
        <v>95</v>
      </c>
      <c r="E202" s="120" t="s">
        <v>1006</v>
      </c>
      <c r="F202" s="117" t="s">
        <v>933</v>
      </c>
      <c r="G202" s="281">
        <v>17</v>
      </c>
      <c r="H202" s="260">
        <v>6481</v>
      </c>
      <c r="I202" s="260">
        <v>110185</v>
      </c>
      <c r="J202" s="260">
        <v>0</v>
      </c>
      <c r="K202" s="260">
        <v>110185</v>
      </c>
      <c r="L202" s="260">
        <v>8815</v>
      </c>
      <c r="M202" s="260">
        <v>119000</v>
      </c>
      <c r="N202" s="119">
        <v>1.9400000000000001E-2</v>
      </c>
      <c r="O202" s="462" t="s">
        <v>934</v>
      </c>
    </row>
    <row r="203" spans="1:15" ht="18" customHeight="1" x14ac:dyDescent="0.25">
      <c r="A203" s="116">
        <v>3</v>
      </c>
      <c r="B203" s="117" t="s">
        <v>90</v>
      </c>
      <c r="C203" s="116">
        <v>224</v>
      </c>
      <c r="D203" s="120" t="s">
        <v>87</v>
      </c>
      <c r="E203" s="120" t="s">
        <v>1021</v>
      </c>
      <c r="F203" s="117" t="s">
        <v>933</v>
      </c>
      <c r="G203" s="281">
        <v>1</v>
      </c>
      <c r="H203" s="260">
        <v>62500</v>
      </c>
      <c r="I203" s="260">
        <v>62500</v>
      </c>
      <c r="J203" s="260">
        <v>0</v>
      </c>
      <c r="K203" s="260">
        <v>62500</v>
      </c>
      <c r="L203" s="260">
        <v>5000</v>
      </c>
      <c r="M203" s="260">
        <v>67500</v>
      </c>
      <c r="N203" s="119">
        <v>1.0999999999999999E-2</v>
      </c>
      <c r="O203" s="462" t="s">
        <v>934</v>
      </c>
    </row>
    <row r="204" spans="1:15" ht="18" customHeight="1" x14ac:dyDescent="0.25">
      <c r="A204" s="116">
        <v>3</v>
      </c>
      <c r="B204" s="117" t="s">
        <v>90</v>
      </c>
      <c r="C204" s="116">
        <v>222</v>
      </c>
      <c r="D204" s="120" t="s">
        <v>93</v>
      </c>
      <c r="E204" s="120" t="s">
        <v>981</v>
      </c>
      <c r="F204" s="117" t="s">
        <v>933</v>
      </c>
      <c r="G204" s="281">
        <v>1</v>
      </c>
      <c r="H204" s="260">
        <v>63426</v>
      </c>
      <c r="I204" s="260">
        <v>63426</v>
      </c>
      <c r="J204" s="260">
        <v>0</v>
      </c>
      <c r="K204" s="260">
        <v>63426</v>
      </c>
      <c r="L204" s="260">
        <v>5074</v>
      </c>
      <c r="M204" s="260">
        <v>68500</v>
      </c>
      <c r="N204" s="119">
        <v>1.11E-2</v>
      </c>
      <c r="O204" s="462" t="s">
        <v>934</v>
      </c>
    </row>
    <row r="205" spans="1:15" ht="18" customHeight="1" x14ac:dyDescent="0.25">
      <c r="A205" s="116">
        <v>3</v>
      </c>
      <c r="B205" s="117" t="s">
        <v>90</v>
      </c>
      <c r="C205" s="116">
        <v>117</v>
      </c>
      <c r="D205" s="120" t="s">
        <v>87</v>
      </c>
      <c r="E205" s="120" t="s">
        <v>120</v>
      </c>
      <c r="F205" s="117" t="s">
        <v>933</v>
      </c>
      <c r="G205" s="281">
        <v>3</v>
      </c>
      <c r="H205" s="260">
        <v>41667</v>
      </c>
      <c r="I205" s="260">
        <v>125000</v>
      </c>
      <c r="J205" s="260">
        <v>0</v>
      </c>
      <c r="K205" s="260">
        <v>125000</v>
      </c>
      <c r="L205" s="260">
        <v>10000</v>
      </c>
      <c r="M205" s="260">
        <v>135000</v>
      </c>
      <c r="N205" s="119">
        <v>2.1999999999999999E-2</v>
      </c>
      <c r="O205" s="462" t="s">
        <v>934</v>
      </c>
    </row>
    <row r="206" spans="1:15" ht="18" customHeight="1" x14ac:dyDescent="0.25">
      <c r="A206" s="116">
        <v>3</v>
      </c>
      <c r="B206" s="117" t="s">
        <v>90</v>
      </c>
      <c r="C206" s="116">
        <v>36</v>
      </c>
      <c r="D206" s="120" t="s">
        <v>91</v>
      </c>
      <c r="E206" s="120" t="s">
        <v>984</v>
      </c>
      <c r="F206" s="117" t="s">
        <v>933</v>
      </c>
      <c r="G206" s="281">
        <v>3</v>
      </c>
      <c r="H206" s="260">
        <v>3704</v>
      </c>
      <c r="I206" s="260">
        <v>11111</v>
      </c>
      <c r="J206" s="260">
        <v>0</v>
      </c>
      <c r="K206" s="260">
        <v>11111</v>
      </c>
      <c r="L206" s="260">
        <v>889</v>
      </c>
      <c r="M206" s="260">
        <v>12000</v>
      </c>
      <c r="N206" s="119">
        <v>2E-3</v>
      </c>
      <c r="O206" s="462" t="s">
        <v>934</v>
      </c>
    </row>
    <row r="207" spans="1:15" ht="18" customHeight="1" x14ac:dyDescent="0.25">
      <c r="A207" s="116">
        <v>3</v>
      </c>
      <c r="B207" s="117" t="s">
        <v>90</v>
      </c>
      <c r="C207" s="116">
        <v>61</v>
      </c>
      <c r="D207" s="120" t="s">
        <v>97</v>
      </c>
      <c r="E207" s="120" t="s">
        <v>985</v>
      </c>
      <c r="F207" s="117" t="s">
        <v>933</v>
      </c>
      <c r="G207" s="281">
        <v>6</v>
      </c>
      <c r="H207" s="260">
        <v>4630</v>
      </c>
      <c r="I207" s="260">
        <v>27778</v>
      </c>
      <c r="J207" s="260">
        <v>0</v>
      </c>
      <c r="K207" s="260">
        <v>27778</v>
      </c>
      <c r="L207" s="260">
        <v>2222</v>
      </c>
      <c r="M207" s="260">
        <v>30000</v>
      </c>
      <c r="N207" s="119">
        <v>4.8999999999999998E-3</v>
      </c>
      <c r="O207" s="462" t="s">
        <v>934</v>
      </c>
    </row>
    <row r="208" spans="1:15" ht="18" customHeight="1" x14ac:dyDescent="0.25">
      <c r="A208" s="116">
        <v>3</v>
      </c>
      <c r="B208" s="117" t="s">
        <v>90</v>
      </c>
      <c r="C208" s="116">
        <v>214</v>
      </c>
      <c r="D208" s="120" t="s">
        <v>87</v>
      </c>
      <c r="E208" s="120" t="s">
        <v>1007</v>
      </c>
      <c r="F208" s="117" t="s">
        <v>933</v>
      </c>
      <c r="G208" s="281">
        <v>3</v>
      </c>
      <c r="H208" s="260">
        <v>37500</v>
      </c>
      <c r="I208" s="260">
        <v>112500</v>
      </c>
      <c r="J208" s="260">
        <v>0</v>
      </c>
      <c r="K208" s="260">
        <v>112500</v>
      </c>
      <c r="L208" s="260">
        <v>9000</v>
      </c>
      <c r="M208" s="260">
        <v>121500</v>
      </c>
      <c r="N208" s="119">
        <v>1.9800000000000002E-2</v>
      </c>
      <c r="O208" s="462" t="s">
        <v>934</v>
      </c>
    </row>
    <row r="209" spans="1:15" ht="18" customHeight="1" x14ac:dyDescent="0.25">
      <c r="A209" s="116">
        <v>3</v>
      </c>
      <c r="B209" s="117" t="s">
        <v>90</v>
      </c>
      <c r="C209" s="116">
        <v>96</v>
      </c>
      <c r="D209" s="120" t="s">
        <v>93</v>
      </c>
      <c r="E209" s="120" t="s">
        <v>1009</v>
      </c>
      <c r="F209" s="117" t="s">
        <v>933</v>
      </c>
      <c r="G209" s="281">
        <v>1</v>
      </c>
      <c r="H209" s="260">
        <v>32407</v>
      </c>
      <c r="I209" s="260">
        <v>35648</v>
      </c>
      <c r="J209" s="260">
        <v>3241</v>
      </c>
      <c r="K209" s="260">
        <v>32407</v>
      </c>
      <c r="L209" s="260">
        <v>2593</v>
      </c>
      <c r="M209" s="260">
        <v>35000</v>
      </c>
      <c r="N209" s="119">
        <v>5.6999999999999993E-3</v>
      </c>
      <c r="O209" s="462" t="s">
        <v>934</v>
      </c>
    </row>
    <row r="210" spans="1:15" ht="18" customHeight="1" x14ac:dyDescent="0.25">
      <c r="A210" s="116">
        <v>3</v>
      </c>
      <c r="B210" s="117" t="s">
        <v>90</v>
      </c>
      <c r="C210" s="116">
        <v>33</v>
      </c>
      <c r="D210" s="120" t="s">
        <v>91</v>
      </c>
      <c r="E210" s="120" t="s">
        <v>987</v>
      </c>
      <c r="F210" s="117" t="s">
        <v>933</v>
      </c>
      <c r="G210" s="281">
        <v>2</v>
      </c>
      <c r="H210" s="260">
        <v>1852</v>
      </c>
      <c r="I210" s="260">
        <v>3704</v>
      </c>
      <c r="J210" s="260">
        <v>0</v>
      </c>
      <c r="K210" s="260">
        <v>3704</v>
      </c>
      <c r="L210" s="260">
        <v>296</v>
      </c>
      <c r="M210" s="260">
        <v>4000</v>
      </c>
      <c r="N210" s="119">
        <v>7.000000000000001E-4</v>
      </c>
      <c r="O210" s="462" t="s">
        <v>934</v>
      </c>
    </row>
    <row r="211" spans="1:15" ht="18" customHeight="1" x14ac:dyDescent="0.25">
      <c r="A211" s="116">
        <v>3</v>
      </c>
      <c r="B211" s="117" t="s">
        <v>90</v>
      </c>
      <c r="C211" s="116">
        <v>1050</v>
      </c>
      <c r="D211" s="120" t="s">
        <v>91</v>
      </c>
      <c r="E211" s="120" t="s">
        <v>1022</v>
      </c>
      <c r="F211" s="117" t="s">
        <v>933</v>
      </c>
      <c r="G211" s="281">
        <v>2</v>
      </c>
      <c r="H211" s="260">
        <v>3333</v>
      </c>
      <c r="I211" s="260">
        <v>6667</v>
      </c>
      <c r="J211" s="260">
        <v>0</v>
      </c>
      <c r="K211" s="260">
        <v>6667</v>
      </c>
      <c r="L211" s="260">
        <v>533</v>
      </c>
      <c r="M211" s="260">
        <v>7200</v>
      </c>
      <c r="N211" s="119">
        <v>1.1999999999999999E-3</v>
      </c>
      <c r="O211" s="462" t="s">
        <v>934</v>
      </c>
    </row>
    <row r="212" spans="1:15" ht="18" customHeight="1" x14ac:dyDescent="0.25">
      <c r="A212" s="116">
        <v>4</v>
      </c>
      <c r="B212" s="117" t="s">
        <v>92</v>
      </c>
      <c r="C212" s="116">
        <v>316</v>
      </c>
      <c r="D212" s="120" t="s">
        <v>87</v>
      </c>
      <c r="E212" s="120" t="s">
        <v>1023</v>
      </c>
      <c r="F212" s="117" t="s">
        <v>933</v>
      </c>
      <c r="G212" s="281">
        <v>0</v>
      </c>
      <c r="H212" s="260">
        <v>0</v>
      </c>
      <c r="I212" s="260">
        <v>0</v>
      </c>
      <c r="J212" s="260">
        <v>0</v>
      </c>
      <c r="K212" s="260">
        <v>0</v>
      </c>
      <c r="L212" s="260">
        <v>0</v>
      </c>
      <c r="M212" s="260">
        <v>0</v>
      </c>
      <c r="N212" s="119">
        <v>0</v>
      </c>
      <c r="O212" s="462" t="s">
        <v>934</v>
      </c>
    </row>
    <row r="213" spans="1:15" ht="18" customHeight="1" x14ac:dyDescent="0.25">
      <c r="A213" s="116">
        <v>4</v>
      </c>
      <c r="B213" s="117" t="s">
        <v>92</v>
      </c>
      <c r="C213" s="116">
        <v>73</v>
      </c>
      <c r="D213" s="120" t="s">
        <v>91</v>
      </c>
      <c r="E213" s="120" t="s">
        <v>932</v>
      </c>
      <c r="F213" s="117" t="s">
        <v>933</v>
      </c>
      <c r="G213" s="281">
        <v>18</v>
      </c>
      <c r="H213" s="260">
        <v>2593</v>
      </c>
      <c r="I213" s="260">
        <v>46667</v>
      </c>
      <c r="J213" s="260">
        <v>0</v>
      </c>
      <c r="K213" s="260">
        <v>46667</v>
      </c>
      <c r="L213" s="260">
        <v>3733</v>
      </c>
      <c r="M213" s="260">
        <v>50400</v>
      </c>
      <c r="N213" s="119">
        <v>7.9000000000000008E-3</v>
      </c>
      <c r="O213" s="462" t="s">
        <v>934</v>
      </c>
    </row>
    <row r="214" spans="1:15" ht="18" customHeight="1" x14ac:dyDescent="0.25">
      <c r="A214" s="116">
        <v>4</v>
      </c>
      <c r="B214" s="117" t="s">
        <v>92</v>
      </c>
      <c r="C214" s="116">
        <v>3</v>
      </c>
      <c r="D214" s="120" t="s">
        <v>87</v>
      </c>
      <c r="E214" s="120" t="s">
        <v>1012</v>
      </c>
      <c r="F214" s="117" t="s">
        <v>933</v>
      </c>
      <c r="G214" s="281">
        <v>28</v>
      </c>
      <c r="H214" s="260">
        <v>18585</v>
      </c>
      <c r="I214" s="260">
        <v>522222</v>
      </c>
      <c r="J214" s="260">
        <v>1852</v>
      </c>
      <c r="K214" s="260">
        <v>520370</v>
      </c>
      <c r="L214" s="260">
        <v>41630</v>
      </c>
      <c r="M214" s="260">
        <v>562000</v>
      </c>
      <c r="N214" s="119">
        <v>8.8000000000000009E-2</v>
      </c>
      <c r="O214" s="462" t="s">
        <v>934</v>
      </c>
    </row>
    <row r="215" spans="1:15" ht="18" customHeight="1" x14ac:dyDescent="0.25">
      <c r="A215" s="116">
        <v>4</v>
      </c>
      <c r="B215" s="117" t="s">
        <v>92</v>
      </c>
      <c r="C215" s="116">
        <v>40</v>
      </c>
      <c r="D215" s="120" t="s">
        <v>87</v>
      </c>
      <c r="E215" s="120" t="s">
        <v>170</v>
      </c>
      <c r="F215" s="117" t="s">
        <v>933</v>
      </c>
      <c r="G215" s="281">
        <v>1</v>
      </c>
      <c r="H215" s="260">
        <v>55093</v>
      </c>
      <c r="I215" s="260">
        <v>55093</v>
      </c>
      <c r="J215" s="260">
        <v>0</v>
      </c>
      <c r="K215" s="260">
        <v>55093</v>
      </c>
      <c r="L215" s="260">
        <v>4407</v>
      </c>
      <c r="M215" s="260">
        <v>59500</v>
      </c>
      <c r="N215" s="119">
        <v>9.300000000000001E-3</v>
      </c>
      <c r="O215" s="462" t="s">
        <v>934</v>
      </c>
    </row>
    <row r="216" spans="1:15" ht="18" customHeight="1" x14ac:dyDescent="0.25">
      <c r="A216" s="116">
        <v>4</v>
      </c>
      <c r="B216" s="117" t="s">
        <v>92</v>
      </c>
      <c r="C216" s="116">
        <v>131</v>
      </c>
      <c r="D216" s="120" t="s">
        <v>87</v>
      </c>
      <c r="E216" s="120" t="s">
        <v>991</v>
      </c>
      <c r="F216" s="117" t="s">
        <v>933</v>
      </c>
      <c r="G216" s="281">
        <v>2</v>
      </c>
      <c r="H216" s="260">
        <v>278</v>
      </c>
      <c r="I216" s="260">
        <v>556</v>
      </c>
      <c r="J216" s="260">
        <v>0</v>
      </c>
      <c r="K216" s="260">
        <v>556</v>
      </c>
      <c r="L216" s="260">
        <v>44</v>
      </c>
      <c r="M216" s="260">
        <v>600</v>
      </c>
      <c r="N216" s="119">
        <v>1E-4</v>
      </c>
      <c r="O216" s="462" t="s">
        <v>934</v>
      </c>
    </row>
    <row r="217" spans="1:15" ht="18" customHeight="1" x14ac:dyDescent="0.25">
      <c r="A217" s="116">
        <v>4</v>
      </c>
      <c r="B217" s="117" t="s">
        <v>92</v>
      </c>
      <c r="C217" s="116">
        <v>104</v>
      </c>
      <c r="D217" s="120" t="s">
        <v>89</v>
      </c>
      <c r="E217" s="120" t="s">
        <v>162</v>
      </c>
      <c r="F217" s="117" t="s">
        <v>933</v>
      </c>
      <c r="G217" s="281">
        <v>9</v>
      </c>
      <c r="H217" s="260">
        <v>16049</v>
      </c>
      <c r="I217" s="260">
        <v>144444</v>
      </c>
      <c r="J217" s="260">
        <v>0</v>
      </c>
      <c r="K217" s="260">
        <v>144444</v>
      </c>
      <c r="L217" s="260">
        <v>11556</v>
      </c>
      <c r="M217" s="260">
        <v>156000</v>
      </c>
      <c r="N217" s="119">
        <v>2.4400000000000002E-2</v>
      </c>
      <c r="O217" s="462" t="s">
        <v>934</v>
      </c>
    </row>
    <row r="218" spans="1:15" ht="18" customHeight="1" x14ac:dyDescent="0.25">
      <c r="A218" s="116">
        <v>4</v>
      </c>
      <c r="B218" s="117" t="s">
        <v>92</v>
      </c>
      <c r="C218" s="116">
        <v>95</v>
      </c>
      <c r="D218" s="120" t="s">
        <v>87</v>
      </c>
      <c r="E218" s="120" t="s">
        <v>938</v>
      </c>
      <c r="F218" s="117" t="s">
        <v>933</v>
      </c>
      <c r="G218" s="281">
        <v>4</v>
      </c>
      <c r="H218" s="260">
        <v>926</v>
      </c>
      <c r="I218" s="260">
        <v>3704</v>
      </c>
      <c r="J218" s="260">
        <v>0</v>
      </c>
      <c r="K218" s="260">
        <v>3704</v>
      </c>
      <c r="L218" s="260">
        <v>296</v>
      </c>
      <c r="M218" s="260">
        <v>4000</v>
      </c>
      <c r="N218" s="119">
        <v>5.9999999999999995E-4</v>
      </c>
      <c r="O218" s="462" t="s">
        <v>934</v>
      </c>
    </row>
    <row r="219" spans="1:15" ht="18" customHeight="1" x14ac:dyDescent="0.25">
      <c r="A219" s="116">
        <v>4</v>
      </c>
      <c r="B219" s="117" t="s">
        <v>92</v>
      </c>
      <c r="C219" s="116">
        <v>5</v>
      </c>
      <c r="D219" s="120" t="s">
        <v>89</v>
      </c>
      <c r="E219" s="120" t="s">
        <v>993</v>
      </c>
      <c r="F219" s="117" t="s">
        <v>933</v>
      </c>
      <c r="G219" s="281">
        <v>1</v>
      </c>
      <c r="H219" s="260">
        <v>11111</v>
      </c>
      <c r="I219" s="260">
        <v>11111</v>
      </c>
      <c r="J219" s="260">
        <v>0</v>
      </c>
      <c r="K219" s="260">
        <v>11111</v>
      </c>
      <c r="L219" s="260">
        <v>889</v>
      </c>
      <c r="M219" s="260">
        <v>12000</v>
      </c>
      <c r="N219" s="119">
        <v>1.9E-3</v>
      </c>
      <c r="O219" s="462" t="s">
        <v>934</v>
      </c>
    </row>
    <row r="220" spans="1:15" ht="18" customHeight="1" x14ac:dyDescent="0.25">
      <c r="A220" s="116">
        <v>4</v>
      </c>
      <c r="B220" s="117" t="s">
        <v>92</v>
      </c>
      <c r="C220" s="116">
        <v>136</v>
      </c>
      <c r="D220" s="120" t="s">
        <v>89</v>
      </c>
      <c r="E220" s="120" t="s">
        <v>939</v>
      </c>
      <c r="F220" s="117" t="s">
        <v>933</v>
      </c>
      <c r="G220" s="281">
        <v>2</v>
      </c>
      <c r="H220" s="260">
        <v>24074</v>
      </c>
      <c r="I220" s="260">
        <v>48148</v>
      </c>
      <c r="J220" s="260">
        <v>0</v>
      </c>
      <c r="K220" s="260">
        <v>48148</v>
      </c>
      <c r="L220" s="260">
        <v>3852</v>
      </c>
      <c r="M220" s="260">
        <v>52000</v>
      </c>
      <c r="N220" s="119">
        <v>8.1000000000000013E-3</v>
      </c>
      <c r="O220" s="462" t="s">
        <v>934</v>
      </c>
    </row>
    <row r="221" spans="1:15" ht="18" customHeight="1" x14ac:dyDescent="0.25">
      <c r="A221" s="116">
        <v>4</v>
      </c>
      <c r="B221" s="117" t="s">
        <v>92</v>
      </c>
      <c r="C221" s="116">
        <v>135</v>
      </c>
      <c r="D221" s="120" t="s">
        <v>89</v>
      </c>
      <c r="E221" s="120" t="s">
        <v>1024</v>
      </c>
      <c r="F221" s="117" t="s">
        <v>933</v>
      </c>
      <c r="G221" s="281">
        <v>1</v>
      </c>
      <c r="H221" s="260">
        <v>13889</v>
      </c>
      <c r="I221" s="260">
        <v>13889</v>
      </c>
      <c r="J221" s="260">
        <v>0</v>
      </c>
      <c r="K221" s="260">
        <v>13889</v>
      </c>
      <c r="L221" s="260">
        <v>1111</v>
      </c>
      <c r="M221" s="260">
        <v>15000</v>
      </c>
      <c r="N221" s="119">
        <v>2.3E-3</v>
      </c>
      <c r="O221" s="462" t="s">
        <v>934</v>
      </c>
    </row>
    <row r="222" spans="1:15" ht="18" customHeight="1" x14ac:dyDescent="0.25">
      <c r="A222" s="116">
        <v>4</v>
      </c>
      <c r="B222" s="117" t="s">
        <v>92</v>
      </c>
      <c r="C222" s="116">
        <v>6</v>
      </c>
      <c r="D222" s="120" t="s">
        <v>89</v>
      </c>
      <c r="E222" s="120" t="s">
        <v>994</v>
      </c>
      <c r="F222" s="117" t="s">
        <v>933</v>
      </c>
      <c r="G222" s="281">
        <v>1</v>
      </c>
      <c r="H222" s="260">
        <v>14815</v>
      </c>
      <c r="I222" s="260">
        <v>14815</v>
      </c>
      <c r="J222" s="260">
        <v>0</v>
      </c>
      <c r="K222" s="260">
        <v>14815</v>
      </c>
      <c r="L222" s="260">
        <v>1185</v>
      </c>
      <c r="M222" s="260">
        <v>16000</v>
      </c>
      <c r="N222" s="119">
        <v>2.5000000000000001E-3</v>
      </c>
      <c r="O222" s="462" t="s">
        <v>934</v>
      </c>
    </row>
    <row r="223" spans="1:15" ht="18" customHeight="1" x14ac:dyDescent="0.25">
      <c r="A223" s="116">
        <v>4</v>
      </c>
      <c r="B223" s="117" t="s">
        <v>92</v>
      </c>
      <c r="C223" s="116">
        <v>8</v>
      </c>
      <c r="D223" s="120" t="s">
        <v>87</v>
      </c>
      <c r="E223" s="120" t="s">
        <v>156</v>
      </c>
      <c r="F223" s="117" t="s">
        <v>933</v>
      </c>
      <c r="G223" s="281">
        <v>7</v>
      </c>
      <c r="H223" s="260">
        <v>18783</v>
      </c>
      <c r="I223" s="260">
        <v>131481</v>
      </c>
      <c r="J223" s="260">
        <v>0</v>
      </c>
      <c r="K223" s="260">
        <v>131481</v>
      </c>
      <c r="L223" s="260">
        <v>10519</v>
      </c>
      <c r="M223" s="260">
        <v>142000</v>
      </c>
      <c r="N223" s="119">
        <v>2.2200000000000001E-2</v>
      </c>
      <c r="O223" s="462" t="s">
        <v>934</v>
      </c>
    </row>
    <row r="224" spans="1:15" ht="18" customHeight="1" x14ac:dyDescent="0.25">
      <c r="A224" s="116">
        <v>4</v>
      </c>
      <c r="B224" s="117" t="s">
        <v>92</v>
      </c>
      <c r="C224" s="116">
        <v>87</v>
      </c>
      <c r="D224" s="120" t="s">
        <v>89</v>
      </c>
      <c r="E224" s="120" t="s">
        <v>144</v>
      </c>
      <c r="F224" s="117" t="s">
        <v>933</v>
      </c>
      <c r="G224" s="281">
        <v>3</v>
      </c>
      <c r="H224" s="260">
        <v>37500</v>
      </c>
      <c r="I224" s="260">
        <v>112500</v>
      </c>
      <c r="J224" s="260">
        <v>0</v>
      </c>
      <c r="K224" s="260">
        <v>112500</v>
      </c>
      <c r="L224" s="260">
        <v>9000</v>
      </c>
      <c r="M224" s="260">
        <v>121500</v>
      </c>
      <c r="N224" s="119">
        <v>1.9E-2</v>
      </c>
      <c r="O224" s="462" t="s">
        <v>934</v>
      </c>
    </row>
    <row r="225" spans="1:15" ht="18" customHeight="1" x14ac:dyDescent="0.25">
      <c r="A225" s="116">
        <v>4</v>
      </c>
      <c r="B225" s="117" t="s">
        <v>92</v>
      </c>
      <c r="C225" s="116">
        <v>206</v>
      </c>
      <c r="D225" s="120" t="s">
        <v>93</v>
      </c>
      <c r="E225" s="120" t="s">
        <v>941</v>
      </c>
      <c r="F225" s="117" t="s">
        <v>933</v>
      </c>
      <c r="G225" s="281">
        <v>1</v>
      </c>
      <c r="H225" s="260">
        <v>44907</v>
      </c>
      <c r="I225" s="260">
        <v>44907</v>
      </c>
      <c r="J225" s="260">
        <v>0</v>
      </c>
      <c r="K225" s="260">
        <v>44907</v>
      </c>
      <c r="L225" s="260">
        <v>3593</v>
      </c>
      <c r="M225" s="260">
        <v>48500</v>
      </c>
      <c r="N225" s="119">
        <v>7.6E-3</v>
      </c>
      <c r="O225" s="462" t="s">
        <v>934</v>
      </c>
    </row>
    <row r="226" spans="1:15" ht="18" customHeight="1" x14ac:dyDescent="0.25">
      <c r="A226" s="116">
        <v>4</v>
      </c>
      <c r="B226" s="117" t="s">
        <v>92</v>
      </c>
      <c r="C226" s="116">
        <v>246</v>
      </c>
      <c r="D226" s="120" t="s">
        <v>91</v>
      </c>
      <c r="E226" s="120" t="s">
        <v>943</v>
      </c>
      <c r="F226" s="117" t="s">
        <v>933</v>
      </c>
      <c r="G226" s="281">
        <v>4</v>
      </c>
      <c r="H226" s="260">
        <v>6481</v>
      </c>
      <c r="I226" s="260">
        <v>25926</v>
      </c>
      <c r="J226" s="260">
        <v>0</v>
      </c>
      <c r="K226" s="260">
        <v>25926</v>
      </c>
      <c r="L226" s="260">
        <v>2074</v>
      </c>
      <c r="M226" s="260">
        <v>28000</v>
      </c>
      <c r="N226" s="119">
        <v>4.4000000000000003E-3</v>
      </c>
      <c r="O226" s="462" t="s">
        <v>934</v>
      </c>
    </row>
    <row r="227" spans="1:15" ht="18" customHeight="1" x14ac:dyDescent="0.25">
      <c r="A227" s="116">
        <v>4</v>
      </c>
      <c r="B227" s="117" t="s">
        <v>92</v>
      </c>
      <c r="C227" s="116">
        <v>264</v>
      </c>
      <c r="D227" s="120" t="s">
        <v>91</v>
      </c>
      <c r="E227" s="120" t="s">
        <v>995</v>
      </c>
      <c r="F227" s="117" t="s">
        <v>933</v>
      </c>
      <c r="G227" s="281">
        <v>1</v>
      </c>
      <c r="H227" s="260">
        <v>4630</v>
      </c>
      <c r="I227" s="260">
        <v>4630</v>
      </c>
      <c r="J227" s="260">
        <v>0</v>
      </c>
      <c r="K227" s="260">
        <v>4630</v>
      </c>
      <c r="L227" s="260">
        <v>370</v>
      </c>
      <c r="M227" s="260">
        <v>5000</v>
      </c>
      <c r="N227" s="119">
        <v>8.0000000000000004E-4</v>
      </c>
      <c r="O227" s="462" t="s">
        <v>934</v>
      </c>
    </row>
    <row r="228" spans="1:15" ht="18" customHeight="1" x14ac:dyDescent="0.25">
      <c r="A228" s="116">
        <v>4</v>
      </c>
      <c r="B228" s="117" t="s">
        <v>92</v>
      </c>
      <c r="C228" s="116">
        <v>70</v>
      </c>
      <c r="D228" s="120" t="s">
        <v>91</v>
      </c>
      <c r="E228" s="120" t="s">
        <v>944</v>
      </c>
      <c r="F228" s="117" t="s">
        <v>933</v>
      </c>
      <c r="G228" s="281">
        <v>2</v>
      </c>
      <c r="H228" s="260">
        <v>4630</v>
      </c>
      <c r="I228" s="260">
        <v>9259</v>
      </c>
      <c r="J228" s="260">
        <v>0</v>
      </c>
      <c r="K228" s="260">
        <v>9259</v>
      </c>
      <c r="L228" s="260">
        <v>741</v>
      </c>
      <c r="M228" s="260">
        <v>10000</v>
      </c>
      <c r="N228" s="119">
        <v>1.6000000000000001E-3</v>
      </c>
      <c r="O228" s="462" t="s">
        <v>934</v>
      </c>
    </row>
    <row r="229" spans="1:15" ht="18" customHeight="1" x14ac:dyDescent="0.25">
      <c r="A229" s="116">
        <v>4</v>
      </c>
      <c r="B229" s="117" t="s">
        <v>92</v>
      </c>
      <c r="C229" s="116">
        <v>71</v>
      </c>
      <c r="D229" s="120" t="s">
        <v>91</v>
      </c>
      <c r="E229" s="120" t="s">
        <v>945</v>
      </c>
      <c r="F229" s="117" t="s">
        <v>933</v>
      </c>
      <c r="G229" s="281">
        <v>9</v>
      </c>
      <c r="H229" s="260">
        <v>5556</v>
      </c>
      <c r="I229" s="260">
        <v>50000</v>
      </c>
      <c r="J229" s="260">
        <v>0</v>
      </c>
      <c r="K229" s="260">
        <v>50000</v>
      </c>
      <c r="L229" s="260">
        <v>4000</v>
      </c>
      <c r="M229" s="260">
        <v>54000</v>
      </c>
      <c r="N229" s="119">
        <v>8.5000000000000006E-3</v>
      </c>
      <c r="O229" s="462" t="s">
        <v>934</v>
      </c>
    </row>
    <row r="230" spans="1:15" ht="18" customHeight="1" x14ac:dyDescent="0.25">
      <c r="A230" s="116">
        <v>4</v>
      </c>
      <c r="B230" s="117" t="s">
        <v>92</v>
      </c>
      <c r="C230" s="116">
        <v>83</v>
      </c>
      <c r="D230" s="120" t="s">
        <v>87</v>
      </c>
      <c r="E230" s="120" t="s">
        <v>946</v>
      </c>
      <c r="F230" s="117" t="s">
        <v>933</v>
      </c>
      <c r="G230" s="281">
        <v>6</v>
      </c>
      <c r="H230" s="260">
        <v>20833</v>
      </c>
      <c r="I230" s="260">
        <v>125000</v>
      </c>
      <c r="J230" s="260">
        <v>0</v>
      </c>
      <c r="K230" s="260">
        <v>125000</v>
      </c>
      <c r="L230" s="260">
        <v>10000</v>
      </c>
      <c r="M230" s="260">
        <v>135000</v>
      </c>
      <c r="N230" s="119">
        <v>2.1100000000000001E-2</v>
      </c>
      <c r="O230" s="462" t="s">
        <v>934</v>
      </c>
    </row>
    <row r="231" spans="1:15" ht="18" customHeight="1" x14ac:dyDescent="0.25">
      <c r="A231" s="116">
        <v>4</v>
      </c>
      <c r="B231" s="117" t="s">
        <v>92</v>
      </c>
      <c r="C231" s="116">
        <v>41</v>
      </c>
      <c r="D231" s="120" t="s">
        <v>87</v>
      </c>
      <c r="E231" s="120" t="s">
        <v>168</v>
      </c>
      <c r="F231" s="117" t="s">
        <v>933</v>
      </c>
      <c r="G231" s="281">
        <v>3</v>
      </c>
      <c r="H231" s="260">
        <v>49074</v>
      </c>
      <c r="I231" s="260">
        <v>147222</v>
      </c>
      <c r="J231" s="260">
        <v>0</v>
      </c>
      <c r="K231" s="260">
        <v>147222</v>
      </c>
      <c r="L231" s="260">
        <v>11778</v>
      </c>
      <c r="M231" s="260">
        <v>159000</v>
      </c>
      <c r="N231" s="119">
        <v>2.4899999999999999E-2</v>
      </c>
      <c r="O231" s="462" t="s">
        <v>934</v>
      </c>
    </row>
    <row r="232" spans="1:15" ht="18" customHeight="1" x14ac:dyDescent="0.25">
      <c r="A232" s="116">
        <v>4</v>
      </c>
      <c r="B232" s="117" t="s">
        <v>92</v>
      </c>
      <c r="C232" s="116">
        <v>122</v>
      </c>
      <c r="D232" s="120" t="s">
        <v>91</v>
      </c>
      <c r="E232" s="120" t="s">
        <v>948</v>
      </c>
      <c r="F232" s="117" t="s">
        <v>933</v>
      </c>
      <c r="G232" s="281">
        <v>1</v>
      </c>
      <c r="H232" s="260">
        <v>2778</v>
      </c>
      <c r="I232" s="260">
        <v>2778</v>
      </c>
      <c r="J232" s="260">
        <v>0</v>
      </c>
      <c r="K232" s="260">
        <v>2778</v>
      </c>
      <c r="L232" s="260">
        <v>222</v>
      </c>
      <c r="M232" s="260">
        <v>3000</v>
      </c>
      <c r="N232" s="119">
        <v>5.0000000000000001E-4</v>
      </c>
      <c r="O232" s="462" t="s">
        <v>934</v>
      </c>
    </row>
    <row r="233" spans="1:15" ht="18" customHeight="1" x14ac:dyDescent="0.25">
      <c r="A233" s="116">
        <v>4</v>
      </c>
      <c r="B233" s="117" t="s">
        <v>92</v>
      </c>
      <c r="C233" s="116">
        <v>42</v>
      </c>
      <c r="D233" s="120" t="s">
        <v>87</v>
      </c>
      <c r="E233" s="120" t="s">
        <v>360</v>
      </c>
      <c r="F233" s="117" t="s">
        <v>933</v>
      </c>
      <c r="G233" s="281">
        <v>1</v>
      </c>
      <c r="H233" s="260">
        <v>32407</v>
      </c>
      <c r="I233" s="260">
        <v>32407</v>
      </c>
      <c r="J233" s="260">
        <v>0</v>
      </c>
      <c r="K233" s="260">
        <v>32407</v>
      </c>
      <c r="L233" s="260">
        <v>2593</v>
      </c>
      <c r="M233" s="260">
        <v>35000</v>
      </c>
      <c r="N233" s="119">
        <v>5.5000000000000014E-3</v>
      </c>
      <c r="O233" s="462" t="s">
        <v>934</v>
      </c>
    </row>
    <row r="234" spans="1:15" ht="18" customHeight="1" x14ac:dyDescent="0.25">
      <c r="A234" s="116">
        <v>4</v>
      </c>
      <c r="B234" s="117" t="s">
        <v>92</v>
      </c>
      <c r="C234" s="116">
        <v>44</v>
      </c>
      <c r="D234" s="120" t="s">
        <v>87</v>
      </c>
      <c r="E234" s="120" t="s">
        <v>138</v>
      </c>
      <c r="F234" s="117" t="s">
        <v>933</v>
      </c>
      <c r="G234" s="281">
        <v>2</v>
      </c>
      <c r="H234" s="260">
        <v>28241</v>
      </c>
      <c r="I234" s="260">
        <v>56481</v>
      </c>
      <c r="J234" s="260">
        <v>0</v>
      </c>
      <c r="K234" s="260">
        <v>56481</v>
      </c>
      <c r="L234" s="260">
        <v>4519</v>
      </c>
      <c r="M234" s="260">
        <v>61000</v>
      </c>
      <c r="N234" s="119">
        <v>9.5999999999999992E-3</v>
      </c>
      <c r="O234" s="462" t="s">
        <v>934</v>
      </c>
    </row>
    <row r="235" spans="1:15" ht="18" customHeight="1" x14ac:dyDescent="0.25">
      <c r="A235" s="116">
        <v>4</v>
      </c>
      <c r="B235" s="117" t="s">
        <v>92</v>
      </c>
      <c r="C235" s="116">
        <v>110</v>
      </c>
      <c r="D235" s="120" t="s">
        <v>99</v>
      </c>
      <c r="E235" s="120" t="s">
        <v>949</v>
      </c>
      <c r="F235" s="117" t="s">
        <v>933</v>
      </c>
      <c r="G235" s="281">
        <v>16</v>
      </c>
      <c r="H235" s="260">
        <v>926</v>
      </c>
      <c r="I235" s="260">
        <v>14815</v>
      </c>
      <c r="J235" s="260">
        <v>0</v>
      </c>
      <c r="K235" s="260">
        <v>14815</v>
      </c>
      <c r="L235" s="260">
        <v>1185</v>
      </c>
      <c r="M235" s="260">
        <v>16000</v>
      </c>
      <c r="N235" s="119">
        <v>2.5000000000000001E-3</v>
      </c>
      <c r="O235" s="462" t="s">
        <v>934</v>
      </c>
    </row>
    <row r="236" spans="1:15" ht="18" customHeight="1" x14ac:dyDescent="0.25">
      <c r="A236" s="116">
        <v>4</v>
      </c>
      <c r="B236" s="117" t="s">
        <v>92</v>
      </c>
      <c r="C236" s="116">
        <v>102</v>
      </c>
      <c r="D236" s="120" t="s">
        <v>87</v>
      </c>
      <c r="E236" s="120" t="s">
        <v>998</v>
      </c>
      <c r="F236" s="117" t="s">
        <v>933</v>
      </c>
      <c r="G236" s="281">
        <v>2</v>
      </c>
      <c r="H236" s="260">
        <v>6944</v>
      </c>
      <c r="I236" s="260">
        <v>13889</v>
      </c>
      <c r="J236" s="260">
        <v>0</v>
      </c>
      <c r="K236" s="260">
        <v>13889</v>
      </c>
      <c r="L236" s="260">
        <v>1111</v>
      </c>
      <c r="M236" s="260">
        <v>15000</v>
      </c>
      <c r="N236" s="119">
        <v>2.3E-3</v>
      </c>
      <c r="O236" s="462" t="s">
        <v>934</v>
      </c>
    </row>
    <row r="237" spans="1:15" ht="18" customHeight="1" x14ac:dyDescent="0.25">
      <c r="A237" s="116">
        <v>4</v>
      </c>
      <c r="B237" s="117" t="s">
        <v>92</v>
      </c>
      <c r="C237" s="116">
        <v>45</v>
      </c>
      <c r="D237" s="120" t="s">
        <v>87</v>
      </c>
      <c r="E237" s="120" t="s">
        <v>950</v>
      </c>
      <c r="F237" s="117" t="s">
        <v>933</v>
      </c>
      <c r="G237" s="281">
        <v>2</v>
      </c>
      <c r="H237" s="260">
        <v>35648</v>
      </c>
      <c r="I237" s="260">
        <v>71296</v>
      </c>
      <c r="J237" s="260">
        <v>0</v>
      </c>
      <c r="K237" s="260">
        <v>71296</v>
      </c>
      <c r="L237" s="260">
        <v>5704</v>
      </c>
      <c r="M237" s="260">
        <v>77000</v>
      </c>
      <c r="N237" s="119">
        <v>1.21E-2</v>
      </c>
      <c r="O237" s="462" t="s">
        <v>934</v>
      </c>
    </row>
    <row r="238" spans="1:15" ht="18" customHeight="1" x14ac:dyDescent="0.25">
      <c r="A238" s="116">
        <v>4</v>
      </c>
      <c r="B238" s="117" t="s">
        <v>92</v>
      </c>
      <c r="C238" s="116">
        <v>30</v>
      </c>
      <c r="D238" s="120" t="s">
        <v>95</v>
      </c>
      <c r="E238" s="120" t="s">
        <v>951</v>
      </c>
      <c r="F238" s="117" t="s">
        <v>933</v>
      </c>
      <c r="G238" s="281">
        <v>1</v>
      </c>
      <c r="H238" s="260">
        <v>6481</v>
      </c>
      <c r="I238" s="260">
        <v>6481</v>
      </c>
      <c r="J238" s="260">
        <v>0</v>
      </c>
      <c r="K238" s="260">
        <v>6481</v>
      </c>
      <c r="L238" s="260">
        <v>519</v>
      </c>
      <c r="M238" s="260">
        <v>7000</v>
      </c>
      <c r="N238" s="119">
        <v>1.1000000000000001E-3</v>
      </c>
      <c r="O238" s="462" t="s">
        <v>934</v>
      </c>
    </row>
    <row r="239" spans="1:15" ht="18" customHeight="1" x14ac:dyDescent="0.25">
      <c r="A239" s="116">
        <v>4</v>
      </c>
      <c r="B239" s="117" t="s">
        <v>92</v>
      </c>
      <c r="C239" s="116">
        <v>305</v>
      </c>
      <c r="D239" s="120" t="s">
        <v>91</v>
      </c>
      <c r="E239" s="120" t="s">
        <v>952</v>
      </c>
      <c r="F239" s="117" t="s">
        <v>933</v>
      </c>
      <c r="G239" s="281">
        <v>1</v>
      </c>
      <c r="H239" s="260">
        <v>9259</v>
      </c>
      <c r="I239" s="260">
        <v>9259</v>
      </c>
      <c r="J239" s="260">
        <v>0</v>
      </c>
      <c r="K239" s="260">
        <v>9259</v>
      </c>
      <c r="L239" s="260">
        <v>741</v>
      </c>
      <c r="M239" s="260">
        <v>10000</v>
      </c>
      <c r="N239" s="119">
        <v>1.6000000000000001E-3</v>
      </c>
      <c r="O239" s="462" t="s">
        <v>934</v>
      </c>
    </row>
    <row r="240" spans="1:15" ht="18" customHeight="1" x14ac:dyDescent="0.25">
      <c r="A240" s="116">
        <v>4</v>
      </c>
      <c r="B240" s="117" t="s">
        <v>92</v>
      </c>
      <c r="C240" s="116">
        <v>94</v>
      </c>
      <c r="D240" s="120" t="s">
        <v>89</v>
      </c>
      <c r="E240" s="120" t="s">
        <v>150</v>
      </c>
      <c r="F240" s="117" t="s">
        <v>933</v>
      </c>
      <c r="G240" s="281">
        <v>12</v>
      </c>
      <c r="H240" s="260">
        <v>18596</v>
      </c>
      <c r="I240" s="260">
        <v>223148</v>
      </c>
      <c r="J240" s="260">
        <v>0</v>
      </c>
      <c r="K240" s="260">
        <v>223148</v>
      </c>
      <c r="L240" s="260">
        <v>17852</v>
      </c>
      <c r="M240" s="260">
        <v>241000</v>
      </c>
      <c r="N240" s="119">
        <v>3.7699999999999997E-2</v>
      </c>
      <c r="O240" s="462" t="s">
        <v>934</v>
      </c>
    </row>
    <row r="241" spans="1:15" ht="18" customHeight="1" x14ac:dyDescent="0.25">
      <c r="A241" s="116">
        <v>4</v>
      </c>
      <c r="B241" s="117" t="s">
        <v>92</v>
      </c>
      <c r="C241" s="116">
        <v>233</v>
      </c>
      <c r="D241" s="120" t="s">
        <v>89</v>
      </c>
      <c r="E241" s="120" t="s">
        <v>117</v>
      </c>
      <c r="F241" s="117" t="s">
        <v>933</v>
      </c>
      <c r="G241" s="281">
        <v>31</v>
      </c>
      <c r="H241" s="260">
        <v>18668</v>
      </c>
      <c r="I241" s="260">
        <v>578704</v>
      </c>
      <c r="J241" s="260">
        <v>0</v>
      </c>
      <c r="K241" s="260">
        <v>578704</v>
      </c>
      <c r="L241" s="260">
        <v>46296</v>
      </c>
      <c r="M241" s="260">
        <v>625000</v>
      </c>
      <c r="N241" s="119">
        <v>9.7899999999999987E-2</v>
      </c>
      <c r="O241" s="462" t="s">
        <v>934</v>
      </c>
    </row>
    <row r="242" spans="1:15" ht="18" customHeight="1" x14ac:dyDescent="0.25">
      <c r="A242" s="116">
        <v>4</v>
      </c>
      <c r="B242" s="117" t="s">
        <v>92</v>
      </c>
      <c r="C242" s="116">
        <v>217</v>
      </c>
      <c r="D242" s="120" t="s">
        <v>89</v>
      </c>
      <c r="E242" s="120" t="s">
        <v>953</v>
      </c>
      <c r="F242" s="117" t="s">
        <v>933</v>
      </c>
      <c r="G242" s="281">
        <v>2</v>
      </c>
      <c r="H242" s="260">
        <v>27778</v>
      </c>
      <c r="I242" s="260">
        <v>55556</v>
      </c>
      <c r="J242" s="260">
        <v>0</v>
      </c>
      <c r="K242" s="260">
        <v>55556</v>
      </c>
      <c r="L242" s="260">
        <v>4444</v>
      </c>
      <c r="M242" s="260">
        <v>60000</v>
      </c>
      <c r="N242" s="119">
        <v>9.3999999999999986E-3</v>
      </c>
      <c r="O242" s="462" t="s">
        <v>934</v>
      </c>
    </row>
    <row r="243" spans="1:15" ht="18" customHeight="1" x14ac:dyDescent="0.25">
      <c r="A243" s="116">
        <v>4</v>
      </c>
      <c r="B243" s="117" t="s">
        <v>92</v>
      </c>
      <c r="C243" s="116">
        <v>218</v>
      </c>
      <c r="D243" s="120" t="s">
        <v>89</v>
      </c>
      <c r="E243" s="120" t="s">
        <v>954</v>
      </c>
      <c r="F243" s="117" t="s">
        <v>933</v>
      </c>
      <c r="G243" s="281">
        <v>5</v>
      </c>
      <c r="H243" s="260">
        <v>18889</v>
      </c>
      <c r="I243" s="260">
        <v>94444</v>
      </c>
      <c r="J243" s="260">
        <v>0</v>
      </c>
      <c r="K243" s="260">
        <v>94444</v>
      </c>
      <c r="L243" s="260">
        <v>7556</v>
      </c>
      <c r="M243" s="260">
        <v>102000</v>
      </c>
      <c r="N243" s="119">
        <v>1.6E-2</v>
      </c>
      <c r="O243" s="462" t="s">
        <v>934</v>
      </c>
    </row>
    <row r="244" spans="1:15" ht="18" customHeight="1" x14ac:dyDescent="0.25">
      <c r="A244" s="116">
        <v>4</v>
      </c>
      <c r="B244" s="117" t="s">
        <v>92</v>
      </c>
      <c r="C244" s="116">
        <v>34</v>
      </c>
      <c r="D244" s="120" t="s">
        <v>91</v>
      </c>
      <c r="E244" s="120" t="s">
        <v>955</v>
      </c>
      <c r="F244" s="117" t="s">
        <v>933</v>
      </c>
      <c r="G244" s="281">
        <v>3</v>
      </c>
      <c r="H244" s="260">
        <v>6481</v>
      </c>
      <c r="I244" s="260">
        <v>19444</v>
      </c>
      <c r="J244" s="260">
        <v>0</v>
      </c>
      <c r="K244" s="260">
        <v>19444</v>
      </c>
      <c r="L244" s="260">
        <v>1556</v>
      </c>
      <c r="M244" s="260">
        <v>21000</v>
      </c>
      <c r="N244" s="119">
        <v>3.3E-3</v>
      </c>
      <c r="O244" s="462" t="s">
        <v>934</v>
      </c>
    </row>
    <row r="245" spans="1:15" ht="18" customHeight="1" x14ac:dyDescent="0.25">
      <c r="A245" s="116">
        <v>4</v>
      </c>
      <c r="B245" s="117" t="s">
        <v>92</v>
      </c>
      <c r="C245" s="116">
        <v>121</v>
      </c>
      <c r="D245" s="120" t="s">
        <v>91</v>
      </c>
      <c r="E245" s="120" t="s">
        <v>956</v>
      </c>
      <c r="F245" s="117" t="s">
        <v>933</v>
      </c>
      <c r="G245" s="281">
        <v>5</v>
      </c>
      <c r="H245" s="260">
        <v>2778</v>
      </c>
      <c r="I245" s="260">
        <v>13889</v>
      </c>
      <c r="J245" s="260">
        <v>0</v>
      </c>
      <c r="K245" s="260">
        <v>13889</v>
      </c>
      <c r="L245" s="260">
        <v>1111</v>
      </c>
      <c r="M245" s="260">
        <v>15000</v>
      </c>
      <c r="N245" s="119">
        <v>2.3E-3</v>
      </c>
      <c r="O245" s="462" t="s">
        <v>934</v>
      </c>
    </row>
    <row r="246" spans="1:15" ht="18" customHeight="1" x14ac:dyDescent="0.25">
      <c r="A246" s="116">
        <v>4</v>
      </c>
      <c r="B246" s="117" t="s">
        <v>92</v>
      </c>
      <c r="C246" s="116">
        <v>208</v>
      </c>
      <c r="D246" s="120" t="s">
        <v>91</v>
      </c>
      <c r="E246" s="120" t="s">
        <v>957</v>
      </c>
      <c r="F246" s="117" t="s">
        <v>933</v>
      </c>
      <c r="G246" s="281">
        <v>3</v>
      </c>
      <c r="H246" s="260">
        <v>3704</v>
      </c>
      <c r="I246" s="260">
        <v>11111</v>
      </c>
      <c r="J246" s="260">
        <v>0</v>
      </c>
      <c r="K246" s="260">
        <v>11111</v>
      </c>
      <c r="L246" s="260">
        <v>889</v>
      </c>
      <c r="M246" s="260">
        <v>12000</v>
      </c>
      <c r="N246" s="119">
        <v>1.9E-3</v>
      </c>
      <c r="O246" s="462" t="s">
        <v>934</v>
      </c>
    </row>
    <row r="247" spans="1:15" ht="18" customHeight="1" x14ac:dyDescent="0.25">
      <c r="A247" s="116">
        <v>4</v>
      </c>
      <c r="B247" s="117" t="s">
        <v>92</v>
      </c>
      <c r="C247" s="116">
        <v>90</v>
      </c>
      <c r="D247" s="120" t="s">
        <v>91</v>
      </c>
      <c r="E247" s="120" t="s">
        <v>487</v>
      </c>
      <c r="F247" s="117" t="s">
        <v>933</v>
      </c>
      <c r="G247" s="281">
        <v>2</v>
      </c>
      <c r="H247" s="260">
        <v>4259</v>
      </c>
      <c r="I247" s="260">
        <v>8519</v>
      </c>
      <c r="J247" s="260">
        <v>0</v>
      </c>
      <c r="K247" s="260">
        <v>8519</v>
      </c>
      <c r="L247" s="260">
        <v>681</v>
      </c>
      <c r="M247" s="260">
        <v>9200</v>
      </c>
      <c r="N247" s="119">
        <v>1.4E-3</v>
      </c>
      <c r="O247" s="462" t="s">
        <v>934</v>
      </c>
    </row>
    <row r="248" spans="1:15" ht="18" customHeight="1" x14ac:dyDescent="0.25">
      <c r="A248" s="116">
        <v>4</v>
      </c>
      <c r="B248" s="117" t="s">
        <v>92</v>
      </c>
      <c r="C248" s="116">
        <v>123</v>
      </c>
      <c r="D248" s="120" t="s">
        <v>91</v>
      </c>
      <c r="E248" s="120" t="s">
        <v>958</v>
      </c>
      <c r="F248" s="117" t="s">
        <v>933</v>
      </c>
      <c r="G248" s="281">
        <v>1</v>
      </c>
      <c r="H248" s="260">
        <v>2778</v>
      </c>
      <c r="I248" s="260">
        <v>2778</v>
      </c>
      <c r="J248" s="260">
        <v>0</v>
      </c>
      <c r="K248" s="260">
        <v>2778</v>
      </c>
      <c r="L248" s="260">
        <v>222</v>
      </c>
      <c r="M248" s="260">
        <v>3000</v>
      </c>
      <c r="N248" s="119">
        <v>5.0000000000000001E-4</v>
      </c>
      <c r="O248" s="462" t="s">
        <v>934</v>
      </c>
    </row>
    <row r="249" spans="1:15" ht="18" customHeight="1" x14ac:dyDescent="0.25">
      <c r="A249" s="116">
        <v>4</v>
      </c>
      <c r="B249" s="117" t="s">
        <v>92</v>
      </c>
      <c r="C249" s="116">
        <v>314</v>
      </c>
      <c r="D249" s="120" t="s">
        <v>87</v>
      </c>
      <c r="E249" s="120" t="s">
        <v>999</v>
      </c>
      <c r="F249" s="117" t="s">
        <v>933</v>
      </c>
      <c r="G249" s="281">
        <v>3</v>
      </c>
      <c r="H249" s="260">
        <v>4167</v>
      </c>
      <c r="I249" s="260">
        <v>12500</v>
      </c>
      <c r="J249" s="260">
        <v>0</v>
      </c>
      <c r="K249" s="260">
        <v>12500</v>
      </c>
      <c r="L249" s="260">
        <v>1000</v>
      </c>
      <c r="M249" s="260">
        <v>13500</v>
      </c>
      <c r="N249" s="119">
        <v>2.0999999999999999E-3</v>
      </c>
      <c r="O249" s="462" t="s">
        <v>934</v>
      </c>
    </row>
    <row r="250" spans="1:15" ht="18" customHeight="1" x14ac:dyDescent="0.25">
      <c r="A250" s="116">
        <v>4</v>
      </c>
      <c r="B250" s="117" t="s">
        <v>92</v>
      </c>
      <c r="C250" s="116">
        <v>31</v>
      </c>
      <c r="D250" s="120" t="s">
        <v>95</v>
      </c>
      <c r="E250" s="120" t="s">
        <v>959</v>
      </c>
      <c r="F250" s="117" t="s">
        <v>933</v>
      </c>
      <c r="G250" s="281">
        <v>11</v>
      </c>
      <c r="H250" s="260">
        <v>1164</v>
      </c>
      <c r="I250" s="260">
        <v>13241</v>
      </c>
      <c r="J250" s="260">
        <v>434</v>
      </c>
      <c r="K250" s="260">
        <v>12807</v>
      </c>
      <c r="L250" s="260">
        <v>1025</v>
      </c>
      <c r="M250" s="260">
        <v>13832</v>
      </c>
      <c r="N250" s="119">
        <v>2.2000000000000001E-3</v>
      </c>
      <c r="O250" s="462" t="s">
        <v>934</v>
      </c>
    </row>
    <row r="251" spans="1:15" ht="18" customHeight="1" x14ac:dyDescent="0.25">
      <c r="A251" s="116">
        <v>4</v>
      </c>
      <c r="B251" s="117" t="s">
        <v>92</v>
      </c>
      <c r="C251" s="116">
        <v>212</v>
      </c>
      <c r="D251" s="120" t="s">
        <v>91</v>
      </c>
      <c r="E251" s="120" t="s">
        <v>165</v>
      </c>
      <c r="F251" s="117" t="s">
        <v>933</v>
      </c>
      <c r="G251" s="281">
        <v>3</v>
      </c>
      <c r="H251" s="260">
        <v>22222</v>
      </c>
      <c r="I251" s="260">
        <v>66667</v>
      </c>
      <c r="J251" s="260">
        <v>0</v>
      </c>
      <c r="K251" s="260">
        <v>66667</v>
      </c>
      <c r="L251" s="260">
        <v>5333</v>
      </c>
      <c r="M251" s="260">
        <v>72000</v>
      </c>
      <c r="N251" s="119">
        <v>1.1299999999999999E-2</v>
      </c>
      <c r="O251" s="462" t="s">
        <v>934</v>
      </c>
    </row>
    <row r="252" spans="1:15" ht="18" customHeight="1" x14ac:dyDescent="0.25">
      <c r="A252" s="116">
        <v>4</v>
      </c>
      <c r="B252" s="117" t="s">
        <v>92</v>
      </c>
      <c r="C252" s="116">
        <v>74</v>
      </c>
      <c r="D252" s="120" t="s">
        <v>91</v>
      </c>
      <c r="E252" s="120" t="s">
        <v>1000</v>
      </c>
      <c r="F252" s="117" t="s">
        <v>933</v>
      </c>
      <c r="G252" s="281">
        <v>1</v>
      </c>
      <c r="H252" s="260">
        <v>6481</v>
      </c>
      <c r="I252" s="260">
        <v>6481</v>
      </c>
      <c r="J252" s="260">
        <v>0</v>
      </c>
      <c r="K252" s="260">
        <v>6481</v>
      </c>
      <c r="L252" s="260">
        <v>519</v>
      </c>
      <c r="M252" s="260">
        <v>7000</v>
      </c>
      <c r="N252" s="119">
        <v>1.1000000000000001E-3</v>
      </c>
      <c r="O252" s="462" t="s">
        <v>934</v>
      </c>
    </row>
    <row r="253" spans="1:15" ht="18" customHeight="1" x14ac:dyDescent="0.25">
      <c r="A253" s="116">
        <v>4</v>
      </c>
      <c r="B253" s="117" t="s">
        <v>92</v>
      </c>
      <c r="C253" s="116">
        <v>306</v>
      </c>
      <c r="D253" s="120" t="s">
        <v>91</v>
      </c>
      <c r="E253" s="120" t="s">
        <v>1025</v>
      </c>
      <c r="F253" s="117" t="s">
        <v>933</v>
      </c>
      <c r="G253" s="281">
        <v>1</v>
      </c>
      <c r="H253" s="260">
        <v>2315</v>
      </c>
      <c r="I253" s="260">
        <v>2315</v>
      </c>
      <c r="J253" s="260">
        <v>0</v>
      </c>
      <c r="K253" s="260">
        <v>2315</v>
      </c>
      <c r="L253" s="260">
        <v>185</v>
      </c>
      <c r="M253" s="260">
        <v>2500</v>
      </c>
      <c r="N253" s="119">
        <v>4.0000000000000002E-4</v>
      </c>
      <c r="O253" s="462" t="s">
        <v>934</v>
      </c>
    </row>
    <row r="254" spans="1:15" ht="18" customHeight="1" x14ac:dyDescent="0.25">
      <c r="A254" s="116">
        <v>4</v>
      </c>
      <c r="B254" s="117" t="s">
        <v>92</v>
      </c>
      <c r="C254" s="116">
        <v>235</v>
      </c>
      <c r="D254" s="120" t="s">
        <v>91</v>
      </c>
      <c r="E254" s="120" t="s">
        <v>1001</v>
      </c>
      <c r="F254" s="117" t="s">
        <v>933</v>
      </c>
      <c r="G254" s="281">
        <v>2</v>
      </c>
      <c r="H254" s="260">
        <v>3426</v>
      </c>
      <c r="I254" s="260">
        <v>6852</v>
      </c>
      <c r="J254" s="260">
        <v>0</v>
      </c>
      <c r="K254" s="260">
        <v>6852</v>
      </c>
      <c r="L254" s="260">
        <v>548</v>
      </c>
      <c r="M254" s="260">
        <v>7400</v>
      </c>
      <c r="N254" s="119">
        <v>1.1999999999999999E-3</v>
      </c>
      <c r="O254" s="462" t="s">
        <v>934</v>
      </c>
    </row>
    <row r="255" spans="1:15" ht="18" customHeight="1" x14ac:dyDescent="0.25">
      <c r="A255" s="116">
        <v>4</v>
      </c>
      <c r="B255" s="117" t="s">
        <v>92</v>
      </c>
      <c r="C255" s="116">
        <v>134</v>
      </c>
      <c r="D255" s="120" t="s">
        <v>91</v>
      </c>
      <c r="E255" s="120" t="s">
        <v>1017</v>
      </c>
      <c r="F255" s="117" t="s">
        <v>933</v>
      </c>
      <c r="G255" s="281">
        <v>2</v>
      </c>
      <c r="H255" s="260">
        <v>12963</v>
      </c>
      <c r="I255" s="260">
        <v>25926</v>
      </c>
      <c r="J255" s="260">
        <v>0</v>
      </c>
      <c r="K255" s="260">
        <v>25926</v>
      </c>
      <c r="L255" s="260">
        <v>2074</v>
      </c>
      <c r="M255" s="260">
        <v>28000</v>
      </c>
      <c r="N255" s="119">
        <v>4.4000000000000003E-3</v>
      </c>
      <c r="O255" s="462" t="s">
        <v>934</v>
      </c>
    </row>
    <row r="256" spans="1:15" ht="18" customHeight="1" x14ac:dyDescent="0.25">
      <c r="A256" s="116">
        <v>4</v>
      </c>
      <c r="B256" s="117" t="s">
        <v>92</v>
      </c>
      <c r="C256" s="116">
        <v>118</v>
      </c>
      <c r="D256" s="120" t="s">
        <v>87</v>
      </c>
      <c r="E256" s="120" t="s">
        <v>126</v>
      </c>
      <c r="F256" s="117" t="s">
        <v>933</v>
      </c>
      <c r="G256" s="281">
        <v>4</v>
      </c>
      <c r="H256" s="260">
        <v>41667</v>
      </c>
      <c r="I256" s="260">
        <v>166667</v>
      </c>
      <c r="J256" s="260">
        <v>0</v>
      </c>
      <c r="K256" s="260">
        <v>166667</v>
      </c>
      <c r="L256" s="260">
        <v>13333</v>
      </c>
      <c r="M256" s="260">
        <v>180000</v>
      </c>
      <c r="N256" s="119">
        <v>2.8199999999999999E-2</v>
      </c>
      <c r="O256" s="462" t="s">
        <v>934</v>
      </c>
    </row>
    <row r="257" spans="1:15" ht="18" customHeight="1" x14ac:dyDescent="0.25">
      <c r="A257" s="116">
        <v>4</v>
      </c>
      <c r="B257" s="117" t="s">
        <v>92</v>
      </c>
      <c r="C257" s="116">
        <v>204</v>
      </c>
      <c r="D257" s="120" t="s">
        <v>91</v>
      </c>
      <c r="E257" s="120" t="s">
        <v>962</v>
      </c>
      <c r="F257" s="117" t="s">
        <v>933</v>
      </c>
      <c r="G257" s="281">
        <v>2</v>
      </c>
      <c r="H257" s="260">
        <v>12037</v>
      </c>
      <c r="I257" s="260">
        <v>24074</v>
      </c>
      <c r="J257" s="260">
        <v>0</v>
      </c>
      <c r="K257" s="260">
        <v>24074</v>
      </c>
      <c r="L257" s="260">
        <v>1926</v>
      </c>
      <c r="M257" s="260">
        <v>26000</v>
      </c>
      <c r="N257" s="119">
        <v>4.0999999999999986E-3</v>
      </c>
      <c r="O257" s="462" t="s">
        <v>934</v>
      </c>
    </row>
    <row r="258" spans="1:15" ht="18" customHeight="1" x14ac:dyDescent="0.25">
      <c r="A258" s="116">
        <v>4</v>
      </c>
      <c r="B258" s="117" t="s">
        <v>92</v>
      </c>
      <c r="C258" s="116">
        <v>109</v>
      </c>
      <c r="D258" s="120" t="s">
        <v>91</v>
      </c>
      <c r="E258" s="120" t="s">
        <v>147</v>
      </c>
      <c r="F258" s="117" t="s">
        <v>933</v>
      </c>
      <c r="G258" s="281">
        <v>5</v>
      </c>
      <c r="H258" s="260">
        <v>12963</v>
      </c>
      <c r="I258" s="260">
        <v>64815</v>
      </c>
      <c r="J258" s="260">
        <v>0</v>
      </c>
      <c r="K258" s="260">
        <v>64815</v>
      </c>
      <c r="L258" s="260">
        <v>5185</v>
      </c>
      <c r="M258" s="260">
        <v>70000</v>
      </c>
      <c r="N258" s="119">
        <v>1.0999999999999999E-2</v>
      </c>
      <c r="O258" s="462" t="s">
        <v>934</v>
      </c>
    </row>
    <row r="259" spans="1:15" ht="18" customHeight="1" x14ac:dyDescent="0.25">
      <c r="A259" s="116">
        <v>4</v>
      </c>
      <c r="B259" s="117" t="s">
        <v>92</v>
      </c>
      <c r="C259" s="116">
        <v>147</v>
      </c>
      <c r="D259" s="120" t="s">
        <v>91</v>
      </c>
      <c r="E259" s="120" t="s">
        <v>963</v>
      </c>
      <c r="F259" s="117" t="s">
        <v>933</v>
      </c>
      <c r="G259" s="281">
        <v>2</v>
      </c>
      <c r="H259" s="260">
        <v>6481</v>
      </c>
      <c r="I259" s="260">
        <v>12963</v>
      </c>
      <c r="J259" s="260">
        <v>0</v>
      </c>
      <c r="K259" s="260">
        <v>12963</v>
      </c>
      <c r="L259" s="260">
        <v>1037</v>
      </c>
      <c r="M259" s="260">
        <v>14000</v>
      </c>
      <c r="N259" s="119">
        <v>2.2000000000000001E-3</v>
      </c>
      <c r="O259" s="462" t="s">
        <v>934</v>
      </c>
    </row>
    <row r="260" spans="1:15" ht="18" customHeight="1" x14ac:dyDescent="0.25">
      <c r="A260" s="116">
        <v>4</v>
      </c>
      <c r="B260" s="117" t="s">
        <v>92</v>
      </c>
      <c r="C260" s="116">
        <v>72</v>
      </c>
      <c r="D260" s="120" t="s">
        <v>97</v>
      </c>
      <c r="E260" s="120" t="s">
        <v>965</v>
      </c>
      <c r="F260" s="117" t="s">
        <v>933</v>
      </c>
      <c r="G260" s="281">
        <v>3</v>
      </c>
      <c r="H260" s="260">
        <v>3704</v>
      </c>
      <c r="I260" s="260">
        <v>11111</v>
      </c>
      <c r="J260" s="260">
        <v>0</v>
      </c>
      <c r="K260" s="260">
        <v>11111</v>
      </c>
      <c r="L260" s="260">
        <v>889</v>
      </c>
      <c r="M260" s="260">
        <v>12000</v>
      </c>
      <c r="N260" s="119">
        <v>1.9E-3</v>
      </c>
      <c r="O260" s="462" t="s">
        <v>934</v>
      </c>
    </row>
    <row r="261" spans="1:15" ht="18" customHeight="1" x14ac:dyDescent="0.25">
      <c r="A261" s="116">
        <v>4</v>
      </c>
      <c r="B261" s="117" t="s">
        <v>92</v>
      </c>
      <c r="C261" s="116">
        <v>227</v>
      </c>
      <c r="D261" s="120" t="s">
        <v>87</v>
      </c>
      <c r="E261" s="120" t="s">
        <v>1018</v>
      </c>
      <c r="F261" s="117" t="s">
        <v>933</v>
      </c>
      <c r="G261" s="281">
        <v>1</v>
      </c>
      <c r="H261" s="260">
        <v>1389</v>
      </c>
      <c r="I261" s="260">
        <v>1389</v>
      </c>
      <c r="J261" s="260">
        <v>0</v>
      </c>
      <c r="K261" s="260">
        <v>1389</v>
      </c>
      <c r="L261" s="260">
        <v>111</v>
      </c>
      <c r="M261" s="260">
        <v>1500</v>
      </c>
      <c r="N261" s="119">
        <v>2.0000000000000001E-4</v>
      </c>
      <c r="O261" s="462" t="s">
        <v>934</v>
      </c>
    </row>
    <row r="262" spans="1:15" ht="18" customHeight="1" x14ac:dyDescent="0.25">
      <c r="A262" s="116">
        <v>4</v>
      </c>
      <c r="B262" s="117" t="s">
        <v>92</v>
      </c>
      <c r="C262" s="116">
        <v>93</v>
      </c>
      <c r="D262" s="120" t="s">
        <v>89</v>
      </c>
      <c r="E262" s="120" t="s">
        <v>123</v>
      </c>
      <c r="F262" s="117" t="s">
        <v>933</v>
      </c>
      <c r="G262" s="281">
        <v>2</v>
      </c>
      <c r="H262" s="260">
        <v>20370</v>
      </c>
      <c r="I262" s="260">
        <v>40741</v>
      </c>
      <c r="J262" s="260">
        <v>0</v>
      </c>
      <c r="K262" s="260">
        <v>40741</v>
      </c>
      <c r="L262" s="260">
        <v>3259</v>
      </c>
      <c r="M262" s="260">
        <v>44000</v>
      </c>
      <c r="N262" s="119">
        <v>6.8999999999999999E-3</v>
      </c>
      <c r="O262" s="462" t="s">
        <v>934</v>
      </c>
    </row>
    <row r="263" spans="1:15" ht="18" customHeight="1" x14ac:dyDescent="0.25">
      <c r="A263" s="116">
        <v>4</v>
      </c>
      <c r="B263" s="117" t="s">
        <v>92</v>
      </c>
      <c r="C263" s="116">
        <v>119</v>
      </c>
      <c r="D263" s="120" t="s">
        <v>89</v>
      </c>
      <c r="E263" s="120" t="s">
        <v>114</v>
      </c>
      <c r="F263" s="117" t="s">
        <v>933</v>
      </c>
      <c r="G263" s="281">
        <v>8</v>
      </c>
      <c r="H263" s="260">
        <v>44444</v>
      </c>
      <c r="I263" s="260">
        <v>355556</v>
      </c>
      <c r="J263" s="260">
        <v>0</v>
      </c>
      <c r="K263" s="260">
        <v>355556</v>
      </c>
      <c r="L263" s="260">
        <v>28444</v>
      </c>
      <c r="M263" s="260">
        <v>384000</v>
      </c>
      <c r="N263" s="119">
        <v>6.0100000000000001E-2</v>
      </c>
      <c r="O263" s="462" t="s">
        <v>934</v>
      </c>
    </row>
    <row r="264" spans="1:15" ht="18" customHeight="1" x14ac:dyDescent="0.25">
      <c r="A264" s="116">
        <v>4</v>
      </c>
      <c r="B264" s="117" t="s">
        <v>92</v>
      </c>
      <c r="C264" s="116">
        <v>20</v>
      </c>
      <c r="D264" s="120" t="s">
        <v>87</v>
      </c>
      <c r="E264" s="120" t="s">
        <v>1019</v>
      </c>
      <c r="F264" s="117" t="s">
        <v>933</v>
      </c>
      <c r="G264" s="281">
        <v>1</v>
      </c>
      <c r="H264" s="260">
        <v>6481</v>
      </c>
      <c r="I264" s="260">
        <v>6481</v>
      </c>
      <c r="J264" s="260">
        <v>0</v>
      </c>
      <c r="K264" s="260">
        <v>6481</v>
      </c>
      <c r="L264" s="260">
        <v>519</v>
      </c>
      <c r="M264" s="260">
        <v>7000</v>
      </c>
      <c r="N264" s="119">
        <v>1.1000000000000001E-3</v>
      </c>
      <c r="O264" s="462" t="s">
        <v>934</v>
      </c>
    </row>
    <row r="265" spans="1:15" ht="18" customHeight="1" x14ac:dyDescent="0.25">
      <c r="A265" s="116">
        <v>4</v>
      </c>
      <c r="B265" s="117" t="s">
        <v>92</v>
      </c>
      <c r="C265" s="116">
        <v>22</v>
      </c>
      <c r="D265" s="120" t="s">
        <v>93</v>
      </c>
      <c r="E265" s="120" t="s">
        <v>1026</v>
      </c>
      <c r="F265" s="117" t="s">
        <v>933</v>
      </c>
      <c r="G265" s="281">
        <v>11</v>
      </c>
      <c r="H265" s="260">
        <v>18855</v>
      </c>
      <c r="I265" s="260">
        <v>207407</v>
      </c>
      <c r="J265" s="260">
        <v>0</v>
      </c>
      <c r="K265" s="260">
        <v>207407</v>
      </c>
      <c r="L265" s="260">
        <v>16593</v>
      </c>
      <c r="M265" s="260">
        <v>224000</v>
      </c>
      <c r="N265" s="119">
        <v>3.5099999999999999E-2</v>
      </c>
      <c r="O265" s="462" t="s">
        <v>934</v>
      </c>
    </row>
    <row r="266" spans="1:15" ht="18" customHeight="1" x14ac:dyDescent="0.25">
      <c r="A266" s="116">
        <v>4</v>
      </c>
      <c r="B266" s="117" t="s">
        <v>92</v>
      </c>
      <c r="C266" s="116">
        <v>239</v>
      </c>
      <c r="D266" s="120" t="s">
        <v>87</v>
      </c>
      <c r="E266" s="120" t="s">
        <v>1027</v>
      </c>
      <c r="F266" s="117" t="s">
        <v>933</v>
      </c>
      <c r="G266" s="281">
        <v>17</v>
      </c>
      <c r="H266" s="260">
        <v>18627</v>
      </c>
      <c r="I266" s="260">
        <v>316667</v>
      </c>
      <c r="J266" s="260">
        <v>0</v>
      </c>
      <c r="K266" s="260">
        <v>316667</v>
      </c>
      <c r="L266" s="260">
        <v>25333</v>
      </c>
      <c r="M266" s="260">
        <v>342000</v>
      </c>
      <c r="N266" s="119">
        <v>5.3600000000000002E-2</v>
      </c>
      <c r="O266" s="462" t="s">
        <v>934</v>
      </c>
    </row>
    <row r="267" spans="1:15" ht="18" customHeight="1" x14ac:dyDescent="0.25">
      <c r="A267" s="116">
        <v>4</v>
      </c>
      <c r="B267" s="117" t="s">
        <v>92</v>
      </c>
      <c r="C267" s="116">
        <v>145</v>
      </c>
      <c r="D267" s="120" t="s">
        <v>87</v>
      </c>
      <c r="E267" s="120" t="s">
        <v>1028</v>
      </c>
      <c r="F267" s="117" t="s">
        <v>933</v>
      </c>
      <c r="G267" s="281">
        <v>8</v>
      </c>
      <c r="H267" s="260">
        <v>18866</v>
      </c>
      <c r="I267" s="260">
        <v>150926</v>
      </c>
      <c r="J267" s="260">
        <v>0</v>
      </c>
      <c r="K267" s="260">
        <v>150926</v>
      </c>
      <c r="L267" s="260">
        <v>12074</v>
      </c>
      <c r="M267" s="260">
        <v>163000</v>
      </c>
      <c r="N267" s="119">
        <v>2.5499999999999998E-2</v>
      </c>
      <c r="O267" s="462" t="s">
        <v>934</v>
      </c>
    </row>
    <row r="268" spans="1:15" ht="18" customHeight="1" x14ac:dyDescent="0.25">
      <c r="A268" s="116">
        <v>4</v>
      </c>
      <c r="B268" s="117" t="s">
        <v>92</v>
      </c>
      <c r="C268" s="116">
        <v>77</v>
      </c>
      <c r="D268" s="120" t="s">
        <v>87</v>
      </c>
      <c r="E268" s="120" t="s">
        <v>969</v>
      </c>
      <c r="F268" s="117" t="s">
        <v>933</v>
      </c>
      <c r="G268" s="281">
        <v>1</v>
      </c>
      <c r="H268" s="260">
        <v>2778</v>
      </c>
      <c r="I268" s="260">
        <v>2778</v>
      </c>
      <c r="J268" s="260">
        <v>0</v>
      </c>
      <c r="K268" s="260">
        <v>2778</v>
      </c>
      <c r="L268" s="260">
        <v>222</v>
      </c>
      <c r="M268" s="260">
        <v>3000</v>
      </c>
      <c r="N268" s="119">
        <v>5.0000000000000001E-4</v>
      </c>
      <c r="O268" s="462" t="s">
        <v>934</v>
      </c>
    </row>
    <row r="269" spans="1:15" ht="18" customHeight="1" x14ac:dyDescent="0.25">
      <c r="A269" s="116">
        <v>4</v>
      </c>
      <c r="B269" s="117" t="s">
        <v>92</v>
      </c>
      <c r="C269" s="116">
        <v>240</v>
      </c>
      <c r="D269" s="120" t="s">
        <v>87</v>
      </c>
      <c r="E269" s="120" t="s">
        <v>1029</v>
      </c>
      <c r="F269" s="117" t="s">
        <v>933</v>
      </c>
      <c r="G269" s="281">
        <v>2</v>
      </c>
      <c r="H269" s="260">
        <v>6481</v>
      </c>
      <c r="I269" s="260">
        <v>12963</v>
      </c>
      <c r="J269" s="260">
        <v>0</v>
      </c>
      <c r="K269" s="260">
        <v>12963</v>
      </c>
      <c r="L269" s="260">
        <v>1037</v>
      </c>
      <c r="M269" s="260">
        <v>14000</v>
      </c>
      <c r="N269" s="119">
        <v>2.2000000000000001E-3</v>
      </c>
      <c r="O269" s="462" t="s">
        <v>934</v>
      </c>
    </row>
    <row r="270" spans="1:15" ht="18" customHeight="1" x14ac:dyDescent="0.25">
      <c r="A270" s="116">
        <v>4</v>
      </c>
      <c r="B270" s="117" t="s">
        <v>92</v>
      </c>
      <c r="C270" s="116">
        <v>156</v>
      </c>
      <c r="D270" s="120" t="s">
        <v>93</v>
      </c>
      <c r="E270" s="120" t="s">
        <v>1030</v>
      </c>
      <c r="F270" s="117" t="s">
        <v>933</v>
      </c>
      <c r="G270" s="281">
        <v>5</v>
      </c>
      <c r="H270" s="260">
        <v>6481</v>
      </c>
      <c r="I270" s="260">
        <v>32407</v>
      </c>
      <c r="J270" s="260">
        <v>0</v>
      </c>
      <c r="K270" s="260">
        <v>32407</v>
      </c>
      <c r="L270" s="260">
        <v>2593</v>
      </c>
      <c r="M270" s="260">
        <v>35000</v>
      </c>
      <c r="N270" s="119">
        <v>5.5000000000000014E-3</v>
      </c>
      <c r="O270" s="462" t="s">
        <v>934</v>
      </c>
    </row>
    <row r="271" spans="1:15" ht="18" customHeight="1" x14ac:dyDescent="0.25">
      <c r="A271" s="116">
        <v>4</v>
      </c>
      <c r="B271" s="117" t="s">
        <v>92</v>
      </c>
      <c r="C271" s="116">
        <v>86</v>
      </c>
      <c r="D271" s="120" t="s">
        <v>95</v>
      </c>
      <c r="E271" s="120" t="s">
        <v>972</v>
      </c>
      <c r="F271" s="117" t="s">
        <v>933</v>
      </c>
      <c r="G271" s="281">
        <v>23</v>
      </c>
      <c r="H271" s="260">
        <v>3215</v>
      </c>
      <c r="I271" s="260">
        <v>74537</v>
      </c>
      <c r="J271" s="260">
        <v>584</v>
      </c>
      <c r="K271" s="260">
        <v>73953</v>
      </c>
      <c r="L271" s="260">
        <v>5916</v>
      </c>
      <c r="M271" s="260">
        <v>79869</v>
      </c>
      <c r="N271" s="119">
        <v>1.2500000000000001E-2</v>
      </c>
      <c r="O271" s="462" t="s">
        <v>934</v>
      </c>
    </row>
    <row r="272" spans="1:15" ht="18" customHeight="1" x14ac:dyDescent="0.25">
      <c r="A272" s="116">
        <v>4</v>
      </c>
      <c r="B272" s="117" t="s">
        <v>92</v>
      </c>
      <c r="C272" s="116">
        <v>63</v>
      </c>
      <c r="D272" s="120" t="s">
        <v>95</v>
      </c>
      <c r="E272" s="120" t="s">
        <v>1031</v>
      </c>
      <c r="F272" s="117" t="s">
        <v>933</v>
      </c>
      <c r="G272" s="281">
        <v>2</v>
      </c>
      <c r="H272" s="260">
        <v>3704</v>
      </c>
      <c r="I272" s="260">
        <v>7407</v>
      </c>
      <c r="J272" s="260">
        <v>0</v>
      </c>
      <c r="K272" s="260">
        <v>7407</v>
      </c>
      <c r="L272" s="260">
        <v>593</v>
      </c>
      <c r="M272" s="260">
        <v>8000</v>
      </c>
      <c r="N272" s="119">
        <v>1.2999999999999999E-3</v>
      </c>
      <c r="O272" s="462" t="s">
        <v>934</v>
      </c>
    </row>
    <row r="273" spans="1:15" ht="18" customHeight="1" x14ac:dyDescent="0.25">
      <c r="A273" s="116">
        <v>4</v>
      </c>
      <c r="B273" s="117" t="s">
        <v>92</v>
      </c>
      <c r="C273" s="116">
        <v>79</v>
      </c>
      <c r="D273" s="120" t="s">
        <v>95</v>
      </c>
      <c r="E273" s="120" t="s">
        <v>975</v>
      </c>
      <c r="F273" s="117" t="s">
        <v>933</v>
      </c>
      <c r="G273" s="281">
        <v>5</v>
      </c>
      <c r="H273" s="260">
        <v>6481</v>
      </c>
      <c r="I273" s="260">
        <v>32407</v>
      </c>
      <c r="J273" s="260">
        <v>0</v>
      </c>
      <c r="K273" s="260">
        <v>32407</v>
      </c>
      <c r="L273" s="260">
        <v>2593</v>
      </c>
      <c r="M273" s="260">
        <v>35000</v>
      </c>
      <c r="N273" s="119">
        <v>5.5000000000000014E-3</v>
      </c>
      <c r="O273" s="462" t="s">
        <v>934</v>
      </c>
    </row>
    <row r="274" spans="1:15" ht="18" customHeight="1" x14ac:dyDescent="0.25">
      <c r="A274" s="116">
        <v>4</v>
      </c>
      <c r="B274" s="117" t="s">
        <v>92</v>
      </c>
      <c r="C274" s="116">
        <v>62</v>
      </c>
      <c r="D274" s="120" t="s">
        <v>95</v>
      </c>
      <c r="E274" s="120" t="s">
        <v>976</v>
      </c>
      <c r="F274" s="117" t="s">
        <v>933</v>
      </c>
      <c r="G274" s="281">
        <v>7</v>
      </c>
      <c r="H274" s="260">
        <v>6944</v>
      </c>
      <c r="I274" s="260">
        <v>48611</v>
      </c>
      <c r="J274" s="260">
        <v>0</v>
      </c>
      <c r="K274" s="260">
        <v>48611</v>
      </c>
      <c r="L274" s="260">
        <v>3889</v>
      </c>
      <c r="M274" s="260">
        <v>52500</v>
      </c>
      <c r="N274" s="119">
        <v>8.199999999999999E-3</v>
      </c>
      <c r="O274" s="462" t="s">
        <v>934</v>
      </c>
    </row>
    <row r="275" spans="1:15" ht="18" customHeight="1" x14ac:dyDescent="0.25">
      <c r="A275" s="116">
        <v>4</v>
      </c>
      <c r="B275" s="117" t="s">
        <v>92</v>
      </c>
      <c r="C275" s="116">
        <v>78</v>
      </c>
      <c r="D275" s="120" t="s">
        <v>95</v>
      </c>
      <c r="E275" s="120" t="s">
        <v>977</v>
      </c>
      <c r="F275" s="117" t="s">
        <v>933</v>
      </c>
      <c r="G275" s="281">
        <v>18</v>
      </c>
      <c r="H275" s="260">
        <v>6481</v>
      </c>
      <c r="I275" s="260">
        <v>116667</v>
      </c>
      <c r="J275" s="260">
        <v>0</v>
      </c>
      <c r="K275" s="260">
        <v>116667</v>
      </c>
      <c r="L275" s="260">
        <v>9333</v>
      </c>
      <c r="M275" s="260">
        <v>126000</v>
      </c>
      <c r="N275" s="119">
        <v>1.9699999999999999E-2</v>
      </c>
      <c r="O275" s="462" t="s">
        <v>934</v>
      </c>
    </row>
    <row r="276" spans="1:15" ht="18" customHeight="1" x14ac:dyDescent="0.25">
      <c r="A276" s="116">
        <v>4</v>
      </c>
      <c r="B276" s="117" t="s">
        <v>92</v>
      </c>
      <c r="C276" s="116">
        <v>137</v>
      </c>
      <c r="D276" s="120" t="s">
        <v>95</v>
      </c>
      <c r="E276" s="120" t="s">
        <v>1006</v>
      </c>
      <c r="F276" s="117" t="s">
        <v>933</v>
      </c>
      <c r="G276" s="281">
        <v>7</v>
      </c>
      <c r="H276" s="260">
        <v>6481</v>
      </c>
      <c r="I276" s="260">
        <v>45370</v>
      </c>
      <c r="J276" s="260">
        <v>0</v>
      </c>
      <c r="K276" s="260">
        <v>45370</v>
      </c>
      <c r="L276" s="260">
        <v>3630</v>
      </c>
      <c r="M276" s="260">
        <v>49000</v>
      </c>
      <c r="N276" s="119">
        <v>7.7000000000000002E-3</v>
      </c>
      <c r="O276" s="462" t="s">
        <v>934</v>
      </c>
    </row>
    <row r="277" spans="1:15" ht="18" customHeight="1" x14ac:dyDescent="0.25">
      <c r="A277" s="116">
        <v>4</v>
      </c>
      <c r="B277" s="117" t="s">
        <v>92</v>
      </c>
      <c r="C277" s="116">
        <v>226</v>
      </c>
      <c r="D277" s="120" t="s">
        <v>87</v>
      </c>
      <c r="E277" s="120" t="s">
        <v>1032</v>
      </c>
      <c r="F277" s="117" t="s">
        <v>933</v>
      </c>
      <c r="G277" s="281">
        <v>1</v>
      </c>
      <c r="H277" s="260">
        <v>90741</v>
      </c>
      <c r="I277" s="260">
        <v>90741</v>
      </c>
      <c r="J277" s="260">
        <v>0</v>
      </c>
      <c r="K277" s="260">
        <v>90741</v>
      </c>
      <c r="L277" s="260">
        <v>7259</v>
      </c>
      <c r="M277" s="260">
        <v>98000</v>
      </c>
      <c r="N277" s="119">
        <v>1.5299999999999999E-2</v>
      </c>
      <c r="O277" s="462" t="s">
        <v>934</v>
      </c>
    </row>
    <row r="278" spans="1:15" ht="18" customHeight="1" x14ac:dyDescent="0.25">
      <c r="A278" s="116">
        <v>4</v>
      </c>
      <c r="B278" s="117" t="s">
        <v>92</v>
      </c>
      <c r="C278" s="116">
        <v>222</v>
      </c>
      <c r="D278" s="120" t="s">
        <v>93</v>
      </c>
      <c r="E278" s="120" t="s">
        <v>981</v>
      </c>
      <c r="F278" s="117" t="s">
        <v>933</v>
      </c>
      <c r="G278" s="281">
        <v>1</v>
      </c>
      <c r="H278" s="260">
        <v>63426</v>
      </c>
      <c r="I278" s="260">
        <v>63426</v>
      </c>
      <c r="J278" s="260">
        <v>0</v>
      </c>
      <c r="K278" s="260">
        <v>63426</v>
      </c>
      <c r="L278" s="260">
        <v>5074</v>
      </c>
      <c r="M278" s="260">
        <v>68500</v>
      </c>
      <c r="N278" s="119">
        <v>1.0699999999999999E-2</v>
      </c>
      <c r="O278" s="462" t="s">
        <v>934</v>
      </c>
    </row>
    <row r="279" spans="1:15" ht="18" customHeight="1" x14ac:dyDescent="0.25">
      <c r="A279" s="116">
        <v>4</v>
      </c>
      <c r="B279" s="117" t="s">
        <v>92</v>
      </c>
      <c r="C279" s="116">
        <v>223</v>
      </c>
      <c r="D279" s="120" t="s">
        <v>87</v>
      </c>
      <c r="E279" s="120" t="s">
        <v>141</v>
      </c>
      <c r="F279" s="117" t="s">
        <v>933</v>
      </c>
      <c r="G279" s="281">
        <v>6</v>
      </c>
      <c r="H279" s="260">
        <v>69444</v>
      </c>
      <c r="I279" s="260">
        <v>416667</v>
      </c>
      <c r="J279" s="260">
        <v>0</v>
      </c>
      <c r="K279" s="260">
        <v>416667</v>
      </c>
      <c r="L279" s="260">
        <v>33333</v>
      </c>
      <c r="M279" s="260">
        <v>450000</v>
      </c>
      <c r="N279" s="119">
        <v>7.0499999999999993E-2</v>
      </c>
      <c r="O279" s="462" t="s">
        <v>934</v>
      </c>
    </row>
    <row r="280" spans="1:15" ht="18" customHeight="1" x14ac:dyDescent="0.25">
      <c r="A280" s="116">
        <v>4</v>
      </c>
      <c r="B280" s="117" t="s">
        <v>92</v>
      </c>
      <c r="C280" s="116">
        <v>50</v>
      </c>
      <c r="D280" s="120" t="s">
        <v>87</v>
      </c>
      <c r="E280" s="120" t="s">
        <v>159</v>
      </c>
      <c r="F280" s="117" t="s">
        <v>933</v>
      </c>
      <c r="G280" s="281">
        <v>1</v>
      </c>
      <c r="H280" s="260">
        <v>49074</v>
      </c>
      <c r="I280" s="260">
        <v>49074</v>
      </c>
      <c r="J280" s="260">
        <v>0</v>
      </c>
      <c r="K280" s="260">
        <v>49074</v>
      </c>
      <c r="L280" s="260">
        <v>3926</v>
      </c>
      <c r="M280" s="260">
        <v>53000</v>
      </c>
      <c r="N280" s="119">
        <v>8.3000000000000001E-3</v>
      </c>
      <c r="O280" s="462" t="s">
        <v>934</v>
      </c>
    </row>
    <row r="281" spans="1:15" ht="18" customHeight="1" x14ac:dyDescent="0.25">
      <c r="A281" s="116">
        <v>4</v>
      </c>
      <c r="B281" s="117" t="s">
        <v>92</v>
      </c>
      <c r="C281" s="116">
        <v>10</v>
      </c>
      <c r="D281" s="120" t="s">
        <v>87</v>
      </c>
      <c r="E281" s="120" t="s">
        <v>1033</v>
      </c>
      <c r="F281" s="117" t="s">
        <v>933</v>
      </c>
      <c r="G281" s="281">
        <v>2</v>
      </c>
      <c r="H281" s="260">
        <v>13889</v>
      </c>
      <c r="I281" s="260">
        <v>27778</v>
      </c>
      <c r="J281" s="260">
        <v>0</v>
      </c>
      <c r="K281" s="260">
        <v>27778</v>
      </c>
      <c r="L281" s="260">
        <v>2222</v>
      </c>
      <c r="M281" s="260">
        <v>30000</v>
      </c>
      <c r="N281" s="119">
        <v>4.6999999999999993E-3</v>
      </c>
      <c r="O281" s="462" t="s">
        <v>934</v>
      </c>
    </row>
    <row r="282" spans="1:15" ht="18" customHeight="1" x14ac:dyDescent="0.25">
      <c r="A282" s="116">
        <v>4</v>
      </c>
      <c r="B282" s="117" t="s">
        <v>92</v>
      </c>
      <c r="C282" s="116">
        <v>120</v>
      </c>
      <c r="D282" s="120" t="s">
        <v>93</v>
      </c>
      <c r="E282" s="120" t="s">
        <v>982</v>
      </c>
      <c r="F282" s="117" t="s">
        <v>933</v>
      </c>
      <c r="G282" s="281">
        <v>1</v>
      </c>
      <c r="H282" s="260">
        <v>41667</v>
      </c>
      <c r="I282" s="260">
        <v>41667</v>
      </c>
      <c r="J282" s="260">
        <v>0</v>
      </c>
      <c r="K282" s="260">
        <v>41667</v>
      </c>
      <c r="L282" s="260">
        <v>3333</v>
      </c>
      <c r="M282" s="260">
        <v>45000</v>
      </c>
      <c r="N282" s="119">
        <v>6.9999999999999993E-3</v>
      </c>
      <c r="O282" s="462" t="s">
        <v>934</v>
      </c>
    </row>
    <row r="283" spans="1:15" ht="18" customHeight="1" x14ac:dyDescent="0.25">
      <c r="A283" s="116">
        <v>4</v>
      </c>
      <c r="B283" s="117" t="s">
        <v>92</v>
      </c>
      <c r="C283" s="116">
        <v>129</v>
      </c>
      <c r="D283" s="120" t="s">
        <v>93</v>
      </c>
      <c r="E283" s="120" t="s">
        <v>983</v>
      </c>
      <c r="F283" s="117" t="s">
        <v>933</v>
      </c>
      <c r="G283" s="281">
        <v>1</v>
      </c>
      <c r="H283" s="260">
        <v>44444</v>
      </c>
      <c r="I283" s="260">
        <v>44444</v>
      </c>
      <c r="J283" s="260">
        <v>0</v>
      </c>
      <c r="K283" s="260">
        <v>44444</v>
      </c>
      <c r="L283" s="260">
        <v>3556</v>
      </c>
      <c r="M283" s="260">
        <v>48000</v>
      </c>
      <c r="N283" s="119">
        <v>7.4999999999999997E-3</v>
      </c>
      <c r="O283" s="462" t="s">
        <v>934</v>
      </c>
    </row>
    <row r="284" spans="1:15" ht="18" customHeight="1" x14ac:dyDescent="0.25">
      <c r="A284" s="116">
        <v>4</v>
      </c>
      <c r="B284" s="117" t="s">
        <v>92</v>
      </c>
      <c r="C284" s="116">
        <v>117</v>
      </c>
      <c r="D284" s="120" t="s">
        <v>87</v>
      </c>
      <c r="E284" s="120" t="s">
        <v>120</v>
      </c>
      <c r="F284" s="117" t="s">
        <v>933</v>
      </c>
      <c r="G284" s="281">
        <v>4</v>
      </c>
      <c r="H284" s="260">
        <v>41667</v>
      </c>
      <c r="I284" s="260">
        <v>166667</v>
      </c>
      <c r="J284" s="260">
        <v>0</v>
      </c>
      <c r="K284" s="260">
        <v>166667</v>
      </c>
      <c r="L284" s="260">
        <v>13333</v>
      </c>
      <c r="M284" s="260">
        <v>180000</v>
      </c>
      <c r="N284" s="119">
        <v>2.8199999999999999E-2</v>
      </c>
      <c r="O284" s="462" t="s">
        <v>934</v>
      </c>
    </row>
    <row r="285" spans="1:15" ht="18" customHeight="1" x14ac:dyDescent="0.25">
      <c r="A285" s="116">
        <v>4</v>
      </c>
      <c r="B285" s="117" t="s">
        <v>92</v>
      </c>
      <c r="C285" s="116">
        <v>36</v>
      </c>
      <c r="D285" s="120" t="s">
        <v>91</v>
      </c>
      <c r="E285" s="120" t="s">
        <v>984</v>
      </c>
      <c r="F285" s="117" t="s">
        <v>933</v>
      </c>
      <c r="G285" s="281">
        <v>5</v>
      </c>
      <c r="H285" s="260">
        <v>3704</v>
      </c>
      <c r="I285" s="260">
        <v>18519</v>
      </c>
      <c r="J285" s="260">
        <v>0</v>
      </c>
      <c r="K285" s="260">
        <v>18519</v>
      </c>
      <c r="L285" s="260">
        <v>1481</v>
      </c>
      <c r="M285" s="260">
        <v>20000</v>
      </c>
      <c r="N285" s="119">
        <v>3.0999999999999999E-3</v>
      </c>
      <c r="O285" s="462" t="s">
        <v>934</v>
      </c>
    </row>
    <row r="286" spans="1:15" ht="18" customHeight="1" x14ac:dyDescent="0.25">
      <c r="A286" s="116">
        <v>4</v>
      </c>
      <c r="B286" s="117" t="s">
        <v>92</v>
      </c>
      <c r="C286" s="116">
        <v>61</v>
      </c>
      <c r="D286" s="120" t="s">
        <v>97</v>
      </c>
      <c r="E286" s="120" t="s">
        <v>985</v>
      </c>
      <c r="F286" s="117" t="s">
        <v>933</v>
      </c>
      <c r="G286" s="281">
        <v>18</v>
      </c>
      <c r="H286" s="260">
        <v>4630</v>
      </c>
      <c r="I286" s="260">
        <v>83333</v>
      </c>
      <c r="J286" s="260">
        <v>0</v>
      </c>
      <c r="K286" s="260">
        <v>83333</v>
      </c>
      <c r="L286" s="260">
        <v>6667</v>
      </c>
      <c r="M286" s="260">
        <v>90000</v>
      </c>
      <c r="N286" s="119">
        <v>1.41E-2</v>
      </c>
      <c r="O286" s="462" t="s">
        <v>934</v>
      </c>
    </row>
    <row r="287" spans="1:15" ht="18" customHeight="1" x14ac:dyDescent="0.25">
      <c r="A287" s="116">
        <v>4</v>
      </c>
      <c r="B287" s="117" t="s">
        <v>92</v>
      </c>
      <c r="C287" s="116">
        <v>215</v>
      </c>
      <c r="D287" s="120" t="s">
        <v>87</v>
      </c>
      <c r="E287" s="120" t="s">
        <v>132</v>
      </c>
      <c r="F287" s="117" t="s">
        <v>933</v>
      </c>
      <c r="G287" s="281">
        <v>4</v>
      </c>
      <c r="H287" s="260">
        <v>33912</v>
      </c>
      <c r="I287" s="260">
        <v>150000</v>
      </c>
      <c r="J287" s="260">
        <v>14352</v>
      </c>
      <c r="K287" s="260">
        <v>135648</v>
      </c>
      <c r="L287" s="260">
        <v>10852</v>
      </c>
      <c r="M287" s="260">
        <v>146500</v>
      </c>
      <c r="N287" s="119">
        <v>2.29E-2</v>
      </c>
      <c r="O287" s="462" t="s">
        <v>934</v>
      </c>
    </row>
    <row r="288" spans="1:15" ht="18" customHeight="1" x14ac:dyDescent="0.25">
      <c r="A288" s="116">
        <v>4</v>
      </c>
      <c r="B288" s="117" t="s">
        <v>92</v>
      </c>
      <c r="C288" s="116">
        <v>214</v>
      </c>
      <c r="D288" s="120" t="s">
        <v>87</v>
      </c>
      <c r="E288" s="120" t="s">
        <v>1007</v>
      </c>
      <c r="F288" s="117" t="s">
        <v>933</v>
      </c>
      <c r="G288" s="281">
        <v>3</v>
      </c>
      <c r="H288" s="260">
        <v>37500</v>
      </c>
      <c r="I288" s="260">
        <v>112500</v>
      </c>
      <c r="J288" s="260">
        <v>0</v>
      </c>
      <c r="K288" s="260">
        <v>112500</v>
      </c>
      <c r="L288" s="260">
        <v>9000</v>
      </c>
      <c r="M288" s="260">
        <v>121500</v>
      </c>
      <c r="N288" s="119">
        <v>1.9E-2</v>
      </c>
      <c r="O288" s="462" t="s">
        <v>934</v>
      </c>
    </row>
    <row r="289" spans="1:15" ht="18" customHeight="1" x14ac:dyDescent="0.25">
      <c r="A289" s="116">
        <v>4</v>
      </c>
      <c r="B289" s="117" t="s">
        <v>92</v>
      </c>
      <c r="C289" s="116">
        <v>96</v>
      </c>
      <c r="D289" s="120" t="s">
        <v>93</v>
      </c>
      <c r="E289" s="120" t="s">
        <v>1009</v>
      </c>
      <c r="F289" s="117" t="s">
        <v>933</v>
      </c>
      <c r="G289" s="281">
        <v>2</v>
      </c>
      <c r="H289" s="260">
        <v>35648</v>
      </c>
      <c r="I289" s="260">
        <v>71296</v>
      </c>
      <c r="J289" s="260">
        <v>0</v>
      </c>
      <c r="K289" s="260">
        <v>71296</v>
      </c>
      <c r="L289" s="260">
        <v>5704</v>
      </c>
      <c r="M289" s="260">
        <v>77000</v>
      </c>
      <c r="N289" s="119">
        <v>1.21E-2</v>
      </c>
      <c r="O289" s="462" t="s">
        <v>934</v>
      </c>
    </row>
    <row r="290" spans="1:15" ht="18" customHeight="1" x14ac:dyDescent="0.25">
      <c r="A290" s="116">
        <v>4</v>
      </c>
      <c r="B290" s="117" t="s">
        <v>92</v>
      </c>
      <c r="C290" s="116">
        <v>33</v>
      </c>
      <c r="D290" s="120" t="s">
        <v>91</v>
      </c>
      <c r="E290" s="120" t="s">
        <v>987</v>
      </c>
      <c r="F290" s="117" t="s">
        <v>933</v>
      </c>
      <c r="G290" s="281">
        <v>1</v>
      </c>
      <c r="H290" s="260">
        <v>1852</v>
      </c>
      <c r="I290" s="260">
        <v>1852</v>
      </c>
      <c r="J290" s="260">
        <v>0</v>
      </c>
      <c r="K290" s="260">
        <v>1852</v>
      </c>
      <c r="L290" s="260">
        <v>148</v>
      </c>
      <c r="M290" s="260">
        <v>2000</v>
      </c>
      <c r="N290" s="119">
        <v>2.9999999999999997E-4</v>
      </c>
      <c r="O290" s="462" t="s">
        <v>934</v>
      </c>
    </row>
    <row r="291" spans="1:15" ht="18" customHeight="1" x14ac:dyDescent="0.25">
      <c r="A291" s="116">
        <v>5</v>
      </c>
      <c r="B291" s="117" t="s">
        <v>94</v>
      </c>
      <c r="C291" s="116">
        <v>73</v>
      </c>
      <c r="D291" s="120" t="s">
        <v>91</v>
      </c>
      <c r="E291" s="120" t="s">
        <v>932</v>
      </c>
      <c r="F291" s="117" t="s">
        <v>933</v>
      </c>
      <c r="G291" s="281">
        <v>29</v>
      </c>
      <c r="H291" s="260">
        <v>2593</v>
      </c>
      <c r="I291" s="260">
        <v>75185</v>
      </c>
      <c r="J291" s="260">
        <v>0</v>
      </c>
      <c r="K291" s="260">
        <v>75185</v>
      </c>
      <c r="L291" s="260">
        <v>6015</v>
      </c>
      <c r="M291" s="260">
        <v>81200</v>
      </c>
      <c r="N291" s="119">
        <v>7.3000000000000001E-3</v>
      </c>
      <c r="O291" s="462" t="s">
        <v>934</v>
      </c>
    </row>
    <row r="292" spans="1:15" ht="18" customHeight="1" x14ac:dyDescent="0.25">
      <c r="A292" s="116">
        <v>5</v>
      </c>
      <c r="B292" s="117" t="s">
        <v>94</v>
      </c>
      <c r="C292" s="116">
        <v>65</v>
      </c>
      <c r="D292" s="120" t="s">
        <v>91</v>
      </c>
      <c r="E292" s="120" t="s">
        <v>935</v>
      </c>
      <c r="F292" s="117" t="s">
        <v>933</v>
      </c>
      <c r="G292" s="281">
        <v>2</v>
      </c>
      <c r="H292" s="260">
        <v>2778</v>
      </c>
      <c r="I292" s="260">
        <v>5556</v>
      </c>
      <c r="J292" s="260">
        <v>0</v>
      </c>
      <c r="K292" s="260">
        <v>5556</v>
      </c>
      <c r="L292" s="260">
        <v>444</v>
      </c>
      <c r="M292" s="260">
        <v>6000</v>
      </c>
      <c r="N292" s="119">
        <v>5.0000000000000001E-4</v>
      </c>
      <c r="O292" s="462" t="s">
        <v>934</v>
      </c>
    </row>
    <row r="293" spans="1:15" ht="18" customHeight="1" x14ac:dyDescent="0.25">
      <c r="A293" s="116">
        <v>5</v>
      </c>
      <c r="B293" s="117" t="s">
        <v>94</v>
      </c>
      <c r="C293" s="116">
        <v>12</v>
      </c>
      <c r="D293" s="120" t="s">
        <v>93</v>
      </c>
      <c r="E293" s="120" t="s">
        <v>937</v>
      </c>
      <c r="F293" s="117" t="s">
        <v>933</v>
      </c>
      <c r="G293" s="281">
        <v>3</v>
      </c>
      <c r="H293" s="260">
        <v>41667</v>
      </c>
      <c r="I293" s="260">
        <v>125000</v>
      </c>
      <c r="J293" s="260">
        <v>0</v>
      </c>
      <c r="K293" s="260">
        <v>125000</v>
      </c>
      <c r="L293" s="260">
        <v>10000</v>
      </c>
      <c r="M293" s="260">
        <v>135000</v>
      </c>
      <c r="N293" s="119">
        <v>1.21E-2</v>
      </c>
      <c r="O293" s="462" t="s">
        <v>934</v>
      </c>
    </row>
    <row r="294" spans="1:15" ht="18" customHeight="1" x14ac:dyDescent="0.25">
      <c r="A294" s="116">
        <v>5</v>
      </c>
      <c r="B294" s="117" t="s">
        <v>94</v>
      </c>
      <c r="C294" s="116">
        <v>40</v>
      </c>
      <c r="D294" s="120" t="s">
        <v>87</v>
      </c>
      <c r="E294" s="120" t="s">
        <v>170</v>
      </c>
      <c r="F294" s="117" t="s">
        <v>933</v>
      </c>
      <c r="G294" s="281">
        <v>2</v>
      </c>
      <c r="H294" s="260">
        <v>55093</v>
      </c>
      <c r="I294" s="260">
        <v>110185</v>
      </c>
      <c r="J294" s="260">
        <v>0</v>
      </c>
      <c r="K294" s="260">
        <v>110185</v>
      </c>
      <c r="L294" s="260">
        <v>8815</v>
      </c>
      <c r="M294" s="260">
        <v>119000</v>
      </c>
      <c r="N294" s="119">
        <v>1.0699999999999999E-2</v>
      </c>
      <c r="O294" s="462" t="s">
        <v>934</v>
      </c>
    </row>
    <row r="295" spans="1:15" ht="18" customHeight="1" x14ac:dyDescent="0.25">
      <c r="A295" s="116">
        <v>5</v>
      </c>
      <c r="B295" s="117" t="s">
        <v>94</v>
      </c>
      <c r="C295" s="116">
        <v>131</v>
      </c>
      <c r="D295" s="120" t="s">
        <v>87</v>
      </c>
      <c r="E295" s="120" t="s">
        <v>991</v>
      </c>
      <c r="F295" s="117" t="s">
        <v>933</v>
      </c>
      <c r="G295" s="281">
        <v>1</v>
      </c>
      <c r="H295" s="260">
        <v>278</v>
      </c>
      <c r="I295" s="260">
        <v>278</v>
      </c>
      <c r="J295" s="260">
        <v>0</v>
      </c>
      <c r="K295" s="260">
        <v>278</v>
      </c>
      <c r="L295" s="260">
        <v>22</v>
      </c>
      <c r="M295" s="260">
        <v>300</v>
      </c>
      <c r="N295" s="119">
        <v>0</v>
      </c>
      <c r="O295" s="462" t="s">
        <v>934</v>
      </c>
    </row>
    <row r="296" spans="1:15" ht="18" customHeight="1" x14ac:dyDescent="0.25">
      <c r="A296" s="116">
        <v>5</v>
      </c>
      <c r="B296" s="117" t="s">
        <v>94</v>
      </c>
      <c r="C296" s="116">
        <v>95</v>
      </c>
      <c r="D296" s="120" t="s">
        <v>87</v>
      </c>
      <c r="E296" s="120" t="s">
        <v>938</v>
      </c>
      <c r="F296" s="117" t="s">
        <v>933</v>
      </c>
      <c r="G296" s="281">
        <v>4</v>
      </c>
      <c r="H296" s="260">
        <v>926</v>
      </c>
      <c r="I296" s="260">
        <v>3704</v>
      </c>
      <c r="J296" s="260">
        <v>0</v>
      </c>
      <c r="K296" s="260">
        <v>3704</v>
      </c>
      <c r="L296" s="260">
        <v>296</v>
      </c>
      <c r="M296" s="260">
        <v>4000</v>
      </c>
      <c r="N296" s="119">
        <v>4.0000000000000002E-4</v>
      </c>
      <c r="O296" s="462" t="s">
        <v>934</v>
      </c>
    </row>
    <row r="297" spans="1:15" ht="18" customHeight="1" x14ac:dyDescent="0.25">
      <c r="A297" s="116">
        <v>5</v>
      </c>
      <c r="B297" s="117" t="s">
        <v>94</v>
      </c>
      <c r="C297" s="116">
        <v>54</v>
      </c>
      <c r="D297" s="120" t="s">
        <v>91</v>
      </c>
      <c r="E297" s="120" t="s">
        <v>992</v>
      </c>
      <c r="F297" s="117" t="s">
        <v>933</v>
      </c>
      <c r="G297" s="281">
        <v>1</v>
      </c>
      <c r="H297" s="260">
        <v>2315</v>
      </c>
      <c r="I297" s="260">
        <v>2315</v>
      </c>
      <c r="J297" s="260">
        <v>0</v>
      </c>
      <c r="K297" s="260">
        <v>2315</v>
      </c>
      <c r="L297" s="260">
        <v>185</v>
      </c>
      <c r="M297" s="260">
        <v>2500</v>
      </c>
      <c r="N297" s="119">
        <v>2.0000000000000001E-4</v>
      </c>
      <c r="O297" s="462" t="s">
        <v>934</v>
      </c>
    </row>
    <row r="298" spans="1:15" ht="18" customHeight="1" x14ac:dyDescent="0.25">
      <c r="A298" s="116">
        <v>5</v>
      </c>
      <c r="B298" s="117" t="s">
        <v>94</v>
      </c>
      <c r="C298" s="116">
        <v>5</v>
      </c>
      <c r="D298" s="120" t="s">
        <v>89</v>
      </c>
      <c r="E298" s="120" t="s">
        <v>993</v>
      </c>
      <c r="F298" s="117" t="s">
        <v>933</v>
      </c>
      <c r="G298" s="281">
        <v>1</v>
      </c>
      <c r="H298" s="260">
        <v>11111</v>
      </c>
      <c r="I298" s="260">
        <v>11111</v>
      </c>
      <c r="J298" s="260">
        <v>0</v>
      </c>
      <c r="K298" s="260">
        <v>11111</v>
      </c>
      <c r="L298" s="260">
        <v>889</v>
      </c>
      <c r="M298" s="260">
        <v>12000</v>
      </c>
      <c r="N298" s="119">
        <v>1.1000000000000001E-3</v>
      </c>
      <c r="O298" s="462" t="s">
        <v>934</v>
      </c>
    </row>
    <row r="299" spans="1:15" ht="18" customHeight="1" x14ac:dyDescent="0.25">
      <c r="A299" s="116">
        <v>5</v>
      </c>
      <c r="B299" s="117" t="s">
        <v>94</v>
      </c>
      <c r="C299" s="116">
        <v>136</v>
      </c>
      <c r="D299" s="120" t="s">
        <v>89</v>
      </c>
      <c r="E299" s="120" t="s">
        <v>939</v>
      </c>
      <c r="F299" s="117" t="s">
        <v>933</v>
      </c>
      <c r="G299" s="281">
        <v>5</v>
      </c>
      <c r="H299" s="260">
        <v>24074</v>
      </c>
      <c r="I299" s="260">
        <v>120370</v>
      </c>
      <c r="J299" s="260">
        <v>0</v>
      </c>
      <c r="K299" s="260">
        <v>120370</v>
      </c>
      <c r="L299" s="260">
        <v>9630</v>
      </c>
      <c r="M299" s="260">
        <v>130000</v>
      </c>
      <c r="N299" s="119">
        <v>1.1599999999999999E-2</v>
      </c>
      <c r="O299" s="462" t="s">
        <v>934</v>
      </c>
    </row>
    <row r="300" spans="1:15" ht="18" customHeight="1" x14ac:dyDescent="0.25">
      <c r="A300" s="116">
        <v>5</v>
      </c>
      <c r="B300" s="117" t="s">
        <v>94</v>
      </c>
      <c r="C300" s="116">
        <v>135</v>
      </c>
      <c r="D300" s="120" t="s">
        <v>89</v>
      </c>
      <c r="E300" s="120" t="s">
        <v>1024</v>
      </c>
      <c r="F300" s="117" t="s">
        <v>933</v>
      </c>
      <c r="G300" s="281">
        <v>2</v>
      </c>
      <c r="H300" s="260">
        <v>13889</v>
      </c>
      <c r="I300" s="260">
        <v>27778</v>
      </c>
      <c r="J300" s="260">
        <v>0</v>
      </c>
      <c r="K300" s="260">
        <v>27778</v>
      </c>
      <c r="L300" s="260">
        <v>2222</v>
      </c>
      <c r="M300" s="260">
        <v>30000</v>
      </c>
      <c r="N300" s="119">
        <v>2.7000000000000001E-3</v>
      </c>
      <c r="O300" s="462" t="s">
        <v>934</v>
      </c>
    </row>
    <row r="301" spans="1:15" ht="18" customHeight="1" x14ac:dyDescent="0.25">
      <c r="A301" s="116">
        <v>5</v>
      </c>
      <c r="B301" s="117" t="s">
        <v>94</v>
      </c>
      <c r="C301" s="116">
        <v>6</v>
      </c>
      <c r="D301" s="120" t="s">
        <v>89</v>
      </c>
      <c r="E301" s="120" t="s">
        <v>994</v>
      </c>
      <c r="F301" s="117" t="s">
        <v>933</v>
      </c>
      <c r="G301" s="281">
        <v>1</v>
      </c>
      <c r="H301" s="260">
        <v>14815</v>
      </c>
      <c r="I301" s="260">
        <v>14815</v>
      </c>
      <c r="J301" s="260">
        <v>0</v>
      </c>
      <c r="K301" s="260">
        <v>14815</v>
      </c>
      <c r="L301" s="260">
        <v>1185</v>
      </c>
      <c r="M301" s="260">
        <v>16000</v>
      </c>
      <c r="N301" s="119">
        <v>1.4E-3</v>
      </c>
      <c r="O301" s="462" t="s">
        <v>934</v>
      </c>
    </row>
    <row r="302" spans="1:15" ht="18" customHeight="1" x14ac:dyDescent="0.25">
      <c r="A302" s="116">
        <v>5</v>
      </c>
      <c r="B302" s="117" t="s">
        <v>94</v>
      </c>
      <c r="C302" s="116">
        <v>311</v>
      </c>
      <c r="D302" s="120" t="s">
        <v>93</v>
      </c>
      <c r="E302" s="120" t="s">
        <v>940</v>
      </c>
      <c r="F302" s="117" t="s">
        <v>933</v>
      </c>
      <c r="G302" s="281">
        <v>1</v>
      </c>
      <c r="H302" s="260">
        <v>44907</v>
      </c>
      <c r="I302" s="260">
        <v>44907</v>
      </c>
      <c r="J302" s="260">
        <v>0</v>
      </c>
      <c r="K302" s="260">
        <v>44907</v>
      </c>
      <c r="L302" s="260">
        <v>3593</v>
      </c>
      <c r="M302" s="260">
        <v>48500</v>
      </c>
      <c r="N302" s="119">
        <v>4.3E-3</v>
      </c>
      <c r="O302" s="462" t="s">
        <v>934</v>
      </c>
    </row>
    <row r="303" spans="1:15" ht="18" customHeight="1" x14ac:dyDescent="0.25">
      <c r="A303" s="116">
        <v>5</v>
      </c>
      <c r="B303" s="117" t="s">
        <v>94</v>
      </c>
      <c r="C303" s="116">
        <v>87</v>
      </c>
      <c r="D303" s="120" t="s">
        <v>89</v>
      </c>
      <c r="E303" s="120" t="s">
        <v>144</v>
      </c>
      <c r="F303" s="117" t="s">
        <v>933</v>
      </c>
      <c r="G303" s="281">
        <v>6</v>
      </c>
      <c r="H303" s="260">
        <v>37500</v>
      </c>
      <c r="I303" s="260">
        <v>225000</v>
      </c>
      <c r="J303" s="260">
        <v>0</v>
      </c>
      <c r="K303" s="260">
        <v>225000</v>
      </c>
      <c r="L303" s="260">
        <v>18000</v>
      </c>
      <c r="M303" s="260">
        <v>243000</v>
      </c>
      <c r="N303" s="119">
        <v>2.18E-2</v>
      </c>
      <c r="O303" s="462" t="s">
        <v>934</v>
      </c>
    </row>
    <row r="304" spans="1:15" ht="18" customHeight="1" x14ac:dyDescent="0.25">
      <c r="A304" s="116">
        <v>5</v>
      </c>
      <c r="B304" s="117" t="s">
        <v>94</v>
      </c>
      <c r="C304" s="116">
        <v>206</v>
      </c>
      <c r="D304" s="120" t="s">
        <v>93</v>
      </c>
      <c r="E304" s="120" t="s">
        <v>941</v>
      </c>
      <c r="F304" s="117" t="s">
        <v>933</v>
      </c>
      <c r="G304" s="281">
        <v>3</v>
      </c>
      <c r="H304" s="260">
        <v>44907</v>
      </c>
      <c r="I304" s="260">
        <v>134722</v>
      </c>
      <c r="J304" s="260">
        <v>0</v>
      </c>
      <c r="K304" s="260">
        <v>134722</v>
      </c>
      <c r="L304" s="260">
        <v>10778</v>
      </c>
      <c r="M304" s="260">
        <v>145500</v>
      </c>
      <c r="N304" s="119">
        <v>1.2999999999999999E-2</v>
      </c>
      <c r="O304" s="462" t="s">
        <v>934</v>
      </c>
    </row>
    <row r="305" spans="1:15" ht="18" customHeight="1" x14ac:dyDescent="0.25">
      <c r="A305" s="116">
        <v>5</v>
      </c>
      <c r="B305" s="117" t="s">
        <v>94</v>
      </c>
      <c r="C305" s="116">
        <v>246</v>
      </c>
      <c r="D305" s="120" t="s">
        <v>91</v>
      </c>
      <c r="E305" s="120" t="s">
        <v>943</v>
      </c>
      <c r="F305" s="117" t="s">
        <v>933</v>
      </c>
      <c r="G305" s="281">
        <v>1</v>
      </c>
      <c r="H305" s="260">
        <v>6481</v>
      </c>
      <c r="I305" s="260">
        <v>6481</v>
      </c>
      <c r="J305" s="260">
        <v>0</v>
      </c>
      <c r="K305" s="260">
        <v>6481</v>
      </c>
      <c r="L305" s="260">
        <v>519</v>
      </c>
      <c r="M305" s="260">
        <v>7000</v>
      </c>
      <c r="N305" s="119">
        <v>5.9999999999999995E-4</v>
      </c>
      <c r="O305" s="462" t="s">
        <v>934</v>
      </c>
    </row>
    <row r="306" spans="1:15" ht="18" customHeight="1" x14ac:dyDescent="0.25">
      <c r="A306" s="116">
        <v>5</v>
      </c>
      <c r="B306" s="117" t="s">
        <v>94</v>
      </c>
      <c r="C306" s="116">
        <v>264</v>
      </c>
      <c r="D306" s="120" t="s">
        <v>91</v>
      </c>
      <c r="E306" s="120" t="s">
        <v>995</v>
      </c>
      <c r="F306" s="117" t="s">
        <v>933</v>
      </c>
      <c r="G306" s="281">
        <v>1</v>
      </c>
      <c r="H306" s="260">
        <v>4630</v>
      </c>
      <c r="I306" s="260">
        <v>4630</v>
      </c>
      <c r="J306" s="260">
        <v>0</v>
      </c>
      <c r="K306" s="260">
        <v>4630</v>
      </c>
      <c r="L306" s="260">
        <v>370</v>
      </c>
      <c r="M306" s="260">
        <v>5000</v>
      </c>
      <c r="N306" s="119">
        <v>4.0000000000000002E-4</v>
      </c>
      <c r="O306" s="462" t="s">
        <v>934</v>
      </c>
    </row>
    <row r="307" spans="1:15" ht="18" customHeight="1" x14ac:dyDescent="0.25">
      <c r="A307" s="116">
        <v>5</v>
      </c>
      <c r="B307" s="117" t="s">
        <v>94</v>
      </c>
      <c r="C307" s="116">
        <v>70</v>
      </c>
      <c r="D307" s="120" t="s">
        <v>91</v>
      </c>
      <c r="E307" s="120" t="s">
        <v>944</v>
      </c>
      <c r="F307" s="117" t="s">
        <v>933</v>
      </c>
      <c r="G307" s="281">
        <v>5</v>
      </c>
      <c r="H307" s="260">
        <v>4630</v>
      </c>
      <c r="I307" s="260">
        <v>23148</v>
      </c>
      <c r="J307" s="260">
        <v>0</v>
      </c>
      <c r="K307" s="260">
        <v>23148</v>
      </c>
      <c r="L307" s="260">
        <v>1852</v>
      </c>
      <c r="M307" s="260">
        <v>25000</v>
      </c>
      <c r="N307" s="119">
        <v>2.2000000000000001E-3</v>
      </c>
      <c r="O307" s="462" t="s">
        <v>934</v>
      </c>
    </row>
    <row r="308" spans="1:15" ht="18" customHeight="1" x14ac:dyDescent="0.25">
      <c r="A308" s="116">
        <v>5</v>
      </c>
      <c r="B308" s="117" t="s">
        <v>94</v>
      </c>
      <c r="C308" s="116">
        <v>71</v>
      </c>
      <c r="D308" s="120" t="s">
        <v>91</v>
      </c>
      <c r="E308" s="120" t="s">
        <v>945</v>
      </c>
      <c r="F308" s="117" t="s">
        <v>933</v>
      </c>
      <c r="G308" s="281">
        <v>4</v>
      </c>
      <c r="H308" s="260">
        <v>5556</v>
      </c>
      <c r="I308" s="260">
        <v>22222</v>
      </c>
      <c r="J308" s="260">
        <v>0</v>
      </c>
      <c r="K308" s="260">
        <v>22222</v>
      </c>
      <c r="L308" s="260">
        <v>1778</v>
      </c>
      <c r="M308" s="260">
        <v>24000</v>
      </c>
      <c r="N308" s="119">
        <v>2.2000000000000001E-3</v>
      </c>
      <c r="O308" s="462" t="s">
        <v>934</v>
      </c>
    </row>
    <row r="309" spans="1:15" ht="18" customHeight="1" x14ac:dyDescent="0.25">
      <c r="A309" s="116">
        <v>5</v>
      </c>
      <c r="B309" s="117" t="s">
        <v>94</v>
      </c>
      <c r="C309" s="116">
        <v>83</v>
      </c>
      <c r="D309" s="120" t="s">
        <v>87</v>
      </c>
      <c r="E309" s="120" t="s">
        <v>946</v>
      </c>
      <c r="F309" s="117" t="s">
        <v>933</v>
      </c>
      <c r="G309" s="281">
        <v>2</v>
      </c>
      <c r="H309" s="260">
        <v>20833</v>
      </c>
      <c r="I309" s="260">
        <v>41667</v>
      </c>
      <c r="J309" s="260">
        <v>0</v>
      </c>
      <c r="K309" s="260">
        <v>41667</v>
      </c>
      <c r="L309" s="260">
        <v>3333</v>
      </c>
      <c r="M309" s="260">
        <v>45000</v>
      </c>
      <c r="N309" s="119">
        <v>4.0000000000000001E-3</v>
      </c>
      <c r="O309" s="462" t="s">
        <v>934</v>
      </c>
    </row>
    <row r="310" spans="1:15" ht="18" customHeight="1" x14ac:dyDescent="0.25">
      <c r="A310" s="116">
        <v>5</v>
      </c>
      <c r="B310" s="117" t="s">
        <v>94</v>
      </c>
      <c r="C310" s="116">
        <v>43</v>
      </c>
      <c r="D310" s="120" t="s">
        <v>87</v>
      </c>
      <c r="E310" s="120" t="s">
        <v>947</v>
      </c>
      <c r="F310" s="117" t="s">
        <v>933</v>
      </c>
      <c r="G310" s="281">
        <v>1</v>
      </c>
      <c r="H310" s="260">
        <v>8333</v>
      </c>
      <c r="I310" s="260">
        <v>8333</v>
      </c>
      <c r="J310" s="260">
        <v>0</v>
      </c>
      <c r="K310" s="260">
        <v>8333</v>
      </c>
      <c r="L310" s="260">
        <v>667</v>
      </c>
      <c r="M310" s="260">
        <v>9000</v>
      </c>
      <c r="N310" s="119">
        <v>8.0000000000000004E-4</v>
      </c>
      <c r="O310" s="462" t="s">
        <v>934</v>
      </c>
    </row>
    <row r="311" spans="1:15" ht="18" customHeight="1" x14ac:dyDescent="0.25">
      <c r="A311" s="116">
        <v>5</v>
      </c>
      <c r="B311" s="117" t="s">
        <v>94</v>
      </c>
      <c r="C311" s="116">
        <v>37</v>
      </c>
      <c r="D311" s="120" t="s">
        <v>87</v>
      </c>
      <c r="E311" s="120" t="s">
        <v>1034</v>
      </c>
      <c r="F311" s="117" t="s">
        <v>933</v>
      </c>
      <c r="G311" s="281">
        <v>1</v>
      </c>
      <c r="H311" s="260">
        <v>8333</v>
      </c>
      <c r="I311" s="260">
        <v>8333</v>
      </c>
      <c r="J311" s="260">
        <v>0</v>
      </c>
      <c r="K311" s="260">
        <v>8333</v>
      </c>
      <c r="L311" s="260">
        <v>667</v>
      </c>
      <c r="M311" s="260">
        <v>9000</v>
      </c>
      <c r="N311" s="119">
        <v>8.0000000000000004E-4</v>
      </c>
      <c r="O311" s="462" t="s">
        <v>934</v>
      </c>
    </row>
    <row r="312" spans="1:15" ht="18" customHeight="1" x14ac:dyDescent="0.25">
      <c r="A312" s="116">
        <v>5</v>
      </c>
      <c r="B312" s="117" t="s">
        <v>94</v>
      </c>
      <c r="C312" s="116">
        <v>41</v>
      </c>
      <c r="D312" s="120" t="s">
        <v>87</v>
      </c>
      <c r="E312" s="120" t="s">
        <v>168</v>
      </c>
      <c r="F312" s="117" t="s">
        <v>933</v>
      </c>
      <c r="G312" s="281">
        <v>5</v>
      </c>
      <c r="H312" s="260">
        <v>49074</v>
      </c>
      <c r="I312" s="260">
        <v>245370</v>
      </c>
      <c r="J312" s="260">
        <v>0</v>
      </c>
      <c r="K312" s="260">
        <v>245370</v>
      </c>
      <c r="L312" s="260">
        <v>19630</v>
      </c>
      <c r="M312" s="260">
        <v>265000</v>
      </c>
      <c r="N312" s="119">
        <v>2.3699999999999999E-2</v>
      </c>
      <c r="O312" s="462" t="s">
        <v>934</v>
      </c>
    </row>
    <row r="313" spans="1:15" ht="18" customHeight="1" x14ac:dyDescent="0.25">
      <c r="A313" s="116">
        <v>5</v>
      </c>
      <c r="B313" s="117" t="s">
        <v>94</v>
      </c>
      <c r="C313" s="116">
        <v>122</v>
      </c>
      <c r="D313" s="120" t="s">
        <v>91</v>
      </c>
      <c r="E313" s="120" t="s">
        <v>948</v>
      </c>
      <c r="F313" s="117" t="s">
        <v>933</v>
      </c>
      <c r="G313" s="281">
        <v>7</v>
      </c>
      <c r="H313" s="260">
        <v>2778</v>
      </c>
      <c r="I313" s="260">
        <v>19444</v>
      </c>
      <c r="J313" s="260">
        <v>0</v>
      </c>
      <c r="K313" s="260">
        <v>19444</v>
      </c>
      <c r="L313" s="260">
        <v>1556</v>
      </c>
      <c r="M313" s="260">
        <v>21000</v>
      </c>
      <c r="N313" s="119">
        <v>1.9E-3</v>
      </c>
      <c r="O313" s="462" t="s">
        <v>934</v>
      </c>
    </row>
    <row r="314" spans="1:15" ht="18" customHeight="1" x14ac:dyDescent="0.25">
      <c r="A314" s="116">
        <v>5</v>
      </c>
      <c r="B314" s="117" t="s">
        <v>94</v>
      </c>
      <c r="C314" s="116">
        <v>42</v>
      </c>
      <c r="D314" s="120" t="s">
        <v>87</v>
      </c>
      <c r="E314" s="120" t="s">
        <v>360</v>
      </c>
      <c r="F314" s="117" t="s">
        <v>933</v>
      </c>
      <c r="G314" s="281">
        <v>5</v>
      </c>
      <c r="H314" s="260">
        <v>32407</v>
      </c>
      <c r="I314" s="260">
        <v>162037</v>
      </c>
      <c r="J314" s="260">
        <v>0</v>
      </c>
      <c r="K314" s="260">
        <v>162037</v>
      </c>
      <c r="L314" s="260">
        <v>12963</v>
      </c>
      <c r="M314" s="260">
        <v>175000</v>
      </c>
      <c r="N314" s="119">
        <v>1.5699999999999999E-2</v>
      </c>
      <c r="O314" s="462" t="s">
        <v>934</v>
      </c>
    </row>
    <row r="315" spans="1:15" ht="18" customHeight="1" x14ac:dyDescent="0.25">
      <c r="A315" s="116">
        <v>5</v>
      </c>
      <c r="B315" s="117" t="s">
        <v>94</v>
      </c>
      <c r="C315" s="116">
        <v>44</v>
      </c>
      <c r="D315" s="120" t="s">
        <v>87</v>
      </c>
      <c r="E315" s="120" t="s">
        <v>138</v>
      </c>
      <c r="F315" s="117" t="s">
        <v>933</v>
      </c>
      <c r="G315" s="281">
        <v>16</v>
      </c>
      <c r="H315" s="260">
        <v>28241</v>
      </c>
      <c r="I315" s="260">
        <v>451852</v>
      </c>
      <c r="J315" s="260">
        <v>0</v>
      </c>
      <c r="K315" s="260">
        <v>451852</v>
      </c>
      <c r="L315" s="260">
        <v>36148</v>
      </c>
      <c r="M315" s="260">
        <v>488000</v>
      </c>
      <c r="N315" s="119">
        <v>4.3700000000000003E-2</v>
      </c>
      <c r="O315" s="462" t="s">
        <v>934</v>
      </c>
    </row>
    <row r="316" spans="1:15" ht="18" customHeight="1" x14ac:dyDescent="0.25">
      <c r="A316" s="116">
        <v>5</v>
      </c>
      <c r="B316" s="117" t="s">
        <v>94</v>
      </c>
      <c r="C316" s="116">
        <v>110</v>
      </c>
      <c r="D316" s="120" t="s">
        <v>99</v>
      </c>
      <c r="E316" s="120" t="s">
        <v>949</v>
      </c>
      <c r="F316" s="117" t="s">
        <v>933</v>
      </c>
      <c r="G316" s="281">
        <v>25</v>
      </c>
      <c r="H316" s="260">
        <v>926</v>
      </c>
      <c r="I316" s="260">
        <v>23148</v>
      </c>
      <c r="J316" s="260">
        <v>0</v>
      </c>
      <c r="K316" s="260">
        <v>23148</v>
      </c>
      <c r="L316" s="260">
        <v>1852</v>
      </c>
      <c r="M316" s="260">
        <v>25000</v>
      </c>
      <c r="N316" s="119">
        <v>2.2000000000000001E-3</v>
      </c>
      <c r="O316" s="462" t="s">
        <v>934</v>
      </c>
    </row>
    <row r="317" spans="1:15" ht="18" customHeight="1" x14ac:dyDescent="0.25">
      <c r="A317" s="116">
        <v>5</v>
      </c>
      <c r="B317" s="117" t="s">
        <v>94</v>
      </c>
      <c r="C317" s="116">
        <v>102</v>
      </c>
      <c r="D317" s="120" t="s">
        <v>87</v>
      </c>
      <c r="E317" s="120" t="s">
        <v>998</v>
      </c>
      <c r="F317" s="117" t="s">
        <v>933</v>
      </c>
      <c r="G317" s="281">
        <v>6</v>
      </c>
      <c r="H317" s="260">
        <v>6944</v>
      </c>
      <c r="I317" s="260">
        <v>41667</v>
      </c>
      <c r="J317" s="260">
        <v>0</v>
      </c>
      <c r="K317" s="260">
        <v>41667</v>
      </c>
      <c r="L317" s="260">
        <v>3333</v>
      </c>
      <c r="M317" s="260">
        <v>45000</v>
      </c>
      <c r="N317" s="119">
        <v>4.0000000000000001E-3</v>
      </c>
      <c r="O317" s="462" t="s">
        <v>934</v>
      </c>
    </row>
    <row r="318" spans="1:15" ht="18" customHeight="1" x14ac:dyDescent="0.25">
      <c r="A318" s="116">
        <v>5</v>
      </c>
      <c r="B318" s="117" t="s">
        <v>94</v>
      </c>
      <c r="C318" s="116">
        <v>45</v>
      </c>
      <c r="D318" s="120" t="s">
        <v>87</v>
      </c>
      <c r="E318" s="120" t="s">
        <v>950</v>
      </c>
      <c r="F318" s="117" t="s">
        <v>933</v>
      </c>
      <c r="G318" s="281">
        <v>4</v>
      </c>
      <c r="H318" s="260">
        <v>35648</v>
      </c>
      <c r="I318" s="260">
        <v>142593</v>
      </c>
      <c r="J318" s="260">
        <v>0</v>
      </c>
      <c r="K318" s="260">
        <v>142593</v>
      </c>
      <c r="L318" s="260">
        <v>11407</v>
      </c>
      <c r="M318" s="260">
        <v>154000</v>
      </c>
      <c r="N318" s="119">
        <v>1.38E-2</v>
      </c>
      <c r="O318" s="462" t="s">
        <v>934</v>
      </c>
    </row>
    <row r="319" spans="1:15" ht="18" customHeight="1" x14ac:dyDescent="0.25">
      <c r="A319" s="116">
        <v>5</v>
      </c>
      <c r="B319" s="117" t="s">
        <v>94</v>
      </c>
      <c r="C319" s="116">
        <v>30</v>
      </c>
      <c r="D319" s="120" t="s">
        <v>95</v>
      </c>
      <c r="E319" s="120" t="s">
        <v>951</v>
      </c>
      <c r="F319" s="117" t="s">
        <v>933</v>
      </c>
      <c r="G319" s="281">
        <v>1</v>
      </c>
      <c r="H319" s="260">
        <v>6481</v>
      </c>
      <c r="I319" s="260">
        <v>6481</v>
      </c>
      <c r="J319" s="260">
        <v>0</v>
      </c>
      <c r="K319" s="260">
        <v>6481</v>
      </c>
      <c r="L319" s="260">
        <v>519</v>
      </c>
      <c r="M319" s="260">
        <v>7000</v>
      </c>
      <c r="N319" s="119">
        <v>5.9999999999999995E-4</v>
      </c>
      <c r="O319" s="462" t="s">
        <v>934</v>
      </c>
    </row>
    <row r="320" spans="1:15" ht="18" customHeight="1" x14ac:dyDescent="0.25">
      <c r="A320" s="116">
        <v>5</v>
      </c>
      <c r="B320" s="117" t="s">
        <v>94</v>
      </c>
      <c r="C320" s="116">
        <v>305</v>
      </c>
      <c r="D320" s="120" t="s">
        <v>91</v>
      </c>
      <c r="E320" s="120" t="s">
        <v>952</v>
      </c>
      <c r="F320" s="117" t="s">
        <v>933</v>
      </c>
      <c r="G320" s="281">
        <v>2</v>
      </c>
      <c r="H320" s="260">
        <v>9259</v>
      </c>
      <c r="I320" s="260">
        <v>18519</v>
      </c>
      <c r="J320" s="260">
        <v>0</v>
      </c>
      <c r="K320" s="260">
        <v>18519</v>
      </c>
      <c r="L320" s="260">
        <v>1481</v>
      </c>
      <c r="M320" s="260">
        <v>20000</v>
      </c>
      <c r="N320" s="119">
        <v>1.8E-3</v>
      </c>
      <c r="O320" s="462" t="s">
        <v>934</v>
      </c>
    </row>
    <row r="321" spans="1:15" ht="18" customHeight="1" x14ac:dyDescent="0.25">
      <c r="A321" s="116">
        <v>5</v>
      </c>
      <c r="B321" s="117" t="s">
        <v>94</v>
      </c>
      <c r="C321" s="116">
        <v>217</v>
      </c>
      <c r="D321" s="120" t="s">
        <v>89</v>
      </c>
      <c r="E321" s="120" t="s">
        <v>953</v>
      </c>
      <c r="F321" s="117" t="s">
        <v>933</v>
      </c>
      <c r="G321" s="281">
        <v>5</v>
      </c>
      <c r="H321" s="260">
        <v>27778</v>
      </c>
      <c r="I321" s="260">
        <v>138889</v>
      </c>
      <c r="J321" s="260">
        <v>0</v>
      </c>
      <c r="K321" s="260">
        <v>138889</v>
      </c>
      <c r="L321" s="260">
        <v>11111</v>
      </c>
      <c r="M321" s="260">
        <v>150000</v>
      </c>
      <c r="N321" s="119">
        <v>1.34E-2</v>
      </c>
      <c r="O321" s="462" t="s">
        <v>934</v>
      </c>
    </row>
    <row r="322" spans="1:15" ht="18" customHeight="1" x14ac:dyDescent="0.25">
      <c r="A322" s="116">
        <v>5</v>
      </c>
      <c r="B322" s="117" t="s">
        <v>94</v>
      </c>
      <c r="C322" s="116">
        <v>34</v>
      </c>
      <c r="D322" s="120" t="s">
        <v>91</v>
      </c>
      <c r="E322" s="120" t="s">
        <v>955</v>
      </c>
      <c r="F322" s="117" t="s">
        <v>933</v>
      </c>
      <c r="G322" s="281">
        <v>5</v>
      </c>
      <c r="H322" s="260">
        <v>6481</v>
      </c>
      <c r="I322" s="260">
        <v>32407</v>
      </c>
      <c r="J322" s="260">
        <v>0</v>
      </c>
      <c r="K322" s="260">
        <v>32407</v>
      </c>
      <c r="L322" s="260">
        <v>2593</v>
      </c>
      <c r="M322" s="260">
        <v>35000</v>
      </c>
      <c r="N322" s="119">
        <v>3.0999999999999999E-3</v>
      </c>
      <c r="O322" s="462" t="s">
        <v>934</v>
      </c>
    </row>
    <row r="323" spans="1:15" ht="18" customHeight="1" x14ac:dyDescent="0.25">
      <c r="A323" s="116">
        <v>5</v>
      </c>
      <c r="B323" s="117" t="s">
        <v>94</v>
      </c>
      <c r="C323" s="116">
        <v>66</v>
      </c>
      <c r="D323" s="120" t="s">
        <v>91</v>
      </c>
      <c r="E323" s="120" t="s">
        <v>1035</v>
      </c>
      <c r="F323" s="117" t="s">
        <v>933</v>
      </c>
      <c r="G323" s="281">
        <v>0</v>
      </c>
      <c r="H323" s="260">
        <v>0</v>
      </c>
      <c r="I323" s="260">
        <v>0</v>
      </c>
      <c r="J323" s="260">
        <v>0</v>
      </c>
      <c r="K323" s="260">
        <v>0</v>
      </c>
      <c r="L323" s="260">
        <v>0</v>
      </c>
      <c r="M323" s="260">
        <v>0</v>
      </c>
      <c r="N323" s="119">
        <v>0</v>
      </c>
      <c r="O323" s="462" t="s">
        <v>934</v>
      </c>
    </row>
    <row r="324" spans="1:15" ht="18" customHeight="1" x14ac:dyDescent="0.25">
      <c r="A324" s="116">
        <v>5</v>
      </c>
      <c r="B324" s="117" t="s">
        <v>94</v>
      </c>
      <c r="C324" s="116">
        <v>121</v>
      </c>
      <c r="D324" s="120" t="s">
        <v>91</v>
      </c>
      <c r="E324" s="120" t="s">
        <v>956</v>
      </c>
      <c r="F324" s="117" t="s">
        <v>933</v>
      </c>
      <c r="G324" s="281">
        <v>15</v>
      </c>
      <c r="H324" s="260">
        <v>2778</v>
      </c>
      <c r="I324" s="260">
        <v>41667</v>
      </c>
      <c r="J324" s="260">
        <v>0</v>
      </c>
      <c r="K324" s="260">
        <v>41667</v>
      </c>
      <c r="L324" s="260">
        <v>3333</v>
      </c>
      <c r="M324" s="260">
        <v>45000</v>
      </c>
      <c r="N324" s="119">
        <v>4.0000000000000001E-3</v>
      </c>
      <c r="O324" s="462" t="s">
        <v>934</v>
      </c>
    </row>
    <row r="325" spans="1:15" ht="18" customHeight="1" x14ac:dyDescent="0.25">
      <c r="A325" s="116">
        <v>5</v>
      </c>
      <c r="B325" s="117" t="s">
        <v>94</v>
      </c>
      <c r="C325" s="116">
        <v>208</v>
      </c>
      <c r="D325" s="120" t="s">
        <v>91</v>
      </c>
      <c r="E325" s="120" t="s">
        <v>957</v>
      </c>
      <c r="F325" s="117" t="s">
        <v>933</v>
      </c>
      <c r="G325" s="281">
        <v>26</v>
      </c>
      <c r="H325" s="260">
        <v>3704</v>
      </c>
      <c r="I325" s="260">
        <v>96296</v>
      </c>
      <c r="J325" s="260">
        <v>0</v>
      </c>
      <c r="K325" s="260">
        <v>96296</v>
      </c>
      <c r="L325" s="260">
        <v>7704</v>
      </c>
      <c r="M325" s="260">
        <v>104000</v>
      </c>
      <c r="N325" s="119">
        <v>9.300000000000001E-3</v>
      </c>
      <c r="O325" s="462" t="s">
        <v>934</v>
      </c>
    </row>
    <row r="326" spans="1:15" ht="18" customHeight="1" x14ac:dyDescent="0.25">
      <c r="A326" s="116">
        <v>5</v>
      </c>
      <c r="B326" s="117" t="s">
        <v>94</v>
      </c>
      <c r="C326" s="116">
        <v>90</v>
      </c>
      <c r="D326" s="120" t="s">
        <v>91</v>
      </c>
      <c r="E326" s="120" t="s">
        <v>487</v>
      </c>
      <c r="F326" s="117" t="s">
        <v>933</v>
      </c>
      <c r="G326" s="281">
        <v>2</v>
      </c>
      <c r="H326" s="260">
        <v>4259</v>
      </c>
      <c r="I326" s="260">
        <v>8519</v>
      </c>
      <c r="J326" s="260">
        <v>0</v>
      </c>
      <c r="K326" s="260">
        <v>8519</v>
      </c>
      <c r="L326" s="260">
        <v>681</v>
      </c>
      <c r="M326" s="260">
        <v>9200</v>
      </c>
      <c r="N326" s="119">
        <v>8.0000000000000004E-4</v>
      </c>
      <c r="O326" s="462" t="s">
        <v>934</v>
      </c>
    </row>
    <row r="327" spans="1:15" ht="18" customHeight="1" x14ac:dyDescent="0.25">
      <c r="A327" s="116">
        <v>5</v>
      </c>
      <c r="B327" s="117" t="s">
        <v>94</v>
      </c>
      <c r="C327" s="116">
        <v>123</v>
      </c>
      <c r="D327" s="120" t="s">
        <v>91</v>
      </c>
      <c r="E327" s="120" t="s">
        <v>958</v>
      </c>
      <c r="F327" s="117" t="s">
        <v>933</v>
      </c>
      <c r="G327" s="281">
        <v>6</v>
      </c>
      <c r="H327" s="260">
        <v>2778</v>
      </c>
      <c r="I327" s="260">
        <v>16667</v>
      </c>
      <c r="J327" s="260">
        <v>0</v>
      </c>
      <c r="K327" s="260">
        <v>16667</v>
      </c>
      <c r="L327" s="260">
        <v>1333</v>
      </c>
      <c r="M327" s="260">
        <v>18000</v>
      </c>
      <c r="N327" s="119">
        <v>1.6000000000000001E-3</v>
      </c>
      <c r="O327" s="462" t="s">
        <v>934</v>
      </c>
    </row>
    <row r="328" spans="1:15" ht="18" customHeight="1" x14ac:dyDescent="0.25">
      <c r="A328" s="116">
        <v>5</v>
      </c>
      <c r="B328" s="117" t="s">
        <v>94</v>
      </c>
      <c r="C328" s="116">
        <v>31</v>
      </c>
      <c r="D328" s="120" t="s">
        <v>95</v>
      </c>
      <c r="E328" s="120" t="s">
        <v>959</v>
      </c>
      <c r="F328" s="117" t="s">
        <v>933</v>
      </c>
      <c r="G328" s="281">
        <v>8</v>
      </c>
      <c r="H328" s="260">
        <v>1204</v>
      </c>
      <c r="I328" s="260">
        <v>9630</v>
      </c>
      <c r="J328" s="260">
        <v>0</v>
      </c>
      <c r="K328" s="260">
        <v>9630</v>
      </c>
      <c r="L328" s="260">
        <v>770</v>
      </c>
      <c r="M328" s="260">
        <v>10400</v>
      </c>
      <c r="N328" s="119">
        <v>8.9999999999999998E-4</v>
      </c>
      <c r="O328" s="462" t="s">
        <v>934</v>
      </c>
    </row>
    <row r="329" spans="1:15" ht="18" customHeight="1" x14ac:dyDescent="0.25">
      <c r="A329" s="116">
        <v>5</v>
      </c>
      <c r="B329" s="117" t="s">
        <v>94</v>
      </c>
      <c r="C329" s="116">
        <v>201</v>
      </c>
      <c r="D329" s="120" t="s">
        <v>91</v>
      </c>
      <c r="E329" s="120" t="s">
        <v>1036</v>
      </c>
      <c r="F329" s="117" t="s">
        <v>933</v>
      </c>
      <c r="G329" s="281">
        <v>5</v>
      </c>
      <c r="H329" s="260">
        <v>18519</v>
      </c>
      <c r="I329" s="260">
        <v>92593</v>
      </c>
      <c r="J329" s="260">
        <v>0</v>
      </c>
      <c r="K329" s="260">
        <v>92593</v>
      </c>
      <c r="L329" s="260">
        <v>7407</v>
      </c>
      <c r="M329" s="260">
        <v>100000</v>
      </c>
      <c r="N329" s="119">
        <v>9.0000000000000011E-3</v>
      </c>
      <c r="O329" s="462" t="s">
        <v>934</v>
      </c>
    </row>
    <row r="330" spans="1:15" ht="18" customHeight="1" x14ac:dyDescent="0.25">
      <c r="A330" s="116">
        <v>5</v>
      </c>
      <c r="B330" s="117" t="s">
        <v>94</v>
      </c>
      <c r="C330" s="116">
        <v>202</v>
      </c>
      <c r="D330" s="120" t="s">
        <v>91</v>
      </c>
      <c r="E330" s="120" t="s">
        <v>1037</v>
      </c>
      <c r="F330" s="117" t="s">
        <v>933</v>
      </c>
      <c r="G330" s="281">
        <v>1</v>
      </c>
      <c r="H330" s="260">
        <v>32407</v>
      </c>
      <c r="I330" s="260">
        <v>32407</v>
      </c>
      <c r="J330" s="260">
        <v>0</v>
      </c>
      <c r="K330" s="260">
        <v>32407</v>
      </c>
      <c r="L330" s="260">
        <v>2593</v>
      </c>
      <c r="M330" s="260">
        <v>35000</v>
      </c>
      <c r="N330" s="119">
        <v>3.0999999999999999E-3</v>
      </c>
      <c r="O330" s="462" t="s">
        <v>934</v>
      </c>
    </row>
    <row r="331" spans="1:15" ht="18" customHeight="1" x14ac:dyDescent="0.25">
      <c r="A331" s="116">
        <v>5</v>
      </c>
      <c r="B331" s="117" t="s">
        <v>94</v>
      </c>
      <c r="C331" s="116">
        <v>212</v>
      </c>
      <c r="D331" s="120" t="s">
        <v>91</v>
      </c>
      <c r="E331" s="120" t="s">
        <v>165</v>
      </c>
      <c r="F331" s="117" t="s">
        <v>933</v>
      </c>
      <c r="G331" s="281">
        <v>6</v>
      </c>
      <c r="H331" s="260">
        <v>22222</v>
      </c>
      <c r="I331" s="260">
        <v>133333</v>
      </c>
      <c r="J331" s="260">
        <v>0</v>
      </c>
      <c r="K331" s="260">
        <v>133333</v>
      </c>
      <c r="L331" s="260">
        <v>10667</v>
      </c>
      <c r="M331" s="260">
        <v>144000</v>
      </c>
      <c r="N331" s="119">
        <v>1.29E-2</v>
      </c>
      <c r="O331" s="462" t="s">
        <v>934</v>
      </c>
    </row>
    <row r="332" spans="1:15" ht="18" customHeight="1" x14ac:dyDescent="0.25">
      <c r="A332" s="116">
        <v>5</v>
      </c>
      <c r="B332" s="117" t="s">
        <v>94</v>
      </c>
      <c r="C332" s="116">
        <v>74</v>
      </c>
      <c r="D332" s="120" t="s">
        <v>91</v>
      </c>
      <c r="E332" s="120" t="s">
        <v>1000</v>
      </c>
      <c r="F332" s="117" t="s">
        <v>933</v>
      </c>
      <c r="G332" s="281">
        <v>2</v>
      </c>
      <c r="H332" s="260">
        <v>6481</v>
      </c>
      <c r="I332" s="260">
        <v>12963</v>
      </c>
      <c r="J332" s="260">
        <v>0</v>
      </c>
      <c r="K332" s="260">
        <v>12963</v>
      </c>
      <c r="L332" s="260">
        <v>1037</v>
      </c>
      <c r="M332" s="260">
        <v>14000</v>
      </c>
      <c r="N332" s="119">
        <v>1.2999999999999999E-3</v>
      </c>
      <c r="O332" s="462" t="s">
        <v>934</v>
      </c>
    </row>
    <row r="333" spans="1:15" ht="18" customHeight="1" x14ac:dyDescent="0.25">
      <c r="A333" s="116">
        <v>5</v>
      </c>
      <c r="B333" s="117" t="s">
        <v>94</v>
      </c>
      <c r="C333" s="116">
        <v>134</v>
      </c>
      <c r="D333" s="120" t="s">
        <v>91</v>
      </c>
      <c r="E333" s="120" t="s">
        <v>1017</v>
      </c>
      <c r="F333" s="117" t="s">
        <v>933</v>
      </c>
      <c r="G333" s="281">
        <v>5</v>
      </c>
      <c r="H333" s="260">
        <v>12963</v>
      </c>
      <c r="I333" s="260">
        <v>64815</v>
      </c>
      <c r="J333" s="260">
        <v>0</v>
      </c>
      <c r="K333" s="260">
        <v>64815</v>
      </c>
      <c r="L333" s="260">
        <v>5185</v>
      </c>
      <c r="M333" s="260">
        <v>70000</v>
      </c>
      <c r="N333" s="119">
        <v>6.3E-3</v>
      </c>
      <c r="O333" s="462" t="s">
        <v>934</v>
      </c>
    </row>
    <row r="334" spans="1:15" ht="18" customHeight="1" x14ac:dyDescent="0.25">
      <c r="A334" s="116">
        <v>5</v>
      </c>
      <c r="B334" s="117" t="s">
        <v>94</v>
      </c>
      <c r="C334" s="116">
        <v>501</v>
      </c>
      <c r="D334" s="120" t="s">
        <v>91</v>
      </c>
      <c r="E334" s="120" t="s">
        <v>960</v>
      </c>
      <c r="F334" s="117" t="s">
        <v>933</v>
      </c>
      <c r="G334" s="281">
        <v>1</v>
      </c>
      <c r="H334" s="260">
        <v>22222</v>
      </c>
      <c r="I334" s="260">
        <v>22222</v>
      </c>
      <c r="J334" s="260">
        <v>0</v>
      </c>
      <c r="K334" s="260">
        <v>22222</v>
      </c>
      <c r="L334" s="260">
        <v>1778</v>
      </c>
      <c r="M334" s="260">
        <v>24000</v>
      </c>
      <c r="N334" s="119">
        <v>2.2000000000000001E-3</v>
      </c>
      <c r="O334" s="462" t="s">
        <v>934</v>
      </c>
    </row>
    <row r="335" spans="1:15" ht="18" customHeight="1" x14ac:dyDescent="0.25">
      <c r="A335" s="116">
        <v>5</v>
      </c>
      <c r="B335" s="117" t="s">
        <v>94</v>
      </c>
      <c r="C335" s="116">
        <v>75</v>
      </c>
      <c r="D335" s="120" t="s">
        <v>91</v>
      </c>
      <c r="E335" s="120" t="s">
        <v>961</v>
      </c>
      <c r="F335" s="117" t="s">
        <v>933</v>
      </c>
      <c r="G335" s="281">
        <v>1</v>
      </c>
      <c r="H335" s="260">
        <v>9259</v>
      </c>
      <c r="I335" s="260">
        <v>9259</v>
      </c>
      <c r="J335" s="260">
        <v>0</v>
      </c>
      <c r="K335" s="260">
        <v>9259</v>
      </c>
      <c r="L335" s="260">
        <v>741</v>
      </c>
      <c r="M335" s="260">
        <v>10000</v>
      </c>
      <c r="N335" s="119">
        <v>8.9999999999999998E-4</v>
      </c>
      <c r="O335" s="462" t="s">
        <v>934</v>
      </c>
    </row>
    <row r="336" spans="1:15" ht="18" customHeight="1" x14ac:dyDescent="0.25">
      <c r="A336" s="116">
        <v>5</v>
      </c>
      <c r="B336" s="117" t="s">
        <v>94</v>
      </c>
      <c r="C336" s="116">
        <v>51</v>
      </c>
      <c r="D336" s="120" t="s">
        <v>87</v>
      </c>
      <c r="E336" s="120" t="s">
        <v>1038</v>
      </c>
      <c r="F336" s="117" t="s">
        <v>933</v>
      </c>
      <c r="G336" s="281">
        <v>5</v>
      </c>
      <c r="H336" s="260">
        <v>29167</v>
      </c>
      <c r="I336" s="260">
        <v>145833</v>
      </c>
      <c r="J336" s="260">
        <v>0</v>
      </c>
      <c r="K336" s="260">
        <v>145833</v>
      </c>
      <c r="L336" s="260">
        <v>11667</v>
      </c>
      <c r="M336" s="260">
        <v>157500</v>
      </c>
      <c r="N336" s="119">
        <v>1.41E-2</v>
      </c>
      <c r="O336" s="462" t="s">
        <v>934</v>
      </c>
    </row>
    <row r="337" spans="1:15" ht="18" customHeight="1" x14ac:dyDescent="0.25">
      <c r="A337" s="116">
        <v>5</v>
      </c>
      <c r="B337" s="117" t="s">
        <v>94</v>
      </c>
      <c r="C337" s="116">
        <v>88</v>
      </c>
      <c r="D337" s="120" t="s">
        <v>87</v>
      </c>
      <c r="E337" s="120" t="s">
        <v>129</v>
      </c>
      <c r="F337" s="117" t="s">
        <v>933</v>
      </c>
      <c r="G337" s="281">
        <v>21</v>
      </c>
      <c r="H337" s="260">
        <v>32870</v>
      </c>
      <c r="I337" s="260">
        <v>690278</v>
      </c>
      <c r="J337" s="260">
        <v>0</v>
      </c>
      <c r="K337" s="260">
        <v>690278</v>
      </c>
      <c r="L337" s="260">
        <v>55222</v>
      </c>
      <c r="M337" s="260">
        <v>745500</v>
      </c>
      <c r="N337" s="119">
        <v>6.6799999999999998E-2</v>
      </c>
      <c r="O337" s="462" t="s">
        <v>934</v>
      </c>
    </row>
    <row r="338" spans="1:15" ht="18" customHeight="1" x14ac:dyDescent="0.25">
      <c r="A338" s="116">
        <v>5</v>
      </c>
      <c r="B338" s="117" t="s">
        <v>94</v>
      </c>
      <c r="C338" s="116">
        <v>118</v>
      </c>
      <c r="D338" s="120" t="s">
        <v>87</v>
      </c>
      <c r="E338" s="120" t="s">
        <v>126</v>
      </c>
      <c r="F338" s="117" t="s">
        <v>933</v>
      </c>
      <c r="G338" s="281">
        <v>10</v>
      </c>
      <c r="H338" s="260">
        <v>41667</v>
      </c>
      <c r="I338" s="260">
        <v>416667</v>
      </c>
      <c r="J338" s="260">
        <v>0</v>
      </c>
      <c r="K338" s="260">
        <v>416667</v>
      </c>
      <c r="L338" s="260">
        <v>33333</v>
      </c>
      <c r="M338" s="260">
        <v>450000</v>
      </c>
      <c r="N338" s="119">
        <v>4.0300000000000002E-2</v>
      </c>
      <c r="O338" s="462" t="s">
        <v>934</v>
      </c>
    </row>
    <row r="339" spans="1:15" ht="18" customHeight="1" x14ac:dyDescent="0.25">
      <c r="A339" s="116">
        <v>5</v>
      </c>
      <c r="B339" s="117" t="s">
        <v>94</v>
      </c>
      <c r="C339" s="116">
        <v>205</v>
      </c>
      <c r="D339" s="120" t="s">
        <v>91</v>
      </c>
      <c r="E339" s="120" t="s">
        <v>1002</v>
      </c>
      <c r="F339" s="117" t="s">
        <v>933</v>
      </c>
      <c r="G339" s="281">
        <v>1</v>
      </c>
      <c r="H339" s="260">
        <v>12037</v>
      </c>
      <c r="I339" s="260">
        <v>12037</v>
      </c>
      <c r="J339" s="260">
        <v>0</v>
      </c>
      <c r="K339" s="260">
        <v>12037</v>
      </c>
      <c r="L339" s="260">
        <v>963</v>
      </c>
      <c r="M339" s="260">
        <v>13000</v>
      </c>
      <c r="N339" s="119">
        <v>1.1999999999999999E-3</v>
      </c>
      <c r="O339" s="462" t="s">
        <v>934</v>
      </c>
    </row>
    <row r="340" spans="1:15" ht="18" customHeight="1" x14ac:dyDescent="0.25">
      <c r="A340" s="116">
        <v>5</v>
      </c>
      <c r="B340" s="117" t="s">
        <v>94</v>
      </c>
      <c r="C340" s="116">
        <v>204</v>
      </c>
      <c r="D340" s="120" t="s">
        <v>91</v>
      </c>
      <c r="E340" s="120" t="s">
        <v>962</v>
      </c>
      <c r="F340" s="117" t="s">
        <v>933</v>
      </c>
      <c r="G340" s="281">
        <v>5</v>
      </c>
      <c r="H340" s="260">
        <v>12037</v>
      </c>
      <c r="I340" s="260">
        <v>60185</v>
      </c>
      <c r="J340" s="260">
        <v>0</v>
      </c>
      <c r="K340" s="260">
        <v>60185</v>
      </c>
      <c r="L340" s="260">
        <v>4815</v>
      </c>
      <c r="M340" s="260">
        <v>65000</v>
      </c>
      <c r="N340" s="119">
        <v>5.7999999999999996E-3</v>
      </c>
      <c r="O340" s="462" t="s">
        <v>934</v>
      </c>
    </row>
    <row r="341" spans="1:15" ht="18" customHeight="1" x14ac:dyDescent="0.25">
      <c r="A341" s="116">
        <v>5</v>
      </c>
      <c r="B341" s="117" t="s">
        <v>94</v>
      </c>
      <c r="C341" s="116">
        <v>109</v>
      </c>
      <c r="D341" s="120" t="s">
        <v>91</v>
      </c>
      <c r="E341" s="120" t="s">
        <v>147</v>
      </c>
      <c r="F341" s="117" t="s">
        <v>933</v>
      </c>
      <c r="G341" s="281">
        <v>32</v>
      </c>
      <c r="H341" s="260">
        <v>12963</v>
      </c>
      <c r="I341" s="260">
        <v>414815</v>
      </c>
      <c r="J341" s="260">
        <v>0</v>
      </c>
      <c r="K341" s="260">
        <v>414815</v>
      </c>
      <c r="L341" s="260">
        <v>33185</v>
      </c>
      <c r="M341" s="260">
        <v>448000</v>
      </c>
      <c r="N341" s="119">
        <v>4.0099999999999997E-2</v>
      </c>
      <c r="O341" s="462" t="s">
        <v>934</v>
      </c>
    </row>
    <row r="342" spans="1:15" ht="18" customHeight="1" x14ac:dyDescent="0.25">
      <c r="A342" s="116">
        <v>5</v>
      </c>
      <c r="B342" s="117" t="s">
        <v>94</v>
      </c>
      <c r="C342" s="116">
        <v>147</v>
      </c>
      <c r="D342" s="120" t="s">
        <v>91</v>
      </c>
      <c r="E342" s="120" t="s">
        <v>963</v>
      </c>
      <c r="F342" s="117" t="s">
        <v>933</v>
      </c>
      <c r="G342" s="281">
        <v>13</v>
      </c>
      <c r="H342" s="260">
        <v>6481</v>
      </c>
      <c r="I342" s="260">
        <v>84259</v>
      </c>
      <c r="J342" s="260">
        <v>0</v>
      </c>
      <c r="K342" s="260">
        <v>84259</v>
      </c>
      <c r="L342" s="260">
        <v>6741</v>
      </c>
      <c r="M342" s="260">
        <v>91000</v>
      </c>
      <c r="N342" s="119">
        <v>8.199999999999999E-3</v>
      </c>
      <c r="O342" s="462" t="s">
        <v>934</v>
      </c>
    </row>
    <row r="343" spans="1:15" ht="18" customHeight="1" x14ac:dyDescent="0.25">
      <c r="A343" s="116">
        <v>5</v>
      </c>
      <c r="B343" s="117" t="s">
        <v>94</v>
      </c>
      <c r="C343" s="116">
        <v>46</v>
      </c>
      <c r="D343" s="120" t="s">
        <v>87</v>
      </c>
      <c r="E343" s="120" t="s">
        <v>964</v>
      </c>
      <c r="F343" s="117" t="s">
        <v>933</v>
      </c>
      <c r="G343" s="281">
        <v>1</v>
      </c>
      <c r="H343" s="260">
        <v>35648</v>
      </c>
      <c r="I343" s="260">
        <v>35648</v>
      </c>
      <c r="J343" s="260">
        <v>0</v>
      </c>
      <c r="K343" s="260">
        <v>35648</v>
      </c>
      <c r="L343" s="260">
        <v>2852</v>
      </c>
      <c r="M343" s="260">
        <v>38500</v>
      </c>
      <c r="N343" s="119">
        <v>3.3999999999999998E-3</v>
      </c>
      <c r="O343" s="462" t="s">
        <v>934</v>
      </c>
    </row>
    <row r="344" spans="1:15" ht="18" customHeight="1" x14ac:dyDescent="0.25">
      <c r="A344" s="116">
        <v>5</v>
      </c>
      <c r="B344" s="117" t="s">
        <v>94</v>
      </c>
      <c r="C344" s="116">
        <v>72</v>
      </c>
      <c r="D344" s="120" t="s">
        <v>97</v>
      </c>
      <c r="E344" s="120" t="s">
        <v>965</v>
      </c>
      <c r="F344" s="117" t="s">
        <v>933</v>
      </c>
      <c r="G344" s="281">
        <v>14</v>
      </c>
      <c r="H344" s="260">
        <v>3704</v>
      </c>
      <c r="I344" s="260">
        <v>51852</v>
      </c>
      <c r="J344" s="260">
        <v>0</v>
      </c>
      <c r="K344" s="260">
        <v>51852</v>
      </c>
      <c r="L344" s="260">
        <v>4148</v>
      </c>
      <c r="M344" s="260">
        <v>56000</v>
      </c>
      <c r="N344" s="119">
        <v>5.0000000000000001E-3</v>
      </c>
      <c r="O344" s="462" t="s">
        <v>934</v>
      </c>
    </row>
    <row r="345" spans="1:15" ht="18" customHeight="1" x14ac:dyDescent="0.25">
      <c r="A345" s="116">
        <v>5</v>
      </c>
      <c r="B345" s="117" t="s">
        <v>94</v>
      </c>
      <c r="C345" s="116">
        <v>112</v>
      </c>
      <c r="D345" s="120" t="s">
        <v>87</v>
      </c>
      <c r="E345" s="120" t="s">
        <v>966</v>
      </c>
      <c r="F345" s="117" t="s">
        <v>933</v>
      </c>
      <c r="G345" s="281">
        <v>1</v>
      </c>
      <c r="H345" s="260">
        <v>41667</v>
      </c>
      <c r="I345" s="260">
        <v>41667</v>
      </c>
      <c r="J345" s="260">
        <v>0</v>
      </c>
      <c r="K345" s="260">
        <v>41667</v>
      </c>
      <c r="L345" s="260">
        <v>3333</v>
      </c>
      <c r="M345" s="260">
        <v>45000</v>
      </c>
      <c r="N345" s="119">
        <v>4.0000000000000001E-3</v>
      </c>
      <c r="O345" s="462" t="s">
        <v>934</v>
      </c>
    </row>
    <row r="346" spans="1:15" ht="18" customHeight="1" x14ac:dyDescent="0.25">
      <c r="A346" s="116">
        <v>5</v>
      </c>
      <c r="B346" s="117" t="s">
        <v>94</v>
      </c>
      <c r="C346" s="116">
        <v>227</v>
      </c>
      <c r="D346" s="120" t="s">
        <v>87</v>
      </c>
      <c r="E346" s="120" t="s">
        <v>1018</v>
      </c>
      <c r="F346" s="117" t="s">
        <v>933</v>
      </c>
      <c r="G346" s="281">
        <v>2</v>
      </c>
      <c r="H346" s="260">
        <v>1389</v>
      </c>
      <c r="I346" s="260">
        <v>2778</v>
      </c>
      <c r="J346" s="260">
        <v>0</v>
      </c>
      <c r="K346" s="260">
        <v>2778</v>
      </c>
      <c r="L346" s="260">
        <v>222</v>
      </c>
      <c r="M346" s="260">
        <v>3000</v>
      </c>
      <c r="N346" s="119">
        <v>2.9999999999999997E-4</v>
      </c>
      <c r="O346" s="462" t="s">
        <v>934</v>
      </c>
    </row>
    <row r="347" spans="1:15" ht="18" customHeight="1" x14ac:dyDescent="0.25">
      <c r="A347" s="116">
        <v>5</v>
      </c>
      <c r="B347" s="117" t="s">
        <v>94</v>
      </c>
      <c r="C347" s="116">
        <v>101</v>
      </c>
      <c r="D347" s="120" t="s">
        <v>87</v>
      </c>
      <c r="E347" s="120" t="s">
        <v>967</v>
      </c>
      <c r="F347" s="117" t="s">
        <v>933</v>
      </c>
      <c r="G347" s="281">
        <v>2</v>
      </c>
      <c r="H347" s="260">
        <v>2315</v>
      </c>
      <c r="I347" s="260">
        <v>4630</v>
      </c>
      <c r="J347" s="260">
        <v>0</v>
      </c>
      <c r="K347" s="260">
        <v>4630</v>
      </c>
      <c r="L347" s="260">
        <v>370</v>
      </c>
      <c r="M347" s="260">
        <v>5000</v>
      </c>
      <c r="N347" s="119">
        <v>4.0000000000000002E-4</v>
      </c>
      <c r="O347" s="462" t="s">
        <v>934</v>
      </c>
    </row>
    <row r="348" spans="1:15" ht="18" customHeight="1" x14ac:dyDescent="0.25">
      <c r="A348" s="116">
        <v>5</v>
      </c>
      <c r="B348" s="117" t="s">
        <v>94</v>
      </c>
      <c r="C348" s="116">
        <v>119</v>
      </c>
      <c r="D348" s="120" t="s">
        <v>89</v>
      </c>
      <c r="E348" s="120" t="s">
        <v>114</v>
      </c>
      <c r="F348" s="117" t="s">
        <v>933</v>
      </c>
      <c r="G348" s="281">
        <v>19</v>
      </c>
      <c r="H348" s="260">
        <v>44444</v>
      </c>
      <c r="I348" s="260">
        <v>844444</v>
      </c>
      <c r="J348" s="260">
        <v>0</v>
      </c>
      <c r="K348" s="260">
        <v>844444</v>
      </c>
      <c r="L348" s="260">
        <v>67556</v>
      </c>
      <c r="M348" s="260">
        <v>912000</v>
      </c>
      <c r="N348" s="119">
        <v>8.1699999999999995E-2</v>
      </c>
      <c r="O348" s="462" t="s">
        <v>934</v>
      </c>
    </row>
    <row r="349" spans="1:15" ht="18" customHeight="1" x14ac:dyDescent="0.25">
      <c r="A349" s="116">
        <v>5</v>
      </c>
      <c r="B349" s="117" t="s">
        <v>94</v>
      </c>
      <c r="C349" s="116">
        <v>19</v>
      </c>
      <c r="D349" s="120" t="s">
        <v>87</v>
      </c>
      <c r="E349" s="120" t="s">
        <v>968</v>
      </c>
      <c r="F349" s="117" t="s">
        <v>933</v>
      </c>
      <c r="G349" s="281">
        <v>4</v>
      </c>
      <c r="H349" s="260">
        <v>9259</v>
      </c>
      <c r="I349" s="260">
        <v>37037</v>
      </c>
      <c r="J349" s="260">
        <v>0</v>
      </c>
      <c r="K349" s="260">
        <v>37037</v>
      </c>
      <c r="L349" s="260">
        <v>2963</v>
      </c>
      <c r="M349" s="260">
        <v>40000</v>
      </c>
      <c r="N349" s="119">
        <v>3.5999999999999999E-3</v>
      </c>
      <c r="O349" s="462" t="s">
        <v>934</v>
      </c>
    </row>
    <row r="350" spans="1:15" ht="18" customHeight="1" x14ac:dyDescent="0.25">
      <c r="A350" s="116">
        <v>5</v>
      </c>
      <c r="B350" s="117" t="s">
        <v>94</v>
      </c>
      <c r="C350" s="116">
        <v>20</v>
      </c>
      <c r="D350" s="120" t="s">
        <v>87</v>
      </c>
      <c r="E350" s="120" t="s">
        <v>1019</v>
      </c>
      <c r="F350" s="117" t="s">
        <v>933</v>
      </c>
      <c r="G350" s="281">
        <v>1</v>
      </c>
      <c r="H350" s="260">
        <v>6481</v>
      </c>
      <c r="I350" s="260">
        <v>6481</v>
      </c>
      <c r="J350" s="260">
        <v>0</v>
      </c>
      <c r="K350" s="260">
        <v>6481</v>
      </c>
      <c r="L350" s="260">
        <v>519</v>
      </c>
      <c r="M350" s="260">
        <v>7000</v>
      </c>
      <c r="N350" s="119">
        <v>5.9999999999999995E-4</v>
      </c>
      <c r="O350" s="462" t="s">
        <v>934</v>
      </c>
    </row>
    <row r="351" spans="1:15" ht="18" customHeight="1" x14ac:dyDescent="0.25">
      <c r="A351" s="116">
        <v>5</v>
      </c>
      <c r="B351" s="117" t="s">
        <v>94</v>
      </c>
      <c r="C351" s="116">
        <v>48</v>
      </c>
      <c r="D351" s="120" t="s">
        <v>87</v>
      </c>
      <c r="E351" s="120" t="s">
        <v>1039</v>
      </c>
      <c r="F351" s="117" t="s">
        <v>933</v>
      </c>
      <c r="G351" s="281">
        <v>1</v>
      </c>
      <c r="H351" s="260">
        <v>129630</v>
      </c>
      <c r="I351" s="260">
        <v>129630</v>
      </c>
      <c r="J351" s="260">
        <v>0</v>
      </c>
      <c r="K351" s="260">
        <v>129630</v>
      </c>
      <c r="L351" s="260">
        <v>10370</v>
      </c>
      <c r="M351" s="260">
        <v>140000</v>
      </c>
      <c r="N351" s="119">
        <v>1.2500000000000001E-2</v>
      </c>
      <c r="O351" s="462" t="s">
        <v>934</v>
      </c>
    </row>
    <row r="352" spans="1:15" ht="18" customHeight="1" x14ac:dyDescent="0.25">
      <c r="A352" s="116">
        <v>5</v>
      </c>
      <c r="B352" s="117" t="s">
        <v>94</v>
      </c>
      <c r="C352" s="116">
        <v>47</v>
      </c>
      <c r="D352" s="120" t="s">
        <v>87</v>
      </c>
      <c r="E352" s="120" t="s">
        <v>1040</v>
      </c>
      <c r="F352" s="117" t="s">
        <v>933</v>
      </c>
      <c r="G352" s="281">
        <v>1</v>
      </c>
      <c r="H352" s="260">
        <v>64815</v>
      </c>
      <c r="I352" s="260">
        <v>64815</v>
      </c>
      <c r="J352" s="260">
        <v>0</v>
      </c>
      <c r="K352" s="260">
        <v>64815</v>
      </c>
      <c r="L352" s="260">
        <v>5185</v>
      </c>
      <c r="M352" s="260">
        <v>70000</v>
      </c>
      <c r="N352" s="119">
        <v>6.3E-3</v>
      </c>
      <c r="O352" s="462" t="s">
        <v>934</v>
      </c>
    </row>
    <row r="353" spans="1:15" ht="18" customHeight="1" x14ac:dyDescent="0.25">
      <c r="A353" s="116">
        <v>5</v>
      </c>
      <c r="B353" s="117" t="s">
        <v>94</v>
      </c>
      <c r="C353" s="116">
        <v>77</v>
      </c>
      <c r="D353" s="120" t="s">
        <v>87</v>
      </c>
      <c r="E353" s="120" t="s">
        <v>969</v>
      </c>
      <c r="F353" s="117" t="s">
        <v>933</v>
      </c>
      <c r="G353" s="281">
        <v>2</v>
      </c>
      <c r="H353" s="260">
        <v>2778</v>
      </c>
      <c r="I353" s="260">
        <v>5556</v>
      </c>
      <c r="J353" s="260">
        <v>0</v>
      </c>
      <c r="K353" s="260">
        <v>5556</v>
      </c>
      <c r="L353" s="260">
        <v>444</v>
      </c>
      <c r="M353" s="260">
        <v>6000</v>
      </c>
      <c r="N353" s="119">
        <v>5.0000000000000001E-4</v>
      </c>
      <c r="O353" s="462" t="s">
        <v>934</v>
      </c>
    </row>
    <row r="354" spans="1:15" ht="18" customHeight="1" x14ac:dyDescent="0.25">
      <c r="A354" s="116">
        <v>5</v>
      </c>
      <c r="B354" s="117" t="s">
        <v>94</v>
      </c>
      <c r="C354" s="116">
        <v>111</v>
      </c>
      <c r="D354" s="120" t="s">
        <v>87</v>
      </c>
      <c r="E354" s="120" t="s">
        <v>1041</v>
      </c>
      <c r="F354" s="117" t="s">
        <v>933</v>
      </c>
      <c r="G354" s="281">
        <v>0</v>
      </c>
      <c r="H354" s="260">
        <v>0</v>
      </c>
      <c r="I354" s="260">
        <v>0</v>
      </c>
      <c r="J354" s="260">
        <v>0</v>
      </c>
      <c r="K354" s="260">
        <v>0</v>
      </c>
      <c r="L354" s="260">
        <v>0</v>
      </c>
      <c r="M354" s="260">
        <v>0</v>
      </c>
      <c r="N354" s="119">
        <v>0</v>
      </c>
      <c r="O354" s="462" t="s">
        <v>934</v>
      </c>
    </row>
    <row r="355" spans="1:15" ht="18" customHeight="1" x14ac:dyDescent="0.25">
      <c r="A355" s="116">
        <v>5</v>
      </c>
      <c r="B355" s="117" t="s">
        <v>94</v>
      </c>
      <c r="C355" s="116">
        <v>86</v>
      </c>
      <c r="D355" s="120" t="s">
        <v>95</v>
      </c>
      <c r="E355" s="120" t="s">
        <v>972</v>
      </c>
      <c r="F355" s="117" t="s">
        <v>933</v>
      </c>
      <c r="G355" s="281">
        <v>15</v>
      </c>
      <c r="H355" s="260">
        <v>3241</v>
      </c>
      <c r="I355" s="260">
        <v>48611</v>
      </c>
      <c r="J355" s="260">
        <v>0</v>
      </c>
      <c r="K355" s="260">
        <v>48611</v>
      </c>
      <c r="L355" s="260">
        <v>3889</v>
      </c>
      <c r="M355" s="260">
        <v>52500</v>
      </c>
      <c r="N355" s="119">
        <v>4.6999999999999993E-3</v>
      </c>
      <c r="O355" s="462" t="s">
        <v>934</v>
      </c>
    </row>
    <row r="356" spans="1:15" ht="18" customHeight="1" x14ac:dyDescent="0.25">
      <c r="A356" s="116">
        <v>5</v>
      </c>
      <c r="B356" s="117" t="s">
        <v>94</v>
      </c>
      <c r="C356" s="116">
        <v>80</v>
      </c>
      <c r="D356" s="120" t="s">
        <v>95</v>
      </c>
      <c r="E356" s="120" t="s">
        <v>973</v>
      </c>
      <c r="F356" s="117" t="s">
        <v>933</v>
      </c>
      <c r="G356" s="281">
        <v>0</v>
      </c>
      <c r="H356" s="260">
        <v>0</v>
      </c>
      <c r="I356" s="260">
        <v>0</v>
      </c>
      <c r="J356" s="260">
        <v>0</v>
      </c>
      <c r="K356" s="260">
        <v>0</v>
      </c>
      <c r="L356" s="260">
        <v>0</v>
      </c>
      <c r="M356" s="260">
        <v>0</v>
      </c>
      <c r="N356" s="119">
        <v>0</v>
      </c>
      <c r="O356" s="462" t="s">
        <v>934</v>
      </c>
    </row>
    <row r="357" spans="1:15" ht="18" customHeight="1" x14ac:dyDescent="0.25">
      <c r="A357" s="116">
        <v>5</v>
      </c>
      <c r="B357" s="117" t="s">
        <v>94</v>
      </c>
      <c r="C357" s="116">
        <v>91</v>
      </c>
      <c r="D357" s="120" t="s">
        <v>95</v>
      </c>
      <c r="E357" s="120" t="s">
        <v>1042</v>
      </c>
      <c r="F357" s="117" t="s">
        <v>933</v>
      </c>
      <c r="G357" s="281">
        <v>0</v>
      </c>
      <c r="H357" s="260">
        <v>0</v>
      </c>
      <c r="I357" s="260">
        <v>0</v>
      </c>
      <c r="J357" s="260">
        <v>0</v>
      </c>
      <c r="K357" s="260">
        <v>0</v>
      </c>
      <c r="L357" s="260">
        <v>0</v>
      </c>
      <c r="M357" s="260">
        <v>0</v>
      </c>
      <c r="N357" s="119">
        <v>0</v>
      </c>
      <c r="O357" s="462" t="s">
        <v>934</v>
      </c>
    </row>
    <row r="358" spans="1:15" ht="18" customHeight="1" x14ac:dyDescent="0.25">
      <c r="A358" s="116">
        <v>5</v>
      </c>
      <c r="B358" s="117" t="s">
        <v>94</v>
      </c>
      <c r="C358" s="116">
        <v>100</v>
      </c>
      <c r="D358" s="120" t="s">
        <v>95</v>
      </c>
      <c r="E358" s="120" t="s">
        <v>1043</v>
      </c>
      <c r="F358" s="117" t="s">
        <v>933</v>
      </c>
      <c r="G358" s="281">
        <v>4</v>
      </c>
      <c r="H358" s="260">
        <v>19444</v>
      </c>
      <c r="I358" s="260">
        <v>77778</v>
      </c>
      <c r="J358" s="260">
        <v>0</v>
      </c>
      <c r="K358" s="260">
        <v>77778</v>
      </c>
      <c r="L358" s="260">
        <v>6222</v>
      </c>
      <c r="M358" s="260">
        <v>84000</v>
      </c>
      <c r="N358" s="119">
        <v>7.4999999999999997E-3</v>
      </c>
      <c r="O358" s="462" t="s">
        <v>934</v>
      </c>
    </row>
    <row r="359" spans="1:15" ht="18" customHeight="1" x14ac:dyDescent="0.25">
      <c r="A359" s="116">
        <v>5</v>
      </c>
      <c r="B359" s="117" t="s">
        <v>94</v>
      </c>
      <c r="C359" s="116">
        <v>63</v>
      </c>
      <c r="D359" s="120" t="s">
        <v>95</v>
      </c>
      <c r="E359" s="120" t="s">
        <v>1031</v>
      </c>
      <c r="F359" s="117" t="s">
        <v>933</v>
      </c>
      <c r="G359" s="281">
        <v>1</v>
      </c>
      <c r="H359" s="260">
        <v>3704</v>
      </c>
      <c r="I359" s="260">
        <v>3704</v>
      </c>
      <c r="J359" s="260">
        <v>0</v>
      </c>
      <c r="K359" s="260">
        <v>3704</v>
      </c>
      <c r="L359" s="260">
        <v>296</v>
      </c>
      <c r="M359" s="260">
        <v>4000</v>
      </c>
      <c r="N359" s="119">
        <v>4.0000000000000002E-4</v>
      </c>
      <c r="O359" s="462" t="s">
        <v>934</v>
      </c>
    </row>
    <row r="360" spans="1:15" ht="18" customHeight="1" x14ac:dyDescent="0.25">
      <c r="A360" s="116">
        <v>5</v>
      </c>
      <c r="B360" s="117" t="s">
        <v>94</v>
      </c>
      <c r="C360" s="116">
        <v>79</v>
      </c>
      <c r="D360" s="120" t="s">
        <v>95</v>
      </c>
      <c r="E360" s="120" t="s">
        <v>975</v>
      </c>
      <c r="F360" s="117" t="s">
        <v>933</v>
      </c>
      <c r="G360" s="281">
        <v>2</v>
      </c>
      <c r="H360" s="260">
        <v>6481</v>
      </c>
      <c r="I360" s="260">
        <v>12963</v>
      </c>
      <c r="J360" s="260">
        <v>0</v>
      </c>
      <c r="K360" s="260">
        <v>12963</v>
      </c>
      <c r="L360" s="260">
        <v>1037</v>
      </c>
      <c r="M360" s="260">
        <v>14000</v>
      </c>
      <c r="N360" s="119">
        <v>1.2999999999999999E-3</v>
      </c>
      <c r="O360" s="462" t="s">
        <v>934</v>
      </c>
    </row>
    <row r="361" spans="1:15" ht="18" customHeight="1" x14ac:dyDescent="0.25">
      <c r="A361" s="116">
        <v>5</v>
      </c>
      <c r="B361" s="117" t="s">
        <v>94</v>
      </c>
      <c r="C361" s="116">
        <v>62</v>
      </c>
      <c r="D361" s="120" t="s">
        <v>95</v>
      </c>
      <c r="E361" s="120" t="s">
        <v>976</v>
      </c>
      <c r="F361" s="117" t="s">
        <v>933</v>
      </c>
      <c r="G361" s="281">
        <v>4</v>
      </c>
      <c r="H361" s="260">
        <v>6944</v>
      </c>
      <c r="I361" s="260">
        <v>27778</v>
      </c>
      <c r="J361" s="260">
        <v>0</v>
      </c>
      <c r="K361" s="260">
        <v>27778</v>
      </c>
      <c r="L361" s="260">
        <v>2222</v>
      </c>
      <c r="M361" s="260">
        <v>30000</v>
      </c>
      <c r="N361" s="119">
        <v>2.7000000000000001E-3</v>
      </c>
      <c r="O361" s="462" t="s">
        <v>934</v>
      </c>
    </row>
    <row r="362" spans="1:15" ht="18" customHeight="1" x14ac:dyDescent="0.25">
      <c r="A362" s="116">
        <v>5</v>
      </c>
      <c r="B362" s="117" t="s">
        <v>94</v>
      </c>
      <c r="C362" s="116">
        <v>78</v>
      </c>
      <c r="D362" s="120" t="s">
        <v>95</v>
      </c>
      <c r="E362" s="120" t="s">
        <v>977</v>
      </c>
      <c r="F362" s="117" t="s">
        <v>933</v>
      </c>
      <c r="G362" s="281">
        <v>0</v>
      </c>
      <c r="H362" s="260">
        <v>0</v>
      </c>
      <c r="I362" s="260">
        <v>0</v>
      </c>
      <c r="J362" s="260">
        <v>0</v>
      </c>
      <c r="K362" s="260">
        <v>0</v>
      </c>
      <c r="L362" s="260">
        <v>0</v>
      </c>
      <c r="M362" s="260">
        <v>0</v>
      </c>
      <c r="N362" s="119">
        <v>0</v>
      </c>
      <c r="O362" s="462" t="s">
        <v>934</v>
      </c>
    </row>
    <row r="363" spans="1:15" ht="18" customHeight="1" x14ac:dyDescent="0.25">
      <c r="A363" s="116">
        <v>5</v>
      </c>
      <c r="B363" s="117" t="s">
        <v>94</v>
      </c>
      <c r="C363" s="116">
        <v>137</v>
      </c>
      <c r="D363" s="120" t="s">
        <v>95</v>
      </c>
      <c r="E363" s="120" t="s">
        <v>1006</v>
      </c>
      <c r="F363" s="117" t="s">
        <v>933</v>
      </c>
      <c r="G363" s="281">
        <v>0</v>
      </c>
      <c r="H363" s="260">
        <v>0</v>
      </c>
      <c r="I363" s="260">
        <v>0</v>
      </c>
      <c r="J363" s="260">
        <v>0</v>
      </c>
      <c r="K363" s="260">
        <v>0</v>
      </c>
      <c r="L363" s="260">
        <v>0</v>
      </c>
      <c r="M363" s="260">
        <v>0</v>
      </c>
      <c r="N363" s="119">
        <v>0</v>
      </c>
      <c r="O363" s="462" t="s">
        <v>934</v>
      </c>
    </row>
    <row r="364" spans="1:15" ht="18" customHeight="1" x14ac:dyDescent="0.25">
      <c r="A364" s="116">
        <v>5</v>
      </c>
      <c r="B364" s="117" t="s">
        <v>94</v>
      </c>
      <c r="C364" s="116">
        <v>219</v>
      </c>
      <c r="D364" s="120" t="s">
        <v>87</v>
      </c>
      <c r="E364" s="120" t="s">
        <v>153</v>
      </c>
      <c r="F364" s="117" t="s">
        <v>933</v>
      </c>
      <c r="G364" s="281">
        <v>4</v>
      </c>
      <c r="H364" s="260">
        <v>69444</v>
      </c>
      <c r="I364" s="260">
        <v>277778</v>
      </c>
      <c r="J364" s="260">
        <v>0</v>
      </c>
      <c r="K364" s="260">
        <v>277778</v>
      </c>
      <c r="L364" s="260">
        <v>22222</v>
      </c>
      <c r="M364" s="260">
        <v>300000</v>
      </c>
      <c r="N364" s="119">
        <v>2.69E-2</v>
      </c>
      <c r="O364" s="462" t="s">
        <v>934</v>
      </c>
    </row>
    <row r="365" spans="1:15" ht="18" customHeight="1" x14ac:dyDescent="0.25">
      <c r="A365" s="116">
        <v>5</v>
      </c>
      <c r="B365" s="117" t="s">
        <v>94</v>
      </c>
      <c r="C365" s="116">
        <v>220</v>
      </c>
      <c r="D365" s="120" t="s">
        <v>87</v>
      </c>
      <c r="E365" s="120" t="s">
        <v>1044</v>
      </c>
      <c r="F365" s="117" t="s">
        <v>933</v>
      </c>
      <c r="G365" s="281">
        <v>2</v>
      </c>
      <c r="H365" s="260">
        <v>69444</v>
      </c>
      <c r="I365" s="260">
        <v>138889</v>
      </c>
      <c r="J365" s="260">
        <v>0</v>
      </c>
      <c r="K365" s="260">
        <v>138889</v>
      </c>
      <c r="L365" s="260">
        <v>11111</v>
      </c>
      <c r="M365" s="260">
        <v>150000</v>
      </c>
      <c r="N365" s="119">
        <v>1.34E-2</v>
      </c>
      <c r="O365" s="462" t="s">
        <v>934</v>
      </c>
    </row>
    <row r="366" spans="1:15" ht="18" customHeight="1" x14ac:dyDescent="0.25">
      <c r="A366" s="116">
        <v>5</v>
      </c>
      <c r="B366" s="117" t="s">
        <v>94</v>
      </c>
      <c r="C366" s="116">
        <v>140</v>
      </c>
      <c r="D366" s="120" t="s">
        <v>87</v>
      </c>
      <c r="E366" s="120" t="s">
        <v>979</v>
      </c>
      <c r="F366" s="117" t="s">
        <v>933</v>
      </c>
      <c r="G366" s="281">
        <v>1</v>
      </c>
      <c r="H366" s="260">
        <v>90741</v>
      </c>
      <c r="I366" s="260">
        <v>90741</v>
      </c>
      <c r="J366" s="260">
        <v>0</v>
      </c>
      <c r="K366" s="260">
        <v>90741</v>
      </c>
      <c r="L366" s="260">
        <v>7259</v>
      </c>
      <c r="M366" s="260">
        <v>98000</v>
      </c>
      <c r="N366" s="119">
        <v>8.8000000000000005E-3</v>
      </c>
      <c r="O366" s="462" t="s">
        <v>934</v>
      </c>
    </row>
    <row r="367" spans="1:15" ht="18" customHeight="1" x14ac:dyDescent="0.25">
      <c r="A367" s="116">
        <v>5</v>
      </c>
      <c r="B367" s="117" t="s">
        <v>94</v>
      </c>
      <c r="C367" s="116">
        <v>221</v>
      </c>
      <c r="D367" s="120" t="s">
        <v>87</v>
      </c>
      <c r="E367" s="120" t="s">
        <v>980</v>
      </c>
      <c r="F367" s="117" t="s">
        <v>933</v>
      </c>
      <c r="G367" s="281">
        <v>4</v>
      </c>
      <c r="H367" s="260">
        <v>54167</v>
      </c>
      <c r="I367" s="260">
        <v>216667</v>
      </c>
      <c r="J367" s="260">
        <v>0</v>
      </c>
      <c r="K367" s="260">
        <v>216667</v>
      </c>
      <c r="L367" s="260">
        <v>17333</v>
      </c>
      <c r="M367" s="260">
        <v>234000</v>
      </c>
      <c r="N367" s="119">
        <v>2.1000000000000001E-2</v>
      </c>
      <c r="O367" s="462" t="s">
        <v>934</v>
      </c>
    </row>
    <row r="368" spans="1:15" ht="18" customHeight="1" x14ac:dyDescent="0.25">
      <c r="A368" s="116">
        <v>5</v>
      </c>
      <c r="B368" s="117" t="s">
        <v>94</v>
      </c>
      <c r="C368" s="116">
        <v>225</v>
      </c>
      <c r="D368" s="120" t="s">
        <v>87</v>
      </c>
      <c r="E368" s="120" t="s">
        <v>1045</v>
      </c>
      <c r="F368" s="117" t="s">
        <v>933</v>
      </c>
      <c r="G368" s="281">
        <v>1</v>
      </c>
      <c r="H368" s="260">
        <v>62500</v>
      </c>
      <c r="I368" s="260">
        <v>62500</v>
      </c>
      <c r="J368" s="260">
        <v>0</v>
      </c>
      <c r="K368" s="260">
        <v>62500</v>
      </c>
      <c r="L368" s="260">
        <v>5000</v>
      </c>
      <c r="M368" s="260">
        <v>67500</v>
      </c>
      <c r="N368" s="119">
        <v>6.0000000000000001E-3</v>
      </c>
      <c r="O368" s="462" t="s">
        <v>934</v>
      </c>
    </row>
    <row r="369" spans="1:15" ht="18" customHeight="1" x14ac:dyDescent="0.25">
      <c r="A369" s="116">
        <v>5</v>
      </c>
      <c r="B369" s="117" t="s">
        <v>94</v>
      </c>
      <c r="C369" s="116">
        <v>226</v>
      </c>
      <c r="D369" s="120" t="s">
        <v>87</v>
      </c>
      <c r="E369" s="120" t="s">
        <v>1032</v>
      </c>
      <c r="F369" s="117" t="s">
        <v>933</v>
      </c>
      <c r="G369" s="281">
        <v>1</v>
      </c>
      <c r="H369" s="260">
        <v>90741</v>
      </c>
      <c r="I369" s="260">
        <v>90741</v>
      </c>
      <c r="J369" s="260">
        <v>0</v>
      </c>
      <c r="K369" s="260">
        <v>90741</v>
      </c>
      <c r="L369" s="260">
        <v>7259</v>
      </c>
      <c r="M369" s="260">
        <v>98000</v>
      </c>
      <c r="N369" s="119">
        <v>8.8000000000000005E-3</v>
      </c>
      <c r="O369" s="462" t="s">
        <v>934</v>
      </c>
    </row>
    <row r="370" spans="1:15" ht="18" customHeight="1" x14ac:dyDescent="0.25">
      <c r="A370" s="116">
        <v>5</v>
      </c>
      <c r="B370" s="117" t="s">
        <v>94</v>
      </c>
      <c r="C370" s="116">
        <v>222</v>
      </c>
      <c r="D370" s="120" t="s">
        <v>93</v>
      </c>
      <c r="E370" s="120" t="s">
        <v>981</v>
      </c>
      <c r="F370" s="117" t="s">
        <v>933</v>
      </c>
      <c r="G370" s="281">
        <v>6</v>
      </c>
      <c r="H370" s="260">
        <v>63426</v>
      </c>
      <c r="I370" s="260">
        <v>380556</v>
      </c>
      <c r="J370" s="260">
        <v>0</v>
      </c>
      <c r="K370" s="260">
        <v>380556</v>
      </c>
      <c r="L370" s="260">
        <v>30444</v>
      </c>
      <c r="M370" s="260">
        <v>411000</v>
      </c>
      <c r="N370" s="119">
        <v>3.6799999999999999E-2</v>
      </c>
      <c r="O370" s="462" t="s">
        <v>934</v>
      </c>
    </row>
    <row r="371" spans="1:15" ht="18" customHeight="1" x14ac:dyDescent="0.25">
      <c r="A371" s="116">
        <v>5</v>
      </c>
      <c r="B371" s="117" t="s">
        <v>94</v>
      </c>
      <c r="C371" s="116">
        <v>223</v>
      </c>
      <c r="D371" s="120" t="s">
        <v>87</v>
      </c>
      <c r="E371" s="120" t="s">
        <v>141</v>
      </c>
      <c r="F371" s="117" t="s">
        <v>933</v>
      </c>
      <c r="G371" s="281">
        <v>4</v>
      </c>
      <c r="H371" s="260">
        <v>69444</v>
      </c>
      <c r="I371" s="260">
        <v>277778</v>
      </c>
      <c r="J371" s="260">
        <v>0</v>
      </c>
      <c r="K371" s="260">
        <v>277778</v>
      </c>
      <c r="L371" s="260">
        <v>22222</v>
      </c>
      <c r="M371" s="260">
        <v>300000</v>
      </c>
      <c r="N371" s="119">
        <v>2.69E-2</v>
      </c>
      <c r="O371" s="462" t="s">
        <v>934</v>
      </c>
    </row>
    <row r="372" spans="1:15" ht="18" customHeight="1" x14ac:dyDescent="0.25">
      <c r="A372" s="116">
        <v>5</v>
      </c>
      <c r="B372" s="117" t="s">
        <v>94</v>
      </c>
      <c r="C372" s="116">
        <v>229</v>
      </c>
      <c r="D372" s="120" t="s">
        <v>87</v>
      </c>
      <c r="E372" s="120" t="s">
        <v>1046</v>
      </c>
      <c r="F372" s="117" t="s">
        <v>933</v>
      </c>
      <c r="G372" s="281">
        <v>2</v>
      </c>
      <c r="H372" s="260">
        <v>66204</v>
      </c>
      <c r="I372" s="260">
        <v>132407</v>
      </c>
      <c r="J372" s="260">
        <v>0</v>
      </c>
      <c r="K372" s="260">
        <v>132407</v>
      </c>
      <c r="L372" s="260">
        <v>10593</v>
      </c>
      <c r="M372" s="260">
        <v>143000</v>
      </c>
      <c r="N372" s="119">
        <v>1.2800000000000001E-2</v>
      </c>
      <c r="O372" s="462" t="s">
        <v>934</v>
      </c>
    </row>
    <row r="373" spans="1:15" ht="18" customHeight="1" x14ac:dyDescent="0.25">
      <c r="A373" s="116">
        <v>5</v>
      </c>
      <c r="B373" s="117" t="s">
        <v>94</v>
      </c>
      <c r="C373" s="116">
        <v>50</v>
      </c>
      <c r="D373" s="120" t="s">
        <v>87</v>
      </c>
      <c r="E373" s="120" t="s">
        <v>159</v>
      </c>
      <c r="F373" s="117" t="s">
        <v>933</v>
      </c>
      <c r="G373" s="281">
        <v>9</v>
      </c>
      <c r="H373" s="260">
        <v>49074</v>
      </c>
      <c r="I373" s="260">
        <v>441667</v>
      </c>
      <c r="J373" s="260">
        <v>0</v>
      </c>
      <c r="K373" s="260">
        <v>441667</v>
      </c>
      <c r="L373" s="260">
        <v>35333</v>
      </c>
      <c r="M373" s="260">
        <v>477000</v>
      </c>
      <c r="N373" s="119">
        <v>4.2699999999999988E-2</v>
      </c>
      <c r="O373" s="462" t="s">
        <v>934</v>
      </c>
    </row>
    <row r="374" spans="1:15" ht="18" customHeight="1" x14ac:dyDescent="0.25">
      <c r="A374" s="116">
        <v>5</v>
      </c>
      <c r="B374" s="117" t="s">
        <v>94</v>
      </c>
      <c r="C374" s="116">
        <v>10</v>
      </c>
      <c r="D374" s="120" t="s">
        <v>87</v>
      </c>
      <c r="E374" s="120" t="s">
        <v>1033</v>
      </c>
      <c r="F374" s="117" t="s">
        <v>933</v>
      </c>
      <c r="G374" s="281">
        <v>2</v>
      </c>
      <c r="H374" s="260">
        <v>13889</v>
      </c>
      <c r="I374" s="260">
        <v>27778</v>
      </c>
      <c r="J374" s="260">
        <v>0</v>
      </c>
      <c r="K374" s="260">
        <v>27778</v>
      </c>
      <c r="L374" s="260">
        <v>2222</v>
      </c>
      <c r="M374" s="260">
        <v>30000</v>
      </c>
      <c r="N374" s="119">
        <v>2.7000000000000001E-3</v>
      </c>
      <c r="O374" s="462" t="s">
        <v>934</v>
      </c>
    </row>
    <row r="375" spans="1:15" ht="18" customHeight="1" x14ac:dyDescent="0.25">
      <c r="A375" s="116">
        <v>5</v>
      </c>
      <c r="B375" s="117" t="s">
        <v>94</v>
      </c>
      <c r="C375" s="116">
        <v>120</v>
      </c>
      <c r="D375" s="120" t="s">
        <v>93</v>
      </c>
      <c r="E375" s="120" t="s">
        <v>982</v>
      </c>
      <c r="F375" s="117" t="s">
        <v>933</v>
      </c>
      <c r="G375" s="281">
        <v>1</v>
      </c>
      <c r="H375" s="260">
        <v>41667</v>
      </c>
      <c r="I375" s="260">
        <v>41667</v>
      </c>
      <c r="J375" s="260">
        <v>0</v>
      </c>
      <c r="K375" s="260">
        <v>41667</v>
      </c>
      <c r="L375" s="260">
        <v>3333</v>
      </c>
      <c r="M375" s="260">
        <v>45000</v>
      </c>
      <c r="N375" s="119">
        <v>4.0000000000000001E-3</v>
      </c>
      <c r="O375" s="462" t="s">
        <v>934</v>
      </c>
    </row>
    <row r="376" spans="1:15" ht="18" customHeight="1" x14ac:dyDescent="0.25">
      <c r="A376" s="116">
        <v>5</v>
      </c>
      <c r="B376" s="117" t="s">
        <v>94</v>
      </c>
      <c r="C376" s="116">
        <v>129</v>
      </c>
      <c r="D376" s="120" t="s">
        <v>93</v>
      </c>
      <c r="E376" s="120" t="s">
        <v>983</v>
      </c>
      <c r="F376" s="117" t="s">
        <v>933</v>
      </c>
      <c r="G376" s="281">
        <v>1</v>
      </c>
      <c r="H376" s="260">
        <v>44444</v>
      </c>
      <c r="I376" s="260">
        <v>44444</v>
      </c>
      <c r="J376" s="260">
        <v>0</v>
      </c>
      <c r="K376" s="260">
        <v>44444</v>
      </c>
      <c r="L376" s="260">
        <v>3556</v>
      </c>
      <c r="M376" s="260">
        <v>48000</v>
      </c>
      <c r="N376" s="119">
        <v>4.3E-3</v>
      </c>
      <c r="O376" s="462" t="s">
        <v>934</v>
      </c>
    </row>
    <row r="377" spans="1:15" ht="18" customHeight="1" x14ac:dyDescent="0.25">
      <c r="A377" s="116">
        <v>5</v>
      </c>
      <c r="B377" s="117" t="s">
        <v>94</v>
      </c>
      <c r="C377" s="116">
        <v>116</v>
      </c>
      <c r="D377" s="120" t="s">
        <v>89</v>
      </c>
      <c r="E377" s="120" t="s">
        <v>1047</v>
      </c>
      <c r="F377" s="117" t="s">
        <v>933</v>
      </c>
      <c r="G377" s="281">
        <v>14</v>
      </c>
      <c r="H377" s="260">
        <v>5556</v>
      </c>
      <c r="I377" s="260">
        <v>77778</v>
      </c>
      <c r="J377" s="260">
        <v>0</v>
      </c>
      <c r="K377" s="260">
        <v>77778</v>
      </c>
      <c r="L377" s="260">
        <v>6222</v>
      </c>
      <c r="M377" s="260">
        <v>84000</v>
      </c>
      <c r="N377" s="119">
        <v>7.4999999999999997E-3</v>
      </c>
      <c r="O377" s="462" t="s">
        <v>934</v>
      </c>
    </row>
    <row r="378" spans="1:15" ht="18" customHeight="1" x14ac:dyDescent="0.25">
      <c r="A378" s="116">
        <v>5</v>
      </c>
      <c r="B378" s="117" t="s">
        <v>94</v>
      </c>
      <c r="C378" s="116">
        <v>117</v>
      </c>
      <c r="D378" s="120" t="s">
        <v>87</v>
      </c>
      <c r="E378" s="120" t="s">
        <v>120</v>
      </c>
      <c r="F378" s="117" t="s">
        <v>933</v>
      </c>
      <c r="G378" s="281">
        <v>7</v>
      </c>
      <c r="H378" s="260">
        <v>41667</v>
      </c>
      <c r="I378" s="260">
        <v>291667</v>
      </c>
      <c r="J378" s="260">
        <v>0</v>
      </c>
      <c r="K378" s="260">
        <v>291667</v>
      </c>
      <c r="L378" s="260">
        <v>23333</v>
      </c>
      <c r="M378" s="260">
        <v>315000</v>
      </c>
      <c r="N378" s="119">
        <v>2.8199999999999999E-2</v>
      </c>
      <c r="O378" s="462" t="s">
        <v>934</v>
      </c>
    </row>
    <row r="379" spans="1:15" ht="18" customHeight="1" x14ac:dyDescent="0.25">
      <c r="A379" s="116">
        <v>5</v>
      </c>
      <c r="B379" s="117" t="s">
        <v>94</v>
      </c>
      <c r="C379" s="116">
        <v>36</v>
      </c>
      <c r="D379" s="120" t="s">
        <v>91</v>
      </c>
      <c r="E379" s="120" t="s">
        <v>984</v>
      </c>
      <c r="F379" s="117" t="s">
        <v>933</v>
      </c>
      <c r="G379" s="281">
        <v>4</v>
      </c>
      <c r="H379" s="260">
        <v>3704</v>
      </c>
      <c r="I379" s="260">
        <v>14815</v>
      </c>
      <c r="J379" s="260">
        <v>0</v>
      </c>
      <c r="K379" s="260">
        <v>14815</v>
      </c>
      <c r="L379" s="260">
        <v>1185</v>
      </c>
      <c r="M379" s="260">
        <v>16000</v>
      </c>
      <c r="N379" s="119">
        <v>1.4E-3</v>
      </c>
      <c r="O379" s="462" t="s">
        <v>934</v>
      </c>
    </row>
    <row r="380" spans="1:15" ht="18" customHeight="1" x14ac:dyDescent="0.25">
      <c r="A380" s="116">
        <v>5</v>
      </c>
      <c r="B380" s="117" t="s">
        <v>94</v>
      </c>
      <c r="C380" s="116">
        <v>61</v>
      </c>
      <c r="D380" s="120" t="s">
        <v>97</v>
      </c>
      <c r="E380" s="120" t="s">
        <v>985</v>
      </c>
      <c r="F380" s="117" t="s">
        <v>933</v>
      </c>
      <c r="G380" s="281">
        <v>1</v>
      </c>
      <c r="H380" s="260">
        <v>4630</v>
      </c>
      <c r="I380" s="260">
        <v>4630</v>
      </c>
      <c r="J380" s="260">
        <v>0</v>
      </c>
      <c r="K380" s="260">
        <v>4630</v>
      </c>
      <c r="L380" s="260">
        <v>370</v>
      </c>
      <c r="M380" s="260">
        <v>5000</v>
      </c>
      <c r="N380" s="119">
        <v>4.0000000000000002E-4</v>
      </c>
      <c r="O380" s="462" t="s">
        <v>934</v>
      </c>
    </row>
    <row r="381" spans="1:15" ht="18" customHeight="1" x14ac:dyDescent="0.25">
      <c r="A381" s="116">
        <v>5</v>
      </c>
      <c r="B381" s="117" t="s">
        <v>94</v>
      </c>
      <c r="C381" s="116">
        <v>215</v>
      </c>
      <c r="D381" s="120" t="s">
        <v>87</v>
      </c>
      <c r="E381" s="120" t="s">
        <v>132</v>
      </c>
      <c r="F381" s="117" t="s">
        <v>933</v>
      </c>
      <c r="G381" s="281">
        <v>11</v>
      </c>
      <c r="H381" s="260">
        <v>37500</v>
      </c>
      <c r="I381" s="260">
        <v>412500</v>
      </c>
      <c r="J381" s="260">
        <v>0</v>
      </c>
      <c r="K381" s="260">
        <v>412500</v>
      </c>
      <c r="L381" s="260">
        <v>33000</v>
      </c>
      <c r="M381" s="260">
        <v>445500</v>
      </c>
      <c r="N381" s="119">
        <v>3.9899999999999998E-2</v>
      </c>
      <c r="O381" s="462" t="s">
        <v>934</v>
      </c>
    </row>
    <row r="382" spans="1:15" ht="18" customHeight="1" x14ac:dyDescent="0.25">
      <c r="A382" s="116">
        <v>5</v>
      </c>
      <c r="B382" s="117" t="s">
        <v>94</v>
      </c>
      <c r="C382" s="116">
        <v>214</v>
      </c>
      <c r="D382" s="120" t="s">
        <v>87</v>
      </c>
      <c r="E382" s="120" t="s">
        <v>1007</v>
      </c>
      <c r="F382" s="117" t="s">
        <v>933</v>
      </c>
      <c r="G382" s="281">
        <v>7</v>
      </c>
      <c r="H382" s="260">
        <v>37500</v>
      </c>
      <c r="I382" s="260">
        <v>262500</v>
      </c>
      <c r="J382" s="260">
        <v>0</v>
      </c>
      <c r="K382" s="260">
        <v>262500</v>
      </c>
      <c r="L382" s="260">
        <v>21000</v>
      </c>
      <c r="M382" s="260">
        <v>283500</v>
      </c>
      <c r="N382" s="119">
        <v>2.5399999999999999E-2</v>
      </c>
      <c r="O382" s="462" t="s">
        <v>934</v>
      </c>
    </row>
    <row r="383" spans="1:15" ht="18" customHeight="1" x14ac:dyDescent="0.25">
      <c r="A383" s="116">
        <v>5</v>
      </c>
      <c r="B383" s="117" t="s">
        <v>94</v>
      </c>
      <c r="C383" s="116">
        <v>113</v>
      </c>
      <c r="D383" s="120" t="s">
        <v>89</v>
      </c>
      <c r="E383" s="120" t="s">
        <v>135</v>
      </c>
      <c r="F383" s="117" t="s">
        <v>933</v>
      </c>
      <c r="G383" s="281">
        <v>26</v>
      </c>
      <c r="H383" s="260">
        <v>22222</v>
      </c>
      <c r="I383" s="260">
        <v>577778</v>
      </c>
      <c r="J383" s="260">
        <v>0</v>
      </c>
      <c r="K383" s="260">
        <v>577778</v>
      </c>
      <c r="L383" s="260">
        <v>46222</v>
      </c>
      <c r="M383" s="260">
        <v>624000</v>
      </c>
      <c r="N383" s="119">
        <v>5.5899999999999998E-2</v>
      </c>
      <c r="O383" s="462" t="s">
        <v>934</v>
      </c>
    </row>
    <row r="384" spans="1:15" ht="18" customHeight="1" x14ac:dyDescent="0.25">
      <c r="A384" s="116">
        <v>5</v>
      </c>
      <c r="B384" s="117" t="s">
        <v>94</v>
      </c>
      <c r="C384" s="116">
        <v>96</v>
      </c>
      <c r="D384" s="120" t="s">
        <v>93</v>
      </c>
      <c r="E384" s="120" t="s">
        <v>1009</v>
      </c>
      <c r="F384" s="117" t="s">
        <v>933</v>
      </c>
      <c r="G384" s="281">
        <v>7</v>
      </c>
      <c r="H384" s="260">
        <v>35648</v>
      </c>
      <c r="I384" s="260">
        <v>249537</v>
      </c>
      <c r="J384" s="260">
        <v>0</v>
      </c>
      <c r="K384" s="260">
        <v>249537</v>
      </c>
      <c r="L384" s="260">
        <v>19963</v>
      </c>
      <c r="M384" s="260">
        <v>269500</v>
      </c>
      <c r="N384" s="119">
        <v>2.41E-2</v>
      </c>
      <c r="O384" s="462" t="s">
        <v>934</v>
      </c>
    </row>
    <row r="385" spans="1:15" ht="18" customHeight="1" x14ac:dyDescent="0.25">
      <c r="A385" s="116">
        <v>5</v>
      </c>
      <c r="B385" s="117" t="s">
        <v>94</v>
      </c>
      <c r="C385" s="116">
        <v>68</v>
      </c>
      <c r="D385" s="120" t="s">
        <v>93</v>
      </c>
      <c r="E385" s="120" t="s">
        <v>986</v>
      </c>
      <c r="F385" s="117" t="s">
        <v>933</v>
      </c>
      <c r="G385" s="281">
        <v>2</v>
      </c>
      <c r="H385" s="260">
        <v>41667</v>
      </c>
      <c r="I385" s="260">
        <v>83333</v>
      </c>
      <c r="J385" s="260">
        <v>0</v>
      </c>
      <c r="K385" s="260">
        <v>83333</v>
      </c>
      <c r="L385" s="260">
        <v>6667</v>
      </c>
      <c r="M385" s="260">
        <v>90000</v>
      </c>
      <c r="N385" s="119">
        <v>8.1000000000000013E-3</v>
      </c>
      <c r="O385" s="462" t="s">
        <v>934</v>
      </c>
    </row>
    <row r="386" spans="1:15" ht="18" customHeight="1" x14ac:dyDescent="0.25">
      <c r="A386" s="116">
        <v>5</v>
      </c>
      <c r="B386" s="117" t="s">
        <v>94</v>
      </c>
      <c r="C386" s="116">
        <v>33</v>
      </c>
      <c r="D386" s="120" t="s">
        <v>91</v>
      </c>
      <c r="E386" s="120" t="s">
        <v>987</v>
      </c>
      <c r="F386" s="117" t="s">
        <v>933</v>
      </c>
      <c r="G386" s="281">
        <v>4</v>
      </c>
      <c r="H386" s="260">
        <v>1852</v>
      </c>
      <c r="I386" s="260">
        <v>7407</v>
      </c>
      <c r="J386" s="260">
        <v>0</v>
      </c>
      <c r="K386" s="260">
        <v>7407</v>
      </c>
      <c r="L386" s="260">
        <v>593</v>
      </c>
      <c r="M386" s="260">
        <v>8000</v>
      </c>
      <c r="N386" s="119">
        <v>7.000000000000001E-4</v>
      </c>
      <c r="O386" s="462" t="s">
        <v>934</v>
      </c>
    </row>
    <row r="387" spans="1:15" ht="18" customHeight="1" x14ac:dyDescent="0.25">
      <c r="A387" s="116">
        <v>5</v>
      </c>
      <c r="B387" s="117" t="s">
        <v>94</v>
      </c>
      <c r="C387" s="116">
        <v>255</v>
      </c>
      <c r="D387" s="120" t="s">
        <v>93</v>
      </c>
      <c r="E387" s="120" t="s">
        <v>1010</v>
      </c>
      <c r="F387" s="117" t="s">
        <v>933</v>
      </c>
      <c r="G387" s="281">
        <v>2</v>
      </c>
      <c r="H387" s="260">
        <v>35648</v>
      </c>
      <c r="I387" s="260">
        <v>71296</v>
      </c>
      <c r="J387" s="260">
        <v>0</v>
      </c>
      <c r="K387" s="260">
        <v>71296</v>
      </c>
      <c r="L387" s="260">
        <v>5704</v>
      </c>
      <c r="M387" s="260">
        <v>77000</v>
      </c>
      <c r="N387" s="119">
        <v>6.8999999999999999E-3</v>
      </c>
      <c r="O387" s="462" t="s">
        <v>934</v>
      </c>
    </row>
    <row r="388" spans="1:15" ht="18" customHeight="1" x14ac:dyDescent="0.25">
      <c r="A388" s="116">
        <v>6</v>
      </c>
      <c r="B388" s="117" t="s">
        <v>96</v>
      </c>
      <c r="C388" s="116">
        <v>73</v>
      </c>
      <c r="D388" s="120" t="s">
        <v>91</v>
      </c>
      <c r="E388" s="120" t="s">
        <v>932</v>
      </c>
      <c r="F388" s="117" t="s">
        <v>933</v>
      </c>
      <c r="G388" s="281">
        <v>30</v>
      </c>
      <c r="H388" s="260">
        <v>2593</v>
      </c>
      <c r="I388" s="260">
        <v>77778</v>
      </c>
      <c r="J388" s="260">
        <v>0</v>
      </c>
      <c r="K388" s="260">
        <v>77778</v>
      </c>
      <c r="L388" s="260">
        <v>6222</v>
      </c>
      <c r="M388" s="260">
        <v>84000</v>
      </c>
      <c r="N388" s="119">
        <v>4.0999999999999986E-3</v>
      </c>
      <c r="O388" s="462" t="s">
        <v>934</v>
      </c>
    </row>
    <row r="389" spans="1:15" ht="18" customHeight="1" x14ac:dyDescent="0.25">
      <c r="A389" s="116">
        <v>6</v>
      </c>
      <c r="B389" s="117" t="s">
        <v>96</v>
      </c>
      <c r="C389" s="116">
        <v>65</v>
      </c>
      <c r="D389" s="120" t="s">
        <v>91</v>
      </c>
      <c r="E389" s="120" t="s">
        <v>935</v>
      </c>
      <c r="F389" s="117" t="s">
        <v>933</v>
      </c>
      <c r="G389" s="281">
        <v>1</v>
      </c>
      <c r="H389" s="260">
        <v>2778</v>
      </c>
      <c r="I389" s="260">
        <v>2778</v>
      </c>
      <c r="J389" s="260">
        <v>0</v>
      </c>
      <c r="K389" s="260">
        <v>2778</v>
      </c>
      <c r="L389" s="260">
        <v>222</v>
      </c>
      <c r="M389" s="260">
        <v>3000</v>
      </c>
      <c r="N389" s="119">
        <v>1E-4</v>
      </c>
      <c r="O389" s="462" t="s">
        <v>934</v>
      </c>
    </row>
    <row r="390" spans="1:15" ht="18" customHeight="1" x14ac:dyDescent="0.25">
      <c r="A390" s="116">
        <v>6</v>
      </c>
      <c r="B390" s="117" t="s">
        <v>96</v>
      </c>
      <c r="C390" s="116">
        <v>12</v>
      </c>
      <c r="D390" s="120" t="s">
        <v>93</v>
      </c>
      <c r="E390" s="120" t="s">
        <v>937</v>
      </c>
      <c r="F390" s="117" t="s">
        <v>933</v>
      </c>
      <c r="G390" s="281">
        <v>4</v>
      </c>
      <c r="H390" s="260">
        <v>41667</v>
      </c>
      <c r="I390" s="260">
        <v>166667</v>
      </c>
      <c r="J390" s="260">
        <v>0</v>
      </c>
      <c r="K390" s="260">
        <v>166667</v>
      </c>
      <c r="L390" s="260">
        <v>13333</v>
      </c>
      <c r="M390" s="260">
        <v>180000</v>
      </c>
      <c r="N390" s="119">
        <v>8.8999999999999999E-3</v>
      </c>
      <c r="O390" s="462" t="s">
        <v>934</v>
      </c>
    </row>
    <row r="391" spans="1:15" ht="18" customHeight="1" x14ac:dyDescent="0.25">
      <c r="A391" s="116">
        <v>6</v>
      </c>
      <c r="B391" s="117" t="s">
        <v>96</v>
      </c>
      <c r="C391" s="116">
        <v>313</v>
      </c>
      <c r="D391" s="120" t="s">
        <v>87</v>
      </c>
      <c r="E391" s="120" t="s">
        <v>1048</v>
      </c>
      <c r="F391" s="117" t="s">
        <v>933</v>
      </c>
      <c r="G391" s="281">
        <v>2</v>
      </c>
      <c r="H391" s="260">
        <v>4167</v>
      </c>
      <c r="I391" s="260">
        <v>8333</v>
      </c>
      <c r="J391" s="260">
        <v>0</v>
      </c>
      <c r="K391" s="260">
        <v>8333</v>
      </c>
      <c r="L391" s="260">
        <v>667</v>
      </c>
      <c r="M391" s="260">
        <v>9000</v>
      </c>
      <c r="N391" s="119">
        <v>4.0000000000000002E-4</v>
      </c>
      <c r="O391" s="462" t="s">
        <v>934</v>
      </c>
    </row>
    <row r="392" spans="1:15" ht="18" customHeight="1" x14ac:dyDescent="0.25">
      <c r="A392" s="116">
        <v>6</v>
      </c>
      <c r="B392" s="117" t="s">
        <v>96</v>
      </c>
      <c r="C392" s="116">
        <v>40</v>
      </c>
      <c r="D392" s="120" t="s">
        <v>87</v>
      </c>
      <c r="E392" s="120" t="s">
        <v>170</v>
      </c>
      <c r="F392" s="117" t="s">
        <v>933</v>
      </c>
      <c r="G392" s="281">
        <v>9</v>
      </c>
      <c r="H392" s="260">
        <v>55093</v>
      </c>
      <c r="I392" s="260">
        <v>495833</v>
      </c>
      <c r="J392" s="260">
        <v>0</v>
      </c>
      <c r="K392" s="260">
        <v>495833</v>
      </c>
      <c r="L392" s="260">
        <v>39667</v>
      </c>
      <c r="M392" s="260">
        <v>535500</v>
      </c>
      <c r="N392" s="119">
        <v>2.64E-2</v>
      </c>
      <c r="O392" s="462" t="s">
        <v>934</v>
      </c>
    </row>
    <row r="393" spans="1:15" ht="18" customHeight="1" x14ac:dyDescent="0.25">
      <c r="A393" s="116">
        <v>6</v>
      </c>
      <c r="B393" s="117" t="s">
        <v>96</v>
      </c>
      <c r="C393" s="116">
        <v>131</v>
      </c>
      <c r="D393" s="120" t="s">
        <v>87</v>
      </c>
      <c r="E393" s="120" t="s">
        <v>991</v>
      </c>
      <c r="F393" s="117" t="s">
        <v>933</v>
      </c>
      <c r="G393" s="281">
        <v>1</v>
      </c>
      <c r="H393" s="260">
        <v>278</v>
      </c>
      <c r="I393" s="260">
        <v>278</v>
      </c>
      <c r="J393" s="260">
        <v>0</v>
      </c>
      <c r="K393" s="260">
        <v>278</v>
      </c>
      <c r="L393" s="260">
        <v>22</v>
      </c>
      <c r="M393" s="260">
        <v>300</v>
      </c>
      <c r="N393" s="119">
        <v>0</v>
      </c>
      <c r="O393" s="462" t="s">
        <v>934</v>
      </c>
    </row>
    <row r="394" spans="1:15" ht="18" customHeight="1" x14ac:dyDescent="0.25">
      <c r="A394" s="116">
        <v>6</v>
      </c>
      <c r="B394" s="117" t="s">
        <v>96</v>
      </c>
      <c r="C394" s="116">
        <v>104</v>
      </c>
      <c r="D394" s="120" t="s">
        <v>89</v>
      </c>
      <c r="E394" s="120" t="s">
        <v>162</v>
      </c>
      <c r="F394" s="117" t="s">
        <v>933</v>
      </c>
      <c r="G394" s="281">
        <v>2</v>
      </c>
      <c r="H394" s="260">
        <v>15741</v>
      </c>
      <c r="I394" s="260">
        <v>31481</v>
      </c>
      <c r="J394" s="260">
        <v>0</v>
      </c>
      <c r="K394" s="260">
        <v>31481</v>
      </c>
      <c r="L394" s="260">
        <v>2519</v>
      </c>
      <c r="M394" s="260">
        <v>34000</v>
      </c>
      <c r="N394" s="119">
        <v>1.6999999999999999E-3</v>
      </c>
      <c r="O394" s="462" t="s">
        <v>934</v>
      </c>
    </row>
    <row r="395" spans="1:15" ht="18" customHeight="1" x14ac:dyDescent="0.25">
      <c r="A395" s="116">
        <v>6</v>
      </c>
      <c r="B395" s="117" t="s">
        <v>96</v>
      </c>
      <c r="C395" s="116">
        <v>5</v>
      </c>
      <c r="D395" s="120" t="s">
        <v>89</v>
      </c>
      <c r="E395" s="120" t="s">
        <v>993</v>
      </c>
      <c r="F395" s="117" t="s">
        <v>933</v>
      </c>
      <c r="G395" s="281">
        <v>3</v>
      </c>
      <c r="H395" s="260">
        <v>11111</v>
      </c>
      <c r="I395" s="260">
        <v>33333</v>
      </c>
      <c r="J395" s="260">
        <v>0</v>
      </c>
      <c r="K395" s="260">
        <v>33333</v>
      </c>
      <c r="L395" s="260">
        <v>2667</v>
      </c>
      <c r="M395" s="260">
        <v>36000</v>
      </c>
      <c r="N395" s="119">
        <v>1.8E-3</v>
      </c>
      <c r="O395" s="462" t="s">
        <v>934</v>
      </c>
    </row>
    <row r="396" spans="1:15" ht="18" customHeight="1" x14ac:dyDescent="0.25">
      <c r="A396" s="116">
        <v>6</v>
      </c>
      <c r="B396" s="117" t="s">
        <v>96</v>
      </c>
      <c r="C396" s="116">
        <v>136</v>
      </c>
      <c r="D396" s="120" t="s">
        <v>89</v>
      </c>
      <c r="E396" s="120" t="s">
        <v>939</v>
      </c>
      <c r="F396" s="117" t="s">
        <v>933</v>
      </c>
      <c r="G396" s="281">
        <v>11</v>
      </c>
      <c r="H396" s="260">
        <v>24074</v>
      </c>
      <c r="I396" s="260">
        <v>264815</v>
      </c>
      <c r="J396" s="260">
        <v>0</v>
      </c>
      <c r="K396" s="260">
        <v>264815</v>
      </c>
      <c r="L396" s="260">
        <v>21185</v>
      </c>
      <c r="M396" s="260">
        <v>286000</v>
      </c>
      <c r="N396" s="119">
        <v>1.41E-2</v>
      </c>
      <c r="O396" s="462" t="s">
        <v>934</v>
      </c>
    </row>
    <row r="397" spans="1:15" ht="18" customHeight="1" x14ac:dyDescent="0.25">
      <c r="A397" s="116">
        <v>6</v>
      </c>
      <c r="B397" s="117" t="s">
        <v>96</v>
      </c>
      <c r="C397" s="116">
        <v>135</v>
      </c>
      <c r="D397" s="120" t="s">
        <v>89</v>
      </c>
      <c r="E397" s="120" t="s">
        <v>1024</v>
      </c>
      <c r="F397" s="117" t="s">
        <v>933</v>
      </c>
      <c r="G397" s="281">
        <v>1</v>
      </c>
      <c r="H397" s="260">
        <v>13889</v>
      </c>
      <c r="I397" s="260">
        <v>13889</v>
      </c>
      <c r="J397" s="260">
        <v>0</v>
      </c>
      <c r="K397" s="260">
        <v>13889</v>
      </c>
      <c r="L397" s="260">
        <v>1111</v>
      </c>
      <c r="M397" s="260">
        <v>15000</v>
      </c>
      <c r="N397" s="119">
        <v>7.000000000000001E-4</v>
      </c>
      <c r="O397" s="462" t="s">
        <v>934</v>
      </c>
    </row>
    <row r="398" spans="1:15" ht="18" customHeight="1" x14ac:dyDescent="0.25">
      <c r="A398" s="116">
        <v>6</v>
      </c>
      <c r="B398" s="117" t="s">
        <v>96</v>
      </c>
      <c r="C398" s="116">
        <v>6</v>
      </c>
      <c r="D398" s="120" t="s">
        <v>89</v>
      </c>
      <c r="E398" s="120" t="s">
        <v>994</v>
      </c>
      <c r="F398" s="117" t="s">
        <v>933</v>
      </c>
      <c r="G398" s="281">
        <v>4</v>
      </c>
      <c r="H398" s="260">
        <v>14815</v>
      </c>
      <c r="I398" s="260">
        <v>59259</v>
      </c>
      <c r="J398" s="260">
        <v>0</v>
      </c>
      <c r="K398" s="260">
        <v>59259</v>
      </c>
      <c r="L398" s="260">
        <v>4741</v>
      </c>
      <c r="M398" s="260">
        <v>64000</v>
      </c>
      <c r="N398" s="119">
        <v>3.2000000000000002E-3</v>
      </c>
      <c r="O398" s="462" t="s">
        <v>934</v>
      </c>
    </row>
    <row r="399" spans="1:15" ht="18" customHeight="1" x14ac:dyDescent="0.25">
      <c r="A399" s="116">
        <v>6</v>
      </c>
      <c r="B399" s="117" t="s">
        <v>96</v>
      </c>
      <c r="C399" s="116">
        <v>311</v>
      </c>
      <c r="D399" s="120" t="s">
        <v>93</v>
      </c>
      <c r="E399" s="120" t="s">
        <v>940</v>
      </c>
      <c r="F399" s="117" t="s">
        <v>933</v>
      </c>
      <c r="G399" s="281">
        <v>2</v>
      </c>
      <c r="H399" s="260">
        <v>44907</v>
      </c>
      <c r="I399" s="260">
        <v>89815</v>
      </c>
      <c r="J399" s="260">
        <v>0</v>
      </c>
      <c r="K399" s="260">
        <v>89815</v>
      </c>
      <c r="L399" s="260">
        <v>7185</v>
      </c>
      <c r="M399" s="260">
        <v>97000</v>
      </c>
      <c r="N399" s="119">
        <v>4.7999999999999996E-3</v>
      </c>
      <c r="O399" s="462" t="s">
        <v>934</v>
      </c>
    </row>
    <row r="400" spans="1:15" ht="18" customHeight="1" x14ac:dyDescent="0.25">
      <c r="A400" s="116">
        <v>6</v>
      </c>
      <c r="B400" s="117" t="s">
        <v>96</v>
      </c>
      <c r="C400" s="116">
        <v>87</v>
      </c>
      <c r="D400" s="120" t="s">
        <v>89</v>
      </c>
      <c r="E400" s="120" t="s">
        <v>144</v>
      </c>
      <c r="F400" s="117" t="s">
        <v>933</v>
      </c>
      <c r="G400" s="281">
        <v>23</v>
      </c>
      <c r="H400" s="260">
        <v>37500</v>
      </c>
      <c r="I400" s="260">
        <v>862500</v>
      </c>
      <c r="J400" s="260">
        <v>0</v>
      </c>
      <c r="K400" s="260">
        <v>862500</v>
      </c>
      <c r="L400" s="260">
        <v>69000</v>
      </c>
      <c r="M400" s="260">
        <v>931500</v>
      </c>
      <c r="N400" s="119">
        <v>4.5999999999999999E-2</v>
      </c>
      <c r="O400" s="462" t="s">
        <v>934</v>
      </c>
    </row>
    <row r="401" spans="1:15" ht="18" customHeight="1" x14ac:dyDescent="0.25">
      <c r="A401" s="116">
        <v>6</v>
      </c>
      <c r="B401" s="117" t="s">
        <v>96</v>
      </c>
      <c r="C401" s="116">
        <v>206</v>
      </c>
      <c r="D401" s="120" t="s">
        <v>93</v>
      </c>
      <c r="E401" s="120" t="s">
        <v>941</v>
      </c>
      <c r="F401" s="117" t="s">
        <v>933</v>
      </c>
      <c r="G401" s="281">
        <v>1</v>
      </c>
      <c r="H401" s="260">
        <v>44907</v>
      </c>
      <c r="I401" s="260">
        <v>44907</v>
      </c>
      <c r="J401" s="260">
        <v>0</v>
      </c>
      <c r="K401" s="260">
        <v>44907</v>
      </c>
      <c r="L401" s="260">
        <v>3593</v>
      </c>
      <c r="M401" s="260">
        <v>48500</v>
      </c>
      <c r="N401" s="119">
        <v>2.3999999999999998E-3</v>
      </c>
      <c r="O401" s="462" t="s">
        <v>934</v>
      </c>
    </row>
    <row r="402" spans="1:15" ht="18" customHeight="1" x14ac:dyDescent="0.25">
      <c r="A402" s="116">
        <v>6</v>
      </c>
      <c r="B402" s="117" t="s">
        <v>96</v>
      </c>
      <c r="C402" s="116">
        <v>246</v>
      </c>
      <c r="D402" s="120" t="s">
        <v>91</v>
      </c>
      <c r="E402" s="120" t="s">
        <v>943</v>
      </c>
      <c r="F402" s="117" t="s">
        <v>933</v>
      </c>
      <c r="G402" s="281">
        <v>10</v>
      </c>
      <c r="H402" s="260">
        <v>6481</v>
      </c>
      <c r="I402" s="260">
        <v>64815</v>
      </c>
      <c r="J402" s="260">
        <v>0</v>
      </c>
      <c r="K402" s="260">
        <v>64815</v>
      </c>
      <c r="L402" s="260">
        <v>5185</v>
      </c>
      <c r="M402" s="260">
        <v>70000</v>
      </c>
      <c r="N402" s="119">
        <v>3.5000000000000001E-3</v>
      </c>
      <c r="O402" s="462" t="s">
        <v>934</v>
      </c>
    </row>
    <row r="403" spans="1:15" ht="18" customHeight="1" x14ac:dyDescent="0.25">
      <c r="A403" s="116">
        <v>6</v>
      </c>
      <c r="B403" s="117" t="s">
        <v>96</v>
      </c>
      <c r="C403" s="116">
        <v>70</v>
      </c>
      <c r="D403" s="120" t="s">
        <v>91</v>
      </c>
      <c r="E403" s="120" t="s">
        <v>944</v>
      </c>
      <c r="F403" s="117" t="s">
        <v>933</v>
      </c>
      <c r="G403" s="281">
        <v>12</v>
      </c>
      <c r="H403" s="260">
        <v>4630</v>
      </c>
      <c r="I403" s="260">
        <v>55556</v>
      </c>
      <c r="J403" s="260">
        <v>0</v>
      </c>
      <c r="K403" s="260">
        <v>55556</v>
      </c>
      <c r="L403" s="260">
        <v>4444</v>
      </c>
      <c r="M403" s="260">
        <v>60000</v>
      </c>
      <c r="N403" s="119">
        <v>3.0000000000000001E-3</v>
      </c>
      <c r="O403" s="462" t="s">
        <v>934</v>
      </c>
    </row>
    <row r="404" spans="1:15" ht="18" customHeight="1" x14ac:dyDescent="0.25">
      <c r="A404" s="116">
        <v>6</v>
      </c>
      <c r="B404" s="117" t="s">
        <v>96</v>
      </c>
      <c r="C404" s="116">
        <v>71</v>
      </c>
      <c r="D404" s="120" t="s">
        <v>91</v>
      </c>
      <c r="E404" s="120" t="s">
        <v>945</v>
      </c>
      <c r="F404" s="117" t="s">
        <v>933</v>
      </c>
      <c r="G404" s="281">
        <v>5</v>
      </c>
      <c r="H404" s="260">
        <v>5556</v>
      </c>
      <c r="I404" s="260">
        <v>27778</v>
      </c>
      <c r="J404" s="260">
        <v>0</v>
      </c>
      <c r="K404" s="260">
        <v>27778</v>
      </c>
      <c r="L404" s="260">
        <v>2222</v>
      </c>
      <c r="M404" s="260">
        <v>30000</v>
      </c>
      <c r="N404" s="119">
        <v>1.5E-3</v>
      </c>
      <c r="O404" s="462" t="s">
        <v>934</v>
      </c>
    </row>
    <row r="405" spans="1:15" ht="18" customHeight="1" x14ac:dyDescent="0.25">
      <c r="A405" s="116">
        <v>6</v>
      </c>
      <c r="B405" s="117" t="s">
        <v>96</v>
      </c>
      <c r="C405" s="116">
        <v>83</v>
      </c>
      <c r="D405" s="120" t="s">
        <v>87</v>
      </c>
      <c r="E405" s="120" t="s">
        <v>946</v>
      </c>
      <c r="F405" s="117" t="s">
        <v>933</v>
      </c>
      <c r="G405" s="281">
        <v>8</v>
      </c>
      <c r="H405" s="260">
        <v>20833</v>
      </c>
      <c r="I405" s="260">
        <v>166667</v>
      </c>
      <c r="J405" s="260">
        <v>0</v>
      </c>
      <c r="K405" s="260">
        <v>166667</v>
      </c>
      <c r="L405" s="260">
        <v>13333</v>
      </c>
      <c r="M405" s="260">
        <v>180000</v>
      </c>
      <c r="N405" s="119">
        <v>8.8999999999999999E-3</v>
      </c>
      <c r="O405" s="462" t="s">
        <v>934</v>
      </c>
    </row>
    <row r="406" spans="1:15" ht="18" customHeight="1" x14ac:dyDescent="0.25">
      <c r="A406" s="116">
        <v>6</v>
      </c>
      <c r="B406" s="117" t="s">
        <v>96</v>
      </c>
      <c r="C406" s="116">
        <v>52</v>
      </c>
      <c r="D406" s="120" t="s">
        <v>87</v>
      </c>
      <c r="E406" s="120" t="s">
        <v>996</v>
      </c>
      <c r="F406" s="117" t="s">
        <v>933</v>
      </c>
      <c r="G406" s="281">
        <v>2</v>
      </c>
      <c r="H406" s="260">
        <v>5556</v>
      </c>
      <c r="I406" s="260">
        <v>11111</v>
      </c>
      <c r="J406" s="260">
        <v>0</v>
      </c>
      <c r="K406" s="260">
        <v>11111</v>
      </c>
      <c r="L406" s="260">
        <v>889</v>
      </c>
      <c r="M406" s="260">
        <v>12000</v>
      </c>
      <c r="N406" s="119">
        <v>5.9999999999999995E-4</v>
      </c>
      <c r="O406" s="462" t="s">
        <v>934</v>
      </c>
    </row>
    <row r="407" spans="1:15" ht="18" customHeight="1" x14ac:dyDescent="0.25">
      <c r="A407" s="116">
        <v>6</v>
      </c>
      <c r="B407" s="117" t="s">
        <v>96</v>
      </c>
      <c r="C407" s="116">
        <v>43</v>
      </c>
      <c r="D407" s="120" t="s">
        <v>87</v>
      </c>
      <c r="E407" s="120" t="s">
        <v>947</v>
      </c>
      <c r="F407" s="117" t="s">
        <v>933</v>
      </c>
      <c r="G407" s="281">
        <v>3</v>
      </c>
      <c r="H407" s="260">
        <v>8333</v>
      </c>
      <c r="I407" s="260">
        <v>25000</v>
      </c>
      <c r="J407" s="260">
        <v>0</v>
      </c>
      <c r="K407" s="260">
        <v>25000</v>
      </c>
      <c r="L407" s="260">
        <v>2000</v>
      </c>
      <c r="M407" s="260">
        <v>27000</v>
      </c>
      <c r="N407" s="119">
        <v>1.2999999999999999E-3</v>
      </c>
      <c r="O407" s="462" t="s">
        <v>934</v>
      </c>
    </row>
    <row r="408" spans="1:15" ht="18" customHeight="1" x14ac:dyDescent="0.25">
      <c r="A408" s="116">
        <v>6</v>
      </c>
      <c r="B408" s="117" t="s">
        <v>96</v>
      </c>
      <c r="C408" s="116">
        <v>41</v>
      </c>
      <c r="D408" s="120" t="s">
        <v>87</v>
      </c>
      <c r="E408" s="120" t="s">
        <v>168</v>
      </c>
      <c r="F408" s="117" t="s">
        <v>933</v>
      </c>
      <c r="G408" s="281">
        <v>5</v>
      </c>
      <c r="H408" s="260">
        <v>49074</v>
      </c>
      <c r="I408" s="260">
        <v>245370</v>
      </c>
      <c r="J408" s="260">
        <v>0</v>
      </c>
      <c r="K408" s="260">
        <v>245370</v>
      </c>
      <c r="L408" s="260">
        <v>19630</v>
      </c>
      <c r="M408" s="260">
        <v>265000</v>
      </c>
      <c r="N408" s="119">
        <v>1.3100000000000001E-2</v>
      </c>
      <c r="O408" s="462" t="s">
        <v>934</v>
      </c>
    </row>
    <row r="409" spans="1:15" ht="18" customHeight="1" x14ac:dyDescent="0.25">
      <c r="A409" s="116">
        <v>6</v>
      </c>
      <c r="B409" s="117" t="s">
        <v>96</v>
      </c>
      <c r="C409" s="116">
        <v>42</v>
      </c>
      <c r="D409" s="120" t="s">
        <v>87</v>
      </c>
      <c r="E409" s="120" t="s">
        <v>360</v>
      </c>
      <c r="F409" s="117" t="s">
        <v>933</v>
      </c>
      <c r="G409" s="281">
        <v>4</v>
      </c>
      <c r="H409" s="260">
        <v>32407</v>
      </c>
      <c r="I409" s="260">
        <v>129630</v>
      </c>
      <c r="J409" s="260">
        <v>0</v>
      </c>
      <c r="K409" s="260">
        <v>129630</v>
      </c>
      <c r="L409" s="260">
        <v>10370</v>
      </c>
      <c r="M409" s="260">
        <v>140000</v>
      </c>
      <c r="N409" s="119">
        <v>6.8999999999999999E-3</v>
      </c>
      <c r="O409" s="462" t="s">
        <v>934</v>
      </c>
    </row>
    <row r="410" spans="1:15" ht="18" customHeight="1" x14ac:dyDescent="0.25">
      <c r="A410" s="116">
        <v>6</v>
      </c>
      <c r="B410" s="117" t="s">
        <v>96</v>
      </c>
      <c r="C410" s="116">
        <v>44</v>
      </c>
      <c r="D410" s="120" t="s">
        <v>87</v>
      </c>
      <c r="E410" s="120" t="s">
        <v>138</v>
      </c>
      <c r="F410" s="117" t="s">
        <v>933</v>
      </c>
      <c r="G410" s="281">
        <v>26</v>
      </c>
      <c r="H410" s="260">
        <v>28241</v>
      </c>
      <c r="I410" s="260">
        <v>734259</v>
      </c>
      <c r="J410" s="260">
        <v>0</v>
      </c>
      <c r="K410" s="260">
        <v>734259</v>
      </c>
      <c r="L410" s="260">
        <v>58741</v>
      </c>
      <c r="M410" s="260">
        <v>793000</v>
      </c>
      <c r="N410" s="119">
        <v>3.9100000000000003E-2</v>
      </c>
      <c r="O410" s="462" t="s">
        <v>934</v>
      </c>
    </row>
    <row r="411" spans="1:15" ht="18" customHeight="1" x14ac:dyDescent="0.25">
      <c r="A411" s="116">
        <v>6</v>
      </c>
      <c r="B411" s="117" t="s">
        <v>96</v>
      </c>
      <c r="C411" s="116">
        <v>110</v>
      </c>
      <c r="D411" s="120" t="s">
        <v>99</v>
      </c>
      <c r="E411" s="120" t="s">
        <v>949</v>
      </c>
      <c r="F411" s="117" t="s">
        <v>933</v>
      </c>
      <c r="G411" s="281">
        <v>23</v>
      </c>
      <c r="H411" s="260">
        <v>926</v>
      </c>
      <c r="I411" s="260">
        <v>21296</v>
      </c>
      <c r="J411" s="260">
        <v>0</v>
      </c>
      <c r="K411" s="260">
        <v>21296</v>
      </c>
      <c r="L411" s="260">
        <v>1704</v>
      </c>
      <c r="M411" s="260">
        <v>23000</v>
      </c>
      <c r="N411" s="119">
        <v>1.1000000000000001E-3</v>
      </c>
      <c r="O411" s="462" t="s">
        <v>934</v>
      </c>
    </row>
    <row r="412" spans="1:15" ht="18" customHeight="1" x14ac:dyDescent="0.25">
      <c r="A412" s="116">
        <v>6</v>
      </c>
      <c r="B412" s="117" t="s">
        <v>96</v>
      </c>
      <c r="C412" s="116">
        <v>102</v>
      </c>
      <c r="D412" s="120" t="s">
        <v>87</v>
      </c>
      <c r="E412" s="120" t="s">
        <v>998</v>
      </c>
      <c r="F412" s="117" t="s">
        <v>933</v>
      </c>
      <c r="G412" s="281">
        <v>3</v>
      </c>
      <c r="H412" s="260">
        <v>6944</v>
      </c>
      <c r="I412" s="260">
        <v>20833</v>
      </c>
      <c r="J412" s="260">
        <v>0</v>
      </c>
      <c r="K412" s="260">
        <v>20833</v>
      </c>
      <c r="L412" s="260">
        <v>1667</v>
      </c>
      <c r="M412" s="260">
        <v>22500</v>
      </c>
      <c r="N412" s="119">
        <v>1.1000000000000001E-3</v>
      </c>
      <c r="O412" s="462" t="s">
        <v>934</v>
      </c>
    </row>
    <row r="413" spans="1:15" ht="18" customHeight="1" x14ac:dyDescent="0.25">
      <c r="A413" s="116">
        <v>6</v>
      </c>
      <c r="B413" s="117" t="s">
        <v>96</v>
      </c>
      <c r="C413" s="116">
        <v>45</v>
      </c>
      <c r="D413" s="120" t="s">
        <v>87</v>
      </c>
      <c r="E413" s="120" t="s">
        <v>950</v>
      </c>
      <c r="F413" s="117" t="s">
        <v>933</v>
      </c>
      <c r="G413" s="281">
        <v>5</v>
      </c>
      <c r="H413" s="260">
        <v>35648</v>
      </c>
      <c r="I413" s="260">
        <v>178241</v>
      </c>
      <c r="J413" s="260">
        <v>0</v>
      </c>
      <c r="K413" s="260">
        <v>178241</v>
      </c>
      <c r="L413" s="260">
        <v>14259</v>
      </c>
      <c r="M413" s="260">
        <v>192500</v>
      </c>
      <c r="N413" s="119">
        <v>9.4999999999999998E-3</v>
      </c>
      <c r="O413" s="462" t="s">
        <v>934</v>
      </c>
    </row>
    <row r="414" spans="1:15" ht="18" customHeight="1" x14ac:dyDescent="0.25">
      <c r="A414" s="116">
        <v>6</v>
      </c>
      <c r="B414" s="117" t="s">
        <v>96</v>
      </c>
      <c r="C414" s="116">
        <v>30</v>
      </c>
      <c r="D414" s="120" t="s">
        <v>95</v>
      </c>
      <c r="E414" s="120" t="s">
        <v>951</v>
      </c>
      <c r="F414" s="117" t="s">
        <v>933</v>
      </c>
      <c r="G414" s="281">
        <v>5</v>
      </c>
      <c r="H414" s="260">
        <v>6481</v>
      </c>
      <c r="I414" s="260">
        <v>32407</v>
      </c>
      <c r="J414" s="260">
        <v>0</v>
      </c>
      <c r="K414" s="260">
        <v>32407</v>
      </c>
      <c r="L414" s="260">
        <v>2593</v>
      </c>
      <c r="M414" s="260">
        <v>35000</v>
      </c>
      <c r="N414" s="119">
        <v>1.6999999999999999E-3</v>
      </c>
      <c r="O414" s="462" t="s">
        <v>934</v>
      </c>
    </row>
    <row r="415" spans="1:15" ht="18" customHeight="1" x14ac:dyDescent="0.25">
      <c r="A415" s="116">
        <v>6</v>
      </c>
      <c r="B415" s="117" t="s">
        <v>96</v>
      </c>
      <c r="C415" s="116">
        <v>217</v>
      </c>
      <c r="D415" s="120" t="s">
        <v>89</v>
      </c>
      <c r="E415" s="120" t="s">
        <v>953</v>
      </c>
      <c r="F415" s="117" t="s">
        <v>933</v>
      </c>
      <c r="G415" s="281">
        <v>6</v>
      </c>
      <c r="H415" s="260">
        <v>28086</v>
      </c>
      <c r="I415" s="260">
        <v>168519</v>
      </c>
      <c r="J415" s="260">
        <v>0</v>
      </c>
      <c r="K415" s="260">
        <v>168519</v>
      </c>
      <c r="L415" s="260">
        <v>13481</v>
      </c>
      <c r="M415" s="260">
        <v>182000</v>
      </c>
      <c r="N415" s="119">
        <v>9.0000000000000011E-3</v>
      </c>
      <c r="O415" s="462" t="s">
        <v>934</v>
      </c>
    </row>
    <row r="416" spans="1:15" ht="18" customHeight="1" x14ac:dyDescent="0.25">
      <c r="A416" s="116">
        <v>6</v>
      </c>
      <c r="B416" s="117" t="s">
        <v>96</v>
      </c>
      <c r="C416" s="116">
        <v>34</v>
      </c>
      <c r="D416" s="120" t="s">
        <v>91</v>
      </c>
      <c r="E416" s="120" t="s">
        <v>955</v>
      </c>
      <c r="F416" s="117" t="s">
        <v>933</v>
      </c>
      <c r="G416" s="281">
        <v>10</v>
      </c>
      <c r="H416" s="260">
        <v>6481</v>
      </c>
      <c r="I416" s="260">
        <v>64815</v>
      </c>
      <c r="J416" s="260">
        <v>0</v>
      </c>
      <c r="K416" s="260">
        <v>64815</v>
      </c>
      <c r="L416" s="260">
        <v>5185</v>
      </c>
      <c r="M416" s="260">
        <v>70000</v>
      </c>
      <c r="N416" s="119">
        <v>3.5000000000000001E-3</v>
      </c>
      <c r="O416" s="462" t="s">
        <v>934</v>
      </c>
    </row>
    <row r="417" spans="1:15" ht="18" customHeight="1" x14ac:dyDescent="0.25">
      <c r="A417" s="116">
        <v>6</v>
      </c>
      <c r="B417" s="117" t="s">
        <v>96</v>
      </c>
      <c r="C417" s="116">
        <v>66</v>
      </c>
      <c r="D417" s="120" t="s">
        <v>91</v>
      </c>
      <c r="E417" s="120" t="s">
        <v>1035</v>
      </c>
      <c r="F417" s="117" t="s">
        <v>933</v>
      </c>
      <c r="G417" s="281">
        <v>2</v>
      </c>
      <c r="H417" s="260">
        <v>11574</v>
      </c>
      <c r="I417" s="260">
        <v>23148</v>
      </c>
      <c r="J417" s="260">
        <v>0</v>
      </c>
      <c r="K417" s="260">
        <v>23148</v>
      </c>
      <c r="L417" s="260">
        <v>1852</v>
      </c>
      <c r="M417" s="260">
        <v>25000</v>
      </c>
      <c r="N417" s="119">
        <v>1.1999999999999999E-3</v>
      </c>
      <c r="O417" s="462" t="s">
        <v>934</v>
      </c>
    </row>
    <row r="418" spans="1:15" ht="18" customHeight="1" x14ac:dyDescent="0.25">
      <c r="A418" s="116">
        <v>6</v>
      </c>
      <c r="B418" s="117" t="s">
        <v>96</v>
      </c>
      <c r="C418" s="116">
        <v>121</v>
      </c>
      <c r="D418" s="120" t="s">
        <v>91</v>
      </c>
      <c r="E418" s="120" t="s">
        <v>956</v>
      </c>
      <c r="F418" s="117" t="s">
        <v>933</v>
      </c>
      <c r="G418" s="281">
        <v>18</v>
      </c>
      <c r="H418" s="260">
        <v>2778</v>
      </c>
      <c r="I418" s="260">
        <v>50000</v>
      </c>
      <c r="J418" s="260">
        <v>0</v>
      </c>
      <c r="K418" s="260">
        <v>50000</v>
      </c>
      <c r="L418" s="260">
        <v>4000</v>
      </c>
      <c r="M418" s="260">
        <v>54000</v>
      </c>
      <c r="N418" s="119">
        <v>2.7000000000000001E-3</v>
      </c>
      <c r="O418" s="462" t="s">
        <v>934</v>
      </c>
    </row>
    <row r="419" spans="1:15" ht="18" customHeight="1" x14ac:dyDescent="0.25">
      <c r="A419" s="116">
        <v>6</v>
      </c>
      <c r="B419" s="117" t="s">
        <v>96</v>
      </c>
      <c r="C419" s="116">
        <v>208</v>
      </c>
      <c r="D419" s="120" t="s">
        <v>91</v>
      </c>
      <c r="E419" s="120" t="s">
        <v>957</v>
      </c>
      <c r="F419" s="117" t="s">
        <v>933</v>
      </c>
      <c r="G419" s="281">
        <v>34</v>
      </c>
      <c r="H419" s="260">
        <v>3704</v>
      </c>
      <c r="I419" s="260">
        <v>125926</v>
      </c>
      <c r="J419" s="260">
        <v>0</v>
      </c>
      <c r="K419" s="260">
        <v>125926</v>
      </c>
      <c r="L419" s="260">
        <v>10074</v>
      </c>
      <c r="M419" s="260">
        <v>136000</v>
      </c>
      <c r="N419" s="119">
        <v>6.7000000000000002E-3</v>
      </c>
      <c r="O419" s="462" t="s">
        <v>934</v>
      </c>
    </row>
    <row r="420" spans="1:15" ht="18" customHeight="1" x14ac:dyDescent="0.25">
      <c r="A420" s="116">
        <v>6</v>
      </c>
      <c r="B420" s="117" t="s">
        <v>96</v>
      </c>
      <c r="C420" s="116">
        <v>90</v>
      </c>
      <c r="D420" s="120" t="s">
        <v>91</v>
      </c>
      <c r="E420" s="120" t="s">
        <v>487</v>
      </c>
      <c r="F420" s="117" t="s">
        <v>933</v>
      </c>
      <c r="G420" s="281">
        <v>6</v>
      </c>
      <c r="H420" s="260">
        <v>4259</v>
      </c>
      <c r="I420" s="260">
        <v>25556</v>
      </c>
      <c r="J420" s="260">
        <v>0</v>
      </c>
      <c r="K420" s="260">
        <v>25556</v>
      </c>
      <c r="L420" s="260">
        <v>2044</v>
      </c>
      <c r="M420" s="260">
        <v>27600</v>
      </c>
      <c r="N420" s="119">
        <v>1.4E-3</v>
      </c>
      <c r="O420" s="462" t="s">
        <v>934</v>
      </c>
    </row>
    <row r="421" spans="1:15" ht="18" customHeight="1" x14ac:dyDescent="0.25">
      <c r="A421" s="116">
        <v>6</v>
      </c>
      <c r="B421" s="117" t="s">
        <v>96</v>
      </c>
      <c r="C421" s="116">
        <v>123</v>
      </c>
      <c r="D421" s="120" t="s">
        <v>91</v>
      </c>
      <c r="E421" s="120" t="s">
        <v>958</v>
      </c>
      <c r="F421" s="117" t="s">
        <v>933</v>
      </c>
      <c r="G421" s="281">
        <v>6</v>
      </c>
      <c r="H421" s="260">
        <v>2778</v>
      </c>
      <c r="I421" s="260">
        <v>16667</v>
      </c>
      <c r="J421" s="260">
        <v>0</v>
      </c>
      <c r="K421" s="260">
        <v>16667</v>
      </c>
      <c r="L421" s="260">
        <v>1333</v>
      </c>
      <c r="M421" s="260">
        <v>18000</v>
      </c>
      <c r="N421" s="119">
        <v>8.9999999999999998E-4</v>
      </c>
      <c r="O421" s="462" t="s">
        <v>934</v>
      </c>
    </row>
    <row r="422" spans="1:15" ht="18" customHeight="1" x14ac:dyDescent="0.25">
      <c r="A422" s="116">
        <v>6</v>
      </c>
      <c r="B422" s="117" t="s">
        <v>96</v>
      </c>
      <c r="C422" s="116">
        <v>31</v>
      </c>
      <c r="D422" s="120" t="s">
        <v>95</v>
      </c>
      <c r="E422" s="120" t="s">
        <v>959</v>
      </c>
      <c r="F422" s="117" t="s">
        <v>933</v>
      </c>
      <c r="G422" s="281">
        <v>6</v>
      </c>
      <c r="H422" s="260">
        <v>1204</v>
      </c>
      <c r="I422" s="260">
        <v>7222</v>
      </c>
      <c r="J422" s="260">
        <v>0</v>
      </c>
      <c r="K422" s="260">
        <v>7222</v>
      </c>
      <c r="L422" s="260">
        <v>578</v>
      </c>
      <c r="M422" s="260">
        <v>7800</v>
      </c>
      <c r="N422" s="119">
        <v>4.0000000000000002E-4</v>
      </c>
      <c r="O422" s="462" t="s">
        <v>934</v>
      </c>
    </row>
    <row r="423" spans="1:15" ht="18" customHeight="1" x14ac:dyDescent="0.25">
      <c r="A423" s="116">
        <v>6</v>
      </c>
      <c r="B423" s="117" t="s">
        <v>96</v>
      </c>
      <c r="C423" s="116">
        <v>202</v>
      </c>
      <c r="D423" s="120" t="s">
        <v>91</v>
      </c>
      <c r="E423" s="120" t="s">
        <v>1037</v>
      </c>
      <c r="F423" s="117" t="s">
        <v>933</v>
      </c>
      <c r="G423" s="281">
        <v>2</v>
      </c>
      <c r="H423" s="260">
        <v>32407</v>
      </c>
      <c r="I423" s="260">
        <v>64815</v>
      </c>
      <c r="J423" s="260">
        <v>0</v>
      </c>
      <c r="K423" s="260">
        <v>64815</v>
      </c>
      <c r="L423" s="260">
        <v>5185</v>
      </c>
      <c r="M423" s="260">
        <v>70000</v>
      </c>
      <c r="N423" s="119">
        <v>3.5000000000000001E-3</v>
      </c>
      <c r="O423" s="462" t="s">
        <v>934</v>
      </c>
    </row>
    <row r="424" spans="1:15" ht="18" customHeight="1" x14ac:dyDescent="0.25">
      <c r="A424" s="116">
        <v>6</v>
      </c>
      <c r="B424" s="117" t="s">
        <v>96</v>
      </c>
      <c r="C424" s="116">
        <v>212</v>
      </c>
      <c r="D424" s="120" t="s">
        <v>91</v>
      </c>
      <c r="E424" s="120" t="s">
        <v>165</v>
      </c>
      <c r="F424" s="117" t="s">
        <v>933</v>
      </c>
      <c r="G424" s="281">
        <v>28</v>
      </c>
      <c r="H424" s="260">
        <v>22222</v>
      </c>
      <c r="I424" s="260">
        <v>622222</v>
      </c>
      <c r="J424" s="260">
        <v>0</v>
      </c>
      <c r="K424" s="260">
        <v>622222</v>
      </c>
      <c r="L424" s="260">
        <v>49778</v>
      </c>
      <c r="M424" s="260">
        <v>672000</v>
      </c>
      <c r="N424" s="119">
        <v>3.32E-2</v>
      </c>
      <c r="O424" s="462" t="s">
        <v>934</v>
      </c>
    </row>
    <row r="425" spans="1:15" ht="18" customHeight="1" x14ac:dyDescent="0.25">
      <c r="A425" s="116">
        <v>6</v>
      </c>
      <c r="B425" s="117" t="s">
        <v>96</v>
      </c>
      <c r="C425" s="116">
        <v>74</v>
      </c>
      <c r="D425" s="120" t="s">
        <v>91</v>
      </c>
      <c r="E425" s="120" t="s">
        <v>1000</v>
      </c>
      <c r="F425" s="117" t="s">
        <v>933</v>
      </c>
      <c r="G425" s="281">
        <v>14</v>
      </c>
      <c r="H425" s="260">
        <v>6481</v>
      </c>
      <c r="I425" s="260">
        <v>90741</v>
      </c>
      <c r="J425" s="260">
        <v>0</v>
      </c>
      <c r="K425" s="260">
        <v>90741</v>
      </c>
      <c r="L425" s="260">
        <v>7259</v>
      </c>
      <c r="M425" s="260">
        <v>98000</v>
      </c>
      <c r="N425" s="119">
        <v>4.7999999999999996E-3</v>
      </c>
      <c r="O425" s="462" t="s">
        <v>934</v>
      </c>
    </row>
    <row r="426" spans="1:15" ht="18" customHeight="1" x14ac:dyDescent="0.25">
      <c r="A426" s="116">
        <v>6</v>
      </c>
      <c r="B426" s="117" t="s">
        <v>96</v>
      </c>
      <c r="C426" s="116">
        <v>235</v>
      </c>
      <c r="D426" s="120" t="s">
        <v>91</v>
      </c>
      <c r="E426" s="120" t="s">
        <v>1001</v>
      </c>
      <c r="F426" s="117" t="s">
        <v>933</v>
      </c>
      <c r="G426" s="281">
        <v>2</v>
      </c>
      <c r="H426" s="260">
        <v>3426</v>
      </c>
      <c r="I426" s="260">
        <v>6852</v>
      </c>
      <c r="J426" s="260">
        <v>0</v>
      </c>
      <c r="K426" s="260">
        <v>6852</v>
      </c>
      <c r="L426" s="260">
        <v>548</v>
      </c>
      <c r="M426" s="260">
        <v>7400</v>
      </c>
      <c r="N426" s="119">
        <v>4.0000000000000002E-4</v>
      </c>
      <c r="O426" s="462" t="s">
        <v>934</v>
      </c>
    </row>
    <row r="427" spans="1:15" ht="18" customHeight="1" x14ac:dyDescent="0.25">
      <c r="A427" s="116">
        <v>6</v>
      </c>
      <c r="B427" s="117" t="s">
        <v>96</v>
      </c>
      <c r="C427" s="116">
        <v>134</v>
      </c>
      <c r="D427" s="120" t="s">
        <v>91</v>
      </c>
      <c r="E427" s="120" t="s">
        <v>1017</v>
      </c>
      <c r="F427" s="117" t="s">
        <v>933</v>
      </c>
      <c r="G427" s="281">
        <v>4</v>
      </c>
      <c r="H427" s="260">
        <v>12963</v>
      </c>
      <c r="I427" s="260">
        <v>51852</v>
      </c>
      <c r="J427" s="260">
        <v>0</v>
      </c>
      <c r="K427" s="260">
        <v>51852</v>
      </c>
      <c r="L427" s="260">
        <v>4148</v>
      </c>
      <c r="M427" s="260">
        <v>56000</v>
      </c>
      <c r="N427" s="119">
        <v>2.8E-3</v>
      </c>
      <c r="O427" s="462" t="s">
        <v>934</v>
      </c>
    </row>
    <row r="428" spans="1:15" ht="18" customHeight="1" x14ac:dyDescent="0.25">
      <c r="A428" s="116">
        <v>6</v>
      </c>
      <c r="B428" s="117" t="s">
        <v>96</v>
      </c>
      <c r="C428" s="116">
        <v>501</v>
      </c>
      <c r="D428" s="120" t="s">
        <v>91</v>
      </c>
      <c r="E428" s="120" t="s">
        <v>960</v>
      </c>
      <c r="F428" s="117" t="s">
        <v>933</v>
      </c>
      <c r="G428" s="281">
        <v>2</v>
      </c>
      <c r="H428" s="260">
        <v>22222</v>
      </c>
      <c r="I428" s="260">
        <v>44444</v>
      </c>
      <c r="J428" s="260">
        <v>0</v>
      </c>
      <c r="K428" s="260">
        <v>44444</v>
      </c>
      <c r="L428" s="260">
        <v>3556</v>
      </c>
      <c r="M428" s="260">
        <v>48000</v>
      </c>
      <c r="N428" s="119">
        <v>2.3999999999999998E-3</v>
      </c>
      <c r="O428" s="462" t="s">
        <v>934</v>
      </c>
    </row>
    <row r="429" spans="1:15" ht="18" customHeight="1" x14ac:dyDescent="0.25">
      <c r="A429" s="116">
        <v>6</v>
      </c>
      <c r="B429" s="117" t="s">
        <v>96</v>
      </c>
      <c r="C429" s="116">
        <v>107</v>
      </c>
      <c r="D429" s="120" t="s">
        <v>91</v>
      </c>
      <c r="E429" s="120" t="s">
        <v>1049</v>
      </c>
      <c r="F429" s="117" t="s">
        <v>933</v>
      </c>
      <c r="G429" s="281">
        <v>3</v>
      </c>
      <c r="H429" s="260">
        <v>32407</v>
      </c>
      <c r="I429" s="260">
        <v>97222</v>
      </c>
      <c r="J429" s="260">
        <v>0</v>
      </c>
      <c r="K429" s="260">
        <v>97222</v>
      </c>
      <c r="L429" s="260">
        <v>7778</v>
      </c>
      <c r="M429" s="260">
        <v>105000</v>
      </c>
      <c r="N429" s="119">
        <v>5.1999999999999998E-3</v>
      </c>
      <c r="O429" s="462" t="s">
        <v>934</v>
      </c>
    </row>
    <row r="430" spans="1:15" ht="18" customHeight="1" x14ac:dyDescent="0.25">
      <c r="A430" s="116">
        <v>6</v>
      </c>
      <c r="B430" s="117" t="s">
        <v>96</v>
      </c>
      <c r="C430" s="116">
        <v>75</v>
      </c>
      <c r="D430" s="120" t="s">
        <v>91</v>
      </c>
      <c r="E430" s="120" t="s">
        <v>961</v>
      </c>
      <c r="F430" s="117" t="s">
        <v>933</v>
      </c>
      <c r="G430" s="281">
        <v>7</v>
      </c>
      <c r="H430" s="260">
        <v>9259</v>
      </c>
      <c r="I430" s="260">
        <v>64815</v>
      </c>
      <c r="J430" s="260">
        <v>0</v>
      </c>
      <c r="K430" s="260">
        <v>64815</v>
      </c>
      <c r="L430" s="260">
        <v>5185</v>
      </c>
      <c r="M430" s="260">
        <v>70000</v>
      </c>
      <c r="N430" s="119">
        <v>3.5000000000000001E-3</v>
      </c>
      <c r="O430" s="462" t="s">
        <v>934</v>
      </c>
    </row>
    <row r="431" spans="1:15" ht="18" customHeight="1" x14ac:dyDescent="0.25">
      <c r="A431" s="116">
        <v>6</v>
      </c>
      <c r="B431" s="117" t="s">
        <v>96</v>
      </c>
      <c r="C431" s="116">
        <v>51</v>
      </c>
      <c r="D431" s="120" t="s">
        <v>87</v>
      </c>
      <c r="E431" s="120" t="s">
        <v>1038</v>
      </c>
      <c r="F431" s="117" t="s">
        <v>933</v>
      </c>
      <c r="G431" s="281">
        <v>5</v>
      </c>
      <c r="H431" s="260">
        <v>29167</v>
      </c>
      <c r="I431" s="260">
        <v>145833</v>
      </c>
      <c r="J431" s="260">
        <v>0</v>
      </c>
      <c r="K431" s="260">
        <v>145833</v>
      </c>
      <c r="L431" s="260">
        <v>11667</v>
      </c>
      <c r="M431" s="260">
        <v>157500</v>
      </c>
      <c r="N431" s="119">
        <v>7.8000000000000014E-3</v>
      </c>
      <c r="O431" s="462" t="s">
        <v>934</v>
      </c>
    </row>
    <row r="432" spans="1:15" ht="18" customHeight="1" x14ac:dyDescent="0.25">
      <c r="A432" s="116">
        <v>6</v>
      </c>
      <c r="B432" s="117" t="s">
        <v>96</v>
      </c>
      <c r="C432" s="116">
        <v>88</v>
      </c>
      <c r="D432" s="120" t="s">
        <v>87</v>
      </c>
      <c r="E432" s="120" t="s">
        <v>129</v>
      </c>
      <c r="F432" s="117" t="s">
        <v>933</v>
      </c>
      <c r="G432" s="281">
        <v>32</v>
      </c>
      <c r="H432" s="260">
        <v>32870</v>
      </c>
      <c r="I432" s="260">
        <v>1051852</v>
      </c>
      <c r="J432" s="260">
        <v>0</v>
      </c>
      <c r="K432" s="260">
        <v>1051852</v>
      </c>
      <c r="L432" s="260">
        <v>84148</v>
      </c>
      <c r="M432" s="260">
        <v>1136000</v>
      </c>
      <c r="N432" s="119">
        <v>5.6099999999999997E-2</v>
      </c>
      <c r="O432" s="462" t="s">
        <v>934</v>
      </c>
    </row>
    <row r="433" spans="1:15" ht="18" customHeight="1" x14ac:dyDescent="0.25">
      <c r="A433" s="116">
        <v>6</v>
      </c>
      <c r="B433" s="117" t="s">
        <v>96</v>
      </c>
      <c r="C433" s="116">
        <v>118</v>
      </c>
      <c r="D433" s="120" t="s">
        <v>87</v>
      </c>
      <c r="E433" s="120" t="s">
        <v>126</v>
      </c>
      <c r="F433" s="117" t="s">
        <v>933</v>
      </c>
      <c r="G433" s="281">
        <v>25</v>
      </c>
      <c r="H433" s="260">
        <v>41667</v>
      </c>
      <c r="I433" s="260">
        <v>1041667</v>
      </c>
      <c r="J433" s="260">
        <v>0</v>
      </c>
      <c r="K433" s="260">
        <v>1041667</v>
      </c>
      <c r="L433" s="260">
        <v>83333</v>
      </c>
      <c r="M433" s="260">
        <v>1125000</v>
      </c>
      <c r="N433" s="119">
        <v>5.5500000000000001E-2</v>
      </c>
      <c r="O433" s="462" t="s">
        <v>934</v>
      </c>
    </row>
    <row r="434" spans="1:15" ht="18" customHeight="1" x14ac:dyDescent="0.25">
      <c r="A434" s="116">
        <v>6</v>
      </c>
      <c r="B434" s="117" t="s">
        <v>96</v>
      </c>
      <c r="C434" s="116">
        <v>205</v>
      </c>
      <c r="D434" s="120" t="s">
        <v>91</v>
      </c>
      <c r="E434" s="120" t="s">
        <v>1002</v>
      </c>
      <c r="F434" s="117" t="s">
        <v>933</v>
      </c>
      <c r="G434" s="281">
        <v>3</v>
      </c>
      <c r="H434" s="260">
        <v>12037</v>
      </c>
      <c r="I434" s="260">
        <v>36111</v>
      </c>
      <c r="J434" s="260">
        <v>0</v>
      </c>
      <c r="K434" s="260">
        <v>36111</v>
      </c>
      <c r="L434" s="260">
        <v>2889</v>
      </c>
      <c r="M434" s="260">
        <v>39000</v>
      </c>
      <c r="N434" s="119">
        <v>1.9E-3</v>
      </c>
      <c r="O434" s="462" t="s">
        <v>934</v>
      </c>
    </row>
    <row r="435" spans="1:15" ht="18" customHeight="1" x14ac:dyDescent="0.25">
      <c r="A435" s="116">
        <v>6</v>
      </c>
      <c r="B435" s="117" t="s">
        <v>96</v>
      </c>
      <c r="C435" s="116">
        <v>204</v>
      </c>
      <c r="D435" s="120" t="s">
        <v>91</v>
      </c>
      <c r="E435" s="120" t="s">
        <v>962</v>
      </c>
      <c r="F435" s="117" t="s">
        <v>933</v>
      </c>
      <c r="G435" s="281">
        <v>8</v>
      </c>
      <c r="H435" s="260">
        <v>12037</v>
      </c>
      <c r="I435" s="260">
        <v>96296</v>
      </c>
      <c r="J435" s="260">
        <v>0</v>
      </c>
      <c r="K435" s="260">
        <v>96296</v>
      </c>
      <c r="L435" s="260">
        <v>7704</v>
      </c>
      <c r="M435" s="260">
        <v>104000</v>
      </c>
      <c r="N435" s="119">
        <v>5.1000000000000004E-3</v>
      </c>
      <c r="O435" s="462" t="s">
        <v>934</v>
      </c>
    </row>
    <row r="436" spans="1:15" ht="18" customHeight="1" x14ac:dyDescent="0.25">
      <c r="A436" s="116">
        <v>6</v>
      </c>
      <c r="B436" s="117" t="s">
        <v>96</v>
      </c>
      <c r="C436" s="116">
        <v>109</v>
      </c>
      <c r="D436" s="120" t="s">
        <v>91</v>
      </c>
      <c r="E436" s="120" t="s">
        <v>147</v>
      </c>
      <c r="F436" s="117" t="s">
        <v>933</v>
      </c>
      <c r="G436" s="281">
        <v>43</v>
      </c>
      <c r="H436" s="260">
        <v>12963</v>
      </c>
      <c r="I436" s="260">
        <v>557407</v>
      </c>
      <c r="J436" s="260">
        <v>0</v>
      </c>
      <c r="K436" s="260">
        <v>557407</v>
      </c>
      <c r="L436" s="260">
        <v>44593</v>
      </c>
      <c r="M436" s="260">
        <v>602000</v>
      </c>
      <c r="N436" s="119">
        <v>2.9700000000000001E-2</v>
      </c>
      <c r="O436" s="462" t="s">
        <v>934</v>
      </c>
    </row>
    <row r="437" spans="1:15" ht="18" customHeight="1" x14ac:dyDescent="0.25">
      <c r="A437" s="116">
        <v>6</v>
      </c>
      <c r="B437" s="117" t="s">
        <v>96</v>
      </c>
      <c r="C437" s="116">
        <v>147</v>
      </c>
      <c r="D437" s="120" t="s">
        <v>91</v>
      </c>
      <c r="E437" s="120" t="s">
        <v>963</v>
      </c>
      <c r="F437" s="117" t="s">
        <v>933</v>
      </c>
      <c r="G437" s="281">
        <v>7</v>
      </c>
      <c r="H437" s="260">
        <v>6481</v>
      </c>
      <c r="I437" s="260">
        <v>45370</v>
      </c>
      <c r="J437" s="260">
        <v>0</v>
      </c>
      <c r="K437" s="260">
        <v>45370</v>
      </c>
      <c r="L437" s="260">
        <v>3630</v>
      </c>
      <c r="M437" s="260">
        <v>49000</v>
      </c>
      <c r="N437" s="119">
        <v>2.3999999999999998E-3</v>
      </c>
      <c r="O437" s="462" t="s">
        <v>934</v>
      </c>
    </row>
    <row r="438" spans="1:15" ht="18" customHeight="1" x14ac:dyDescent="0.25">
      <c r="A438" s="116">
        <v>6</v>
      </c>
      <c r="B438" s="117" t="s">
        <v>96</v>
      </c>
      <c r="C438" s="116">
        <v>46</v>
      </c>
      <c r="D438" s="120" t="s">
        <v>87</v>
      </c>
      <c r="E438" s="120" t="s">
        <v>964</v>
      </c>
      <c r="F438" s="117" t="s">
        <v>933</v>
      </c>
      <c r="G438" s="281">
        <v>4</v>
      </c>
      <c r="H438" s="260">
        <v>35648</v>
      </c>
      <c r="I438" s="260">
        <v>142593</v>
      </c>
      <c r="J438" s="260">
        <v>0</v>
      </c>
      <c r="K438" s="260">
        <v>142593</v>
      </c>
      <c r="L438" s="260">
        <v>11407</v>
      </c>
      <c r="M438" s="260">
        <v>154000</v>
      </c>
      <c r="N438" s="119">
        <v>7.6E-3</v>
      </c>
      <c r="O438" s="462" t="s">
        <v>934</v>
      </c>
    </row>
    <row r="439" spans="1:15" ht="18" customHeight="1" x14ac:dyDescent="0.25">
      <c r="A439" s="116">
        <v>6</v>
      </c>
      <c r="B439" s="117" t="s">
        <v>96</v>
      </c>
      <c r="C439" s="116">
        <v>72</v>
      </c>
      <c r="D439" s="120" t="s">
        <v>97</v>
      </c>
      <c r="E439" s="120" t="s">
        <v>965</v>
      </c>
      <c r="F439" s="117" t="s">
        <v>933</v>
      </c>
      <c r="G439" s="281">
        <v>25</v>
      </c>
      <c r="H439" s="260">
        <v>3704</v>
      </c>
      <c r="I439" s="260">
        <v>92593</v>
      </c>
      <c r="J439" s="260">
        <v>0</v>
      </c>
      <c r="K439" s="260">
        <v>92593</v>
      </c>
      <c r="L439" s="260">
        <v>7407</v>
      </c>
      <c r="M439" s="260">
        <v>100000</v>
      </c>
      <c r="N439" s="119">
        <v>4.8999999999999998E-3</v>
      </c>
      <c r="O439" s="462" t="s">
        <v>934</v>
      </c>
    </row>
    <row r="440" spans="1:15" ht="18" customHeight="1" x14ac:dyDescent="0.25">
      <c r="A440" s="116">
        <v>6</v>
      </c>
      <c r="B440" s="117" t="s">
        <v>96</v>
      </c>
      <c r="C440" s="116">
        <v>112</v>
      </c>
      <c r="D440" s="120" t="s">
        <v>87</v>
      </c>
      <c r="E440" s="120" t="s">
        <v>966</v>
      </c>
      <c r="F440" s="117" t="s">
        <v>933</v>
      </c>
      <c r="G440" s="281">
        <v>3</v>
      </c>
      <c r="H440" s="260">
        <v>41667</v>
      </c>
      <c r="I440" s="260">
        <v>125000</v>
      </c>
      <c r="J440" s="260">
        <v>0</v>
      </c>
      <c r="K440" s="260">
        <v>125000</v>
      </c>
      <c r="L440" s="260">
        <v>10000</v>
      </c>
      <c r="M440" s="260">
        <v>135000</v>
      </c>
      <c r="N440" s="119">
        <v>6.7000000000000002E-3</v>
      </c>
      <c r="O440" s="462" t="s">
        <v>934</v>
      </c>
    </row>
    <row r="441" spans="1:15" ht="18" customHeight="1" x14ac:dyDescent="0.25">
      <c r="A441" s="116">
        <v>6</v>
      </c>
      <c r="B441" s="117" t="s">
        <v>96</v>
      </c>
      <c r="C441" s="116">
        <v>227</v>
      </c>
      <c r="D441" s="120" t="s">
        <v>87</v>
      </c>
      <c r="E441" s="120" t="s">
        <v>1018</v>
      </c>
      <c r="F441" s="117" t="s">
        <v>933</v>
      </c>
      <c r="G441" s="281">
        <v>5</v>
      </c>
      <c r="H441" s="260">
        <v>1389</v>
      </c>
      <c r="I441" s="260">
        <v>6944</v>
      </c>
      <c r="J441" s="260">
        <v>0</v>
      </c>
      <c r="K441" s="260">
        <v>6944</v>
      </c>
      <c r="L441" s="260">
        <v>556</v>
      </c>
      <c r="M441" s="260">
        <v>7500</v>
      </c>
      <c r="N441" s="119">
        <v>4.0000000000000002E-4</v>
      </c>
      <c r="O441" s="462" t="s">
        <v>934</v>
      </c>
    </row>
    <row r="442" spans="1:15" ht="18" customHeight="1" x14ac:dyDescent="0.25">
      <c r="A442" s="116">
        <v>6</v>
      </c>
      <c r="B442" s="117" t="s">
        <v>96</v>
      </c>
      <c r="C442" s="116">
        <v>101</v>
      </c>
      <c r="D442" s="120" t="s">
        <v>87</v>
      </c>
      <c r="E442" s="120" t="s">
        <v>967</v>
      </c>
      <c r="F442" s="117" t="s">
        <v>933</v>
      </c>
      <c r="G442" s="281">
        <v>5</v>
      </c>
      <c r="H442" s="260">
        <v>2315</v>
      </c>
      <c r="I442" s="260">
        <v>11574</v>
      </c>
      <c r="J442" s="260">
        <v>0</v>
      </c>
      <c r="K442" s="260">
        <v>11574</v>
      </c>
      <c r="L442" s="260">
        <v>926</v>
      </c>
      <c r="M442" s="260">
        <v>12500</v>
      </c>
      <c r="N442" s="119">
        <v>5.9999999999999995E-4</v>
      </c>
      <c r="O442" s="462" t="s">
        <v>934</v>
      </c>
    </row>
    <row r="443" spans="1:15" ht="18" customHeight="1" x14ac:dyDescent="0.25">
      <c r="A443" s="116">
        <v>6</v>
      </c>
      <c r="B443" s="117" t="s">
        <v>96</v>
      </c>
      <c r="C443" s="116">
        <v>93</v>
      </c>
      <c r="D443" s="120" t="s">
        <v>89</v>
      </c>
      <c r="E443" s="120" t="s">
        <v>123</v>
      </c>
      <c r="F443" s="117" t="s">
        <v>933</v>
      </c>
      <c r="G443" s="281">
        <v>1</v>
      </c>
      <c r="H443" s="260">
        <v>20370</v>
      </c>
      <c r="I443" s="260">
        <v>20370</v>
      </c>
      <c r="J443" s="260">
        <v>0</v>
      </c>
      <c r="K443" s="260">
        <v>20370</v>
      </c>
      <c r="L443" s="260">
        <v>1630</v>
      </c>
      <c r="M443" s="260">
        <v>22000</v>
      </c>
      <c r="N443" s="119">
        <v>1.1000000000000001E-3</v>
      </c>
      <c r="O443" s="462" t="s">
        <v>934</v>
      </c>
    </row>
    <row r="444" spans="1:15" ht="18" customHeight="1" x14ac:dyDescent="0.25">
      <c r="A444" s="116">
        <v>6</v>
      </c>
      <c r="B444" s="117" t="s">
        <v>96</v>
      </c>
      <c r="C444" s="116">
        <v>119</v>
      </c>
      <c r="D444" s="120" t="s">
        <v>89</v>
      </c>
      <c r="E444" s="120" t="s">
        <v>114</v>
      </c>
      <c r="F444" s="117" t="s">
        <v>933</v>
      </c>
      <c r="G444" s="281">
        <v>37</v>
      </c>
      <c r="H444" s="260">
        <v>44444</v>
      </c>
      <c r="I444" s="260">
        <v>1644444</v>
      </c>
      <c r="J444" s="260">
        <v>0</v>
      </c>
      <c r="K444" s="260">
        <v>1644444</v>
      </c>
      <c r="L444" s="260">
        <v>131556</v>
      </c>
      <c r="M444" s="260">
        <v>1776000</v>
      </c>
      <c r="N444" s="119">
        <v>8.7599999999999997E-2</v>
      </c>
      <c r="O444" s="462" t="s">
        <v>934</v>
      </c>
    </row>
    <row r="445" spans="1:15" ht="18" customHeight="1" x14ac:dyDescent="0.25">
      <c r="A445" s="116">
        <v>6</v>
      </c>
      <c r="B445" s="117" t="s">
        <v>96</v>
      </c>
      <c r="C445" s="116">
        <v>64</v>
      </c>
      <c r="D445" s="120" t="s">
        <v>87</v>
      </c>
      <c r="E445" s="120" t="s">
        <v>1050</v>
      </c>
      <c r="F445" s="117" t="s">
        <v>933</v>
      </c>
      <c r="G445" s="281">
        <v>1</v>
      </c>
      <c r="H445" s="260">
        <v>2315</v>
      </c>
      <c r="I445" s="260">
        <v>2315</v>
      </c>
      <c r="J445" s="260">
        <v>0</v>
      </c>
      <c r="K445" s="260">
        <v>2315</v>
      </c>
      <c r="L445" s="260">
        <v>185</v>
      </c>
      <c r="M445" s="260">
        <v>2500</v>
      </c>
      <c r="N445" s="119">
        <v>1E-4</v>
      </c>
      <c r="O445" s="462" t="s">
        <v>934</v>
      </c>
    </row>
    <row r="446" spans="1:15" ht="18" customHeight="1" x14ac:dyDescent="0.25">
      <c r="A446" s="116">
        <v>6</v>
      </c>
      <c r="B446" s="117" t="s">
        <v>96</v>
      </c>
      <c r="C446" s="116">
        <v>21</v>
      </c>
      <c r="D446" s="120" t="s">
        <v>95</v>
      </c>
      <c r="E446" s="120" t="s">
        <v>1051</v>
      </c>
      <c r="F446" s="117" t="s">
        <v>933</v>
      </c>
      <c r="G446" s="281">
        <v>3</v>
      </c>
      <c r="H446" s="260">
        <v>7407</v>
      </c>
      <c r="I446" s="260">
        <v>22222</v>
      </c>
      <c r="J446" s="260">
        <v>0</v>
      </c>
      <c r="K446" s="260">
        <v>22222</v>
      </c>
      <c r="L446" s="260">
        <v>1778</v>
      </c>
      <c r="M446" s="260">
        <v>24000</v>
      </c>
      <c r="N446" s="119">
        <v>1.1999999999999999E-3</v>
      </c>
      <c r="O446" s="462" t="s">
        <v>934</v>
      </c>
    </row>
    <row r="447" spans="1:15" ht="18" customHeight="1" x14ac:dyDescent="0.25">
      <c r="A447" s="116">
        <v>6</v>
      </c>
      <c r="B447" s="117" t="s">
        <v>96</v>
      </c>
      <c r="C447" s="116">
        <v>19</v>
      </c>
      <c r="D447" s="120" t="s">
        <v>87</v>
      </c>
      <c r="E447" s="120" t="s">
        <v>968</v>
      </c>
      <c r="F447" s="117" t="s">
        <v>933</v>
      </c>
      <c r="G447" s="281">
        <v>14</v>
      </c>
      <c r="H447" s="260">
        <v>9259</v>
      </c>
      <c r="I447" s="260">
        <v>129630</v>
      </c>
      <c r="J447" s="260">
        <v>0</v>
      </c>
      <c r="K447" s="260">
        <v>129630</v>
      </c>
      <c r="L447" s="260">
        <v>10370</v>
      </c>
      <c r="M447" s="260">
        <v>140000</v>
      </c>
      <c r="N447" s="119">
        <v>6.8999999999999999E-3</v>
      </c>
      <c r="O447" s="462" t="s">
        <v>934</v>
      </c>
    </row>
    <row r="448" spans="1:15" ht="18" customHeight="1" x14ac:dyDescent="0.25">
      <c r="A448" s="116">
        <v>6</v>
      </c>
      <c r="B448" s="117" t="s">
        <v>96</v>
      </c>
      <c r="C448" s="116">
        <v>47</v>
      </c>
      <c r="D448" s="120" t="s">
        <v>87</v>
      </c>
      <c r="E448" s="120" t="s">
        <v>1040</v>
      </c>
      <c r="F448" s="117" t="s">
        <v>933</v>
      </c>
      <c r="G448" s="281">
        <v>2</v>
      </c>
      <c r="H448" s="260">
        <v>64815</v>
      </c>
      <c r="I448" s="260">
        <v>129630</v>
      </c>
      <c r="J448" s="260">
        <v>0</v>
      </c>
      <c r="K448" s="260">
        <v>129630</v>
      </c>
      <c r="L448" s="260">
        <v>10370</v>
      </c>
      <c r="M448" s="260">
        <v>140000</v>
      </c>
      <c r="N448" s="119">
        <v>6.8999999999999999E-3</v>
      </c>
      <c r="O448" s="462" t="s">
        <v>934</v>
      </c>
    </row>
    <row r="449" spans="1:15" ht="18" customHeight="1" x14ac:dyDescent="0.25">
      <c r="A449" s="116">
        <v>6</v>
      </c>
      <c r="B449" s="117" t="s">
        <v>96</v>
      </c>
      <c r="C449" s="116">
        <v>77</v>
      </c>
      <c r="D449" s="120" t="s">
        <v>87</v>
      </c>
      <c r="E449" s="120" t="s">
        <v>969</v>
      </c>
      <c r="F449" s="117" t="s">
        <v>933</v>
      </c>
      <c r="G449" s="281">
        <v>2</v>
      </c>
      <c r="H449" s="260">
        <v>2778</v>
      </c>
      <c r="I449" s="260">
        <v>5556</v>
      </c>
      <c r="J449" s="260">
        <v>0</v>
      </c>
      <c r="K449" s="260">
        <v>5556</v>
      </c>
      <c r="L449" s="260">
        <v>444</v>
      </c>
      <c r="M449" s="260">
        <v>6000</v>
      </c>
      <c r="N449" s="119">
        <v>2.9999999999999997E-4</v>
      </c>
      <c r="O449" s="462" t="s">
        <v>934</v>
      </c>
    </row>
    <row r="450" spans="1:15" ht="18" customHeight="1" x14ac:dyDescent="0.25">
      <c r="A450" s="116">
        <v>6</v>
      </c>
      <c r="B450" s="117" t="s">
        <v>96</v>
      </c>
      <c r="C450" s="116">
        <v>86</v>
      </c>
      <c r="D450" s="120" t="s">
        <v>95</v>
      </c>
      <c r="E450" s="120" t="s">
        <v>972</v>
      </c>
      <c r="F450" s="117" t="s">
        <v>933</v>
      </c>
      <c r="G450" s="281">
        <v>8</v>
      </c>
      <c r="H450" s="260">
        <v>3241</v>
      </c>
      <c r="I450" s="260">
        <v>25926</v>
      </c>
      <c r="J450" s="260">
        <v>0</v>
      </c>
      <c r="K450" s="260">
        <v>25926</v>
      </c>
      <c r="L450" s="260">
        <v>2074</v>
      </c>
      <c r="M450" s="260">
        <v>28000</v>
      </c>
      <c r="N450" s="119">
        <v>1.4E-3</v>
      </c>
      <c r="O450" s="462" t="s">
        <v>934</v>
      </c>
    </row>
    <row r="451" spans="1:15" ht="18" customHeight="1" x14ac:dyDescent="0.25">
      <c r="A451" s="116">
        <v>6</v>
      </c>
      <c r="B451" s="117" t="s">
        <v>96</v>
      </c>
      <c r="C451" s="116">
        <v>85</v>
      </c>
      <c r="D451" s="120" t="s">
        <v>95</v>
      </c>
      <c r="E451" s="120" t="s">
        <v>1004</v>
      </c>
      <c r="F451" s="117" t="s">
        <v>933</v>
      </c>
      <c r="G451" s="281">
        <v>1</v>
      </c>
      <c r="H451" s="260">
        <v>2315</v>
      </c>
      <c r="I451" s="260">
        <v>2315</v>
      </c>
      <c r="J451" s="260">
        <v>0</v>
      </c>
      <c r="K451" s="260">
        <v>2315</v>
      </c>
      <c r="L451" s="260">
        <v>185</v>
      </c>
      <c r="M451" s="260">
        <v>2500</v>
      </c>
      <c r="N451" s="119">
        <v>1E-4</v>
      </c>
      <c r="O451" s="462" t="s">
        <v>934</v>
      </c>
    </row>
    <row r="452" spans="1:15" ht="18" customHeight="1" x14ac:dyDescent="0.25">
      <c r="A452" s="116">
        <v>6</v>
      </c>
      <c r="B452" s="117" t="s">
        <v>96</v>
      </c>
      <c r="C452" s="116">
        <v>91</v>
      </c>
      <c r="D452" s="120" t="s">
        <v>95</v>
      </c>
      <c r="E452" s="120" t="s">
        <v>1042</v>
      </c>
      <c r="F452" s="117" t="s">
        <v>933</v>
      </c>
      <c r="G452" s="281">
        <v>2</v>
      </c>
      <c r="H452" s="260">
        <v>11111</v>
      </c>
      <c r="I452" s="260">
        <v>22222</v>
      </c>
      <c r="J452" s="260">
        <v>0</v>
      </c>
      <c r="K452" s="260">
        <v>22222</v>
      </c>
      <c r="L452" s="260">
        <v>1778</v>
      </c>
      <c r="M452" s="260">
        <v>24000</v>
      </c>
      <c r="N452" s="119">
        <v>1.1999999999999999E-3</v>
      </c>
      <c r="O452" s="462" t="s">
        <v>934</v>
      </c>
    </row>
    <row r="453" spans="1:15" ht="18" customHeight="1" x14ac:dyDescent="0.25">
      <c r="A453" s="116">
        <v>6</v>
      </c>
      <c r="B453" s="117" t="s">
        <v>96</v>
      </c>
      <c r="C453" s="116">
        <v>100</v>
      </c>
      <c r="D453" s="120" t="s">
        <v>95</v>
      </c>
      <c r="E453" s="120" t="s">
        <v>1043</v>
      </c>
      <c r="F453" s="117" t="s">
        <v>933</v>
      </c>
      <c r="G453" s="281">
        <v>2</v>
      </c>
      <c r="H453" s="260">
        <v>18981</v>
      </c>
      <c r="I453" s="260">
        <v>37963</v>
      </c>
      <c r="J453" s="260">
        <v>0</v>
      </c>
      <c r="K453" s="260">
        <v>37963</v>
      </c>
      <c r="L453" s="260">
        <v>3037</v>
      </c>
      <c r="M453" s="260">
        <v>41000</v>
      </c>
      <c r="N453" s="119">
        <v>2E-3</v>
      </c>
      <c r="O453" s="462" t="s">
        <v>934</v>
      </c>
    </row>
    <row r="454" spans="1:15" ht="18" customHeight="1" x14ac:dyDescent="0.25">
      <c r="A454" s="116">
        <v>6</v>
      </c>
      <c r="B454" s="117" t="s">
        <v>96</v>
      </c>
      <c r="C454" s="116">
        <v>157</v>
      </c>
      <c r="D454" s="120" t="s">
        <v>95</v>
      </c>
      <c r="E454" s="120" t="s">
        <v>1052</v>
      </c>
      <c r="F454" s="117" t="s">
        <v>933</v>
      </c>
      <c r="G454" s="281">
        <v>0</v>
      </c>
      <c r="H454" s="260">
        <v>0</v>
      </c>
      <c r="I454" s="260">
        <v>0</v>
      </c>
      <c r="J454" s="260">
        <v>0</v>
      </c>
      <c r="K454" s="260">
        <v>0</v>
      </c>
      <c r="L454" s="260">
        <v>0</v>
      </c>
      <c r="M454" s="260">
        <v>0</v>
      </c>
      <c r="N454" s="119">
        <v>0</v>
      </c>
      <c r="O454" s="462" t="s">
        <v>934</v>
      </c>
    </row>
    <row r="455" spans="1:15" ht="18" customHeight="1" x14ac:dyDescent="0.25">
      <c r="A455" s="116">
        <v>6</v>
      </c>
      <c r="B455" s="117" t="s">
        <v>96</v>
      </c>
      <c r="C455" s="116">
        <v>63</v>
      </c>
      <c r="D455" s="120" t="s">
        <v>95</v>
      </c>
      <c r="E455" s="120" t="s">
        <v>1031</v>
      </c>
      <c r="F455" s="117" t="s">
        <v>933</v>
      </c>
      <c r="G455" s="281">
        <v>4</v>
      </c>
      <c r="H455" s="260">
        <v>3704</v>
      </c>
      <c r="I455" s="260">
        <v>14815</v>
      </c>
      <c r="J455" s="260">
        <v>0</v>
      </c>
      <c r="K455" s="260">
        <v>14815</v>
      </c>
      <c r="L455" s="260">
        <v>1185</v>
      </c>
      <c r="M455" s="260">
        <v>16000</v>
      </c>
      <c r="N455" s="119">
        <v>8.0000000000000004E-4</v>
      </c>
      <c r="O455" s="462" t="s">
        <v>934</v>
      </c>
    </row>
    <row r="456" spans="1:15" ht="18" customHeight="1" x14ac:dyDescent="0.25">
      <c r="A456" s="116">
        <v>6</v>
      </c>
      <c r="B456" s="117" t="s">
        <v>96</v>
      </c>
      <c r="C456" s="116">
        <v>79</v>
      </c>
      <c r="D456" s="120" t="s">
        <v>95</v>
      </c>
      <c r="E456" s="120" t="s">
        <v>975</v>
      </c>
      <c r="F456" s="117" t="s">
        <v>933</v>
      </c>
      <c r="G456" s="281">
        <v>5</v>
      </c>
      <c r="H456" s="260">
        <v>6481</v>
      </c>
      <c r="I456" s="260">
        <v>32407</v>
      </c>
      <c r="J456" s="260">
        <v>0</v>
      </c>
      <c r="K456" s="260">
        <v>32407</v>
      </c>
      <c r="L456" s="260">
        <v>2593</v>
      </c>
      <c r="M456" s="260">
        <v>35000</v>
      </c>
      <c r="N456" s="119">
        <v>1.6999999999999999E-3</v>
      </c>
      <c r="O456" s="462" t="s">
        <v>934</v>
      </c>
    </row>
    <row r="457" spans="1:15" ht="18" customHeight="1" x14ac:dyDescent="0.25">
      <c r="A457" s="116">
        <v>6</v>
      </c>
      <c r="B457" s="117" t="s">
        <v>96</v>
      </c>
      <c r="C457" s="116">
        <v>82</v>
      </c>
      <c r="D457" s="120" t="s">
        <v>95</v>
      </c>
      <c r="E457" s="120" t="s">
        <v>1005</v>
      </c>
      <c r="F457" s="117" t="s">
        <v>933</v>
      </c>
      <c r="G457" s="281">
        <v>0</v>
      </c>
      <c r="H457" s="260">
        <v>0</v>
      </c>
      <c r="I457" s="260">
        <v>0</v>
      </c>
      <c r="J457" s="260">
        <v>0</v>
      </c>
      <c r="K457" s="260">
        <v>0</v>
      </c>
      <c r="L457" s="260">
        <v>0</v>
      </c>
      <c r="M457" s="260">
        <v>0</v>
      </c>
      <c r="N457" s="119">
        <v>0</v>
      </c>
      <c r="O457" s="462" t="s">
        <v>934</v>
      </c>
    </row>
    <row r="458" spans="1:15" ht="18" customHeight="1" x14ac:dyDescent="0.25">
      <c r="A458" s="116">
        <v>6</v>
      </c>
      <c r="B458" s="117" t="s">
        <v>96</v>
      </c>
      <c r="C458" s="116">
        <v>62</v>
      </c>
      <c r="D458" s="120" t="s">
        <v>95</v>
      </c>
      <c r="E458" s="120" t="s">
        <v>976</v>
      </c>
      <c r="F458" s="117" t="s">
        <v>933</v>
      </c>
      <c r="G458" s="281">
        <v>1</v>
      </c>
      <c r="H458" s="260">
        <v>6944</v>
      </c>
      <c r="I458" s="260">
        <v>6944</v>
      </c>
      <c r="J458" s="260">
        <v>0</v>
      </c>
      <c r="K458" s="260">
        <v>6944</v>
      </c>
      <c r="L458" s="260">
        <v>556</v>
      </c>
      <c r="M458" s="260">
        <v>7500</v>
      </c>
      <c r="N458" s="119">
        <v>4.0000000000000002E-4</v>
      </c>
      <c r="O458" s="462" t="s">
        <v>934</v>
      </c>
    </row>
    <row r="459" spans="1:15" ht="18" customHeight="1" x14ac:dyDescent="0.25">
      <c r="A459" s="116">
        <v>6</v>
      </c>
      <c r="B459" s="117" t="s">
        <v>96</v>
      </c>
      <c r="C459" s="116">
        <v>137</v>
      </c>
      <c r="D459" s="120" t="s">
        <v>95</v>
      </c>
      <c r="E459" s="120" t="s">
        <v>1006</v>
      </c>
      <c r="F459" s="117" t="s">
        <v>933</v>
      </c>
      <c r="G459" s="281">
        <v>1</v>
      </c>
      <c r="H459" s="260">
        <v>6481</v>
      </c>
      <c r="I459" s="260">
        <v>6481</v>
      </c>
      <c r="J459" s="260">
        <v>0</v>
      </c>
      <c r="K459" s="260">
        <v>6481</v>
      </c>
      <c r="L459" s="260">
        <v>519</v>
      </c>
      <c r="M459" s="260">
        <v>7000</v>
      </c>
      <c r="N459" s="119">
        <v>2.9999999999999997E-4</v>
      </c>
      <c r="O459" s="462" t="s">
        <v>934</v>
      </c>
    </row>
    <row r="460" spans="1:15" ht="18" customHeight="1" x14ac:dyDescent="0.25">
      <c r="A460" s="116">
        <v>6</v>
      </c>
      <c r="B460" s="117" t="s">
        <v>96</v>
      </c>
      <c r="C460" s="116">
        <v>219</v>
      </c>
      <c r="D460" s="120" t="s">
        <v>87</v>
      </c>
      <c r="E460" s="120" t="s">
        <v>153</v>
      </c>
      <c r="F460" s="117" t="s">
        <v>933</v>
      </c>
      <c r="G460" s="281">
        <v>13</v>
      </c>
      <c r="H460" s="260">
        <v>69444</v>
      </c>
      <c r="I460" s="260">
        <v>902778</v>
      </c>
      <c r="J460" s="260">
        <v>0</v>
      </c>
      <c r="K460" s="260">
        <v>902778</v>
      </c>
      <c r="L460" s="260">
        <v>72222</v>
      </c>
      <c r="M460" s="260">
        <v>975000</v>
      </c>
      <c r="N460" s="119">
        <v>4.8099999999999997E-2</v>
      </c>
      <c r="O460" s="462" t="s">
        <v>934</v>
      </c>
    </row>
    <row r="461" spans="1:15" ht="18" customHeight="1" x14ac:dyDescent="0.25">
      <c r="A461" s="116">
        <v>6</v>
      </c>
      <c r="B461" s="117" t="s">
        <v>96</v>
      </c>
      <c r="C461" s="116">
        <v>220</v>
      </c>
      <c r="D461" s="120" t="s">
        <v>87</v>
      </c>
      <c r="E461" s="120" t="s">
        <v>1044</v>
      </c>
      <c r="F461" s="117" t="s">
        <v>933</v>
      </c>
      <c r="G461" s="281">
        <v>2</v>
      </c>
      <c r="H461" s="260">
        <v>69444</v>
      </c>
      <c r="I461" s="260">
        <v>138889</v>
      </c>
      <c r="J461" s="260">
        <v>0</v>
      </c>
      <c r="K461" s="260">
        <v>138889</v>
      </c>
      <c r="L461" s="260">
        <v>11111</v>
      </c>
      <c r="M461" s="260">
        <v>150000</v>
      </c>
      <c r="N461" s="119">
        <v>7.4000000000000003E-3</v>
      </c>
      <c r="O461" s="462" t="s">
        <v>934</v>
      </c>
    </row>
    <row r="462" spans="1:15" ht="18" customHeight="1" x14ac:dyDescent="0.25">
      <c r="A462" s="116">
        <v>6</v>
      </c>
      <c r="B462" s="117" t="s">
        <v>96</v>
      </c>
      <c r="C462" s="116">
        <v>140</v>
      </c>
      <c r="D462" s="120" t="s">
        <v>87</v>
      </c>
      <c r="E462" s="120" t="s">
        <v>979</v>
      </c>
      <c r="F462" s="117" t="s">
        <v>933</v>
      </c>
      <c r="G462" s="281">
        <v>6</v>
      </c>
      <c r="H462" s="260">
        <v>90741</v>
      </c>
      <c r="I462" s="260">
        <v>544444</v>
      </c>
      <c r="J462" s="260">
        <v>0</v>
      </c>
      <c r="K462" s="260">
        <v>544444</v>
      </c>
      <c r="L462" s="260">
        <v>43556</v>
      </c>
      <c r="M462" s="260">
        <v>588000</v>
      </c>
      <c r="N462" s="119">
        <v>2.9000000000000001E-2</v>
      </c>
      <c r="O462" s="462" t="s">
        <v>934</v>
      </c>
    </row>
    <row r="463" spans="1:15" ht="18" customHeight="1" x14ac:dyDescent="0.25">
      <c r="A463" s="116">
        <v>6</v>
      </c>
      <c r="B463" s="117" t="s">
        <v>96</v>
      </c>
      <c r="C463" s="116">
        <v>226</v>
      </c>
      <c r="D463" s="120" t="s">
        <v>87</v>
      </c>
      <c r="E463" s="120" t="s">
        <v>1032</v>
      </c>
      <c r="F463" s="117" t="s">
        <v>933</v>
      </c>
      <c r="G463" s="281">
        <v>7</v>
      </c>
      <c r="H463" s="260">
        <v>90741</v>
      </c>
      <c r="I463" s="260">
        <v>635185</v>
      </c>
      <c r="J463" s="260">
        <v>0</v>
      </c>
      <c r="K463" s="260">
        <v>635185</v>
      </c>
      <c r="L463" s="260">
        <v>50815</v>
      </c>
      <c r="M463" s="260">
        <v>686000</v>
      </c>
      <c r="N463" s="119">
        <v>3.39E-2</v>
      </c>
      <c r="O463" s="462" t="s">
        <v>934</v>
      </c>
    </row>
    <row r="464" spans="1:15" ht="18" customHeight="1" x14ac:dyDescent="0.25">
      <c r="A464" s="116">
        <v>6</v>
      </c>
      <c r="B464" s="117" t="s">
        <v>96</v>
      </c>
      <c r="C464" s="116">
        <v>222</v>
      </c>
      <c r="D464" s="120" t="s">
        <v>93</v>
      </c>
      <c r="E464" s="120" t="s">
        <v>981</v>
      </c>
      <c r="F464" s="117" t="s">
        <v>933</v>
      </c>
      <c r="G464" s="281">
        <v>2</v>
      </c>
      <c r="H464" s="260">
        <v>63426</v>
      </c>
      <c r="I464" s="260">
        <v>126852</v>
      </c>
      <c r="J464" s="260">
        <v>0</v>
      </c>
      <c r="K464" s="260">
        <v>126852</v>
      </c>
      <c r="L464" s="260">
        <v>10148</v>
      </c>
      <c r="M464" s="260">
        <v>137000</v>
      </c>
      <c r="N464" s="119">
        <v>6.7999999999999996E-3</v>
      </c>
      <c r="O464" s="462" t="s">
        <v>934</v>
      </c>
    </row>
    <row r="465" spans="1:15" ht="18" customHeight="1" x14ac:dyDescent="0.25">
      <c r="A465" s="116">
        <v>6</v>
      </c>
      <c r="B465" s="117" t="s">
        <v>96</v>
      </c>
      <c r="C465" s="116">
        <v>223</v>
      </c>
      <c r="D465" s="120" t="s">
        <v>87</v>
      </c>
      <c r="E465" s="120" t="s">
        <v>141</v>
      </c>
      <c r="F465" s="117" t="s">
        <v>933</v>
      </c>
      <c r="G465" s="281">
        <v>8</v>
      </c>
      <c r="H465" s="260">
        <v>69444</v>
      </c>
      <c r="I465" s="260">
        <v>555556</v>
      </c>
      <c r="J465" s="260">
        <v>0</v>
      </c>
      <c r="K465" s="260">
        <v>555556</v>
      </c>
      <c r="L465" s="260">
        <v>44444</v>
      </c>
      <c r="M465" s="260">
        <v>600000</v>
      </c>
      <c r="N465" s="119">
        <v>2.9600000000000001E-2</v>
      </c>
      <c r="O465" s="462" t="s">
        <v>934</v>
      </c>
    </row>
    <row r="466" spans="1:15" ht="18" customHeight="1" x14ac:dyDescent="0.25">
      <c r="A466" s="116">
        <v>6</v>
      </c>
      <c r="B466" s="117" t="s">
        <v>96</v>
      </c>
      <c r="C466" s="116">
        <v>229</v>
      </c>
      <c r="D466" s="120" t="s">
        <v>87</v>
      </c>
      <c r="E466" s="120" t="s">
        <v>1046</v>
      </c>
      <c r="F466" s="117" t="s">
        <v>933</v>
      </c>
      <c r="G466" s="281">
        <v>4</v>
      </c>
      <c r="H466" s="260">
        <v>66204</v>
      </c>
      <c r="I466" s="260">
        <v>264815</v>
      </c>
      <c r="J466" s="260">
        <v>0</v>
      </c>
      <c r="K466" s="260">
        <v>264815</v>
      </c>
      <c r="L466" s="260">
        <v>21185</v>
      </c>
      <c r="M466" s="260">
        <v>286000</v>
      </c>
      <c r="N466" s="119">
        <v>1.41E-2</v>
      </c>
      <c r="O466" s="462" t="s">
        <v>934</v>
      </c>
    </row>
    <row r="467" spans="1:15" ht="18" customHeight="1" x14ac:dyDescent="0.25">
      <c r="A467" s="116">
        <v>6</v>
      </c>
      <c r="B467" s="117" t="s">
        <v>96</v>
      </c>
      <c r="C467" s="116">
        <v>50</v>
      </c>
      <c r="D467" s="120" t="s">
        <v>87</v>
      </c>
      <c r="E467" s="120" t="s">
        <v>159</v>
      </c>
      <c r="F467" s="117" t="s">
        <v>933</v>
      </c>
      <c r="G467" s="281">
        <v>9</v>
      </c>
      <c r="H467" s="260">
        <v>49074</v>
      </c>
      <c r="I467" s="260">
        <v>441667</v>
      </c>
      <c r="J467" s="260">
        <v>0</v>
      </c>
      <c r="K467" s="260">
        <v>441667</v>
      </c>
      <c r="L467" s="260">
        <v>35333</v>
      </c>
      <c r="M467" s="260">
        <v>477000</v>
      </c>
      <c r="N467" s="119">
        <v>2.35E-2</v>
      </c>
      <c r="O467" s="462" t="s">
        <v>934</v>
      </c>
    </row>
    <row r="468" spans="1:15" ht="18" customHeight="1" x14ac:dyDescent="0.25">
      <c r="A468" s="116">
        <v>6</v>
      </c>
      <c r="B468" s="117" t="s">
        <v>96</v>
      </c>
      <c r="C468" s="116">
        <v>10</v>
      </c>
      <c r="D468" s="120" t="s">
        <v>87</v>
      </c>
      <c r="E468" s="120" t="s">
        <v>1033</v>
      </c>
      <c r="F468" s="117" t="s">
        <v>933</v>
      </c>
      <c r="G468" s="281">
        <v>1</v>
      </c>
      <c r="H468" s="260">
        <v>13889</v>
      </c>
      <c r="I468" s="260">
        <v>13889</v>
      </c>
      <c r="J468" s="260">
        <v>0</v>
      </c>
      <c r="K468" s="260">
        <v>13889</v>
      </c>
      <c r="L468" s="260">
        <v>1111</v>
      </c>
      <c r="M468" s="260">
        <v>15000</v>
      </c>
      <c r="N468" s="119">
        <v>7.000000000000001E-4</v>
      </c>
      <c r="O468" s="462" t="s">
        <v>934</v>
      </c>
    </row>
    <row r="469" spans="1:15" ht="18" customHeight="1" x14ac:dyDescent="0.25">
      <c r="A469" s="116">
        <v>6</v>
      </c>
      <c r="B469" s="117" t="s">
        <v>96</v>
      </c>
      <c r="C469" s="116">
        <v>120</v>
      </c>
      <c r="D469" s="120" t="s">
        <v>93</v>
      </c>
      <c r="E469" s="120" t="s">
        <v>982</v>
      </c>
      <c r="F469" s="117" t="s">
        <v>933</v>
      </c>
      <c r="G469" s="281">
        <v>3</v>
      </c>
      <c r="H469" s="260">
        <v>41667</v>
      </c>
      <c r="I469" s="260">
        <v>125000</v>
      </c>
      <c r="J469" s="260">
        <v>0</v>
      </c>
      <c r="K469" s="260">
        <v>125000</v>
      </c>
      <c r="L469" s="260">
        <v>10000</v>
      </c>
      <c r="M469" s="260">
        <v>135000</v>
      </c>
      <c r="N469" s="119">
        <v>6.7000000000000002E-3</v>
      </c>
      <c r="O469" s="462" t="s">
        <v>934</v>
      </c>
    </row>
    <row r="470" spans="1:15" ht="18" customHeight="1" x14ac:dyDescent="0.25">
      <c r="A470" s="116">
        <v>6</v>
      </c>
      <c r="B470" s="117" t="s">
        <v>96</v>
      </c>
      <c r="C470" s="116">
        <v>129</v>
      </c>
      <c r="D470" s="120" t="s">
        <v>93</v>
      </c>
      <c r="E470" s="120" t="s">
        <v>983</v>
      </c>
      <c r="F470" s="117" t="s">
        <v>933</v>
      </c>
      <c r="G470" s="281">
        <v>6</v>
      </c>
      <c r="H470" s="260">
        <v>44444</v>
      </c>
      <c r="I470" s="260">
        <v>266667</v>
      </c>
      <c r="J470" s="260">
        <v>0</v>
      </c>
      <c r="K470" s="260">
        <v>266667</v>
      </c>
      <c r="L470" s="260">
        <v>21333</v>
      </c>
      <c r="M470" s="260">
        <v>288000</v>
      </c>
      <c r="N470" s="119">
        <v>1.4200000000000001E-2</v>
      </c>
      <c r="O470" s="462" t="s">
        <v>934</v>
      </c>
    </row>
    <row r="471" spans="1:15" ht="18" customHeight="1" x14ac:dyDescent="0.25">
      <c r="A471" s="116">
        <v>6</v>
      </c>
      <c r="B471" s="117" t="s">
        <v>96</v>
      </c>
      <c r="C471" s="116">
        <v>116</v>
      </c>
      <c r="D471" s="120" t="s">
        <v>89</v>
      </c>
      <c r="E471" s="120" t="s">
        <v>1047</v>
      </c>
      <c r="F471" s="117" t="s">
        <v>933</v>
      </c>
      <c r="G471" s="281">
        <v>51</v>
      </c>
      <c r="H471" s="260">
        <v>5556</v>
      </c>
      <c r="I471" s="260">
        <v>283333</v>
      </c>
      <c r="J471" s="260">
        <v>0</v>
      </c>
      <c r="K471" s="260">
        <v>283333</v>
      </c>
      <c r="L471" s="260">
        <v>22667</v>
      </c>
      <c r="M471" s="260">
        <v>306000</v>
      </c>
      <c r="N471" s="119">
        <v>1.5100000000000001E-2</v>
      </c>
      <c r="O471" s="462" t="s">
        <v>934</v>
      </c>
    </row>
    <row r="472" spans="1:15" ht="18" customHeight="1" x14ac:dyDescent="0.25">
      <c r="A472" s="116">
        <v>6</v>
      </c>
      <c r="B472" s="117" t="s">
        <v>96</v>
      </c>
      <c r="C472" s="116">
        <v>117</v>
      </c>
      <c r="D472" s="120" t="s">
        <v>87</v>
      </c>
      <c r="E472" s="120" t="s">
        <v>120</v>
      </c>
      <c r="F472" s="117" t="s">
        <v>933</v>
      </c>
      <c r="G472" s="281">
        <v>25</v>
      </c>
      <c r="H472" s="260">
        <v>41667</v>
      </c>
      <c r="I472" s="260">
        <v>1041667</v>
      </c>
      <c r="J472" s="260">
        <v>0</v>
      </c>
      <c r="K472" s="260">
        <v>1041667</v>
      </c>
      <c r="L472" s="260">
        <v>83333</v>
      </c>
      <c r="M472" s="260">
        <v>1125000</v>
      </c>
      <c r="N472" s="119">
        <v>5.5500000000000001E-2</v>
      </c>
      <c r="O472" s="462" t="s">
        <v>934</v>
      </c>
    </row>
    <row r="473" spans="1:15" ht="18" customHeight="1" x14ac:dyDescent="0.25">
      <c r="A473" s="116">
        <v>6</v>
      </c>
      <c r="B473" s="117" t="s">
        <v>96</v>
      </c>
      <c r="C473" s="116">
        <v>36</v>
      </c>
      <c r="D473" s="120" t="s">
        <v>91</v>
      </c>
      <c r="E473" s="120" t="s">
        <v>984</v>
      </c>
      <c r="F473" s="117" t="s">
        <v>933</v>
      </c>
      <c r="G473" s="281">
        <v>11</v>
      </c>
      <c r="H473" s="260">
        <v>3704</v>
      </c>
      <c r="I473" s="260">
        <v>40741</v>
      </c>
      <c r="J473" s="260">
        <v>0</v>
      </c>
      <c r="K473" s="260">
        <v>40741</v>
      </c>
      <c r="L473" s="260">
        <v>3259</v>
      </c>
      <c r="M473" s="260">
        <v>44000</v>
      </c>
      <c r="N473" s="119">
        <v>2.2000000000000001E-3</v>
      </c>
      <c r="O473" s="462" t="s">
        <v>934</v>
      </c>
    </row>
    <row r="474" spans="1:15" ht="18" customHeight="1" x14ac:dyDescent="0.25">
      <c r="A474" s="116">
        <v>6</v>
      </c>
      <c r="B474" s="117" t="s">
        <v>96</v>
      </c>
      <c r="C474" s="116">
        <v>215</v>
      </c>
      <c r="D474" s="120" t="s">
        <v>87</v>
      </c>
      <c r="E474" s="120" t="s">
        <v>132</v>
      </c>
      <c r="F474" s="117" t="s">
        <v>933</v>
      </c>
      <c r="G474" s="281">
        <v>15</v>
      </c>
      <c r="H474" s="260">
        <v>37500</v>
      </c>
      <c r="I474" s="260">
        <v>562500</v>
      </c>
      <c r="J474" s="260">
        <v>0</v>
      </c>
      <c r="K474" s="260">
        <v>562500</v>
      </c>
      <c r="L474" s="260">
        <v>45000</v>
      </c>
      <c r="M474" s="260">
        <v>607500</v>
      </c>
      <c r="N474" s="119">
        <v>0.03</v>
      </c>
      <c r="O474" s="462" t="s">
        <v>934</v>
      </c>
    </row>
    <row r="475" spans="1:15" ht="18" customHeight="1" x14ac:dyDescent="0.25">
      <c r="A475" s="116">
        <v>6</v>
      </c>
      <c r="B475" s="117" t="s">
        <v>96</v>
      </c>
      <c r="C475" s="116">
        <v>214</v>
      </c>
      <c r="D475" s="120" t="s">
        <v>87</v>
      </c>
      <c r="E475" s="120" t="s">
        <v>1007</v>
      </c>
      <c r="F475" s="117" t="s">
        <v>933</v>
      </c>
      <c r="G475" s="281">
        <v>12</v>
      </c>
      <c r="H475" s="260">
        <v>37500</v>
      </c>
      <c r="I475" s="260">
        <v>450000</v>
      </c>
      <c r="J475" s="260">
        <v>0</v>
      </c>
      <c r="K475" s="260">
        <v>450000</v>
      </c>
      <c r="L475" s="260">
        <v>36000</v>
      </c>
      <c r="M475" s="260">
        <v>486000</v>
      </c>
      <c r="N475" s="119">
        <v>2.4E-2</v>
      </c>
      <c r="O475" s="462" t="s">
        <v>934</v>
      </c>
    </row>
    <row r="476" spans="1:15" ht="18" customHeight="1" x14ac:dyDescent="0.25">
      <c r="A476" s="116">
        <v>6</v>
      </c>
      <c r="B476" s="117" t="s">
        <v>96</v>
      </c>
      <c r="C476" s="116">
        <v>113</v>
      </c>
      <c r="D476" s="120" t="s">
        <v>89</v>
      </c>
      <c r="E476" s="120" t="s">
        <v>135</v>
      </c>
      <c r="F476" s="117" t="s">
        <v>933</v>
      </c>
      <c r="G476" s="281">
        <v>42</v>
      </c>
      <c r="H476" s="260">
        <v>22222</v>
      </c>
      <c r="I476" s="260">
        <v>933333</v>
      </c>
      <c r="J476" s="260">
        <v>0</v>
      </c>
      <c r="K476" s="260">
        <v>933333</v>
      </c>
      <c r="L476" s="260">
        <v>74667</v>
      </c>
      <c r="M476" s="260">
        <v>1008000</v>
      </c>
      <c r="N476" s="119">
        <v>4.9699999999999987E-2</v>
      </c>
      <c r="O476" s="462" t="s">
        <v>934</v>
      </c>
    </row>
    <row r="477" spans="1:15" ht="18" customHeight="1" x14ac:dyDescent="0.25">
      <c r="A477" s="116">
        <v>6</v>
      </c>
      <c r="B477" s="117" t="s">
        <v>96</v>
      </c>
      <c r="C477" s="116">
        <v>315</v>
      </c>
      <c r="D477" s="120" t="s">
        <v>87</v>
      </c>
      <c r="E477" s="120" t="s">
        <v>1008</v>
      </c>
      <c r="F477" s="117" t="s">
        <v>933</v>
      </c>
      <c r="G477" s="281">
        <v>1</v>
      </c>
      <c r="H477" s="260">
        <v>1852</v>
      </c>
      <c r="I477" s="260">
        <v>1852</v>
      </c>
      <c r="J477" s="260">
        <v>0</v>
      </c>
      <c r="K477" s="260">
        <v>1852</v>
      </c>
      <c r="L477" s="260">
        <v>148</v>
      </c>
      <c r="M477" s="260">
        <v>2000</v>
      </c>
      <c r="N477" s="119">
        <v>1E-4</v>
      </c>
      <c r="O477" s="462" t="s">
        <v>934</v>
      </c>
    </row>
    <row r="478" spans="1:15" ht="18" customHeight="1" x14ac:dyDescent="0.25">
      <c r="A478" s="116">
        <v>6</v>
      </c>
      <c r="B478" s="117" t="s">
        <v>96</v>
      </c>
      <c r="C478" s="116">
        <v>96</v>
      </c>
      <c r="D478" s="120" t="s">
        <v>93</v>
      </c>
      <c r="E478" s="120" t="s">
        <v>1009</v>
      </c>
      <c r="F478" s="117" t="s">
        <v>933</v>
      </c>
      <c r="G478" s="281">
        <v>10</v>
      </c>
      <c r="H478" s="260">
        <v>35648</v>
      </c>
      <c r="I478" s="260">
        <v>356482</v>
      </c>
      <c r="J478" s="260">
        <v>0</v>
      </c>
      <c r="K478" s="260">
        <v>356482</v>
      </c>
      <c r="L478" s="260">
        <v>28519</v>
      </c>
      <c r="M478" s="260">
        <v>385001</v>
      </c>
      <c r="N478" s="119">
        <v>1.9E-2</v>
      </c>
      <c r="O478" s="462" t="s">
        <v>934</v>
      </c>
    </row>
    <row r="479" spans="1:15" ht="18" customHeight="1" x14ac:dyDescent="0.25">
      <c r="A479" s="116">
        <v>6</v>
      </c>
      <c r="B479" s="117" t="s">
        <v>96</v>
      </c>
      <c r="C479" s="116">
        <v>33</v>
      </c>
      <c r="D479" s="120" t="s">
        <v>91</v>
      </c>
      <c r="E479" s="120" t="s">
        <v>987</v>
      </c>
      <c r="F479" s="117" t="s">
        <v>933</v>
      </c>
      <c r="G479" s="281">
        <v>2</v>
      </c>
      <c r="H479" s="260">
        <v>1852</v>
      </c>
      <c r="I479" s="260">
        <v>3704</v>
      </c>
      <c r="J479" s="260">
        <v>0</v>
      </c>
      <c r="K479" s="260">
        <v>3704</v>
      </c>
      <c r="L479" s="260">
        <v>296</v>
      </c>
      <c r="M479" s="260">
        <v>4000</v>
      </c>
      <c r="N479" s="119">
        <v>2.0000000000000001E-4</v>
      </c>
      <c r="O479" s="462" t="s">
        <v>934</v>
      </c>
    </row>
    <row r="480" spans="1:15" ht="18" customHeight="1" x14ac:dyDescent="0.25">
      <c r="A480" s="116">
        <v>6</v>
      </c>
      <c r="B480" s="117" t="s">
        <v>96</v>
      </c>
      <c r="C480" s="116">
        <v>255</v>
      </c>
      <c r="D480" s="120" t="s">
        <v>93</v>
      </c>
      <c r="E480" s="120" t="s">
        <v>1010</v>
      </c>
      <c r="F480" s="117" t="s">
        <v>933</v>
      </c>
      <c r="G480" s="281">
        <v>5</v>
      </c>
      <c r="H480" s="260">
        <v>35648</v>
      </c>
      <c r="I480" s="260">
        <v>178241</v>
      </c>
      <c r="J480" s="260">
        <v>0</v>
      </c>
      <c r="K480" s="260">
        <v>178241</v>
      </c>
      <c r="L480" s="260">
        <v>14259</v>
      </c>
      <c r="M480" s="260">
        <v>192500</v>
      </c>
      <c r="N480" s="119">
        <v>9.4999999999999998E-3</v>
      </c>
      <c r="O480" s="462" t="s">
        <v>934</v>
      </c>
    </row>
    <row r="481" spans="1:15" ht="18" customHeight="1" x14ac:dyDescent="0.25">
      <c r="A481" s="116">
        <v>6</v>
      </c>
      <c r="B481" s="117" t="s">
        <v>96</v>
      </c>
      <c r="C481" s="116">
        <v>67</v>
      </c>
      <c r="D481" s="120" t="s">
        <v>93</v>
      </c>
      <c r="E481" s="120" t="s">
        <v>988</v>
      </c>
      <c r="F481" s="117" t="s">
        <v>933</v>
      </c>
      <c r="G481" s="281">
        <v>1</v>
      </c>
      <c r="H481" s="260">
        <v>41667</v>
      </c>
      <c r="I481" s="260">
        <v>41667</v>
      </c>
      <c r="J481" s="260">
        <v>0</v>
      </c>
      <c r="K481" s="260">
        <v>41667</v>
      </c>
      <c r="L481" s="260">
        <v>3333</v>
      </c>
      <c r="M481" s="260">
        <v>45000</v>
      </c>
      <c r="N481" s="119">
        <v>2.2000000000000001E-3</v>
      </c>
      <c r="O481" s="462" t="s">
        <v>934</v>
      </c>
    </row>
    <row r="482" spans="1:15" ht="18" customHeight="1" x14ac:dyDescent="0.25">
      <c r="A482" s="116">
        <v>6</v>
      </c>
      <c r="B482" s="117" t="s">
        <v>96</v>
      </c>
      <c r="C482" s="116">
        <v>39</v>
      </c>
      <c r="D482" s="120" t="s">
        <v>91</v>
      </c>
      <c r="E482" s="120" t="s">
        <v>1011</v>
      </c>
      <c r="F482" s="117" t="s">
        <v>933</v>
      </c>
      <c r="G482" s="281">
        <v>2</v>
      </c>
      <c r="H482" s="260">
        <v>3333</v>
      </c>
      <c r="I482" s="260">
        <v>6667</v>
      </c>
      <c r="J482" s="260">
        <v>0</v>
      </c>
      <c r="K482" s="260">
        <v>6667</v>
      </c>
      <c r="L482" s="260">
        <v>533</v>
      </c>
      <c r="M482" s="260">
        <v>7200</v>
      </c>
      <c r="N482" s="119">
        <v>4.0000000000000002E-4</v>
      </c>
      <c r="O482" s="462" t="s">
        <v>934</v>
      </c>
    </row>
    <row r="483" spans="1:15" ht="18" customHeight="1" x14ac:dyDescent="0.25">
      <c r="A483" s="116">
        <v>7</v>
      </c>
      <c r="B483" s="117" t="s">
        <v>98</v>
      </c>
      <c r="C483" s="116">
        <v>73</v>
      </c>
      <c r="D483" s="120" t="s">
        <v>91</v>
      </c>
      <c r="E483" s="120" t="s">
        <v>932</v>
      </c>
      <c r="F483" s="117" t="s">
        <v>933</v>
      </c>
      <c r="G483" s="281">
        <v>13</v>
      </c>
      <c r="H483" s="260">
        <v>2593</v>
      </c>
      <c r="I483" s="260">
        <v>33704</v>
      </c>
      <c r="J483" s="260">
        <v>0</v>
      </c>
      <c r="K483" s="260">
        <v>33704</v>
      </c>
      <c r="L483" s="260">
        <v>2696</v>
      </c>
      <c r="M483" s="260">
        <v>36400</v>
      </c>
      <c r="N483" s="119">
        <v>6.6E-3</v>
      </c>
      <c r="O483" s="462" t="s">
        <v>934</v>
      </c>
    </row>
    <row r="484" spans="1:15" ht="18" customHeight="1" x14ac:dyDescent="0.25">
      <c r="A484" s="116">
        <v>7</v>
      </c>
      <c r="B484" s="117" t="s">
        <v>98</v>
      </c>
      <c r="C484" s="116">
        <v>65</v>
      </c>
      <c r="D484" s="120" t="s">
        <v>91</v>
      </c>
      <c r="E484" s="120" t="s">
        <v>935</v>
      </c>
      <c r="F484" s="117" t="s">
        <v>933</v>
      </c>
      <c r="G484" s="281">
        <v>1</v>
      </c>
      <c r="H484" s="260">
        <v>2778</v>
      </c>
      <c r="I484" s="260">
        <v>2778</v>
      </c>
      <c r="J484" s="260">
        <v>0</v>
      </c>
      <c r="K484" s="260">
        <v>2778</v>
      </c>
      <c r="L484" s="260">
        <v>222</v>
      </c>
      <c r="M484" s="260">
        <v>3000</v>
      </c>
      <c r="N484" s="119">
        <v>5.0000000000000001E-4</v>
      </c>
      <c r="O484" s="462" t="s">
        <v>934</v>
      </c>
    </row>
    <row r="485" spans="1:15" ht="18" customHeight="1" x14ac:dyDescent="0.25">
      <c r="A485" s="116">
        <v>7</v>
      </c>
      <c r="B485" s="117" t="s">
        <v>98</v>
      </c>
      <c r="C485" s="116">
        <v>207</v>
      </c>
      <c r="D485" s="120" t="s">
        <v>87</v>
      </c>
      <c r="E485" s="120" t="s">
        <v>1053</v>
      </c>
      <c r="F485" s="117" t="s">
        <v>933</v>
      </c>
      <c r="G485" s="281">
        <v>31</v>
      </c>
      <c r="H485" s="260">
        <v>18608</v>
      </c>
      <c r="I485" s="260">
        <v>576852</v>
      </c>
      <c r="J485" s="260">
        <v>0</v>
      </c>
      <c r="K485" s="260">
        <v>576852</v>
      </c>
      <c r="L485" s="260">
        <v>46148</v>
      </c>
      <c r="M485" s="260">
        <v>623000</v>
      </c>
      <c r="N485" s="119">
        <v>0.11210000000000001</v>
      </c>
      <c r="O485" s="462" t="s">
        <v>934</v>
      </c>
    </row>
    <row r="486" spans="1:15" ht="18" customHeight="1" x14ac:dyDescent="0.25">
      <c r="A486" s="116">
        <v>7</v>
      </c>
      <c r="B486" s="117" t="s">
        <v>98</v>
      </c>
      <c r="C486" s="116">
        <v>3</v>
      </c>
      <c r="D486" s="120" t="s">
        <v>87</v>
      </c>
      <c r="E486" s="120" t="s">
        <v>1012</v>
      </c>
      <c r="F486" s="117" t="s">
        <v>933</v>
      </c>
      <c r="G486" s="281">
        <v>13</v>
      </c>
      <c r="H486" s="260">
        <v>18590</v>
      </c>
      <c r="I486" s="260">
        <v>241667</v>
      </c>
      <c r="J486" s="260">
        <v>0</v>
      </c>
      <c r="K486" s="260">
        <v>241667</v>
      </c>
      <c r="L486" s="260">
        <v>19333</v>
      </c>
      <c r="M486" s="260">
        <v>261000</v>
      </c>
      <c r="N486" s="119">
        <v>4.7E-2</v>
      </c>
      <c r="O486" s="462" t="s">
        <v>934</v>
      </c>
    </row>
    <row r="487" spans="1:15" ht="18" customHeight="1" x14ac:dyDescent="0.25">
      <c r="A487" s="116">
        <v>7</v>
      </c>
      <c r="B487" s="117" t="s">
        <v>98</v>
      </c>
      <c r="C487" s="116">
        <v>40</v>
      </c>
      <c r="D487" s="120" t="s">
        <v>87</v>
      </c>
      <c r="E487" s="120" t="s">
        <v>170</v>
      </c>
      <c r="F487" s="117" t="s">
        <v>933</v>
      </c>
      <c r="G487" s="281">
        <v>2</v>
      </c>
      <c r="H487" s="260">
        <v>55093</v>
      </c>
      <c r="I487" s="260">
        <v>110185</v>
      </c>
      <c r="J487" s="260">
        <v>0</v>
      </c>
      <c r="K487" s="260">
        <v>110185</v>
      </c>
      <c r="L487" s="260">
        <v>8815</v>
      </c>
      <c r="M487" s="260">
        <v>119000</v>
      </c>
      <c r="N487" s="119">
        <v>2.1399999999999999E-2</v>
      </c>
      <c r="O487" s="462" t="s">
        <v>934</v>
      </c>
    </row>
    <row r="488" spans="1:15" ht="18" customHeight="1" x14ac:dyDescent="0.25">
      <c r="A488" s="116">
        <v>7</v>
      </c>
      <c r="B488" s="117" t="s">
        <v>98</v>
      </c>
      <c r="C488" s="116">
        <v>131</v>
      </c>
      <c r="D488" s="120" t="s">
        <v>87</v>
      </c>
      <c r="E488" s="120" t="s">
        <v>991</v>
      </c>
      <c r="F488" s="117" t="s">
        <v>933</v>
      </c>
      <c r="G488" s="281">
        <v>1</v>
      </c>
      <c r="H488" s="260">
        <v>278</v>
      </c>
      <c r="I488" s="260">
        <v>278</v>
      </c>
      <c r="J488" s="260">
        <v>0</v>
      </c>
      <c r="K488" s="260">
        <v>278</v>
      </c>
      <c r="L488" s="260">
        <v>22</v>
      </c>
      <c r="M488" s="260">
        <v>300</v>
      </c>
      <c r="N488" s="119">
        <v>1E-4</v>
      </c>
      <c r="O488" s="462" t="s">
        <v>934</v>
      </c>
    </row>
    <row r="489" spans="1:15" ht="18" customHeight="1" x14ac:dyDescent="0.25">
      <c r="A489" s="116">
        <v>7</v>
      </c>
      <c r="B489" s="117" t="s">
        <v>98</v>
      </c>
      <c r="C489" s="116">
        <v>104</v>
      </c>
      <c r="D489" s="120" t="s">
        <v>89</v>
      </c>
      <c r="E489" s="120" t="s">
        <v>162</v>
      </c>
      <c r="F489" s="117" t="s">
        <v>933</v>
      </c>
      <c r="G489" s="281">
        <v>8</v>
      </c>
      <c r="H489" s="260">
        <v>15741</v>
      </c>
      <c r="I489" s="260">
        <v>125926</v>
      </c>
      <c r="J489" s="260">
        <v>0</v>
      </c>
      <c r="K489" s="260">
        <v>125926</v>
      </c>
      <c r="L489" s="260">
        <v>10074</v>
      </c>
      <c r="M489" s="260">
        <v>136000</v>
      </c>
      <c r="N489" s="119">
        <v>2.4500000000000001E-2</v>
      </c>
      <c r="O489" s="462" t="s">
        <v>934</v>
      </c>
    </row>
    <row r="490" spans="1:15" ht="18" customHeight="1" x14ac:dyDescent="0.25">
      <c r="A490" s="116">
        <v>7</v>
      </c>
      <c r="B490" s="117" t="s">
        <v>98</v>
      </c>
      <c r="C490" s="116">
        <v>95</v>
      </c>
      <c r="D490" s="120" t="s">
        <v>87</v>
      </c>
      <c r="E490" s="120" t="s">
        <v>938</v>
      </c>
      <c r="F490" s="117" t="s">
        <v>933</v>
      </c>
      <c r="G490" s="281">
        <v>2</v>
      </c>
      <c r="H490" s="260">
        <v>926</v>
      </c>
      <c r="I490" s="260">
        <v>1852</v>
      </c>
      <c r="J490" s="260">
        <v>0</v>
      </c>
      <c r="K490" s="260">
        <v>1852</v>
      </c>
      <c r="L490" s="260">
        <v>148</v>
      </c>
      <c r="M490" s="260">
        <v>2000</v>
      </c>
      <c r="N490" s="119">
        <v>4.0000000000000002E-4</v>
      </c>
      <c r="O490" s="462" t="s">
        <v>934</v>
      </c>
    </row>
    <row r="491" spans="1:15" ht="18" customHeight="1" x14ac:dyDescent="0.25">
      <c r="A491" s="116">
        <v>7</v>
      </c>
      <c r="B491" s="117" t="s">
        <v>98</v>
      </c>
      <c r="C491" s="116">
        <v>54</v>
      </c>
      <c r="D491" s="120" t="s">
        <v>91</v>
      </c>
      <c r="E491" s="120" t="s">
        <v>992</v>
      </c>
      <c r="F491" s="117" t="s">
        <v>933</v>
      </c>
      <c r="G491" s="281">
        <v>2</v>
      </c>
      <c r="H491" s="260">
        <v>2315</v>
      </c>
      <c r="I491" s="260">
        <v>4630</v>
      </c>
      <c r="J491" s="260">
        <v>0</v>
      </c>
      <c r="K491" s="260">
        <v>4630</v>
      </c>
      <c r="L491" s="260">
        <v>370</v>
      </c>
      <c r="M491" s="260">
        <v>5000</v>
      </c>
      <c r="N491" s="119">
        <v>8.9999999999999998E-4</v>
      </c>
      <c r="O491" s="462" t="s">
        <v>934</v>
      </c>
    </row>
    <row r="492" spans="1:15" ht="18" customHeight="1" x14ac:dyDescent="0.25">
      <c r="A492" s="116">
        <v>7</v>
      </c>
      <c r="B492" s="117" t="s">
        <v>98</v>
      </c>
      <c r="C492" s="116">
        <v>5</v>
      </c>
      <c r="D492" s="120" t="s">
        <v>89</v>
      </c>
      <c r="E492" s="120" t="s">
        <v>993</v>
      </c>
      <c r="F492" s="117" t="s">
        <v>933</v>
      </c>
      <c r="G492" s="281">
        <v>3</v>
      </c>
      <c r="H492" s="260">
        <v>11111</v>
      </c>
      <c r="I492" s="260">
        <v>33333</v>
      </c>
      <c r="J492" s="260">
        <v>0</v>
      </c>
      <c r="K492" s="260">
        <v>33333</v>
      </c>
      <c r="L492" s="260">
        <v>2667</v>
      </c>
      <c r="M492" s="260">
        <v>36000</v>
      </c>
      <c r="N492" s="119">
        <v>6.5000000000000006E-3</v>
      </c>
      <c r="O492" s="462" t="s">
        <v>934</v>
      </c>
    </row>
    <row r="493" spans="1:15" ht="18" customHeight="1" x14ac:dyDescent="0.25">
      <c r="A493" s="116">
        <v>7</v>
      </c>
      <c r="B493" s="117" t="s">
        <v>98</v>
      </c>
      <c r="C493" s="116">
        <v>6</v>
      </c>
      <c r="D493" s="120" t="s">
        <v>89</v>
      </c>
      <c r="E493" s="120" t="s">
        <v>994</v>
      </c>
      <c r="F493" s="117" t="s">
        <v>933</v>
      </c>
      <c r="G493" s="281">
        <v>1</v>
      </c>
      <c r="H493" s="260">
        <v>14815</v>
      </c>
      <c r="I493" s="260">
        <v>14815</v>
      </c>
      <c r="J493" s="260">
        <v>0</v>
      </c>
      <c r="K493" s="260">
        <v>14815</v>
      </c>
      <c r="L493" s="260">
        <v>1185</v>
      </c>
      <c r="M493" s="260">
        <v>16000</v>
      </c>
      <c r="N493" s="119">
        <v>2.8999999999999998E-3</v>
      </c>
      <c r="O493" s="462" t="s">
        <v>934</v>
      </c>
    </row>
    <row r="494" spans="1:15" ht="18" customHeight="1" x14ac:dyDescent="0.25">
      <c r="A494" s="116">
        <v>7</v>
      </c>
      <c r="B494" s="117" t="s">
        <v>98</v>
      </c>
      <c r="C494" s="116">
        <v>8</v>
      </c>
      <c r="D494" s="120" t="s">
        <v>87</v>
      </c>
      <c r="E494" s="120" t="s">
        <v>156</v>
      </c>
      <c r="F494" s="117" t="s">
        <v>933</v>
      </c>
      <c r="G494" s="281">
        <v>20</v>
      </c>
      <c r="H494" s="260">
        <v>18565</v>
      </c>
      <c r="I494" s="260">
        <v>371296</v>
      </c>
      <c r="J494" s="260">
        <v>0</v>
      </c>
      <c r="K494" s="260">
        <v>371296</v>
      </c>
      <c r="L494" s="260">
        <v>29704</v>
      </c>
      <c r="M494" s="260">
        <v>401000</v>
      </c>
      <c r="N494" s="119">
        <v>7.22E-2</v>
      </c>
      <c r="O494" s="462" t="s">
        <v>934</v>
      </c>
    </row>
    <row r="495" spans="1:15" ht="18" customHeight="1" x14ac:dyDescent="0.25">
      <c r="A495" s="116">
        <v>7</v>
      </c>
      <c r="B495" s="117" t="s">
        <v>98</v>
      </c>
      <c r="C495" s="116">
        <v>87</v>
      </c>
      <c r="D495" s="120" t="s">
        <v>89</v>
      </c>
      <c r="E495" s="120" t="s">
        <v>144</v>
      </c>
      <c r="F495" s="117" t="s">
        <v>933</v>
      </c>
      <c r="G495" s="281">
        <v>3</v>
      </c>
      <c r="H495" s="260">
        <v>37500</v>
      </c>
      <c r="I495" s="260">
        <v>112500</v>
      </c>
      <c r="J495" s="260">
        <v>0</v>
      </c>
      <c r="K495" s="260">
        <v>112500</v>
      </c>
      <c r="L495" s="260">
        <v>9000</v>
      </c>
      <c r="M495" s="260">
        <v>121500</v>
      </c>
      <c r="N495" s="119">
        <v>2.1899999999999999E-2</v>
      </c>
      <c r="O495" s="462" t="s">
        <v>934</v>
      </c>
    </row>
    <row r="496" spans="1:15" ht="18" customHeight="1" x14ac:dyDescent="0.25">
      <c r="A496" s="116">
        <v>7</v>
      </c>
      <c r="B496" s="117" t="s">
        <v>98</v>
      </c>
      <c r="C496" s="116">
        <v>13</v>
      </c>
      <c r="D496" s="120" t="s">
        <v>87</v>
      </c>
      <c r="E496" s="120" t="s">
        <v>942</v>
      </c>
      <c r="F496" s="117" t="s">
        <v>933</v>
      </c>
      <c r="G496" s="281">
        <v>9</v>
      </c>
      <c r="H496" s="260">
        <v>18519</v>
      </c>
      <c r="I496" s="260">
        <v>166667</v>
      </c>
      <c r="J496" s="260">
        <v>0</v>
      </c>
      <c r="K496" s="260">
        <v>166667</v>
      </c>
      <c r="L496" s="260">
        <v>13333</v>
      </c>
      <c r="M496" s="260">
        <v>180000</v>
      </c>
      <c r="N496" s="119">
        <v>3.2400000000000012E-2</v>
      </c>
      <c r="O496" s="462" t="s">
        <v>934</v>
      </c>
    </row>
    <row r="497" spans="1:15" ht="18" customHeight="1" x14ac:dyDescent="0.25">
      <c r="A497" s="116">
        <v>7</v>
      </c>
      <c r="B497" s="117" t="s">
        <v>98</v>
      </c>
      <c r="C497" s="116">
        <v>83</v>
      </c>
      <c r="D497" s="120" t="s">
        <v>87</v>
      </c>
      <c r="E497" s="120" t="s">
        <v>946</v>
      </c>
      <c r="F497" s="117" t="s">
        <v>933</v>
      </c>
      <c r="G497" s="281">
        <v>2</v>
      </c>
      <c r="H497" s="260">
        <v>20833</v>
      </c>
      <c r="I497" s="260">
        <v>41667</v>
      </c>
      <c r="J497" s="260">
        <v>0</v>
      </c>
      <c r="K497" s="260">
        <v>41667</v>
      </c>
      <c r="L497" s="260">
        <v>3333</v>
      </c>
      <c r="M497" s="260">
        <v>45000</v>
      </c>
      <c r="N497" s="119">
        <v>8.1000000000000013E-3</v>
      </c>
      <c r="O497" s="462" t="s">
        <v>934</v>
      </c>
    </row>
    <row r="498" spans="1:15" ht="18" customHeight="1" x14ac:dyDescent="0.25">
      <c r="A498" s="116">
        <v>7</v>
      </c>
      <c r="B498" s="117" t="s">
        <v>98</v>
      </c>
      <c r="C498" s="116">
        <v>122</v>
      </c>
      <c r="D498" s="120" t="s">
        <v>91</v>
      </c>
      <c r="E498" s="120" t="s">
        <v>948</v>
      </c>
      <c r="F498" s="117" t="s">
        <v>933</v>
      </c>
      <c r="G498" s="281">
        <v>2</v>
      </c>
      <c r="H498" s="260">
        <v>2778</v>
      </c>
      <c r="I498" s="260">
        <v>5556</v>
      </c>
      <c r="J498" s="260">
        <v>0</v>
      </c>
      <c r="K498" s="260">
        <v>5556</v>
      </c>
      <c r="L498" s="260">
        <v>444</v>
      </c>
      <c r="M498" s="260">
        <v>6000</v>
      </c>
      <c r="N498" s="119">
        <v>1.1000000000000001E-3</v>
      </c>
      <c r="O498" s="462" t="s">
        <v>934</v>
      </c>
    </row>
    <row r="499" spans="1:15" ht="18" customHeight="1" x14ac:dyDescent="0.25">
      <c r="A499" s="116">
        <v>7</v>
      </c>
      <c r="B499" s="117" t="s">
        <v>98</v>
      </c>
      <c r="C499" s="116">
        <v>42</v>
      </c>
      <c r="D499" s="120" t="s">
        <v>87</v>
      </c>
      <c r="E499" s="120" t="s">
        <v>360</v>
      </c>
      <c r="F499" s="117" t="s">
        <v>933</v>
      </c>
      <c r="G499" s="281">
        <v>2</v>
      </c>
      <c r="H499" s="260">
        <v>32407</v>
      </c>
      <c r="I499" s="260">
        <v>64815</v>
      </c>
      <c r="J499" s="260">
        <v>0</v>
      </c>
      <c r="K499" s="260">
        <v>64815</v>
      </c>
      <c r="L499" s="260">
        <v>5185</v>
      </c>
      <c r="M499" s="260">
        <v>70000</v>
      </c>
      <c r="N499" s="119">
        <v>1.26E-2</v>
      </c>
      <c r="O499" s="462" t="s">
        <v>934</v>
      </c>
    </row>
    <row r="500" spans="1:15" ht="18" customHeight="1" x14ac:dyDescent="0.25">
      <c r="A500" s="116">
        <v>7</v>
      </c>
      <c r="B500" s="117" t="s">
        <v>98</v>
      </c>
      <c r="C500" s="116">
        <v>44</v>
      </c>
      <c r="D500" s="120" t="s">
        <v>87</v>
      </c>
      <c r="E500" s="120" t="s">
        <v>138</v>
      </c>
      <c r="F500" s="117" t="s">
        <v>933</v>
      </c>
      <c r="G500" s="281">
        <v>2</v>
      </c>
      <c r="H500" s="260">
        <v>28241</v>
      </c>
      <c r="I500" s="260">
        <v>56481</v>
      </c>
      <c r="J500" s="260">
        <v>0</v>
      </c>
      <c r="K500" s="260">
        <v>56481</v>
      </c>
      <c r="L500" s="260">
        <v>4519</v>
      </c>
      <c r="M500" s="260">
        <v>61000</v>
      </c>
      <c r="N500" s="119">
        <v>1.0999999999999999E-2</v>
      </c>
      <c r="O500" s="462" t="s">
        <v>934</v>
      </c>
    </row>
    <row r="501" spans="1:15" ht="18" customHeight="1" x14ac:dyDescent="0.25">
      <c r="A501" s="116">
        <v>7</v>
      </c>
      <c r="B501" s="117" t="s">
        <v>98</v>
      </c>
      <c r="C501" s="116">
        <v>110</v>
      </c>
      <c r="D501" s="120" t="s">
        <v>99</v>
      </c>
      <c r="E501" s="120" t="s">
        <v>949</v>
      </c>
      <c r="F501" s="117" t="s">
        <v>933</v>
      </c>
      <c r="G501" s="281">
        <v>19</v>
      </c>
      <c r="H501" s="260">
        <v>926</v>
      </c>
      <c r="I501" s="260">
        <v>17593</v>
      </c>
      <c r="J501" s="260">
        <v>0</v>
      </c>
      <c r="K501" s="260">
        <v>17593</v>
      </c>
      <c r="L501" s="260">
        <v>1407</v>
      </c>
      <c r="M501" s="260">
        <v>19000</v>
      </c>
      <c r="N501" s="119">
        <v>3.3999999999999998E-3</v>
      </c>
      <c r="O501" s="462" t="s">
        <v>934</v>
      </c>
    </row>
    <row r="502" spans="1:15" ht="18" customHeight="1" x14ac:dyDescent="0.25">
      <c r="A502" s="116">
        <v>7</v>
      </c>
      <c r="B502" s="117" t="s">
        <v>98</v>
      </c>
      <c r="C502" s="116">
        <v>4</v>
      </c>
      <c r="D502" s="120" t="s">
        <v>87</v>
      </c>
      <c r="E502" s="120" t="s">
        <v>1015</v>
      </c>
      <c r="F502" s="117" t="s">
        <v>933</v>
      </c>
      <c r="G502" s="281">
        <v>8</v>
      </c>
      <c r="H502" s="260">
        <v>18750</v>
      </c>
      <c r="I502" s="260">
        <v>150000</v>
      </c>
      <c r="J502" s="260">
        <v>0</v>
      </c>
      <c r="K502" s="260">
        <v>150000</v>
      </c>
      <c r="L502" s="260">
        <v>12000</v>
      </c>
      <c r="M502" s="260">
        <v>162000</v>
      </c>
      <c r="N502" s="119">
        <v>2.92E-2</v>
      </c>
      <c r="O502" s="462" t="s">
        <v>934</v>
      </c>
    </row>
    <row r="503" spans="1:15" ht="18" customHeight="1" x14ac:dyDescent="0.25">
      <c r="A503" s="116">
        <v>7</v>
      </c>
      <c r="B503" s="117" t="s">
        <v>98</v>
      </c>
      <c r="C503" s="116">
        <v>102</v>
      </c>
      <c r="D503" s="120" t="s">
        <v>87</v>
      </c>
      <c r="E503" s="120" t="s">
        <v>998</v>
      </c>
      <c r="F503" s="117" t="s">
        <v>933</v>
      </c>
      <c r="G503" s="281">
        <v>1</v>
      </c>
      <c r="H503" s="260">
        <v>6944</v>
      </c>
      <c r="I503" s="260">
        <v>6944</v>
      </c>
      <c r="J503" s="260">
        <v>0</v>
      </c>
      <c r="K503" s="260">
        <v>6944</v>
      </c>
      <c r="L503" s="260">
        <v>556</v>
      </c>
      <c r="M503" s="260">
        <v>7500</v>
      </c>
      <c r="N503" s="119">
        <v>1.2999999999999999E-3</v>
      </c>
      <c r="O503" s="462" t="s">
        <v>934</v>
      </c>
    </row>
    <row r="504" spans="1:15" ht="18" customHeight="1" x14ac:dyDescent="0.25">
      <c r="A504" s="116">
        <v>7</v>
      </c>
      <c r="B504" s="117" t="s">
        <v>98</v>
      </c>
      <c r="C504" s="116">
        <v>30</v>
      </c>
      <c r="D504" s="120" t="s">
        <v>95</v>
      </c>
      <c r="E504" s="120" t="s">
        <v>951</v>
      </c>
      <c r="F504" s="117" t="s">
        <v>933</v>
      </c>
      <c r="G504" s="281">
        <v>2</v>
      </c>
      <c r="H504" s="260">
        <v>6481</v>
      </c>
      <c r="I504" s="260">
        <v>12963</v>
      </c>
      <c r="J504" s="260">
        <v>0</v>
      </c>
      <c r="K504" s="260">
        <v>12963</v>
      </c>
      <c r="L504" s="260">
        <v>1037</v>
      </c>
      <c r="M504" s="260">
        <v>14000</v>
      </c>
      <c r="N504" s="119">
        <v>2.5000000000000001E-3</v>
      </c>
      <c r="O504" s="462" t="s">
        <v>934</v>
      </c>
    </row>
    <row r="505" spans="1:15" ht="18" customHeight="1" x14ac:dyDescent="0.25">
      <c r="A505" s="116">
        <v>7</v>
      </c>
      <c r="B505" s="117" t="s">
        <v>98</v>
      </c>
      <c r="C505" s="116">
        <v>305</v>
      </c>
      <c r="D505" s="120" t="s">
        <v>91</v>
      </c>
      <c r="E505" s="120" t="s">
        <v>952</v>
      </c>
      <c r="F505" s="117" t="s">
        <v>933</v>
      </c>
      <c r="G505" s="281">
        <v>2</v>
      </c>
      <c r="H505" s="260">
        <v>9259</v>
      </c>
      <c r="I505" s="260">
        <v>18519</v>
      </c>
      <c r="J505" s="260">
        <v>0</v>
      </c>
      <c r="K505" s="260">
        <v>18519</v>
      </c>
      <c r="L505" s="260">
        <v>1481</v>
      </c>
      <c r="M505" s="260">
        <v>20000</v>
      </c>
      <c r="N505" s="119">
        <v>3.5999999999999999E-3</v>
      </c>
      <c r="O505" s="462" t="s">
        <v>934</v>
      </c>
    </row>
    <row r="506" spans="1:15" ht="18" customHeight="1" x14ac:dyDescent="0.25">
      <c r="A506" s="116">
        <v>7</v>
      </c>
      <c r="B506" s="117" t="s">
        <v>98</v>
      </c>
      <c r="C506" s="116">
        <v>94</v>
      </c>
      <c r="D506" s="120" t="s">
        <v>89</v>
      </c>
      <c r="E506" s="120" t="s">
        <v>150</v>
      </c>
      <c r="F506" s="117" t="s">
        <v>933</v>
      </c>
      <c r="G506" s="281">
        <v>11</v>
      </c>
      <c r="H506" s="260">
        <v>18603</v>
      </c>
      <c r="I506" s="260">
        <v>204630</v>
      </c>
      <c r="J506" s="260">
        <v>0</v>
      </c>
      <c r="K506" s="260">
        <v>204630</v>
      </c>
      <c r="L506" s="260">
        <v>16370</v>
      </c>
      <c r="M506" s="260">
        <v>221000</v>
      </c>
      <c r="N506" s="119">
        <v>3.9800000000000002E-2</v>
      </c>
      <c r="O506" s="462" t="s">
        <v>934</v>
      </c>
    </row>
    <row r="507" spans="1:15" ht="18" customHeight="1" x14ac:dyDescent="0.25">
      <c r="A507" s="116">
        <v>7</v>
      </c>
      <c r="B507" s="117" t="s">
        <v>98</v>
      </c>
      <c r="C507" s="116">
        <v>233</v>
      </c>
      <c r="D507" s="120" t="s">
        <v>89</v>
      </c>
      <c r="E507" s="120" t="s">
        <v>117</v>
      </c>
      <c r="F507" s="117" t="s">
        <v>933</v>
      </c>
      <c r="G507" s="281">
        <v>38</v>
      </c>
      <c r="H507" s="260">
        <v>18543</v>
      </c>
      <c r="I507" s="260">
        <v>704630</v>
      </c>
      <c r="J507" s="260">
        <v>0</v>
      </c>
      <c r="K507" s="260">
        <v>704630</v>
      </c>
      <c r="L507" s="260">
        <v>56370</v>
      </c>
      <c r="M507" s="260">
        <v>761000</v>
      </c>
      <c r="N507" s="119">
        <v>0.13700000000000001</v>
      </c>
      <c r="O507" s="462" t="s">
        <v>934</v>
      </c>
    </row>
    <row r="508" spans="1:15" ht="18" customHeight="1" x14ac:dyDescent="0.25">
      <c r="A508" s="116">
        <v>7</v>
      </c>
      <c r="B508" s="117" t="s">
        <v>98</v>
      </c>
      <c r="C508" s="116">
        <v>217</v>
      </c>
      <c r="D508" s="120" t="s">
        <v>89</v>
      </c>
      <c r="E508" s="120" t="s">
        <v>953</v>
      </c>
      <c r="F508" s="117" t="s">
        <v>933</v>
      </c>
      <c r="G508" s="281">
        <v>2</v>
      </c>
      <c r="H508" s="260">
        <v>27778</v>
      </c>
      <c r="I508" s="260">
        <v>55556</v>
      </c>
      <c r="J508" s="260">
        <v>0</v>
      </c>
      <c r="K508" s="260">
        <v>55556</v>
      </c>
      <c r="L508" s="260">
        <v>4444</v>
      </c>
      <c r="M508" s="260">
        <v>60000</v>
      </c>
      <c r="N508" s="119">
        <v>1.0800000000000001E-2</v>
      </c>
      <c r="O508" s="462" t="s">
        <v>934</v>
      </c>
    </row>
    <row r="509" spans="1:15" ht="18" customHeight="1" x14ac:dyDescent="0.25">
      <c r="A509" s="116">
        <v>7</v>
      </c>
      <c r="B509" s="117" t="s">
        <v>98</v>
      </c>
      <c r="C509" s="116">
        <v>218</v>
      </c>
      <c r="D509" s="120" t="s">
        <v>89</v>
      </c>
      <c r="E509" s="120" t="s">
        <v>954</v>
      </c>
      <c r="F509" s="117" t="s">
        <v>933</v>
      </c>
      <c r="G509" s="281">
        <v>8</v>
      </c>
      <c r="H509" s="260">
        <v>18519</v>
      </c>
      <c r="I509" s="260">
        <v>148148</v>
      </c>
      <c r="J509" s="260">
        <v>0</v>
      </c>
      <c r="K509" s="260">
        <v>148148</v>
      </c>
      <c r="L509" s="260">
        <v>11852</v>
      </c>
      <c r="M509" s="260">
        <v>160000</v>
      </c>
      <c r="N509" s="119">
        <v>2.8799999999999999E-2</v>
      </c>
      <c r="O509" s="462" t="s">
        <v>934</v>
      </c>
    </row>
    <row r="510" spans="1:15" ht="18" customHeight="1" x14ac:dyDescent="0.25">
      <c r="A510" s="116">
        <v>7</v>
      </c>
      <c r="B510" s="117" t="s">
        <v>98</v>
      </c>
      <c r="C510" s="116">
        <v>34</v>
      </c>
      <c r="D510" s="120" t="s">
        <v>91</v>
      </c>
      <c r="E510" s="120" t="s">
        <v>955</v>
      </c>
      <c r="F510" s="117" t="s">
        <v>933</v>
      </c>
      <c r="G510" s="281">
        <v>2</v>
      </c>
      <c r="H510" s="260">
        <v>6481</v>
      </c>
      <c r="I510" s="260">
        <v>12963</v>
      </c>
      <c r="J510" s="260">
        <v>0</v>
      </c>
      <c r="K510" s="260">
        <v>12963</v>
      </c>
      <c r="L510" s="260">
        <v>1037</v>
      </c>
      <c r="M510" s="260">
        <v>14000</v>
      </c>
      <c r="N510" s="119">
        <v>2.5000000000000001E-3</v>
      </c>
      <c r="O510" s="462" t="s">
        <v>934</v>
      </c>
    </row>
    <row r="511" spans="1:15" ht="18" customHeight="1" x14ac:dyDescent="0.25">
      <c r="A511" s="116">
        <v>7</v>
      </c>
      <c r="B511" s="117" t="s">
        <v>98</v>
      </c>
      <c r="C511" s="116">
        <v>121</v>
      </c>
      <c r="D511" s="120" t="s">
        <v>91</v>
      </c>
      <c r="E511" s="120" t="s">
        <v>956</v>
      </c>
      <c r="F511" s="117" t="s">
        <v>933</v>
      </c>
      <c r="G511" s="281">
        <v>2</v>
      </c>
      <c r="H511" s="260">
        <v>2778</v>
      </c>
      <c r="I511" s="260">
        <v>5556</v>
      </c>
      <c r="J511" s="260">
        <v>0</v>
      </c>
      <c r="K511" s="260">
        <v>5556</v>
      </c>
      <c r="L511" s="260">
        <v>444</v>
      </c>
      <c r="M511" s="260">
        <v>6000</v>
      </c>
      <c r="N511" s="119">
        <v>1.1000000000000001E-3</v>
      </c>
      <c r="O511" s="462" t="s">
        <v>934</v>
      </c>
    </row>
    <row r="512" spans="1:15" ht="18" customHeight="1" x14ac:dyDescent="0.25">
      <c r="A512" s="116">
        <v>7</v>
      </c>
      <c r="B512" s="117" t="s">
        <v>98</v>
      </c>
      <c r="C512" s="116">
        <v>208</v>
      </c>
      <c r="D512" s="120" t="s">
        <v>91</v>
      </c>
      <c r="E512" s="120" t="s">
        <v>957</v>
      </c>
      <c r="F512" s="117" t="s">
        <v>933</v>
      </c>
      <c r="G512" s="281">
        <v>15</v>
      </c>
      <c r="H512" s="260">
        <v>3704</v>
      </c>
      <c r="I512" s="260">
        <v>55556</v>
      </c>
      <c r="J512" s="260">
        <v>0</v>
      </c>
      <c r="K512" s="260">
        <v>55556</v>
      </c>
      <c r="L512" s="260">
        <v>4444</v>
      </c>
      <c r="M512" s="260">
        <v>60000</v>
      </c>
      <c r="N512" s="119">
        <v>1.0800000000000001E-2</v>
      </c>
      <c r="O512" s="462" t="s">
        <v>934</v>
      </c>
    </row>
    <row r="513" spans="1:15" ht="18" customHeight="1" x14ac:dyDescent="0.25">
      <c r="A513" s="116">
        <v>7</v>
      </c>
      <c r="B513" s="117" t="s">
        <v>98</v>
      </c>
      <c r="C513" s="116">
        <v>90</v>
      </c>
      <c r="D513" s="120" t="s">
        <v>91</v>
      </c>
      <c r="E513" s="120" t="s">
        <v>487</v>
      </c>
      <c r="F513" s="117" t="s">
        <v>933</v>
      </c>
      <c r="G513" s="281">
        <v>1</v>
      </c>
      <c r="H513" s="260">
        <v>4259</v>
      </c>
      <c r="I513" s="260">
        <v>4259</v>
      </c>
      <c r="J513" s="260">
        <v>0</v>
      </c>
      <c r="K513" s="260">
        <v>4259</v>
      </c>
      <c r="L513" s="260">
        <v>341</v>
      </c>
      <c r="M513" s="260">
        <v>4600</v>
      </c>
      <c r="N513" s="119">
        <v>8.0000000000000004E-4</v>
      </c>
      <c r="O513" s="462" t="s">
        <v>934</v>
      </c>
    </row>
    <row r="514" spans="1:15" ht="18" customHeight="1" x14ac:dyDescent="0.25">
      <c r="A514" s="116">
        <v>7</v>
      </c>
      <c r="B514" s="117" t="s">
        <v>98</v>
      </c>
      <c r="C514" s="116">
        <v>31</v>
      </c>
      <c r="D514" s="120" t="s">
        <v>95</v>
      </c>
      <c r="E514" s="120" t="s">
        <v>959</v>
      </c>
      <c r="F514" s="117" t="s">
        <v>933</v>
      </c>
      <c r="G514" s="281">
        <v>3</v>
      </c>
      <c r="H514" s="260">
        <v>1204</v>
      </c>
      <c r="I514" s="260">
        <v>3611</v>
      </c>
      <c r="J514" s="260">
        <v>0</v>
      </c>
      <c r="K514" s="260">
        <v>3611</v>
      </c>
      <c r="L514" s="260">
        <v>289</v>
      </c>
      <c r="M514" s="260">
        <v>3900</v>
      </c>
      <c r="N514" s="119">
        <v>7.000000000000001E-4</v>
      </c>
      <c r="O514" s="462" t="s">
        <v>934</v>
      </c>
    </row>
    <row r="515" spans="1:15" ht="18" customHeight="1" x14ac:dyDescent="0.25">
      <c r="A515" s="116">
        <v>7</v>
      </c>
      <c r="B515" s="117" t="s">
        <v>98</v>
      </c>
      <c r="C515" s="116">
        <v>212</v>
      </c>
      <c r="D515" s="120" t="s">
        <v>91</v>
      </c>
      <c r="E515" s="120" t="s">
        <v>165</v>
      </c>
      <c r="F515" s="117" t="s">
        <v>933</v>
      </c>
      <c r="G515" s="281">
        <v>1</v>
      </c>
      <c r="H515" s="260">
        <v>22222</v>
      </c>
      <c r="I515" s="260">
        <v>22222</v>
      </c>
      <c r="J515" s="260">
        <v>0</v>
      </c>
      <c r="K515" s="260">
        <v>22222</v>
      </c>
      <c r="L515" s="260">
        <v>1778</v>
      </c>
      <c r="M515" s="260">
        <v>24000</v>
      </c>
      <c r="N515" s="119">
        <v>4.3E-3</v>
      </c>
      <c r="O515" s="462" t="s">
        <v>934</v>
      </c>
    </row>
    <row r="516" spans="1:15" ht="18" customHeight="1" x14ac:dyDescent="0.25">
      <c r="A516" s="116">
        <v>7</v>
      </c>
      <c r="B516" s="117" t="s">
        <v>98</v>
      </c>
      <c r="C516" s="116">
        <v>74</v>
      </c>
      <c r="D516" s="120" t="s">
        <v>91</v>
      </c>
      <c r="E516" s="120" t="s">
        <v>1000</v>
      </c>
      <c r="F516" s="117" t="s">
        <v>933</v>
      </c>
      <c r="G516" s="281">
        <v>5</v>
      </c>
      <c r="H516" s="260">
        <v>6481</v>
      </c>
      <c r="I516" s="260">
        <v>32407</v>
      </c>
      <c r="J516" s="260">
        <v>0</v>
      </c>
      <c r="K516" s="260">
        <v>32407</v>
      </c>
      <c r="L516" s="260">
        <v>2593</v>
      </c>
      <c r="M516" s="260">
        <v>35000</v>
      </c>
      <c r="N516" s="119">
        <v>6.3E-3</v>
      </c>
      <c r="O516" s="462" t="s">
        <v>934</v>
      </c>
    </row>
    <row r="517" spans="1:15" ht="18" customHeight="1" x14ac:dyDescent="0.25">
      <c r="A517" s="116">
        <v>7</v>
      </c>
      <c r="B517" s="117" t="s">
        <v>98</v>
      </c>
      <c r="C517" s="116">
        <v>235</v>
      </c>
      <c r="D517" s="120" t="s">
        <v>91</v>
      </c>
      <c r="E517" s="120" t="s">
        <v>1001</v>
      </c>
      <c r="F517" s="117" t="s">
        <v>933</v>
      </c>
      <c r="G517" s="281">
        <v>4</v>
      </c>
      <c r="H517" s="260">
        <v>3426</v>
      </c>
      <c r="I517" s="260">
        <v>13704</v>
      </c>
      <c r="J517" s="260">
        <v>0</v>
      </c>
      <c r="K517" s="260">
        <v>13704</v>
      </c>
      <c r="L517" s="260">
        <v>1096</v>
      </c>
      <c r="M517" s="260">
        <v>14800</v>
      </c>
      <c r="N517" s="119">
        <v>2.7000000000000001E-3</v>
      </c>
      <c r="O517" s="462" t="s">
        <v>934</v>
      </c>
    </row>
    <row r="518" spans="1:15" ht="18" customHeight="1" x14ac:dyDescent="0.25">
      <c r="A518" s="116">
        <v>7</v>
      </c>
      <c r="B518" s="117" t="s">
        <v>98</v>
      </c>
      <c r="C518" s="116">
        <v>118</v>
      </c>
      <c r="D518" s="120" t="s">
        <v>87</v>
      </c>
      <c r="E518" s="120" t="s">
        <v>126</v>
      </c>
      <c r="F518" s="117" t="s">
        <v>933</v>
      </c>
      <c r="G518" s="281">
        <v>2</v>
      </c>
      <c r="H518" s="260">
        <v>41667</v>
      </c>
      <c r="I518" s="260">
        <v>83333</v>
      </c>
      <c r="J518" s="260">
        <v>0</v>
      </c>
      <c r="K518" s="260">
        <v>83333</v>
      </c>
      <c r="L518" s="260">
        <v>6667</v>
      </c>
      <c r="M518" s="260">
        <v>90000</v>
      </c>
      <c r="N518" s="119">
        <v>1.6199999999999999E-2</v>
      </c>
      <c r="O518" s="462" t="s">
        <v>934</v>
      </c>
    </row>
    <row r="519" spans="1:15" ht="18" customHeight="1" x14ac:dyDescent="0.25">
      <c r="A519" s="116">
        <v>7</v>
      </c>
      <c r="B519" s="117" t="s">
        <v>98</v>
      </c>
      <c r="C519" s="116">
        <v>204</v>
      </c>
      <c r="D519" s="120" t="s">
        <v>91</v>
      </c>
      <c r="E519" s="120" t="s">
        <v>962</v>
      </c>
      <c r="F519" s="117" t="s">
        <v>933</v>
      </c>
      <c r="G519" s="281">
        <v>5</v>
      </c>
      <c r="H519" s="260">
        <v>12037</v>
      </c>
      <c r="I519" s="260">
        <v>60185</v>
      </c>
      <c r="J519" s="260">
        <v>0</v>
      </c>
      <c r="K519" s="260">
        <v>60185</v>
      </c>
      <c r="L519" s="260">
        <v>4815</v>
      </c>
      <c r="M519" s="260">
        <v>65000</v>
      </c>
      <c r="N519" s="119">
        <v>1.17E-2</v>
      </c>
      <c r="O519" s="462" t="s">
        <v>934</v>
      </c>
    </row>
    <row r="520" spans="1:15" ht="18" customHeight="1" x14ac:dyDescent="0.25">
      <c r="A520" s="116">
        <v>7</v>
      </c>
      <c r="B520" s="117" t="s">
        <v>98</v>
      </c>
      <c r="C520" s="116">
        <v>109</v>
      </c>
      <c r="D520" s="120" t="s">
        <v>91</v>
      </c>
      <c r="E520" s="120" t="s">
        <v>147</v>
      </c>
      <c r="F520" s="117" t="s">
        <v>933</v>
      </c>
      <c r="G520" s="281">
        <v>3</v>
      </c>
      <c r="H520" s="260">
        <v>12963</v>
      </c>
      <c r="I520" s="260">
        <v>38889</v>
      </c>
      <c r="J520" s="260">
        <v>0</v>
      </c>
      <c r="K520" s="260">
        <v>38889</v>
      </c>
      <c r="L520" s="260">
        <v>3111</v>
      </c>
      <c r="M520" s="260">
        <v>42000</v>
      </c>
      <c r="N520" s="119">
        <v>7.6E-3</v>
      </c>
      <c r="O520" s="462" t="s">
        <v>934</v>
      </c>
    </row>
    <row r="521" spans="1:15" ht="18" customHeight="1" x14ac:dyDescent="0.25">
      <c r="A521" s="116">
        <v>7</v>
      </c>
      <c r="B521" s="117" t="s">
        <v>98</v>
      </c>
      <c r="C521" s="116">
        <v>147</v>
      </c>
      <c r="D521" s="120" t="s">
        <v>91</v>
      </c>
      <c r="E521" s="120" t="s">
        <v>963</v>
      </c>
      <c r="F521" s="117" t="s">
        <v>933</v>
      </c>
      <c r="G521" s="281">
        <v>3</v>
      </c>
      <c r="H521" s="260">
        <v>6481</v>
      </c>
      <c r="I521" s="260">
        <v>19444</v>
      </c>
      <c r="J521" s="260">
        <v>0</v>
      </c>
      <c r="K521" s="260">
        <v>19444</v>
      </c>
      <c r="L521" s="260">
        <v>1556</v>
      </c>
      <c r="M521" s="260">
        <v>21000</v>
      </c>
      <c r="N521" s="119">
        <v>3.8E-3</v>
      </c>
      <c r="O521" s="462" t="s">
        <v>934</v>
      </c>
    </row>
    <row r="522" spans="1:15" ht="18" customHeight="1" x14ac:dyDescent="0.25">
      <c r="A522" s="116">
        <v>7</v>
      </c>
      <c r="B522" s="117" t="s">
        <v>98</v>
      </c>
      <c r="C522" s="116">
        <v>72</v>
      </c>
      <c r="D522" s="120" t="s">
        <v>97</v>
      </c>
      <c r="E522" s="120" t="s">
        <v>965</v>
      </c>
      <c r="F522" s="117" t="s">
        <v>933</v>
      </c>
      <c r="G522" s="281">
        <v>1</v>
      </c>
      <c r="H522" s="260">
        <v>3704</v>
      </c>
      <c r="I522" s="260">
        <v>3704</v>
      </c>
      <c r="J522" s="260">
        <v>0</v>
      </c>
      <c r="K522" s="260">
        <v>3704</v>
      </c>
      <c r="L522" s="260">
        <v>296</v>
      </c>
      <c r="M522" s="260">
        <v>4000</v>
      </c>
      <c r="N522" s="119">
        <v>7.000000000000001E-4</v>
      </c>
      <c r="O522" s="462" t="s">
        <v>934</v>
      </c>
    </row>
    <row r="523" spans="1:15" ht="18" customHeight="1" x14ac:dyDescent="0.25">
      <c r="A523" s="116">
        <v>7</v>
      </c>
      <c r="B523" s="117" t="s">
        <v>98</v>
      </c>
      <c r="C523" s="116">
        <v>112</v>
      </c>
      <c r="D523" s="120" t="s">
        <v>87</v>
      </c>
      <c r="E523" s="120" t="s">
        <v>966</v>
      </c>
      <c r="F523" s="117" t="s">
        <v>933</v>
      </c>
      <c r="G523" s="281">
        <v>1</v>
      </c>
      <c r="H523" s="260">
        <v>41667</v>
      </c>
      <c r="I523" s="260">
        <v>41667</v>
      </c>
      <c r="J523" s="260">
        <v>0</v>
      </c>
      <c r="K523" s="260">
        <v>41667</v>
      </c>
      <c r="L523" s="260">
        <v>3333</v>
      </c>
      <c r="M523" s="260">
        <v>45000</v>
      </c>
      <c r="N523" s="119">
        <v>8.1000000000000013E-3</v>
      </c>
      <c r="O523" s="462" t="s">
        <v>934</v>
      </c>
    </row>
    <row r="524" spans="1:15" ht="18" customHeight="1" x14ac:dyDescent="0.25">
      <c r="A524" s="116">
        <v>7</v>
      </c>
      <c r="B524" s="117" t="s">
        <v>98</v>
      </c>
      <c r="C524" s="116">
        <v>119</v>
      </c>
      <c r="D524" s="120" t="s">
        <v>89</v>
      </c>
      <c r="E524" s="120" t="s">
        <v>114</v>
      </c>
      <c r="F524" s="117" t="s">
        <v>933</v>
      </c>
      <c r="G524" s="281">
        <v>6</v>
      </c>
      <c r="H524" s="260">
        <v>44444</v>
      </c>
      <c r="I524" s="260">
        <v>266667</v>
      </c>
      <c r="J524" s="260">
        <v>0</v>
      </c>
      <c r="K524" s="260">
        <v>266667</v>
      </c>
      <c r="L524" s="260">
        <v>21333</v>
      </c>
      <c r="M524" s="260">
        <v>288000</v>
      </c>
      <c r="N524" s="119">
        <v>5.1799999999999999E-2</v>
      </c>
      <c r="O524" s="462" t="s">
        <v>934</v>
      </c>
    </row>
    <row r="525" spans="1:15" ht="18" customHeight="1" x14ac:dyDescent="0.25">
      <c r="A525" s="116">
        <v>7</v>
      </c>
      <c r="B525" s="117" t="s">
        <v>98</v>
      </c>
      <c r="C525" s="116">
        <v>111</v>
      </c>
      <c r="D525" s="120" t="s">
        <v>87</v>
      </c>
      <c r="E525" s="120" t="s">
        <v>1041</v>
      </c>
      <c r="F525" s="117" t="s">
        <v>933</v>
      </c>
      <c r="G525" s="281">
        <v>0</v>
      </c>
      <c r="H525" s="260">
        <v>0</v>
      </c>
      <c r="I525" s="260">
        <v>0</v>
      </c>
      <c r="J525" s="260">
        <v>0</v>
      </c>
      <c r="K525" s="260">
        <v>0</v>
      </c>
      <c r="L525" s="260">
        <v>0</v>
      </c>
      <c r="M525" s="260">
        <v>0</v>
      </c>
      <c r="N525" s="119">
        <v>0</v>
      </c>
      <c r="O525" s="462" t="s">
        <v>934</v>
      </c>
    </row>
    <row r="526" spans="1:15" ht="18" customHeight="1" x14ac:dyDescent="0.25">
      <c r="A526" s="116">
        <v>7</v>
      </c>
      <c r="B526" s="117" t="s">
        <v>98</v>
      </c>
      <c r="C526" s="116">
        <v>86</v>
      </c>
      <c r="D526" s="120" t="s">
        <v>95</v>
      </c>
      <c r="E526" s="120" t="s">
        <v>972</v>
      </c>
      <c r="F526" s="117" t="s">
        <v>933</v>
      </c>
      <c r="G526" s="281">
        <v>10</v>
      </c>
      <c r="H526" s="260">
        <v>3241</v>
      </c>
      <c r="I526" s="260">
        <v>32407</v>
      </c>
      <c r="J526" s="260">
        <v>0</v>
      </c>
      <c r="K526" s="260">
        <v>32407</v>
      </c>
      <c r="L526" s="260">
        <v>2593</v>
      </c>
      <c r="M526" s="260">
        <v>35000</v>
      </c>
      <c r="N526" s="119">
        <v>6.3E-3</v>
      </c>
      <c r="O526" s="462" t="s">
        <v>934</v>
      </c>
    </row>
    <row r="527" spans="1:15" ht="18" customHeight="1" x14ac:dyDescent="0.25">
      <c r="A527" s="116">
        <v>7</v>
      </c>
      <c r="B527" s="117" t="s">
        <v>98</v>
      </c>
      <c r="C527" s="116">
        <v>80</v>
      </c>
      <c r="D527" s="120" t="s">
        <v>95</v>
      </c>
      <c r="E527" s="120" t="s">
        <v>973</v>
      </c>
      <c r="F527" s="117" t="s">
        <v>933</v>
      </c>
      <c r="G527" s="281">
        <v>0</v>
      </c>
      <c r="H527" s="260">
        <v>0</v>
      </c>
      <c r="I527" s="260">
        <v>0</v>
      </c>
      <c r="J527" s="260">
        <v>0</v>
      </c>
      <c r="K527" s="260">
        <v>0</v>
      </c>
      <c r="L527" s="260">
        <v>0</v>
      </c>
      <c r="M527" s="260">
        <v>0</v>
      </c>
      <c r="N527" s="119">
        <v>0</v>
      </c>
      <c r="O527" s="462" t="s">
        <v>934</v>
      </c>
    </row>
    <row r="528" spans="1:15" ht="18" customHeight="1" x14ac:dyDescent="0.25">
      <c r="A528" s="116">
        <v>7</v>
      </c>
      <c r="B528" s="117" t="s">
        <v>98</v>
      </c>
      <c r="C528" s="116">
        <v>114</v>
      </c>
      <c r="D528" s="120" t="s">
        <v>95</v>
      </c>
      <c r="E528" s="120" t="s">
        <v>1054</v>
      </c>
      <c r="F528" s="117" t="s">
        <v>933</v>
      </c>
      <c r="G528" s="281">
        <v>12</v>
      </c>
      <c r="H528" s="260">
        <v>6481</v>
      </c>
      <c r="I528" s="260">
        <v>77778</v>
      </c>
      <c r="J528" s="260">
        <v>0</v>
      </c>
      <c r="K528" s="260">
        <v>77778</v>
      </c>
      <c r="L528" s="260">
        <v>6222</v>
      </c>
      <c r="M528" s="260">
        <v>84000</v>
      </c>
      <c r="N528" s="119">
        <v>1.5100000000000001E-2</v>
      </c>
      <c r="O528" s="462" t="s">
        <v>934</v>
      </c>
    </row>
    <row r="529" spans="1:15" ht="18" customHeight="1" x14ac:dyDescent="0.25">
      <c r="A529" s="116">
        <v>7</v>
      </c>
      <c r="B529" s="117" t="s">
        <v>98</v>
      </c>
      <c r="C529" s="116">
        <v>63</v>
      </c>
      <c r="D529" s="120" t="s">
        <v>95</v>
      </c>
      <c r="E529" s="120" t="s">
        <v>1031</v>
      </c>
      <c r="F529" s="117" t="s">
        <v>933</v>
      </c>
      <c r="G529" s="281">
        <v>1</v>
      </c>
      <c r="H529" s="260">
        <v>3704</v>
      </c>
      <c r="I529" s="260">
        <v>3704</v>
      </c>
      <c r="J529" s="260">
        <v>0</v>
      </c>
      <c r="K529" s="260">
        <v>3704</v>
      </c>
      <c r="L529" s="260">
        <v>296</v>
      </c>
      <c r="M529" s="260">
        <v>4000</v>
      </c>
      <c r="N529" s="119">
        <v>7.000000000000001E-4</v>
      </c>
      <c r="O529" s="462" t="s">
        <v>934</v>
      </c>
    </row>
    <row r="530" spans="1:15" ht="18" customHeight="1" x14ac:dyDescent="0.25">
      <c r="A530" s="116">
        <v>7</v>
      </c>
      <c r="B530" s="117" t="s">
        <v>98</v>
      </c>
      <c r="C530" s="116">
        <v>79</v>
      </c>
      <c r="D530" s="120" t="s">
        <v>95</v>
      </c>
      <c r="E530" s="120" t="s">
        <v>975</v>
      </c>
      <c r="F530" s="117" t="s">
        <v>933</v>
      </c>
      <c r="G530" s="281">
        <v>7</v>
      </c>
      <c r="H530" s="260">
        <v>6481</v>
      </c>
      <c r="I530" s="260">
        <v>45370</v>
      </c>
      <c r="J530" s="260">
        <v>0</v>
      </c>
      <c r="K530" s="260">
        <v>45370</v>
      </c>
      <c r="L530" s="260">
        <v>3630</v>
      </c>
      <c r="M530" s="260">
        <v>49000</v>
      </c>
      <c r="N530" s="119">
        <v>8.8000000000000005E-3</v>
      </c>
      <c r="O530" s="462" t="s">
        <v>934</v>
      </c>
    </row>
    <row r="531" spans="1:15" ht="18" customHeight="1" x14ac:dyDescent="0.25">
      <c r="A531" s="116">
        <v>7</v>
      </c>
      <c r="B531" s="117" t="s">
        <v>98</v>
      </c>
      <c r="C531" s="116">
        <v>62</v>
      </c>
      <c r="D531" s="120" t="s">
        <v>95</v>
      </c>
      <c r="E531" s="120" t="s">
        <v>976</v>
      </c>
      <c r="F531" s="117" t="s">
        <v>933</v>
      </c>
      <c r="G531" s="281">
        <v>5</v>
      </c>
      <c r="H531" s="260">
        <v>6944</v>
      </c>
      <c r="I531" s="260">
        <v>34722</v>
      </c>
      <c r="J531" s="260">
        <v>0</v>
      </c>
      <c r="K531" s="260">
        <v>34722</v>
      </c>
      <c r="L531" s="260">
        <v>2778</v>
      </c>
      <c r="M531" s="260">
        <v>37500</v>
      </c>
      <c r="N531" s="119">
        <v>6.7000000000000002E-3</v>
      </c>
      <c r="O531" s="462" t="s">
        <v>934</v>
      </c>
    </row>
    <row r="532" spans="1:15" ht="18" customHeight="1" x14ac:dyDescent="0.25">
      <c r="A532" s="116">
        <v>7</v>
      </c>
      <c r="B532" s="117" t="s">
        <v>98</v>
      </c>
      <c r="C532" s="116">
        <v>78</v>
      </c>
      <c r="D532" s="120" t="s">
        <v>95</v>
      </c>
      <c r="E532" s="120" t="s">
        <v>977</v>
      </c>
      <c r="F532" s="117" t="s">
        <v>933</v>
      </c>
      <c r="G532" s="281">
        <v>8</v>
      </c>
      <c r="H532" s="260">
        <v>6481</v>
      </c>
      <c r="I532" s="260">
        <v>51852</v>
      </c>
      <c r="J532" s="260">
        <v>0</v>
      </c>
      <c r="K532" s="260">
        <v>51852</v>
      </c>
      <c r="L532" s="260">
        <v>4148</v>
      </c>
      <c r="M532" s="260">
        <v>56000</v>
      </c>
      <c r="N532" s="119">
        <v>1.01E-2</v>
      </c>
      <c r="O532" s="462" t="s">
        <v>934</v>
      </c>
    </row>
    <row r="533" spans="1:15" ht="18" customHeight="1" x14ac:dyDescent="0.25">
      <c r="A533" s="116">
        <v>7</v>
      </c>
      <c r="B533" s="117" t="s">
        <v>98</v>
      </c>
      <c r="C533" s="116">
        <v>137</v>
      </c>
      <c r="D533" s="120" t="s">
        <v>95</v>
      </c>
      <c r="E533" s="120" t="s">
        <v>1006</v>
      </c>
      <c r="F533" s="117" t="s">
        <v>933</v>
      </c>
      <c r="G533" s="281">
        <v>2</v>
      </c>
      <c r="H533" s="260">
        <v>6481</v>
      </c>
      <c r="I533" s="260">
        <v>12963</v>
      </c>
      <c r="J533" s="260">
        <v>0</v>
      </c>
      <c r="K533" s="260">
        <v>12963</v>
      </c>
      <c r="L533" s="260">
        <v>1037</v>
      </c>
      <c r="M533" s="260">
        <v>14000</v>
      </c>
      <c r="N533" s="119">
        <v>2.5000000000000001E-3</v>
      </c>
      <c r="O533" s="462" t="s">
        <v>934</v>
      </c>
    </row>
    <row r="534" spans="1:15" ht="18" customHeight="1" x14ac:dyDescent="0.25">
      <c r="A534" s="116">
        <v>7</v>
      </c>
      <c r="B534" s="117" t="s">
        <v>98</v>
      </c>
      <c r="C534" s="116">
        <v>219</v>
      </c>
      <c r="D534" s="120" t="s">
        <v>87</v>
      </c>
      <c r="E534" s="120" t="s">
        <v>153</v>
      </c>
      <c r="F534" s="117" t="s">
        <v>933</v>
      </c>
      <c r="G534" s="281">
        <v>1</v>
      </c>
      <c r="H534" s="260">
        <v>69444</v>
      </c>
      <c r="I534" s="260">
        <v>69444</v>
      </c>
      <c r="J534" s="260">
        <v>0</v>
      </c>
      <c r="K534" s="260">
        <v>69444</v>
      </c>
      <c r="L534" s="260">
        <v>5556</v>
      </c>
      <c r="M534" s="260">
        <v>75000</v>
      </c>
      <c r="N534" s="119">
        <v>1.35E-2</v>
      </c>
      <c r="O534" s="462" t="s">
        <v>934</v>
      </c>
    </row>
    <row r="535" spans="1:15" ht="18" customHeight="1" x14ac:dyDescent="0.25">
      <c r="A535" s="116">
        <v>7</v>
      </c>
      <c r="B535" s="117" t="s">
        <v>98</v>
      </c>
      <c r="C535" s="116">
        <v>224</v>
      </c>
      <c r="D535" s="120" t="s">
        <v>87</v>
      </c>
      <c r="E535" s="120" t="s">
        <v>1021</v>
      </c>
      <c r="F535" s="117" t="s">
        <v>933</v>
      </c>
      <c r="G535" s="281">
        <v>2</v>
      </c>
      <c r="H535" s="260">
        <v>62500</v>
      </c>
      <c r="I535" s="260">
        <v>125000</v>
      </c>
      <c r="J535" s="260">
        <v>0</v>
      </c>
      <c r="K535" s="260">
        <v>125000</v>
      </c>
      <c r="L535" s="260">
        <v>10000</v>
      </c>
      <c r="M535" s="260">
        <v>135000</v>
      </c>
      <c r="N535" s="119">
        <v>2.4299999999999999E-2</v>
      </c>
      <c r="O535" s="462" t="s">
        <v>934</v>
      </c>
    </row>
    <row r="536" spans="1:15" ht="18" customHeight="1" x14ac:dyDescent="0.25">
      <c r="A536" s="116">
        <v>7</v>
      </c>
      <c r="B536" s="117" t="s">
        <v>98</v>
      </c>
      <c r="C536" s="116">
        <v>226</v>
      </c>
      <c r="D536" s="120" t="s">
        <v>87</v>
      </c>
      <c r="E536" s="120" t="s">
        <v>1032</v>
      </c>
      <c r="F536" s="117" t="s">
        <v>933</v>
      </c>
      <c r="G536" s="281">
        <v>2</v>
      </c>
      <c r="H536" s="260">
        <v>90741</v>
      </c>
      <c r="I536" s="260">
        <v>181481</v>
      </c>
      <c r="J536" s="260">
        <v>0</v>
      </c>
      <c r="K536" s="260">
        <v>181481</v>
      </c>
      <c r="L536" s="260">
        <v>14519</v>
      </c>
      <c r="M536" s="260">
        <v>196000</v>
      </c>
      <c r="N536" s="119">
        <v>3.5299999999999998E-2</v>
      </c>
      <c r="O536" s="462" t="s">
        <v>934</v>
      </c>
    </row>
    <row r="537" spans="1:15" ht="18" customHeight="1" x14ac:dyDescent="0.25">
      <c r="A537" s="116">
        <v>7</v>
      </c>
      <c r="B537" s="117" t="s">
        <v>98</v>
      </c>
      <c r="C537" s="116">
        <v>50</v>
      </c>
      <c r="D537" s="120" t="s">
        <v>87</v>
      </c>
      <c r="E537" s="120" t="s">
        <v>159</v>
      </c>
      <c r="F537" s="117" t="s">
        <v>933</v>
      </c>
      <c r="G537" s="281">
        <v>1</v>
      </c>
      <c r="H537" s="260">
        <v>49074</v>
      </c>
      <c r="I537" s="260">
        <v>49074</v>
      </c>
      <c r="J537" s="260">
        <v>0</v>
      </c>
      <c r="K537" s="260">
        <v>49074</v>
      </c>
      <c r="L537" s="260">
        <v>3926</v>
      </c>
      <c r="M537" s="260">
        <v>53000</v>
      </c>
      <c r="N537" s="119">
        <v>9.4999999999999998E-3</v>
      </c>
      <c r="O537" s="462" t="s">
        <v>934</v>
      </c>
    </row>
    <row r="538" spans="1:15" ht="18" customHeight="1" x14ac:dyDescent="0.25">
      <c r="A538" s="116">
        <v>7</v>
      </c>
      <c r="B538" s="117" t="s">
        <v>98</v>
      </c>
      <c r="C538" s="116">
        <v>117</v>
      </c>
      <c r="D538" s="120" t="s">
        <v>87</v>
      </c>
      <c r="E538" s="120" t="s">
        <v>120</v>
      </c>
      <c r="F538" s="117" t="s">
        <v>933</v>
      </c>
      <c r="G538" s="281">
        <v>5</v>
      </c>
      <c r="H538" s="260">
        <v>41667</v>
      </c>
      <c r="I538" s="260">
        <v>208333</v>
      </c>
      <c r="J538" s="260">
        <v>0</v>
      </c>
      <c r="K538" s="260">
        <v>208333</v>
      </c>
      <c r="L538" s="260">
        <v>16667</v>
      </c>
      <c r="M538" s="260">
        <v>225000</v>
      </c>
      <c r="N538" s="119">
        <v>4.0500000000000001E-2</v>
      </c>
      <c r="O538" s="462" t="s">
        <v>934</v>
      </c>
    </row>
    <row r="539" spans="1:15" ht="18" customHeight="1" x14ac:dyDescent="0.25">
      <c r="A539" s="116">
        <v>7</v>
      </c>
      <c r="B539" s="117" t="s">
        <v>98</v>
      </c>
      <c r="C539" s="116">
        <v>61</v>
      </c>
      <c r="D539" s="120" t="s">
        <v>97</v>
      </c>
      <c r="E539" s="120" t="s">
        <v>985</v>
      </c>
      <c r="F539" s="117" t="s">
        <v>933</v>
      </c>
      <c r="G539" s="281">
        <v>24</v>
      </c>
      <c r="H539" s="260">
        <v>4630</v>
      </c>
      <c r="I539" s="260">
        <v>111111</v>
      </c>
      <c r="J539" s="260">
        <v>0</v>
      </c>
      <c r="K539" s="260">
        <v>111111</v>
      </c>
      <c r="L539" s="260">
        <v>8889</v>
      </c>
      <c r="M539" s="260">
        <v>120000</v>
      </c>
      <c r="N539" s="119">
        <v>2.1600000000000001E-2</v>
      </c>
      <c r="O539" s="462" t="s">
        <v>934</v>
      </c>
    </row>
    <row r="540" spans="1:15" ht="18" customHeight="1" x14ac:dyDescent="0.25">
      <c r="A540" s="116">
        <v>7</v>
      </c>
      <c r="B540" s="117" t="s">
        <v>98</v>
      </c>
      <c r="C540" s="116">
        <v>215</v>
      </c>
      <c r="D540" s="120" t="s">
        <v>87</v>
      </c>
      <c r="E540" s="120" t="s">
        <v>132</v>
      </c>
      <c r="F540" s="117" t="s">
        <v>933</v>
      </c>
      <c r="G540" s="281">
        <v>3</v>
      </c>
      <c r="H540" s="260">
        <v>37500</v>
      </c>
      <c r="I540" s="260">
        <v>112500</v>
      </c>
      <c r="J540" s="260">
        <v>0</v>
      </c>
      <c r="K540" s="260">
        <v>112500</v>
      </c>
      <c r="L540" s="260">
        <v>9000</v>
      </c>
      <c r="M540" s="260">
        <v>121500</v>
      </c>
      <c r="N540" s="119">
        <v>2.1899999999999999E-2</v>
      </c>
      <c r="O540" s="462" t="s">
        <v>934</v>
      </c>
    </row>
    <row r="541" spans="1:15" ht="18" customHeight="1" x14ac:dyDescent="0.25">
      <c r="A541" s="116">
        <v>7</v>
      </c>
      <c r="B541" s="117" t="s">
        <v>98</v>
      </c>
      <c r="C541" s="116">
        <v>315</v>
      </c>
      <c r="D541" s="120" t="s">
        <v>87</v>
      </c>
      <c r="E541" s="120" t="s">
        <v>1008</v>
      </c>
      <c r="F541" s="117" t="s">
        <v>933</v>
      </c>
      <c r="G541" s="281">
        <v>1</v>
      </c>
      <c r="H541" s="260">
        <v>1852</v>
      </c>
      <c r="I541" s="260">
        <v>1852</v>
      </c>
      <c r="J541" s="260">
        <v>0</v>
      </c>
      <c r="K541" s="260">
        <v>1852</v>
      </c>
      <c r="L541" s="260">
        <v>148</v>
      </c>
      <c r="M541" s="260">
        <v>2000</v>
      </c>
      <c r="N541" s="119">
        <v>4.0000000000000002E-4</v>
      </c>
      <c r="O541" s="462" t="s">
        <v>934</v>
      </c>
    </row>
    <row r="542" spans="1:15" ht="18" customHeight="1" x14ac:dyDescent="0.25">
      <c r="A542" s="116">
        <v>7</v>
      </c>
      <c r="B542" s="117" t="s">
        <v>98</v>
      </c>
      <c r="C542" s="116">
        <v>96</v>
      </c>
      <c r="D542" s="120" t="s">
        <v>93</v>
      </c>
      <c r="E542" s="120" t="s">
        <v>1009</v>
      </c>
      <c r="F542" s="117" t="s">
        <v>933</v>
      </c>
      <c r="G542" s="281">
        <v>1</v>
      </c>
      <c r="H542" s="260">
        <v>35648</v>
      </c>
      <c r="I542" s="260">
        <v>35648</v>
      </c>
      <c r="J542" s="260">
        <v>0</v>
      </c>
      <c r="K542" s="260">
        <v>35648</v>
      </c>
      <c r="L542" s="260">
        <v>2852</v>
      </c>
      <c r="M542" s="260">
        <v>38500</v>
      </c>
      <c r="N542" s="119">
        <v>6.8999999999999999E-3</v>
      </c>
      <c r="O542" s="462" t="s">
        <v>934</v>
      </c>
    </row>
    <row r="543" spans="1:15" ht="18" customHeight="1" x14ac:dyDescent="0.25">
      <c r="A543" s="116">
        <v>7</v>
      </c>
      <c r="B543" s="117" t="s">
        <v>98</v>
      </c>
      <c r="C543" s="116">
        <v>68</v>
      </c>
      <c r="D543" s="120" t="s">
        <v>93</v>
      </c>
      <c r="E543" s="120" t="s">
        <v>986</v>
      </c>
      <c r="F543" s="117" t="s">
        <v>933</v>
      </c>
      <c r="G543" s="281">
        <v>1</v>
      </c>
      <c r="H543" s="260">
        <v>41667</v>
      </c>
      <c r="I543" s="260">
        <v>41667</v>
      </c>
      <c r="J543" s="260">
        <v>0</v>
      </c>
      <c r="K543" s="260">
        <v>41667</v>
      </c>
      <c r="L543" s="260">
        <v>3333</v>
      </c>
      <c r="M543" s="260">
        <v>45000</v>
      </c>
      <c r="N543" s="119">
        <v>8.1000000000000013E-3</v>
      </c>
      <c r="O543" s="462" t="s">
        <v>934</v>
      </c>
    </row>
    <row r="544" spans="1:15" ht="18" customHeight="1" x14ac:dyDescent="0.25">
      <c r="A544" s="116">
        <v>7</v>
      </c>
      <c r="B544" s="117" t="s">
        <v>98</v>
      </c>
      <c r="C544" s="116">
        <v>33</v>
      </c>
      <c r="D544" s="120" t="s">
        <v>91</v>
      </c>
      <c r="E544" s="120" t="s">
        <v>987</v>
      </c>
      <c r="F544" s="117" t="s">
        <v>933</v>
      </c>
      <c r="G544" s="281">
        <v>1</v>
      </c>
      <c r="H544" s="260">
        <v>1852</v>
      </c>
      <c r="I544" s="260">
        <v>1852</v>
      </c>
      <c r="J544" s="260">
        <v>0</v>
      </c>
      <c r="K544" s="260">
        <v>1852</v>
      </c>
      <c r="L544" s="260">
        <v>148</v>
      </c>
      <c r="M544" s="260">
        <v>2000</v>
      </c>
      <c r="N544" s="119">
        <v>4.0000000000000002E-4</v>
      </c>
      <c r="O544" s="462" t="s">
        <v>934</v>
      </c>
    </row>
    <row r="545" spans="1:15" ht="18" customHeight="1" x14ac:dyDescent="0.25">
      <c r="A545" s="116">
        <v>8</v>
      </c>
      <c r="B545" s="117" t="s">
        <v>100</v>
      </c>
      <c r="C545" s="116">
        <v>73</v>
      </c>
      <c r="D545" s="120" t="s">
        <v>91</v>
      </c>
      <c r="E545" s="120" t="s">
        <v>932</v>
      </c>
      <c r="F545" s="117" t="s">
        <v>933</v>
      </c>
      <c r="G545" s="281">
        <v>23</v>
      </c>
      <c r="H545" s="260">
        <v>2593</v>
      </c>
      <c r="I545" s="260">
        <v>59630</v>
      </c>
      <c r="J545" s="260">
        <v>0</v>
      </c>
      <c r="K545" s="260">
        <v>59630</v>
      </c>
      <c r="L545" s="260">
        <v>4770</v>
      </c>
      <c r="M545" s="260">
        <v>64400</v>
      </c>
      <c r="N545" s="119">
        <v>1.01E-2</v>
      </c>
      <c r="O545" s="462" t="s">
        <v>934</v>
      </c>
    </row>
    <row r="546" spans="1:15" ht="18" customHeight="1" x14ac:dyDescent="0.25">
      <c r="A546" s="116">
        <v>8</v>
      </c>
      <c r="B546" s="117" t="s">
        <v>100</v>
      </c>
      <c r="C546" s="116">
        <v>65</v>
      </c>
      <c r="D546" s="120" t="s">
        <v>91</v>
      </c>
      <c r="E546" s="120" t="s">
        <v>935</v>
      </c>
      <c r="F546" s="117" t="s">
        <v>933</v>
      </c>
      <c r="G546" s="281">
        <v>4</v>
      </c>
      <c r="H546" s="260">
        <v>2778</v>
      </c>
      <c r="I546" s="260">
        <v>11111</v>
      </c>
      <c r="J546" s="260">
        <v>0</v>
      </c>
      <c r="K546" s="260">
        <v>11111</v>
      </c>
      <c r="L546" s="260">
        <v>889</v>
      </c>
      <c r="M546" s="260">
        <v>12000</v>
      </c>
      <c r="N546" s="119">
        <v>1.9E-3</v>
      </c>
      <c r="O546" s="462" t="s">
        <v>934</v>
      </c>
    </row>
    <row r="547" spans="1:15" ht="18" customHeight="1" x14ac:dyDescent="0.25">
      <c r="A547" s="116">
        <v>8</v>
      </c>
      <c r="B547" s="117" t="s">
        <v>100</v>
      </c>
      <c r="C547" s="116">
        <v>12</v>
      </c>
      <c r="D547" s="120" t="s">
        <v>93</v>
      </c>
      <c r="E547" s="120" t="s">
        <v>937</v>
      </c>
      <c r="F547" s="117" t="s">
        <v>933</v>
      </c>
      <c r="G547" s="281">
        <v>5</v>
      </c>
      <c r="H547" s="260">
        <v>41667</v>
      </c>
      <c r="I547" s="260">
        <v>208333</v>
      </c>
      <c r="J547" s="260">
        <v>0</v>
      </c>
      <c r="K547" s="260">
        <v>208333</v>
      </c>
      <c r="L547" s="260">
        <v>16667</v>
      </c>
      <c r="M547" s="260">
        <v>225000</v>
      </c>
      <c r="N547" s="119">
        <v>3.5099999999999999E-2</v>
      </c>
      <c r="O547" s="462" t="s">
        <v>934</v>
      </c>
    </row>
    <row r="548" spans="1:15" ht="18" customHeight="1" x14ac:dyDescent="0.25">
      <c r="A548" s="116">
        <v>8</v>
      </c>
      <c r="B548" s="117" t="s">
        <v>100</v>
      </c>
      <c r="C548" s="116">
        <v>40</v>
      </c>
      <c r="D548" s="120" t="s">
        <v>87</v>
      </c>
      <c r="E548" s="120" t="s">
        <v>170</v>
      </c>
      <c r="F548" s="117" t="s">
        <v>933</v>
      </c>
      <c r="G548" s="281">
        <v>3</v>
      </c>
      <c r="H548" s="260">
        <v>55093</v>
      </c>
      <c r="I548" s="260">
        <v>165278</v>
      </c>
      <c r="J548" s="260">
        <v>0</v>
      </c>
      <c r="K548" s="260">
        <v>165278</v>
      </c>
      <c r="L548" s="260">
        <v>13222</v>
      </c>
      <c r="M548" s="260">
        <v>178500</v>
      </c>
      <c r="N548" s="119">
        <v>2.7900000000000001E-2</v>
      </c>
      <c r="O548" s="462" t="s">
        <v>934</v>
      </c>
    </row>
    <row r="549" spans="1:15" ht="18" customHeight="1" x14ac:dyDescent="0.25">
      <c r="A549" s="116">
        <v>8</v>
      </c>
      <c r="B549" s="117" t="s">
        <v>100</v>
      </c>
      <c r="C549" s="116">
        <v>131</v>
      </c>
      <c r="D549" s="120" t="s">
        <v>87</v>
      </c>
      <c r="E549" s="120" t="s">
        <v>991</v>
      </c>
      <c r="F549" s="117" t="s">
        <v>933</v>
      </c>
      <c r="G549" s="281">
        <v>2</v>
      </c>
      <c r="H549" s="260">
        <v>278</v>
      </c>
      <c r="I549" s="260">
        <v>556</v>
      </c>
      <c r="J549" s="260">
        <v>0</v>
      </c>
      <c r="K549" s="260">
        <v>556</v>
      </c>
      <c r="L549" s="260">
        <v>44</v>
      </c>
      <c r="M549" s="260">
        <v>600</v>
      </c>
      <c r="N549" s="119">
        <v>1E-4</v>
      </c>
      <c r="O549" s="462" t="s">
        <v>934</v>
      </c>
    </row>
    <row r="550" spans="1:15" ht="18" customHeight="1" x14ac:dyDescent="0.25">
      <c r="A550" s="116">
        <v>8</v>
      </c>
      <c r="B550" s="117" t="s">
        <v>100</v>
      </c>
      <c r="C550" s="116">
        <v>104</v>
      </c>
      <c r="D550" s="120" t="s">
        <v>89</v>
      </c>
      <c r="E550" s="120" t="s">
        <v>162</v>
      </c>
      <c r="F550" s="117" t="s">
        <v>933</v>
      </c>
      <c r="G550" s="281">
        <v>12</v>
      </c>
      <c r="H550" s="260">
        <v>16204</v>
      </c>
      <c r="I550" s="260">
        <v>194444</v>
      </c>
      <c r="J550" s="260">
        <v>0</v>
      </c>
      <c r="K550" s="260">
        <v>194444</v>
      </c>
      <c r="L550" s="260">
        <v>15556</v>
      </c>
      <c r="M550" s="260">
        <v>210000</v>
      </c>
      <c r="N550" s="119">
        <v>3.2800000000000003E-2</v>
      </c>
      <c r="O550" s="462" t="s">
        <v>934</v>
      </c>
    </row>
    <row r="551" spans="1:15" ht="18" customHeight="1" x14ac:dyDescent="0.25">
      <c r="A551" s="116">
        <v>8</v>
      </c>
      <c r="B551" s="117" t="s">
        <v>100</v>
      </c>
      <c r="C551" s="116">
        <v>54</v>
      </c>
      <c r="D551" s="120" t="s">
        <v>91</v>
      </c>
      <c r="E551" s="120" t="s">
        <v>992</v>
      </c>
      <c r="F551" s="117" t="s">
        <v>933</v>
      </c>
      <c r="G551" s="281">
        <v>3</v>
      </c>
      <c r="H551" s="260">
        <v>2315</v>
      </c>
      <c r="I551" s="260">
        <v>6944</v>
      </c>
      <c r="J551" s="260">
        <v>0</v>
      </c>
      <c r="K551" s="260">
        <v>6944</v>
      </c>
      <c r="L551" s="260">
        <v>556</v>
      </c>
      <c r="M551" s="260">
        <v>7500</v>
      </c>
      <c r="N551" s="119">
        <v>1.1999999999999999E-3</v>
      </c>
      <c r="O551" s="462" t="s">
        <v>934</v>
      </c>
    </row>
    <row r="552" spans="1:15" ht="18" customHeight="1" x14ac:dyDescent="0.25">
      <c r="A552" s="116">
        <v>8</v>
      </c>
      <c r="B552" s="117" t="s">
        <v>100</v>
      </c>
      <c r="C552" s="116">
        <v>5</v>
      </c>
      <c r="D552" s="120" t="s">
        <v>89</v>
      </c>
      <c r="E552" s="120" t="s">
        <v>993</v>
      </c>
      <c r="F552" s="117" t="s">
        <v>933</v>
      </c>
      <c r="G552" s="281">
        <v>1</v>
      </c>
      <c r="H552" s="260">
        <v>11111</v>
      </c>
      <c r="I552" s="260">
        <v>11111</v>
      </c>
      <c r="J552" s="260">
        <v>0</v>
      </c>
      <c r="K552" s="260">
        <v>11111</v>
      </c>
      <c r="L552" s="260">
        <v>889</v>
      </c>
      <c r="M552" s="260">
        <v>12000</v>
      </c>
      <c r="N552" s="119">
        <v>1.9E-3</v>
      </c>
      <c r="O552" s="462" t="s">
        <v>934</v>
      </c>
    </row>
    <row r="553" spans="1:15" ht="18" customHeight="1" x14ac:dyDescent="0.25">
      <c r="A553" s="116">
        <v>8</v>
      </c>
      <c r="B553" s="117" t="s">
        <v>100</v>
      </c>
      <c r="C553" s="116">
        <v>136</v>
      </c>
      <c r="D553" s="120" t="s">
        <v>89</v>
      </c>
      <c r="E553" s="120" t="s">
        <v>939</v>
      </c>
      <c r="F553" s="117" t="s">
        <v>933</v>
      </c>
      <c r="G553" s="281">
        <v>4</v>
      </c>
      <c r="H553" s="260">
        <v>24074</v>
      </c>
      <c r="I553" s="260">
        <v>96296</v>
      </c>
      <c r="J553" s="260">
        <v>0</v>
      </c>
      <c r="K553" s="260">
        <v>96296</v>
      </c>
      <c r="L553" s="260">
        <v>7704</v>
      </c>
      <c r="M553" s="260">
        <v>104000</v>
      </c>
      <c r="N553" s="119">
        <v>1.6199999999999999E-2</v>
      </c>
      <c r="O553" s="462" t="s">
        <v>934</v>
      </c>
    </row>
    <row r="554" spans="1:15" ht="18" customHeight="1" x14ac:dyDescent="0.25">
      <c r="A554" s="116">
        <v>8</v>
      </c>
      <c r="B554" s="117" t="s">
        <v>100</v>
      </c>
      <c r="C554" s="116">
        <v>135</v>
      </c>
      <c r="D554" s="120" t="s">
        <v>89</v>
      </c>
      <c r="E554" s="120" t="s">
        <v>1024</v>
      </c>
      <c r="F554" s="117" t="s">
        <v>933</v>
      </c>
      <c r="G554" s="281">
        <v>1</v>
      </c>
      <c r="H554" s="260">
        <v>13889</v>
      </c>
      <c r="I554" s="260">
        <v>13889</v>
      </c>
      <c r="J554" s="260">
        <v>0</v>
      </c>
      <c r="K554" s="260">
        <v>13889</v>
      </c>
      <c r="L554" s="260">
        <v>1111</v>
      </c>
      <c r="M554" s="260">
        <v>15000</v>
      </c>
      <c r="N554" s="119">
        <v>2.3E-3</v>
      </c>
      <c r="O554" s="462" t="s">
        <v>934</v>
      </c>
    </row>
    <row r="555" spans="1:15" ht="18" customHeight="1" x14ac:dyDescent="0.25">
      <c r="A555" s="116">
        <v>8</v>
      </c>
      <c r="B555" s="117" t="s">
        <v>100</v>
      </c>
      <c r="C555" s="116">
        <v>6</v>
      </c>
      <c r="D555" s="120" t="s">
        <v>89</v>
      </c>
      <c r="E555" s="120" t="s">
        <v>994</v>
      </c>
      <c r="F555" s="117" t="s">
        <v>933</v>
      </c>
      <c r="G555" s="281">
        <v>1</v>
      </c>
      <c r="H555" s="260">
        <v>14815</v>
      </c>
      <c r="I555" s="260">
        <v>14815</v>
      </c>
      <c r="J555" s="260">
        <v>0</v>
      </c>
      <c r="K555" s="260">
        <v>14815</v>
      </c>
      <c r="L555" s="260">
        <v>1185</v>
      </c>
      <c r="M555" s="260">
        <v>16000</v>
      </c>
      <c r="N555" s="119">
        <v>2.5000000000000001E-3</v>
      </c>
      <c r="O555" s="462" t="s">
        <v>934</v>
      </c>
    </row>
    <row r="556" spans="1:15" ht="18" customHeight="1" x14ac:dyDescent="0.25">
      <c r="A556" s="116">
        <v>8</v>
      </c>
      <c r="B556" s="117" t="s">
        <v>100</v>
      </c>
      <c r="C556" s="116">
        <v>8</v>
      </c>
      <c r="D556" s="120" t="s">
        <v>87</v>
      </c>
      <c r="E556" s="120" t="s">
        <v>156</v>
      </c>
      <c r="F556" s="117" t="s">
        <v>933</v>
      </c>
      <c r="G556" s="281">
        <v>5</v>
      </c>
      <c r="H556" s="260">
        <v>18704</v>
      </c>
      <c r="I556" s="260">
        <v>93519</v>
      </c>
      <c r="J556" s="260">
        <v>0</v>
      </c>
      <c r="K556" s="260">
        <v>93519</v>
      </c>
      <c r="L556" s="260">
        <v>7481</v>
      </c>
      <c r="M556" s="260">
        <v>101000</v>
      </c>
      <c r="N556" s="119">
        <v>1.5800000000000002E-2</v>
      </c>
      <c r="O556" s="462" t="s">
        <v>934</v>
      </c>
    </row>
    <row r="557" spans="1:15" ht="18" customHeight="1" x14ac:dyDescent="0.25">
      <c r="A557" s="116">
        <v>8</v>
      </c>
      <c r="B557" s="117" t="s">
        <v>100</v>
      </c>
      <c r="C557" s="116">
        <v>311</v>
      </c>
      <c r="D557" s="120" t="s">
        <v>93</v>
      </c>
      <c r="E557" s="120" t="s">
        <v>940</v>
      </c>
      <c r="F557" s="117" t="s">
        <v>933</v>
      </c>
      <c r="G557" s="281">
        <v>1</v>
      </c>
      <c r="H557" s="260">
        <v>44907</v>
      </c>
      <c r="I557" s="260">
        <v>44907</v>
      </c>
      <c r="J557" s="260">
        <v>0</v>
      </c>
      <c r="K557" s="260">
        <v>44907</v>
      </c>
      <c r="L557" s="260">
        <v>3593</v>
      </c>
      <c r="M557" s="260">
        <v>48500</v>
      </c>
      <c r="N557" s="119">
        <v>7.6E-3</v>
      </c>
      <c r="O557" s="462" t="s">
        <v>934</v>
      </c>
    </row>
    <row r="558" spans="1:15" ht="18" customHeight="1" x14ac:dyDescent="0.25">
      <c r="A558" s="116">
        <v>8</v>
      </c>
      <c r="B558" s="117" t="s">
        <v>100</v>
      </c>
      <c r="C558" s="116">
        <v>87</v>
      </c>
      <c r="D558" s="120" t="s">
        <v>89</v>
      </c>
      <c r="E558" s="120" t="s">
        <v>144</v>
      </c>
      <c r="F558" s="117" t="s">
        <v>933</v>
      </c>
      <c r="G558" s="281">
        <v>3</v>
      </c>
      <c r="H558" s="260">
        <v>37500</v>
      </c>
      <c r="I558" s="260">
        <v>112500</v>
      </c>
      <c r="J558" s="260">
        <v>0</v>
      </c>
      <c r="K558" s="260">
        <v>112500</v>
      </c>
      <c r="L558" s="260">
        <v>9000</v>
      </c>
      <c r="M558" s="260">
        <v>121500</v>
      </c>
      <c r="N558" s="119">
        <v>1.9E-2</v>
      </c>
      <c r="O558" s="462" t="s">
        <v>934</v>
      </c>
    </row>
    <row r="559" spans="1:15" ht="18" customHeight="1" x14ac:dyDescent="0.25">
      <c r="A559" s="116">
        <v>8</v>
      </c>
      <c r="B559" s="117" t="s">
        <v>100</v>
      </c>
      <c r="C559" s="116">
        <v>206</v>
      </c>
      <c r="D559" s="120" t="s">
        <v>93</v>
      </c>
      <c r="E559" s="120" t="s">
        <v>941</v>
      </c>
      <c r="F559" s="117" t="s">
        <v>933</v>
      </c>
      <c r="G559" s="281">
        <v>1</v>
      </c>
      <c r="H559" s="260">
        <v>44907</v>
      </c>
      <c r="I559" s="260">
        <v>44907</v>
      </c>
      <c r="J559" s="260">
        <v>0</v>
      </c>
      <c r="K559" s="260">
        <v>44907</v>
      </c>
      <c r="L559" s="260">
        <v>3593</v>
      </c>
      <c r="M559" s="260">
        <v>48500</v>
      </c>
      <c r="N559" s="119">
        <v>7.6E-3</v>
      </c>
      <c r="O559" s="462" t="s">
        <v>934</v>
      </c>
    </row>
    <row r="560" spans="1:15" ht="18" customHeight="1" x14ac:dyDescent="0.25">
      <c r="A560" s="116">
        <v>8</v>
      </c>
      <c r="B560" s="117" t="s">
        <v>100</v>
      </c>
      <c r="C560" s="116">
        <v>13</v>
      </c>
      <c r="D560" s="120" t="s">
        <v>87</v>
      </c>
      <c r="E560" s="120" t="s">
        <v>942</v>
      </c>
      <c r="F560" s="117" t="s">
        <v>933</v>
      </c>
      <c r="G560" s="281">
        <v>1</v>
      </c>
      <c r="H560" s="260">
        <v>19444</v>
      </c>
      <c r="I560" s="260">
        <v>19444</v>
      </c>
      <c r="J560" s="260">
        <v>0</v>
      </c>
      <c r="K560" s="260">
        <v>19444</v>
      </c>
      <c r="L560" s="260">
        <v>1556</v>
      </c>
      <c r="M560" s="260">
        <v>21000</v>
      </c>
      <c r="N560" s="119">
        <v>3.3E-3</v>
      </c>
      <c r="O560" s="462" t="s">
        <v>934</v>
      </c>
    </row>
    <row r="561" spans="1:15" ht="18" customHeight="1" x14ac:dyDescent="0.25">
      <c r="A561" s="116">
        <v>8</v>
      </c>
      <c r="B561" s="117" t="s">
        <v>100</v>
      </c>
      <c r="C561" s="116">
        <v>246</v>
      </c>
      <c r="D561" s="120" t="s">
        <v>91</v>
      </c>
      <c r="E561" s="120" t="s">
        <v>943</v>
      </c>
      <c r="F561" s="117" t="s">
        <v>933</v>
      </c>
      <c r="G561" s="281">
        <v>1</v>
      </c>
      <c r="H561" s="260">
        <v>6481</v>
      </c>
      <c r="I561" s="260">
        <v>6481</v>
      </c>
      <c r="J561" s="260">
        <v>0</v>
      </c>
      <c r="K561" s="260">
        <v>6481</v>
      </c>
      <c r="L561" s="260">
        <v>519</v>
      </c>
      <c r="M561" s="260">
        <v>7000</v>
      </c>
      <c r="N561" s="119">
        <v>1.1000000000000001E-3</v>
      </c>
      <c r="O561" s="462" t="s">
        <v>934</v>
      </c>
    </row>
    <row r="562" spans="1:15" ht="18" customHeight="1" x14ac:dyDescent="0.25">
      <c r="A562" s="116">
        <v>8</v>
      </c>
      <c r="B562" s="117" t="s">
        <v>100</v>
      </c>
      <c r="C562" s="116">
        <v>70</v>
      </c>
      <c r="D562" s="120" t="s">
        <v>91</v>
      </c>
      <c r="E562" s="120" t="s">
        <v>944</v>
      </c>
      <c r="F562" s="117" t="s">
        <v>933</v>
      </c>
      <c r="G562" s="281">
        <v>1</v>
      </c>
      <c r="H562" s="260">
        <v>4630</v>
      </c>
      <c r="I562" s="260">
        <v>4630</v>
      </c>
      <c r="J562" s="260">
        <v>0</v>
      </c>
      <c r="K562" s="260">
        <v>4630</v>
      </c>
      <c r="L562" s="260">
        <v>370</v>
      </c>
      <c r="M562" s="260">
        <v>5000</v>
      </c>
      <c r="N562" s="119">
        <v>8.0000000000000004E-4</v>
      </c>
      <c r="O562" s="462" t="s">
        <v>934</v>
      </c>
    </row>
    <row r="563" spans="1:15" ht="18" customHeight="1" x14ac:dyDescent="0.25">
      <c r="A563" s="116">
        <v>8</v>
      </c>
      <c r="B563" s="117" t="s">
        <v>100</v>
      </c>
      <c r="C563" s="116">
        <v>83</v>
      </c>
      <c r="D563" s="120" t="s">
        <v>87</v>
      </c>
      <c r="E563" s="120" t="s">
        <v>946</v>
      </c>
      <c r="F563" s="117" t="s">
        <v>933</v>
      </c>
      <c r="G563" s="281">
        <v>5</v>
      </c>
      <c r="H563" s="260">
        <v>20833</v>
      </c>
      <c r="I563" s="260">
        <v>104167</v>
      </c>
      <c r="J563" s="260">
        <v>0</v>
      </c>
      <c r="K563" s="260">
        <v>104167</v>
      </c>
      <c r="L563" s="260">
        <v>8333</v>
      </c>
      <c r="M563" s="260">
        <v>112500</v>
      </c>
      <c r="N563" s="119">
        <v>1.7600000000000001E-2</v>
      </c>
      <c r="O563" s="462" t="s">
        <v>934</v>
      </c>
    </row>
    <row r="564" spans="1:15" ht="18" customHeight="1" x14ac:dyDescent="0.25">
      <c r="A564" s="116">
        <v>8</v>
      </c>
      <c r="B564" s="117" t="s">
        <v>100</v>
      </c>
      <c r="C564" s="116">
        <v>43</v>
      </c>
      <c r="D564" s="120" t="s">
        <v>87</v>
      </c>
      <c r="E564" s="120" t="s">
        <v>947</v>
      </c>
      <c r="F564" s="117" t="s">
        <v>933</v>
      </c>
      <c r="G564" s="281">
        <v>1</v>
      </c>
      <c r="H564" s="260">
        <v>8333</v>
      </c>
      <c r="I564" s="260">
        <v>8333</v>
      </c>
      <c r="J564" s="260">
        <v>0</v>
      </c>
      <c r="K564" s="260">
        <v>8333</v>
      </c>
      <c r="L564" s="260">
        <v>667</v>
      </c>
      <c r="M564" s="260">
        <v>9000</v>
      </c>
      <c r="N564" s="119">
        <v>1.4E-3</v>
      </c>
      <c r="O564" s="462" t="s">
        <v>934</v>
      </c>
    </row>
    <row r="565" spans="1:15" ht="18" customHeight="1" x14ac:dyDescent="0.25">
      <c r="A565" s="116">
        <v>8</v>
      </c>
      <c r="B565" s="117" t="s">
        <v>100</v>
      </c>
      <c r="C565" s="116">
        <v>167</v>
      </c>
      <c r="D565" s="120" t="s">
        <v>89</v>
      </c>
      <c r="E565" s="120" t="s">
        <v>1055</v>
      </c>
      <c r="F565" s="117" t="s">
        <v>933</v>
      </c>
      <c r="G565" s="281">
        <v>0</v>
      </c>
      <c r="H565" s="260">
        <v>0</v>
      </c>
      <c r="I565" s="260">
        <v>0</v>
      </c>
      <c r="J565" s="260">
        <v>0</v>
      </c>
      <c r="K565" s="260">
        <v>0</v>
      </c>
      <c r="L565" s="260">
        <v>0</v>
      </c>
      <c r="M565" s="260">
        <v>0</v>
      </c>
      <c r="N565" s="119">
        <v>0</v>
      </c>
      <c r="O565" s="462" t="s">
        <v>934</v>
      </c>
    </row>
    <row r="566" spans="1:15" ht="18" customHeight="1" x14ac:dyDescent="0.25">
      <c r="A566" s="116">
        <v>8</v>
      </c>
      <c r="B566" s="117" t="s">
        <v>100</v>
      </c>
      <c r="C566" s="116">
        <v>41</v>
      </c>
      <c r="D566" s="120" t="s">
        <v>87</v>
      </c>
      <c r="E566" s="120" t="s">
        <v>168</v>
      </c>
      <c r="F566" s="117" t="s">
        <v>933</v>
      </c>
      <c r="G566" s="281">
        <v>1</v>
      </c>
      <c r="H566" s="260">
        <v>49074</v>
      </c>
      <c r="I566" s="260">
        <v>49074</v>
      </c>
      <c r="J566" s="260">
        <v>0</v>
      </c>
      <c r="K566" s="260">
        <v>49074</v>
      </c>
      <c r="L566" s="260">
        <v>3926</v>
      </c>
      <c r="M566" s="260">
        <v>53000</v>
      </c>
      <c r="N566" s="119">
        <v>8.3000000000000001E-3</v>
      </c>
      <c r="O566" s="462" t="s">
        <v>934</v>
      </c>
    </row>
    <row r="567" spans="1:15" ht="18" customHeight="1" x14ac:dyDescent="0.25">
      <c r="A567" s="116">
        <v>8</v>
      </c>
      <c r="B567" s="117" t="s">
        <v>100</v>
      </c>
      <c r="C567" s="116">
        <v>122</v>
      </c>
      <c r="D567" s="120" t="s">
        <v>91</v>
      </c>
      <c r="E567" s="120" t="s">
        <v>948</v>
      </c>
      <c r="F567" s="117" t="s">
        <v>933</v>
      </c>
      <c r="G567" s="281">
        <v>5</v>
      </c>
      <c r="H567" s="260">
        <v>2778</v>
      </c>
      <c r="I567" s="260">
        <v>13889</v>
      </c>
      <c r="J567" s="260">
        <v>0</v>
      </c>
      <c r="K567" s="260">
        <v>13889</v>
      </c>
      <c r="L567" s="260">
        <v>1111</v>
      </c>
      <c r="M567" s="260">
        <v>15000</v>
      </c>
      <c r="N567" s="119">
        <v>2.3E-3</v>
      </c>
      <c r="O567" s="462" t="s">
        <v>934</v>
      </c>
    </row>
    <row r="568" spans="1:15" ht="18" customHeight="1" x14ac:dyDescent="0.25">
      <c r="A568" s="116">
        <v>8</v>
      </c>
      <c r="B568" s="117" t="s">
        <v>100</v>
      </c>
      <c r="C568" s="116">
        <v>247</v>
      </c>
      <c r="D568" s="120" t="s">
        <v>87</v>
      </c>
      <c r="E568" s="120" t="s">
        <v>1014</v>
      </c>
      <c r="F568" s="117" t="s">
        <v>933</v>
      </c>
      <c r="G568" s="281">
        <v>4</v>
      </c>
      <c r="H568" s="260">
        <v>3056</v>
      </c>
      <c r="I568" s="260">
        <v>12222</v>
      </c>
      <c r="J568" s="260">
        <v>0</v>
      </c>
      <c r="K568" s="260">
        <v>12222</v>
      </c>
      <c r="L568" s="260">
        <v>978</v>
      </c>
      <c r="M568" s="260">
        <v>13200</v>
      </c>
      <c r="N568" s="119">
        <v>2.0999999999999999E-3</v>
      </c>
      <c r="O568" s="462" t="s">
        <v>934</v>
      </c>
    </row>
    <row r="569" spans="1:15" ht="18" customHeight="1" x14ac:dyDescent="0.25">
      <c r="A569" s="116">
        <v>8</v>
      </c>
      <c r="B569" s="117" t="s">
        <v>100</v>
      </c>
      <c r="C569" s="116">
        <v>42</v>
      </c>
      <c r="D569" s="120" t="s">
        <v>87</v>
      </c>
      <c r="E569" s="120" t="s">
        <v>360</v>
      </c>
      <c r="F569" s="117" t="s">
        <v>933</v>
      </c>
      <c r="G569" s="281">
        <v>7</v>
      </c>
      <c r="H569" s="260">
        <v>32407</v>
      </c>
      <c r="I569" s="260">
        <v>226852</v>
      </c>
      <c r="J569" s="260">
        <v>0</v>
      </c>
      <c r="K569" s="260">
        <v>226852</v>
      </c>
      <c r="L569" s="260">
        <v>18148</v>
      </c>
      <c r="M569" s="260">
        <v>245000</v>
      </c>
      <c r="N569" s="119">
        <v>3.8300000000000001E-2</v>
      </c>
      <c r="O569" s="462" t="s">
        <v>934</v>
      </c>
    </row>
    <row r="570" spans="1:15" ht="18" customHeight="1" x14ac:dyDescent="0.25">
      <c r="A570" s="116">
        <v>8</v>
      </c>
      <c r="B570" s="117" t="s">
        <v>100</v>
      </c>
      <c r="C570" s="116">
        <v>44</v>
      </c>
      <c r="D570" s="120" t="s">
        <v>87</v>
      </c>
      <c r="E570" s="120" t="s">
        <v>138</v>
      </c>
      <c r="F570" s="117" t="s">
        <v>933</v>
      </c>
      <c r="G570" s="281">
        <v>1</v>
      </c>
      <c r="H570" s="260">
        <v>28241</v>
      </c>
      <c r="I570" s="260">
        <v>28241</v>
      </c>
      <c r="J570" s="260">
        <v>0</v>
      </c>
      <c r="K570" s="260">
        <v>28241</v>
      </c>
      <c r="L570" s="260">
        <v>2259</v>
      </c>
      <c r="M570" s="260">
        <v>30500</v>
      </c>
      <c r="N570" s="119">
        <v>4.7999999999999996E-3</v>
      </c>
      <c r="O570" s="462" t="s">
        <v>934</v>
      </c>
    </row>
    <row r="571" spans="1:15" ht="18" customHeight="1" x14ac:dyDescent="0.25">
      <c r="A571" s="116">
        <v>8</v>
      </c>
      <c r="B571" s="117" t="s">
        <v>100</v>
      </c>
      <c r="C571" s="116">
        <v>15</v>
      </c>
      <c r="D571" s="120" t="s">
        <v>87</v>
      </c>
      <c r="E571" s="120" t="s">
        <v>278</v>
      </c>
      <c r="F571" s="117" t="s">
        <v>933</v>
      </c>
      <c r="G571" s="281">
        <v>43</v>
      </c>
      <c r="H571" s="260">
        <v>18610</v>
      </c>
      <c r="I571" s="260">
        <v>801852</v>
      </c>
      <c r="J571" s="260">
        <v>1616</v>
      </c>
      <c r="K571" s="260">
        <v>800236</v>
      </c>
      <c r="L571" s="260">
        <v>64019</v>
      </c>
      <c r="M571" s="260">
        <v>864255</v>
      </c>
      <c r="N571" s="119">
        <v>0.13500000000000001</v>
      </c>
      <c r="O571" s="462" t="s">
        <v>934</v>
      </c>
    </row>
    <row r="572" spans="1:15" ht="18" customHeight="1" x14ac:dyDescent="0.25">
      <c r="A572" s="116">
        <v>8</v>
      </c>
      <c r="B572" s="117" t="s">
        <v>100</v>
      </c>
      <c r="C572" s="116">
        <v>110</v>
      </c>
      <c r="D572" s="120" t="s">
        <v>99</v>
      </c>
      <c r="E572" s="120" t="s">
        <v>949</v>
      </c>
      <c r="F572" s="117" t="s">
        <v>933</v>
      </c>
      <c r="G572" s="281">
        <v>7</v>
      </c>
      <c r="H572" s="260">
        <v>926</v>
      </c>
      <c r="I572" s="260">
        <v>6482</v>
      </c>
      <c r="J572" s="260">
        <v>0</v>
      </c>
      <c r="K572" s="260">
        <v>6482</v>
      </c>
      <c r="L572" s="260">
        <v>519</v>
      </c>
      <c r="M572" s="260">
        <v>7001</v>
      </c>
      <c r="N572" s="119">
        <v>1.1000000000000001E-3</v>
      </c>
      <c r="O572" s="462" t="s">
        <v>934</v>
      </c>
    </row>
    <row r="573" spans="1:15" ht="18" customHeight="1" x14ac:dyDescent="0.25">
      <c r="A573" s="116">
        <v>8</v>
      </c>
      <c r="B573" s="117" t="s">
        <v>100</v>
      </c>
      <c r="C573" s="116">
        <v>102</v>
      </c>
      <c r="D573" s="120" t="s">
        <v>87</v>
      </c>
      <c r="E573" s="120" t="s">
        <v>998</v>
      </c>
      <c r="F573" s="117" t="s">
        <v>933</v>
      </c>
      <c r="G573" s="281">
        <v>5</v>
      </c>
      <c r="H573" s="260">
        <v>6944</v>
      </c>
      <c r="I573" s="260">
        <v>34722</v>
      </c>
      <c r="J573" s="260">
        <v>0</v>
      </c>
      <c r="K573" s="260">
        <v>34722</v>
      </c>
      <c r="L573" s="260">
        <v>2778</v>
      </c>
      <c r="M573" s="260">
        <v>37500</v>
      </c>
      <c r="N573" s="119">
        <v>5.8999999999999999E-3</v>
      </c>
      <c r="O573" s="462" t="s">
        <v>934</v>
      </c>
    </row>
    <row r="574" spans="1:15" ht="18" customHeight="1" x14ac:dyDescent="0.25">
      <c r="A574" s="116">
        <v>8</v>
      </c>
      <c r="B574" s="117" t="s">
        <v>100</v>
      </c>
      <c r="C574" s="116">
        <v>26</v>
      </c>
      <c r="D574" s="120" t="s">
        <v>87</v>
      </c>
      <c r="E574" s="120" t="s">
        <v>1016</v>
      </c>
      <c r="F574" s="117" t="s">
        <v>933</v>
      </c>
      <c r="G574" s="281">
        <v>12</v>
      </c>
      <c r="H574" s="260">
        <v>18596</v>
      </c>
      <c r="I574" s="260">
        <v>223148</v>
      </c>
      <c r="J574" s="260">
        <v>0</v>
      </c>
      <c r="K574" s="260">
        <v>223148</v>
      </c>
      <c r="L574" s="260">
        <v>17852</v>
      </c>
      <c r="M574" s="260">
        <v>241000</v>
      </c>
      <c r="N574" s="119">
        <v>3.7599999999999988E-2</v>
      </c>
      <c r="O574" s="462" t="s">
        <v>934</v>
      </c>
    </row>
    <row r="575" spans="1:15" ht="18" customHeight="1" x14ac:dyDescent="0.25">
      <c r="A575" s="116">
        <v>8</v>
      </c>
      <c r="B575" s="117" t="s">
        <v>100</v>
      </c>
      <c r="C575" s="116">
        <v>45</v>
      </c>
      <c r="D575" s="120" t="s">
        <v>87</v>
      </c>
      <c r="E575" s="120" t="s">
        <v>950</v>
      </c>
      <c r="F575" s="117" t="s">
        <v>933</v>
      </c>
      <c r="G575" s="281">
        <v>1</v>
      </c>
      <c r="H575" s="260">
        <v>35648</v>
      </c>
      <c r="I575" s="260">
        <v>35648</v>
      </c>
      <c r="J575" s="260">
        <v>0</v>
      </c>
      <c r="K575" s="260">
        <v>35648</v>
      </c>
      <c r="L575" s="260">
        <v>2852</v>
      </c>
      <c r="M575" s="260">
        <v>38500</v>
      </c>
      <c r="N575" s="119">
        <v>6.0000000000000001E-3</v>
      </c>
      <c r="O575" s="462" t="s">
        <v>934</v>
      </c>
    </row>
    <row r="576" spans="1:15" ht="18" customHeight="1" x14ac:dyDescent="0.25">
      <c r="A576" s="116">
        <v>8</v>
      </c>
      <c r="B576" s="117" t="s">
        <v>100</v>
      </c>
      <c r="C576" s="116">
        <v>30</v>
      </c>
      <c r="D576" s="120" t="s">
        <v>95</v>
      </c>
      <c r="E576" s="120" t="s">
        <v>951</v>
      </c>
      <c r="F576" s="117" t="s">
        <v>933</v>
      </c>
      <c r="G576" s="281">
        <v>2</v>
      </c>
      <c r="H576" s="260">
        <v>6481</v>
      </c>
      <c r="I576" s="260">
        <v>12963</v>
      </c>
      <c r="J576" s="260">
        <v>0</v>
      </c>
      <c r="K576" s="260">
        <v>12963</v>
      </c>
      <c r="L576" s="260">
        <v>1037</v>
      </c>
      <c r="M576" s="260">
        <v>14000</v>
      </c>
      <c r="N576" s="119">
        <v>2.2000000000000001E-3</v>
      </c>
      <c r="O576" s="462" t="s">
        <v>934</v>
      </c>
    </row>
    <row r="577" spans="1:15" ht="18" customHeight="1" x14ac:dyDescent="0.25">
      <c r="A577" s="116">
        <v>8</v>
      </c>
      <c r="B577" s="117" t="s">
        <v>100</v>
      </c>
      <c r="C577" s="116">
        <v>94</v>
      </c>
      <c r="D577" s="120" t="s">
        <v>89</v>
      </c>
      <c r="E577" s="120" t="s">
        <v>150</v>
      </c>
      <c r="F577" s="117" t="s">
        <v>933</v>
      </c>
      <c r="G577" s="281">
        <v>21</v>
      </c>
      <c r="H577" s="260">
        <v>18621</v>
      </c>
      <c r="I577" s="260">
        <v>391667</v>
      </c>
      <c r="J577" s="260">
        <v>617</v>
      </c>
      <c r="K577" s="260">
        <v>391050</v>
      </c>
      <c r="L577" s="260">
        <v>31284</v>
      </c>
      <c r="M577" s="260">
        <v>422334</v>
      </c>
      <c r="N577" s="119">
        <v>6.6000000000000003E-2</v>
      </c>
      <c r="O577" s="462" t="s">
        <v>934</v>
      </c>
    </row>
    <row r="578" spans="1:15" ht="18" customHeight="1" x14ac:dyDescent="0.25">
      <c r="A578" s="116">
        <v>8</v>
      </c>
      <c r="B578" s="117" t="s">
        <v>100</v>
      </c>
      <c r="C578" s="116">
        <v>233</v>
      </c>
      <c r="D578" s="120" t="s">
        <v>89</v>
      </c>
      <c r="E578" s="120" t="s">
        <v>117</v>
      </c>
      <c r="F578" s="117" t="s">
        <v>933</v>
      </c>
      <c r="G578" s="281">
        <v>32</v>
      </c>
      <c r="H578" s="260">
        <v>18451</v>
      </c>
      <c r="I578" s="260">
        <v>596296</v>
      </c>
      <c r="J578" s="260">
        <v>5864</v>
      </c>
      <c r="K578" s="260">
        <v>590432</v>
      </c>
      <c r="L578" s="260">
        <v>47235</v>
      </c>
      <c r="M578" s="260">
        <v>637667</v>
      </c>
      <c r="N578" s="119">
        <v>9.9600000000000008E-2</v>
      </c>
      <c r="O578" s="462" t="s">
        <v>934</v>
      </c>
    </row>
    <row r="579" spans="1:15" ht="18" customHeight="1" x14ac:dyDescent="0.25">
      <c r="A579" s="116">
        <v>8</v>
      </c>
      <c r="B579" s="117" t="s">
        <v>100</v>
      </c>
      <c r="C579" s="116">
        <v>217</v>
      </c>
      <c r="D579" s="120" t="s">
        <v>89</v>
      </c>
      <c r="E579" s="120" t="s">
        <v>953</v>
      </c>
      <c r="F579" s="117" t="s">
        <v>933</v>
      </c>
      <c r="G579" s="281">
        <v>3</v>
      </c>
      <c r="H579" s="260">
        <v>27778</v>
      </c>
      <c r="I579" s="260">
        <v>83333</v>
      </c>
      <c r="J579" s="260">
        <v>0</v>
      </c>
      <c r="K579" s="260">
        <v>83333</v>
      </c>
      <c r="L579" s="260">
        <v>6667</v>
      </c>
      <c r="M579" s="260">
        <v>90000</v>
      </c>
      <c r="N579" s="119">
        <v>1.41E-2</v>
      </c>
      <c r="O579" s="462" t="s">
        <v>934</v>
      </c>
    </row>
    <row r="580" spans="1:15" ht="18" customHeight="1" x14ac:dyDescent="0.25">
      <c r="A580" s="116">
        <v>8</v>
      </c>
      <c r="B580" s="117" t="s">
        <v>100</v>
      </c>
      <c r="C580" s="116">
        <v>218</v>
      </c>
      <c r="D580" s="120" t="s">
        <v>89</v>
      </c>
      <c r="E580" s="120" t="s">
        <v>954</v>
      </c>
      <c r="F580" s="117" t="s">
        <v>933</v>
      </c>
      <c r="G580" s="281">
        <v>2</v>
      </c>
      <c r="H580" s="260">
        <v>17130</v>
      </c>
      <c r="I580" s="260">
        <v>37963</v>
      </c>
      <c r="J580" s="260">
        <v>3704</v>
      </c>
      <c r="K580" s="260">
        <v>34259</v>
      </c>
      <c r="L580" s="260">
        <v>2741</v>
      </c>
      <c r="M580" s="260">
        <v>37000</v>
      </c>
      <c r="N580" s="119">
        <v>5.7999999999999996E-3</v>
      </c>
      <c r="O580" s="462" t="s">
        <v>934</v>
      </c>
    </row>
    <row r="581" spans="1:15" ht="18" customHeight="1" x14ac:dyDescent="0.25">
      <c r="A581" s="116">
        <v>8</v>
      </c>
      <c r="B581" s="117" t="s">
        <v>100</v>
      </c>
      <c r="C581" s="116">
        <v>34</v>
      </c>
      <c r="D581" s="120" t="s">
        <v>91</v>
      </c>
      <c r="E581" s="120" t="s">
        <v>955</v>
      </c>
      <c r="F581" s="117" t="s">
        <v>933</v>
      </c>
      <c r="G581" s="281">
        <v>1</v>
      </c>
      <c r="H581" s="260">
        <v>6481</v>
      </c>
      <c r="I581" s="260">
        <v>6481</v>
      </c>
      <c r="J581" s="260">
        <v>0</v>
      </c>
      <c r="K581" s="260">
        <v>6481</v>
      </c>
      <c r="L581" s="260">
        <v>519</v>
      </c>
      <c r="M581" s="260">
        <v>7000</v>
      </c>
      <c r="N581" s="119">
        <v>1.1000000000000001E-3</v>
      </c>
      <c r="O581" s="462" t="s">
        <v>934</v>
      </c>
    </row>
    <row r="582" spans="1:15" ht="18" customHeight="1" x14ac:dyDescent="0.25">
      <c r="A582" s="116">
        <v>8</v>
      </c>
      <c r="B582" s="117" t="s">
        <v>100</v>
      </c>
      <c r="C582" s="116">
        <v>121</v>
      </c>
      <c r="D582" s="120" t="s">
        <v>91</v>
      </c>
      <c r="E582" s="120" t="s">
        <v>956</v>
      </c>
      <c r="F582" s="117" t="s">
        <v>933</v>
      </c>
      <c r="G582" s="281">
        <v>2</v>
      </c>
      <c r="H582" s="260">
        <v>2778</v>
      </c>
      <c r="I582" s="260">
        <v>5556</v>
      </c>
      <c r="J582" s="260">
        <v>0</v>
      </c>
      <c r="K582" s="260">
        <v>5556</v>
      </c>
      <c r="L582" s="260">
        <v>444</v>
      </c>
      <c r="M582" s="260">
        <v>6000</v>
      </c>
      <c r="N582" s="119">
        <v>8.9999999999999998E-4</v>
      </c>
      <c r="O582" s="462" t="s">
        <v>934</v>
      </c>
    </row>
    <row r="583" spans="1:15" ht="18" customHeight="1" x14ac:dyDescent="0.25">
      <c r="A583" s="116">
        <v>8</v>
      </c>
      <c r="B583" s="117" t="s">
        <v>100</v>
      </c>
      <c r="C583" s="116">
        <v>208</v>
      </c>
      <c r="D583" s="120" t="s">
        <v>91</v>
      </c>
      <c r="E583" s="120" t="s">
        <v>957</v>
      </c>
      <c r="F583" s="117" t="s">
        <v>933</v>
      </c>
      <c r="G583" s="281">
        <v>7</v>
      </c>
      <c r="H583" s="260">
        <v>3704</v>
      </c>
      <c r="I583" s="260">
        <v>25926</v>
      </c>
      <c r="J583" s="260">
        <v>0</v>
      </c>
      <c r="K583" s="260">
        <v>25926</v>
      </c>
      <c r="L583" s="260">
        <v>2074</v>
      </c>
      <c r="M583" s="260">
        <v>28000</v>
      </c>
      <c r="N583" s="119">
        <v>4.4000000000000003E-3</v>
      </c>
      <c r="O583" s="462" t="s">
        <v>934</v>
      </c>
    </row>
    <row r="584" spans="1:15" ht="18" customHeight="1" x14ac:dyDescent="0.25">
      <c r="A584" s="116">
        <v>8</v>
      </c>
      <c r="B584" s="117" t="s">
        <v>100</v>
      </c>
      <c r="C584" s="116">
        <v>90</v>
      </c>
      <c r="D584" s="120" t="s">
        <v>91</v>
      </c>
      <c r="E584" s="120" t="s">
        <v>487</v>
      </c>
      <c r="F584" s="117" t="s">
        <v>933</v>
      </c>
      <c r="G584" s="281">
        <v>0</v>
      </c>
      <c r="H584" s="260">
        <v>0</v>
      </c>
      <c r="I584" s="260">
        <v>0</v>
      </c>
      <c r="J584" s="260">
        <v>0</v>
      </c>
      <c r="K584" s="260">
        <v>0</v>
      </c>
      <c r="L584" s="260">
        <v>0</v>
      </c>
      <c r="M584" s="260">
        <v>0</v>
      </c>
      <c r="N584" s="119">
        <v>0</v>
      </c>
      <c r="O584" s="462" t="s">
        <v>934</v>
      </c>
    </row>
    <row r="585" spans="1:15" ht="18" customHeight="1" x14ac:dyDescent="0.25">
      <c r="A585" s="116">
        <v>8</v>
      </c>
      <c r="B585" s="117" t="s">
        <v>100</v>
      </c>
      <c r="C585" s="116">
        <v>31</v>
      </c>
      <c r="D585" s="120" t="s">
        <v>95</v>
      </c>
      <c r="E585" s="120" t="s">
        <v>959</v>
      </c>
      <c r="F585" s="117" t="s">
        <v>933</v>
      </c>
      <c r="G585" s="281">
        <v>11</v>
      </c>
      <c r="H585" s="260">
        <v>1192</v>
      </c>
      <c r="I585" s="260">
        <v>13241</v>
      </c>
      <c r="J585" s="260">
        <v>130</v>
      </c>
      <c r="K585" s="260">
        <v>13111</v>
      </c>
      <c r="L585" s="260">
        <v>1049</v>
      </c>
      <c r="M585" s="260">
        <v>14160</v>
      </c>
      <c r="N585" s="119">
        <v>2.2000000000000001E-3</v>
      </c>
      <c r="O585" s="462" t="s">
        <v>934</v>
      </c>
    </row>
    <row r="586" spans="1:15" ht="18" customHeight="1" x14ac:dyDescent="0.25">
      <c r="A586" s="116">
        <v>8</v>
      </c>
      <c r="B586" s="117" t="s">
        <v>100</v>
      </c>
      <c r="C586" s="116">
        <v>212</v>
      </c>
      <c r="D586" s="120" t="s">
        <v>91</v>
      </c>
      <c r="E586" s="120" t="s">
        <v>165</v>
      </c>
      <c r="F586" s="117" t="s">
        <v>933</v>
      </c>
      <c r="G586" s="281">
        <v>4</v>
      </c>
      <c r="H586" s="260">
        <v>22222</v>
      </c>
      <c r="I586" s="260">
        <v>88889</v>
      </c>
      <c r="J586" s="260">
        <v>0</v>
      </c>
      <c r="K586" s="260">
        <v>88889</v>
      </c>
      <c r="L586" s="260">
        <v>7111</v>
      </c>
      <c r="M586" s="260">
        <v>96000</v>
      </c>
      <c r="N586" s="119">
        <v>1.4999999999999999E-2</v>
      </c>
      <c r="O586" s="462" t="s">
        <v>934</v>
      </c>
    </row>
    <row r="587" spans="1:15" ht="18" customHeight="1" x14ac:dyDescent="0.25">
      <c r="A587" s="116">
        <v>8</v>
      </c>
      <c r="B587" s="117" t="s">
        <v>100</v>
      </c>
      <c r="C587" s="116">
        <v>74</v>
      </c>
      <c r="D587" s="120" t="s">
        <v>91</v>
      </c>
      <c r="E587" s="120" t="s">
        <v>1000</v>
      </c>
      <c r="F587" s="117" t="s">
        <v>933</v>
      </c>
      <c r="G587" s="281">
        <v>2</v>
      </c>
      <c r="H587" s="260">
        <v>6481</v>
      </c>
      <c r="I587" s="260">
        <v>12963</v>
      </c>
      <c r="J587" s="260">
        <v>0</v>
      </c>
      <c r="K587" s="260">
        <v>12963</v>
      </c>
      <c r="L587" s="260">
        <v>1037</v>
      </c>
      <c r="M587" s="260">
        <v>14000</v>
      </c>
      <c r="N587" s="119">
        <v>2.2000000000000001E-3</v>
      </c>
      <c r="O587" s="462" t="s">
        <v>934</v>
      </c>
    </row>
    <row r="588" spans="1:15" ht="18" customHeight="1" x14ac:dyDescent="0.25">
      <c r="A588" s="116">
        <v>8</v>
      </c>
      <c r="B588" s="117" t="s">
        <v>100</v>
      </c>
      <c r="C588" s="116">
        <v>235</v>
      </c>
      <c r="D588" s="120" t="s">
        <v>91</v>
      </c>
      <c r="E588" s="120" t="s">
        <v>1001</v>
      </c>
      <c r="F588" s="117" t="s">
        <v>933</v>
      </c>
      <c r="G588" s="281">
        <v>2</v>
      </c>
      <c r="H588" s="260">
        <v>3426</v>
      </c>
      <c r="I588" s="260">
        <v>6852</v>
      </c>
      <c r="J588" s="260">
        <v>0</v>
      </c>
      <c r="K588" s="260">
        <v>6852</v>
      </c>
      <c r="L588" s="260">
        <v>548</v>
      </c>
      <c r="M588" s="260">
        <v>7400</v>
      </c>
      <c r="N588" s="119">
        <v>1.1999999999999999E-3</v>
      </c>
      <c r="O588" s="462" t="s">
        <v>934</v>
      </c>
    </row>
    <row r="589" spans="1:15" ht="18" customHeight="1" x14ac:dyDescent="0.25">
      <c r="A589" s="116">
        <v>8</v>
      </c>
      <c r="B589" s="117" t="s">
        <v>100</v>
      </c>
      <c r="C589" s="116">
        <v>134</v>
      </c>
      <c r="D589" s="120" t="s">
        <v>91</v>
      </c>
      <c r="E589" s="120" t="s">
        <v>1017</v>
      </c>
      <c r="F589" s="117" t="s">
        <v>933</v>
      </c>
      <c r="G589" s="281">
        <v>1</v>
      </c>
      <c r="H589" s="260">
        <v>12963</v>
      </c>
      <c r="I589" s="260">
        <v>12963</v>
      </c>
      <c r="J589" s="260">
        <v>0</v>
      </c>
      <c r="K589" s="260">
        <v>12963</v>
      </c>
      <c r="L589" s="260">
        <v>1037</v>
      </c>
      <c r="M589" s="260">
        <v>14000</v>
      </c>
      <c r="N589" s="119">
        <v>2.2000000000000001E-3</v>
      </c>
      <c r="O589" s="462" t="s">
        <v>934</v>
      </c>
    </row>
    <row r="590" spans="1:15" ht="18" customHeight="1" x14ac:dyDescent="0.25">
      <c r="A590" s="116">
        <v>8</v>
      </c>
      <c r="B590" s="117" t="s">
        <v>100</v>
      </c>
      <c r="C590" s="116">
        <v>75</v>
      </c>
      <c r="D590" s="120" t="s">
        <v>91</v>
      </c>
      <c r="E590" s="120" t="s">
        <v>961</v>
      </c>
      <c r="F590" s="117" t="s">
        <v>933</v>
      </c>
      <c r="G590" s="281">
        <v>0</v>
      </c>
      <c r="H590" s="260">
        <v>0</v>
      </c>
      <c r="I590" s="260">
        <v>0</v>
      </c>
      <c r="J590" s="260">
        <v>0</v>
      </c>
      <c r="K590" s="260">
        <v>0</v>
      </c>
      <c r="L590" s="260">
        <v>0</v>
      </c>
      <c r="M590" s="260">
        <v>0</v>
      </c>
      <c r="N590" s="119">
        <v>0</v>
      </c>
      <c r="O590" s="462" t="s">
        <v>934</v>
      </c>
    </row>
    <row r="591" spans="1:15" ht="18" customHeight="1" x14ac:dyDescent="0.25">
      <c r="A591" s="116">
        <v>8</v>
      </c>
      <c r="B591" s="117" t="s">
        <v>100</v>
      </c>
      <c r="C591" s="116">
        <v>118</v>
      </c>
      <c r="D591" s="120" t="s">
        <v>87</v>
      </c>
      <c r="E591" s="120" t="s">
        <v>126</v>
      </c>
      <c r="F591" s="117" t="s">
        <v>933</v>
      </c>
      <c r="G591" s="281">
        <v>5</v>
      </c>
      <c r="H591" s="260">
        <v>41667</v>
      </c>
      <c r="I591" s="260">
        <v>208333</v>
      </c>
      <c r="J591" s="260">
        <v>0</v>
      </c>
      <c r="K591" s="260">
        <v>208333</v>
      </c>
      <c r="L591" s="260">
        <v>16667</v>
      </c>
      <c r="M591" s="260">
        <v>225000</v>
      </c>
      <c r="N591" s="119">
        <v>3.5099999999999999E-2</v>
      </c>
      <c r="O591" s="462" t="s">
        <v>934</v>
      </c>
    </row>
    <row r="592" spans="1:15" ht="18" customHeight="1" x14ac:dyDescent="0.25">
      <c r="A592" s="116">
        <v>8</v>
      </c>
      <c r="B592" s="117" t="s">
        <v>100</v>
      </c>
      <c r="C592" s="116">
        <v>109</v>
      </c>
      <c r="D592" s="120" t="s">
        <v>91</v>
      </c>
      <c r="E592" s="120" t="s">
        <v>147</v>
      </c>
      <c r="F592" s="117" t="s">
        <v>933</v>
      </c>
      <c r="G592" s="281">
        <v>13</v>
      </c>
      <c r="H592" s="260">
        <v>12963</v>
      </c>
      <c r="I592" s="260">
        <v>168519</v>
      </c>
      <c r="J592" s="260">
        <v>0</v>
      </c>
      <c r="K592" s="260">
        <v>168519</v>
      </c>
      <c r="L592" s="260">
        <v>13482</v>
      </c>
      <c r="M592" s="260">
        <v>182001</v>
      </c>
      <c r="N592" s="119">
        <v>2.8400000000000002E-2</v>
      </c>
      <c r="O592" s="462" t="s">
        <v>934</v>
      </c>
    </row>
    <row r="593" spans="1:15" ht="18" customHeight="1" x14ac:dyDescent="0.25">
      <c r="A593" s="116">
        <v>8</v>
      </c>
      <c r="B593" s="117" t="s">
        <v>100</v>
      </c>
      <c r="C593" s="116">
        <v>147</v>
      </c>
      <c r="D593" s="120" t="s">
        <v>91</v>
      </c>
      <c r="E593" s="120" t="s">
        <v>963</v>
      </c>
      <c r="F593" s="117" t="s">
        <v>933</v>
      </c>
      <c r="G593" s="281">
        <v>1</v>
      </c>
      <c r="H593" s="260">
        <v>6481</v>
      </c>
      <c r="I593" s="260">
        <v>6481</v>
      </c>
      <c r="J593" s="260">
        <v>0</v>
      </c>
      <c r="K593" s="260">
        <v>6481</v>
      </c>
      <c r="L593" s="260">
        <v>519</v>
      </c>
      <c r="M593" s="260">
        <v>7000</v>
      </c>
      <c r="N593" s="119">
        <v>1.1000000000000001E-3</v>
      </c>
      <c r="O593" s="462" t="s">
        <v>934</v>
      </c>
    </row>
    <row r="594" spans="1:15" ht="18" customHeight="1" x14ac:dyDescent="0.25">
      <c r="A594" s="116">
        <v>8</v>
      </c>
      <c r="B594" s="117" t="s">
        <v>100</v>
      </c>
      <c r="C594" s="116">
        <v>46</v>
      </c>
      <c r="D594" s="120" t="s">
        <v>87</v>
      </c>
      <c r="E594" s="120" t="s">
        <v>964</v>
      </c>
      <c r="F594" s="117" t="s">
        <v>933</v>
      </c>
      <c r="G594" s="281">
        <v>2</v>
      </c>
      <c r="H594" s="260">
        <v>35648</v>
      </c>
      <c r="I594" s="260">
        <v>71296</v>
      </c>
      <c r="J594" s="260">
        <v>0</v>
      </c>
      <c r="K594" s="260">
        <v>71296</v>
      </c>
      <c r="L594" s="260">
        <v>5704</v>
      </c>
      <c r="M594" s="260">
        <v>77000</v>
      </c>
      <c r="N594" s="119">
        <v>1.2E-2</v>
      </c>
      <c r="O594" s="462" t="s">
        <v>934</v>
      </c>
    </row>
    <row r="595" spans="1:15" ht="18" customHeight="1" x14ac:dyDescent="0.25">
      <c r="A595" s="116">
        <v>8</v>
      </c>
      <c r="B595" s="117" t="s">
        <v>100</v>
      </c>
      <c r="C595" s="116">
        <v>35</v>
      </c>
      <c r="D595" s="120" t="s">
        <v>87</v>
      </c>
      <c r="E595" s="120" t="s">
        <v>1003</v>
      </c>
      <c r="F595" s="117" t="s">
        <v>933</v>
      </c>
      <c r="G595" s="281">
        <v>1</v>
      </c>
      <c r="H595" s="260">
        <v>7407</v>
      </c>
      <c r="I595" s="260">
        <v>7407</v>
      </c>
      <c r="J595" s="260">
        <v>0</v>
      </c>
      <c r="K595" s="260">
        <v>7407</v>
      </c>
      <c r="L595" s="260">
        <v>593</v>
      </c>
      <c r="M595" s="260">
        <v>8000</v>
      </c>
      <c r="N595" s="119">
        <v>1.1999999999999999E-3</v>
      </c>
      <c r="O595" s="462" t="s">
        <v>934</v>
      </c>
    </row>
    <row r="596" spans="1:15" ht="18" customHeight="1" x14ac:dyDescent="0.25">
      <c r="A596" s="116">
        <v>8</v>
      </c>
      <c r="B596" s="117" t="s">
        <v>100</v>
      </c>
      <c r="C596" s="116">
        <v>18</v>
      </c>
      <c r="D596" s="120" t="s">
        <v>87</v>
      </c>
      <c r="E596" s="120" t="s">
        <v>302</v>
      </c>
      <c r="F596" s="117" t="s">
        <v>933</v>
      </c>
      <c r="G596" s="281">
        <v>31</v>
      </c>
      <c r="H596" s="260">
        <v>18598</v>
      </c>
      <c r="I596" s="260">
        <v>576852</v>
      </c>
      <c r="J596" s="260">
        <v>309</v>
      </c>
      <c r="K596" s="260">
        <v>576543</v>
      </c>
      <c r="L596" s="260">
        <v>46123</v>
      </c>
      <c r="M596" s="260">
        <v>622666</v>
      </c>
      <c r="N596" s="119">
        <v>9.7299999999999998E-2</v>
      </c>
      <c r="O596" s="462" t="s">
        <v>934</v>
      </c>
    </row>
    <row r="597" spans="1:15" ht="18" customHeight="1" x14ac:dyDescent="0.25">
      <c r="A597" s="116">
        <v>8</v>
      </c>
      <c r="B597" s="117" t="s">
        <v>100</v>
      </c>
      <c r="C597" s="116">
        <v>101</v>
      </c>
      <c r="D597" s="120" t="s">
        <v>87</v>
      </c>
      <c r="E597" s="120" t="s">
        <v>967</v>
      </c>
      <c r="F597" s="117" t="s">
        <v>933</v>
      </c>
      <c r="G597" s="281">
        <v>1</v>
      </c>
      <c r="H597" s="260">
        <v>2315</v>
      </c>
      <c r="I597" s="260">
        <v>2315</v>
      </c>
      <c r="J597" s="260">
        <v>0</v>
      </c>
      <c r="K597" s="260">
        <v>2315</v>
      </c>
      <c r="L597" s="260">
        <v>185</v>
      </c>
      <c r="M597" s="260">
        <v>2500</v>
      </c>
      <c r="N597" s="119">
        <v>4.0000000000000002E-4</v>
      </c>
      <c r="O597" s="462" t="s">
        <v>934</v>
      </c>
    </row>
    <row r="598" spans="1:15" ht="18" customHeight="1" x14ac:dyDescent="0.25">
      <c r="A598" s="116">
        <v>8</v>
      </c>
      <c r="B598" s="117" t="s">
        <v>100</v>
      </c>
      <c r="C598" s="116">
        <v>93</v>
      </c>
      <c r="D598" s="120" t="s">
        <v>89</v>
      </c>
      <c r="E598" s="120" t="s">
        <v>123</v>
      </c>
      <c r="F598" s="117" t="s">
        <v>933</v>
      </c>
      <c r="G598" s="281">
        <v>2</v>
      </c>
      <c r="H598" s="260">
        <v>20370</v>
      </c>
      <c r="I598" s="260">
        <v>40741</v>
      </c>
      <c r="J598" s="260">
        <v>0</v>
      </c>
      <c r="K598" s="260">
        <v>40741</v>
      </c>
      <c r="L598" s="260">
        <v>3259</v>
      </c>
      <c r="M598" s="260">
        <v>44000</v>
      </c>
      <c r="N598" s="119">
        <v>6.8999999999999999E-3</v>
      </c>
      <c r="O598" s="462" t="s">
        <v>934</v>
      </c>
    </row>
    <row r="599" spans="1:15" ht="18" customHeight="1" x14ac:dyDescent="0.25">
      <c r="A599" s="116">
        <v>8</v>
      </c>
      <c r="B599" s="117" t="s">
        <v>100</v>
      </c>
      <c r="C599" s="116">
        <v>119</v>
      </c>
      <c r="D599" s="120" t="s">
        <v>89</v>
      </c>
      <c r="E599" s="120" t="s">
        <v>114</v>
      </c>
      <c r="F599" s="117" t="s">
        <v>933</v>
      </c>
      <c r="G599" s="281">
        <v>2</v>
      </c>
      <c r="H599" s="260">
        <v>44444</v>
      </c>
      <c r="I599" s="260">
        <v>88889</v>
      </c>
      <c r="J599" s="260">
        <v>0</v>
      </c>
      <c r="K599" s="260">
        <v>88889</v>
      </c>
      <c r="L599" s="260">
        <v>7111</v>
      </c>
      <c r="M599" s="260">
        <v>96000</v>
      </c>
      <c r="N599" s="119">
        <v>1.4999999999999999E-2</v>
      </c>
      <c r="O599" s="462" t="s">
        <v>934</v>
      </c>
    </row>
    <row r="600" spans="1:15" ht="18" customHeight="1" x14ac:dyDescent="0.25">
      <c r="A600" s="116">
        <v>8</v>
      </c>
      <c r="B600" s="117" t="s">
        <v>100</v>
      </c>
      <c r="C600" s="116">
        <v>47</v>
      </c>
      <c r="D600" s="120" t="s">
        <v>87</v>
      </c>
      <c r="E600" s="120" t="s">
        <v>1040</v>
      </c>
      <c r="F600" s="117" t="s">
        <v>933</v>
      </c>
      <c r="G600" s="281">
        <v>1</v>
      </c>
      <c r="H600" s="260">
        <v>64815</v>
      </c>
      <c r="I600" s="260">
        <v>64815</v>
      </c>
      <c r="J600" s="260">
        <v>0</v>
      </c>
      <c r="K600" s="260">
        <v>64815</v>
      </c>
      <c r="L600" s="260">
        <v>5185</v>
      </c>
      <c r="M600" s="260">
        <v>70000</v>
      </c>
      <c r="N600" s="119">
        <v>1.09E-2</v>
      </c>
      <c r="O600" s="462" t="s">
        <v>934</v>
      </c>
    </row>
    <row r="601" spans="1:15" ht="18" customHeight="1" x14ac:dyDescent="0.25">
      <c r="A601" s="116">
        <v>8</v>
      </c>
      <c r="B601" s="117" t="s">
        <v>100</v>
      </c>
      <c r="C601" s="116">
        <v>77</v>
      </c>
      <c r="D601" s="120" t="s">
        <v>87</v>
      </c>
      <c r="E601" s="120" t="s">
        <v>969</v>
      </c>
      <c r="F601" s="117" t="s">
        <v>933</v>
      </c>
      <c r="G601" s="281">
        <v>2</v>
      </c>
      <c r="H601" s="260">
        <v>2778</v>
      </c>
      <c r="I601" s="260">
        <v>5556</v>
      </c>
      <c r="J601" s="260">
        <v>0</v>
      </c>
      <c r="K601" s="260">
        <v>5556</v>
      </c>
      <c r="L601" s="260">
        <v>444</v>
      </c>
      <c r="M601" s="260">
        <v>6000</v>
      </c>
      <c r="N601" s="119">
        <v>8.9999999999999998E-4</v>
      </c>
      <c r="O601" s="462" t="s">
        <v>934</v>
      </c>
    </row>
    <row r="602" spans="1:15" ht="18" customHeight="1" x14ac:dyDescent="0.25">
      <c r="A602" s="116">
        <v>8</v>
      </c>
      <c r="B602" s="117" t="s">
        <v>100</v>
      </c>
      <c r="C602" s="116">
        <v>86</v>
      </c>
      <c r="D602" s="120" t="s">
        <v>95</v>
      </c>
      <c r="E602" s="120" t="s">
        <v>972</v>
      </c>
      <c r="F602" s="117" t="s">
        <v>933</v>
      </c>
      <c r="G602" s="281">
        <v>18</v>
      </c>
      <c r="H602" s="260">
        <v>3189</v>
      </c>
      <c r="I602" s="260">
        <v>58333</v>
      </c>
      <c r="J602" s="260">
        <v>926</v>
      </c>
      <c r="K602" s="260">
        <v>57407</v>
      </c>
      <c r="L602" s="260">
        <v>4593</v>
      </c>
      <c r="M602" s="260">
        <v>62000</v>
      </c>
      <c r="N602" s="119">
        <v>9.7000000000000003E-3</v>
      </c>
      <c r="O602" s="462" t="s">
        <v>934</v>
      </c>
    </row>
    <row r="603" spans="1:15" ht="18" customHeight="1" x14ac:dyDescent="0.25">
      <c r="A603" s="116">
        <v>8</v>
      </c>
      <c r="B603" s="117" t="s">
        <v>100</v>
      </c>
      <c r="C603" s="116">
        <v>80</v>
      </c>
      <c r="D603" s="120" t="s">
        <v>95</v>
      </c>
      <c r="E603" s="120" t="s">
        <v>973</v>
      </c>
      <c r="F603" s="117" t="s">
        <v>933</v>
      </c>
      <c r="G603" s="281">
        <v>1</v>
      </c>
      <c r="H603" s="260">
        <v>6481</v>
      </c>
      <c r="I603" s="260">
        <v>6481</v>
      </c>
      <c r="J603" s="260">
        <v>0</v>
      </c>
      <c r="K603" s="260">
        <v>6481</v>
      </c>
      <c r="L603" s="260">
        <v>519</v>
      </c>
      <c r="M603" s="260">
        <v>7000</v>
      </c>
      <c r="N603" s="119">
        <v>1.1000000000000001E-3</v>
      </c>
      <c r="O603" s="462" t="s">
        <v>934</v>
      </c>
    </row>
    <row r="604" spans="1:15" ht="18" customHeight="1" x14ac:dyDescent="0.25">
      <c r="A604" s="116">
        <v>8</v>
      </c>
      <c r="B604" s="117" t="s">
        <v>100</v>
      </c>
      <c r="C604" s="116">
        <v>169</v>
      </c>
      <c r="D604" s="120" t="s">
        <v>95</v>
      </c>
      <c r="E604" s="120" t="s">
        <v>974</v>
      </c>
      <c r="F604" s="117" t="s">
        <v>933</v>
      </c>
      <c r="G604" s="281">
        <v>10</v>
      </c>
      <c r="H604" s="260">
        <v>6481</v>
      </c>
      <c r="I604" s="260">
        <v>64815</v>
      </c>
      <c r="J604" s="260">
        <v>0</v>
      </c>
      <c r="K604" s="260">
        <v>64815</v>
      </c>
      <c r="L604" s="260">
        <v>5185</v>
      </c>
      <c r="M604" s="260">
        <v>70000</v>
      </c>
      <c r="N604" s="119">
        <v>1.09E-2</v>
      </c>
      <c r="O604" s="462" t="s">
        <v>934</v>
      </c>
    </row>
    <row r="605" spans="1:15" ht="18" customHeight="1" x14ac:dyDescent="0.25">
      <c r="A605" s="116">
        <v>8</v>
      </c>
      <c r="B605" s="117" t="s">
        <v>100</v>
      </c>
      <c r="C605" s="116">
        <v>79</v>
      </c>
      <c r="D605" s="120" t="s">
        <v>95</v>
      </c>
      <c r="E605" s="120" t="s">
        <v>975</v>
      </c>
      <c r="F605" s="117" t="s">
        <v>933</v>
      </c>
      <c r="G605" s="281">
        <v>5</v>
      </c>
      <c r="H605" s="260">
        <v>6412</v>
      </c>
      <c r="I605" s="260">
        <v>32407</v>
      </c>
      <c r="J605" s="260">
        <v>349</v>
      </c>
      <c r="K605" s="260">
        <v>32058</v>
      </c>
      <c r="L605" s="260">
        <v>2565</v>
      </c>
      <c r="M605" s="260">
        <v>34623</v>
      </c>
      <c r="N605" s="119">
        <v>5.4000000000000003E-3</v>
      </c>
      <c r="O605" s="462" t="s">
        <v>934</v>
      </c>
    </row>
    <row r="606" spans="1:15" ht="18" customHeight="1" x14ac:dyDescent="0.25">
      <c r="A606" s="116">
        <v>8</v>
      </c>
      <c r="B606" s="117" t="s">
        <v>100</v>
      </c>
      <c r="C606" s="116">
        <v>82</v>
      </c>
      <c r="D606" s="120" t="s">
        <v>95</v>
      </c>
      <c r="E606" s="120" t="s">
        <v>1005</v>
      </c>
      <c r="F606" s="117" t="s">
        <v>933</v>
      </c>
      <c r="G606" s="281">
        <v>7</v>
      </c>
      <c r="H606" s="260">
        <v>6481</v>
      </c>
      <c r="I606" s="260">
        <v>45370</v>
      </c>
      <c r="J606" s="260">
        <v>0</v>
      </c>
      <c r="K606" s="260">
        <v>45370</v>
      </c>
      <c r="L606" s="260">
        <v>3630</v>
      </c>
      <c r="M606" s="260">
        <v>49000</v>
      </c>
      <c r="N606" s="119">
        <v>7.7000000000000002E-3</v>
      </c>
      <c r="O606" s="462" t="s">
        <v>934</v>
      </c>
    </row>
    <row r="607" spans="1:15" ht="18" customHeight="1" x14ac:dyDescent="0.25">
      <c r="A607" s="116">
        <v>8</v>
      </c>
      <c r="B607" s="117" t="s">
        <v>100</v>
      </c>
      <c r="C607" s="116">
        <v>62</v>
      </c>
      <c r="D607" s="120" t="s">
        <v>95</v>
      </c>
      <c r="E607" s="120" t="s">
        <v>976</v>
      </c>
      <c r="F607" s="117" t="s">
        <v>933</v>
      </c>
      <c r="G607" s="281">
        <v>8</v>
      </c>
      <c r="H607" s="260">
        <v>6898</v>
      </c>
      <c r="I607" s="260">
        <v>55556</v>
      </c>
      <c r="J607" s="260">
        <v>374</v>
      </c>
      <c r="K607" s="260">
        <v>55182</v>
      </c>
      <c r="L607" s="260">
        <v>4415</v>
      </c>
      <c r="M607" s="260">
        <v>59597</v>
      </c>
      <c r="N607" s="119">
        <v>9.300000000000001E-3</v>
      </c>
      <c r="O607" s="462" t="s">
        <v>934</v>
      </c>
    </row>
    <row r="608" spans="1:15" ht="18" customHeight="1" x14ac:dyDescent="0.25">
      <c r="A608" s="116">
        <v>8</v>
      </c>
      <c r="B608" s="117" t="s">
        <v>100</v>
      </c>
      <c r="C608" s="116">
        <v>137</v>
      </c>
      <c r="D608" s="120" t="s">
        <v>95</v>
      </c>
      <c r="E608" s="120" t="s">
        <v>1006</v>
      </c>
      <c r="F608" s="117" t="s">
        <v>933</v>
      </c>
      <c r="G608" s="281">
        <v>13</v>
      </c>
      <c r="H608" s="260">
        <v>6481</v>
      </c>
      <c r="I608" s="260">
        <v>84259</v>
      </c>
      <c r="J608" s="260">
        <v>0</v>
      </c>
      <c r="K608" s="260">
        <v>84259</v>
      </c>
      <c r="L608" s="260">
        <v>6741</v>
      </c>
      <c r="M608" s="260">
        <v>91000</v>
      </c>
      <c r="N608" s="119">
        <v>1.4200000000000001E-2</v>
      </c>
      <c r="O608" s="462" t="s">
        <v>934</v>
      </c>
    </row>
    <row r="609" spans="1:15" ht="18" customHeight="1" x14ac:dyDescent="0.25">
      <c r="A609" s="116">
        <v>8</v>
      </c>
      <c r="B609" s="117" t="s">
        <v>100</v>
      </c>
      <c r="C609" s="116">
        <v>219</v>
      </c>
      <c r="D609" s="120" t="s">
        <v>87</v>
      </c>
      <c r="E609" s="120" t="s">
        <v>153</v>
      </c>
      <c r="F609" s="117" t="s">
        <v>933</v>
      </c>
      <c r="G609" s="281">
        <v>1</v>
      </c>
      <c r="H609" s="260">
        <v>69444</v>
      </c>
      <c r="I609" s="260">
        <v>69444</v>
      </c>
      <c r="J609" s="260">
        <v>0</v>
      </c>
      <c r="K609" s="260">
        <v>69444</v>
      </c>
      <c r="L609" s="260">
        <v>5556</v>
      </c>
      <c r="M609" s="260">
        <v>75000</v>
      </c>
      <c r="N609" s="119">
        <v>1.17E-2</v>
      </c>
      <c r="O609" s="462" t="s">
        <v>934</v>
      </c>
    </row>
    <row r="610" spans="1:15" ht="18" customHeight="1" x14ac:dyDescent="0.25">
      <c r="A610" s="116">
        <v>8</v>
      </c>
      <c r="B610" s="117" t="s">
        <v>100</v>
      </c>
      <c r="C610" s="116">
        <v>222</v>
      </c>
      <c r="D610" s="120" t="s">
        <v>93</v>
      </c>
      <c r="E610" s="120" t="s">
        <v>981</v>
      </c>
      <c r="F610" s="117" t="s">
        <v>933</v>
      </c>
      <c r="G610" s="281">
        <v>1</v>
      </c>
      <c r="H610" s="260">
        <v>63426</v>
      </c>
      <c r="I610" s="260">
        <v>63426</v>
      </c>
      <c r="J610" s="260">
        <v>0</v>
      </c>
      <c r="K610" s="260">
        <v>63426</v>
      </c>
      <c r="L610" s="260">
        <v>5074</v>
      </c>
      <c r="M610" s="260">
        <v>68500</v>
      </c>
      <c r="N610" s="119">
        <v>1.0699999999999999E-2</v>
      </c>
      <c r="O610" s="462" t="s">
        <v>934</v>
      </c>
    </row>
    <row r="611" spans="1:15" ht="18" customHeight="1" x14ac:dyDescent="0.25">
      <c r="A611" s="116">
        <v>8</v>
      </c>
      <c r="B611" s="117" t="s">
        <v>100</v>
      </c>
      <c r="C611" s="116">
        <v>129</v>
      </c>
      <c r="D611" s="120" t="s">
        <v>93</v>
      </c>
      <c r="E611" s="120" t="s">
        <v>983</v>
      </c>
      <c r="F611" s="117" t="s">
        <v>933</v>
      </c>
      <c r="G611" s="281">
        <v>1</v>
      </c>
      <c r="H611" s="260">
        <v>44444</v>
      </c>
      <c r="I611" s="260">
        <v>44444</v>
      </c>
      <c r="J611" s="260">
        <v>0</v>
      </c>
      <c r="K611" s="260">
        <v>44444</v>
      </c>
      <c r="L611" s="260">
        <v>3556</v>
      </c>
      <c r="M611" s="260">
        <v>48000</v>
      </c>
      <c r="N611" s="119">
        <v>7.4999999999999997E-3</v>
      </c>
      <c r="O611" s="462" t="s">
        <v>934</v>
      </c>
    </row>
    <row r="612" spans="1:15" ht="18" customHeight="1" x14ac:dyDescent="0.25">
      <c r="A612" s="116">
        <v>8</v>
      </c>
      <c r="B612" s="117" t="s">
        <v>100</v>
      </c>
      <c r="C612" s="116">
        <v>117</v>
      </c>
      <c r="D612" s="120" t="s">
        <v>87</v>
      </c>
      <c r="E612" s="120" t="s">
        <v>120</v>
      </c>
      <c r="F612" s="117" t="s">
        <v>933</v>
      </c>
      <c r="G612" s="281">
        <v>2</v>
      </c>
      <c r="H612" s="260">
        <v>41667</v>
      </c>
      <c r="I612" s="260">
        <v>83333</v>
      </c>
      <c r="J612" s="260">
        <v>0</v>
      </c>
      <c r="K612" s="260">
        <v>83333</v>
      </c>
      <c r="L612" s="260">
        <v>6667</v>
      </c>
      <c r="M612" s="260">
        <v>90000</v>
      </c>
      <c r="N612" s="119">
        <v>1.41E-2</v>
      </c>
      <c r="O612" s="462" t="s">
        <v>934</v>
      </c>
    </row>
    <row r="613" spans="1:15" ht="18" customHeight="1" x14ac:dyDescent="0.25">
      <c r="A613" s="116">
        <v>8</v>
      </c>
      <c r="B613" s="117" t="s">
        <v>100</v>
      </c>
      <c r="C613" s="116">
        <v>36</v>
      </c>
      <c r="D613" s="120" t="s">
        <v>91</v>
      </c>
      <c r="E613" s="120" t="s">
        <v>984</v>
      </c>
      <c r="F613" s="117" t="s">
        <v>933</v>
      </c>
      <c r="G613" s="281">
        <v>1</v>
      </c>
      <c r="H613" s="260">
        <v>3704</v>
      </c>
      <c r="I613" s="260">
        <v>3704</v>
      </c>
      <c r="J613" s="260">
        <v>0</v>
      </c>
      <c r="K613" s="260">
        <v>3704</v>
      </c>
      <c r="L613" s="260">
        <v>296</v>
      </c>
      <c r="M613" s="260">
        <v>4000</v>
      </c>
      <c r="N613" s="119">
        <v>5.9999999999999995E-4</v>
      </c>
      <c r="O613" s="462" t="s">
        <v>934</v>
      </c>
    </row>
    <row r="614" spans="1:15" ht="18" customHeight="1" x14ac:dyDescent="0.25">
      <c r="A614" s="116">
        <v>8</v>
      </c>
      <c r="B614" s="117" t="s">
        <v>100</v>
      </c>
      <c r="C614" s="116">
        <v>61</v>
      </c>
      <c r="D614" s="120" t="s">
        <v>97</v>
      </c>
      <c r="E614" s="120" t="s">
        <v>985</v>
      </c>
      <c r="F614" s="117" t="s">
        <v>933</v>
      </c>
      <c r="G614" s="281">
        <v>11</v>
      </c>
      <c r="H614" s="260">
        <v>4630</v>
      </c>
      <c r="I614" s="260">
        <v>50926</v>
      </c>
      <c r="J614" s="260">
        <v>0</v>
      </c>
      <c r="K614" s="260">
        <v>50926</v>
      </c>
      <c r="L614" s="260">
        <v>4074</v>
      </c>
      <c r="M614" s="260">
        <v>55000</v>
      </c>
      <c r="N614" s="119">
        <v>8.6E-3</v>
      </c>
      <c r="O614" s="462" t="s">
        <v>934</v>
      </c>
    </row>
    <row r="615" spans="1:15" ht="18" customHeight="1" x14ac:dyDescent="0.25">
      <c r="A615" s="116">
        <v>8</v>
      </c>
      <c r="B615" s="117" t="s">
        <v>100</v>
      </c>
      <c r="C615" s="116">
        <v>215</v>
      </c>
      <c r="D615" s="120" t="s">
        <v>87</v>
      </c>
      <c r="E615" s="120" t="s">
        <v>132</v>
      </c>
      <c r="F615" s="117" t="s">
        <v>933</v>
      </c>
      <c r="G615" s="281">
        <v>2</v>
      </c>
      <c r="H615" s="260">
        <v>37500</v>
      </c>
      <c r="I615" s="260">
        <v>75000</v>
      </c>
      <c r="J615" s="260">
        <v>0</v>
      </c>
      <c r="K615" s="260">
        <v>75000</v>
      </c>
      <c r="L615" s="260">
        <v>6000</v>
      </c>
      <c r="M615" s="260">
        <v>81000</v>
      </c>
      <c r="N615" s="119">
        <v>1.2699999999999999E-2</v>
      </c>
      <c r="O615" s="462" t="s">
        <v>934</v>
      </c>
    </row>
    <row r="616" spans="1:15" ht="18" customHeight="1" x14ac:dyDescent="0.25">
      <c r="A616" s="116">
        <v>8</v>
      </c>
      <c r="B616" s="117" t="s">
        <v>100</v>
      </c>
      <c r="C616" s="116">
        <v>315</v>
      </c>
      <c r="D616" s="120" t="s">
        <v>87</v>
      </c>
      <c r="E616" s="120" t="s">
        <v>1008</v>
      </c>
      <c r="F616" s="117" t="s">
        <v>933</v>
      </c>
      <c r="G616" s="281">
        <v>1</v>
      </c>
      <c r="H616" s="260">
        <v>1852</v>
      </c>
      <c r="I616" s="260">
        <v>1852</v>
      </c>
      <c r="J616" s="260">
        <v>0</v>
      </c>
      <c r="K616" s="260">
        <v>1852</v>
      </c>
      <c r="L616" s="260">
        <v>148</v>
      </c>
      <c r="M616" s="260">
        <v>2000</v>
      </c>
      <c r="N616" s="119">
        <v>2.9999999999999997E-4</v>
      </c>
      <c r="O616" s="462" t="s">
        <v>934</v>
      </c>
    </row>
    <row r="617" spans="1:15" ht="18" customHeight="1" x14ac:dyDescent="0.25">
      <c r="A617" s="116">
        <v>8</v>
      </c>
      <c r="B617" s="117" t="s">
        <v>100</v>
      </c>
      <c r="C617" s="116">
        <v>33</v>
      </c>
      <c r="D617" s="120" t="s">
        <v>91</v>
      </c>
      <c r="E617" s="120" t="s">
        <v>987</v>
      </c>
      <c r="F617" s="117" t="s">
        <v>933</v>
      </c>
      <c r="G617" s="281">
        <v>3</v>
      </c>
      <c r="H617" s="260">
        <v>1852</v>
      </c>
      <c r="I617" s="260">
        <v>5556</v>
      </c>
      <c r="J617" s="260">
        <v>0</v>
      </c>
      <c r="K617" s="260">
        <v>5556</v>
      </c>
      <c r="L617" s="260">
        <v>444</v>
      </c>
      <c r="M617" s="260">
        <v>6000</v>
      </c>
      <c r="N617" s="119">
        <v>8.9999999999999998E-4</v>
      </c>
      <c r="O617" s="462" t="s">
        <v>934</v>
      </c>
    </row>
    <row r="618" spans="1:15" ht="18" customHeight="1" x14ac:dyDescent="0.25">
      <c r="A618" s="116">
        <v>8</v>
      </c>
      <c r="B618" s="117" t="s">
        <v>100</v>
      </c>
      <c r="C618" s="116">
        <v>39</v>
      </c>
      <c r="D618" s="120" t="s">
        <v>91</v>
      </c>
      <c r="E618" s="120" t="s">
        <v>1011</v>
      </c>
      <c r="F618" s="117" t="s">
        <v>933</v>
      </c>
      <c r="G618" s="281">
        <v>1</v>
      </c>
      <c r="H618" s="260">
        <v>3333</v>
      </c>
      <c r="I618" s="260">
        <v>3333</v>
      </c>
      <c r="J618" s="260">
        <v>0</v>
      </c>
      <c r="K618" s="260">
        <v>3333</v>
      </c>
      <c r="L618" s="260">
        <v>267</v>
      </c>
      <c r="M618" s="260">
        <v>3600</v>
      </c>
      <c r="N618" s="119">
        <v>5.9999999999999995E-4</v>
      </c>
      <c r="O618" s="462" t="s">
        <v>934</v>
      </c>
    </row>
    <row r="619" spans="1:15" ht="18" customHeight="1" x14ac:dyDescent="0.25">
      <c r="A619" s="116">
        <v>8</v>
      </c>
      <c r="B619" s="117" t="s">
        <v>100</v>
      </c>
      <c r="C619" s="116">
        <v>1050</v>
      </c>
      <c r="D619" s="120" t="s">
        <v>91</v>
      </c>
      <c r="E619" s="120" t="s">
        <v>1022</v>
      </c>
      <c r="F619" s="117" t="s">
        <v>933</v>
      </c>
      <c r="G619" s="281">
        <v>1</v>
      </c>
      <c r="H619" s="260">
        <v>3333</v>
      </c>
      <c r="I619" s="260">
        <v>3333</v>
      </c>
      <c r="J619" s="260">
        <v>0</v>
      </c>
      <c r="K619" s="260">
        <v>3333</v>
      </c>
      <c r="L619" s="260">
        <v>267</v>
      </c>
      <c r="M619" s="260">
        <v>3600</v>
      </c>
      <c r="N619" s="119">
        <v>5.9999999999999995E-4</v>
      </c>
      <c r="O619" s="462" t="s">
        <v>934</v>
      </c>
    </row>
    <row r="620" spans="1:15" ht="18" customHeight="1" x14ac:dyDescent="0.25">
      <c r="A620" s="116">
        <v>9</v>
      </c>
      <c r="B620" s="117" t="s">
        <v>102</v>
      </c>
      <c r="C620" s="116">
        <v>73</v>
      </c>
      <c r="D620" s="120" t="s">
        <v>91</v>
      </c>
      <c r="E620" s="120" t="s">
        <v>932</v>
      </c>
      <c r="F620" s="117" t="s">
        <v>933</v>
      </c>
      <c r="G620" s="281">
        <v>17</v>
      </c>
      <c r="H620" s="260">
        <v>2593</v>
      </c>
      <c r="I620" s="260">
        <v>44074</v>
      </c>
      <c r="J620" s="260">
        <v>0</v>
      </c>
      <c r="K620" s="260">
        <v>44074</v>
      </c>
      <c r="L620" s="260">
        <v>3526</v>
      </c>
      <c r="M620" s="260">
        <v>47600</v>
      </c>
      <c r="N620" s="119">
        <v>7.1999999999999998E-3</v>
      </c>
      <c r="O620" s="462" t="s">
        <v>934</v>
      </c>
    </row>
    <row r="621" spans="1:15" ht="18" customHeight="1" x14ac:dyDescent="0.25">
      <c r="A621" s="116">
        <v>9</v>
      </c>
      <c r="B621" s="117" t="s">
        <v>102</v>
      </c>
      <c r="C621" s="116">
        <v>12</v>
      </c>
      <c r="D621" s="120" t="s">
        <v>93</v>
      </c>
      <c r="E621" s="120" t="s">
        <v>937</v>
      </c>
      <c r="F621" s="117" t="s">
        <v>933</v>
      </c>
      <c r="G621" s="281">
        <v>1</v>
      </c>
      <c r="H621" s="260">
        <v>41667</v>
      </c>
      <c r="I621" s="260">
        <v>41667</v>
      </c>
      <c r="J621" s="260">
        <v>0</v>
      </c>
      <c r="K621" s="260">
        <v>41667</v>
      </c>
      <c r="L621" s="260">
        <v>3333</v>
      </c>
      <c r="M621" s="260">
        <v>45000</v>
      </c>
      <c r="N621" s="119">
        <v>6.7999999999999996E-3</v>
      </c>
      <c r="O621" s="462" t="s">
        <v>934</v>
      </c>
    </row>
    <row r="622" spans="1:15" ht="18" customHeight="1" x14ac:dyDescent="0.25">
      <c r="A622" s="116">
        <v>9</v>
      </c>
      <c r="B622" s="117" t="s">
        <v>102</v>
      </c>
      <c r="C622" s="116">
        <v>40</v>
      </c>
      <c r="D622" s="120" t="s">
        <v>87</v>
      </c>
      <c r="E622" s="120" t="s">
        <v>170</v>
      </c>
      <c r="F622" s="117" t="s">
        <v>933</v>
      </c>
      <c r="G622" s="281">
        <v>1</v>
      </c>
      <c r="H622" s="260">
        <v>55093</v>
      </c>
      <c r="I622" s="260">
        <v>55093</v>
      </c>
      <c r="J622" s="260">
        <v>0</v>
      </c>
      <c r="K622" s="260">
        <v>55093</v>
      </c>
      <c r="L622" s="260">
        <v>4407</v>
      </c>
      <c r="M622" s="260">
        <v>59500</v>
      </c>
      <c r="N622" s="119">
        <v>9.0000000000000011E-3</v>
      </c>
      <c r="O622" s="462" t="s">
        <v>934</v>
      </c>
    </row>
    <row r="623" spans="1:15" ht="18" customHeight="1" x14ac:dyDescent="0.25">
      <c r="A623" s="116">
        <v>9</v>
      </c>
      <c r="B623" s="117" t="s">
        <v>102</v>
      </c>
      <c r="C623" s="116">
        <v>104</v>
      </c>
      <c r="D623" s="120" t="s">
        <v>89</v>
      </c>
      <c r="E623" s="120" t="s">
        <v>162</v>
      </c>
      <c r="F623" s="117" t="s">
        <v>933</v>
      </c>
      <c r="G623" s="281">
        <v>8</v>
      </c>
      <c r="H623" s="260">
        <v>15741</v>
      </c>
      <c r="I623" s="260">
        <v>125926</v>
      </c>
      <c r="J623" s="260">
        <v>0</v>
      </c>
      <c r="K623" s="260">
        <v>125926</v>
      </c>
      <c r="L623" s="260">
        <v>10074</v>
      </c>
      <c r="M623" s="260">
        <v>136000</v>
      </c>
      <c r="N623" s="119">
        <v>2.0500000000000001E-2</v>
      </c>
      <c r="O623" s="462" t="s">
        <v>934</v>
      </c>
    </row>
    <row r="624" spans="1:15" ht="18" customHeight="1" x14ac:dyDescent="0.25">
      <c r="A624" s="116">
        <v>9</v>
      </c>
      <c r="B624" s="117" t="s">
        <v>102</v>
      </c>
      <c r="C624" s="116">
        <v>95</v>
      </c>
      <c r="D624" s="120" t="s">
        <v>87</v>
      </c>
      <c r="E624" s="120" t="s">
        <v>938</v>
      </c>
      <c r="F624" s="117" t="s">
        <v>933</v>
      </c>
      <c r="G624" s="281">
        <v>2</v>
      </c>
      <c r="H624" s="260">
        <v>926</v>
      </c>
      <c r="I624" s="260">
        <v>1852</v>
      </c>
      <c r="J624" s="260">
        <v>0</v>
      </c>
      <c r="K624" s="260">
        <v>1852</v>
      </c>
      <c r="L624" s="260">
        <v>148</v>
      </c>
      <c r="M624" s="260">
        <v>2000</v>
      </c>
      <c r="N624" s="119">
        <v>2.9999999999999997E-4</v>
      </c>
      <c r="O624" s="462" t="s">
        <v>934</v>
      </c>
    </row>
    <row r="625" spans="1:15" ht="18" customHeight="1" x14ac:dyDescent="0.25">
      <c r="A625" s="116">
        <v>9</v>
      </c>
      <c r="B625" s="117" t="s">
        <v>102</v>
      </c>
      <c r="C625" s="116">
        <v>54</v>
      </c>
      <c r="D625" s="120" t="s">
        <v>91</v>
      </c>
      <c r="E625" s="120" t="s">
        <v>992</v>
      </c>
      <c r="F625" s="117" t="s">
        <v>933</v>
      </c>
      <c r="G625" s="281">
        <v>2</v>
      </c>
      <c r="H625" s="260">
        <v>2315</v>
      </c>
      <c r="I625" s="260">
        <v>4630</v>
      </c>
      <c r="J625" s="260">
        <v>0</v>
      </c>
      <c r="K625" s="260">
        <v>4630</v>
      </c>
      <c r="L625" s="260">
        <v>370</v>
      </c>
      <c r="M625" s="260">
        <v>5000</v>
      </c>
      <c r="N625" s="119">
        <v>8.0000000000000004E-4</v>
      </c>
      <c r="O625" s="462" t="s">
        <v>934</v>
      </c>
    </row>
    <row r="626" spans="1:15" ht="18" customHeight="1" x14ac:dyDescent="0.25">
      <c r="A626" s="116">
        <v>9</v>
      </c>
      <c r="B626" s="117" t="s">
        <v>102</v>
      </c>
      <c r="C626" s="116">
        <v>5</v>
      </c>
      <c r="D626" s="120" t="s">
        <v>89</v>
      </c>
      <c r="E626" s="120" t="s">
        <v>993</v>
      </c>
      <c r="F626" s="117" t="s">
        <v>933</v>
      </c>
      <c r="G626" s="281">
        <v>2</v>
      </c>
      <c r="H626" s="260">
        <v>11111</v>
      </c>
      <c r="I626" s="260">
        <v>22222</v>
      </c>
      <c r="J626" s="260">
        <v>0</v>
      </c>
      <c r="K626" s="260">
        <v>22222</v>
      </c>
      <c r="L626" s="260">
        <v>1778</v>
      </c>
      <c r="M626" s="260">
        <v>24000</v>
      </c>
      <c r="N626" s="119">
        <v>3.5999999999999999E-3</v>
      </c>
      <c r="O626" s="462" t="s">
        <v>934</v>
      </c>
    </row>
    <row r="627" spans="1:15" ht="18" customHeight="1" x14ac:dyDescent="0.25">
      <c r="A627" s="116">
        <v>9</v>
      </c>
      <c r="B627" s="117" t="s">
        <v>102</v>
      </c>
      <c r="C627" s="116">
        <v>136</v>
      </c>
      <c r="D627" s="120" t="s">
        <v>89</v>
      </c>
      <c r="E627" s="120" t="s">
        <v>939</v>
      </c>
      <c r="F627" s="117" t="s">
        <v>933</v>
      </c>
      <c r="G627" s="281">
        <v>9</v>
      </c>
      <c r="H627" s="260">
        <v>24074</v>
      </c>
      <c r="I627" s="260">
        <v>216667</v>
      </c>
      <c r="J627" s="260">
        <v>0</v>
      </c>
      <c r="K627" s="260">
        <v>216667</v>
      </c>
      <c r="L627" s="260">
        <v>17333</v>
      </c>
      <c r="M627" s="260">
        <v>234000</v>
      </c>
      <c r="N627" s="119">
        <v>3.5299999999999998E-2</v>
      </c>
      <c r="O627" s="462" t="s">
        <v>934</v>
      </c>
    </row>
    <row r="628" spans="1:15" ht="18" customHeight="1" x14ac:dyDescent="0.25">
      <c r="A628" s="116">
        <v>9</v>
      </c>
      <c r="B628" s="117" t="s">
        <v>102</v>
      </c>
      <c r="C628" s="116">
        <v>6</v>
      </c>
      <c r="D628" s="120" t="s">
        <v>89</v>
      </c>
      <c r="E628" s="120" t="s">
        <v>994</v>
      </c>
      <c r="F628" s="117" t="s">
        <v>933</v>
      </c>
      <c r="G628" s="281">
        <v>4</v>
      </c>
      <c r="H628" s="260">
        <v>14815</v>
      </c>
      <c r="I628" s="260">
        <v>59259</v>
      </c>
      <c r="J628" s="260">
        <v>0</v>
      </c>
      <c r="K628" s="260">
        <v>59259</v>
      </c>
      <c r="L628" s="260">
        <v>4741</v>
      </c>
      <c r="M628" s="260">
        <v>64000</v>
      </c>
      <c r="N628" s="119">
        <v>9.7000000000000003E-3</v>
      </c>
      <c r="O628" s="462" t="s">
        <v>934</v>
      </c>
    </row>
    <row r="629" spans="1:15" ht="18" customHeight="1" x14ac:dyDescent="0.25">
      <c r="A629" s="116">
        <v>9</v>
      </c>
      <c r="B629" s="117" t="s">
        <v>102</v>
      </c>
      <c r="C629" s="116">
        <v>8</v>
      </c>
      <c r="D629" s="120" t="s">
        <v>87</v>
      </c>
      <c r="E629" s="120" t="s">
        <v>156</v>
      </c>
      <c r="F629" s="117" t="s">
        <v>933</v>
      </c>
      <c r="G629" s="281">
        <v>13</v>
      </c>
      <c r="H629" s="260">
        <v>18697</v>
      </c>
      <c r="I629" s="260">
        <v>244444</v>
      </c>
      <c r="J629" s="260">
        <v>1389</v>
      </c>
      <c r="K629" s="260">
        <v>243055</v>
      </c>
      <c r="L629" s="260">
        <v>19444</v>
      </c>
      <c r="M629" s="260">
        <v>262499</v>
      </c>
      <c r="N629" s="119">
        <v>3.9600000000000003E-2</v>
      </c>
      <c r="O629" s="462" t="s">
        <v>934</v>
      </c>
    </row>
    <row r="630" spans="1:15" ht="18" customHeight="1" x14ac:dyDescent="0.25">
      <c r="A630" s="116">
        <v>9</v>
      </c>
      <c r="B630" s="117" t="s">
        <v>102</v>
      </c>
      <c r="C630" s="116">
        <v>311</v>
      </c>
      <c r="D630" s="120" t="s">
        <v>93</v>
      </c>
      <c r="E630" s="120" t="s">
        <v>940</v>
      </c>
      <c r="F630" s="117" t="s">
        <v>933</v>
      </c>
      <c r="G630" s="281">
        <v>1</v>
      </c>
      <c r="H630" s="260">
        <v>44907</v>
      </c>
      <c r="I630" s="260">
        <v>44907</v>
      </c>
      <c r="J630" s="260">
        <v>0</v>
      </c>
      <c r="K630" s="260">
        <v>44907</v>
      </c>
      <c r="L630" s="260">
        <v>3593</v>
      </c>
      <c r="M630" s="260">
        <v>48500</v>
      </c>
      <c r="N630" s="119">
        <v>7.3000000000000001E-3</v>
      </c>
      <c r="O630" s="462" t="s">
        <v>934</v>
      </c>
    </row>
    <row r="631" spans="1:15" ht="18" customHeight="1" x14ac:dyDescent="0.25">
      <c r="A631" s="116">
        <v>9</v>
      </c>
      <c r="B631" s="117" t="s">
        <v>102</v>
      </c>
      <c r="C631" s="116">
        <v>87</v>
      </c>
      <c r="D631" s="120" t="s">
        <v>89</v>
      </c>
      <c r="E631" s="120" t="s">
        <v>144</v>
      </c>
      <c r="F631" s="117" t="s">
        <v>933</v>
      </c>
      <c r="G631" s="281">
        <v>5</v>
      </c>
      <c r="H631" s="260">
        <v>37500</v>
      </c>
      <c r="I631" s="260">
        <v>187500</v>
      </c>
      <c r="J631" s="260">
        <v>0</v>
      </c>
      <c r="K631" s="260">
        <v>187500</v>
      </c>
      <c r="L631" s="260">
        <v>15000</v>
      </c>
      <c r="M631" s="260">
        <v>202500</v>
      </c>
      <c r="N631" s="119">
        <v>3.0499999999999999E-2</v>
      </c>
      <c r="O631" s="462" t="s">
        <v>934</v>
      </c>
    </row>
    <row r="632" spans="1:15" ht="18" customHeight="1" x14ac:dyDescent="0.25">
      <c r="A632" s="116">
        <v>9</v>
      </c>
      <c r="B632" s="117" t="s">
        <v>102</v>
      </c>
      <c r="C632" s="116">
        <v>206</v>
      </c>
      <c r="D632" s="120" t="s">
        <v>93</v>
      </c>
      <c r="E632" s="120" t="s">
        <v>941</v>
      </c>
      <c r="F632" s="117" t="s">
        <v>933</v>
      </c>
      <c r="G632" s="281">
        <v>2</v>
      </c>
      <c r="H632" s="260">
        <v>44907</v>
      </c>
      <c r="I632" s="260">
        <v>89815</v>
      </c>
      <c r="J632" s="260">
        <v>0</v>
      </c>
      <c r="K632" s="260">
        <v>89815</v>
      </c>
      <c r="L632" s="260">
        <v>7185</v>
      </c>
      <c r="M632" s="260">
        <v>97000</v>
      </c>
      <c r="N632" s="119">
        <v>1.46E-2</v>
      </c>
      <c r="O632" s="462" t="s">
        <v>934</v>
      </c>
    </row>
    <row r="633" spans="1:15" ht="18" customHeight="1" x14ac:dyDescent="0.25">
      <c r="A633" s="116">
        <v>9</v>
      </c>
      <c r="B633" s="117" t="s">
        <v>102</v>
      </c>
      <c r="C633" s="116">
        <v>246</v>
      </c>
      <c r="D633" s="120" t="s">
        <v>91</v>
      </c>
      <c r="E633" s="120" t="s">
        <v>943</v>
      </c>
      <c r="F633" s="117" t="s">
        <v>933</v>
      </c>
      <c r="G633" s="281">
        <v>2</v>
      </c>
      <c r="H633" s="260">
        <v>6481</v>
      </c>
      <c r="I633" s="260">
        <v>12963</v>
      </c>
      <c r="J633" s="260">
        <v>0</v>
      </c>
      <c r="K633" s="260">
        <v>12963</v>
      </c>
      <c r="L633" s="260">
        <v>1037</v>
      </c>
      <c r="M633" s="260">
        <v>14000</v>
      </c>
      <c r="N633" s="119">
        <v>2.0999999999999999E-3</v>
      </c>
      <c r="O633" s="462" t="s">
        <v>934</v>
      </c>
    </row>
    <row r="634" spans="1:15" ht="18" customHeight="1" x14ac:dyDescent="0.25">
      <c r="A634" s="116">
        <v>9</v>
      </c>
      <c r="B634" s="117" t="s">
        <v>102</v>
      </c>
      <c r="C634" s="116">
        <v>70</v>
      </c>
      <c r="D634" s="120" t="s">
        <v>91</v>
      </c>
      <c r="E634" s="120" t="s">
        <v>944</v>
      </c>
      <c r="F634" s="117" t="s">
        <v>933</v>
      </c>
      <c r="G634" s="281">
        <v>4</v>
      </c>
      <c r="H634" s="260">
        <v>4630</v>
      </c>
      <c r="I634" s="260">
        <v>18519</v>
      </c>
      <c r="J634" s="260">
        <v>0</v>
      </c>
      <c r="K634" s="260">
        <v>18519</v>
      </c>
      <c r="L634" s="260">
        <v>1481</v>
      </c>
      <c r="M634" s="260">
        <v>20000</v>
      </c>
      <c r="N634" s="119">
        <v>3.0000000000000001E-3</v>
      </c>
      <c r="O634" s="462" t="s">
        <v>934</v>
      </c>
    </row>
    <row r="635" spans="1:15" ht="18" customHeight="1" x14ac:dyDescent="0.25">
      <c r="A635" s="116">
        <v>9</v>
      </c>
      <c r="B635" s="117" t="s">
        <v>102</v>
      </c>
      <c r="C635" s="116">
        <v>71</v>
      </c>
      <c r="D635" s="120" t="s">
        <v>91</v>
      </c>
      <c r="E635" s="120" t="s">
        <v>945</v>
      </c>
      <c r="F635" s="117" t="s">
        <v>933</v>
      </c>
      <c r="G635" s="281">
        <v>1</v>
      </c>
      <c r="H635" s="260">
        <v>5556</v>
      </c>
      <c r="I635" s="260">
        <v>5556</v>
      </c>
      <c r="J635" s="260">
        <v>0</v>
      </c>
      <c r="K635" s="260">
        <v>5556</v>
      </c>
      <c r="L635" s="260">
        <v>444</v>
      </c>
      <c r="M635" s="260">
        <v>6000</v>
      </c>
      <c r="N635" s="119">
        <v>8.9999999999999998E-4</v>
      </c>
      <c r="O635" s="462" t="s">
        <v>934</v>
      </c>
    </row>
    <row r="636" spans="1:15" ht="18" customHeight="1" x14ac:dyDescent="0.25">
      <c r="A636" s="116">
        <v>9</v>
      </c>
      <c r="B636" s="117" t="s">
        <v>102</v>
      </c>
      <c r="C636" s="116">
        <v>83</v>
      </c>
      <c r="D636" s="120" t="s">
        <v>87</v>
      </c>
      <c r="E636" s="120" t="s">
        <v>946</v>
      </c>
      <c r="F636" s="117" t="s">
        <v>933</v>
      </c>
      <c r="G636" s="281">
        <v>6</v>
      </c>
      <c r="H636" s="260">
        <v>20833</v>
      </c>
      <c r="I636" s="260">
        <v>125000</v>
      </c>
      <c r="J636" s="260">
        <v>0</v>
      </c>
      <c r="K636" s="260">
        <v>125000</v>
      </c>
      <c r="L636" s="260">
        <v>10000</v>
      </c>
      <c r="M636" s="260">
        <v>135000</v>
      </c>
      <c r="N636" s="119">
        <v>2.0400000000000001E-2</v>
      </c>
      <c r="O636" s="462" t="s">
        <v>934</v>
      </c>
    </row>
    <row r="637" spans="1:15" ht="18" customHeight="1" x14ac:dyDescent="0.25">
      <c r="A637" s="116">
        <v>9</v>
      </c>
      <c r="B637" s="117" t="s">
        <v>102</v>
      </c>
      <c r="C637" s="116">
        <v>43</v>
      </c>
      <c r="D637" s="120" t="s">
        <v>87</v>
      </c>
      <c r="E637" s="120" t="s">
        <v>947</v>
      </c>
      <c r="F637" s="117" t="s">
        <v>933</v>
      </c>
      <c r="G637" s="281">
        <v>1</v>
      </c>
      <c r="H637" s="260">
        <v>8333</v>
      </c>
      <c r="I637" s="260">
        <v>8333</v>
      </c>
      <c r="J637" s="260">
        <v>0</v>
      </c>
      <c r="K637" s="260">
        <v>8333</v>
      </c>
      <c r="L637" s="260">
        <v>667</v>
      </c>
      <c r="M637" s="260">
        <v>9000</v>
      </c>
      <c r="N637" s="119">
        <v>1.4E-3</v>
      </c>
      <c r="O637" s="462" t="s">
        <v>934</v>
      </c>
    </row>
    <row r="638" spans="1:15" ht="18" customHeight="1" x14ac:dyDescent="0.25">
      <c r="A638" s="116">
        <v>9</v>
      </c>
      <c r="B638" s="117" t="s">
        <v>102</v>
      </c>
      <c r="C638" s="116">
        <v>41</v>
      </c>
      <c r="D638" s="120" t="s">
        <v>87</v>
      </c>
      <c r="E638" s="120" t="s">
        <v>168</v>
      </c>
      <c r="F638" s="117" t="s">
        <v>933</v>
      </c>
      <c r="G638" s="281">
        <v>3</v>
      </c>
      <c r="H638" s="260">
        <v>49074</v>
      </c>
      <c r="I638" s="260">
        <v>147222</v>
      </c>
      <c r="J638" s="260">
        <v>0</v>
      </c>
      <c r="K638" s="260">
        <v>147222</v>
      </c>
      <c r="L638" s="260">
        <v>11778</v>
      </c>
      <c r="M638" s="260">
        <v>159000</v>
      </c>
      <c r="N638" s="119">
        <v>2.4E-2</v>
      </c>
      <c r="O638" s="462" t="s">
        <v>934</v>
      </c>
    </row>
    <row r="639" spans="1:15" ht="18" customHeight="1" x14ac:dyDescent="0.25">
      <c r="A639" s="116">
        <v>9</v>
      </c>
      <c r="B639" s="117" t="s">
        <v>102</v>
      </c>
      <c r="C639" s="116">
        <v>122</v>
      </c>
      <c r="D639" s="120" t="s">
        <v>91</v>
      </c>
      <c r="E639" s="120" t="s">
        <v>948</v>
      </c>
      <c r="F639" s="117" t="s">
        <v>933</v>
      </c>
      <c r="G639" s="281">
        <v>2</v>
      </c>
      <c r="H639" s="260">
        <v>2698</v>
      </c>
      <c r="I639" s="260">
        <v>5556</v>
      </c>
      <c r="J639" s="260">
        <v>159</v>
      </c>
      <c r="K639" s="260">
        <v>5397</v>
      </c>
      <c r="L639" s="260">
        <v>432</v>
      </c>
      <c r="M639" s="260">
        <v>5829</v>
      </c>
      <c r="N639" s="119">
        <v>8.9999999999999998E-4</v>
      </c>
      <c r="O639" s="462" t="s">
        <v>934</v>
      </c>
    </row>
    <row r="640" spans="1:15" ht="18" customHeight="1" x14ac:dyDescent="0.25">
      <c r="A640" s="116">
        <v>9</v>
      </c>
      <c r="B640" s="117" t="s">
        <v>102</v>
      </c>
      <c r="C640" s="116">
        <v>247</v>
      </c>
      <c r="D640" s="120" t="s">
        <v>87</v>
      </c>
      <c r="E640" s="120" t="s">
        <v>1014</v>
      </c>
      <c r="F640" s="117" t="s">
        <v>933</v>
      </c>
      <c r="G640" s="281">
        <v>2</v>
      </c>
      <c r="H640" s="260">
        <v>3056</v>
      </c>
      <c r="I640" s="260">
        <v>6111</v>
      </c>
      <c r="J640" s="260">
        <v>0</v>
      </c>
      <c r="K640" s="260">
        <v>6111</v>
      </c>
      <c r="L640" s="260">
        <v>489</v>
      </c>
      <c r="M640" s="260">
        <v>6600</v>
      </c>
      <c r="N640" s="119">
        <v>1E-3</v>
      </c>
      <c r="O640" s="462" t="s">
        <v>934</v>
      </c>
    </row>
    <row r="641" spans="1:15" ht="18" customHeight="1" x14ac:dyDescent="0.25">
      <c r="A641" s="116">
        <v>9</v>
      </c>
      <c r="B641" s="117" t="s">
        <v>102</v>
      </c>
      <c r="C641" s="116">
        <v>42</v>
      </c>
      <c r="D641" s="120" t="s">
        <v>87</v>
      </c>
      <c r="E641" s="120" t="s">
        <v>360</v>
      </c>
      <c r="F641" s="117" t="s">
        <v>933</v>
      </c>
      <c r="G641" s="281">
        <v>1</v>
      </c>
      <c r="H641" s="260">
        <v>32407</v>
      </c>
      <c r="I641" s="260">
        <v>32407</v>
      </c>
      <c r="J641" s="260">
        <v>0</v>
      </c>
      <c r="K641" s="260">
        <v>32407</v>
      </c>
      <c r="L641" s="260">
        <v>2593</v>
      </c>
      <c r="M641" s="260">
        <v>35000</v>
      </c>
      <c r="N641" s="119">
        <v>5.3E-3</v>
      </c>
      <c r="O641" s="462" t="s">
        <v>934</v>
      </c>
    </row>
    <row r="642" spans="1:15" ht="18" customHeight="1" x14ac:dyDescent="0.25">
      <c r="A642" s="116">
        <v>9</v>
      </c>
      <c r="B642" s="117" t="s">
        <v>102</v>
      </c>
      <c r="C642" s="116">
        <v>44</v>
      </c>
      <c r="D642" s="120" t="s">
        <v>87</v>
      </c>
      <c r="E642" s="120" t="s">
        <v>138</v>
      </c>
      <c r="F642" s="117" t="s">
        <v>933</v>
      </c>
      <c r="G642" s="281">
        <v>3</v>
      </c>
      <c r="H642" s="260">
        <v>28241</v>
      </c>
      <c r="I642" s="260">
        <v>84722</v>
      </c>
      <c r="J642" s="260">
        <v>0</v>
      </c>
      <c r="K642" s="260">
        <v>84722</v>
      </c>
      <c r="L642" s="260">
        <v>6778</v>
      </c>
      <c r="M642" s="260">
        <v>91500</v>
      </c>
      <c r="N642" s="119">
        <v>1.38E-2</v>
      </c>
      <c r="O642" s="462" t="s">
        <v>934</v>
      </c>
    </row>
    <row r="643" spans="1:15" ht="18" customHeight="1" x14ac:dyDescent="0.25">
      <c r="A643" s="116">
        <v>9</v>
      </c>
      <c r="B643" s="117" t="s">
        <v>102</v>
      </c>
      <c r="C643" s="116">
        <v>110</v>
      </c>
      <c r="D643" s="120" t="s">
        <v>99</v>
      </c>
      <c r="E643" s="120" t="s">
        <v>949</v>
      </c>
      <c r="F643" s="117" t="s">
        <v>933</v>
      </c>
      <c r="G643" s="281">
        <v>24</v>
      </c>
      <c r="H643" s="260">
        <v>922</v>
      </c>
      <c r="I643" s="260">
        <v>22222</v>
      </c>
      <c r="J643" s="260">
        <v>106</v>
      </c>
      <c r="K643" s="260">
        <v>22116</v>
      </c>
      <c r="L643" s="260">
        <v>1769</v>
      </c>
      <c r="M643" s="260">
        <v>23885</v>
      </c>
      <c r="N643" s="119">
        <v>3.5999999999999999E-3</v>
      </c>
      <c r="O643" s="462" t="s">
        <v>934</v>
      </c>
    </row>
    <row r="644" spans="1:15" ht="18" customHeight="1" x14ac:dyDescent="0.25">
      <c r="A644" s="116">
        <v>9</v>
      </c>
      <c r="B644" s="117" t="s">
        <v>102</v>
      </c>
      <c r="C644" s="116">
        <v>102</v>
      </c>
      <c r="D644" s="120" t="s">
        <v>87</v>
      </c>
      <c r="E644" s="120" t="s">
        <v>998</v>
      </c>
      <c r="F644" s="117" t="s">
        <v>933</v>
      </c>
      <c r="G644" s="281">
        <v>2</v>
      </c>
      <c r="H644" s="260">
        <v>6944</v>
      </c>
      <c r="I644" s="260">
        <v>13889</v>
      </c>
      <c r="J644" s="260">
        <v>0</v>
      </c>
      <c r="K644" s="260">
        <v>13889</v>
      </c>
      <c r="L644" s="260">
        <v>1111</v>
      </c>
      <c r="M644" s="260">
        <v>15000</v>
      </c>
      <c r="N644" s="119">
        <v>2.3E-3</v>
      </c>
      <c r="O644" s="462" t="s">
        <v>934</v>
      </c>
    </row>
    <row r="645" spans="1:15" ht="18" customHeight="1" x14ac:dyDescent="0.25">
      <c r="A645" s="116">
        <v>9</v>
      </c>
      <c r="B645" s="117" t="s">
        <v>102</v>
      </c>
      <c r="C645" s="116">
        <v>26</v>
      </c>
      <c r="D645" s="120" t="s">
        <v>87</v>
      </c>
      <c r="E645" s="120" t="s">
        <v>1016</v>
      </c>
      <c r="F645" s="117" t="s">
        <v>933</v>
      </c>
      <c r="G645" s="281">
        <v>2</v>
      </c>
      <c r="H645" s="260">
        <v>18519</v>
      </c>
      <c r="I645" s="260">
        <v>37037</v>
      </c>
      <c r="J645" s="260">
        <v>0</v>
      </c>
      <c r="K645" s="260">
        <v>37037</v>
      </c>
      <c r="L645" s="260">
        <v>2963</v>
      </c>
      <c r="M645" s="260">
        <v>40000</v>
      </c>
      <c r="N645" s="119">
        <v>6.0000000000000001E-3</v>
      </c>
      <c r="O645" s="462" t="s">
        <v>934</v>
      </c>
    </row>
    <row r="646" spans="1:15" ht="18" customHeight="1" x14ac:dyDescent="0.25">
      <c r="A646" s="116">
        <v>9</v>
      </c>
      <c r="B646" s="117" t="s">
        <v>102</v>
      </c>
      <c r="C646" s="116">
        <v>45</v>
      </c>
      <c r="D646" s="120" t="s">
        <v>87</v>
      </c>
      <c r="E646" s="120" t="s">
        <v>950</v>
      </c>
      <c r="F646" s="117" t="s">
        <v>933</v>
      </c>
      <c r="G646" s="281">
        <v>7</v>
      </c>
      <c r="H646" s="260">
        <v>35648</v>
      </c>
      <c r="I646" s="260">
        <v>249537</v>
      </c>
      <c r="J646" s="260">
        <v>0</v>
      </c>
      <c r="K646" s="260">
        <v>249537</v>
      </c>
      <c r="L646" s="260">
        <v>19963</v>
      </c>
      <c r="M646" s="260">
        <v>269500</v>
      </c>
      <c r="N646" s="119">
        <v>4.0599999999999997E-2</v>
      </c>
      <c r="O646" s="462" t="s">
        <v>934</v>
      </c>
    </row>
    <row r="647" spans="1:15" ht="18" customHeight="1" x14ac:dyDescent="0.25">
      <c r="A647" s="116">
        <v>9</v>
      </c>
      <c r="B647" s="117" t="s">
        <v>102</v>
      </c>
      <c r="C647" s="116">
        <v>30</v>
      </c>
      <c r="D647" s="120" t="s">
        <v>95</v>
      </c>
      <c r="E647" s="120" t="s">
        <v>951</v>
      </c>
      <c r="F647" s="117" t="s">
        <v>933</v>
      </c>
      <c r="G647" s="281">
        <v>1</v>
      </c>
      <c r="H647" s="260">
        <v>6481</v>
      </c>
      <c r="I647" s="260">
        <v>6481</v>
      </c>
      <c r="J647" s="260">
        <v>0</v>
      </c>
      <c r="K647" s="260">
        <v>6481</v>
      </c>
      <c r="L647" s="260">
        <v>519</v>
      </c>
      <c r="M647" s="260">
        <v>7000</v>
      </c>
      <c r="N647" s="119">
        <v>1.1000000000000001E-3</v>
      </c>
      <c r="O647" s="462" t="s">
        <v>934</v>
      </c>
    </row>
    <row r="648" spans="1:15" ht="18" customHeight="1" x14ac:dyDescent="0.25">
      <c r="A648" s="116">
        <v>9</v>
      </c>
      <c r="B648" s="117" t="s">
        <v>102</v>
      </c>
      <c r="C648" s="116">
        <v>94</v>
      </c>
      <c r="D648" s="120" t="s">
        <v>89</v>
      </c>
      <c r="E648" s="120" t="s">
        <v>150</v>
      </c>
      <c r="F648" s="117" t="s">
        <v>933</v>
      </c>
      <c r="G648" s="281">
        <v>10</v>
      </c>
      <c r="H648" s="260">
        <v>18611</v>
      </c>
      <c r="I648" s="260">
        <v>186111</v>
      </c>
      <c r="J648" s="260">
        <v>0</v>
      </c>
      <c r="K648" s="260">
        <v>186111</v>
      </c>
      <c r="L648" s="260">
        <v>14889</v>
      </c>
      <c r="M648" s="260">
        <v>201000</v>
      </c>
      <c r="N648" s="119">
        <v>3.0300000000000001E-2</v>
      </c>
      <c r="O648" s="462" t="s">
        <v>934</v>
      </c>
    </row>
    <row r="649" spans="1:15" ht="18" customHeight="1" x14ac:dyDescent="0.25">
      <c r="A649" s="116">
        <v>9</v>
      </c>
      <c r="B649" s="117" t="s">
        <v>102</v>
      </c>
      <c r="C649" s="116">
        <v>233</v>
      </c>
      <c r="D649" s="120" t="s">
        <v>89</v>
      </c>
      <c r="E649" s="120" t="s">
        <v>117</v>
      </c>
      <c r="F649" s="117" t="s">
        <v>933</v>
      </c>
      <c r="G649" s="281">
        <v>48</v>
      </c>
      <c r="H649" s="260">
        <v>18455</v>
      </c>
      <c r="I649" s="260">
        <v>891667</v>
      </c>
      <c r="J649" s="260">
        <v>5820</v>
      </c>
      <c r="K649" s="260">
        <v>885847</v>
      </c>
      <c r="L649" s="260">
        <v>70868</v>
      </c>
      <c r="M649" s="260">
        <v>956715</v>
      </c>
      <c r="N649" s="119">
        <v>0.14430000000000001</v>
      </c>
      <c r="O649" s="462" t="s">
        <v>934</v>
      </c>
    </row>
    <row r="650" spans="1:15" ht="18" customHeight="1" x14ac:dyDescent="0.25">
      <c r="A650" s="116">
        <v>9</v>
      </c>
      <c r="B650" s="117" t="s">
        <v>102</v>
      </c>
      <c r="C650" s="116">
        <v>217</v>
      </c>
      <c r="D650" s="120" t="s">
        <v>89</v>
      </c>
      <c r="E650" s="120" t="s">
        <v>953</v>
      </c>
      <c r="F650" s="117" t="s">
        <v>933</v>
      </c>
      <c r="G650" s="281">
        <v>1</v>
      </c>
      <c r="H650" s="260">
        <v>27778</v>
      </c>
      <c r="I650" s="260">
        <v>27778</v>
      </c>
      <c r="J650" s="260">
        <v>0</v>
      </c>
      <c r="K650" s="260">
        <v>27778</v>
      </c>
      <c r="L650" s="260">
        <v>2222</v>
      </c>
      <c r="M650" s="260">
        <v>30000</v>
      </c>
      <c r="N650" s="119">
        <v>4.5000000000000014E-3</v>
      </c>
      <c r="O650" s="462" t="s">
        <v>934</v>
      </c>
    </row>
    <row r="651" spans="1:15" ht="18" customHeight="1" x14ac:dyDescent="0.25">
      <c r="A651" s="116">
        <v>9</v>
      </c>
      <c r="B651" s="117" t="s">
        <v>102</v>
      </c>
      <c r="C651" s="116">
        <v>218</v>
      </c>
      <c r="D651" s="120" t="s">
        <v>89</v>
      </c>
      <c r="E651" s="120" t="s">
        <v>954</v>
      </c>
      <c r="F651" s="117" t="s">
        <v>933</v>
      </c>
      <c r="G651" s="281">
        <v>9</v>
      </c>
      <c r="H651" s="260">
        <v>18401</v>
      </c>
      <c r="I651" s="260">
        <v>166667</v>
      </c>
      <c r="J651" s="260">
        <v>1058</v>
      </c>
      <c r="K651" s="260">
        <v>165609</v>
      </c>
      <c r="L651" s="260">
        <v>13249</v>
      </c>
      <c r="M651" s="260">
        <v>178858</v>
      </c>
      <c r="N651" s="119">
        <v>2.7E-2</v>
      </c>
      <c r="O651" s="462" t="s">
        <v>934</v>
      </c>
    </row>
    <row r="652" spans="1:15" ht="18" customHeight="1" x14ac:dyDescent="0.25">
      <c r="A652" s="116">
        <v>9</v>
      </c>
      <c r="B652" s="117" t="s">
        <v>102</v>
      </c>
      <c r="C652" s="116">
        <v>34</v>
      </c>
      <c r="D652" s="120" t="s">
        <v>91</v>
      </c>
      <c r="E652" s="120" t="s">
        <v>955</v>
      </c>
      <c r="F652" s="117" t="s">
        <v>933</v>
      </c>
      <c r="G652" s="281">
        <v>2</v>
      </c>
      <c r="H652" s="260">
        <v>6481</v>
      </c>
      <c r="I652" s="260">
        <v>12963</v>
      </c>
      <c r="J652" s="260">
        <v>0</v>
      </c>
      <c r="K652" s="260">
        <v>12963</v>
      </c>
      <c r="L652" s="260">
        <v>1037</v>
      </c>
      <c r="M652" s="260">
        <v>14000</v>
      </c>
      <c r="N652" s="119">
        <v>2.0999999999999999E-3</v>
      </c>
      <c r="O652" s="462" t="s">
        <v>934</v>
      </c>
    </row>
    <row r="653" spans="1:15" ht="18" customHeight="1" x14ac:dyDescent="0.25">
      <c r="A653" s="116">
        <v>9</v>
      </c>
      <c r="B653" s="117" t="s">
        <v>102</v>
      </c>
      <c r="C653" s="116">
        <v>121</v>
      </c>
      <c r="D653" s="120" t="s">
        <v>91</v>
      </c>
      <c r="E653" s="120" t="s">
        <v>956</v>
      </c>
      <c r="F653" s="117" t="s">
        <v>933</v>
      </c>
      <c r="G653" s="281">
        <v>3</v>
      </c>
      <c r="H653" s="260">
        <v>2778</v>
      </c>
      <c r="I653" s="260">
        <v>8333</v>
      </c>
      <c r="J653" s="260">
        <v>0</v>
      </c>
      <c r="K653" s="260">
        <v>8333</v>
      </c>
      <c r="L653" s="260">
        <v>667</v>
      </c>
      <c r="M653" s="260">
        <v>9000</v>
      </c>
      <c r="N653" s="119">
        <v>1.4E-3</v>
      </c>
      <c r="O653" s="462" t="s">
        <v>934</v>
      </c>
    </row>
    <row r="654" spans="1:15" ht="18" customHeight="1" x14ac:dyDescent="0.25">
      <c r="A654" s="116">
        <v>9</v>
      </c>
      <c r="B654" s="117" t="s">
        <v>102</v>
      </c>
      <c r="C654" s="116">
        <v>208</v>
      </c>
      <c r="D654" s="120" t="s">
        <v>91</v>
      </c>
      <c r="E654" s="120" t="s">
        <v>957</v>
      </c>
      <c r="F654" s="117" t="s">
        <v>933</v>
      </c>
      <c r="G654" s="281">
        <v>15</v>
      </c>
      <c r="H654" s="260">
        <v>3704</v>
      </c>
      <c r="I654" s="260">
        <v>55556</v>
      </c>
      <c r="J654" s="260">
        <v>0</v>
      </c>
      <c r="K654" s="260">
        <v>55556</v>
      </c>
      <c r="L654" s="260">
        <v>4444</v>
      </c>
      <c r="M654" s="260">
        <v>60000</v>
      </c>
      <c r="N654" s="119">
        <v>9.0000000000000011E-3</v>
      </c>
      <c r="O654" s="462" t="s">
        <v>934</v>
      </c>
    </row>
    <row r="655" spans="1:15" ht="18" customHeight="1" x14ac:dyDescent="0.25">
      <c r="A655" s="116">
        <v>9</v>
      </c>
      <c r="B655" s="117" t="s">
        <v>102</v>
      </c>
      <c r="C655" s="116">
        <v>90</v>
      </c>
      <c r="D655" s="120" t="s">
        <v>91</v>
      </c>
      <c r="E655" s="120" t="s">
        <v>487</v>
      </c>
      <c r="F655" s="117" t="s">
        <v>933</v>
      </c>
      <c r="G655" s="281">
        <v>2</v>
      </c>
      <c r="H655" s="260">
        <v>4259</v>
      </c>
      <c r="I655" s="260">
        <v>8519</v>
      </c>
      <c r="J655" s="260">
        <v>0</v>
      </c>
      <c r="K655" s="260">
        <v>8519</v>
      </c>
      <c r="L655" s="260">
        <v>681</v>
      </c>
      <c r="M655" s="260">
        <v>9200</v>
      </c>
      <c r="N655" s="119">
        <v>1.4E-3</v>
      </c>
      <c r="O655" s="462" t="s">
        <v>934</v>
      </c>
    </row>
    <row r="656" spans="1:15" ht="18" customHeight="1" x14ac:dyDescent="0.25">
      <c r="A656" s="116">
        <v>9</v>
      </c>
      <c r="B656" s="117" t="s">
        <v>102</v>
      </c>
      <c r="C656" s="116">
        <v>209</v>
      </c>
      <c r="D656" s="120" t="s">
        <v>87</v>
      </c>
      <c r="E656" s="120" t="s">
        <v>1056</v>
      </c>
      <c r="F656" s="117" t="s">
        <v>933</v>
      </c>
      <c r="G656" s="281">
        <v>33</v>
      </c>
      <c r="H656" s="260">
        <v>18687</v>
      </c>
      <c r="I656" s="260">
        <v>619444</v>
      </c>
      <c r="J656" s="260">
        <v>2778</v>
      </c>
      <c r="K656" s="260">
        <v>616666</v>
      </c>
      <c r="L656" s="260">
        <v>49333</v>
      </c>
      <c r="M656" s="260">
        <v>665999</v>
      </c>
      <c r="N656" s="119">
        <v>0.10050000000000001</v>
      </c>
      <c r="O656" s="462" t="s">
        <v>934</v>
      </c>
    </row>
    <row r="657" spans="1:15" ht="18" customHeight="1" x14ac:dyDescent="0.25">
      <c r="A657" s="116">
        <v>9</v>
      </c>
      <c r="B657" s="117" t="s">
        <v>102</v>
      </c>
      <c r="C657" s="116">
        <v>314</v>
      </c>
      <c r="D657" s="120" t="s">
        <v>87</v>
      </c>
      <c r="E657" s="120" t="s">
        <v>999</v>
      </c>
      <c r="F657" s="117" t="s">
        <v>933</v>
      </c>
      <c r="G657" s="281">
        <v>2</v>
      </c>
      <c r="H657" s="260">
        <v>4167</v>
      </c>
      <c r="I657" s="260">
        <v>8333</v>
      </c>
      <c r="J657" s="260">
        <v>0</v>
      </c>
      <c r="K657" s="260">
        <v>8333</v>
      </c>
      <c r="L657" s="260">
        <v>667</v>
      </c>
      <c r="M657" s="260">
        <v>9000</v>
      </c>
      <c r="N657" s="119">
        <v>1.4E-3</v>
      </c>
      <c r="O657" s="462" t="s">
        <v>934</v>
      </c>
    </row>
    <row r="658" spans="1:15" ht="18" customHeight="1" x14ac:dyDescent="0.25">
      <c r="A658" s="116">
        <v>9</v>
      </c>
      <c r="B658" s="117" t="s">
        <v>102</v>
      </c>
      <c r="C658" s="116">
        <v>31</v>
      </c>
      <c r="D658" s="120" t="s">
        <v>95</v>
      </c>
      <c r="E658" s="120" t="s">
        <v>959</v>
      </c>
      <c r="F658" s="117" t="s">
        <v>933</v>
      </c>
      <c r="G658" s="281">
        <v>11</v>
      </c>
      <c r="H658" s="260">
        <v>1204</v>
      </c>
      <c r="I658" s="260">
        <v>13241</v>
      </c>
      <c r="J658" s="260">
        <v>0</v>
      </c>
      <c r="K658" s="260">
        <v>13241</v>
      </c>
      <c r="L658" s="260">
        <v>1059</v>
      </c>
      <c r="M658" s="260">
        <v>14300</v>
      </c>
      <c r="N658" s="119">
        <v>2.2000000000000001E-3</v>
      </c>
      <c r="O658" s="462" t="s">
        <v>934</v>
      </c>
    </row>
    <row r="659" spans="1:15" ht="18" customHeight="1" x14ac:dyDescent="0.25">
      <c r="A659" s="116">
        <v>9</v>
      </c>
      <c r="B659" s="117" t="s">
        <v>102</v>
      </c>
      <c r="C659" s="116">
        <v>212</v>
      </c>
      <c r="D659" s="120" t="s">
        <v>91</v>
      </c>
      <c r="E659" s="120" t="s">
        <v>165</v>
      </c>
      <c r="F659" s="117" t="s">
        <v>933</v>
      </c>
      <c r="G659" s="281">
        <v>2</v>
      </c>
      <c r="H659" s="260">
        <v>22222</v>
      </c>
      <c r="I659" s="260">
        <v>44444</v>
      </c>
      <c r="J659" s="260">
        <v>0</v>
      </c>
      <c r="K659" s="260">
        <v>44444</v>
      </c>
      <c r="L659" s="260">
        <v>3556</v>
      </c>
      <c r="M659" s="260">
        <v>48000</v>
      </c>
      <c r="N659" s="119">
        <v>7.1999999999999998E-3</v>
      </c>
      <c r="O659" s="462" t="s">
        <v>934</v>
      </c>
    </row>
    <row r="660" spans="1:15" ht="18" customHeight="1" x14ac:dyDescent="0.25">
      <c r="A660" s="116">
        <v>9</v>
      </c>
      <c r="B660" s="117" t="s">
        <v>102</v>
      </c>
      <c r="C660" s="116">
        <v>74</v>
      </c>
      <c r="D660" s="120" t="s">
        <v>91</v>
      </c>
      <c r="E660" s="120" t="s">
        <v>1000</v>
      </c>
      <c r="F660" s="117" t="s">
        <v>933</v>
      </c>
      <c r="G660" s="281">
        <v>3</v>
      </c>
      <c r="H660" s="260">
        <v>6481</v>
      </c>
      <c r="I660" s="260">
        <v>19444</v>
      </c>
      <c r="J660" s="260">
        <v>0</v>
      </c>
      <c r="K660" s="260">
        <v>19444</v>
      </c>
      <c r="L660" s="260">
        <v>1556</v>
      </c>
      <c r="M660" s="260">
        <v>21000</v>
      </c>
      <c r="N660" s="119">
        <v>3.2000000000000002E-3</v>
      </c>
      <c r="O660" s="462" t="s">
        <v>934</v>
      </c>
    </row>
    <row r="661" spans="1:15" ht="18" customHeight="1" x14ac:dyDescent="0.25">
      <c r="A661" s="116">
        <v>9</v>
      </c>
      <c r="B661" s="117" t="s">
        <v>102</v>
      </c>
      <c r="C661" s="116">
        <v>235</v>
      </c>
      <c r="D661" s="120" t="s">
        <v>91</v>
      </c>
      <c r="E661" s="120" t="s">
        <v>1001</v>
      </c>
      <c r="F661" s="117" t="s">
        <v>933</v>
      </c>
      <c r="G661" s="281">
        <v>3</v>
      </c>
      <c r="H661" s="260">
        <v>3426</v>
      </c>
      <c r="I661" s="260">
        <v>10278</v>
      </c>
      <c r="J661" s="260">
        <v>0</v>
      </c>
      <c r="K661" s="260">
        <v>10278</v>
      </c>
      <c r="L661" s="260">
        <v>822</v>
      </c>
      <c r="M661" s="260">
        <v>11100</v>
      </c>
      <c r="N661" s="119">
        <v>1.6999999999999999E-3</v>
      </c>
      <c r="O661" s="462" t="s">
        <v>934</v>
      </c>
    </row>
    <row r="662" spans="1:15" ht="18" customHeight="1" x14ac:dyDescent="0.25">
      <c r="A662" s="116">
        <v>9</v>
      </c>
      <c r="B662" s="117" t="s">
        <v>102</v>
      </c>
      <c r="C662" s="116">
        <v>75</v>
      </c>
      <c r="D662" s="120" t="s">
        <v>91</v>
      </c>
      <c r="E662" s="120" t="s">
        <v>961</v>
      </c>
      <c r="F662" s="117" t="s">
        <v>933</v>
      </c>
      <c r="G662" s="281">
        <v>5</v>
      </c>
      <c r="H662" s="260">
        <v>9259</v>
      </c>
      <c r="I662" s="260">
        <v>46296</v>
      </c>
      <c r="J662" s="260">
        <v>0</v>
      </c>
      <c r="K662" s="260">
        <v>46296</v>
      </c>
      <c r="L662" s="260">
        <v>3704</v>
      </c>
      <c r="M662" s="260">
        <v>50000</v>
      </c>
      <c r="N662" s="119">
        <v>7.4999999999999997E-3</v>
      </c>
      <c r="O662" s="462" t="s">
        <v>934</v>
      </c>
    </row>
    <row r="663" spans="1:15" ht="18" customHeight="1" x14ac:dyDescent="0.25">
      <c r="A663" s="116">
        <v>9</v>
      </c>
      <c r="B663" s="117" t="s">
        <v>102</v>
      </c>
      <c r="C663" s="116">
        <v>118</v>
      </c>
      <c r="D663" s="120" t="s">
        <v>87</v>
      </c>
      <c r="E663" s="120" t="s">
        <v>126</v>
      </c>
      <c r="F663" s="117" t="s">
        <v>933</v>
      </c>
      <c r="G663" s="281">
        <v>3</v>
      </c>
      <c r="H663" s="260">
        <v>41667</v>
      </c>
      <c r="I663" s="260">
        <v>125000</v>
      </c>
      <c r="J663" s="260">
        <v>0</v>
      </c>
      <c r="K663" s="260">
        <v>125000</v>
      </c>
      <c r="L663" s="260">
        <v>10000</v>
      </c>
      <c r="M663" s="260">
        <v>135000</v>
      </c>
      <c r="N663" s="119">
        <v>2.0400000000000001E-2</v>
      </c>
      <c r="O663" s="462" t="s">
        <v>934</v>
      </c>
    </row>
    <row r="664" spans="1:15" ht="18" customHeight="1" x14ac:dyDescent="0.25">
      <c r="A664" s="116">
        <v>9</v>
      </c>
      <c r="B664" s="117" t="s">
        <v>102</v>
      </c>
      <c r="C664" s="116">
        <v>205</v>
      </c>
      <c r="D664" s="120" t="s">
        <v>91</v>
      </c>
      <c r="E664" s="120" t="s">
        <v>1002</v>
      </c>
      <c r="F664" s="117" t="s">
        <v>933</v>
      </c>
      <c r="G664" s="281">
        <v>1</v>
      </c>
      <c r="H664" s="260">
        <v>12037</v>
      </c>
      <c r="I664" s="260">
        <v>12037</v>
      </c>
      <c r="J664" s="260">
        <v>0</v>
      </c>
      <c r="K664" s="260">
        <v>12037</v>
      </c>
      <c r="L664" s="260">
        <v>963</v>
      </c>
      <c r="M664" s="260">
        <v>13000</v>
      </c>
      <c r="N664" s="119">
        <v>2E-3</v>
      </c>
      <c r="O664" s="462" t="s">
        <v>934</v>
      </c>
    </row>
    <row r="665" spans="1:15" ht="18" customHeight="1" x14ac:dyDescent="0.25">
      <c r="A665" s="116">
        <v>9</v>
      </c>
      <c r="B665" s="117" t="s">
        <v>102</v>
      </c>
      <c r="C665" s="116">
        <v>109</v>
      </c>
      <c r="D665" s="120" t="s">
        <v>91</v>
      </c>
      <c r="E665" s="120" t="s">
        <v>147</v>
      </c>
      <c r="F665" s="117" t="s">
        <v>933</v>
      </c>
      <c r="G665" s="281">
        <v>5</v>
      </c>
      <c r="H665" s="260">
        <v>12963</v>
      </c>
      <c r="I665" s="260">
        <v>64815</v>
      </c>
      <c r="J665" s="260">
        <v>0</v>
      </c>
      <c r="K665" s="260">
        <v>64815</v>
      </c>
      <c r="L665" s="260">
        <v>5185</v>
      </c>
      <c r="M665" s="260">
        <v>70000</v>
      </c>
      <c r="N665" s="119">
        <v>1.06E-2</v>
      </c>
      <c r="O665" s="462" t="s">
        <v>934</v>
      </c>
    </row>
    <row r="666" spans="1:15" ht="18" customHeight="1" x14ac:dyDescent="0.25">
      <c r="A666" s="116">
        <v>9</v>
      </c>
      <c r="B666" s="117" t="s">
        <v>102</v>
      </c>
      <c r="C666" s="116">
        <v>147</v>
      </c>
      <c r="D666" s="120" t="s">
        <v>91</v>
      </c>
      <c r="E666" s="120" t="s">
        <v>963</v>
      </c>
      <c r="F666" s="117" t="s">
        <v>933</v>
      </c>
      <c r="G666" s="281">
        <v>2</v>
      </c>
      <c r="H666" s="260">
        <v>6481</v>
      </c>
      <c r="I666" s="260">
        <v>12963</v>
      </c>
      <c r="J666" s="260">
        <v>0</v>
      </c>
      <c r="K666" s="260">
        <v>12963</v>
      </c>
      <c r="L666" s="260">
        <v>1037</v>
      </c>
      <c r="M666" s="260">
        <v>14000</v>
      </c>
      <c r="N666" s="119">
        <v>2.0999999999999999E-3</v>
      </c>
      <c r="O666" s="462" t="s">
        <v>934</v>
      </c>
    </row>
    <row r="667" spans="1:15" ht="18" customHeight="1" x14ac:dyDescent="0.25">
      <c r="A667" s="116">
        <v>9</v>
      </c>
      <c r="B667" s="117" t="s">
        <v>102</v>
      </c>
      <c r="C667" s="116">
        <v>46</v>
      </c>
      <c r="D667" s="120" t="s">
        <v>87</v>
      </c>
      <c r="E667" s="120" t="s">
        <v>964</v>
      </c>
      <c r="F667" s="117" t="s">
        <v>933</v>
      </c>
      <c r="G667" s="281">
        <v>1</v>
      </c>
      <c r="H667" s="260">
        <v>35648</v>
      </c>
      <c r="I667" s="260">
        <v>35648</v>
      </c>
      <c r="J667" s="260">
        <v>0</v>
      </c>
      <c r="K667" s="260">
        <v>35648</v>
      </c>
      <c r="L667" s="260">
        <v>2852</v>
      </c>
      <c r="M667" s="260">
        <v>38500</v>
      </c>
      <c r="N667" s="119">
        <v>5.7999999999999996E-3</v>
      </c>
      <c r="O667" s="462" t="s">
        <v>934</v>
      </c>
    </row>
    <row r="668" spans="1:15" ht="18" customHeight="1" x14ac:dyDescent="0.25">
      <c r="A668" s="116">
        <v>9</v>
      </c>
      <c r="B668" s="117" t="s">
        <v>102</v>
      </c>
      <c r="C668" s="116">
        <v>72</v>
      </c>
      <c r="D668" s="120" t="s">
        <v>97</v>
      </c>
      <c r="E668" s="120" t="s">
        <v>965</v>
      </c>
      <c r="F668" s="117" t="s">
        <v>933</v>
      </c>
      <c r="G668" s="281">
        <v>9</v>
      </c>
      <c r="H668" s="260">
        <v>3704</v>
      </c>
      <c r="I668" s="260">
        <v>33333</v>
      </c>
      <c r="J668" s="260">
        <v>0</v>
      </c>
      <c r="K668" s="260">
        <v>33333</v>
      </c>
      <c r="L668" s="260">
        <v>2667</v>
      </c>
      <c r="M668" s="260">
        <v>36000</v>
      </c>
      <c r="N668" s="119">
        <v>5.4000000000000003E-3</v>
      </c>
      <c r="O668" s="462" t="s">
        <v>934</v>
      </c>
    </row>
    <row r="669" spans="1:15" ht="18" customHeight="1" x14ac:dyDescent="0.25">
      <c r="A669" s="116">
        <v>9</v>
      </c>
      <c r="B669" s="117" t="s">
        <v>102</v>
      </c>
      <c r="C669" s="116">
        <v>112</v>
      </c>
      <c r="D669" s="120" t="s">
        <v>87</v>
      </c>
      <c r="E669" s="120" t="s">
        <v>966</v>
      </c>
      <c r="F669" s="117" t="s">
        <v>933</v>
      </c>
      <c r="G669" s="281">
        <v>2</v>
      </c>
      <c r="H669" s="260">
        <v>41667</v>
      </c>
      <c r="I669" s="260">
        <v>83333</v>
      </c>
      <c r="J669" s="260">
        <v>0</v>
      </c>
      <c r="K669" s="260">
        <v>83333</v>
      </c>
      <c r="L669" s="260">
        <v>6667</v>
      </c>
      <c r="M669" s="260">
        <v>90000</v>
      </c>
      <c r="N669" s="119">
        <v>1.3599999999999999E-2</v>
      </c>
      <c r="O669" s="462" t="s">
        <v>934</v>
      </c>
    </row>
    <row r="670" spans="1:15" ht="18" customHeight="1" x14ac:dyDescent="0.25">
      <c r="A670" s="116">
        <v>9</v>
      </c>
      <c r="B670" s="117" t="s">
        <v>102</v>
      </c>
      <c r="C670" s="116">
        <v>227</v>
      </c>
      <c r="D670" s="120" t="s">
        <v>87</v>
      </c>
      <c r="E670" s="120" t="s">
        <v>1018</v>
      </c>
      <c r="F670" s="117" t="s">
        <v>933</v>
      </c>
      <c r="G670" s="281">
        <v>2</v>
      </c>
      <c r="H670" s="260">
        <v>1389</v>
      </c>
      <c r="I670" s="260">
        <v>2778</v>
      </c>
      <c r="J670" s="260">
        <v>0</v>
      </c>
      <c r="K670" s="260">
        <v>2778</v>
      </c>
      <c r="L670" s="260">
        <v>222</v>
      </c>
      <c r="M670" s="260">
        <v>3000</v>
      </c>
      <c r="N670" s="119">
        <v>5.0000000000000001E-4</v>
      </c>
      <c r="O670" s="462" t="s">
        <v>934</v>
      </c>
    </row>
    <row r="671" spans="1:15" ht="18" customHeight="1" x14ac:dyDescent="0.25">
      <c r="A671" s="116">
        <v>9</v>
      </c>
      <c r="B671" s="117" t="s">
        <v>102</v>
      </c>
      <c r="C671" s="116">
        <v>119</v>
      </c>
      <c r="D671" s="120" t="s">
        <v>89</v>
      </c>
      <c r="E671" s="120" t="s">
        <v>114</v>
      </c>
      <c r="F671" s="117" t="s">
        <v>933</v>
      </c>
      <c r="G671" s="281">
        <v>9</v>
      </c>
      <c r="H671" s="260">
        <v>44444</v>
      </c>
      <c r="I671" s="260">
        <v>400000</v>
      </c>
      <c r="J671" s="260">
        <v>0</v>
      </c>
      <c r="K671" s="260">
        <v>400000</v>
      </c>
      <c r="L671" s="260">
        <v>32000</v>
      </c>
      <c r="M671" s="260">
        <v>432000</v>
      </c>
      <c r="N671" s="119">
        <v>6.5199999999999994E-2</v>
      </c>
      <c r="O671" s="462" t="s">
        <v>934</v>
      </c>
    </row>
    <row r="672" spans="1:15" ht="18" customHeight="1" x14ac:dyDescent="0.25">
      <c r="A672" s="116">
        <v>9</v>
      </c>
      <c r="B672" s="117" t="s">
        <v>102</v>
      </c>
      <c r="C672" s="116">
        <v>19</v>
      </c>
      <c r="D672" s="120" t="s">
        <v>87</v>
      </c>
      <c r="E672" s="120" t="s">
        <v>968</v>
      </c>
      <c r="F672" s="117" t="s">
        <v>933</v>
      </c>
      <c r="G672" s="281">
        <v>1</v>
      </c>
      <c r="H672" s="260">
        <v>9259</v>
      </c>
      <c r="I672" s="260">
        <v>9259</v>
      </c>
      <c r="J672" s="260">
        <v>0</v>
      </c>
      <c r="K672" s="260">
        <v>9259</v>
      </c>
      <c r="L672" s="260">
        <v>741</v>
      </c>
      <c r="M672" s="260">
        <v>10000</v>
      </c>
      <c r="N672" s="119">
        <v>1.5E-3</v>
      </c>
      <c r="O672" s="462" t="s">
        <v>934</v>
      </c>
    </row>
    <row r="673" spans="1:15" ht="18" customHeight="1" x14ac:dyDescent="0.25">
      <c r="A673" s="116">
        <v>9</v>
      </c>
      <c r="B673" s="117" t="s">
        <v>102</v>
      </c>
      <c r="C673" s="116">
        <v>145</v>
      </c>
      <c r="D673" s="120" t="s">
        <v>87</v>
      </c>
      <c r="E673" s="120" t="s">
        <v>1028</v>
      </c>
      <c r="F673" s="117" t="s">
        <v>933</v>
      </c>
      <c r="G673" s="281">
        <v>11</v>
      </c>
      <c r="H673" s="260">
        <v>18645</v>
      </c>
      <c r="I673" s="260">
        <v>206481</v>
      </c>
      <c r="J673" s="260">
        <v>1389</v>
      </c>
      <c r="K673" s="260">
        <v>205092</v>
      </c>
      <c r="L673" s="260">
        <v>16407</v>
      </c>
      <c r="M673" s="260">
        <v>221499</v>
      </c>
      <c r="N673" s="119">
        <v>3.3399999999999999E-2</v>
      </c>
      <c r="O673" s="462" t="s">
        <v>934</v>
      </c>
    </row>
    <row r="674" spans="1:15" ht="18" customHeight="1" x14ac:dyDescent="0.25">
      <c r="A674" s="116">
        <v>9</v>
      </c>
      <c r="B674" s="117" t="s">
        <v>102</v>
      </c>
      <c r="C674" s="116">
        <v>77</v>
      </c>
      <c r="D674" s="120" t="s">
        <v>87</v>
      </c>
      <c r="E674" s="120" t="s">
        <v>969</v>
      </c>
      <c r="F674" s="117" t="s">
        <v>933</v>
      </c>
      <c r="G674" s="281">
        <v>1</v>
      </c>
      <c r="H674" s="260">
        <v>2778</v>
      </c>
      <c r="I674" s="260">
        <v>2778</v>
      </c>
      <c r="J674" s="260">
        <v>0</v>
      </c>
      <c r="K674" s="260">
        <v>2778</v>
      </c>
      <c r="L674" s="260">
        <v>222</v>
      </c>
      <c r="M674" s="260">
        <v>3000</v>
      </c>
      <c r="N674" s="119">
        <v>5.0000000000000001E-4</v>
      </c>
      <c r="O674" s="462" t="s">
        <v>934</v>
      </c>
    </row>
    <row r="675" spans="1:15" ht="18" customHeight="1" x14ac:dyDescent="0.25">
      <c r="A675" s="116">
        <v>9</v>
      </c>
      <c r="B675" s="117" t="s">
        <v>102</v>
      </c>
      <c r="C675" s="116">
        <v>168</v>
      </c>
      <c r="D675" s="120" t="s">
        <v>87</v>
      </c>
      <c r="E675" s="120" t="s">
        <v>1057</v>
      </c>
      <c r="F675" s="117" t="s">
        <v>933</v>
      </c>
      <c r="G675" s="281">
        <v>1</v>
      </c>
      <c r="H675" s="260">
        <v>6481</v>
      </c>
      <c r="I675" s="260">
        <v>6481</v>
      </c>
      <c r="J675" s="260">
        <v>0</v>
      </c>
      <c r="K675" s="260">
        <v>6481</v>
      </c>
      <c r="L675" s="260">
        <v>519</v>
      </c>
      <c r="M675" s="260">
        <v>7000</v>
      </c>
      <c r="N675" s="119">
        <v>1.1000000000000001E-3</v>
      </c>
      <c r="O675" s="462" t="s">
        <v>934</v>
      </c>
    </row>
    <row r="676" spans="1:15" ht="18" customHeight="1" x14ac:dyDescent="0.25">
      <c r="A676" s="116">
        <v>9</v>
      </c>
      <c r="B676" s="117" t="s">
        <v>102</v>
      </c>
      <c r="C676" s="116">
        <v>99</v>
      </c>
      <c r="D676" s="120" t="s">
        <v>87</v>
      </c>
      <c r="E676" s="120" t="s">
        <v>1058</v>
      </c>
      <c r="F676" s="117" t="s">
        <v>1059</v>
      </c>
      <c r="G676" s="281">
        <v>2</v>
      </c>
      <c r="H676" s="260">
        <v>3241</v>
      </c>
      <c r="I676" s="260">
        <v>6481</v>
      </c>
      <c r="J676" s="260">
        <v>0</v>
      </c>
      <c r="K676" s="260">
        <v>6481</v>
      </c>
      <c r="L676" s="260">
        <v>519</v>
      </c>
      <c r="M676" s="260">
        <v>7000</v>
      </c>
      <c r="N676" s="119">
        <v>1.1000000000000001E-3</v>
      </c>
      <c r="O676" s="462" t="s">
        <v>934</v>
      </c>
    </row>
    <row r="677" spans="1:15" ht="18" customHeight="1" x14ac:dyDescent="0.25">
      <c r="A677" s="116">
        <v>9</v>
      </c>
      <c r="B677" s="117" t="s">
        <v>102</v>
      </c>
      <c r="C677" s="116">
        <v>81</v>
      </c>
      <c r="D677" s="120" t="s">
        <v>95</v>
      </c>
      <c r="E677" s="120" t="s">
        <v>971</v>
      </c>
      <c r="F677" s="117" t="s">
        <v>933</v>
      </c>
      <c r="G677" s="281">
        <v>2</v>
      </c>
      <c r="H677" s="260">
        <v>1389</v>
      </c>
      <c r="I677" s="260">
        <v>2778</v>
      </c>
      <c r="J677" s="260">
        <v>0</v>
      </c>
      <c r="K677" s="260">
        <v>2778</v>
      </c>
      <c r="L677" s="260">
        <v>222</v>
      </c>
      <c r="M677" s="260">
        <v>3000</v>
      </c>
      <c r="N677" s="119">
        <v>5.0000000000000001E-4</v>
      </c>
      <c r="O677" s="462" t="s">
        <v>934</v>
      </c>
    </row>
    <row r="678" spans="1:15" ht="18" customHeight="1" x14ac:dyDescent="0.25">
      <c r="A678" s="116">
        <v>9</v>
      </c>
      <c r="B678" s="117" t="s">
        <v>102</v>
      </c>
      <c r="C678" s="116">
        <v>86</v>
      </c>
      <c r="D678" s="120" t="s">
        <v>95</v>
      </c>
      <c r="E678" s="120" t="s">
        <v>972</v>
      </c>
      <c r="F678" s="117" t="s">
        <v>933</v>
      </c>
      <c r="G678" s="281">
        <v>14</v>
      </c>
      <c r="H678" s="260">
        <v>3241</v>
      </c>
      <c r="I678" s="260">
        <v>45370</v>
      </c>
      <c r="J678" s="260">
        <v>0</v>
      </c>
      <c r="K678" s="260">
        <v>45370</v>
      </c>
      <c r="L678" s="260">
        <v>3630</v>
      </c>
      <c r="M678" s="260">
        <v>49000</v>
      </c>
      <c r="N678" s="119">
        <v>7.4000000000000003E-3</v>
      </c>
      <c r="O678" s="462" t="s">
        <v>934</v>
      </c>
    </row>
    <row r="679" spans="1:15" ht="18" customHeight="1" x14ac:dyDescent="0.25">
      <c r="A679" s="116">
        <v>9</v>
      </c>
      <c r="B679" s="117" t="s">
        <v>102</v>
      </c>
      <c r="C679" s="116">
        <v>211</v>
      </c>
      <c r="D679" s="120" t="s">
        <v>95</v>
      </c>
      <c r="E679" s="120" t="s">
        <v>1060</v>
      </c>
      <c r="F679" s="117" t="s">
        <v>933</v>
      </c>
      <c r="G679" s="281">
        <v>6</v>
      </c>
      <c r="H679" s="260">
        <v>6481</v>
      </c>
      <c r="I679" s="260">
        <v>38889</v>
      </c>
      <c r="J679" s="260">
        <v>0</v>
      </c>
      <c r="K679" s="260">
        <v>38889</v>
      </c>
      <c r="L679" s="260">
        <v>3111</v>
      </c>
      <c r="M679" s="260">
        <v>42000</v>
      </c>
      <c r="N679" s="119">
        <v>6.3E-3</v>
      </c>
      <c r="O679" s="462" t="s">
        <v>934</v>
      </c>
    </row>
    <row r="680" spans="1:15" ht="18" customHeight="1" x14ac:dyDescent="0.25">
      <c r="A680" s="116">
        <v>9</v>
      </c>
      <c r="B680" s="117" t="s">
        <v>102</v>
      </c>
      <c r="C680" s="116">
        <v>63</v>
      </c>
      <c r="D680" s="120" t="s">
        <v>95</v>
      </c>
      <c r="E680" s="120" t="s">
        <v>1031</v>
      </c>
      <c r="F680" s="117" t="s">
        <v>933</v>
      </c>
      <c r="G680" s="281">
        <v>2</v>
      </c>
      <c r="H680" s="260">
        <v>3704</v>
      </c>
      <c r="I680" s="260">
        <v>7407</v>
      </c>
      <c r="J680" s="260">
        <v>0</v>
      </c>
      <c r="K680" s="260">
        <v>7407</v>
      </c>
      <c r="L680" s="260">
        <v>593</v>
      </c>
      <c r="M680" s="260">
        <v>8000</v>
      </c>
      <c r="N680" s="119">
        <v>1.1999999999999999E-3</v>
      </c>
      <c r="O680" s="462" t="s">
        <v>934</v>
      </c>
    </row>
    <row r="681" spans="1:15" ht="18" customHeight="1" x14ac:dyDescent="0.25">
      <c r="A681" s="116">
        <v>9</v>
      </c>
      <c r="B681" s="117" t="s">
        <v>102</v>
      </c>
      <c r="C681" s="116">
        <v>79</v>
      </c>
      <c r="D681" s="120" t="s">
        <v>95</v>
      </c>
      <c r="E681" s="120" t="s">
        <v>975</v>
      </c>
      <c r="F681" s="117" t="s">
        <v>933</v>
      </c>
      <c r="G681" s="281">
        <v>5</v>
      </c>
      <c r="H681" s="260">
        <v>6481</v>
      </c>
      <c r="I681" s="260">
        <v>32407</v>
      </c>
      <c r="J681" s="260">
        <v>0</v>
      </c>
      <c r="K681" s="260">
        <v>32407</v>
      </c>
      <c r="L681" s="260">
        <v>2593</v>
      </c>
      <c r="M681" s="260">
        <v>35000</v>
      </c>
      <c r="N681" s="119">
        <v>5.3E-3</v>
      </c>
      <c r="O681" s="462" t="s">
        <v>934</v>
      </c>
    </row>
    <row r="682" spans="1:15" ht="18" customHeight="1" x14ac:dyDescent="0.25">
      <c r="A682" s="116">
        <v>9</v>
      </c>
      <c r="B682" s="117" t="s">
        <v>102</v>
      </c>
      <c r="C682" s="116">
        <v>62</v>
      </c>
      <c r="D682" s="120" t="s">
        <v>95</v>
      </c>
      <c r="E682" s="120" t="s">
        <v>976</v>
      </c>
      <c r="F682" s="117" t="s">
        <v>933</v>
      </c>
      <c r="G682" s="281">
        <v>7</v>
      </c>
      <c r="H682" s="260">
        <v>6944</v>
      </c>
      <c r="I682" s="260">
        <v>48611</v>
      </c>
      <c r="J682" s="260">
        <v>0</v>
      </c>
      <c r="K682" s="260">
        <v>48611</v>
      </c>
      <c r="L682" s="260">
        <v>3889</v>
      </c>
      <c r="M682" s="260">
        <v>52500</v>
      </c>
      <c r="N682" s="119">
        <v>7.9000000000000008E-3</v>
      </c>
      <c r="O682" s="462" t="s">
        <v>934</v>
      </c>
    </row>
    <row r="683" spans="1:15" ht="18" customHeight="1" x14ac:dyDescent="0.25">
      <c r="A683" s="116">
        <v>9</v>
      </c>
      <c r="B683" s="117" t="s">
        <v>102</v>
      </c>
      <c r="C683" s="116">
        <v>78</v>
      </c>
      <c r="D683" s="120" t="s">
        <v>95</v>
      </c>
      <c r="E683" s="120" t="s">
        <v>977</v>
      </c>
      <c r="F683" s="117" t="s">
        <v>933</v>
      </c>
      <c r="G683" s="281">
        <v>1</v>
      </c>
      <c r="H683" s="260">
        <v>6481</v>
      </c>
      <c r="I683" s="260">
        <v>6481</v>
      </c>
      <c r="J683" s="260">
        <v>0</v>
      </c>
      <c r="K683" s="260">
        <v>6481</v>
      </c>
      <c r="L683" s="260">
        <v>519</v>
      </c>
      <c r="M683" s="260">
        <v>7000</v>
      </c>
      <c r="N683" s="119">
        <v>1.1000000000000001E-3</v>
      </c>
      <c r="O683" s="462" t="s">
        <v>934</v>
      </c>
    </row>
    <row r="684" spans="1:15" ht="18" customHeight="1" x14ac:dyDescent="0.25">
      <c r="A684" s="116">
        <v>9</v>
      </c>
      <c r="B684" s="117" t="s">
        <v>102</v>
      </c>
      <c r="C684" s="116">
        <v>137</v>
      </c>
      <c r="D684" s="120" t="s">
        <v>95</v>
      </c>
      <c r="E684" s="120" t="s">
        <v>1006</v>
      </c>
      <c r="F684" s="117" t="s">
        <v>933</v>
      </c>
      <c r="G684" s="281">
        <v>4</v>
      </c>
      <c r="H684" s="260">
        <v>6481</v>
      </c>
      <c r="I684" s="260">
        <v>25926</v>
      </c>
      <c r="J684" s="260">
        <v>0</v>
      </c>
      <c r="K684" s="260">
        <v>25926</v>
      </c>
      <c r="L684" s="260">
        <v>2074</v>
      </c>
      <c r="M684" s="260">
        <v>28000</v>
      </c>
      <c r="N684" s="119">
        <v>4.1999999999999997E-3</v>
      </c>
      <c r="O684" s="462" t="s">
        <v>934</v>
      </c>
    </row>
    <row r="685" spans="1:15" ht="18" customHeight="1" x14ac:dyDescent="0.25">
      <c r="A685" s="116">
        <v>9</v>
      </c>
      <c r="B685" s="117" t="s">
        <v>102</v>
      </c>
      <c r="C685" s="116">
        <v>219</v>
      </c>
      <c r="D685" s="120" t="s">
        <v>87</v>
      </c>
      <c r="E685" s="120" t="s">
        <v>153</v>
      </c>
      <c r="F685" s="117" t="s">
        <v>933</v>
      </c>
      <c r="G685" s="281">
        <v>2</v>
      </c>
      <c r="H685" s="260">
        <v>69444</v>
      </c>
      <c r="I685" s="260">
        <v>138889</v>
      </c>
      <c r="J685" s="260">
        <v>0</v>
      </c>
      <c r="K685" s="260">
        <v>138889</v>
      </c>
      <c r="L685" s="260">
        <v>11111</v>
      </c>
      <c r="M685" s="260">
        <v>150000</v>
      </c>
      <c r="N685" s="119">
        <v>2.2599999999999999E-2</v>
      </c>
      <c r="O685" s="462" t="s">
        <v>934</v>
      </c>
    </row>
    <row r="686" spans="1:15" ht="18" customHeight="1" x14ac:dyDescent="0.25">
      <c r="A686" s="116">
        <v>9</v>
      </c>
      <c r="B686" s="117" t="s">
        <v>102</v>
      </c>
      <c r="C686" s="116">
        <v>220</v>
      </c>
      <c r="D686" s="120" t="s">
        <v>87</v>
      </c>
      <c r="E686" s="120" t="s">
        <v>1044</v>
      </c>
      <c r="F686" s="117" t="s">
        <v>933</v>
      </c>
      <c r="G686" s="281">
        <v>1</v>
      </c>
      <c r="H686" s="260">
        <v>69444</v>
      </c>
      <c r="I686" s="260">
        <v>69444</v>
      </c>
      <c r="J686" s="260">
        <v>0</v>
      </c>
      <c r="K686" s="260">
        <v>69444</v>
      </c>
      <c r="L686" s="260">
        <v>5556</v>
      </c>
      <c r="M686" s="260">
        <v>75000</v>
      </c>
      <c r="N686" s="119">
        <v>1.1299999999999999E-2</v>
      </c>
      <c r="O686" s="462" t="s">
        <v>934</v>
      </c>
    </row>
    <row r="687" spans="1:15" ht="18" customHeight="1" x14ac:dyDescent="0.25">
      <c r="A687" s="116">
        <v>9</v>
      </c>
      <c r="B687" s="117" t="s">
        <v>102</v>
      </c>
      <c r="C687" s="116">
        <v>223</v>
      </c>
      <c r="D687" s="120" t="s">
        <v>87</v>
      </c>
      <c r="E687" s="120" t="s">
        <v>141</v>
      </c>
      <c r="F687" s="117" t="s">
        <v>933</v>
      </c>
      <c r="G687" s="281">
        <v>1</v>
      </c>
      <c r="H687" s="260">
        <v>69444</v>
      </c>
      <c r="I687" s="260">
        <v>69444</v>
      </c>
      <c r="J687" s="260">
        <v>0</v>
      </c>
      <c r="K687" s="260">
        <v>69444</v>
      </c>
      <c r="L687" s="260">
        <v>5556</v>
      </c>
      <c r="M687" s="260">
        <v>75000</v>
      </c>
      <c r="N687" s="119">
        <v>1.1299999999999999E-2</v>
      </c>
      <c r="O687" s="462" t="s">
        <v>934</v>
      </c>
    </row>
    <row r="688" spans="1:15" ht="18" customHeight="1" x14ac:dyDescent="0.25">
      <c r="A688" s="116">
        <v>9</v>
      </c>
      <c r="B688" s="117" t="s">
        <v>102</v>
      </c>
      <c r="C688" s="116">
        <v>50</v>
      </c>
      <c r="D688" s="120" t="s">
        <v>87</v>
      </c>
      <c r="E688" s="120" t="s">
        <v>159</v>
      </c>
      <c r="F688" s="117" t="s">
        <v>933</v>
      </c>
      <c r="G688" s="281">
        <v>3</v>
      </c>
      <c r="H688" s="260">
        <v>49074</v>
      </c>
      <c r="I688" s="260">
        <v>147222</v>
      </c>
      <c r="J688" s="260">
        <v>0</v>
      </c>
      <c r="K688" s="260">
        <v>147222</v>
      </c>
      <c r="L688" s="260">
        <v>11778</v>
      </c>
      <c r="M688" s="260">
        <v>159000</v>
      </c>
      <c r="N688" s="119">
        <v>2.4E-2</v>
      </c>
      <c r="O688" s="462" t="s">
        <v>934</v>
      </c>
    </row>
    <row r="689" spans="1:15" ht="18" customHeight="1" x14ac:dyDescent="0.25">
      <c r="A689" s="116">
        <v>9</v>
      </c>
      <c r="B689" s="117" t="s">
        <v>102</v>
      </c>
      <c r="C689" s="116">
        <v>10</v>
      </c>
      <c r="D689" s="120" t="s">
        <v>87</v>
      </c>
      <c r="E689" s="120" t="s">
        <v>1033</v>
      </c>
      <c r="F689" s="117" t="s">
        <v>933</v>
      </c>
      <c r="G689" s="281">
        <v>1</v>
      </c>
      <c r="H689" s="260">
        <v>13889</v>
      </c>
      <c r="I689" s="260">
        <v>13889</v>
      </c>
      <c r="J689" s="260">
        <v>0</v>
      </c>
      <c r="K689" s="260">
        <v>13889</v>
      </c>
      <c r="L689" s="260">
        <v>1111</v>
      </c>
      <c r="M689" s="260">
        <v>15000</v>
      </c>
      <c r="N689" s="119">
        <v>2.3E-3</v>
      </c>
      <c r="O689" s="462" t="s">
        <v>934</v>
      </c>
    </row>
    <row r="690" spans="1:15" ht="18" customHeight="1" x14ac:dyDescent="0.25">
      <c r="A690" s="116">
        <v>9</v>
      </c>
      <c r="B690" s="117" t="s">
        <v>102</v>
      </c>
      <c r="C690" s="116">
        <v>129</v>
      </c>
      <c r="D690" s="120" t="s">
        <v>93</v>
      </c>
      <c r="E690" s="120" t="s">
        <v>983</v>
      </c>
      <c r="F690" s="117" t="s">
        <v>933</v>
      </c>
      <c r="G690" s="281">
        <v>2</v>
      </c>
      <c r="H690" s="260">
        <v>44444</v>
      </c>
      <c r="I690" s="260">
        <v>88889</v>
      </c>
      <c r="J690" s="260">
        <v>0</v>
      </c>
      <c r="K690" s="260">
        <v>88889</v>
      </c>
      <c r="L690" s="260">
        <v>7111</v>
      </c>
      <c r="M690" s="260">
        <v>96000</v>
      </c>
      <c r="N690" s="119">
        <v>1.4500000000000001E-2</v>
      </c>
      <c r="O690" s="462" t="s">
        <v>934</v>
      </c>
    </row>
    <row r="691" spans="1:15" ht="18" customHeight="1" x14ac:dyDescent="0.25">
      <c r="A691" s="116">
        <v>9</v>
      </c>
      <c r="B691" s="117" t="s">
        <v>102</v>
      </c>
      <c r="C691" s="116">
        <v>117</v>
      </c>
      <c r="D691" s="120" t="s">
        <v>87</v>
      </c>
      <c r="E691" s="120" t="s">
        <v>120</v>
      </c>
      <c r="F691" s="117" t="s">
        <v>933</v>
      </c>
      <c r="G691" s="281">
        <v>6</v>
      </c>
      <c r="H691" s="260">
        <v>41667</v>
      </c>
      <c r="I691" s="260">
        <v>250000</v>
      </c>
      <c r="J691" s="260">
        <v>0</v>
      </c>
      <c r="K691" s="260">
        <v>250000</v>
      </c>
      <c r="L691" s="260">
        <v>20000</v>
      </c>
      <c r="M691" s="260">
        <v>270000</v>
      </c>
      <c r="N691" s="119">
        <v>4.07E-2</v>
      </c>
      <c r="O691" s="462" t="s">
        <v>934</v>
      </c>
    </row>
    <row r="692" spans="1:15" ht="18" customHeight="1" x14ac:dyDescent="0.25">
      <c r="A692" s="116">
        <v>9</v>
      </c>
      <c r="B692" s="117" t="s">
        <v>102</v>
      </c>
      <c r="C692" s="116">
        <v>61</v>
      </c>
      <c r="D692" s="120" t="s">
        <v>97</v>
      </c>
      <c r="E692" s="120" t="s">
        <v>985</v>
      </c>
      <c r="F692" s="117" t="s">
        <v>933</v>
      </c>
      <c r="G692" s="281">
        <v>10</v>
      </c>
      <c r="H692" s="260">
        <v>4603</v>
      </c>
      <c r="I692" s="260">
        <v>46296</v>
      </c>
      <c r="J692" s="260">
        <v>265</v>
      </c>
      <c r="K692" s="260">
        <v>46031</v>
      </c>
      <c r="L692" s="260">
        <v>3683</v>
      </c>
      <c r="M692" s="260">
        <v>49714</v>
      </c>
      <c r="N692" s="119">
        <v>7.4999999999999997E-3</v>
      </c>
      <c r="O692" s="462" t="s">
        <v>934</v>
      </c>
    </row>
    <row r="693" spans="1:15" ht="18" customHeight="1" x14ac:dyDescent="0.25">
      <c r="A693" s="116">
        <v>9</v>
      </c>
      <c r="B693" s="117" t="s">
        <v>102</v>
      </c>
      <c r="C693" s="116">
        <v>215</v>
      </c>
      <c r="D693" s="120" t="s">
        <v>87</v>
      </c>
      <c r="E693" s="120" t="s">
        <v>132</v>
      </c>
      <c r="F693" s="117" t="s">
        <v>933</v>
      </c>
      <c r="G693" s="281">
        <v>1</v>
      </c>
      <c r="H693" s="260">
        <v>37500</v>
      </c>
      <c r="I693" s="260">
        <v>37500</v>
      </c>
      <c r="J693" s="260">
        <v>0</v>
      </c>
      <c r="K693" s="260">
        <v>37500</v>
      </c>
      <c r="L693" s="260">
        <v>3000</v>
      </c>
      <c r="M693" s="260">
        <v>40500</v>
      </c>
      <c r="N693" s="119">
        <v>6.1000000000000004E-3</v>
      </c>
      <c r="O693" s="462" t="s">
        <v>934</v>
      </c>
    </row>
    <row r="694" spans="1:15" ht="18" customHeight="1" x14ac:dyDescent="0.25">
      <c r="A694" s="116">
        <v>9</v>
      </c>
      <c r="B694" s="117" t="s">
        <v>102</v>
      </c>
      <c r="C694" s="116">
        <v>214</v>
      </c>
      <c r="D694" s="120" t="s">
        <v>87</v>
      </c>
      <c r="E694" s="120" t="s">
        <v>1007</v>
      </c>
      <c r="F694" s="117" t="s">
        <v>933</v>
      </c>
      <c r="G694" s="281">
        <v>1</v>
      </c>
      <c r="H694" s="260">
        <v>37500</v>
      </c>
      <c r="I694" s="260">
        <v>37500</v>
      </c>
      <c r="J694" s="260">
        <v>0</v>
      </c>
      <c r="K694" s="260">
        <v>37500</v>
      </c>
      <c r="L694" s="260">
        <v>3000</v>
      </c>
      <c r="M694" s="260">
        <v>40500</v>
      </c>
      <c r="N694" s="119">
        <v>6.1000000000000004E-3</v>
      </c>
      <c r="O694" s="462" t="s">
        <v>934</v>
      </c>
    </row>
    <row r="695" spans="1:15" ht="18" customHeight="1" x14ac:dyDescent="0.25">
      <c r="A695" s="116">
        <v>9</v>
      </c>
      <c r="B695" s="117" t="s">
        <v>102</v>
      </c>
      <c r="C695" s="116">
        <v>33</v>
      </c>
      <c r="D695" s="120" t="s">
        <v>91</v>
      </c>
      <c r="E695" s="120" t="s">
        <v>987</v>
      </c>
      <c r="F695" s="117" t="s">
        <v>933</v>
      </c>
      <c r="G695" s="281">
        <v>4</v>
      </c>
      <c r="H695" s="260">
        <v>1852</v>
      </c>
      <c r="I695" s="260">
        <v>7407</v>
      </c>
      <c r="J695" s="260">
        <v>0</v>
      </c>
      <c r="K695" s="260">
        <v>7407</v>
      </c>
      <c r="L695" s="260">
        <v>593</v>
      </c>
      <c r="M695" s="260">
        <v>8000</v>
      </c>
      <c r="N695" s="119">
        <v>1.1999999999999999E-3</v>
      </c>
      <c r="O695" s="462" t="s">
        <v>934</v>
      </c>
    </row>
    <row r="696" spans="1:15" ht="18" customHeight="1" x14ac:dyDescent="0.25">
      <c r="A696" s="116">
        <v>9</v>
      </c>
      <c r="B696" s="117" t="s">
        <v>102</v>
      </c>
      <c r="C696" s="116">
        <v>39</v>
      </c>
      <c r="D696" s="120" t="s">
        <v>91</v>
      </c>
      <c r="E696" s="120" t="s">
        <v>1011</v>
      </c>
      <c r="F696" s="117" t="s">
        <v>933</v>
      </c>
      <c r="G696" s="281">
        <v>1</v>
      </c>
      <c r="H696" s="260">
        <v>3333</v>
      </c>
      <c r="I696" s="260">
        <v>3333</v>
      </c>
      <c r="J696" s="260">
        <v>0</v>
      </c>
      <c r="K696" s="260">
        <v>3333</v>
      </c>
      <c r="L696" s="260">
        <v>267</v>
      </c>
      <c r="M696" s="260">
        <v>3600</v>
      </c>
      <c r="N696" s="119">
        <v>5.0000000000000001E-4</v>
      </c>
      <c r="O696" s="462" t="s">
        <v>934</v>
      </c>
    </row>
    <row r="697" spans="1:15" ht="18" customHeight="1" x14ac:dyDescent="0.25">
      <c r="A697" s="116">
        <v>10</v>
      </c>
      <c r="B697" s="117" t="s">
        <v>103</v>
      </c>
      <c r="C697" s="116">
        <v>73</v>
      </c>
      <c r="D697" s="120" t="s">
        <v>91</v>
      </c>
      <c r="E697" s="120" t="s">
        <v>932</v>
      </c>
      <c r="F697" s="117" t="s">
        <v>933</v>
      </c>
      <c r="G697" s="281">
        <v>19</v>
      </c>
      <c r="H697" s="260">
        <v>2593</v>
      </c>
      <c r="I697" s="260">
        <v>49259</v>
      </c>
      <c r="J697" s="260">
        <v>0</v>
      </c>
      <c r="K697" s="260">
        <v>49259</v>
      </c>
      <c r="L697" s="260">
        <v>3941</v>
      </c>
      <c r="M697" s="260">
        <v>53200</v>
      </c>
      <c r="N697" s="119">
        <v>8.1000000000000013E-3</v>
      </c>
      <c r="O697" s="462" t="s">
        <v>934</v>
      </c>
    </row>
    <row r="698" spans="1:15" ht="18" customHeight="1" x14ac:dyDescent="0.25">
      <c r="A698" s="116">
        <v>10</v>
      </c>
      <c r="B698" s="117" t="s">
        <v>103</v>
      </c>
      <c r="C698" s="116">
        <v>131</v>
      </c>
      <c r="D698" s="120" t="s">
        <v>87</v>
      </c>
      <c r="E698" s="120" t="s">
        <v>991</v>
      </c>
      <c r="F698" s="117" t="s">
        <v>933</v>
      </c>
      <c r="G698" s="281">
        <v>1</v>
      </c>
      <c r="H698" s="260">
        <v>278</v>
      </c>
      <c r="I698" s="260">
        <v>278</v>
      </c>
      <c r="J698" s="260">
        <v>0</v>
      </c>
      <c r="K698" s="260">
        <v>278</v>
      </c>
      <c r="L698" s="260">
        <v>22</v>
      </c>
      <c r="M698" s="260">
        <v>300</v>
      </c>
      <c r="N698" s="119">
        <v>0</v>
      </c>
      <c r="O698" s="462" t="s">
        <v>934</v>
      </c>
    </row>
    <row r="699" spans="1:15" ht="18" customHeight="1" x14ac:dyDescent="0.25">
      <c r="A699" s="116">
        <v>10</v>
      </c>
      <c r="B699" s="117" t="s">
        <v>103</v>
      </c>
      <c r="C699" s="116">
        <v>104</v>
      </c>
      <c r="D699" s="120" t="s">
        <v>89</v>
      </c>
      <c r="E699" s="120" t="s">
        <v>162</v>
      </c>
      <c r="F699" s="117" t="s">
        <v>933</v>
      </c>
      <c r="G699" s="281">
        <v>16</v>
      </c>
      <c r="H699" s="260">
        <v>16175</v>
      </c>
      <c r="I699" s="260">
        <v>258796</v>
      </c>
      <c r="J699" s="260">
        <v>0</v>
      </c>
      <c r="K699" s="260">
        <v>258796</v>
      </c>
      <c r="L699" s="260">
        <v>20704</v>
      </c>
      <c r="M699" s="260">
        <v>279500</v>
      </c>
      <c r="N699" s="119">
        <v>4.2299999999999997E-2</v>
      </c>
      <c r="O699" s="462" t="s">
        <v>934</v>
      </c>
    </row>
    <row r="700" spans="1:15" ht="18" customHeight="1" x14ac:dyDescent="0.25">
      <c r="A700" s="116">
        <v>10</v>
      </c>
      <c r="B700" s="117" t="s">
        <v>103</v>
      </c>
      <c r="C700" s="116">
        <v>95</v>
      </c>
      <c r="D700" s="120" t="s">
        <v>87</v>
      </c>
      <c r="E700" s="120" t="s">
        <v>938</v>
      </c>
      <c r="F700" s="117" t="s">
        <v>933</v>
      </c>
      <c r="G700" s="281">
        <v>4</v>
      </c>
      <c r="H700" s="260">
        <v>926</v>
      </c>
      <c r="I700" s="260">
        <v>3704</v>
      </c>
      <c r="J700" s="260">
        <v>0</v>
      </c>
      <c r="K700" s="260">
        <v>3704</v>
      </c>
      <c r="L700" s="260">
        <v>296</v>
      </c>
      <c r="M700" s="260">
        <v>4000</v>
      </c>
      <c r="N700" s="119">
        <v>5.9999999999999995E-4</v>
      </c>
      <c r="O700" s="462" t="s">
        <v>934</v>
      </c>
    </row>
    <row r="701" spans="1:15" ht="18" customHeight="1" x14ac:dyDescent="0.25">
      <c r="A701" s="116">
        <v>10</v>
      </c>
      <c r="B701" s="117" t="s">
        <v>103</v>
      </c>
      <c r="C701" s="116">
        <v>54</v>
      </c>
      <c r="D701" s="120" t="s">
        <v>91</v>
      </c>
      <c r="E701" s="120" t="s">
        <v>992</v>
      </c>
      <c r="F701" s="117" t="s">
        <v>933</v>
      </c>
      <c r="G701" s="281">
        <v>2</v>
      </c>
      <c r="H701" s="260">
        <v>2315</v>
      </c>
      <c r="I701" s="260">
        <v>4630</v>
      </c>
      <c r="J701" s="260">
        <v>0</v>
      </c>
      <c r="K701" s="260">
        <v>4630</v>
      </c>
      <c r="L701" s="260">
        <v>370</v>
      </c>
      <c r="M701" s="260">
        <v>5000</v>
      </c>
      <c r="N701" s="119">
        <v>8.0000000000000004E-4</v>
      </c>
      <c r="O701" s="462" t="s">
        <v>934</v>
      </c>
    </row>
    <row r="702" spans="1:15" ht="18" customHeight="1" x14ac:dyDescent="0.25">
      <c r="A702" s="116">
        <v>10</v>
      </c>
      <c r="B702" s="117" t="s">
        <v>103</v>
      </c>
      <c r="C702" s="116">
        <v>5</v>
      </c>
      <c r="D702" s="120" t="s">
        <v>89</v>
      </c>
      <c r="E702" s="120" t="s">
        <v>993</v>
      </c>
      <c r="F702" s="117" t="s">
        <v>933</v>
      </c>
      <c r="G702" s="281">
        <v>1</v>
      </c>
      <c r="H702" s="260">
        <v>11111</v>
      </c>
      <c r="I702" s="260">
        <v>11111</v>
      </c>
      <c r="J702" s="260">
        <v>0</v>
      </c>
      <c r="K702" s="260">
        <v>11111</v>
      </c>
      <c r="L702" s="260">
        <v>889</v>
      </c>
      <c r="M702" s="260">
        <v>12000</v>
      </c>
      <c r="N702" s="119">
        <v>1.8E-3</v>
      </c>
      <c r="O702" s="462" t="s">
        <v>934</v>
      </c>
    </row>
    <row r="703" spans="1:15" ht="18" customHeight="1" x14ac:dyDescent="0.25">
      <c r="A703" s="116">
        <v>10</v>
      </c>
      <c r="B703" s="117" t="s">
        <v>103</v>
      </c>
      <c r="C703" s="116">
        <v>136</v>
      </c>
      <c r="D703" s="120" t="s">
        <v>89</v>
      </c>
      <c r="E703" s="120" t="s">
        <v>939</v>
      </c>
      <c r="F703" s="117" t="s">
        <v>933</v>
      </c>
      <c r="G703" s="281">
        <v>7</v>
      </c>
      <c r="H703" s="260">
        <v>24074</v>
      </c>
      <c r="I703" s="260">
        <v>168519</v>
      </c>
      <c r="J703" s="260">
        <v>0</v>
      </c>
      <c r="K703" s="260">
        <v>168519</v>
      </c>
      <c r="L703" s="260">
        <v>13481</v>
      </c>
      <c r="M703" s="260">
        <v>182000</v>
      </c>
      <c r="N703" s="119">
        <v>2.75E-2</v>
      </c>
      <c r="O703" s="462" t="s">
        <v>934</v>
      </c>
    </row>
    <row r="704" spans="1:15" ht="18" customHeight="1" x14ac:dyDescent="0.25">
      <c r="A704" s="116">
        <v>10</v>
      </c>
      <c r="B704" s="117" t="s">
        <v>103</v>
      </c>
      <c r="C704" s="116">
        <v>6</v>
      </c>
      <c r="D704" s="120" t="s">
        <v>89</v>
      </c>
      <c r="E704" s="120" t="s">
        <v>994</v>
      </c>
      <c r="F704" s="117" t="s">
        <v>933</v>
      </c>
      <c r="G704" s="281">
        <v>3</v>
      </c>
      <c r="H704" s="260">
        <v>14815</v>
      </c>
      <c r="I704" s="260">
        <v>44444</v>
      </c>
      <c r="J704" s="260">
        <v>0</v>
      </c>
      <c r="K704" s="260">
        <v>44444</v>
      </c>
      <c r="L704" s="260">
        <v>3556</v>
      </c>
      <c r="M704" s="260">
        <v>48000</v>
      </c>
      <c r="N704" s="119">
        <v>7.3000000000000001E-3</v>
      </c>
      <c r="O704" s="462" t="s">
        <v>934</v>
      </c>
    </row>
    <row r="705" spans="1:15" ht="18" customHeight="1" x14ac:dyDescent="0.25">
      <c r="A705" s="116">
        <v>10</v>
      </c>
      <c r="B705" s="117" t="s">
        <v>103</v>
      </c>
      <c r="C705" s="116">
        <v>8</v>
      </c>
      <c r="D705" s="120" t="s">
        <v>87</v>
      </c>
      <c r="E705" s="120" t="s">
        <v>156</v>
      </c>
      <c r="F705" s="117" t="s">
        <v>933</v>
      </c>
      <c r="G705" s="281">
        <v>5</v>
      </c>
      <c r="H705" s="260">
        <v>18704</v>
      </c>
      <c r="I705" s="260">
        <v>93519</v>
      </c>
      <c r="J705" s="260">
        <v>0</v>
      </c>
      <c r="K705" s="260">
        <v>93519</v>
      </c>
      <c r="L705" s="260">
        <v>7481</v>
      </c>
      <c r="M705" s="260">
        <v>101000</v>
      </c>
      <c r="N705" s="119">
        <v>1.5299999999999999E-2</v>
      </c>
      <c r="O705" s="462" t="s">
        <v>934</v>
      </c>
    </row>
    <row r="706" spans="1:15" ht="18" customHeight="1" x14ac:dyDescent="0.25">
      <c r="A706" s="116">
        <v>10</v>
      </c>
      <c r="B706" s="117" t="s">
        <v>103</v>
      </c>
      <c r="C706" s="116">
        <v>87</v>
      </c>
      <c r="D706" s="120" t="s">
        <v>89</v>
      </c>
      <c r="E706" s="120" t="s">
        <v>144</v>
      </c>
      <c r="F706" s="117" t="s">
        <v>933</v>
      </c>
      <c r="G706" s="281">
        <v>1</v>
      </c>
      <c r="H706" s="260">
        <v>37500</v>
      </c>
      <c r="I706" s="260">
        <v>37500</v>
      </c>
      <c r="J706" s="260">
        <v>0</v>
      </c>
      <c r="K706" s="260">
        <v>37500</v>
      </c>
      <c r="L706" s="260">
        <v>3000</v>
      </c>
      <c r="M706" s="260">
        <v>40500</v>
      </c>
      <c r="N706" s="119">
        <v>6.1000000000000004E-3</v>
      </c>
      <c r="O706" s="462" t="s">
        <v>934</v>
      </c>
    </row>
    <row r="707" spans="1:15" ht="18" customHeight="1" x14ac:dyDescent="0.25">
      <c r="A707" s="116">
        <v>10</v>
      </c>
      <c r="B707" s="117" t="s">
        <v>103</v>
      </c>
      <c r="C707" s="116">
        <v>206</v>
      </c>
      <c r="D707" s="120" t="s">
        <v>93</v>
      </c>
      <c r="E707" s="120" t="s">
        <v>941</v>
      </c>
      <c r="F707" s="117" t="s">
        <v>933</v>
      </c>
      <c r="G707" s="281">
        <v>1</v>
      </c>
      <c r="H707" s="260">
        <v>44907</v>
      </c>
      <c r="I707" s="260">
        <v>44907</v>
      </c>
      <c r="J707" s="260">
        <v>0</v>
      </c>
      <c r="K707" s="260">
        <v>44907</v>
      </c>
      <c r="L707" s="260">
        <v>3593</v>
      </c>
      <c r="M707" s="260">
        <v>48500</v>
      </c>
      <c r="N707" s="119">
        <v>7.3000000000000001E-3</v>
      </c>
      <c r="O707" s="462" t="s">
        <v>934</v>
      </c>
    </row>
    <row r="708" spans="1:15" ht="18" customHeight="1" x14ac:dyDescent="0.25">
      <c r="A708" s="116">
        <v>10</v>
      </c>
      <c r="B708" s="117" t="s">
        <v>103</v>
      </c>
      <c r="C708" s="116">
        <v>13</v>
      </c>
      <c r="D708" s="120" t="s">
        <v>87</v>
      </c>
      <c r="E708" s="120" t="s">
        <v>942</v>
      </c>
      <c r="F708" s="117" t="s">
        <v>933</v>
      </c>
      <c r="G708" s="281">
        <v>16</v>
      </c>
      <c r="H708" s="260">
        <v>18808</v>
      </c>
      <c r="I708" s="260">
        <v>300926</v>
      </c>
      <c r="J708" s="260">
        <v>0</v>
      </c>
      <c r="K708" s="260">
        <v>300926</v>
      </c>
      <c r="L708" s="260">
        <v>24074</v>
      </c>
      <c r="M708" s="260">
        <v>325000</v>
      </c>
      <c r="N708" s="119">
        <v>4.9200000000000001E-2</v>
      </c>
      <c r="O708" s="462" t="s">
        <v>934</v>
      </c>
    </row>
    <row r="709" spans="1:15" ht="18" customHeight="1" x14ac:dyDescent="0.25">
      <c r="A709" s="116">
        <v>10</v>
      </c>
      <c r="B709" s="117" t="s">
        <v>103</v>
      </c>
      <c r="C709" s="116">
        <v>70</v>
      </c>
      <c r="D709" s="120" t="s">
        <v>91</v>
      </c>
      <c r="E709" s="120" t="s">
        <v>944</v>
      </c>
      <c r="F709" s="117" t="s">
        <v>933</v>
      </c>
      <c r="G709" s="281">
        <v>4</v>
      </c>
      <c r="H709" s="260">
        <v>4630</v>
      </c>
      <c r="I709" s="260">
        <v>18519</v>
      </c>
      <c r="J709" s="260">
        <v>0</v>
      </c>
      <c r="K709" s="260">
        <v>18519</v>
      </c>
      <c r="L709" s="260">
        <v>1481</v>
      </c>
      <c r="M709" s="260">
        <v>20000</v>
      </c>
      <c r="N709" s="119">
        <v>3.0000000000000001E-3</v>
      </c>
      <c r="O709" s="462" t="s">
        <v>934</v>
      </c>
    </row>
    <row r="710" spans="1:15" ht="18" customHeight="1" x14ac:dyDescent="0.25">
      <c r="A710" s="116">
        <v>10</v>
      </c>
      <c r="B710" s="117" t="s">
        <v>103</v>
      </c>
      <c r="C710" s="116">
        <v>71</v>
      </c>
      <c r="D710" s="120" t="s">
        <v>91</v>
      </c>
      <c r="E710" s="120" t="s">
        <v>945</v>
      </c>
      <c r="F710" s="117" t="s">
        <v>933</v>
      </c>
      <c r="G710" s="281">
        <v>2</v>
      </c>
      <c r="H710" s="260">
        <v>5556</v>
      </c>
      <c r="I710" s="260">
        <v>11111</v>
      </c>
      <c r="J710" s="260">
        <v>0</v>
      </c>
      <c r="K710" s="260">
        <v>11111</v>
      </c>
      <c r="L710" s="260">
        <v>889</v>
      </c>
      <c r="M710" s="260">
        <v>12000</v>
      </c>
      <c r="N710" s="119">
        <v>1.8E-3</v>
      </c>
      <c r="O710" s="462" t="s">
        <v>934</v>
      </c>
    </row>
    <row r="711" spans="1:15" ht="18" customHeight="1" x14ac:dyDescent="0.25">
      <c r="A711" s="116">
        <v>10</v>
      </c>
      <c r="B711" s="117" t="s">
        <v>103</v>
      </c>
      <c r="C711" s="116">
        <v>83</v>
      </c>
      <c r="D711" s="120" t="s">
        <v>87</v>
      </c>
      <c r="E711" s="120" t="s">
        <v>946</v>
      </c>
      <c r="F711" s="117" t="s">
        <v>933</v>
      </c>
      <c r="G711" s="281">
        <v>6</v>
      </c>
      <c r="H711" s="260">
        <v>20833</v>
      </c>
      <c r="I711" s="260">
        <v>125000</v>
      </c>
      <c r="J711" s="260">
        <v>0</v>
      </c>
      <c r="K711" s="260">
        <v>125000</v>
      </c>
      <c r="L711" s="260">
        <v>10000</v>
      </c>
      <c r="M711" s="260">
        <v>135000</v>
      </c>
      <c r="N711" s="119">
        <v>2.0400000000000001E-2</v>
      </c>
      <c r="O711" s="462" t="s">
        <v>934</v>
      </c>
    </row>
    <row r="712" spans="1:15" ht="18" customHeight="1" x14ac:dyDescent="0.25">
      <c r="A712" s="116">
        <v>10</v>
      </c>
      <c r="B712" s="117" t="s">
        <v>103</v>
      </c>
      <c r="C712" s="116">
        <v>37</v>
      </c>
      <c r="D712" s="120" t="s">
        <v>87</v>
      </c>
      <c r="E712" s="120" t="s">
        <v>1034</v>
      </c>
      <c r="F712" s="117" t="s">
        <v>933</v>
      </c>
      <c r="G712" s="281">
        <v>1</v>
      </c>
      <c r="H712" s="260">
        <v>8333</v>
      </c>
      <c r="I712" s="260">
        <v>8333</v>
      </c>
      <c r="J712" s="260">
        <v>0</v>
      </c>
      <c r="K712" s="260">
        <v>8333</v>
      </c>
      <c r="L712" s="260">
        <v>667</v>
      </c>
      <c r="M712" s="260">
        <v>9000</v>
      </c>
      <c r="N712" s="119">
        <v>1.4E-3</v>
      </c>
      <c r="O712" s="462" t="s">
        <v>934</v>
      </c>
    </row>
    <row r="713" spans="1:15" ht="18" customHeight="1" x14ac:dyDescent="0.25">
      <c r="A713" s="116">
        <v>10</v>
      </c>
      <c r="B713" s="117" t="s">
        <v>103</v>
      </c>
      <c r="C713" s="116">
        <v>41</v>
      </c>
      <c r="D713" s="120" t="s">
        <v>87</v>
      </c>
      <c r="E713" s="120" t="s">
        <v>168</v>
      </c>
      <c r="F713" s="117" t="s">
        <v>933</v>
      </c>
      <c r="G713" s="281">
        <v>3</v>
      </c>
      <c r="H713" s="260">
        <v>49074</v>
      </c>
      <c r="I713" s="260">
        <v>147222</v>
      </c>
      <c r="J713" s="260">
        <v>0</v>
      </c>
      <c r="K713" s="260">
        <v>147222</v>
      </c>
      <c r="L713" s="260">
        <v>11778</v>
      </c>
      <c r="M713" s="260">
        <v>159000</v>
      </c>
      <c r="N713" s="119">
        <v>2.41E-2</v>
      </c>
      <c r="O713" s="462" t="s">
        <v>934</v>
      </c>
    </row>
    <row r="714" spans="1:15" ht="18" customHeight="1" x14ac:dyDescent="0.25">
      <c r="A714" s="116">
        <v>10</v>
      </c>
      <c r="B714" s="117" t="s">
        <v>103</v>
      </c>
      <c r="C714" s="116">
        <v>122</v>
      </c>
      <c r="D714" s="120" t="s">
        <v>91</v>
      </c>
      <c r="E714" s="120" t="s">
        <v>948</v>
      </c>
      <c r="F714" s="117" t="s">
        <v>933</v>
      </c>
      <c r="G714" s="281">
        <v>4</v>
      </c>
      <c r="H714" s="260">
        <v>2778</v>
      </c>
      <c r="I714" s="260">
        <v>11111</v>
      </c>
      <c r="J714" s="260">
        <v>0</v>
      </c>
      <c r="K714" s="260">
        <v>11111</v>
      </c>
      <c r="L714" s="260">
        <v>889</v>
      </c>
      <c r="M714" s="260">
        <v>12000</v>
      </c>
      <c r="N714" s="119">
        <v>1.8E-3</v>
      </c>
      <c r="O714" s="462" t="s">
        <v>934</v>
      </c>
    </row>
    <row r="715" spans="1:15" ht="18" customHeight="1" x14ac:dyDescent="0.25">
      <c r="A715" s="116">
        <v>10</v>
      </c>
      <c r="B715" s="117" t="s">
        <v>103</v>
      </c>
      <c r="C715" s="116">
        <v>247</v>
      </c>
      <c r="D715" s="120" t="s">
        <v>87</v>
      </c>
      <c r="E715" s="120" t="s">
        <v>1014</v>
      </c>
      <c r="F715" s="117" t="s">
        <v>933</v>
      </c>
      <c r="G715" s="281">
        <v>1</v>
      </c>
      <c r="H715" s="260">
        <v>3056</v>
      </c>
      <c r="I715" s="260">
        <v>3056</v>
      </c>
      <c r="J715" s="260">
        <v>0</v>
      </c>
      <c r="K715" s="260">
        <v>3056</v>
      </c>
      <c r="L715" s="260">
        <v>244</v>
      </c>
      <c r="M715" s="260">
        <v>3300</v>
      </c>
      <c r="N715" s="119">
        <v>5.0000000000000001E-4</v>
      </c>
      <c r="O715" s="462" t="s">
        <v>934</v>
      </c>
    </row>
    <row r="716" spans="1:15" ht="18" customHeight="1" x14ac:dyDescent="0.25">
      <c r="A716" s="116">
        <v>10</v>
      </c>
      <c r="B716" s="117" t="s">
        <v>103</v>
      </c>
      <c r="C716" s="116">
        <v>110</v>
      </c>
      <c r="D716" s="120" t="s">
        <v>99</v>
      </c>
      <c r="E716" s="120" t="s">
        <v>949</v>
      </c>
      <c r="F716" s="117" t="s">
        <v>933</v>
      </c>
      <c r="G716" s="281">
        <v>13</v>
      </c>
      <c r="H716" s="260">
        <v>926</v>
      </c>
      <c r="I716" s="260">
        <v>12037</v>
      </c>
      <c r="J716" s="260">
        <v>0</v>
      </c>
      <c r="K716" s="260">
        <v>12037</v>
      </c>
      <c r="L716" s="260">
        <v>963</v>
      </c>
      <c r="M716" s="260">
        <v>13000</v>
      </c>
      <c r="N716" s="119">
        <v>2E-3</v>
      </c>
      <c r="O716" s="462" t="s">
        <v>934</v>
      </c>
    </row>
    <row r="717" spans="1:15" ht="18" customHeight="1" x14ac:dyDescent="0.25">
      <c r="A717" s="116">
        <v>10</v>
      </c>
      <c r="B717" s="117" t="s">
        <v>103</v>
      </c>
      <c r="C717" s="116">
        <v>102</v>
      </c>
      <c r="D717" s="120" t="s">
        <v>87</v>
      </c>
      <c r="E717" s="120" t="s">
        <v>998</v>
      </c>
      <c r="F717" s="117" t="s">
        <v>933</v>
      </c>
      <c r="G717" s="281">
        <v>1</v>
      </c>
      <c r="H717" s="260">
        <v>6540</v>
      </c>
      <c r="I717" s="260">
        <v>6944</v>
      </c>
      <c r="J717" s="260">
        <v>405</v>
      </c>
      <c r="K717" s="260">
        <v>6539</v>
      </c>
      <c r="L717" s="260">
        <v>523</v>
      </c>
      <c r="M717" s="260">
        <v>7062</v>
      </c>
      <c r="N717" s="119">
        <v>1.1000000000000001E-3</v>
      </c>
      <c r="O717" s="462" t="s">
        <v>934</v>
      </c>
    </row>
    <row r="718" spans="1:15" ht="18" customHeight="1" x14ac:dyDescent="0.25">
      <c r="A718" s="116">
        <v>10</v>
      </c>
      <c r="B718" s="117" t="s">
        <v>103</v>
      </c>
      <c r="C718" s="116">
        <v>26</v>
      </c>
      <c r="D718" s="120" t="s">
        <v>87</v>
      </c>
      <c r="E718" s="120" t="s">
        <v>1016</v>
      </c>
      <c r="F718" s="117" t="s">
        <v>933</v>
      </c>
      <c r="G718" s="281">
        <v>4</v>
      </c>
      <c r="H718" s="260">
        <v>18519</v>
      </c>
      <c r="I718" s="260">
        <v>74074</v>
      </c>
      <c r="J718" s="260">
        <v>0</v>
      </c>
      <c r="K718" s="260">
        <v>74074</v>
      </c>
      <c r="L718" s="260">
        <v>5926</v>
      </c>
      <c r="M718" s="260">
        <v>80000</v>
      </c>
      <c r="N718" s="119">
        <v>1.21E-2</v>
      </c>
      <c r="O718" s="462" t="s">
        <v>934</v>
      </c>
    </row>
    <row r="719" spans="1:15" ht="18" customHeight="1" x14ac:dyDescent="0.25">
      <c r="A719" s="116">
        <v>10</v>
      </c>
      <c r="B719" s="117" t="s">
        <v>103</v>
      </c>
      <c r="C719" s="116">
        <v>45</v>
      </c>
      <c r="D719" s="120" t="s">
        <v>87</v>
      </c>
      <c r="E719" s="120" t="s">
        <v>950</v>
      </c>
      <c r="F719" s="117" t="s">
        <v>933</v>
      </c>
      <c r="G719" s="281">
        <v>2</v>
      </c>
      <c r="H719" s="260">
        <v>35648</v>
      </c>
      <c r="I719" s="260">
        <v>71296</v>
      </c>
      <c r="J719" s="260">
        <v>0</v>
      </c>
      <c r="K719" s="260">
        <v>71296</v>
      </c>
      <c r="L719" s="260">
        <v>5704</v>
      </c>
      <c r="M719" s="260">
        <v>77000</v>
      </c>
      <c r="N719" s="119">
        <v>1.17E-2</v>
      </c>
      <c r="O719" s="462" t="s">
        <v>934</v>
      </c>
    </row>
    <row r="720" spans="1:15" ht="18" customHeight="1" x14ac:dyDescent="0.25">
      <c r="A720" s="116">
        <v>10</v>
      </c>
      <c r="B720" s="117" t="s">
        <v>103</v>
      </c>
      <c r="C720" s="116">
        <v>30</v>
      </c>
      <c r="D720" s="120" t="s">
        <v>95</v>
      </c>
      <c r="E720" s="120" t="s">
        <v>951</v>
      </c>
      <c r="F720" s="117" t="s">
        <v>933</v>
      </c>
      <c r="G720" s="281">
        <v>6</v>
      </c>
      <c r="H720" s="260">
        <v>6481</v>
      </c>
      <c r="I720" s="260">
        <v>38889</v>
      </c>
      <c r="J720" s="260">
        <v>0</v>
      </c>
      <c r="K720" s="260">
        <v>38889</v>
      </c>
      <c r="L720" s="260">
        <v>3111</v>
      </c>
      <c r="M720" s="260">
        <v>42000</v>
      </c>
      <c r="N720" s="119">
        <v>6.4000000000000003E-3</v>
      </c>
      <c r="O720" s="462" t="s">
        <v>934</v>
      </c>
    </row>
    <row r="721" spans="1:15" ht="18" customHeight="1" x14ac:dyDescent="0.25">
      <c r="A721" s="116">
        <v>10</v>
      </c>
      <c r="B721" s="117" t="s">
        <v>103</v>
      </c>
      <c r="C721" s="116">
        <v>94</v>
      </c>
      <c r="D721" s="120" t="s">
        <v>89</v>
      </c>
      <c r="E721" s="120" t="s">
        <v>150</v>
      </c>
      <c r="F721" s="117" t="s">
        <v>933</v>
      </c>
      <c r="G721" s="281">
        <v>12</v>
      </c>
      <c r="H721" s="260">
        <v>18596</v>
      </c>
      <c r="I721" s="260">
        <v>223148</v>
      </c>
      <c r="J721" s="260">
        <v>0</v>
      </c>
      <c r="K721" s="260">
        <v>223148</v>
      </c>
      <c r="L721" s="260">
        <v>17852</v>
      </c>
      <c r="M721" s="260">
        <v>241000</v>
      </c>
      <c r="N721" s="119">
        <v>3.6499999999999998E-2</v>
      </c>
      <c r="O721" s="462" t="s">
        <v>934</v>
      </c>
    </row>
    <row r="722" spans="1:15" ht="18" customHeight="1" x14ac:dyDescent="0.25">
      <c r="A722" s="116">
        <v>10</v>
      </c>
      <c r="B722" s="117" t="s">
        <v>103</v>
      </c>
      <c r="C722" s="116">
        <v>233</v>
      </c>
      <c r="D722" s="120" t="s">
        <v>89</v>
      </c>
      <c r="E722" s="120" t="s">
        <v>117</v>
      </c>
      <c r="F722" s="117" t="s">
        <v>933</v>
      </c>
      <c r="G722" s="281">
        <v>13</v>
      </c>
      <c r="H722" s="260">
        <v>18661</v>
      </c>
      <c r="I722" s="260">
        <v>242593</v>
      </c>
      <c r="J722" s="260">
        <v>0</v>
      </c>
      <c r="K722" s="260">
        <v>242593</v>
      </c>
      <c r="L722" s="260">
        <v>19407</v>
      </c>
      <c r="M722" s="260">
        <v>262000</v>
      </c>
      <c r="N722" s="119">
        <v>3.9699999999999999E-2</v>
      </c>
      <c r="O722" s="462" t="s">
        <v>934</v>
      </c>
    </row>
    <row r="723" spans="1:15" ht="18" customHeight="1" x14ac:dyDescent="0.25">
      <c r="A723" s="116">
        <v>10</v>
      </c>
      <c r="B723" s="117" t="s">
        <v>103</v>
      </c>
      <c r="C723" s="116">
        <v>217</v>
      </c>
      <c r="D723" s="120" t="s">
        <v>89</v>
      </c>
      <c r="E723" s="120" t="s">
        <v>953</v>
      </c>
      <c r="F723" s="117" t="s">
        <v>933</v>
      </c>
      <c r="G723" s="281">
        <v>2</v>
      </c>
      <c r="H723" s="260">
        <v>27778</v>
      </c>
      <c r="I723" s="260">
        <v>55556</v>
      </c>
      <c r="J723" s="260">
        <v>0</v>
      </c>
      <c r="K723" s="260">
        <v>55556</v>
      </c>
      <c r="L723" s="260">
        <v>4444</v>
      </c>
      <c r="M723" s="260">
        <v>60000</v>
      </c>
      <c r="N723" s="119">
        <v>9.1000000000000004E-3</v>
      </c>
      <c r="O723" s="462" t="s">
        <v>934</v>
      </c>
    </row>
    <row r="724" spans="1:15" ht="18" customHeight="1" x14ac:dyDescent="0.25">
      <c r="A724" s="116">
        <v>10</v>
      </c>
      <c r="B724" s="117" t="s">
        <v>103</v>
      </c>
      <c r="C724" s="116">
        <v>218</v>
      </c>
      <c r="D724" s="120" t="s">
        <v>89</v>
      </c>
      <c r="E724" s="120" t="s">
        <v>954</v>
      </c>
      <c r="F724" s="117" t="s">
        <v>933</v>
      </c>
      <c r="G724" s="281">
        <v>6</v>
      </c>
      <c r="H724" s="260">
        <v>19444</v>
      </c>
      <c r="I724" s="260">
        <v>116667</v>
      </c>
      <c r="J724" s="260">
        <v>0</v>
      </c>
      <c r="K724" s="260">
        <v>116667</v>
      </c>
      <c r="L724" s="260">
        <v>9333</v>
      </c>
      <c r="M724" s="260">
        <v>126000</v>
      </c>
      <c r="N724" s="119">
        <v>1.9099999999999999E-2</v>
      </c>
      <c r="O724" s="462" t="s">
        <v>934</v>
      </c>
    </row>
    <row r="725" spans="1:15" ht="18" customHeight="1" x14ac:dyDescent="0.25">
      <c r="A725" s="116">
        <v>10</v>
      </c>
      <c r="B725" s="117" t="s">
        <v>103</v>
      </c>
      <c r="C725" s="116">
        <v>34</v>
      </c>
      <c r="D725" s="120" t="s">
        <v>91</v>
      </c>
      <c r="E725" s="120" t="s">
        <v>955</v>
      </c>
      <c r="F725" s="117" t="s">
        <v>933</v>
      </c>
      <c r="G725" s="281">
        <v>2</v>
      </c>
      <c r="H725" s="260">
        <v>6481</v>
      </c>
      <c r="I725" s="260">
        <v>12963</v>
      </c>
      <c r="J725" s="260">
        <v>0</v>
      </c>
      <c r="K725" s="260">
        <v>12963</v>
      </c>
      <c r="L725" s="260">
        <v>1037</v>
      </c>
      <c r="M725" s="260">
        <v>14000</v>
      </c>
      <c r="N725" s="119">
        <v>2.0999999999999999E-3</v>
      </c>
      <c r="O725" s="462" t="s">
        <v>934</v>
      </c>
    </row>
    <row r="726" spans="1:15" ht="18" customHeight="1" x14ac:dyDescent="0.25">
      <c r="A726" s="116">
        <v>10</v>
      </c>
      <c r="B726" s="117" t="s">
        <v>103</v>
      </c>
      <c r="C726" s="116">
        <v>121</v>
      </c>
      <c r="D726" s="120" t="s">
        <v>91</v>
      </c>
      <c r="E726" s="120" t="s">
        <v>956</v>
      </c>
      <c r="F726" s="117" t="s">
        <v>933</v>
      </c>
      <c r="G726" s="281">
        <v>3</v>
      </c>
      <c r="H726" s="260">
        <v>2778</v>
      </c>
      <c r="I726" s="260">
        <v>8333</v>
      </c>
      <c r="J726" s="260">
        <v>0</v>
      </c>
      <c r="K726" s="260">
        <v>8333</v>
      </c>
      <c r="L726" s="260">
        <v>667</v>
      </c>
      <c r="M726" s="260">
        <v>9000</v>
      </c>
      <c r="N726" s="119">
        <v>1.4E-3</v>
      </c>
      <c r="O726" s="462" t="s">
        <v>934</v>
      </c>
    </row>
    <row r="727" spans="1:15" ht="18" customHeight="1" x14ac:dyDescent="0.25">
      <c r="A727" s="116">
        <v>10</v>
      </c>
      <c r="B727" s="117" t="s">
        <v>103</v>
      </c>
      <c r="C727" s="116">
        <v>208</v>
      </c>
      <c r="D727" s="120" t="s">
        <v>91</v>
      </c>
      <c r="E727" s="120" t="s">
        <v>957</v>
      </c>
      <c r="F727" s="117" t="s">
        <v>933</v>
      </c>
      <c r="G727" s="281">
        <v>11</v>
      </c>
      <c r="H727" s="260">
        <v>3704</v>
      </c>
      <c r="I727" s="260">
        <v>40741</v>
      </c>
      <c r="J727" s="260">
        <v>0</v>
      </c>
      <c r="K727" s="260">
        <v>40741</v>
      </c>
      <c r="L727" s="260">
        <v>3259</v>
      </c>
      <c r="M727" s="260">
        <v>44000</v>
      </c>
      <c r="N727" s="119">
        <v>6.7000000000000002E-3</v>
      </c>
      <c r="O727" s="462" t="s">
        <v>934</v>
      </c>
    </row>
    <row r="728" spans="1:15" ht="18" customHeight="1" x14ac:dyDescent="0.25">
      <c r="A728" s="116">
        <v>10</v>
      </c>
      <c r="B728" s="117" t="s">
        <v>103</v>
      </c>
      <c r="C728" s="116">
        <v>90</v>
      </c>
      <c r="D728" s="120" t="s">
        <v>91</v>
      </c>
      <c r="E728" s="120" t="s">
        <v>487</v>
      </c>
      <c r="F728" s="117" t="s">
        <v>933</v>
      </c>
      <c r="G728" s="281">
        <v>1</v>
      </c>
      <c r="H728" s="260">
        <v>4259</v>
      </c>
      <c r="I728" s="260">
        <v>4259</v>
      </c>
      <c r="J728" s="260">
        <v>0</v>
      </c>
      <c r="K728" s="260">
        <v>4259</v>
      </c>
      <c r="L728" s="260">
        <v>341</v>
      </c>
      <c r="M728" s="260">
        <v>4600</v>
      </c>
      <c r="N728" s="119">
        <v>7.000000000000001E-4</v>
      </c>
      <c r="O728" s="462" t="s">
        <v>934</v>
      </c>
    </row>
    <row r="729" spans="1:15" ht="18" customHeight="1" x14ac:dyDescent="0.25">
      <c r="A729" s="116">
        <v>10</v>
      </c>
      <c r="B729" s="117" t="s">
        <v>103</v>
      </c>
      <c r="C729" s="116">
        <v>123</v>
      </c>
      <c r="D729" s="120" t="s">
        <v>91</v>
      </c>
      <c r="E729" s="120" t="s">
        <v>958</v>
      </c>
      <c r="F729" s="117" t="s">
        <v>933</v>
      </c>
      <c r="G729" s="281">
        <v>3</v>
      </c>
      <c r="H729" s="260">
        <v>2778</v>
      </c>
      <c r="I729" s="260">
        <v>8333</v>
      </c>
      <c r="J729" s="260">
        <v>0</v>
      </c>
      <c r="K729" s="260">
        <v>8333</v>
      </c>
      <c r="L729" s="260">
        <v>667</v>
      </c>
      <c r="M729" s="260">
        <v>9000</v>
      </c>
      <c r="N729" s="119">
        <v>1.4E-3</v>
      </c>
      <c r="O729" s="462" t="s">
        <v>934</v>
      </c>
    </row>
    <row r="730" spans="1:15" ht="18" customHeight="1" x14ac:dyDescent="0.25">
      <c r="A730" s="116">
        <v>10</v>
      </c>
      <c r="B730" s="117" t="s">
        <v>103</v>
      </c>
      <c r="C730" s="116">
        <v>31</v>
      </c>
      <c r="D730" s="120" t="s">
        <v>95</v>
      </c>
      <c r="E730" s="120" t="s">
        <v>959</v>
      </c>
      <c r="F730" s="117" t="s">
        <v>933</v>
      </c>
      <c r="G730" s="281">
        <v>12</v>
      </c>
      <c r="H730" s="260">
        <v>1192</v>
      </c>
      <c r="I730" s="260">
        <v>14444</v>
      </c>
      <c r="J730" s="260">
        <v>140</v>
      </c>
      <c r="K730" s="260">
        <v>14304</v>
      </c>
      <c r="L730" s="260">
        <v>1144</v>
      </c>
      <c r="M730" s="260">
        <v>15448</v>
      </c>
      <c r="N730" s="119">
        <v>2.3E-3</v>
      </c>
      <c r="O730" s="462" t="s">
        <v>934</v>
      </c>
    </row>
    <row r="731" spans="1:15" ht="18" customHeight="1" x14ac:dyDescent="0.25">
      <c r="A731" s="116">
        <v>10</v>
      </c>
      <c r="B731" s="117" t="s">
        <v>103</v>
      </c>
      <c r="C731" s="116">
        <v>202</v>
      </c>
      <c r="D731" s="120" t="s">
        <v>91</v>
      </c>
      <c r="E731" s="120" t="s">
        <v>1037</v>
      </c>
      <c r="F731" s="117" t="s">
        <v>933</v>
      </c>
      <c r="G731" s="281">
        <v>1</v>
      </c>
      <c r="H731" s="260">
        <v>32407</v>
      </c>
      <c r="I731" s="260">
        <v>32407</v>
      </c>
      <c r="J731" s="260">
        <v>0</v>
      </c>
      <c r="K731" s="260">
        <v>32407</v>
      </c>
      <c r="L731" s="260">
        <v>2593</v>
      </c>
      <c r="M731" s="260">
        <v>35000</v>
      </c>
      <c r="N731" s="119">
        <v>5.3E-3</v>
      </c>
      <c r="O731" s="462" t="s">
        <v>934</v>
      </c>
    </row>
    <row r="732" spans="1:15" ht="18" customHeight="1" x14ac:dyDescent="0.25">
      <c r="A732" s="116">
        <v>10</v>
      </c>
      <c r="B732" s="117" t="s">
        <v>103</v>
      </c>
      <c r="C732" s="116">
        <v>212</v>
      </c>
      <c r="D732" s="120" t="s">
        <v>91</v>
      </c>
      <c r="E732" s="120" t="s">
        <v>165</v>
      </c>
      <c r="F732" s="117" t="s">
        <v>933</v>
      </c>
      <c r="G732" s="281">
        <v>1</v>
      </c>
      <c r="H732" s="260">
        <v>22222</v>
      </c>
      <c r="I732" s="260">
        <v>22222</v>
      </c>
      <c r="J732" s="260">
        <v>0</v>
      </c>
      <c r="K732" s="260">
        <v>22222</v>
      </c>
      <c r="L732" s="260">
        <v>1778</v>
      </c>
      <c r="M732" s="260">
        <v>24000</v>
      </c>
      <c r="N732" s="119">
        <v>3.5999999999999999E-3</v>
      </c>
      <c r="O732" s="462" t="s">
        <v>934</v>
      </c>
    </row>
    <row r="733" spans="1:15" ht="18" customHeight="1" x14ac:dyDescent="0.25">
      <c r="A733" s="116">
        <v>10</v>
      </c>
      <c r="B733" s="117" t="s">
        <v>103</v>
      </c>
      <c r="C733" s="116">
        <v>74</v>
      </c>
      <c r="D733" s="120" t="s">
        <v>91</v>
      </c>
      <c r="E733" s="120" t="s">
        <v>1000</v>
      </c>
      <c r="F733" s="117" t="s">
        <v>933</v>
      </c>
      <c r="G733" s="281">
        <v>2</v>
      </c>
      <c r="H733" s="260">
        <v>6481</v>
      </c>
      <c r="I733" s="260">
        <v>12963</v>
      </c>
      <c r="J733" s="260">
        <v>0</v>
      </c>
      <c r="K733" s="260">
        <v>12963</v>
      </c>
      <c r="L733" s="260">
        <v>1037</v>
      </c>
      <c r="M733" s="260">
        <v>14000</v>
      </c>
      <c r="N733" s="119">
        <v>2.0999999999999999E-3</v>
      </c>
      <c r="O733" s="462" t="s">
        <v>934</v>
      </c>
    </row>
    <row r="734" spans="1:15" ht="18" customHeight="1" x14ac:dyDescent="0.25">
      <c r="A734" s="116">
        <v>10</v>
      </c>
      <c r="B734" s="117" t="s">
        <v>103</v>
      </c>
      <c r="C734" s="116">
        <v>235</v>
      </c>
      <c r="D734" s="120" t="s">
        <v>91</v>
      </c>
      <c r="E734" s="120" t="s">
        <v>1001</v>
      </c>
      <c r="F734" s="117" t="s">
        <v>933</v>
      </c>
      <c r="G734" s="281">
        <v>8</v>
      </c>
      <c r="H734" s="260">
        <v>3426</v>
      </c>
      <c r="I734" s="260">
        <v>27407</v>
      </c>
      <c r="J734" s="260">
        <v>0</v>
      </c>
      <c r="K734" s="260">
        <v>27407</v>
      </c>
      <c r="L734" s="260">
        <v>2193</v>
      </c>
      <c r="M734" s="260">
        <v>29600</v>
      </c>
      <c r="N734" s="119">
        <v>4.5000000000000014E-3</v>
      </c>
      <c r="O734" s="462" t="s">
        <v>934</v>
      </c>
    </row>
    <row r="735" spans="1:15" ht="18" customHeight="1" x14ac:dyDescent="0.25">
      <c r="A735" s="116">
        <v>10</v>
      </c>
      <c r="B735" s="117" t="s">
        <v>103</v>
      </c>
      <c r="C735" s="116">
        <v>501</v>
      </c>
      <c r="D735" s="120" t="s">
        <v>91</v>
      </c>
      <c r="E735" s="120" t="s">
        <v>960</v>
      </c>
      <c r="F735" s="117" t="s">
        <v>933</v>
      </c>
      <c r="G735" s="281">
        <v>2</v>
      </c>
      <c r="H735" s="260">
        <v>22222</v>
      </c>
      <c r="I735" s="260">
        <v>44444</v>
      </c>
      <c r="J735" s="260">
        <v>0</v>
      </c>
      <c r="K735" s="260">
        <v>44444</v>
      </c>
      <c r="L735" s="260">
        <v>3556</v>
      </c>
      <c r="M735" s="260">
        <v>48000</v>
      </c>
      <c r="N735" s="119">
        <v>7.3000000000000001E-3</v>
      </c>
      <c r="O735" s="462" t="s">
        <v>934</v>
      </c>
    </row>
    <row r="736" spans="1:15" ht="18" customHeight="1" x14ac:dyDescent="0.25">
      <c r="A736" s="116">
        <v>10</v>
      </c>
      <c r="B736" s="117" t="s">
        <v>103</v>
      </c>
      <c r="C736" s="116">
        <v>16</v>
      </c>
      <c r="D736" s="120" t="s">
        <v>87</v>
      </c>
      <c r="E736" s="120" t="s">
        <v>1061</v>
      </c>
      <c r="F736" s="117" t="s">
        <v>933</v>
      </c>
      <c r="G736" s="281">
        <v>15</v>
      </c>
      <c r="H736" s="260">
        <v>18765</v>
      </c>
      <c r="I736" s="260">
        <v>281481</v>
      </c>
      <c r="J736" s="260">
        <v>0</v>
      </c>
      <c r="K736" s="260">
        <v>281481</v>
      </c>
      <c r="L736" s="260">
        <v>22519</v>
      </c>
      <c r="M736" s="260">
        <v>304000</v>
      </c>
      <c r="N736" s="119">
        <v>4.5999999999999999E-2</v>
      </c>
      <c r="O736" s="462" t="s">
        <v>934</v>
      </c>
    </row>
    <row r="737" spans="1:15" ht="18" customHeight="1" x14ac:dyDescent="0.25">
      <c r="A737" s="116">
        <v>10</v>
      </c>
      <c r="B737" s="117" t="s">
        <v>103</v>
      </c>
      <c r="C737" s="116">
        <v>118</v>
      </c>
      <c r="D737" s="120" t="s">
        <v>87</v>
      </c>
      <c r="E737" s="120" t="s">
        <v>126</v>
      </c>
      <c r="F737" s="117" t="s">
        <v>933</v>
      </c>
      <c r="G737" s="281">
        <v>4</v>
      </c>
      <c r="H737" s="260">
        <v>41667</v>
      </c>
      <c r="I737" s="260">
        <v>166667</v>
      </c>
      <c r="J737" s="260">
        <v>0</v>
      </c>
      <c r="K737" s="260">
        <v>166667</v>
      </c>
      <c r="L737" s="260">
        <v>13333</v>
      </c>
      <c r="M737" s="260">
        <v>180000</v>
      </c>
      <c r="N737" s="119">
        <v>2.7199999999999998E-2</v>
      </c>
      <c r="O737" s="462" t="s">
        <v>934</v>
      </c>
    </row>
    <row r="738" spans="1:15" ht="18" customHeight="1" x14ac:dyDescent="0.25">
      <c r="A738" s="116">
        <v>10</v>
      </c>
      <c r="B738" s="117" t="s">
        <v>103</v>
      </c>
      <c r="C738" s="116">
        <v>204</v>
      </c>
      <c r="D738" s="120" t="s">
        <v>91</v>
      </c>
      <c r="E738" s="120" t="s">
        <v>962</v>
      </c>
      <c r="F738" s="117" t="s">
        <v>933</v>
      </c>
      <c r="G738" s="281">
        <v>2</v>
      </c>
      <c r="H738" s="260">
        <v>12037</v>
      </c>
      <c r="I738" s="260">
        <v>24074</v>
      </c>
      <c r="J738" s="260">
        <v>0</v>
      </c>
      <c r="K738" s="260">
        <v>24074</v>
      </c>
      <c r="L738" s="260">
        <v>1926</v>
      </c>
      <c r="M738" s="260">
        <v>26000</v>
      </c>
      <c r="N738" s="119">
        <v>3.8999999999999998E-3</v>
      </c>
      <c r="O738" s="462" t="s">
        <v>934</v>
      </c>
    </row>
    <row r="739" spans="1:15" ht="18" customHeight="1" x14ac:dyDescent="0.25">
      <c r="A739" s="116">
        <v>10</v>
      </c>
      <c r="B739" s="117" t="s">
        <v>103</v>
      </c>
      <c r="C739" s="116">
        <v>147</v>
      </c>
      <c r="D739" s="120" t="s">
        <v>91</v>
      </c>
      <c r="E739" s="120" t="s">
        <v>963</v>
      </c>
      <c r="F739" s="117" t="s">
        <v>933</v>
      </c>
      <c r="G739" s="281">
        <v>2</v>
      </c>
      <c r="H739" s="260">
        <v>6481</v>
      </c>
      <c r="I739" s="260">
        <v>12963</v>
      </c>
      <c r="J739" s="260">
        <v>0</v>
      </c>
      <c r="K739" s="260">
        <v>12963</v>
      </c>
      <c r="L739" s="260">
        <v>1037</v>
      </c>
      <c r="M739" s="260">
        <v>14000</v>
      </c>
      <c r="N739" s="119">
        <v>2.0999999999999999E-3</v>
      </c>
      <c r="O739" s="462" t="s">
        <v>934</v>
      </c>
    </row>
    <row r="740" spans="1:15" ht="18" customHeight="1" x14ac:dyDescent="0.25">
      <c r="A740" s="116">
        <v>10</v>
      </c>
      <c r="B740" s="117" t="s">
        <v>103</v>
      </c>
      <c r="C740" s="116">
        <v>46</v>
      </c>
      <c r="D740" s="120" t="s">
        <v>87</v>
      </c>
      <c r="E740" s="120" t="s">
        <v>964</v>
      </c>
      <c r="F740" s="117" t="s">
        <v>933</v>
      </c>
      <c r="G740" s="281">
        <v>2</v>
      </c>
      <c r="H740" s="260">
        <v>35648</v>
      </c>
      <c r="I740" s="260">
        <v>71296</v>
      </c>
      <c r="J740" s="260">
        <v>0</v>
      </c>
      <c r="K740" s="260">
        <v>71296</v>
      </c>
      <c r="L740" s="260">
        <v>5704</v>
      </c>
      <c r="M740" s="260">
        <v>77000</v>
      </c>
      <c r="N740" s="119">
        <v>1.17E-2</v>
      </c>
      <c r="O740" s="462" t="s">
        <v>934</v>
      </c>
    </row>
    <row r="741" spans="1:15" ht="18" customHeight="1" x14ac:dyDescent="0.25">
      <c r="A741" s="116">
        <v>10</v>
      </c>
      <c r="B741" s="117" t="s">
        <v>103</v>
      </c>
      <c r="C741" s="116">
        <v>72</v>
      </c>
      <c r="D741" s="120" t="s">
        <v>97</v>
      </c>
      <c r="E741" s="120" t="s">
        <v>965</v>
      </c>
      <c r="F741" s="117" t="s">
        <v>933</v>
      </c>
      <c r="G741" s="281">
        <v>6</v>
      </c>
      <c r="H741" s="260">
        <v>3704</v>
      </c>
      <c r="I741" s="260">
        <v>22222</v>
      </c>
      <c r="J741" s="260">
        <v>0</v>
      </c>
      <c r="K741" s="260">
        <v>22222</v>
      </c>
      <c r="L741" s="260">
        <v>1778</v>
      </c>
      <c r="M741" s="260">
        <v>24000</v>
      </c>
      <c r="N741" s="119">
        <v>3.5999999999999999E-3</v>
      </c>
      <c r="O741" s="462" t="s">
        <v>934</v>
      </c>
    </row>
    <row r="742" spans="1:15" ht="18" customHeight="1" x14ac:dyDescent="0.25">
      <c r="A742" s="116">
        <v>10</v>
      </c>
      <c r="B742" s="117" t="s">
        <v>103</v>
      </c>
      <c r="C742" s="116">
        <v>227</v>
      </c>
      <c r="D742" s="120" t="s">
        <v>87</v>
      </c>
      <c r="E742" s="120" t="s">
        <v>1018</v>
      </c>
      <c r="F742" s="117" t="s">
        <v>933</v>
      </c>
      <c r="G742" s="281">
        <v>2</v>
      </c>
      <c r="H742" s="260">
        <v>1389</v>
      </c>
      <c r="I742" s="260">
        <v>2778</v>
      </c>
      <c r="J742" s="260">
        <v>0</v>
      </c>
      <c r="K742" s="260">
        <v>2778</v>
      </c>
      <c r="L742" s="260">
        <v>222</v>
      </c>
      <c r="M742" s="260">
        <v>3000</v>
      </c>
      <c r="N742" s="119">
        <v>5.0000000000000001E-4</v>
      </c>
      <c r="O742" s="462" t="s">
        <v>934</v>
      </c>
    </row>
    <row r="743" spans="1:15" ht="18" customHeight="1" x14ac:dyDescent="0.25">
      <c r="A743" s="116">
        <v>10</v>
      </c>
      <c r="B743" s="117" t="s">
        <v>103</v>
      </c>
      <c r="C743" s="116">
        <v>101</v>
      </c>
      <c r="D743" s="120" t="s">
        <v>87</v>
      </c>
      <c r="E743" s="120" t="s">
        <v>967</v>
      </c>
      <c r="F743" s="117" t="s">
        <v>933</v>
      </c>
      <c r="G743" s="281">
        <v>1</v>
      </c>
      <c r="H743" s="260">
        <v>2315</v>
      </c>
      <c r="I743" s="260">
        <v>2315</v>
      </c>
      <c r="J743" s="260">
        <v>0</v>
      </c>
      <c r="K743" s="260">
        <v>2315</v>
      </c>
      <c r="L743" s="260">
        <v>185</v>
      </c>
      <c r="M743" s="260">
        <v>2500</v>
      </c>
      <c r="N743" s="119">
        <v>4.0000000000000002E-4</v>
      </c>
      <c r="O743" s="462" t="s">
        <v>934</v>
      </c>
    </row>
    <row r="744" spans="1:15" ht="18" customHeight="1" x14ac:dyDescent="0.25">
      <c r="A744" s="116">
        <v>10</v>
      </c>
      <c r="B744" s="117" t="s">
        <v>103</v>
      </c>
      <c r="C744" s="116">
        <v>93</v>
      </c>
      <c r="D744" s="120" t="s">
        <v>89</v>
      </c>
      <c r="E744" s="120" t="s">
        <v>123</v>
      </c>
      <c r="F744" s="117" t="s">
        <v>933</v>
      </c>
      <c r="G744" s="281">
        <v>86</v>
      </c>
      <c r="H744" s="260">
        <v>20343</v>
      </c>
      <c r="I744" s="260">
        <v>1751852</v>
      </c>
      <c r="J744" s="260">
        <v>2376</v>
      </c>
      <c r="K744" s="260">
        <v>1749476</v>
      </c>
      <c r="L744" s="260">
        <v>139958</v>
      </c>
      <c r="M744" s="260">
        <v>1889434</v>
      </c>
      <c r="N744" s="119">
        <v>0.28599999999999998</v>
      </c>
      <c r="O744" s="462" t="s">
        <v>934</v>
      </c>
    </row>
    <row r="745" spans="1:15" ht="18" customHeight="1" x14ac:dyDescent="0.25">
      <c r="A745" s="116">
        <v>10</v>
      </c>
      <c r="B745" s="117" t="s">
        <v>103</v>
      </c>
      <c r="C745" s="116">
        <v>119</v>
      </c>
      <c r="D745" s="120" t="s">
        <v>89</v>
      </c>
      <c r="E745" s="120" t="s">
        <v>114</v>
      </c>
      <c r="F745" s="117" t="s">
        <v>933</v>
      </c>
      <c r="G745" s="281">
        <v>5</v>
      </c>
      <c r="H745" s="260">
        <v>44444</v>
      </c>
      <c r="I745" s="260">
        <v>222222</v>
      </c>
      <c r="J745" s="260">
        <v>0</v>
      </c>
      <c r="K745" s="260">
        <v>222222</v>
      </c>
      <c r="L745" s="260">
        <v>17778</v>
      </c>
      <c r="M745" s="260">
        <v>240000</v>
      </c>
      <c r="N745" s="119">
        <v>3.6299999999999999E-2</v>
      </c>
      <c r="O745" s="462" t="s">
        <v>934</v>
      </c>
    </row>
    <row r="746" spans="1:15" ht="18" customHeight="1" x14ac:dyDescent="0.25">
      <c r="A746" s="116">
        <v>10</v>
      </c>
      <c r="B746" s="117" t="s">
        <v>103</v>
      </c>
      <c r="C746" s="116">
        <v>21</v>
      </c>
      <c r="D746" s="120" t="s">
        <v>95</v>
      </c>
      <c r="E746" s="120" t="s">
        <v>1051</v>
      </c>
      <c r="F746" s="117" t="s">
        <v>933</v>
      </c>
      <c r="G746" s="281">
        <v>2</v>
      </c>
      <c r="H746" s="260">
        <v>7407</v>
      </c>
      <c r="I746" s="260">
        <v>14815</v>
      </c>
      <c r="J746" s="260">
        <v>0</v>
      </c>
      <c r="K746" s="260">
        <v>14815</v>
      </c>
      <c r="L746" s="260">
        <v>1185</v>
      </c>
      <c r="M746" s="260">
        <v>16000</v>
      </c>
      <c r="N746" s="119">
        <v>2.3999999999999998E-3</v>
      </c>
      <c r="O746" s="462" t="s">
        <v>934</v>
      </c>
    </row>
    <row r="747" spans="1:15" ht="18" customHeight="1" x14ac:dyDescent="0.25">
      <c r="A747" s="116">
        <v>10</v>
      </c>
      <c r="B747" s="117" t="s">
        <v>103</v>
      </c>
      <c r="C747" s="116">
        <v>20</v>
      </c>
      <c r="D747" s="120" t="s">
        <v>87</v>
      </c>
      <c r="E747" s="120" t="s">
        <v>1019</v>
      </c>
      <c r="F747" s="117" t="s">
        <v>933</v>
      </c>
      <c r="G747" s="281">
        <v>1</v>
      </c>
      <c r="H747" s="260">
        <v>6481</v>
      </c>
      <c r="I747" s="260">
        <v>6481</v>
      </c>
      <c r="J747" s="260">
        <v>0</v>
      </c>
      <c r="K747" s="260">
        <v>6481</v>
      </c>
      <c r="L747" s="260">
        <v>519</v>
      </c>
      <c r="M747" s="260">
        <v>7000</v>
      </c>
      <c r="N747" s="119">
        <v>1.1000000000000001E-3</v>
      </c>
      <c r="O747" s="462" t="s">
        <v>934</v>
      </c>
    </row>
    <row r="748" spans="1:15" ht="18" customHeight="1" x14ac:dyDescent="0.25">
      <c r="A748" s="116">
        <v>10</v>
      </c>
      <c r="B748" s="117" t="s">
        <v>103</v>
      </c>
      <c r="C748" s="116">
        <v>77</v>
      </c>
      <c r="D748" s="120" t="s">
        <v>87</v>
      </c>
      <c r="E748" s="120" t="s">
        <v>969</v>
      </c>
      <c r="F748" s="117" t="s">
        <v>933</v>
      </c>
      <c r="G748" s="281">
        <v>1</v>
      </c>
      <c r="H748" s="260">
        <v>2778</v>
      </c>
      <c r="I748" s="260">
        <v>2778</v>
      </c>
      <c r="J748" s="260">
        <v>0</v>
      </c>
      <c r="K748" s="260">
        <v>2778</v>
      </c>
      <c r="L748" s="260">
        <v>222</v>
      </c>
      <c r="M748" s="260">
        <v>3000</v>
      </c>
      <c r="N748" s="119">
        <v>5.0000000000000001E-4</v>
      </c>
      <c r="O748" s="462" t="s">
        <v>934</v>
      </c>
    </row>
    <row r="749" spans="1:15" ht="18" customHeight="1" x14ac:dyDescent="0.25">
      <c r="A749" s="116">
        <v>10</v>
      </c>
      <c r="B749" s="117" t="s">
        <v>103</v>
      </c>
      <c r="C749" s="116">
        <v>111</v>
      </c>
      <c r="D749" s="120" t="s">
        <v>87</v>
      </c>
      <c r="E749" s="120" t="s">
        <v>1041</v>
      </c>
      <c r="F749" s="117" t="s">
        <v>933</v>
      </c>
      <c r="G749" s="281">
        <v>0</v>
      </c>
      <c r="H749" s="260">
        <v>0</v>
      </c>
      <c r="I749" s="260">
        <v>0</v>
      </c>
      <c r="J749" s="260">
        <v>0</v>
      </c>
      <c r="K749" s="260">
        <v>0</v>
      </c>
      <c r="L749" s="260">
        <v>0</v>
      </c>
      <c r="M749" s="260">
        <v>0</v>
      </c>
      <c r="N749" s="119">
        <v>0</v>
      </c>
      <c r="O749" s="462" t="s">
        <v>934</v>
      </c>
    </row>
    <row r="750" spans="1:15" ht="18" customHeight="1" x14ac:dyDescent="0.25">
      <c r="A750" s="116">
        <v>10</v>
      </c>
      <c r="B750" s="117" t="s">
        <v>103</v>
      </c>
      <c r="C750" s="116">
        <v>162</v>
      </c>
      <c r="D750" s="120" t="s">
        <v>95</v>
      </c>
      <c r="E750" s="120" t="s">
        <v>970</v>
      </c>
      <c r="F750" s="117" t="s">
        <v>933</v>
      </c>
      <c r="G750" s="281">
        <v>3</v>
      </c>
      <c r="H750" s="260">
        <v>6481</v>
      </c>
      <c r="I750" s="260">
        <v>19444</v>
      </c>
      <c r="J750" s="260">
        <v>0</v>
      </c>
      <c r="K750" s="260">
        <v>19444</v>
      </c>
      <c r="L750" s="260">
        <v>1556</v>
      </c>
      <c r="M750" s="260">
        <v>21000</v>
      </c>
      <c r="N750" s="119">
        <v>3.2000000000000002E-3</v>
      </c>
      <c r="O750" s="462" t="s">
        <v>934</v>
      </c>
    </row>
    <row r="751" spans="1:15" ht="18" customHeight="1" x14ac:dyDescent="0.25">
      <c r="A751" s="116">
        <v>10</v>
      </c>
      <c r="B751" s="117" t="s">
        <v>103</v>
      </c>
      <c r="C751" s="116">
        <v>86</v>
      </c>
      <c r="D751" s="120" t="s">
        <v>95</v>
      </c>
      <c r="E751" s="120" t="s">
        <v>972</v>
      </c>
      <c r="F751" s="117" t="s">
        <v>933</v>
      </c>
      <c r="G751" s="281">
        <v>14</v>
      </c>
      <c r="H751" s="260">
        <v>3241</v>
      </c>
      <c r="I751" s="260">
        <v>45370</v>
      </c>
      <c r="J751" s="260">
        <v>0</v>
      </c>
      <c r="K751" s="260">
        <v>45370</v>
      </c>
      <c r="L751" s="260">
        <v>3630</v>
      </c>
      <c r="M751" s="260">
        <v>49000</v>
      </c>
      <c r="N751" s="119">
        <v>7.4000000000000003E-3</v>
      </c>
      <c r="O751" s="462" t="s">
        <v>934</v>
      </c>
    </row>
    <row r="752" spans="1:15" ht="18" customHeight="1" x14ac:dyDescent="0.25">
      <c r="A752" s="116">
        <v>10</v>
      </c>
      <c r="B752" s="117" t="s">
        <v>103</v>
      </c>
      <c r="C752" s="116">
        <v>80</v>
      </c>
      <c r="D752" s="120" t="s">
        <v>95</v>
      </c>
      <c r="E752" s="120" t="s">
        <v>973</v>
      </c>
      <c r="F752" s="117" t="s">
        <v>933</v>
      </c>
      <c r="G752" s="281">
        <v>14</v>
      </c>
      <c r="H752" s="260">
        <v>6481</v>
      </c>
      <c r="I752" s="260">
        <v>90741</v>
      </c>
      <c r="J752" s="260">
        <v>0</v>
      </c>
      <c r="K752" s="260">
        <v>90741</v>
      </c>
      <c r="L752" s="260">
        <v>7259</v>
      </c>
      <c r="M752" s="260">
        <v>98000</v>
      </c>
      <c r="N752" s="119">
        <v>1.4800000000000001E-2</v>
      </c>
      <c r="O752" s="462" t="s">
        <v>934</v>
      </c>
    </row>
    <row r="753" spans="1:15" ht="18" customHeight="1" x14ac:dyDescent="0.25">
      <c r="A753" s="116">
        <v>10</v>
      </c>
      <c r="B753" s="117" t="s">
        <v>103</v>
      </c>
      <c r="C753" s="116">
        <v>157</v>
      </c>
      <c r="D753" s="120" t="s">
        <v>95</v>
      </c>
      <c r="E753" s="120" t="s">
        <v>1052</v>
      </c>
      <c r="F753" s="117" t="s">
        <v>933</v>
      </c>
      <c r="G753" s="281">
        <v>6</v>
      </c>
      <c r="H753" s="260">
        <v>7407</v>
      </c>
      <c r="I753" s="260">
        <v>44444</v>
      </c>
      <c r="J753" s="260">
        <v>0</v>
      </c>
      <c r="K753" s="260">
        <v>44444</v>
      </c>
      <c r="L753" s="260">
        <v>3556</v>
      </c>
      <c r="M753" s="260">
        <v>48000</v>
      </c>
      <c r="N753" s="119">
        <v>7.3000000000000001E-3</v>
      </c>
      <c r="O753" s="462" t="s">
        <v>934</v>
      </c>
    </row>
    <row r="754" spans="1:15" ht="18" customHeight="1" x14ac:dyDescent="0.25">
      <c r="A754" s="116">
        <v>10</v>
      </c>
      <c r="B754" s="117" t="s">
        <v>103</v>
      </c>
      <c r="C754" s="116">
        <v>63</v>
      </c>
      <c r="D754" s="120" t="s">
        <v>95</v>
      </c>
      <c r="E754" s="120" t="s">
        <v>1031</v>
      </c>
      <c r="F754" s="117" t="s">
        <v>933</v>
      </c>
      <c r="G754" s="281">
        <v>1</v>
      </c>
      <c r="H754" s="260">
        <v>3704</v>
      </c>
      <c r="I754" s="260">
        <v>3704</v>
      </c>
      <c r="J754" s="260">
        <v>0</v>
      </c>
      <c r="K754" s="260">
        <v>3704</v>
      </c>
      <c r="L754" s="260">
        <v>296</v>
      </c>
      <c r="M754" s="260">
        <v>4000</v>
      </c>
      <c r="N754" s="119">
        <v>5.9999999999999995E-4</v>
      </c>
      <c r="O754" s="462" t="s">
        <v>934</v>
      </c>
    </row>
    <row r="755" spans="1:15" ht="18" customHeight="1" x14ac:dyDescent="0.25">
      <c r="A755" s="116">
        <v>10</v>
      </c>
      <c r="B755" s="117" t="s">
        <v>103</v>
      </c>
      <c r="C755" s="116">
        <v>79</v>
      </c>
      <c r="D755" s="120" t="s">
        <v>95</v>
      </c>
      <c r="E755" s="120" t="s">
        <v>975</v>
      </c>
      <c r="F755" s="117" t="s">
        <v>933</v>
      </c>
      <c r="G755" s="281">
        <v>7</v>
      </c>
      <c r="H755" s="260">
        <v>6427</v>
      </c>
      <c r="I755" s="260">
        <v>45370</v>
      </c>
      <c r="J755" s="260">
        <v>378</v>
      </c>
      <c r="K755" s="260">
        <v>44992</v>
      </c>
      <c r="L755" s="260">
        <v>3599</v>
      </c>
      <c r="M755" s="260">
        <v>48591</v>
      </c>
      <c r="N755" s="119">
        <v>7.4000000000000003E-3</v>
      </c>
      <c r="O755" s="462" t="s">
        <v>934</v>
      </c>
    </row>
    <row r="756" spans="1:15" ht="18" customHeight="1" x14ac:dyDescent="0.25">
      <c r="A756" s="116">
        <v>10</v>
      </c>
      <c r="B756" s="117" t="s">
        <v>103</v>
      </c>
      <c r="C756" s="116">
        <v>62</v>
      </c>
      <c r="D756" s="120" t="s">
        <v>95</v>
      </c>
      <c r="E756" s="120" t="s">
        <v>976</v>
      </c>
      <c r="F756" s="117" t="s">
        <v>933</v>
      </c>
      <c r="G756" s="281">
        <v>9</v>
      </c>
      <c r="H756" s="260">
        <v>6899</v>
      </c>
      <c r="I756" s="260">
        <v>62500</v>
      </c>
      <c r="J756" s="260">
        <v>405</v>
      </c>
      <c r="K756" s="260">
        <v>62095</v>
      </c>
      <c r="L756" s="260">
        <v>4968</v>
      </c>
      <c r="M756" s="260">
        <v>67063</v>
      </c>
      <c r="N756" s="119">
        <v>1.01E-2</v>
      </c>
      <c r="O756" s="462" t="s">
        <v>934</v>
      </c>
    </row>
    <row r="757" spans="1:15" ht="18" customHeight="1" x14ac:dyDescent="0.25">
      <c r="A757" s="116">
        <v>10</v>
      </c>
      <c r="B757" s="117" t="s">
        <v>103</v>
      </c>
      <c r="C757" s="116">
        <v>137</v>
      </c>
      <c r="D757" s="120" t="s">
        <v>95</v>
      </c>
      <c r="E757" s="120" t="s">
        <v>1006</v>
      </c>
      <c r="F757" s="117" t="s">
        <v>933</v>
      </c>
      <c r="G757" s="281">
        <v>0</v>
      </c>
      <c r="H757" s="260">
        <v>0</v>
      </c>
      <c r="I757" s="260">
        <v>0</v>
      </c>
      <c r="J757" s="260">
        <v>0</v>
      </c>
      <c r="K757" s="260">
        <v>0</v>
      </c>
      <c r="L757" s="260">
        <v>0</v>
      </c>
      <c r="M757" s="260">
        <v>0</v>
      </c>
      <c r="N757" s="119">
        <v>0</v>
      </c>
      <c r="O757" s="462" t="s">
        <v>934</v>
      </c>
    </row>
    <row r="758" spans="1:15" ht="18" customHeight="1" x14ac:dyDescent="0.25">
      <c r="A758" s="116">
        <v>10</v>
      </c>
      <c r="B758" s="117" t="s">
        <v>103</v>
      </c>
      <c r="C758" s="116">
        <v>219</v>
      </c>
      <c r="D758" s="120" t="s">
        <v>87</v>
      </c>
      <c r="E758" s="120" t="s">
        <v>153</v>
      </c>
      <c r="F758" s="117" t="s">
        <v>933</v>
      </c>
      <c r="G758" s="281">
        <v>3</v>
      </c>
      <c r="H758" s="260">
        <v>69444</v>
      </c>
      <c r="I758" s="260">
        <v>208333</v>
      </c>
      <c r="J758" s="260">
        <v>0</v>
      </c>
      <c r="K758" s="260">
        <v>208333</v>
      </c>
      <c r="L758" s="260">
        <v>16667</v>
      </c>
      <c r="M758" s="260">
        <v>225000</v>
      </c>
      <c r="N758" s="119">
        <v>3.4099999999999998E-2</v>
      </c>
      <c r="O758" s="462" t="s">
        <v>934</v>
      </c>
    </row>
    <row r="759" spans="1:15" ht="18" customHeight="1" x14ac:dyDescent="0.25">
      <c r="A759" s="116">
        <v>10</v>
      </c>
      <c r="B759" s="117" t="s">
        <v>103</v>
      </c>
      <c r="C759" s="116">
        <v>221</v>
      </c>
      <c r="D759" s="120" t="s">
        <v>87</v>
      </c>
      <c r="E759" s="120" t="s">
        <v>980</v>
      </c>
      <c r="F759" s="117" t="s">
        <v>933</v>
      </c>
      <c r="G759" s="281">
        <v>1</v>
      </c>
      <c r="H759" s="260">
        <v>54167</v>
      </c>
      <c r="I759" s="260">
        <v>54167</v>
      </c>
      <c r="J759" s="260">
        <v>0</v>
      </c>
      <c r="K759" s="260">
        <v>54167</v>
      </c>
      <c r="L759" s="260">
        <v>4333</v>
      </c>
      <c r="M759" s="260">
        <v>58500</v>
      </c>
      <c r="N759" s="119">
        <v>8.8999999999999999E-3</v>
      </c>
      <c r="O759" s="462" t="s">
        <v>934</v>
      </c>
    </row>
    <row r="760" spans="1:15" ht="18" customHeight="1" x14ac:dyDescent="0.25">
      <c r="A760" s="116">
        <v>10</v>
      </c>
      <c r="B760" s="117" t="s">
        <v>103</v>
      </c>
      <c r="C760" s="116">
        <v>222</v>
      </c>
      <c r="D760" s="120" t="s">
        <v>93</v>
      </c>
      <c r="E760" s="120" t="s">
        <v>981</v>
      </c>
      <c r="F760" s="117" t="s">
        <v>933</v>
      </c>
      <c r="G760" s="281">
        <v>1</v>
      </c>
      <c r="H760" s="260">
        <v>63426</v>
      </c>
      <c r="I760" s="260">
        <v>63426</v>
      </c>
      <c r="J760" s="260">
        <v>0</v>
      </c>
      <c r="K760" s="260">
        <v>63426</v>
      </c>
      <c r="L760" s="260">
        <v>5074</v>
      </c>
      <c r="M760" s="260">
        <v>68500</v>
      </c>
      <c r="N760" s="119">
        <v>1.04E-2</v>
      </c>
      <c r="O760" s="462" t="s">
        <v>934</v>
      </c>
    </row>
    <row r="761" spans="1:15" ht="18" customHeight="1" x14ac:dyDescent="0.25">
      <c r="A761" s="116">
        <v>10</v>
      </c>
      <c r="B761" s="117" t="s">
        <v>103</v>
      </c>
      <c r="C761" s="116">
        <v>223</v>
      </c>
      <c r="D761" s="120" t="s">
        <v>87</v>
      </c>
      <c r="E761" s="120" t="s">
        <v>141</v>
      </c>
      <c r="F761" s="117" t="s">
        <v>933</v>
      </c>
      <c r="G761" s="281">
        <v>1</v>
      </c>
      <c r="H761" s="260">
        <v>69444</v>
      </c>
      <c r="I761" s="260">
        <v>69444</v>
      </c>
      <c r="J761" s="260">
        <v>0</v>
      </c>
      <c r="K761" s="260">
        <v>69444</v>
      </c>
      <c r="L761" s="260">
        <v>5556</v>
      </c>
      <c r="M761" s="260">
        <v>75000</v>
      </c>
      <c r="N761" s="119">
        <v>1.14E-2</v>
      </c>
      <c r="O761" s="462" t="s">
        <v>934</v>
      </c>
    </row>
    <row r="762" spans="1:15" ht="18" customHeight="1" x14ac:dyDescent="0.25">
      <c r="A762" s="116">
        <v>10</v>
      </c>
      <c r="B762" s="117" t="s">
        <v>103</v>
      </c>
      <c r="C762" s="116">
        <v>50</v>
      </c>
      <c r="D762" s="120" t="s">
        <v>87</v>
      </c>
      <c r="E762" s="120" t="s">
        <v>159</v>
      </c>
      <c r="F762" s="117" t="s">
        <v>933</v>
      </c>
      <c r="G762" s="281">
        <v>1</v>
      </c>
      <c r="H762" s="260">
        <v>49074</v>
      </c>
      <c r="I762" s="260">
        <v>49074</v>
      </c>
      <c r="J762" s="260">
        <v>0</v>
      </c>
      <c r="K762" s="260">
        <v>49074</v>
      </c>
      <c r="L762" s="260">
        <v>3926</v>
      </c>
      <c r="M762" s="260">
        <v>53000</v>
      </c>
      <c r="N762" s="119">
        <v>8.0000000000000002E-3</v>
      </c>
      <c r="O762" s="462" t="s">
        <v>934</v>
      </c>
    </row>
    <row r="763" spans="1:15" ht="18" customHeight="1" x14ac:dyDescent="0.25">
      <c r="A763" s="116">
        <v>10</v>
      </c>
      <c r="B763" s="117" t="s">
        <v>103</v>
      </c>
      <c r="C763" s="116">
        <v>117</v>
      </c>
      <c r="D763" s="120" t="s">
        <v>87</v>
      </c>
      <c r="E763" s="120" t="s">
        <v>120</v>
      </c>
      <c r="F763" s="117" t="s">
        <v>933</v>
      </c>
      <c r="G763" s="281">
        <v>4</v>
      </c>
      <c r="H763" s="260">
        <v>41667</v>
      </c>
      <c r="I763" s="260">
        <v>166667</v>
      </c>
      <c r="J763" s="260">
        <v>0</v>
      </c>
      <c r="K763" s="260">
        <v>166667</v>
      </c>
      <c r="L763" s="260">
        <v>13333</v>
      </c>
      <c r="M763" s="260">
        <v>180000</v>
      </c>
      <c r="N763" s="119">
        <v>2.7199999999999998E-2</v>
      </c>
      <c r="O763" s="462" t="s">
        <v>934</v>
      </c>
    </row>
    <row r="764" spans="1:15" ht="18" customHeight="1" x14ac:dyDescent="0.25">
      <c r="A764" s="116">
        <v>10</v>
      </c>
      <c r="B764" s="117" t="s">
        <v>103</v>
      </c>
      <c r="C764" s="116">
        <v>36</v>
      </c>
      <c r="D764" s="120" t="s">
        <v>91</v>
      </c>
      <c r="E764" s="120" t="s">
        <v>984</v>
      </c>
      <c r="F764" s="117" t="s">
        <v>933</v>
      </c>
      <c r="G764" s="281">
        <v>3</v>
      </c>
      <c r="H764" s="260">
        <v>3704</v>
      </c>
      <c r="I764" s="260">
        <v>11111</v>
      </c>
      <c r="J764" s="260">
        <v>0</v>
      </c>
      <c r="K764" s="260">
        <v>11111</v>
      </c>
      <c r="L764" s="260">
        <v>889</v>
      </c>
      <c r="M764" s="260">
        <v>12000</v>
      </c>
      <c r="N764" s="119">
        <v>1.8E-3</v>
      </c>
      <c r="O764" s="462" t="s">
        <v>934</v>
      </c>
    </row>
    <row r="765" spans="1:15" ht="18" customHeight="1" x14ac:dyDescent="0.25">
      <c r="A765" s="116">
        <v>10</v>
      </c>
      <c r="B765" s="117" t="s">
        <v>103</v>
      </c>
      <c r="C765" s="116">
        <v>61</v>
      </c>
      <c r="D765" s="120" t="s">
        <v>97</v>
      </c>
      <c r="E765" s="120" t="s">
        <v>985</v>
      </c>
      <c r="F765" s="117" t="s">
        <v>933</v>
      </c>
      <c r="G765" s="281">
        <v>8</v>
      </c>
      <c r="H765" s="260">
        <v>4630</v>
      </c>
      <c r="I765" s="260">
        <v>37037</v>
      </c>
      <c r="J765" s="260">
        <v>0</v>
      </c>
      <c r="K765" s="260">
        <v>37037</v>
      </c>
      <c r="L765" s="260">
        <v>2963</v>
      </c>
      <c r="M765" s="260">
        <v>40000</v>
      </c>
      <c r="N765" s="119">
        <v>6.1000000000000004E-3</v>
      </c>
      <c r="O765" s="462" t="s">
        <v>934</v>
      </c>
    </row>
    <row r="766" spans="1:15" ht="18" customHeight="1" x14ac:dyDescent="0.25">
      <c r="A766" s="116">
        <v>10</v>
      </c>
      <c r="B766" s="117" t="s">
        <v>103</v>
      </c>
      <c r="C766" s="116">
        <v>315</v>
      </c>
      <c r="D766" s="120" t="s">
        <v>87</v>
      </c>
      <c r="E766" s="120" t="s">
        <v>1008</v>
      </c>
      <c r="F766" s="117" t="s">
        <v>933</v>
      </c>
      <c r="G766" s="281">
        <v>1</v>
      </c>
      <c r="H766" s="260">
        <v>1852</v>
      </c>
      <c r="I766" s="260">
        <v>1852</v>
      </c>
      <c r="J766" s="260">
        <v>0</v>
      </c>
      <c r="K766" s="260">
        <v>1852</v>
      </c>
      <c r="L766" s="260">
        <v>148</v>
      </c>
      <c r="M766" s="260">
        <v>2000</v>
      </c>
      <c r="N766" s="119">
        <v>2.9999999999999997E-4</v>
      </c>
      <c r="O766" s="462" t="s">
        <v>934</v>
      </c>
    </row>
    <row r="767" spans="1:15" ht="18" customHeight="1" x14ac:dyDescent="0.25">
      <c r="A767" s="116">
        <v>10</v>
      </c>
      <c r="B767" s="117" t="s">
        <v>103</v>
      </c>
      <c r="C767" s="116">
        <v>96</v>
      </c>
      <c r="D767" s="120" t="s">
        <v>93</v>
      </c>
      <c r="E767" s="120" t="s">
        <v>1009</v>
      </c>
      <c r="F767" s="117" t="s">
        <v>933</v>
      </c>
      <c r="G767" s="281">
        <v>3</v>
      </c>
      <c r="H767" s="260">
        <v>35648</v>
      </c>
      <c r="I767" s="260">
        <v>106944</v>
      </c>
      <c r="J767" s="260">
        <v>0</v>
      </c>
      <c r="K767" s="260">
        <v>106944</v>
      </c>
      <c r="L767" s="260">
        <v>8556</v>
      </c>
      <c r="M767" s="260">
        <v>115500</v>
      </c>
      <c r="N767" s="119">
        <v>1.7500000000000002E-2</v>
      </c>
      <c r="O767" s="462" t="s">
        <v>934</v>
      </c>
    </row>
    <row r="768" spans="1:15" ht="18" customHeight="1" x14ac:dyDescent="0.25">
      <c r="A768" s="116">
        <v>10</v>
      </c>
      <c r="B768" s="117" t="s">
        <v>103</v>
      </c>
      <c r="C768" s="116">
        <v>33</v>
      </c>
      <c r="D768" s="120" t="s">
        <v>91</v>
      </c>
      <c r="E768" s="120" t="s">
        <v>987</v>
      </c>
      <c r="F768" s="117" t="s">
        <v>933</v>
      </c>
      <c r="G768" s="281">
        <v>5</v>
      </c>
      <c r="H768" s="260">
        <v>1852</v>
      </c>
      <c r="I768" s="260">
        <v>9259</v>
      </c>
      <c r="J768" s="260">
        <v>0</v>
      </c>
      <c r="K768" s="260">
        <v>9259</v>
      </c>
      <c r="L768" s="260">
        <v>741</v>
      </c>
      <c r="M768" s="260">
        <v>10000</v>
      </c>
      <c r="N768" s="119">
        <v>1.5E-3</v>
      </c>
      <c r="O768" s="462" t="s">
        <v>934</v>
      </c>
    </row>
    <row r="769" spans="1:15" ht="18" customHeight="1" x14ac:dyDescent="0.25">
      <c r="A769" s="116">
        <v>10</v>
      </c>
      <c r="B769" s="117" t="s">
        <v>103</v>
      </c>
      <c r="C769" s="116">
        <v>255</v>
      </c>
      <c r="D769" s="120" t="s">
        <v>93</v>
      </c>
      <c r="E769" s="120" t="s">
        <v>1010</v>
      </c>
      <c r="F769" s="117" t="s">
        <v>933</v>
      </c>
      <c r="G769" s="281">
        <v>1</v>
      </c>
      <c r="H769" s="260">
        <v>35648</v>
      </c>
      <c r="I769" s="260">
        <v>35648</v>
      </c>
      <c r="J769" s="260">
        <v>0</v>
      </c>
      <c r="K769" s="260">
        <v>35648</v>
      </c>
      <c r="L769" s="260">
        <v>2852</v>
      </c>
      <c r="M769" s="260">
        <v>38500</v>
      </c>
      <c r="N769" s="119">
        <v>5.7999999999999996E-3</v>
      </c>
      <c r="O769" s="462" t="s">
        <v>934</v>
      </c>
    </row>
    <row r="770" spans="1:15" ht="18" customHeight="1" x14ac:dyDescent="0.25">
      <c r="A770" s="116">
        <v>10</v>
      </c>
      <c r="B770" s="117" t="s">
        <v>103</v>
      </c>
      <c r="C770" s="116">
        <v>39</v>
      </c>
      <c r="D770" s="120" t="s">
        <v>91</v>
      </c>
      <c r="E770" s="120" t="s">
        <v>1011</v>
      </c>
      <c r="F770" s="117" t="s">
        <v>933</v>
      </c>
      <c r="G770" s="281">
        <v>1</v>
      </c>
      <c r="H770" s="260">
        <v>3333</v>
      </c>
      <c r="I770" s="260">
        <v>3333</v>
      </c>
      <c r="J770" s="260">
        <v>0</v>
      </c>
      <c r="K770" s="260">
        <v>3333</v>
      </c>
      <c r="L770" s="260">
        <v>267</v>
      </c>
      <c r="M770" s="260">
        <v>3600</v>
      </c>
      <c r="N770" s="119">
        <v>5.0000000000000001E-4</v>
      </c>
      <c r="O770" s="462" t="s">
        <v>934</v>
      </c>
    </row>
    <row r="771" spans="1:15" ht="18" customHeight="1" x14ac:dyDescent="0.25">
      <c r="A771" s="116">
        <v>11</v>
      </c>
      <c r="B771" s="117" t="s">
        <v>104</v>
      </c>
      <c r="C771" s="116">
        <v>73</v>
      </c>
      <c r="D771" s="120" t="s">
        <v>91</v>
      </c>
      <c r="E771" s="120" t="s">
        <v>932</v>
      </c>
      <c r="F771" s="117" t="s">
        <v>933</v>
      </c>
      <c r="G771" s="281">
        <v>10</v>
      </c>
      <c r="H771" s="260">
        <v>2593</v>
      </c>
      <c r="I771" s="260">
        <v>25926</v>
      </c>
      <c r="J771" s="260">
        <v>0</v>
      </c>
      <c r="K771" s="260">
        <v>25926</v>
      </c>
      <c r="L771" s="260">
        <v>2074</v>
      </c>
      <c r="M771" s="260">
        <v>28000</v>
      </c>
      <c r="N771" s="119">
        <v>4.6999999999999993E-3</v>
      </c>
      <c r="O771" s="462" t="s">
        <v>934</v>
      </c>
    </row>
    <row r="772" spans="1:15" ht="18" customHeight="1" x14ac:dyDescent="0.25">
      <c r="A772" s="116">
        <v>11</v>
      </c>
      <c r="B772" s="117" t="s">
        <v>104</v>
      </c>
      <c r="C772" s="116">
        <v>132</v>
      </c>
      <c r="D772" s="120" t="s">
        <v>91</v>
      </c>
      <c r="E772" s="120" t="s">
        <v>989</v>
      </c>
      <c r="F772" s="117" t="s">
        <v>990</v>
      </c>
      <c r="G772" s="281">
        <v>1</v>
      </c>
      <c r="H772" s="260">
        <v>7870</v>
      </c>
      <c r="I772" s="260">
        <v>7870</v>
      </c>
      <c r="J772" s="260">
        <v>0</v>
      </c>
      <c r="K772" s="260">
        <v>7870</v>
      </c>
      <c r="L772" s="260">
        <v>630</v>
      </c>
      <c r="M772" s="260">
        <v>8500</v>
      </c>
      <c r="N772" s="119">
        <v>1.4E-3</v>
      </c>
      <c r="O772" s="462" t="s">
        <v>934</v>
      </c>
    </row>
    <row r="773" spans="1:15" ht="18" customHeight="1" x14ac:dyDescent="0.25">
      <c r="A773" s="116">
        <v>11</v>
      </c>
      <c r="B773" s="117" t="s">
        <v>104</v>
      </c>
      <c r="C773" s="116">
        <v>65</v>
      </c>
      <c r="D773" s="120" t="s">
        <v>91</v>
      </c>
      <c r="E773" s="120" t="s">
        <v>935</v>
      </c>
      <c r="F773" s="117" t="s">
        <v>933</v>
      </c>
      <c r="G773" s="281">
        <v>5</v>
      </c>
      <c r="H773" s="260">
        <v>2778</v>
      </c>
      <c r="I773" s="260">
        <v>13889</v>
      </c>
      <c r="J773" s="260">
        <v>0</v>
      </c>
      <c r="K773" s="260">
        <v>13889</v>
      </c>
      <c r="L773" s="260">
        <v>1111</v>
      </c>
      <c r="M773" s="260">
        <v>15000</v>
      </c>
      <c r="N773" s="119">
        <v>2.5000000000000001E-3</v>
      </c>
      <c r="O773" s="462" t="s">
        <v>934</v>
      </c>
    </row>
    <row r="774" spans="1:15" ht="18" customHeight="1" x14ac:dyDescent="0.25">
      <c r="A774" s="116">
        <v>11</v>
      </c>
      <c r="B774" s="117" t="s">
        <v>104</v>
      </c>
      <c r="C774" s="116">
        <v>131</v>
      </c>
      <c r="D774" s="120" t="s">
        <v>87</v>
      </c>
      <c r="E774" s="120" t="s">
        <v>991</v>
      </c>
      <c r="F774" s="117" t="s">
        <v>933</v>
      </c>
      <c r="G774" s="281">
        <v>1</v>
      </c>
      <c r="H774" s="260">
        <v>278</v>
      </c>
      <c r="I774" s="260">
        <v>278</v>
      </c>
      <c r="J774" s="260">
        <v>0</v>
      </c>
      <c r="K774" s="260">
        <v>278</v>
      </c>
      <c r="L774" s="260">
        <v>22</v>
      </c>
      <c r="M774" s="260">
        <v>300</v>
      </c>
      <c r="N774" s="119">
        <v>1E-4</v>
      </c>
      <c r="O774" s="462" t="s">
        <v>934</v>
      </c>
    </row>
    <row r="775" spans="1:15" ht="18" customHeight="1" x14ac:dyDescent="0.25">
      <c r="A775" s="116">
        <v>11</v>
      </c>
      <c r="B775" s="117" t="s">
        <v>104</v>
      </c>
      <c r="C775" s="116">
        <v>104</v>
      </c>
      <c r="D775" s="120" t="s">
        <v>89</v>
      </c>
      <c r="E775" s="120" t="s">
        <v>162</v>
      </c>
      <c r="F775" s="117" t="s">
        <v>933</v>
      </c>
      <c r="G775" s="281">
        <v>7</v>
      </c>
      <c r="H775" s="260">
        <v>15939</v>
      </c>
      <c r="I775" s="260">
        <v>111574</v>
      </c>
      <c r="J775" s="260">
        <v>0</v>
      </c>
      <c r="K775" s="260">
        <v>111574</v>
      </c>
      <c r="L775" s="260">
        <v>8926</v>
      </c>
      <c r="M775" s="260">
        <v>120500</v>
      </c>
      <c r="N775" s="119">
        <v>2.0400000000000001E-2</v>
      </c>
      <c r="O775" s="462" t="s">
        <v>934</v>
      </c>
    </row>
    <row r="776" spans="1:15" ht="18" customHeight="1" x14ac:dyDescent="0.25">
      <c r="A776" s="116">
        <v>11</v>
      </c>
      <c r="B776" s="117" t="s">
        <v>104</v>
      </c>
      <c r="C776" s="116">
        <v>54</v>
      </c>
      <c r="D776" s="120" t="s">
        <v>91</v>
      </c>
      <c r="E776" s="120" t="s">
        <v>992</v>
      </c>
      <c r="F776" s="117" t="s">
        <v>933</v>
      </c>
      <c r="G776" s="281">
        <v>1</v>
      </c>
      <c r="H776" s="260">
        <v>2315</v>
      </c>
      <c r="I776" s="260">
        <v>2315</v>
      </c>
      <c r="J776" s="260">
        <v>0</v>
      </c>
      <c r="K776" s="260">
        <v>2315</v>
      </c>
      <c r="L776" s="260">
        <v>185</v>
      </c>
      <c r="M776" s="260">
        <v>2500</v>
      </c>
      <c r="N776" s="119">
        <v>4.0000000000000002E-4</v>
      </c>
      <c r="O776" s="462" t="s">
        <v>934</v>
      </c>
    </row>
    <row r="777" spans="1:15" ht="18" customHeight="1" x14ac:dyDescent="0.25">
      <c r="A777" s="116">
        <v>11</v>
      </c>
      <c r="B777" s="117" t="s">
        <v>104</v>
      </c>
      <c r="C777" s="116">
        <v>5</v>
      </c>
      <c r="D777" s="120" t="s">
        <v>89</v>
      </c>
      <c r="E777" s="120" t="s">
        <v>993</v>
      </c>
      <c r="F777" s="117" t="s">
        <v>933</v>
      </c>
      <c r="G777" s="281">
        <v>1</v>
      </c>
      <c r="H777" s="260">
        <v>11111</v>
      </c>
      <c r="I777" s="260">
        <v>11111</v>
      </c>
      <c r="J777" s="260">
        <v>0</v>
      </c>
      <c r="K777" s="260">
        <v>11111</v>
      </c>
      <c r="L777" s="260">
        <v>889</v>
      </c>
      <c r="M777" s="260">
        <v>12000</v>
      </c>
      <c r="N777" s="119">
        <v>2E-3</v>
      </c>
      <c r="O777" s="462" t="s">
        <v>934</v>
      </c>
    </row>
    <row r="778" spans="1:15" ht="18" customHeight="1" x14ac:dyDescent="0.25">
      <c r="A778" s="116">
        <v>11</v>
      </c>
      <c r="B778" s="117" t="s">
        <v>104</v>
      </c>
      <c r="C778" s="116">
        <v>136</v>
      </c>
      <c r="D778" s="120" t="s">
        <v>89</v>
      </c>
      <c r="E778" s="120" t="s">
        <v>939</v>
      </c>
      <c r="F778" s="117" t="s">
        <v>933</v>
      </c>
      <c r="G778" s="281">
        <v>1</v>
      </c>
      <c r="H778" s="260">
        <v>24074</v>
      </c>
      <c r="I778" s="260">
        <v>24074</v>
      </c>
      <c r="J778" s="260">
        <v>0</v>
      </c>
      <c r="K778" s="260">
        <v>24074</v>
      </c>
      <c r="L778" s="260">
        <v>1926</v>
      </c>
      <c r="M778" s="260">
        <v>26000</v>
      </c>
      <c r="N778" s="119">
        <v>4.4000000000000003E-3</v>
      </c>
      <c r="O778" s="462" t="s">
        <v>934</v>
      </c>
    </row>
    <row r="779" spans="1:15" ht="18" customHeight="1" x14ac:dyDescent="0.25">
      <c r="A779" s="116">
        <v>11</v>
      </c>
      <c r="B779" s="117" t="s">
        <v>104</v>
      </c>
      <c r="C779" s="116">
        <v>6</v>
      </c>
      <c r="D779" s="120" t="s">
        <v>89</v>
      </c>
      <c r="E779" s="120" t="s">
        <v>994</v>
      </c>
      <c r="F779" s="117" t="s">
        <v>933</v>
      </c>
      <c r="G779" s="281">
        <v>8</v>
      </c>
      <c r="H779" s="260">
        <v>14815</v>
      </c>
      <c r="I779" s="260">
        <v>118519</v>
      </c>
      <c r="J779" s="260">
        <v>0</v>
      </c>
      <c r="K779" s="260">
        <v>118519</v>
      </c>
      <c r="L779" s="260">
        <v>9481</v>
      </c>
      <c r="M779" s="260">
        <v>128000</v>
      </c>
      <c r="N779" s="119">
        <v>2.1700000000000001E-2</v>
      </c>
      <c r="O779" s="462" t="s">
        <v>934</v>
      </c>
    </row>
    <row r="780" spans="1:15" ht="18" customHeight="1" x14ac:dyDescent="0.25">
      <c r="A780" s="116">
        <v>11</v>
      </c>
      <c r="B780" s="117" t="s">
        <v>104</v>
      </c>
      <c r="C780" s="116">
        <v>8</v>
      </c>
      <c r="D780" s="120" t="s">
        <v>87</v>
      </c>
      <c r="E780" s="120" t="s">
        <v>156</v>
      </c>
      <c r="F780" s="117" t="s">
        <v>933</v>
      </c>
      <c r="G780" s="281">
        <v>12</v>
      </c>
      <c r="H780" s="260">
        <v>18596</v>
      </c>
      <c r="I780" s="260">
        <v>223148</v>
      </c>
      <c r="J780" s="260">
        <v>0</v>
      </c>
      <c r="K780" s="260">
        <v>223148</v>
      </c>
      <c r="L780" s="260">
        <v>17852</v>
      </c>
      <c r="M780" s="260">
        <v>241000</v>
      </c>
      <c r="N780" s="119">
        <v>4.0800000000000003E-2</v>
      </c>
      <c r="O780" s="462" t="s">
        <v>934</v>
      </c>
    </row>
    <row r="781" spans="1:15" ht="18" customHeight="1" x14ac:dyDescent="0.25">
      <c r="A781" s="116">
        <v>11</v>
      </c>
      <c r="B781" s="117" t="s">
        <v>104</v>
      </c>
      <c r="C781" s="116">
        <v>311</v>
      </c>
      <c r="D781" s="120" t="s">
        <v>93</v>
      </c>
      <c r="E781" s="120" t="s">
        <v>940</v>
      </c>
      <c r="F781" s="117" t="s">
        <v>933</v>
      </c>
      <c r="G781" s="281">
        <v>1</v>
      </c>
      <c r="H781" s="260">
        <v>44907</v>
      </c>
      <c r="I781" s="260">
        <v>44907</v>
      </c>
      <c r="J781" s="260">
        <v>0</v>
      </c>
      <c r="K781" s="260">
        <v>44907</v>
      </c>
      <c r="L781" s="260">
        <v>3593</v>
      </c>
      <c r="M781" s="260">
        <v>48500</v>
      </c>
      <c r="N781" s="119">
        <v>8.199999999999999E-3</v>
      </c>
      <c r="O781" s="462" t="s">
        <v>934</v>
      </c>
    </row>
    <row r="782" spans="1:15" ht="18" customHeight="1" x14ac:dyDescent="0.25">
      <c r="A782" s="116">
        <v>11</v>
      </c>
      <c r="B782" s="117" t="s">
        <v>104</v>
      </c>
      <c r="C782" s="116">
        <v>87</v>
      </c>
      <c r="D782" s="120" t="s">
        <v>89</v>
      </c>
      <c r="E782" s="120" t="s">
        <v>144</v>
      </c>
      <c r="F782" s="117" t="s">
        <v>933</v>
      </c>
      <c r="G782" s="281">
        <v>3</v>
      </c>
      <c r="H782" s="260">
        <v>37500</v>
      </c>
      <c r="I782" s="260">
        <v>112500</v>
      </c>
      <c r="J782" s="260">
        <v>0</v>
      </c>
      <c r="K782" s="260">
        <v>112500</v>
      </c>
      <c r="L782" s="260">
        <v>9000</v>
      </c>
      <c r="M782" s="260">
        <v>121500</v>
      </c>
      <c r="N782" s="119">
        <v>2.06E-2</v>
      </c>
      <c r="O782" s="462" t="s">
        <v>934</v>
      </c>
    </row>
    <row r="783" spans="1:15" ht="18" customHeight="1" x14ac:dyDescent="0.25">
      <c r="A783" s="116">
        <v>11</v>
      </c>
      <c r="B783" s="117" t="s">
        <v>104</v>
      </c>
      <c r="C783" s="116">
        <v>206</v>
      </c>
      <c r="D783" s="120" t="s">
        <v>93</v>
      </c>
      <c r="E783" s="120" t="s">
        <v>941</v>
      </c>
      <c r="F783" s="117" t="s">
        <v>933</v>
      </c>
      <c r="G783" s="281">
        <v>1</v>
      </c>
      <c r="H783" s="260">
        <v>44907</v>
      </c>
      <c r="I783" s="260">
        <v>44907</v>
      </c>
      <c r="J783" s="260">
        <v>0</v>
      </c>
      <c r="K783" s="260">
        <v>44907</v>
      </c>
      <c r="L783" s="260">
        <v>3593</v>
      </c>
      <c r="M783" s="260">
        <v>48500</v>
      </c>
      <c r="N783" s="119">
        <v>8.199999999999999E-3</v>
      </c>
      <c r="O783" s="462" t="s">
        <v>934</v>
      </c>
    </row>
    <row r="784" spans="1:15" ht="18" customHeight="1" x14ac:dyDescent="0.25">
      <c r="A784" s="116">
        <v>11</v>
      </c>
      <c r="B784" s="117" t="s">
        <v>104</v>
      </c>
      <c r="C784" s="116">
        <v>246</v>
      </c>
      <c r="D784" s="120" t="s">
        <v>91</v>
      </c>
      <c r="E784" s="120" t="s">
        <v>943</v>
      </c>
      <c r="F784" s="117" t="s">
        <v>933</v>
      </c>
      <c r="G784" s="281">
        <v>7</v>
      </c>
      <c r="H784" s="260">
        <v>6481</v>
      </c>
      <c r="I784" s="260">
        <v>45370</v>
      </c>
      <c r="J784" s="260">
        <v>0</v>
      </c>
      <c r="K784" s="260">
        <v>45370</v>
      </c>
      <c r="L784" s="260">
        <v>3630</v>
      </c>
      <c r="M784" s="260">
        <v>49000</v>
      </c>
      <c r="N784" s="119">
        <v>8.3000000000000001E-3</v>
      </c>
      <c r="O784" s="462" t="s">
        <v>934</v>
      </c>
    </row>
    <row r="785" spans="1:15" ht="18" customHeight="1" x14ac:dyDescent="0.25">
      <c r="A785" s="116">
        <v>11</v>
      </c>
      <c r="B785" s="117" t="s">
        <v>104</v>
      </c>
      <c r="C785" s="116">
        <v>83</v>
      </c>
      <c r="D785" s="120" t="s">
        <v>87</v>
      </c>
      <c r="E785" s="120" t="s">
        <v>946</v>
      </c>
      <c r="F785" s="117" t="s">
        <v>933</v>
      </c>
      <c r="G785" s="281">
        <v>3</v>
      </c>
      <c r="H785" s="260">
        <v>20833</v>
      </c>
      <c r="I785" s="260">
        <v>62500</v>
      </c>
      <c r="J785" s="260">
        <v>0</v>
      </c>
      <c r="K785" s="260">
        <v>62500</v>
      </c>
      <c r="L785" s="260">
        <v>5000</v>
      </c>
      <c r="M785" s="260">
        <v>67500</v>
      </c>
      <c r="N785" s="119">
        <v>1.14E-2</v>
      </c>
      <c r="O785" s="462" t="s">
        <v>934</v>
      </c>
    </row>
    <row r="786" spans="1:15" ht="18" customHeight="1" x14ac:dyDescent="0.25">
      <c r="A786" s="116">
        <v>11</v>
      </c>
      <c r="B786" s="117" t="s">
        <v>104</v>
      </c>
      <c r="C786" s="116">
        <v>52</v>
      </c>
      <c r="D786" s="120" t="s">
        <v>87</v>
      </c>
      <c r="E786" s="120" t="s">
        <v>996</v>
      </c>
      <c r="F786" s="117" t="s">
        <v>933</v>
      </c>
      <c r="G786" s="281">
        <v>2</v>
      </c>
      <c r="H786" s="260">
        <v>5556</v>
      </c>
      <c r="I786" s="260">
        <v>11111</v>
      </c>
      <c r="J786" s="260">
        <v>0</v>
      </c>
      <c r="K786" s="260">
        <v>11111</v>
      </c>
      <c r="L786" s="260">
        <v>889</v>
      </c>
      <c r="M786" s="260">
        <v>12000</v>
      </c>
      <c r="N786" s="119">
        <v>2E-3</v>
      </c>
      <c r="O786" s="462" t="s">
        <v>934</v>
      </c>
    </row>
    <row r="787" spans="1:15" ht="18" customHeight="1" x14ac:dyDescent="0.25">
      <c r="A787" s="116">
        <v>11</v>
      </c>
      <c r="B787" s="117" t="s">
        <v>104</v>
      </c>
      <c r="C787" s="116">
        <v>41</v>
      </c>
      <c r="D787" s="120" t="s">
        <v>87</v>
      </c>
      <c r="E787" s="120" t="s">
        <v>168</v>
      </c>
      <c r="F787" s="117" t="s">
        <v>933</v>
      </c>
      <c r="G787" s="281">
        <v>4</v>
      </c>
      <c r="H787" s="260">
        <v>49074</v>
      </c>
      <c r="I787" s="260">
        <v>196296</v>
      </c>
      <c r="J787" s="260">
        <v>0</v>
      </c>
      <c r="K787" s="260">
        <v>196296</v>
      </c>
      <c r="L787" s="260">
        <v>15704</v>
      </c>
      <c r="M787" s="260">
        <v>212000</v>
      </c>
      <c r="N787" s="119">
        <v>3.5900000000000001E-2</v>
      </c>
      <c r="O787" s="462" t="s">
        <v>934</v>
      </c>
    </row>
    <row r="788" spans="1:15" ht="18" customHeight="1" x14ac:dyDescent="0.25">
      <c r="A788" s="116">
        <v>11</v>
      </c>
      <c r="B788" s="117" t="s">
        <v>104</v>
      </c>
      <c r="C788" s="116">
        <v>122</v>
      </c>
      <c r="D788" s="120" t="s">
        <v>91</v>
      </c>
      <c r="E788" s="120" t="s">
        <v>948</v>
      </c>
      <c r="F788" s="117" t="s">
        <v>933</v>
      </c>
      <c r="G788" s="281">
        <v>0</v>
      </c>
      <c r="H788" s="260">
        <v>0</v>
      </c>
      <c r="I788" s="260">
        <v>0</v>
      </c>
      <c r="J788" s="260">
        <v>0</v>
      </c>
      <c r="K788" s="260">
        <v>0</v>
      </c>
      <c r="L788" s="260">
        <v>0</v>
      </c>
      <c r="M788" s="260">
        <v>0</v>
      </c>
      <c r="N788" s="119">
        <v>0</v>
      </c>
      <c r="O788" s="462" t="s">
        <v>934</v>
      </c>
    </row>
    <row r="789" spans="1:15" ht="18" customHeight="1" x14ac:dyDescent="0.25">
      <c r="A789" s="116">
        <v>11</v>
      </c>
      <c r="B789" s="117" t="s">
        <v>104</v>
      </c>
      <c r="C789" s="116">
        <v>247</v>
      </c>
      <c r="D789" s="120" t="s">
        <v>87</v>
      </c>
      <c r="E789" s="120" t="s">
        <v>1014</v>
      </c>
      <c r="F789" s="117" t="s">
        <v>933</v>
      </c>
      <c r="G789" s="281">
        <v>2</v>
      </c>
      <c r="H789" s="260">
        <v>3056</v>
      </c>
      <c r="I789" s="260">
        <v>6111</v>
      </c>
      <c r="J789" s="260">
        <v>0</v>
      </c>
      <c r="K789" s="260">
        <v>6111</v>
      </c>
      <c r="L789" s="260">
        <v>489</v>
      </c>
      <c r="M789" s="260">
        <v>6600</v>
      </c>
      <c r="N789" s="119">
        <v>1.1000000000000001E-3</v>
      </c>
      <c r="O789" s="462" t="s">
        <v>934</v>
      </c>
    </row>
    <row r="790" spans="1:15" ht="18" customHeight="1" x14ac:dyDescent="0.25">
      <c r="A790" s="116">
        <v>11</v>
      </c>
      <c r="B790" s="117" t="s">
        <v>104</v>
      </c>
      <c r="C790" s="116">
        <v>11</v>
      </c>
      <c r="D790" s="120" t="s">
        <v>87</v>
      </c>
      <c r="E790" s="120" t="s">
        <v>1062</v>
      </c>
      <c r="F790" s="117" t="s">
        <v>933</v>
      </c>
      <c r="G790" s="281">
        <v>9</v>
      </c>
      <c r="H790" s="260">
        <v>18724</v>
      </c>
      <c r="I790" s="260">
        <v>168519</v>
      </c>
      <c r="J790" s="260">
        <v>0</v>
      </c>
      <c r="K790" s="260">
        <v>168519</v>
      </c>
      <c r="L790" s="260">
        <v>13481</v>
      </c>
      <c r="M790" s="260">
        <v>182000</v>
      </c>
      <c r="N790" s="119">
        <v>3.0800000000000001E-2</v>
      </c>
      <c r="O790" s="462" t="s">
        <v>934</v>
      </c>
    </row>
    <row r="791" spans="1:15" ht="18" customHeight="1" x14ac:dyDescent="0.25">
      <c r="A791" s="116">
        <v>11</v>
      </c>
      <c r="B791" s="117" t="s">
        <v>104</v>
      </c>
      <c r="C791" s="116">
        <v>110</v>
      </c>
      <c r="D791" s="120" t="s">
        <v>99</v>
      </c>
      <c r="E791" s="120" t="s">
        <v>949</v>
      </c>
      <c r="F791" s="117" t="s">
        <v>933</v>
      </c>
      <c r="G791" s="281">
        <v>22</v>
      </c>
      <c r="H791" s="260">
        <v>926</v>
      </c>
      <c r="I791" s="260">
        <v>20370</v>
      </c>
      <c r="J791" s="260">
        <v>0</v>
      </c>
      <c r="K791" s="260">
        <v>20370</v>
      </c>
      <c r="L791" s="260">
        <v>1630</v>
      </c>
      <c r="M791" s="260">
        <v>22000</v>
      </c>
      <c r="N791" s="119">
        <v>3.7000000000000002E-3</v>
      </c>
      <c r="O791" s="462" t="s">
        <v>934</v>
      </c>
    </row>
    <row r="792" spans="1:15" ht="18" customHeight="1" x14ac:dyDescent="0.25">
      <c r="A792" s="116">
        <v>11</v>
      </c>
      <c r="B792" s="117" t="s">
        <v>104</v>
      </c>
      <c r="C792" s="116">
        <v>102</v>
      </c>
      <c r="D792" s="120" t="s">
        <v>87</v>
      </c>
      <c r="E792" s="120" t="s">
        <v>998</v>
      </c>
      <c r="F792" s="117" t="s">
        <v>933</v>
      </c>
      <c r="G792" s="281">
        <v>1</v>
      </c>
      <c r="H792" s="260">
        <v>6944</v>
      </c>
      <c r="I792" s="260">
        <v>6944</v>
      </c>
      <c r="J792" s="260">
        <v>0</v>
      </c>
      <c r="K792" s="260">
        <v>6944</v>
      </c>
      <c r="L792" s="260">
        <v>556</v>
      </c>
      <c r="M792" s="260">
        <v>7500</v>
      </c>
      <c r="N792" s="119">
        <v>1.2999999999999999E-3</v>
      </c>
      <c r="O792" s="462" t="s">
        <v>934</v>
      </c>
    </row>
    <row r="793" spans="1:15" ht="18" customHeight="1" x14ac:dyDescent="0.25">
      <c r="A793" s="116">
        <v>11</v>
      </c>
      <c r="B793" s="117" t="s">
        <v>104</v>
      </c>
      <c r="C793" s="116">
        <v>30</v>
      </c>
      <c r="D793" s="120" t="s">
        <v>95</v>
      </c>
      <c r="E793" s="120" t="s">
        <v>951</v>
      </c>
      <c r="F793" s="117" t="s">
        <v>933</v>
      </c>
      <c r="G793" s="281">
        <v>2</v>
      </c>
      <c r="H793" s="260">
        <v>6481</v>
      </c>
      <c r="I793" s="260">
        <v>12963</v>
      </c>
      <c r="J793" s="260">
        <v>0</v>
      </c>
      <c r="K793" s="260">
        <v>12963</v>
      </c>
      <c r="L793" s="260">
        <v>1037</v>
      </c>
      <c r="M793" s="260">
        <v>14000</v>
      </c>
      <c r="N793" s="119">
        <v>2.3999999999999998E-3</v>
      </c>
      <c r="O793" s="462" t="s">
        <v>934</v>
      </c>
    </row>
    <row r="794" spans="1:15" ht="18" customHeight="1" x14ac:dyDescent="0.25">
      <c r="A794" s="116">
        <v>11</v>
      </c>
      <c r="B794" s="117" t="s">
        <v>104</v>
      </c>
      <c r="C794" s="116">
        <v>94</v>
      </c>
      <c r="D794" s="120" t="s">
        <v>89</v>
      </c>
      <c r="E794" s="120" t="s">
        <v>150</v>
      </c>
      <c r="F794" s="117" t="s">
        <v>933</v>
      </c>
      <c r="G794" s="281">
        <v>17</v>
      </c>
      <c r="H794" s="260">
        <v>18736</v>
      </c>
      <c r="I794" s="260">
        <v>318519</v>
      </c>
      <c r="J794" s="260">
        <v>0</v>
      </c>
      <c r="K794" s="260">
        <v>318519</v>
      </c>
      <c r="L794" s="260">
        <v>25481</v>
      </c>
      <c r="M794" s="260">
        <v>344000</v>
      </c>
      <c r="N794" s="119">
        <v>5.8200000000000002E-2</v>
      </c>
      <c r="O794" s="462" t="s">
        <v>934</v>
      </c>
    </row>
    <row r="795" spans="1:15" ht="18" customHeight="1" x14ac:dyDescent="0.25">
      <c r="A795" s="116">
        <v>11</v>
      </c>
      <c r="B795" s="117" t="s">
        <v>104</v>
      </c>
      <c r="C795" s="116">
        <v>233</v>
      </c>
      <c r="D795" s="120" t="s">
        <v>89</v>
      </c>
      <c r="E795" s="120" t="s">
        <v>117</v>
      </c>
      <c r="F795" s="117" t="s">
        <v>933</v>
      </c>
      <c r="G795" s="281">
        <v>36</v>
      </c>
      <c r="H795" s="260">
        <v>18544</v>
      </c>
      <c r="I795" s="260">
        <v>670370</v>
      </c>
      <c r="J795" s="260">
        <v>2778</v>
      </c>
      <c r="K795" s="260">
        <v>667592</v>
      </c>
      <c r="L795" s="260">
        <v>53407</v>
      </c>
      <c r="M795" s="260">
        <v>720999</v>
      </c>
      <c r="N795" s="119">
        <v>0.122</v>
      </c>
      <c r="O795" s="462" t="s">
        <v>934</v>
      </c>
    </row>
    <row r="796" spans="1:15" ht="18" customHeight="1" x14ac:dyDescent="0.25">
      <c r="A796" s="116">
        <v>11</v>
      </c>
      <c r="B796" s="117" t="s">
        <v>104</v>
      </c>
      <c r="C796" s="116">
        <v>217</v>
      </c>
      <c r="D796" s="120" t="s">
        <v>89</v>
      </c>
      <c r="E796" s="120" t="s">
        <v>953</v>
      </c>
      <c r="F796" s="117" t="s">
        <v>933</v>
      </c>
      <c r="G796" s="281">
        <v>3</v>
      </c>
      <c r="H796" s="260">
        <v>27778</v>
      </c>
      <c r="I796" s="260">
        <v>83333</v>
      </c>
      <c r="J796" s="260">
        <v>0</v>
      </c>
      <c r="K796" s="260">
        <v>83333</v>
      </c>
      <c r="L796" s="260">
        <v>6667</v>
      </c>
      <c r="M796" s="260">
        <v>90000</v>
      </c>
      <c r="N796" s="119">
        <v>1.52E-2</v>
      </c>
      <c r="O796" s="462" t="s">
        <v>934</v>
      </c>
    </row>
    <row r="797" spans="1:15" ht="18" customHeight="1" x14ac:dyDescent="0.25">
      <c r="A797" s="116">
        <v>11</v>
      </c>
      <c r="B797" s="117" t="s">
        <v>104</v>
      </c>
      <c r="C797" s="116">
        <v>218</v>
      </c>
      <c r="D797" s="120" t="s">
        <v>89</v>
      </c>
      <c r="E797" s="120" t="s">
        <v>954</v>
      </c>
      <c r="F797" s="117" t="s">
        <v>933</v>
      </c>
      <c r="G797" s="281">
        <v>17</v>
      </c>
      <c r="H797" s="260">
        <v>18791</v>
      </c>
      <c r="I797" s="260">
        <v>319444</v>
      </c>
      <c r="J797" s="260">
        <v>0</v>
      </c>
      <c r="K797" s="260">
        <v>319444</v>
      </c>
      <c r="L797" s="260">
        <v>25556</v>
      </c>
      <c r="M797" s="260">
        <v>345000</v>
      </c>
      <c r="N797" s="119">
        <v>5.8400000000000001E-2</v>
      </c>
      <c r="O797" s="462" t="s">
        <v>934</v>
      </c>
    </row>
    <row r="798" spans="1:15" ht="18" customHeight="1" x14ac:dyDescent="0.25">
      <c r="A798" s="116">
        <v>11</v>
      </c>
      <c r="B798" s="117" t="s">
        <v>104</v>
      </c>
      <c r="C798" s="116">
        <v>34</v>
      </c>
      <c r="D798" s="120" t="s">
        <v>91</v>
      </c>
      <c r="E798" s="120" t="s">
        <v>955</v>
      </c>
      <c r="F798" s="117" t="s">
        <v>933</v>
      </c>
      <c r="G798" s="281">
        <v>2</v>
      </c>
      <c r="H798" s="260">
        <v>6481</v>
      </c>
      <c r="I798" s="260">
        <v>12963</v>
      </c>
      <c r="J798" s="260">
        <v>0</v>
      </c>
      <c r="K798" s="260">
        <v>12963</v>
      </c>
      <c r="L798" s="260">
        <v>1037</v>
      </c>
      <c r="M798" s="260">
        <v>14000</v>
      </c>
      <c r="N798" s="119">
        <v>2.3999999999999998E-3</v>
      </c>
      <c r="O798" s="462" t="s">
        <v>934</v>
      </c>
    </row>
    <row r="799" spans="1:15" ht="18" customHeight="1" x14ac:dyDescent="0.25">
      <c r="A799" s="116">
        <v>11</v>
      </c>
      <c r="B799" s="117" t="s">
        <v>104</v>
      </c>
      <c r="C799" s="116">
        <v>121</v>
      </c>
      <c r="D799" s="120" t="s">
        <v>91</v>
      </c>
      <c r="E799" s="120" t="s">
        <v>956</v>
      </c>
      <c r="F799" s="117" t="s">
        <v>933</v>
      </c>
      <c r="G799" s="281">
        <v>1</v>
      </c>
      <c r="H799" s="260">
        <v>2778</v>
      </c>
      <c r="I799" s="260">
        <v>2778</v>
      </c>
      <c r="J799" s="260">
        <v>0</v>
      </c>
      <c r="K799" s="260">
        <v>2778</v>
      </c>
      <c r="L799" s="260">
        <v>222</v>
      </c>
      <c r="M799" s="260">
        <v>3000</v>
      </c>
      <c r="N799" s="119">
        <v>5.0000000000000001E-4</v>
      </c>
      <c r="O799" s="462" t="s">
        <v>934</v>
      </c>
    </row>
    <row r="800" spans="1:15" ht="18" customHeight="1" x14ac:dyDescent="0.25">
      <c r="A800" s="116">
        <v>11</v>
      </c>
      <c r="B800" s="117" t="s">
        <v>104</v>
      </c>
      <c r="C800" s="116">
        <v>208</v>
      </c>
      <c r="D800" s="120" t="s">
        <v>91</v>
      </c>
      <c r="E800" s="120" t="s">
        <v>957</v>
      </c>
      <c r="F800" s="117" t="s">
        <v>933</v>
      </c>
      <c r="G800" s="281">
        <v>9</v>
      </c>
      <c r="H800" s="260">
        <v>3704</v>
      </c>
      <c r="I800" s="260">
        <v>33333</v>
      </c>
      <c r="J800" s="260">
        <v>0</v>
      </c>
      <c r="K800" s="260">
        <v>33333</v>
      </c>
      <c r="L800" s="260">
        <v>2667</v>
      </c>
      <c r="M800" s="260">
        <v>36000</v>
      </c>
      <c r="N800" s="119">
        <v>6.1000000000000004E-3</v>
      </c>
      <c r="O800" s="462" t="s">
        <v>934</v>
      </c>
    </row>
    <row r="801" spans="1:15" ht="18" customHeight="1" x14ac:dyDescent="0.25">
      <c r="A801" s="116">
        <v>11</v>
      </c>
      <c r="B801" s="117" t="s">
        <v>104</v>
      </c>
      <c r="C801" s="116">
        <v>90</v>
      </c>
      <c r="D801" s="120" t="s">
        <v>91</v>
      </c>
      <c r="E801" s="120" t="s">
        <v>487</v>
      </c>
      <c r="F801" s="117" t="s">
        <v>933</v>
      </c>
      <c r="G801" s="281">
        <v>3</v>
      </c>
      <c r="H801" s="260">
        <v>4259</v>
      </c>
      <c r="I801" s="260">
        <v>12778</v>
      </c>
      <c r="J801" s="260">
        <v>0</v>
      </c>
      <c r="K801" s="260">
        <v>12778</v>
      </c>
      <c r="L801" s="260">
        <v>1022</v>
      </c>
      <c r="M801" s="260">
        <v>13800</v>
      </c>
      <c r="N801" s="119">
        <v>2.3E-3</v>
      </c>
      <c r="O801" s="462" t="s">
        <v>934</v>
      </c>
    </row>
    <row r="802" spans="1:15" ht="18" customHeight="1" x14ac:dyDescent="0.25">
      <c r="A802" s="116">
        <v>11</v>
      </c>
      <c r="B802" s="117" t="s">
        <v>104</v>
      </c>
      <c r="C802" s="116">
        <v>123</v>
      </c>
      <c r="D802" s="120" t="s">
        <v>91</v>
      </c>
      <c r="E802" s="120" t="s">
        <v>958</v>
      </c>
      <c r="F802" s="117" t="s">
        <v>933</v>
      </c>
      <c r="G802" s="281">
        <v>4</v>
      </c>
      <c r="H802" s="260">
        <v>2778</v>
      </c>
      <c r="I802" s="260">
        <v>11111</v>
      </c>
      <c r="J802" s="260">
        <v>0</v>
      </c>
      <c r="K802" s="260">
        <v>11111</v>
      </c>
      <c r="L802" s="260">
        <v>889</v>
      </c>
      <c r="M802" s="260">
        <v>12000</v>
      </c>
      <c r="N802" s="119">
        <v>2E-3</v>
      </c>
      <c r="O802" s="462" t="s">
        <v>934</v>
      </c>
    </row>
    <row r="803" spans="1:15" ht="18" customHeight="1" x14ac:dyDescent="0.25">
      <c r="A803" s="116">
        <v>11</v>
      </c>
      <c r="B803" s="117" t="s">
        <v>104</v>
      </c>
      <c r="C803" s="116">
        <v>31</v>
      </c>
      <c r="D803" s="120" t="s">
        <v>95</v>
      </c>
      <c r="E803" s="120" t="s">
        <v>959</v>
      </c>
      <c r="F803" s="117" t="s">
        <v>933</v>
      </c>
      <c r="G803" s="281">
        <v>9</v>
      </c>
      <c r="H803" s="260">
        <v>1204</v>
      </c>
      <c r="I803" s="260">
        <v>10833</v>
      </c>
      <c r="J803" s="260">
        <v>0</v>
      </c>
      <c r="K803" s="260">
        <v>10833</v>
      </c>
      <c r="L803" s="260">
        <v>867</v>
      </c>
      <c r="M803" s="260">
        <v>11700</v>
      </c>
      <c r="N803" s="119">
        <v>2E-3</v>
      </c>
      <c r="O803" s="462" t="s">
        <v>934</v>
      </c>
    </row>
    <row r="804" spans="1:15" ht="18" customHeight="1" x14ac:dyDescent="0.25">
      <c r="A804" s="116">
        <v>11</v>
      </c>
      <c r="B804" s="117" t="s">
        <v>104</v>
      </c>
      <c r="C804" s="116">
        <v>74</v>
      </c>
      <c r="D804" s="120" t="s">
        <v>91</v>
      </c>
      <c r="E804" s="120" t="s">
        <v>1000</v>
      </c>
      <c r="F804" s="117" t="s">
        <v>933</v>
      </c>
      <c r="G804" s="281">
        <v>5</v>
      </c>
      <c r="H804" s="260">
        <v>6481</v>
      </c>
      <c r="I804" s="260">
        <v>32407</v>
      </c>
      <c r="J804" s="260">
        <v>0</v>
      </c>
      <c r="K804" s="260">
        <v>32407</v>
      </c>
      <c r="L804" s="260">
        <v>2593</v>
      </c>
      <c r="M804" s="260">
        <v>35000</v>
      </c>
      <c r="N804" s="119">
        <v>5.8999999999999999E-3</v>
      </c>
      <c r="O804" s="462" t="s">
        <v>934</v>
      </c>
    </row>
    <row r="805" spans="1:15" ht="18" customHeight="1" x14ac:dyDescent="0.25">
      <c r="A805" s="116">
        <v>11</v>
      </c>
      <c r="B805" s="117" t="s">
        <v>104</v>
      </c>
      <c r="C805" s="116">
        <v>235</v>
      </c>
      <c r="D805" s="120" t="s">
        <v>91</v>
      </c>
      <c r="E805" s="120" t="s">
        <v>1001</v>
      </c>
      <c r="F805" s="117" t="s">
        <v>933</v>
      </c>
      <c r="G805" s="281">
        <v>1</v>
      </c>
      <c r="H805" s="260">
        <v>3426</v>
      </c>
      <c r="I805" s="260">
        <v>3426</v>
      </c>
      <c r="J805" s="260">
        <v>0</v>
      </c>
      <c r="K805" s="260">
        <v>3426</v>
      </c>
      <c r="L805" s="260">
        <v>274</v>
      </c>
      <c r="M805" s="260">
        <v>3700</v>
      </c>
      <c r="N805" s="119">
        <v>5.9999999999999995E-4</v>
      </c>
      <c r="O805" s="462" t="s">
        <v>934</v>
      </c>
    </row>
    <row r="806" spans="1:15" ht="18" customHeight="1" x14ac:dyDescent="0.25">
      <c r="A806" s="116">
        <v>11</v>
      </c>
      <c r="B806" s="117" t="s">
        <v>104</v>
      </c>
      <c r="C806" s="116">
        <v>118</v>
      </c>
      <c r="D806" s="120" t="s">
        <v>87</v>
      </c>
      <c r="E806" s="120" t="s">
        <v>126</v>
      </c>
      <c r="F806" s="117" t="s">
        <v>933</v>
      </c>
      <c r="G806" s="281">
        <v>4</v>
      </c>
      <c r="H806" s="260">
        <v>41667</v>
      </c>
      <c r="I806" s="260">
        <v>166667</v>
      </c>
      <c r="J806" s="260">
        <v>0</v>
      </c>
      <c r="K806" s="260">
        <v>166667</v>
      </c>
      <c r="L806" s="260">
        <v>13333</v>
      </c>
      <c r="M806" s="260">
        <v>180000</v>
      </c>
      <c r="N806" s="119">
        <v>3.0499999999999999E-2</v>
      </c>
      <c r="O806" s="462" t="s">
        <v>934</v>
      </c>
    </row>
    <row r="807" spans="1:15" ht="18" customHeight="1" x14ac:dyDescent="0.25">
      <c r="A807" s="116">
        <v>11</v>
      </c>
      <c r="B807" s="117" t="s">
        <v>104</v>
      </c>
      <c r="C807" s="116">
        <v>204</v>
      </c>
      <c r="D807" s="120" t="s">
        <v>91</v>
      </c>
      <c r="E807" s="120" t="s">
        <v>962</v>
      </c>
      <c r="F807" s="117" t="s">
        <v>933</v>
      </c>
      <c r="G807" s="281">
        <v>1</v>
      </c>
      <c r="H807" s="260">
        <v>12037</v>
      </c>
      <c r="I807" s="260">
        <v>12037</v>
      </c>
      <c r="J807" s="260">
        <v>0</v>
      </c>
      <c r="K807" s="260">
        <v>12037</v>
      </c>
      <c r="L807" s="260">
        <v>963</v>
      </c>
      <c r="M807" s="260">
        <v>13000</v>
      </c>
      <c r="N807" s="119">
        <v>2.2000000000000001E-3</v>
      </c>
      <c r="O807" s="462" t="s">
        <v>934</v>
      </c>
    </row>
    <row r="808" spans="1:15" ht="18" customHeight="1" x14ac:dyDescent="0.25">
      <c r="A808" s="116">
        <v>11</v>
      </c>
      <c r="B808" s="117" t="s">
        <v>104</v>
      </c>
      <c r="C808" s="116">
        <v>109</v>
      </c>
      <c r="D808" s="120" t="s">
        <v>91</v>
      </c>
      <c r="E808" s="120" t="s">
        <v>147</v>
      </c>
      <c r="F808" s="117" t="s">
        <v>933</v>
      </c>
      <c r="G808" s="281">
        <v>5</v>
      </c>
      <c r="H808" s="260">
        <v>12963</v>
      </c>
      <c r="I808" s="260">
        <v>64815</v>
      </c>
      <c r="J808" s="260">
        <v>0</v>
      </c>
      <c r="K808" s="260">
        <v>64815</v>
      </c>
      <c r="L808" s="260">
        <v>5185</v>
      </c>
      <c r="M808" s="260">
        <v>70000</v>
      </c>
      <c r="N808" s="119">
        <v>1.18E-2</v>
      </c>
      <c r="O808" s="462" t="s">
        <v>934</v>
      </c>
    </row>
    <row r="809" spans="1:15" ht="18" customHeight="1" x14ac:dyDescent="0.25">
      <c r="A809" s="116">
        <v>11</v>
      </c>
      <c r="B809" s="117" t="s">
        <v>104</v>
      </c>
      <c r="C809" s="116">
        <v>147</v>
      </c>
      <c r="D809" s="120" t="s">
        <v>91</v>
      </c>
      <c r="E809" s="120" t="s">
        <v>963</v>
      </c>
      <c r="F809" s="117" t="s">
        <v>933</v>
      </c>
      <c r="G809" s="281">
        <v>4</v>
      </c>
      <c r="H809" s="260">
        <v>6481</v>
      </c>
      <c r="I809" s="260">
        <v>25926</v>
      </c>
      <c r="J809" s="260">
        <v>0</v>
      </c>
      <c r="K809" s="260">
        <v>25926</v>
      </c>
      <c r="L809" s="260">
        <v>2074</v>
      </c>
      <c r="M809" s="260">
        <v>28000</v>
      </c>
      <c r="N809" s="119">
        <v>4.6999999999999993E-3</v>
      </c>
      <c r="O809" s="462" t="s">
        <v>934</v>
      </c>
    </row>
    <row r="810" spans="1:15" ht="18" customHeight="1" x14ac:dyDescent="0.25">
      <c r="A810" s="116">
        <v>11</v>
      </c>
      <c r="B810" s="117" t="s">
        <v>104</v>
      </c>
      <c r="C810" s="116">
        <v>72</v>
      </c>
      <c r="D810" s="120" t="s">
        <v>97</v>
      </c>
      <c r="E810" s="120" t="s">
        <v>965</v>
      </c>
      <c r="F810" s="117" t="s">
        <v>933</v>
      </c>
      <c r="G810" s="281">
        <v>9</v>
      </c>
      <c r="H810" s="260">
        <v>3704</v>
      </c>
      <c r="I810" s="260">
        <v>33333</v>
      </c>
      <c r="J810" s="260">
        <v>0</v>
      </c>
      <c r="K810" s="260">
        <v>33333</v>
      </c>
      <c r="L810" s="260">
        <v>2667</v>
      </c>
      <c r="M810" s="260">
        <v>36000</v>
      </c>
      <c r="N810" s="119">
        <v>6.1000000000000004E-3</v>
      </c>
      <c r="O810" s="462" t="s">
        <v>934</v>
      </c>
    </row>
    <row r="811" spans="1:15" ht="18" customHeight="1" x14ac:dyDescent="0.25">
      <c r="A811" s="116">
        <v>11</v>
      </c>
      <c r="B811" s="117" t="s">
        <v>104</v>
      </c>
      <c r="C811" s="116">
        <v>93</v>
      </c>
      <c r="D811" s="120" t="s">
        <v>89</v>
      </c>
      <c r="E811" s="120" t="s">
        <v>123</v>
      </c>
      <c r="F811" s="117" t="s">
        <v>933</v>
      </c>
      <c r="G811" s="281">
        <v>7</v>
      </c>
      <c r="H811" s="260">
        <v>20370</v>
      </c>
      <c r="I811" s="260">
        <v>142593</v>
      </c>
      <c r="J811" s="260">
        <v>0</v>
      </c>
      <c r="K811" s="260">
        <v>142593</v>
      </c>
      <c r="L811" s="260">
        <v>11407</v>
      </c>
      <c r="M811" s="260">
        <v>154000</v>
      </c>
      <c r="N811" s="119">
        <v>2.6100000000000002E-2</v>
      </c>
      <c r="O811" s="462" t="s">
        <v>934</v>
      </c>
    </row>
    <row r="812" spans="1:15" ht="18" customHeight="1" x14ac:dyDescent="0.25">
      <c r="A812" s="116">
        <v>11</v>
      </c>
      <c r="B812" s="117" t="s">
        <v>104</v>
      </c>
      <c r="C812" s="116">
        <v>119</v>
      </c>
      <c r="D812" s="120" t="s">
        <v>89</v>
      </c>
      <c r="E812" s="120" t="s">
        <v>114</v>
      </c>
      <c r="F812" s="117" t="s">
        <v>933</v>
      </c>
      <c r="G812" s="281">
        <v>5</v>
      </c>
      <c r="H812" s="260">
        <v>44444</v>
      </c>
      <c r="I812" s="260">
        <v>222222</v>
      </c>
      <c r="J812" s="260">
        <v>0</v>
      </c>
      <c r="K812" s="260">
        <v>222222</v>
      </c>
      <c r="L812" s="260">
        <v>17778</v>
      </c>
      <c r="M812" s="260">
        <v>240000</v>
      </c>
      <c r="N812" s="119">
        <v>4.0599999999999997E-2</v>
      </c>
      <c r="O812" s="462" t="s">
        <v>934</v>
      </c>
    </row>
    <row r="813" spans="1:15" ht="18" customHeight="1" x14ac:dyDescent="0.25">
      <c r="A813" s="116">
        <v>11</v>
      </c>
      <c r="B813" s="117" t="s">
        <v>104</v>
      </c>
      <c r="C813" s="116">
        <v>21</v>
      </c>
      <c r="D813" s="120" t="s">
        <v>95</v>
      </c>
      <c r="E813" s="120" t="s">
        <v>1051</v>
      </c>
      <c r="F813" s="117" t="s">
        <v>933</v>
      </c>
      <c r="G813" s="281">
        <v>4</v>
      </c>
      <c r="H813" s="260">
        <v>7407</v>
      </c>
      <c r="I813" s="260">
        <v>29630</v>
      </c>
      <c r="J813" s="260">
        <v>0</v>
      </c>
      <c r="K813" s="260">
        <v>29630</v>
      </c>
      <c r="L813" s="260">
        <v>2370</v>
      </c>
      <c r="M813" s="260">
        <v>32000</v>
      </c>
      <c r="N813" s="119">
        <v>5.4000000000000003E-3</v>
      </c>
      <c r="O813" s="462" t="s">
        <v>934</v>
      </c>
    </row>
    <row r="814" spans="1:15" ht="18" customHeight="1" x14ac:dyDescent="0.25">
      <c r="A814" s="116">
        <v>11</v>
      </c>
      <c r="B814" s="117" t="s">
        <v>104</v>
      </c>
      <c r="C814" s="116">
        <v>19</v>
      </c>
      <c r="D814" s="120" t="s">
        <v>87</v>
      </c>
      <c r="E814" s="120" t="s">
        <v>968</v>
      </c>
      <c r="F814" s="117" t="s">
        <v>933</v>
      </c>
      <c r="G814" s="281">
        <v>1</v>
      </c>
      <c r="H814" s="260">
        <v>9259</v>
      </c>
      <c r="I814" s="260">
        <v>9259</v>
      </c>
      <c r="J814" s="260">
        <v>0</v>
      </c>
      <c r="K814" s="260">
        <v>9259</v>
      </c>
      <c r="L814" s="260">
        <v>741</v>
      </c>
      <c r="M814" s="260">
        <v>10000</v>
      </c>
      <c r="N814" s="119">
        <v>1.6999999999999999E-3</v>
      </c>
      <c r="O814" s="462" t="s">
        <v>934</v>
      </c>
    </row>
    <row r="815" spans="1:15" ht="18" customHeight="1" x14ac:dyDescent="0.25">
      <c r="A815" s="116">
        <v>11</v>
      </c>
      <c r="B815" s="117" t="s">
        <v>104</v>
      </c>
      <c r="C815" s="116">
        <v>22</v>
      </c>
      <c r="D815" s="120" t="s">
        <v>93</v>
      </c>
      <c r="E815" s="120" t="s">
        <v>1026</v>
      </c>
      <c r="F815" s="117" t="s">
        <v>933</v>
      </c>
      <c r="G815" s="281">
        <v>20</v>
      </c>
      <c r="H815" s="260">
        <v>18657</v>
      </c>
      <c r="I815" s="260">
        <v>373148</v>
      </c>
      <c r="J815" s="260">
        <v>0</v>
      </c>
      <c r="K815" s="260">
        <v>373148</v>
      </c>
      <c r="L815" s="260">
        <v>29852</v>
      </c>
      <c r="M815" s="260">
        <v>403000</v>
      </c>
      <c r="N815" s="119">
        <v>6.8199999999999997E-2</v>
      </c>
      <c r="O815" s="462" t="s">
        <v>934</v>
      </c>
    </row>
    <row r="816" spans="1:15" ht="18" customHeight="1" x14ac:dyDescent="0.25">
      <c r="A816" s="116">
        <v>11</v>
      </c>
      <c r="B816" s="117" t="s">
        <v>104</v>
      </c>
      <c r="C816" s="116">
        <v>239</v>
      </c>
      <c r="D816" s="120" t="s">
        <v>87</v>
      </c>
      <c r="E816" s="120" t="s">
        <v>1027</v>
      </c>
      <c r="F816" s="117" t="s">
        <v>933</v>
      </c>
      <c r="G816" s="281">
        <v>13</v>
      </c>
      <c r="H816" s="260">
        <v>18875</v>
      </c>
      <c r="I816" s="260">
        <v>245370</v>
      </c>
      <c r="J816" s="260">
        <v>0</v>
      </c>
      <c r="K816" s="260">
        <v>245370</v>
      </c>
      <c r="L816" s="260">
        <v>19630</v>
      </c>
      <c r="M816" s="260">
        <v>265000</v>
      </c>
      <c r="N816" s="119">
        <v>4.4800000000000013E-2</v>
      </c>
      <c r="O816" s="462" t="s">
        <v>934</v>
      </c>
    </row>
    <row r="817" spans="1:15" ht="18" customHeight="1" x14ac:dyDescent="0.25">
      <c r="A817" s="116">
        <v>11</v>
      </c>
      <c r="B817" s="117" t="s">
        <v>104</v>
      </c>
      <c r="C817" s="116">
        <v>145</v>
      </c>
      <c r="D817" s="120" t="s">
        <v>87</v>
      </c>
      <c r="E817" s="120" t="s">
        <v>1028</v>
      </c>
      <c r="F817" s="117" t="s">
        <v>933</v>
      </c>
      <c r="G817" s="281">
        <v>14</v>
      </c>
      <c r="H817" s="260">
        <v>18585</v>
      </c>
      <c r="I817" s="260">
        <v>260185</v>
      </c>
      <c r="J817" s="260">
        <v>0</v>
      </c>
      <c r="K817" s="260">
        <v>260185</v>
      </c>
      <c r="L817" s="260">
        <v>20815</v>
      </c>
      <c r="M817" s="260">
        <v>281000</v>
      </c>
      <c r="N817" s="119">
        <v>4.7500000000000001E-2</v>
      </c>
      <c r="O817" s="462" t="s">
        <v>934</v>
      </c>
    </row>
    <row r="818" spans="1:15" ht="18" customHeight="1" x14ac:dyDescent="0.25">
      <c r="A818" s="116">
        <v>11</v>
      </c>
      <c r="B818" s="117" t="s">
        <v>104</v>
      </c>
      <c r="C818" s="116">
        <v>111</v>
      </c>
      <c r="D818" s="120" t="s">
        <v>87</v>
      </c>
      <c r="E818" s="120" t="s">
        <v>1041</v>
      </c>
      <c r="F818" s="117" t="s">
        <v>933</v>
      </c>
      <c r="G818" s="281">
        <v>1</v>
      </c>
      <c r="H818" s="260">
        <v>6481</v>
      </c>
      <c r="I818" s="260">
        <v>6481</v>
      </c>
      <c r="J818" s="260">
        <v>0</v>
      </c>
      <c r="K818" s="260">
        <v>6481</v>
      </c>
      <c r="L818" s="260">
        <v>519</v>
      </c>
      <c r="M818" s="260">
        <v>7000</v>
      </c>
      <c r="N818" s="119">
        <v>1.1999999999999999E-3</v>
      </c>
      <c r="O818" s="462" t="s">
        <v>934</v>
      </c>
    </row>
    <row r="819" spans="1:15" ht="18" customHeight="1" x14ac:dyDescent="0.25">
      <c r="A819" s="116">
        <v>11</v>
      </c>
      <c r="B819" s="117" t="s">
        <v>104</v>
      </c>
      <c r="C819" s="116">
        <v>168</v>
      </c>
      <c r="D819" s="120" t="s">
        <v>87</v>
      </c>
      <c r="E819" s="120" t="s">
        <v>1057</v>
      </c>
      <c r="F819" s="117" t="s">
        <v>933</v>
      </c>
      <c r="G819" s="281">
        <v>11</v>
      </c>
      <c r="H819" s="260">
        <v>6481</v>
      </c>
      <c r="I819" s="260">
        <v>71296</v>
      </c>
      <c r="J819" s="260">
        <v>0</v>
      </c>
      <c r="K819" s="260">
        <v>71296</v>
      </c>
      <c r="L819" s="260">
        <v>5704</v>
      </c>
      <c r="M819" s="260">
        <v>77000</v>
      </c>
      <c r="N819" s="119">
        <v>1.2999999999999999E-2</v>
      </c>
      <c r="O819" s="462" t="s">
        <v>934</v>
      </c>
    </row>
    <row r="820" spans="1:15" ht="18" customHeight="1" x14ac:dyDescent="0.25">
      <c r="A820" s="116">
        <v>11</v>
      </c>
      <c r="B820" s="117" t="s">
        <v>104</v>
      </c>
      <c r="C820" s="116">
        <v>99</v>
      </c>
      <c r="D820" s="120" t="s">
        <v>87</v>
      </c>
      <c r="E820" s="120" t="s">
        <v>1058</v>
      </c>
      <c r="F820" s="117" t="s">
        <v>1059</v>
      </c>
      <c r="G820" s="281">
        <v>1</v>
      </c>
      <c r="H820" s="260">
        <v>3241</v>
      </c>
      <c r="I820" s="260">
        <v>3241</v>
      </c>
      <c r="J820" s="260">
        <v>0</v>
      </c>
      <c r="K820" s="260">
        <v>3241</v>
      </c>
      <c r="L820" s="260">
        <v>259</v>
      </c>
      <c r="M820" s="260">
        <v>3500</v>
      </c>
      <c r="N820" s="119">
        <v>5.9999999999999995E-4</v>
      </c>
      <c r="O820" s="462" t="s">
        <v>934</v>
      </c>
    </row>
    <row r="821" spans="1:15" ht="18" customHeight="1" x14ac:dyDescent="0.25">
      <c r="A821" s="116">
        <v>11</v>
      </c>
      <c r="B821" s="117" t="s">
        <v>104</v>
      </c>
      <c r="C821" s="116">
        <v>240</v>
      </c>
      <c r="D821" s="120" t="s">
        <v>87</v>
      </c>
      <c r="E821" s="120" t="s">
        <v>1029</v>
      </c>
      <c r="F821" s="117" t="s">
        <v>933</v>
      </c>
      <c r="G821" s="281">
        <v>5</v>
      </c>
      <c r="H821" s="260">
        <v>6481</v>
      </c>
      <c r="I821" s="260">
        <v>32407</v>
      </c>
      <c r="J821" s="260">
        <v>0</v>
      </c>
      <c r="K821" s="260">
        <v>32407</v>
      </c>
      <c r="L821" s="260">
        <v>2593</v>
      </c>
      <c r="M821" s="260">
        <v>35000</v>
      </c>
      <c r="N821" s="119">
        <v>5.8999999999999999E-3</v>
      </c>
      <c r="O821" s="462" t="s">
        <v>934</v>
      </c>
    </row>
    <row r="822" spans="1:15" ht="18" customHeight="1" x14ac:dyDescent="0.25">
      <c r="A822" s="116">
        <v>11</v>
      </c>
      <c r="B822" s="117" t="s">
        <v>104</v>
      </c>
      <c r="C822" s="116">
        <v>156</v>
      </c>
      <c r="D822" s="120" t="s">
        <v>93</v>
      </c>
      <c r="E822" s="120" t="s">
        <v>1030</v>
      </c>
      <c r="F822" s="117" t="s">
        <v>933</v>
      </c>
      <c r="G822" s="281">
        <v>4</v>
      </c>
      <c r="H822" s="260">
        <v>6481</v>
      </c>
      <c r="I822" s="260">
        <v>25926</v>
      </c>
      <c r="J822" s="260">
        <v>0</v>
      </c>
      <c r="K822" s="260">
        <v>25926</v>
      </c>
      <c r="L822" s="260">
        <v>2074</v>
      </c>
      <c r="M822" s="260">
        <v>28000</v>
      </c>
      <c r="N822" s="119">
        <v>4.6999999999999993E-3</v>
      </c>
      <c r="O822" s="462" t="s">
        <v>934</v>
      </c>
    </row>
    <row r="823" spans="1:15" ht="18" customHeight="1" x14ac:dyDescent="0.25">
      <c r="A823" s="116">
        <v>11</v>
      </c>
      <c r="B823" s="117" t="s">
        <v>104</v>
      </c>
      <c r="C823" s="116">
        <v>81</v>
      </c>
      <c r="D823" s="120" t="s">
        <v>95</v>
      </c>
      <c r="E823" s="120" t="s">
        <v>971</v>
      </c>
      <c r="F823" s="117" t="s">
        <v>933</v>
      </c>
      <c r="G823" s="281">
        <v>2</v>
      </c>
      <c r="H823" s="260">
        <v>1389</v>
      </c>
      <c r="I823" s="260">
        <v>2778</v>
      </c>
      <c r="J823" s="260">
        <v>0</v>
      </c>
      <c r="K823" s="260">
        <v>2778</v>
      </c>
      <c r="L823" s="260">
        <v>222</v>
      </c>
      <c r="M823" s="260">
        <v>3000</v>
      </c>
      <c r="N823" s="119">
        <v>5.0000000000000001E-4</v>
      </c>
      <c r="O823" s="462" t="s">
        <v>934</v>
      </c>
    </row>
    <row r="824" spans="1:15" ht="18" customHeight="1" x14ac:dyDescent="0.25">
      <c r="A824" s="116">
        <v>11</v>
      </c>
      <c r="B824" s="117" t="s">
        <v>104</v>
      </c>
      <c r="C824" s="116">
        <v>86</v>
      </c>
      <c r="D824" s="120" t="s">
        <v>95</v>
      </c>
      <c r="E824" s="120" t="s">
        <v>972</v>
      </c>
      <c r="F824" s="117" t="s">
        <v>933</v>
      </c>
      <c r="G824" s="281">
        <v>15</v>
      </c>
      <c r="H824" s="260">
        <v>3241</v>
      </c>
      <c r="I824" s="260">
        <v>48611</v>
      </c>
      <c r="J824" s="260">
        <v>0</v>
      </c>
      <c r="K824" s="260">
        <v>48611</v>
      </c>
      <c r="L824" s="260">
        <v>3889</v>
      </c>
      <c r="M824" s="260">
        <v>52500</v>
      </c>
      <c r="N824" s="119">
        <v>8.8999999999999999E-3</v>
      </c>
      <c r="O824" s="462" t="s">
        <v>934</v>
      </c>
    </row>
    <row r="825" spans="1:15" ht="18" customHeight="1" x14ac:dyDescent="0.25">
      <c r="A825" s="116">
        <v>11</v>
      </c>
      <c r="B825" s="117" t="s">
        <v>104</v>
      </c>
      <c r="C825" s="116">
        <v>80</v>
      </c>
      <c r="D825" s="120" t="s">
        <v>95</v>
      </c>
      <c r="E825" s="120" t="s">
        <v>973</v>
      </c>
      <c r="F825" s="117" t="s">
        <v>933</v>
      </c>
      <c r="G825" s="281">
        <v>0</v>
      </c>
      <c r="H825" s="260">
        <v>0</v>
      </c>
      <c r="I825" s="260">
        <v>0</v>
      </c>
      <c r="J825" s="260">
        <v>0</v>
      </c>
      <c r="K825" s="260">
        <v>0</v>
      </c>
      <c r="L825" s="260">
        <v>0</v>
      </c>
      <c r="M825" s="260">
        <v>0</v>
      </c>
      <c r="N825" s="119">
        <v>0</v>
      </c>
      <c r="O825" s="462" t="s">
        <v>934</v>
      </c>
    </row>
    <row r="826" spans="1:15" ht="18" customHeight="1" x14ac:dyDescent="0.25">
      <c r="A826" s="116">
        <v>11</v>
      </c>
      <c r="B826" s="117" t="s">
        <v>104</v>
      </c>
      <c r="C826" s="116">
        <v>63</v>
      </c>
      <c r="D826" s="120" t="s">
        <v>95</v>
      </c>
      <c r="E826" s="120" t="s">
        <v>1031</v>
      </c>
      <c r="F826" s="117" t="s">
        <v>933</v>
      </c>
      <c r="G826" s="281">
        <v>1</v>
      </c>
      <c r="H826" s="260">
        <v>3704</v>
      </c>
      <c r="I826" s="260">
        <v>3704</v>
      </c>
      <c r="J826" s="260">
        <v>0</v>
      </c>
      <c r="K826" s="260">
        <v>3704</v>
      </c>
      <c r="L826" s="260">
        <v>296</v>
      </c>
      <c r="M826" s="260">
        <v>4000</v>
      </c>
      <c r="N826" s="119">
        <v>7.000000000000001E-4</v>
      </c>
      <c r="O826" s="462" t="s">
        <v>934</v>
      </c>
    </row>
    <row r="827" spans="1:15" ht="18" customHeight="1" x14ac:dyDescent="0.25">
      <c r="A827" s="116">
        <v>11</v>
      </c>
      <c r="B827" s="117" t="s">
        <v>104</v>
      </c>
      <c r="C827" s="116">
        <v>79</v>
      </c>
      <c r="D827" s="120" t="s">
        <v>95</v>
      </c>
      <c r="E827" s="120" t="s">
        <v>975</v>
      </c>
      <c r="F827" s="117" t="s">
        <v>933</v>
      </c>
      <c r="G827" s="281">
        <v>3</v>
      </c>
      <c r="H827" s="260">
        <v>6481</v>
      </c>
      <c r="I827" s="260">
        <v>19444</v>
      </c>
      <c r="J827" s="260">
        <v>0</v>
      </c>
      <c r="K827" s="260">
        <v>19444</v>
      </c>
      <c r="L827" s="260">
        <v>1556</v>
      </c>
      <c r="M827" s="260">
        <v>21000</v>
      </c>
      <c r="N827" s="119">
        <v>3.5999999999999999E-3</v>
      </c>
      <c r="O827" s="462" t="s">
        <v>934</v>
      </c>
    </row>
    <row r="828" spans="1:15" ht="18" customHeight="1" x14ac:dyDescent="0.25">
      <c r="A828" s="116">
        <v>11</v>
      </c>
      <c r="B828" s="117" t="s">
        <v>104</v>
      </c>
      <c r="C828" s="116">
        <v>62</v>
      </c>
      <c r="D828" s="120" t="s">
        <v>95</v>
      </c>
      <c r="E828" s="120" t="s">
        <v>976</v>
      </c>
      <c r="F828" s="117" t="s">
        <v>933</v>
      </c>
      <c r="G828" s="281">
        <v>3</v>
      </c>
      <c r="H828" s="260">
        <v>6944</v>
      </c>
      <c r="I828" s="260">
        <v>20833</v>
      </c>
      <c r="J828" s="260">
        <v>0</v>
      </c>
      <c r="K828" s="260">
        <v>20833</v>
      </c>
      <c r="L828" s="260">
        <v>1667</v>
      </c>
      <c r="M828" s="260">
        <v>22500</v>
      </c>
      <c r="N828" s="119">
        <v>3.8E-3</v>
      </c>
      <c r="O828" s="462" t="s">
        <v>934</v>
      </c>
    </row>
    <row r="829" spans="1:15" ht="18" customHeight="1" x14ac:dyDescent="0.25">
      <c r="A829" s="116">
        <v>11</v>
      </c>
      <c r="B829" s="117" t="s">
        <v>104</v>
      </c>
      <c r="C829" s="116">
        <v>137</v>
      </c>
      <c r="D829" s="120" t="s">
        <v>95</v>
      </c>
      <c r="E829" s="120" t="s">
        <v>1006</v>
      </c>
      <c r="F829" s="117" t="s">
        <v>933</v>
      </c>
      <c r="G829" s="281">
        <v>6</v>
      </c>
      <c r="H829" s="260">
        <v>6481</v>
      </c>
      <c r="I829" s="260">
        <v>38889</v>
      </c>
      <c r="J829" s="260">
        <v>0</v>
      </c>
      <c r="K829" s="260">
        <v>38889</v>
      </c>
      <c r="L829" s="260">
        <v>3111</v>
      </c>
      <c r="M829" s="260">
        <v>42000</v>
      </c>
      <c r="N829" s="119">
        <v>7.1000000000000004E-3</v>
      </c>
      <c r="O829" s="462" t="s">
        <v>934</v>
      </c>
    </row>
    <row r="830" spans="1:15" ht="18" customHeight="1" x14ac:dyDescent="0.25">
      <c r="A830" s="116">
        <v>11</v>
      </c>
      <c r="B830" s="117" t="s">
        <v>104</v>
      </c>
      <c r="C830" s="116">
        <v>219</v>
      </c>
      <c r="D830" s="120" t="s">
        <v>87</v>
      </c>
      <c r="E830" s="120" t="s">
        <v>153</v>
      </c>
      <c r="F830" s="117" t="s">
        <v>933</v>
      </c>
      <c r="G830" s="281">
        <v>1</v>
      </c>
      <c r="H830" s="260">
        <v>69444</v>
      </c>
      <c r="I830" s="260">
        <v>69444</v>
      </c>
      <c r="J830" s="260">
        <v>0</v>
      </c>
      <c r="K830" s="260">
        <v>69444</v>
      </c>
      <c r="L830" s="260">
        <v>5556</v>
      </c>
      <c r="M830" s="260">
        <v>75000</v>
      </c>
      <c r="N830" s="119">
        <v>1.2699999999999999E-2</v>
      </c>
      <c r="O830" s="462" t="s">
        <v>934</v>
      </c>
    </row>
    <row r="831" spans="1:15" ht="18" customHeight="1" x14ac:dyDescent="0.25">
      <c r="A831" s="116">
        <v>11</v>
      </c>
      <c r="B831" s="117" t="s">
        <v>104</v>
      </c>
      <c r="C831" s="116">
        <v>140</v>
      </c>
      <c r="D831" s="120" t="s">
        <v>87</v>
      </c>
      <c r="E831" s="120" t="s">
        <v>979</v>
      </c>
      <c r="F831" s="117" t="s">
        <v>933</v>
      </c>
      <c r="G831" s="281">
        <v>1</v>
      </c>
      <c r="H831" s="260">
        <v>90741</v>
      </c>
      <c r="I831" s="260">
        <v>90741</v>
      </c>
      <c r="J831" s="260">
        <v>0</v>
      </c>
      <c r="K831" s="260">
        <v>90741</v>
      </c>
      <c r="L831" s="260">
        <v>7259</v>
      </c>
      <c r="M831" s="260">
        <v>98000</v>
      </c>
      <c r="N831" s="119">
        <v>1.66E-2</v>
      </c>
      <c r="O831" s="462" t="s">
        <v>934</v>
      </c>
    </row>
    <row r="832" spans="1:15" ht="18" customHeight="1" x14ac:dyDescent="0.25">
      <c r="A832" s="116">
        <v>11</v>
      </c>
      <c r="B832" s="117" t="s">
        <v>104</v>
      </c>
      <c r="C832" s="116">
        <v>221</v>
      </c>
      <c r="D832" s="120" t="s">
        <v>87</v>
      </c>
      <c r="E832" s="120" t="s">
        <v>980</v>
      </c>
      <c r="F832" s="117" t="s">
        <v>933</v>
      </c>
      <c r="G832" s="281">
        <v>1</v>
      </c>
      <c r="H832" s="260">
        <v>54167</v>
      </c>
      <c r="I832" s="260">
        <v>54167</v>
      </c>
      <c r="J832" s="260">
        <v>0</v>
      </c>
      <c r="K832" s="260">
        <v>54167</v>
      </c>
      <c r="L832" s="260">
        <v>4333</v>
      </c>
      <c r="M832" s="260">
        <v>58500</v>
      </c>
      <c r="N832" s="119">
        <v>9.8999999999999991E-3</v>
      </c>
      <c r="O832" s="462" t="s">
        <v>934</v>
      </c>
    </row>
    <row r="833" spans="1:15" ht="18" customHeight="1" x14ac:dyDescent="0.25">
      <c r="A833" s="116">
        <v>11</v>
      </c>
      <c r="B833" s="117" t="s">
        <v>104</v>
      </c>
      <c r="C833" s="116">
        <v>223</v>
      </c>
      <c r="D833" s="120" t="s">
        <v>87</v>
      </c>
      <c r="E833" s="120" t="s">
        <v>141</v>
      </c>
      <c r="F833" s="117" t="s">
        <v>933</v>
      </c>
      <c r="G833" s="281">
        <v>2</v>
      </c>
      <c r="H833" s="260">
        <v>69444</v>
      </c>
      <c r="I833" s="260">
        <v>138889</v>
      </c>
      <c r="J833" s="260">
        <v>0</v>
      </c>
      <c r="K833" s="260">
        <v>138889</v>
      </c>
      <c r="L833" s="260">
        <v>11111</v>
      </c>
      <c r="M833" s="260">
        <v>150000</v>
      </c>
      <c r="N833" s="119">
        <v>2.5399999999999999E-2</v>
      </c>
      <c r="O833" s="462" t="s">
        <v>934</v>
      </c>
    </row>
    <row r="834" spans="1:15" ht="18" customHeight="1" x14ac:dyDescent="0.25">
      <c r="A834" s="116">
        <v>11</v>
      </c>
      <c r="B834" s="117" t="s">
        <v>104</v>
      </c>
      <c r="C834" s="116">
        <v>50</v>
      </c>
      <c r="D834" s="120" t="s">
        <v>87</v>
      </c>
      <c r="E834" s="120" t="s">
        <v>159</v>
      </c>
      <c r="F834" s="117" t="s">
        <v>933</v>
      </c>
      <c r="G834" s="281">
        <v>3</v>
      </c>
      <c r="H834" s="260">
        <v>49074</v>
      </c>
      <c r="I834" s="260">
        <v>147222</v>
      </c>
      <c r="J834" s="260">
        <v>0</v>
      </c>
      <c r="K834" s="260">
        <v>147222</v>
      </c>
      <c r="L834" s="260">
        <v>11778</v>
      </c>
      <c r="M834" s="260">
        <v>159000</v>
      </c>
      <c r="N834" s="119">
        <v>2.69E-2</v>
      </c>
      <c r="O834" s="462" t="s">
        <v>934</v>
      </c>
    </row>
    <row r="835" spans="1:15" ht="18" customHeight="1" x14ac:dyDescent="0.25">
      <c r="A835" s="116">
        <v>11</v>
      </c>
      <c r="B835" s="117" t="s">
        <v>104</v>
      </c>
      <c r="C835" s="116">
        <v>117</v>
      </c>
      <c r="D835" s="120" t="s">
        <v>87</v>
      </c>
      <c r="E835" s="120" t="s">
        <v>120</v>
      </c>
      <c r="F835" s="117" t="s">
        <v>933</v>
      </c>
      <c r="G835" s="281">
        <v>1</v>
      </c>
      <c r="H835" s="260">
        <v>41667</v>
      </c>
      <c r="I835" s="260">
        <v>41667</v>
      </c>
      <c r="J835" s="260">
        <v>0</v>
      </c>
      <c r="K835" s="260">
        <v>41667</v>
      </c>
      <c r="L835" s="260">
        <v>3333</v>
      </c>
      <c r="M835" s="260">
        <v>45000</v>
      </c>
      <c r="N835" s="119">
        <v>7.6E-3</v>
      </c>
      <c r="O835" s="462" t="s">
        <v>934</v>
      </c>
    </row>
    <row r="836" spans="1:15" ht="18" customHeight="1" x14ac:dyDescent="0.25">
      <c r="A836" s="116">
        <v>11</v>
      </c>
      <c r="B836" s="117" t="s">
        <v>104</v>
      </c>
      <c r="C836" s="116">
        <v>36</v>
      </c>
      <c r="D836" s="120" t="s">
        <v>91</v>
      </c>
      <c r="E836" s="120" t="s">
        <v>984</v>
      </c>
      <c r="F836" s="117" t="s">
        <v>933</v>
      </c>
      <c r="G836" s="281">
        <v>3</v>
      </c>
      <c r="H836" s="260">
        <v>3704</v>
      </c>
      <c r="I836" s="260">
        <v>11111</v>
      </c>
      <c r="J836" s="260">
        <v>0</v>
      </c>
      <c r="K836" s="260">
        <v>11111</v>
      </c>
      <c r="L836" s="260">
        <v>889</v>
      </c>
      <c r="M836" s="260">
        <v>12000</v>
      </c>
      <c r="N836" s="119">
        <v>2E-3</v>
      </c>
      <c r="O836" s="462" t="s">
        <v>934</v>
      </c>
    </row>
    <row r="837" spans="1:15" ht="18" customHeight="1" x14ac:dyDescent="0.25">
      <c r="A837" s="116">
        <v>11</v>
      </c>
      <c r="B837" s="117" t="s">
        <v>104</v>
      </c>
      <c r="C837" s="116">
        <v>61</v>
      </c>
      <c r="D837" s="120" t="s">
        <v>97</v>
      </c>
      <c r="E837" s="120" t="s">
        <v>985</v>
      </c>
      <c r="F837" s="117" t="s">
        <v>933</v>
      </c>
      <c r="G837" s="281">
        <v>18</v>
      </c>
      <c r="H837" s="260">
        <v>4630</v>
      </c>
      <c r="I837" s="260">
        <v>83333</v>
      </c>
      <c r="J837" s="260">
        <v>0</v>
      </c>
      <c r="K837" s="260">
        <v>83333</v>
      </c>
      <c r="L837" s="260">
        <v>6667</v>
      </c>
      <c r="M837" s="260">
        <v>90000</v>
      </c>
      <c r="N837" s="119">
        <v>1.52E-2</v>
      </c>
      <c r="O837" s="462" t="s">
        <v>934</v>
      </c>
    </row>
    <row r="838" spans="1:15" ht="18" customHeight="1" x14ac:dyDescent="0.25">
      <c r="A838" s="116">
        <v>11</v>
      </c>
      <c r="B838" s="117" t="s">
        <v>104</v>
      </c>
      <c r="C838" s="116">
        <v>215</v>
      </c>
      <c r="D838" s="120" t="s">
        <v>87</v>
      </c>
      <c r="E838" s="120" t="s">
        <v>132</v>
      </c>
      <c r="F838" s="117" t="s">
        <v>933</v>
      </c>
      <c r="G838" s="281">
        <v>4</v>
      </c>
      <c r="H838" s="260">
        <v>37500</v>
      </c>
      <c r="I838" s="260">
        <v>150000</v>
      </c>
      <c r="J838" s="260">
        <v>0</v>
      </c>
      <c r="K838" s="260">
        <v>150000</v>
      </c>
      <c r="L838" s="260">
        <v>12000</v>
      </c>
      <c r="M838" s="260">
        <v>162000</v>
      </c>
      <c r="N838" s="119">
        <v>2.7400000000000001E-2</v>
      </c>
      <c r="O838" s="462" t="s">
        <v>934</v>
      </c>
    </row>
    <row r="839" spans="1:15" ht="18" customHeight="1" x14ac:dyDescent="0.25">
      <c r="A839" s="116">
        <v>11</v>
      </c>
      <c r="B839" s="117" t="s">
        <v>104</v>
      </c>
      <c r="C839" s="116">
        <v>214</v>
      </c>
      <c r="D839" s="120" t="s">
        <v>87</v>
      </c>
      <c r="E839" s="120" t="s">
        <v>1007</v>
      </c>
      <c r="F839" s="117" t="s">
        <v>933</v>
      </c>
      <c r="G839" s="281">
        <v>1</v>
      </c>
      <c r="H839" s="260">
        <v>37500</v>
      </c>
      <c r="I839" s="260">
        <v>37500</v>
      </c>
      <c r="J839" s="260">
        <v>0</v>
      </c>
      <c r="K839" s="260">
        <v>37500</v>
      </c>
      <c r="L839" s="260">
        <v>3000</v>
      </c>
      <c r="M839" s="260">
        <v>40500</v>
      </c>
      <c r="N839" s="119">
        <v>6.8999999999999999E-3</v>
      </c>
      <c r="O839" s="462" t="s">
        <v>934</v>
      </c>
    </row>
    <row r="840" spans="1:15" ht="18" customHeight="1" x14ac:dyDescent="0.25">
      <c r="A840" s="116">
        <v>11</v>
      </c>
      <c r="B840" s="117" t="s">
        <v>104</v>
      </c>
      <c r="C840" s="116">
        <v>315</v>
      </c>
      <c r="D840" s="120" t="s">
        <v>87</v>
      </c>
      <c r="E840" s="120" t="s">
        <v>1008</v>
      </c>
      <c r="F840" s="117" t="s">
        <v>933</v>
      </c>
      <c r="G840" s="281">
        <v>3</v>
      </c>
      <c r="H840" s="260">
        <v>1852</v>
      </c>
      <c r="I840" s="260">
        <v>5556</v>
      </c>
      <c r="J840" s="260">
        <v>0</v>
      </c>
      <c r="K840" s="260">
        <v>5556</v>
      </c>
      <c r="L840" s="260">
        <v>444</v>
      </c>
      <c r="M840" s="260">
        <v>6000</v>
      </c>
      <c r="N840" s="119">
        <v>1E-3</v>
      </c>
      <c r="O840" s="462" t="s">
        <v>934</v>
      </c>
    </row>
    <row r="841" spans="1:15" ht="18" customHeight="1" x14ac:dyDescent="0.25">
      <c r="A841" s="116">
        <v>11</v>
      </c>
      <c r="B841" s="117" t="s">
        <v>104</v>
      </c>
      <c r="C841" s="116">
        <v>33</v>
      </c>
      <c r="D841" s="120" t="s">
        <v>91</v>
      </c>
      <c r="E841" s="120" t="s">
        <v>987</v>
      </c>
      <c r="F841" s="117" t="s">
        <v>933</v>
      </c>
      <c r="G841" s="281">
        <v>1</v>
      </c>
      <c r="H841" s="260">
        <v>1852</v>
      </c>
      <c r="I841" s="260">
        <v>1852</v>
      </c>
      <c r="J841" s="260">
        <v>0</v>
      </c>
      <c r="K841" s="260">
        <v>1852</v>
      </c>
      <c r="L841" s="260">
        <v>148</v>
      </c>
      <c r="M841" s="260">
        <v>2000</v>
      </c>
      <c r="N841" s="119">
        <v>2.9999999999999997E-4</v>
      </c>
      <c r="O841" s="462" t="s">
        <v>934</v>
      </c>
    </row>
    <row r="842" spans="1:15" ht="18" customHeight="1" x14ac:dyDescent="0.25">
      <c r="A842" s="116">
        <v>11</v>
      </c>
      <c r="B842" s="117" t="s">
        <v>104</v>
      </c>
      <c r="C842" s="116">
        <v>39</v>
      </c>
      <c r="D842" s="120" t="s">
        <v>91</v>
      </c>
      <c r="E842" s="120" t="s">
        <v>1011</v>
      </c>
      <c r="F842" s="117" t="s">
        <v>933</v>
      </c>
      <c r="G842" s="281">
        <v>1</v>
      </c>
      <c r="H842" s="260">
        <v>3333</v>
      </c>
      <c r="I842" s="260">
        <v>3333</v>
      </c>
      <c r="J842" s="260">
        <v>0</v>
      </c>
      <c r="K842" s="260">
        <v>3333</v>
      </c>
      <c r="L842" s="260">
        <v>267</v>
      </c>
      <c r="M842" s="260">
        <v>3600</v>
      </c>
      <c r="N842" s="119">
        <v>5.9999999999999995E-4</v>
      </c>
      <c r="O842" s="462" t="s">
        <v>934</v>
      </c>
    </row>
    <row r="843" spans="1:15" ht="18" customHeight="1" x14ac:dyDescent="0.25">
      <c r="A843" s="116">
        <v>12</v>
      </c>
      <c r="B843" s="117" t="s">
        <v>106</v>
      </c>
      <c r="C843" s="116">
        <v>316</v>
      </c>
      <c r="D843" s="120" t="s">
        <v>87</v>
      </c>
      <c r="E843" s="120" t="s">
        <v>1023</v>
      </c>
      <c r="F843" s="117" t="s">
        <v>933</v>
      </c>
      <c r="G843" s="281">
        <v>0</v>
      </c>
      <c r="H843" s="260">
        <v>0</v>
      </c>
      <c r="I843" s="260">
        <v>0</v>
      </c>
      <c r="J843" s="260">
        <v>0</v>
      </c>
      <c r="K843" s="260">
        <v>0</v>
      </c>
      <c r="L843" s="260">
        <v>0</v>
      </c>
      <c r="M843" s="260">
        <v>0</v>
      </c>
      <c r="N843" s="119">
        <v>0</v>
      </c>
      <c r="O843" s="462" t="s">
        <v>934</v>
      </c>
    </row>
    <row r="844" spans="1:15" ht="18" customHeight="1" x14ac:dyDescent="0.25">
      <c r="A844" s="116">
        <v>12</v>
      </c>
      <c r="B844" s="117" t="s">
        <v>106</v>
      </c>
      <c r="C844" s="116">
        <v>73</v>
      </c>
      <c r="D844" s="120" t="s">
        <v>91</v>
      </c>
      <c r="E844" s="120" t="s">
        <v>932</v>
      </c>
      <c r="F844" s="117" t="s">
        <v>933</v>
      </c>
      <c r="G844" s="281">
        <v>16</v>
      </c>
      <c r="H844" s="260">
        <v>2593</v>
      </c>
      <c r="I844" s="260">
        <v>41481</v>
      </c>
      <c r="J844" s="260">
        <v>0</v>
      </c>
      <c r="K844" s="260">
        <v>41481</v>
      </c>
      <c r="L844" s="260">
        <v>3319</v>
      </c>
      <c r="M844" s="260">
        <v>44800</v>
      </c>
      <c r="N844" s="119">
        <v>4.4000000000000003E-3</v>
      </c>
      <c r="O844" s="462" t="s">
        <v>934</v>
      </c>
    </row>
    <row r="845" spans="1:15" ht="18" customHeight="1" x14ac:dyDescent="0.25">
      <c r="A845" s="116">
        <v>12</v>
      </c>
      <c r="B845" s="117" t="s">
        <v>106</v>
      </c>
      <c r="C845" s="116">
        <v>65</v>
      </c>
      <c r="D845" s="120" t="s">
        <v>91</v>
      </c>
      <c r="E845" s="120" t="s">
        <v>935</v>
      </c>
      <c r="F845" s="117" t="s">
        <v>933</v>
      </c>
      <c r="G845" s="281">
        <v>1</v>
      </c>
      <c r="H845" s="260">
        <v>2778</v>
      </c>
      <c r="I845" s="260">
        <v>2778</v>
      </c>
      <c r="J845" s="260">
        <v>0</v>
      </c>
      <c r="K845" s="260">
        <v>2778</v>
      </c>
      <c r="L845" s="260">
        <v>222</v>
      </c>
      <c r="M845" s="260">
        <v>3000</v>
      </c>
      <c r="N845" s="119">
        <v>2.9999999999999997E-4</v>
      </c>
      <c r="O845" s="462" t="s">
        <v>934</v>
      </c>
    </row>
    <row r="846" spans="1:15" ht="18" customHeight="1" x14ac:dyDescent="0.25">
      <c r="A846" s="116">
        <v>12</v>
      </c>
      <c r="B846" s="117" t="s">
        <v>106</v>
      </c>
      <c r="C846" s="116">
        <v>12</v>
      </c>
      <c r="D846" s="120" t="s">
        <v>93</v>
      </c>
      <c r="E846" s="120" t="s">
        <v>937</v>
      </c>
      <c r="F846" s="117" t="s">
        <v>933</v>
      </c>
      <c r="G846" s="281">
        <v>4</v>
      </c>
      <c r="H846" s="260">
        <v>41667</v>
      </c>
      <c r="I846" s="260">
        <v>166667</v>
      </c>
      <c r="J846" s="260">
        <v>0</v>
      </c>
      <c r="K846" s="260">
        <v>166667</v>
      </c>
      <c r="L846" s="260">
        <v>13333</v>
      </c>
      <c r="M846" s="260">
        <v>180000</v>
      </c>
      <c r="N846" s="119">
        <v>1.78E-2</v>
      </c>
      <c r="O846" s="462" t="s">
        <v>934</v>
      </c>
    </row>
    <row r="847" spans="1:15" ht="18" customHeight="1" x14ac:dyDescent="0.25">
      <c r="A847" s="116">
        <v>12</v>
      </c>
      <c r="B847" s="117" t="s">
        <v>106</v>
      </c>
      <c r="C847" s="116">
        <v>40</v>
      </c>
      <c r="D847" s="120" t="s">
        <v>87</v>
      </c>
      <c r="E847" s="120" t="s">
        <v>170</v>
      </c>
      <c r="F847" s="117" t="s">
        <v>933</v>
      </c>
      <c r="G847" s="281">
        <v>4</v>
      </c>
      <c r="H847" s="260">
        <v>55093</v>
      </c>
      <c r="I847" s="260">
        <v>220370</v>
      </c>
      <c r="J847" s="260">
        <v>0</v>
      </c>
      <c r="K847" s="260">
        <v>220370</v>
      </c>
      <c r="L847" s="260">
        <v>17630</v>
      </c>
      <c r="M847" s="260">
        <v>238000</v>
      </c>
      <c r="N847" s="119">
        <v>2.3599999999999999E-2</v>
      </c>
      <c r="O847" s="462" t="s">
        <v>934</v>
      </c>
    </row>
    <row r="848" spans="1:15" ht="18" customHeight="1" x14ac:dyDescent="0.25">
      <c r="A848" s="116">
        <v>12</v>
      </c>
      <c r="B848" s="117" t="s">
        <v>106</v>
      </c>
      <c r="C848" s="116">
        <v>131</v>
      </c>
      <c r="D848" s="120" t="s">
        <v>87</v>
      </c>
      <c r="E848" s="120" t="s">
        <v>991</v>
      </c>
      <c r="F848" s="117" t="s">
        <v>933</v>
      </c>
      <c r="G848" s="281">
        <v>1</v>
      </c>
      <c r="H848" s="260">
        <v>278</v>
      </c>
      <c r="I848" s="260">
        <v>278</v>
      </c>
      <c r="J848" s="260">
        <v>0</v>
      </c>
      <c r="K848" s="260">
        <v>278</v>
      </c>
      <c r="L848" s="260">
        <v>22</v>
      </c>
      <c r="M848" s="260">
        <v>300</v>
      </c>
      <c r="N848" s="119">
        <v>0</v>
      </c>
      <c r="O848" s="462" t="s">
        <v>934</v>
      </c>
    </row>
    <row r="849" spans="1:15" ht="18" customHeight="1" x14ac:dyDescent="0.25">
      <c r="A849" s="116">
        <v>12</v>
      </c>
      <c r="B849" s="117" t="s">
        <v>106</v>
      </c>
      <c r="C849" s="116">
        <v>95</v>
      </c>
      <c r="D849" s="120" t="s">
        <v>87</v>
      </c>
      <c r="E849" s="120" t="s">
        <v>938</v>
      </c>
      <c r="F849" s="117" t="s">
        <v>933</v>
      </c>
      <c r="G849" s="281">
        <v>2</v>
      </c>
      <c r="H849" s="260">
        <v>926</v>
      </c>
      <c r="I849" s="260">
        <v>1852</v>
      </c>
      <c r="J849" s="260">
        <v>0</v>
      </c>
      <c r="K849" s="260">
        <v>1852</v>
      </c>
      <c r="L849" s="260">
        <v>148</v>
      </c>
      <c r="M849" s="260">
        <v>2000</v>
      </c>
      <c r="N849" s="119">
        <v>2.0000000000000001E-4</v>
      </c>
      <c r="O849" s="462" t="s">
        <v>934</v>
      </c>
    </row>
    <row r="850" spans="1:15" ht="18" customHeight="1" x14ac:dyDescent="0.25">
      <c r="A850" s="116">
        <v>12</v>
      </c>
      <c r="B850" s="117" t="s">
        <v>106</v>
      </c>
      <c r="C850" s="116">
        <v>136</v>
      </c>
      <c r="D850" s="120" t="s">
        <v>89</v>
      </c>
      <c r="E850" s="120" t="s">
        <v>939</v>
      </c>
      <c r="F850" s="117" t="s">
        <v>933</v>
      </c>
      <c r="G850" s="281">
        <v>6</v>
      </c>
      <c r="H850" s="260">
        <v>24074</v>
      </c>
      <c r="I850" s="260">
        <v>144444</v>
      </c>
      <c r="J850" s="260">
        <v>0</v>
      </c>
      <c r="K850" s="260">
        <v>144444</v>
      </c>
      <c r="L850" s="260">
        <v>11556</v>
      </c>
      <c r="M850" s="260">
        <v>156000</v>
      </c>
      <c r="N850" s="119">
        <v>1.55E-2</v>
      </c>
      <c r="O850" s="462" t="s">
        <v>934</v>
      </c>
    </row>
    <row r="851" spans="1:15" ht="18" customHeight="1" x14ac:dyDescent="0.25">
      <c r="A851" s="116">
        <v>12</v>
      </c>
      <c r="B851" s="117" t="s">
        <v>106</v>
      </c>
      <c r="C851" s="116">
        <v>135</v>
      </c>
      <c r="D851" s="120" t="s">
        <v>89</v>
      </c>
      <c r="E851" s="120" t="s">
        <v>1024</v>
      </c>
      <c r="F851" s="117" t="s">
        <v>933</v>
      </c>
      <c r="G851" s="281">
        <v>2</v>
      </c>
      <c r="H851" s="260">
        <v>13889</v>
      </c>
      <c r="I851" s="260">
        <v>27778</v>
      </c>
      <c r="J851" s="260">
        <v>0</v>
      </c>
      <c r="K851" s="260">
        <v>27778</v>
      </c>
      <c r="L851" s="260">
        <v>2222</v>
      </c>
      <c r="M851" s="260">
        <v>30000</v>
      </c>
      <c r="N851" s="119">
        <v>3.0000000000000001E-3</v>
      </c>
      <c r="O851" s="462" t="s">
        <v>934</v>
      </c>
    </row>
    <row r="852" spans="1:15" ht="18" customHeight="1" x14ac:dyDescent="0.25">
      <c r="A852" s="116">
        <v>12</v>
      </c>
      <c r="B852" s="117" t="s">
        <v>106</v>
      </c>
      <c r="C852" s="116">
        <v>6</v>
      </c>
      <c r="D852" s="120" t="s">
        <v>89</v>
      </c>
      <c r="E852" s="120" t="s">
        <v>994</v>
      </c>
      <c r="F852" s="117" t="s">
        <v>933</v>
      </c>
      <c r="G852" s="281">
        <v>5</v>
      </c>
      <c r="H852" s="260">
        <v>14815</v>
      </c>
      <c r="I852" s="260">
        <v>74074</v>
      </c>
      <c r="J852" s="260">
        <v>0</v>
      </c>
      <c r="K852" s="260">
        <v>74074</v>
      </c>
      <c r="L852" s="260">
        <v>5926</v>
      </c>
      <c r="M852" s="260">
        <v>80000</v>
      </c>
      <c r="N852" s="119">
        <v>7.9000000000000008E-3</v>
      </c>
      <c r="O852" s="462" t="s">
        <v>934</v>
      </c>
    </row>
    <row r="853" spans="1:15" ht="18" customHeight="1" x14ac:dyDescent="0.25">
      <c r="A853" s="116">
        <v>12</v>
      </c>
      <c r="B853" s="117" t="s">
        <v>106</v>
      </c>
      <c r="C853" s="116">
        <v>87</v>
      </c>
      <c r="D853" s="120" t="s">
        <v>89</v>
      </c>
      <c r="E853" s="120" t="s">
        <v>144</v>
      </c>
      <c r="F853" s="117" t="s">
        <v>933</v>
      </c>
      <c r="G853" s="281">
        <v>2</v>
      </c>
      <c r="H853" s="260">
        <v>37500</v>
      </c>
      <c r="I853" s="260">
        <v>75000</v>
      </c>
      <c r="J853" s="260">
        <v>0</v>
      </c>
      <c r="K853" s="260">
        <v>75000</v>
      </c>
      <c r="L853" s="260">
        <v>6000</v>
      </c>
      <c r="M853" s="260">
        <v>81000</v>
      </c>
      <c r="N853" s="119">
        <v>8.0000000000000002E-3</v>
      </c>
      <c r="O853" s="462" t="s">
        <v>934</v>
      </c>
    </row>
    <row r="854" spans="1:15" ht="18" customHeight="1" x14ac:dyDescent="0.25">
      <c r="A854" s="116">
        <v>12</v>
      </c>
      <c r="B854" s="117" t="s">
        <v>106</v>
      </c>
      <c r="C854" s="116">
        <v>206</v>
      </c>
      <c r="D854" s="120" t="s">
        <v>93</v>
      </c>
      <c r="E854" s="120" t="s">
        <v>941</v>
      </c>
      <c r="F854" s="117" t="s">
        <v>933</v>
      </c>
      <c r="G854" s="281">
        <v>1</v>
      </c>
      <c r="H854" s="260">
        <v>44907</v>
      </c>
      <c r="I854" s="260">
        <v>44907</v>
      </c>
      <c r="J854" s="260">
        <v>0</v>
      </c>
      <c r="K854" s="260">
        <v>44907</v>
      </c>
      <c r="L854" s="260">
        <v>3593</v>
      </c>
      <c r="M854" s="260">
        <v>48500</v>
      </c>
      <c r="N854" s="119">
        <v>4.7999999999999996E-3</v>
      </c>
      <c r="O854" s="462" t="s">
        <v>934</v>
      </c>
    </row>
    <row r="855" spans="1:15" ht="18" customHeight="1" x14ac:dyDescent="0.25">
      <c r="A855" s="116">
        <v>12</v>
      </c>
      <c r="B855" s="117" t="s">
        <v>106</v>
      </c>
      <c r="C855" s="116">
        <v>246</v>
      </c>
      <c r="D855" s="120" t="s">
        <v>91</v>
      </c>
      <c r="E855" s="120" t="s">
        <v>943</v>
      </c>
      <c r="F855" s="117" t="s">
        <v>933</v>
      </c>
      <c r="G855" s="281">
        <v>7</v>
      </c>
      <c r="H855" s="260">
        <v>6481</v>
      </c>
      <c r="I855" s="260">
        <v>45370</v>
      </c>
      <c r="J855" s="260">
        <v>0</v>
      </c>
      <c r="K855" s="260">
        <v>45370</v>
      </c>
      <c r="L855" s="260">
        <v>3630</v>
      </c>
      <c r="M855" s="260">
        <v>49000</v>
      </c>
      <c r="N855" s="119">
        <v>4.8999999999999998E-3</v>
      </c>
      <c r="O855" s="462" t="s">
        <v>934</v>
      </c>
    </row>
    <row r="856" spans="1:15" ht="18" customHeight="1" x14ac:dyDescent="0.25">
      <c r="A856" s="116">
        <v>12</v>
      </c>
      <c r="B856" s="117" t="s">
        <v>106</v>
      </c>
      <c r="C856" s="116">
        <v>70</v>
      </c>
      <c r="D856" s="120" t="s">
        <v>91</v>
      </c>
      <c r="E856" s="120" t="s">
        <v>944</v>
      </c>
      <c r="F856" s="117" t="s">
        <v>933</v>
      </c>
      <c r="G856" s="281">
        <v>7</v>
      </c>
      <c r="H856" s="260">
        <v>4630</v>
      </c>
      <c r="I856" s="260">
        <v>32407</v>
      </c>
      <c r="J856" s="260">
        <v>0</v>
      </c>
      <c r="K856" s="260">
        <v>32407</v>
      </c>
      <c r="L856" s="260">
        <v>2593</v>
      </c>
      <c r="M856" s="260">
        <v>35000</v>
      </c>
      <c r="N856" s="119">
        <v>3.5000000000000001E-3</v>
      </c>
      <c r="O856" s="462" t="s">
        <v>934</v>
      </c>
    </row>
    <row r="857" spans="1:15" ht="18" customHeight="1" x14ac:dyDescent="0.25">
      <c r="A857" s="116">
        <v>12</v>
      </c>
      <c r="B857" s="117" t="s">
        <v>106</v>
      </c>
      <c r="C857" s="116">
        <v>83</v>
      </c>
      <c r="D857" s="120" t="s">
        <v>87</v>
      </c>
      <c r="E857" s="120" t="s">
        <v>946</v>
      </c>
      <c r="F857" s="117" t="s">
        <v>933</v>
      </c>
      <c r="G857" s="281">
        <v>7</v>
      </c>
      <c r="H857" s="260">
        <v>20833</v>
      </c>
      <c r="I857" s="260">
        <v>145833</v>
      </c>
      <c r="J857" s="260">
        <v>0</v>
      </c>
      <c r="K857" s="260">
        <v>145833</v>
      </c>
      <c r="L857" s="260">
        <v>11667</v>
      </c>
      <c r="M857" s="260">
        <v>157500</v>
      </c>
      <c r="N857" s="119">
        <v>1.5599999999999999E-2</v>
      </c>
      <c r="O857" s="462" t="s">
        <v>934</v>
      </c>
    </row>
    <row r="858" spans="1:15" ht="18" customHeight="1" x14ac:dyDescent="0.25">
      <c r="A858" s="116">
        <v>12</v>
      </c>
      <c r="B858" s="117" t="s">
        <v>106</v>
      </c>
      <c r="C858" s="116">
        <v>14</v>
      </c>
      <c r="D858" s="120" t="s">
        <v>87</v>
      </c>
      <c r="E858" s="120" t="s">
        <v>1063</v>
      </c>
      <c r="F858" s="117" t="s">
        <v>933</v>
      </c>
      <c r="G858" s="281">
        <v>0</v>
      </c>
      <c r="H858" s="260">
        <v>0</v>
      </c>
      <c r="I858" s="260">
        <v>0</v>
      </c>
      <c r="J858" s="260">
        <v>0</v>
      </c>
      <c r="K858" s="260">
        <v>0</v>
      </c>
      <c r="L858" s="260">
        <v>0</v>
      </c>
      <c r="M858" s="260">
        <v>0</v>
      </c>
      <c r="N858" s="119">
        <v>0</v>
      </c>
      <c r="O858" s="462" t="s">
        <v>934</v>
      </c>
    </row>
    <row r="859" spans="1:15" ht="18" customHeight="1" x14ac:dyDescent="0.25">
      <c r="A859" s="116">
        <v>12</v>
      </c>
      <c r="B859" s="117" t="s">
        <v>106</v>
      </c>
      <c r="C859" s="116">
        <v>27</v>
      </c>
      <c r="D859" s="120" t="s">
        <v>87</v>
      </c>
      <c r="E859" s="120" t="s">
        <v>1064</v>
      </c>
      <c r="F859" s="117" t="s">
        <v>933</v>
      </c>
      <c r="G859" s="281">
        <v>0</v>
      </c>
      <c r="H859" s="260">
        <v>0</v>
      </c>
      <c r="I859" s="260">
        <v>0</v>
      </c>
      <c r="J859" s="260">
        <v>0</v>
      </c>
      <c r="K859" s="260">
        <v>0</v>
      </c>
      <c r="L859" s="260">
        <v>0</v>
      </c>
      <c r="M859" s="260">
        <v>0</v>
      </c>
      <c r="N859" s="119">
        <v>0</v>
      </c>
      <c r="O859" s="462" t="s">
        <v>934</v>
      </c>
    </row>
    <row r="860" spans="1:15" ht="18" customHeight="1" x14ac:dyDescent="0.25">
      <c r="A860" s="116">
        <v>12</v>
      </c>
      <c r="B860" s="117" t="s">
        <v>106</v>
      </c>
      <c r="C860" s="116">
        <v>41</v>
      </c>
      <c r="D860" s="120" t="s">
        <v>87</v>
      </c>
      <c r="E860" s="120" t="s">
        <v>168</v>
      </c>
      <c r="F860" s="117" t="s">
        <v>933</v>
      </c>
      <c r="G860" s="281">
        <v>1</v>
      </c>
      <c r="H860" s="260">
        <v>49074</v>
      </c>
      <c r="I860" s="260">
        <v>49074</v>
      </c>
      <c r="J860" s="260">
        <v>0</v>
      </c>
      <c r="K860" s="260">
        <v>49074</v>
      </c>
      <c r="L860" s="260">
        <v>3926</v>
      </c>
      <c r="M860" s="260">
        <v>53000</v>
      </c>
      <c r="N860" s="119">
        <v>5.3E-3</v>
      </c>
      <c r="O860" s="462" t="s">
        <v>934</v>
      </c>
    </row>
    <row r="861" spans="1:15" ht="18" customHeight="1" x14ac:dyDescent="0.25">
      <c r="A861" s="116">
        <v>12</v>
      </c>
      <c r="B861" s="117" t="s">
        <v>106</v>
      </c>
      <c r="C861" s="116">
        <v>122</v>
      </c>
      <c r="D861" s="120" t="s">
        <v>91</v>
      </c>
      <c r="E861" s="120" t="s">
        <v>948</v>
      </c>
      <c r="F861" s="117" t="s">
        <v>933</v>
      </c>
      <c r="G861" s="281">
        <v>1</v>
      </c>
      <c r="H861" s="260">
        <v>2778</v>
      </c>
      <c r="I861" s="260">
        <v>2778</v>
      </c>
      <c r="J861" s="260">
        <v>0</v>
      </c>
      <c r="K861" s="260">
        <v>2778</v>
      </c>
      <c r="L861" s="260">
        <v>222</v>
      </c>
      <c r="M861" s="260">
        <v>3000</v>
      </c>
      <c r="N861" s="119">
        <v>2.9999999999999997E-4</v>
      </c>
      <c r="O861" s="462" t="s">
        <v>934</v>
      </c>
    </row>
    <row r="862" spans="1:15" ht="18" customHeight="1" x14ac:dyDescent="0.25">
      <c r="A862" s="116">
        <v>12</v>
      </c>
      <c r="B862" s="117" t="s">
        <v>106</v>
      </c>
      <c r="C862" s="116">
        <v>247</v>
      </c>
      <c r="D862" s="120" t="s">
        <v>87</v>
      </c>
      <c r="E862" s="120" t="s">
        <v>1014</v>
      </c>
      <c r="F862" s="117" t="s">
        <v>933</v>
      </c>
      <c r="G862" s="281">
        <v>5</v>
      </c>
      <c r="H862" s="260">
        <v>3056</v>
      </c>
      <c r="I862" s="260">
        <v>15278</v>
      </c>
      <c r="J862" s="260">
        <v>0</v>
      </c>
      <c r="K862" s="260">
        <v>15278</v>
      </c>
      <c r="L862" s="260">
        <v>1222</v>
      </c>
      <c r="M862" s="260">
        <v>16500</v>
      </c>
      <c r="N862" s="119">
        <v>1.6000000000000001E-3</v>
      </c>
      <c r="O862" s="462" t="s">
        <v>934</v>
      </c>
    </row>
    <row r="863" spans="1:15" ht="18" customHeight="1" x14ac:dyDescent="0.25">
      <c r="A863" s="116">
        <v>12</v>
      </c>
      <c r="B863" s="117" t="s">
        <v>106</v>
      </c>
      <c r="C863" s="116">
        <v>42</v>
      </c>
      <c r="D863" s="120" t="s">
        <v>87</v>
      </c>
      <c r="E863" s="120" t="s">
        <v>360</v>
      </c>
      <c r="F863" s="117" t="s">
        <v>933</v>
      </c>
      <c r="G863" s="281">
        <v>3</v>
      </c>
      <c r="H863" s="260">
        <v>32407</v>
      </c>
      <c r="I863" s="260">
        <v>97222</v>
      </c>
      <c r="J863" s="260">
        <v>0</v>
      </c>
      <c r="K863" s="260">
        <v>97222</v>
      </c>
      <c r="L863" s="260">
        <v>7778</v>
      </c>
      <c r="M863" s="260">
        <v>105000</v>
      </c>
      <c r="N863" s="119">
        <v>1.04E-2</v>
      </c>
      <c r="O863" s="462" t="s">
        <v>934</v>
      </c>
    </row>
    <row r="864" spans="1:15" ht="18" customHeight="1" x14ac:dyDescent="0.25">
      <c r="A864" s="116">
        <v>12</v>
      </c>
      <c r="B864" s="117" t="s">
        <v>106</v>
      </c>
      <c r="C864" s="116">
        <v>44</v>
      </c>
      <c r="D864" s="120" t="s">
        <v>87</v>
      </c>
      <c r="E864" s="120" t="s">
        <v>138</v>
      </c>
      <c r="F864" s="117" t="s">
        <v>933</v>
      </c>
      <c r="G864" s="281">
        <v>8</v>
      </c>
      <c r="H864" s="260">
        <v>28241</v>
      </c>
      <c r="I864" s="260">
        <v>225926</v>
      </c>
      <c r="J864" s="260">
        <v>0</v>
      </c>
      <c r="K864" s="260">
        <v>225926</v>
      </c>
      <c r="L864" s="260">
        <v>18074</v>
      </c>
      <c r="M864" s="260">
        <v>244000</v>
      </c>
      <c r="N864" s="119">
        <v>2.4199999999999999E-2</v>
      </c>
      <c r="O864" s="462" t="s">
        <v>934</v>
      </c>
    </row>
    <row r="865" spans="1:15" ht="18" customHeight="1" x14ac:dyDescent="0.25">
      <c r="A865" s="116">
        <v>12</v>
      </c>
      <c r="B865" s="117" t="s">
        <v>106</v>
      </c>
      <c r="C865" s="116">
        <v>110</v>
      </c>
      <c r="D865" s="120" t="s">
        <v>99</v>
      </c>
      <c r="E865" s="120" t="s">
        <v>949</v>
      </c>
      <c r="F865" s="117" t="s">
        <v>933</v>
      </c>
      <c r="G865" s="281">
        <v>29</v>
      </c>
      <c r="H865" s="260">
        <v>926</v>
      </c>
      <c r="I865" s="260">
        <v>26852</v>
      </c>
      <c r="J865" s="260">
        <v>0</v>
      </c>
      <c r="K865" s="260">
        <v>26852</v>
      </c>
      <c r="L865" s="260">
        <v>2148</v>
      </c>
      <c r="M865" s="260">
        <v>29000</v>
      </c>
      <c r="N865" s="119">
        <v>2.8999999999999998E-3</v>
      </c>
      <c r="O865" s="462" t="s">
        <v>934</v>
      </c>
    </row>
    <row r="866" spans="1:15" ht="18" customHeight="1" x14ac:dyDescent="0.25">
      <c r="A866" s="116">
        <v>12</v>
      </c>
      <c r="B866" s="117" t="s">
        <v>106</v>
      </c>
      <c r="C866" s="116">
        <v>102</v>
      </c>
      <c r="D866" s="120" t="s">
        <v>87</v>
      </c>
      <c r="E866" s="120" t="s">
        <v>998</v>
      </c>
      <c r="F866" s="117" t="s">
        <v>933</v>
      </c>
      <c r="G866" s="281">
        <v>4</v>
      </c>
      <c r="H866" s="260">
        <v>6944</v>
      </c>
      <c r="I866" s="260">
        <v>27778</v>
      </c>
      <c r="J866" s="260">
        <v>0</v>
      </c>
      <c r="K866" s="260">
        <v>27778</v>
      </c>
      <c r="L866" s="260">
        <v>2222</v>
      </c>
      <c r="M866" s="260">
        <v>30000</v>
      </c>
      <c r="N866" s="119">
        <v>3.0000000000000001E-3</v>
      </c>
      <c r="O866" s="462" t="s">
        <v>934</v>
      </c>
    </row>
    <row r="867" spans="1:15" ht="18" customHeight="1" x14ac:dyDescent="0.25">
      <c r="A867" s="116">
        <v>12</v>
      </c>
      <c r="B867" s="117" t="s">
        <v>106</v>
      </c>
      <c r="C867" s="116">
        <v>45</v>
      </c>
      <c r="D867" s="120" t="s">
        <v>87</v>
      </c>
      <c r="E867" s="120" t="s">
        <v>950</v>
      </c>
      <c r="F867" s="117" t="s">
        <v>933</v>
      </c>
      <c r="G867" s="281">
        <v>7</v>
      </c>
      <c r="H867" s="260">
        <v>35648</v>
      </c>
      <c r="I867" s="260">
        <v>249537</v>
      </c>
      <c r="J867" s="260">
        <v>0</v>
      </c>
      <c r="K867" s="260">
        <v>249537</v>
      </c>
      <c r="L867" s="260">
        <v>19963</v>
      </c>
      <c r="M867" s="260">
        <v>269500</v>
      </c>
      <c r="N867" s="119">
        <v>2.6700000000000002E-2</v>
      </c>
      <c r="O867" s="462" t="s">
        <v>934</v>
      </c>
    </row>
    <row r="868" spans="1:15" ht="18" customHeight="1" x14ac:dyDescent="0.25">
      <c r="A868" s="116">
        <v>12</v>
      </c>
      <c r="B868" s="117" t="s">
        <v>106</v>
      </c>
      <c r="C868" s="116">
        <v>30</v>
      </c>
      <c r="D868" s="120" t="s">
        <v>95</v>
      </c>
      <c r="E868" s="120" t="s">
        <v>951</v>
      </c>
      <c r="F868" s="117" t="s">
        <v>933</v>
      </c>
      <c r="G868" s="281">
        <v>4</v>
      </c>
      <c r="H868" s="260">
        <v>6481</v>
      </c>
      <c r="I868" s="260">
        <v>25926</v>
      </c>
      <c r="J868" s="260">
        <v>0</v>
      </c>
      <c r="K868" s="260">
        <v>25926</v>
      </c>
      <c r="L868" s="260">
        <v>2074</v>
      </c>
      <c r="M868" s="260">
        <v>28000</v>
      </c>
      <c r="N868" s="119">
        <v>2.8E-3</v>
      </c>
      <c r="O868" s="462" t="s">
        <v>934</v>
      </c>
    </row>
    <row r="869" spans="1:15" ht="18" customHeight="1" x14ac:dyDescent="0.25">
      <c r="A869" s="116">
        <v>12</v>
      </c>
      <c r="B869" s="117" t="s">
        <v>106</v>
      </c>
      <c r="C869" s="116">
        <v>233</v>
      </c>
      <c r="D869" s="120" t="s">
        <v>89</v>
      </c>
      <c r="E869" s="120" t="s">
        <v>117</v>
      </c>
      <c r="F869" s="117" t="s">
        <v>933</v>
      </c>
      <c r="G869" s="281">
        <v>1</v>
      </c>
      <c r="H869" s="260">
        <v>18519</v>
      </c>
      <c r="I869" s="260">
        <v>18519</v>
      </c>
      <c r="J869" s="260">
        <v>0</v>
      </c>
      <c r="K869" s="260">
        <v>18519</v>
      </c>
      <c r="L869" s="260">
        <v>1481</v>
      </c>
      <c r="M869" s="260">
        <v>20000</v>
      </c>
      <c r="N869" s="119">
        <v>2E-3</v>
      </c>
      <c r="O869" s="462" t="s">
        <v>934</v>
      </c>
    </row>
    <row r="870" spans="1:15" ht="18" customHeight="1" x14ac:dyDescent="0.25">
      <c r="A870" s="116">
        <v>12</v>
      </c>
      <c r="B870" s="117" t="s">
        <v>106</v>
      </c>
      <c r="C870" s="116">
        <v>217</v>
      </c>
      <c r="D870" s="120" t="s">
        <v>89</v>
      </c>
      <c r="E870" s="120" t="s">
        <v>953</v>
      </c>
      <c r="F870" s="117" t="s">
        <v>933</v>
      </c>
      <c r="G870" s="281">
        <v>13</v>
      </c>
      <c r="H870" s="260">
        <v>28134</v>
      </c>
      <c r="I870" s="260">
        <v>365741</v>
      </c>
      <c r="J870" s="260">
        <v>0</v>
      </c>
      <c r="K870" s="260">
        <v>365741</v>
      </c>
      <c r="L870" s="260">
        <v>29259</v>
      </c>
      <c r="M870" s="260">
        <v>395000</v>
      </c>
      <c r="N870" s="119">
        <v>3.9100000000000003E-2</v>
      </c>
      <c r="O870" s="462" t="s">
        <v>934</v>
      </c>
    </row>
    <row r="871" spans="1:15" ht="18" customHeight="1" x14ac:dyDescent="0.25">
      <c r="A871" s="116">
        <v>12</v>
      </c>
      <c r="B871" s="117" t="s">
        <v>106</v>
      </c>
      <c r="C871" s="116">
        <v>34</v>
      </c>
      <c r="D871" s="120" t="s">
        <v>91</v>
      </c>
      <c r="E871" s="120" t="s">
        <v>955</v>
      </c>
      <c r="F871" s="117" t="s">
        <v>933</v>
      </c>
      <c r="G871" s="281">
        <v>11</v>
      </c>
      <c r="H871" s="260">
        <v>6481</v>
      </c>
      <c r="I871" s="260">
        <v>71296</v>
      </c>
      <c r="J871" s="260">
        <v>0</v>
      </c>
      <c r="K871" s="260">
        <v>71296</v>
      </c>
      <c r="L871" s="260">
        <v>5704</v>
      </c>
      <c r="M871" s="260">
        <v>77000</v>
      </c>
      <c r="N871" s="119">
        <v>7.6E-3</v>
      </c>
      <c r="O871" s="462" t="s">
        <v>934</v>
      </c>
    </row>
    <row r="872" spans="1:15" ht="18" customHeight="1" x14ac:dyDescent="0.25">
      <c r="A872" s="116">
        <v>12</v>
      </c>
      <c r="B872" s="117" t="s">
        <v>106</v>
      </c>
      <c r="C872" s="116">
        <v>121</v>
      </c>
      <c r="D872" s="120" t="s">
        <v>91</v>
      </c>
      <c r="E872" s="120" t="s">
        <v>956</v>
      </c>
      <c r="F872" s="117" t="s">
        <v>933</v>
      </c>
      <c r="G872" s="281">
        <v>18</v>
      </c>
      <c r="H872" s="260">
        <v>2778</v>
      </c>
      <c r="I872" s="260">
        <v>50000</v>
      </c>
      <c r="J872" s="260">
        <v>0</v>
      </c>
      <c r="K872" s="260">
        <v>50000</v>
      </c>
      <c r="L872" s="260">
        <v>4000</v>
      </c>
      <c r="M872" s="260">
        <v>54000</v>
      </c>
      <c r="N872" s="119">
        <v>5.4000000000000003E-3</v>
      </c>
      <c r="O872" s="462" t="s">
        <v>934</v>
      </c>
    </row>
    <row r="873" spans="1:15" ht="18" customHeight="1" x14ac:dyDescent="0.25">
      <c r="A873" s="116">
        <v>12</v>
      </c>
      <c r="B873" s="117" t="s">
        <v>106</v>
      </c>
      <c r="C873" s="116">
        <v>208</v>
      </c>
      <c r="D873" s="120" t="s">
        <v>91</v>
      </c>
      <c r="E873" s="120" t="s">
        <v>957</v>
      </c>
      <c r="F873" s="117" t="s">
        <v>933</v>
      </c>
      <c r="G873" s="281">
        <v>18</v>
      </c>
      <c r="H873" s="260">
        <v>3704</v>
      </c>
      <c r="I873" s="260">
        <v>66667</v>
      </c>
      <c r="J873" s="260">
        <v>0</v>
      </c>
      <c r="K873" s="260">
        <v>66667</v>
      </c>
      <c r="L873" s="260">
        <v>5333</v>
      </c>
      <c r="M873" s="260">
        <v>72000</v>
      </c>
      <c r="N873" s="119">
        <v>7.1000000000000004E-3</v>
      </c>
      <c r="O873" s="462" t="s">
        <v>934</v>
      </c>
    </row>
    <row r="874" spans="1:15" ht="18" customHeight="1" x14ac:dyDescent="0.25">
      <c r="A874" s="116">
        <v>12</v>
      </c>
      <c r="B874" s="117" t="s">
        <v>106</v>
      </c>
      <c r="C874" s="116">
        <v>90</v>
      </c>
      <c r="D874" s="120" t="s">
        <v>91</v>
      </c>
      <c r="E874" s="120" t="s">
        <v>487</v>
      </c>
      <c r="F874" s="117" t="s">
        <v>933</v>
      </c>
      <c r="G874" s="281">
        <v>3</v>
      </c>
      <c r="H874" s="260">
        <v>4259</v>
      </c>
      <c r="I874" s="260">
        <v>12778</v>
      </c>
      <c r="J874" s="260">
        <v>0</v>
      </c>
      <c r="K874" s="260">
        <v>12778</v>
      </c>
      <c r="L874" s="260">
        <v>1022</v>
      </c>
      <c r="M874" s="260">
        <v>13800</v>
      </c>
      <c r="N874" s="119">
        <v>1.4E-3</v>
      </c>
      <c r="O874" s="462" t="s">
        <v>934</v>
      </c>
    </row>
    <row r="875" spans="1:15" ht="18" customHeight="1" x14ac:dyDescent="0.25">
      <c r="A875" s="116">
        <v>12</v>
      </c>
      <c r="B875" s="117" t="s">
        <v>106</v>
      </c>
      <c r="C875" s="116">
        <v>123</v>
      </c>
      <c r="D875" s="120" t="s">
        <v>91</v>
      </c>
      <c r="E875" s="120" t="s">
        <v>958</v>
      </c>
      <c r="F875" s="117" t="s">
        <v>933</v>
      </c>
      <c r="G875" s="281">
        <v>6</v>
      </c>
      <c r="H875" s="260">
        <v>2778</v>
      </c>
      <c r="I875" s="260">
        <v>16667</v>
      </c>
      <c r="J875" s="260">
        <v>0</v>
      </c>
      <c r="K875" s="260">
        <v>16667</v>
      </c>
      <c r="L875" s="260">
        <v>1333</v>
      </c>
      <c r="M875" s="260">
        <v>18000</v>
      </c>
      <c r="N875" s="119">
        <v>1.8E-3</v>
      </c>
      <c r="O875" s="462" t="s">
        <v>934</v>
      </c>
    </row>
    <row r="876" spans="1:15" ht="18" customHeight="1" x14ac:dyDescent="0.25">
      <c r="A876" s="116">
        <v>12</v>
      </c>
      <c r="B876" s="117" t="s">
        <v>106</v>
      </c>
      <c r="C876" s="116">
        <v>314</v>
      </c>
      <c r="D876" s="120" t="s">
        <v>87</v>
      </c>
      <c r="E876" s="120" t="s">
        <v>999</v>
      </c>
      <c r="F876" s="117" t="s">
        <v>933</v>
      </c>
      <c r="G876" s="281">
        <v>2</v>
      </c>
      <c r="H876" s="260">
        <v>4167</v>
      </c>
      <c r="I876" s="260">
        <v>8333</v>
      </c>
      <c r="J876" s="260">
        <v>0</v>
      </c>
      <c r="K876" s="260">
        <v>8333</v>
      </c>
      <c r="L876" s="260">
        <v>667</v>
      </c>
      <c r="M876" s="260">
        <v>9000</v>
      </c>
      <c r="N876" s="119">
        <v>8.9999999999999998E-4</v>
      </c>
      <c r="O876" s="462" t="s">
        <v>934</v>
      </c>
    </row>
    <row r="877" spans="1:15" ht="18" customHeight="1" x14ac:dyDescent="0.25">
      <c r="A877" s="116">
        <v>12</v>
      </c>
      <c r="B877" s="117" t="s">
        <v>106</v>
      </c>
      <c r="C877" s="116">
        <v>31</v>
      </c>
      <c r="D877" s="120" t="s">
        <v>95</v>
      </c>
      <c r="E877" s="120" t="s">
        <v>959</v>
      </c>
      <c r="F877" s="117" t="s">
        <v>933</v>
      </c>
      <c r="G877" s="281">
        <v>8</v>
      </c>
      <c r="H877" s="260">
        <v>1204</v>
      </c>
      <c r="I877" s="260">
        <v>9630</v>
      </c>
      <c r="J877" s="260">
        <v>0</v>
      </c>
      <c r="K877" s="260">
        <v>9630</v>
      </c>
      <c r="L877" s="260">
        <v>770</v>
      </c>
      <c r="M877" s="260">
        <v>10400</v>
      </c>
      <c r="N877" s="119">
        <v>1E-3</v>
      </c>
      <c r="O877" s="462" t="s">
        <v>934</v>
      </c>
    </row>
    <row r="878" spans="1:15" ht="18" customHeight="1" x14ac:dyDescent="0.25">
      <c r="A878" s="116">
        <v>12</v>
      </c>
      <c r="B878" s="117" t="s">
        <v>106</v>
      </c>
      <c r="C878" s="116">
        <v>201</v>
      </c>
      <c r="D878" s="120" t="s">
        <v>91</v>
      </c>
      <c r="E878" s="120" t="s">
        <v>1036</v>
      </c>
      <c r="F878" s="117" t="s">
        <v>933</v>
      </c>
      <c r="G878" s="281">
        <v>1</v>
      </c>
      <c r="H878" s="260">
        <v>18519</v>
      </c>
      <c r="I878" s="260">
        <v>18519</v>
      </c>
      <c r="J878" s="260">
        <v>0</v>
      </c>
      <c r="K878" s="260">
        <v>18519</v>
      </c>
      <c r="L878" s="260">
        <v>1481</v>
      </c>
      <c r="M878" s="260">
        <v>20000</v>
      </c>
      <c r="N878" s="119">
        <v>2E-3</v>
      </c>
      <c r="O878" s="462" t="s">
        <v>934</v>
      </c>
    </row>
    <row r="879" spans="1:15" ht="18" customHeight="1" x14ac:dyDescent="0.25">
      <c r="A879" s="116">
        <v>12</v>
      </c>
      <c r="B879" s="117" t="s">
        <v>106</v>
      </c>
      <c r="C879" s="116">
        <v>212</v>
      </c>
      <c r="D879" s="120" t="s">
        <v>91</v>
      </c>
      <c r="E879" s="120" t="s">
        <v>165</v>
      </c>
      <c r="F879" s="117" t="s">
        <v>933</v>
      </c>
      <c r="G879" s="281">
        <v>9</v>
      </c>
      <c r="H879" s="260">
        <v>22222</v>
      </c>
      <c r="I879" s="260">
        <v>200000</v>
      </c>
      <c r="J879" s="260">
        <v>0</v>
      </c>
      <c r="K879" s="260">
        <v>200000</v>
      </c>
      <c r="L879" s="260">
        <v>16000</v>
      </c>
      <c r="M879" s="260">
        <v>216000</v>
      </c>
      <c r="N879" s="119">
        <v>2.1399999999999999E-2</v>
      </c>
      <c r="O879" s="462" t="s">
        <v>934</v>
      </c>
    </row>
    <row r="880" spans="1:15" ht="18" customHeight="1" x14ac:dyDescent="0.25">
      <c r="A880" s="116">
        <v>12</v>
      </c>
      <c r="B880" s="117" t="s">
        <v>106</v>
      </c>
      <c r="C880" s="116">
        <v>74</v>
      </c>
      <c r="D880" s="120" t="s">
        <v>91</v>
      </c>
      <c r="E880" s="120" t="s">
        <v>1000</v>
      </c>
      <c r="F880" s="117" t="s">
        <v>933</v>
      </c>
      <c r="G880" s="281">
        <v>10</v>
      </c>
      <c r="H880" s="260">
        <v>6481</v>
      </c>
      <c r="I880" s="260">
        <v>64815</v>
      </c>
      <c r="J880" s="260">
        <v>0</v>
      </c>
      <c r="K880" s="260">
        <v>64815</v>
      </c>
      <c r="L880" s="260">
        <v>5185</v>
      </c>
      <c r="M880" s="260">
        <v>70000</v>
      </c>
      <c r="N880" s="119">
        <v>6.8999999999999999E-3</v>
      </c>
      <c r="O880" s="462" t="s">
        <v>934</v>
      </c>
    </row>
    <row r="881" spans="1:15" ht="18" customHeight="1" x14ac:dyDescent="0.25">
      <c r="A881" s="116">
        <v>12</v>
      </c>
      <c r="B881" s="117" t="s">
        <v>106</v>
      </c>
      <c r="C881" s="116">
        <v>306</v>
      </c>
      <c r="D881" s="120" t="s">
        <v>91</v>
      </c>
      <c r="E881" s="120" t="s">
        <v>1025</v>
      </c>
      <c r="F881" s="117" t="s">
        <v>933</v>
      </c>
      <c r="G881" s="281">
        <v>1</v>
      </c>
      <c r="H881" s="260">
        <v>2315</v>
      </c>
      <c r="I881" s="260">
        <v>2315</v>
      </c>
      <c r="J881" s="260">
        <v>0</v>
      </c>
      <c r="K881" s="260">
        <v>2315</v>
      </c>
      <c r="L881" s="260">
        <v>185</v>
      </c>
      <c r="M881" s="260">
        <v>2500</v>
      </c>
      <c r="N881" s="119">
        <v>2.0000000000000001E-4</v>
      </c>
      <c r="O881" s="462" t="s">
        <v>934</v>
      </c>
    </row>
    <row r="882" spans="1:15" ht="18" customHeight="1" x14ac:dyDescent="0.25">
      <c r="A882" s="116">
        <v>12</v>
      </c>
      <c r="B882" s="117" t="s">
        <v>106</v>
      </c>
      <c r="C882" s="116">
        <v>235</v>
      </c>
      <c r="D882" s="120" t="s">
        <v>91</v>
      </c>
      <c r="E882" s="120" t="s">
        <v>1001</v>
      </c>
      <c r="F882" s="117" t="s">
        <v>933</v>
      </c>
      <c r="G882" s="281">
        <v>3</v>
      </c>
      <c r="H882" s="260">
        <v>3426</v>
      </c>
      <c r="I882" s="260">
        <v>10278</v>
      </c>
      <c r="J882" s="260">
        <v>0</v>
      </c>
      <c r="K882" s="260">
        <v>10278</v>
      </c>
      <c r="L882" s="260">
        <v>822</v>
      </c>
      <c r="M882" s="260">
        <v>11100</v>
      </c>
      <c r="N882" s="119">
        <v>1.1000000000000001E-3</v>
      </c>
      <c r="O882" s="462" t="s">
        <v>934</v>
      </c>
    </row>
    <row r="883" spans="1:15" ht="18" customHeight="1" x14ac:dyDescent="0.25">
      <c r="A883" s="116">
        <v>12</v>
      </c>
      <c r="B883" s="117" t="s">
        <v>106</v>
      </c>
      <c r="C883" s="116">
        <v>134</v>
      </c>
      <c r="D883" s="120" t="s">
        <v>91</v>
      </c>
      <c r="E883" s="120" t="s">
        <v>1017</v>
      </c>
      <c r="F883" s="117" t="s">
        <v>933</v>
      </c>
      <c r="G883" s="281">
        <v>3</v>
      </c>
      <c r="H883" s="260">
        <v>12963</v>
      </c>
      <c r="I883" s="260">
        <v>38889</v>
      </c>
      <c r="J883" s="260">
        <v>0</v>
      </c>
      <c r="K883" s="260">
        <v>38889</v>
      </c>
      <c r="L883" s="260">
        <v>3111</v>
      </c>
      <c r="M883" s="260">
        <v>42000</v>
      </c>
      <c r="N883" s="119">
        <v>4.1999999999999997E-3</v>
      </c>
      <c r="O883" s="462" t="s">
        <v>934</v>
      </c>
    </row>
    <row r="884" spans="1:15" ht="18" customHeight="1" x14ac:dyDescent="0.25">
      <c r="A884" s="116">
        <v>12</v>
      </c>
      <c r="B884" s="117" t="s">
        <v>106</v>
      </c>
      <c r="C884" s="116">
        <v>75</v>
      </c>
      <c r="D884" s="120" t="s">
        <v>91</v>
      </c>
      <c r="E884" s="120" t="s">
        <v>961</v>
      </c>
      <c r="F884" s="117" t="s">
        <v>933</v>
      </c>
      <c r="G884" s="281">
        <v>3</v>
      </c>
      <c r="H884" s="260">
        <v>9259</v>
      </c>
      <c r="I884" s="260">
        <v>27778</v>
      </c>
      <c r="J884" s="260">
        <v>0</v>
      </c>
      <c r="K884" s="260">
        <v>27778</v>
      </c>
      <c r="L884" s="260">
        <v>2222</v>
      </c>
      <c r="M884" s="260">
        <v>30000</v>
      </c>
      <c r="N884" s="119">
        <v>3.0000000000000001E-3</v>
      </c>
      <c r="O884" s="462" t="s">
        <v>934</v>
      </c>
    </row>
    <row r="885" spans="1:15" ht="18" customHeight="1" x14ac:dyDescent="0.25">
      <c r="A885" s="116">
        <v>12</v>
      </c>
      <c r="B885" s="117" t="s">
        <v>106</v>
      </c>
      <c r="C885" s="116">
        <v>51</v>
      </c>
      <c r="D885" s="120" t="s">
        <v>87</v>
      </c>
      <c r="E885" s="120" t="s">
        <v>1038</v>
      </c>
      <c r="F885" s="117" t="s">
        <v>933</v>
      </c>
      <c r="G885" s="281">
        <v>1</v>
      </c>
      <c r="H885" s="260">
        <v>29167</v>
      </c>
      <c r="I885" s="260">
        <v>29167</v>
      </c>
      <c r="J885" s="260">
        <v>0</v>
      </c>
      <c r="K885" s="260">
        <v>29167</v>
      </c>
      <c r="L885" s="260">
        <v>2333</v>
      </c>
      <c r="M885" s="260">
        <v>31500</v>
      </c>
      <c r="N885" s="119">
        <v>3.0999999999999999E-3</v>
      </c>
      <c r="O885" s="462" t="s">
        <v>934</v>
      </c>
    </row>
    <row r="886" spans="1:15" ht="18" customHeight="1" x14ac:dyDescent="0.25">
      <c r="A886" s="116">
        <v>12</v>
      </c>
      <c r="B886" s="117" t="s">
        <v>106</v>
      </c>
      <c r="C886" s="116">
        <v>88</v>
      </c>
      <c r="D886" s="120" t="s">
        <v>87</v>
      </c>
      <c r="E886" s="120" t="s">
        <v>129</v>
      </c>
      <c r="F886" s="117" t="s">
        <v>933</v>
      </c>
      <c r="G886" s="281">
        <v>18</v>
      </c>
      <c r="H886" s="260">
        <v>32870</v>
      </c>
      <c r="I886" s="260">
        <v>591667</v>
      </c>
      <c r="J886" s="260">
        <v>0</v>
      </c>
      <c r="K886" s="260">
        <v>591667</v>
      </c>
      <c r="L886" s="260">
        <v>47333</v>
      </c>
      <c r="M886" s="260">
        <v>639000</v>
      </c>
      <c r="N886" s="119">
        <v>6.3299999999999995E-2</v>
      </c>
      <c r="O886" s="462" t="s">
        <v>934</v>
      </c>
    </row>
    <row r="887" spans="1:15" ht="18" customHeight="1" x14ac:dyDescent="0.25">
      <c r="A887" s="116">
        <v>12</v>
      </c>
      <c r="B887" s="117" t="s">
        <v>106</v>
      </c>
      <c r="C887" s="116">
        <v>118</v>
      </c>
      <c r="D887" s="120" t="s">
        <v>87</v>
      </c>
      <c r="E887" s="120" t="s">
        <v>126</v>
      </c>
      <c r="F887" s="117" t="s">
        <v>933</v>
      </c>
      <c r="G887" s="281">
        <v>4</v>
      </c>
      <c r="H887" s="260">
        <v>41667</v>
      </c>
      <c r="I887" s="260">
        <v>166667</v>
      </c>
      <c r="J887" s="260">
        <v>0</v>
      </c>
      <c r="K887" s="260">
        <v>166667</v>
      </c>
      <c r="L887" s="260">
        <v>13333</v>
      </c>
      <c r="M887" s="260">
        <v>180000</v>
      </c>
      <c r="N887" s="119">
        <v>1.78E-2</v>
      </c>
      <c r="O887" s="462" t="s">
        <v>934</v>
      </c>
    </row>
    <row r="888" spans="1:15" ht="18" customHeight="1" x14ac:dyDescent="0.25">
      <c r="A888" s="116">
        <v>12</v>
      </c>
      <c r="B888" s="117" t="s">
        <v>106</v>
      </c>
      <c r="C888" s="116">
        <v>205</v>
      </c>
      <c r="D888" s="120" t="s">
        <v>91</v>
      </c>
      <c r="E888" s="120" t="s">
        <v>1002</v>
      </c>
      <c r="F888" s="117" t="s">
        <v>933</v>
      </c>
      <c r="G888" s="281">
        <v>1</v>
      </c>
      <c r="H888" s="260">
        <v>12037</v>
      </c>
      <c r="I888" s="260">
        <v>12037</v>
      </c>
      <c r="J888" s="260">
        <v>0</v>
      </c>
      <c r="K888" s="260">
        <v>12037</v>
      </c>
      <c r="L888" s="260">
        <v>963</v>
      </c>
      <c r="M888" s="260">
        <v>13000</v>
      </c>
      <c r="N888" s="119">
        <v>1.2999999999999999E-3</v>
      </c>
      <c r="O888" s="462" t="s">
        <v>934</v>
      </c>
    </row>
    <row r="889" spans="1:15" ht="18" customHeight="1" x14ac:dyDescent="0.25">
      <c r="A889" s="116">
        <v>12</v>
      </c>
      <c r="B889" s="117" t="s">
        <v>106</v>
      </c>
      <c r="C889" s="116">
        <v>204</v>
      </c>
      <c r="D889" s="120" t="s">
        <v>91</v>
      </c>
      <c r="E889" s="120" t="s">
        <v>962</v>
      </c>
      <c r="F889" s="117" t="s">
        <v>933</v>
      </c>
      <c r="G889" s="281">
        <v>2</v>
      </c>
      <c r="H889" s="260">
        <v>12037</v>
      </c>
      <c r="I889" s="260">
        <v>24074</v>
      </c>
      <c r="J889" s="260">
        <v>0</v>
      </c>
      <c r="K889" s="260">
        <v>24074</v>
      </c>
      <c r="L889" s="260">
        <v>1926</v>
      </c>
      <c r="M889" s="260">
        <v>26000</v>
      </c>
      <c r="N889" s="119">
        <v>2.5999999999999999E-3</v>
      </c>
      <c r="O889" s="462" t="s">
        <v>934</v>
      </c>
    </row>
    <row r="890" spans="1:15" ht="18" customHeight="1" x14ac:dyDescent="0.25">
      <c r="A890" s="116">
        <v>12</v>
      </c>
      <c r="B890" s="117" t="s">
        <v>106</v>
      </c>
      <c r="C890" s="116">
        <v>109</v>
      </c>
      <c r="D890" s="120" t="s">
        <v>91</v>
      </c>
      <c r="E890" s="120" t="s">
        <v>147</v>
      </c>
      <c r="F890" s="117" t="s">
        <v>933</v>
      </c>
      <c r="G890" s="281">
        <v>30</v>
      </c>
      <c r="H890" s="260">
        <v>12963</v>
      </c>
      <c r="I890" s="260">
        <v>388889</v>
      </c>
      <c r="J890" s="260">
        <v>0</v>
      </c>
      <c r="K890" s="260">
        <v>388889</v>
      </c>
      <c r="L890" s="260">
        <v>31111</v>
      </c>
      <c r="M890" s="260">
        <v>420000</v>
      </c>
      <c r="N890" s="119">
        <v>4.1599999999999998E-2</v>
      </c>
      <c r="O890" s="462" t="s">
        <v>934</v>
      </c>
    </row>
    <row r="891" spans="1:15" ht="18" customHeight="1" x14ac:dyDescent="0.25">
      <c r="A891" s="116">
        <v>12</v>
      </c>
      <c r="B891" s="117" t="s">
        <v>106</v>
      </c>
      <c r="C891" s="116">
        <v>147</v>
      </c>
      <c r="D891" s="120" t="s">
        <v>91</v>
      </c>
      <c r="E891" s="120" t="s">
        <v>963</v>
      </c>
      <c r="F891" s="117" t="s">
        <v>933</v>
      </c>
      <c r="G891" s="281">
        <v>5</v>
      </c>
      <c r="H891" s="260">
        <v>6481</v>
      </c>
      <c r="I891" s="260">
        <v>32407</v>
      </c>
      <c r="J891" s="260">
        <v>0</v>
      </c>
      <c r="K891" s="260">
        <v>32407</v>
      </c>
      <c r="L891" s="260">
        <v>2593</v>
      </c>
      <c r="M891" s="260">
        <v>35000</v>
      </c>
      <c r="N891" s="119">
        <v>3.5000000000000001E-3</v>
      </c>
      <c r="O891" s="462" t="s">
        <v>934</v>
      </c>
    </row>
    <row r="892" spans="1:15" ht="18" customHeight="1" x14ac:dyDescent="0.25">
      <c r="A892" s="116">
        <v>12</v>
      </c>
      <c r="B892" s="117" t="s">
        <v>106</v>
      </c>
      <c r="C892" s="116">
        <v>46</v>
      </c>
      <c r="D892" s="120" t="s">
        <v>87</v>
      </c>
      <c r="E892" s="120" t="s">
        <v>964</v>
      </c>
      <c r="F892" s="117" t="s">
        <v>933</v>
      </c>
      <c r="G892" s="281">
        <v>4</v>
      </c>
      <c r="H892" s="260">
        <v>35648</v>
      </c>
      <c r="I892" s="260">
        <v>142593</v>
      </c>
      <c r="J892" s="260">
        <v>0</v>
      </c>
      <c r="K892" s="260">
        <v>142593</v>
      </c>
      <c r="L892" s="260">
        <v>11407</v>
      </c>
      <c r="M892" s="260">
        <v>154000</v>
      </c>
      <c r="N892" s="119">
        <v>1.5299999999999999E-2</v>
      </c>
      <c r="O892" s="462" t="s">
        <v>934</v>
      </c>
    </row>
    <row r="893" spans="1:15" ht="18" customHeight="1" x14ac:dyDescent="0.25">
      <c r="A893" s="116">
        <v>12</v>
      </c>
      <c r="B893" s="117" t="s">
        <v>106</v>
      </c>
      <c r="C893" s="116">
        <v>72</v>
      </c>
      <c r="D893" s="120" t="s">
        <v>97</v>
      </c>
      <c r="E893" s="120" t="s">
        <v>965</v>
      </c>
      <c r="F893" s="117" t="s">
        <v>933</v>
      </c>
      <c r="G893" s="281">
        <v>8</v>
      </c>
      <c r="H893" s="260">
        <v>3704</v>
      </c>
      <c r="I893" s="260">
        <v>29630</v>
      </c>
      <c r="J893" s="260">
        <v>0</v>
      </c>
      <c r="K893" s="260">
        <v>29630</v>
      </c>
      <c r="L893" s="260">
        <v>2370</v>
      </c>
      <c r="M893" s="260">
        <v>32000</v>
      </c>
      <c r="N893" s="119">
        <v>3.2000000000000002E-3</v>
      </c>
      <c r="O893" s="462" t="s">
        <v>934</v>
      </c>
    </row>
    <row r="894" spans="1:15" ht="18" customHeight="1" x14ac:dyDescent="0.25">
      <c r="A894" s="116">
        <v>12</v>
      </c>
      <c r="B894" s="117" t="s">
        <v>106</v>
      </c>
      <c r="C894" s="116">
        <v>112</v>
      </c>
      <c r="D894" s="120" t="s">
        <v>87</v>
      </c>
      <c r="E894" s="120" t="s">
        <v>966</v>
      </c>
      <c r="F894" s="117" t="s">
        <v>933</v>
      </c>
      <c r="G894" s="281">
        <v>3</v>
      </c>
      <c r="H894" s="260">
        <v>41667</v>
      </c>
      <c r="I894" s="260">
        <v>125000</v>
      </c>
      <c r="J894" s="260">
        <v>0</v>
      </c>
      <c r="K894" s="260">
        <v>125000</v>
      </c>
      <c r="L894" s="260">
        <v>10000</v>
      </c>
      <c r="M894" s="260">
        <v>135000</v>
      </c>
      <c r="N894" s="119">
        <v>1.34E-2</v>
      </c>
      <c r="O894" s="462" t="s">
        <v>934</v>
      </c>
    </row>
    <row r="895" spans="1:15" ht="18" customHeight="1" x14ac:dyDescent="0.25">
      <c r="A895" s="116">
        <v>12</v>
      </c>
      <c r="B895" s="117" t="s">
        <v>106</v>
      </c>
      <c r="C895" s="116">
        <v>227</v>
      </c>
      <c r="D895" s="120" t="s">
        <v>87</v>
      </c>
      <c r="E895" s="120" t="s">
        <v>1018</v>
      </c>
      <c r="F895" s="117" t="s">
        <v>933</v>
      </c>
      <c r="G895" s="281">
        <v>4</v>
      </c>
      <c r="H895" s="260">
        <v>1389</v>
      </c>
      <c r="I895" s="260">
        <v>5556</v>
      </c>
      <c r="J895" s="260">
        <v>0</v>
      </c>
      <c r="K895" s="260">
        <v>5556</v>
      </c>
      <c r="L895" s="260">
        <v>444</v>
      </c>
      <c r="M895" s="260">
        <v>6000</v>
      </c>
      <c r="N895" s="119">
        <v>5.9999999999999995E-4</v>
      </c>
      <c r="O895" s="462" t="s">
        <v>934</v>
      </c>
    </row>
    <row r="896" spans="1:15" ht="18" customHeight="1" x14ac:dyDescent="0.25">
      <c r="A896" s="116">
        <v>12</v>
      </c>
      <c r="B896" s="117" t="s">
        <v>106</v>
      </c>
      <c r="C896" s="116">
        <v>119</v>
      </c>
      <c r="D896" s="120" t="s">
        <v>89</v>
      </c>
      <c r="E896" s="120" t="s">
        <v>114</v>
      </c>
      <c r="F896" s="117" t="s">
        <v>933</v>
      </c>
      <c r="G896" s="281">
        <v>16</v>
      </c>
      <c r="H896" s="260">
        <v>44444</v>
      </c>
      <c r="I896" s="260">
        <v>711111</v>
      </c>
      <c r="J896" s="260">
        <v>0</v>
      </c>
      <c r="K896" s="260">
        <v>711111</v>
      </c>
      <c r="L896" s="260">
        <v>56889</v>
      </c>
      <c r="M896" s="260">
        <v>768000</v>
      </c>
      <c r="N896" s="119">
        <v>7.6100000000000001E-2</v>
      </c>
      <c r="O896" s="462" t="s">
        <v>934</v>
      </c>
    </row>
    <row r="897" spans="1:15" ht="18" customHeight="1" x14ac:dyDescent="0.25">
      <c r="A897" s="116">
        <v>12</v>
      </c>
      <c r="B897" s="117" t="s">
        <v>106</v>
      </c>
      <c r="C897" s="116">
        <v>21</v>
      </c>
      <c r="D897" s="120" t="s">
        <v>95</v>
      </c>
      <c r="E897" s="120" t="s">
        <v>1051</v>
      </c>
      <c r="F897" s="117" t="s">
        <v>933</v>
      </c>
      <c r="G897" s="281">
        <v>1</v>
      </c>
      <c r="H897" s="260">
        <v>7407</v>
      </c>
      <c r="I897" s="260">
        <v>7407</v>
      </c>
      <c r="J897" s="260">
        <v>0</v>
      </c>
      <c r="K897" s="260">
        <v>7407</v>
      </c>
      <c r="L897" s="260">
        <v>593</v>
      </c>
      <c r="M897" s="260">
        <v>8000</v>
      </c>
      <c r="N897" s="119">
        <v>8.0000000000000004E-4</v>
      </c>
      <c r="O897" s="462" t="s">
        <v>934</v>
      </c>
    </row>
    <row r="898" spans="1:15" ht="18" customHeight="1" x14ac:dyDescent="0.25">
      <c r="A898" s="116">
        <v>12</v>
      </c>
      <c r="B898" s="117" t="s">
        <v>106</v>
      </c>
      <c r="C898" s="116">
        <v>19</v>
      </c>
      <c r="D898" s="120" t="s">
        <v>87</v>
      </c>
      <c r="E898" s="120" t="s">
        <v>968</v>
      </c>
      <c r="F898" s="117" t="s">
        <v>933</v>
      </c>
      <c r="G898" s="281">
        <v>3</v>
      </c>
      <c r="H898" s="260">
        <v>9259</v>
      </c>
      <c r="I898" s="260">
        <v>27778</v>
      </c>
      <c r="J898" s="260">
        <v>0</v>
      </c>
      <c r="K898" s="260">
        <v>27778</v>
      </c>
      <c r="L898" s="260">
        <v>2222</v>
      </c>
      <c r="M898" s="260">
        <v>30000</v>
      </c>
      <c r="N898" s="119">
        <v>3.0000000000000001E-3</v>
      </c>
      <c r="O898" s="462" t="s">
        <v>934</v>
      </c>
    </row>
    <row r="899" spans="1:15" ht="18" customHeight="1" x14ac:dyDescent="0.25">
      <c r="A899" s="116">
        <v>12</v>
      </c>
      <c r="B899" s="117" t="s">
        <v>106</v>
      </c>
      <c r="C899" s="116">
        <v>20</v>
      </c>
      <c r="D899" s="120" t="s">
        <v>87</v>
      </c>
      <c r="E899" s="120" t="s">
        <v>1019</v>
      </c>
      <c r="F899" s="117" t="s">
        <v>933</v>
      </c>
      <c r="G899" s="281">
        <v>1</v>
      </c>
      <c r="H899" s="260">
        <v>6481</v>
      </c>
      <c r="I899" s="260">
        <v>6481</v>
      </c>
      <c r="J899" s="260">
        <v>0</v>
      </c>
      <c r="K899" s="260">
        <v>6481</v>
      </c>
      <c r="L899" s="260">
        <v>519</v>
      </c>
      <c r="M899" s="260">
        <v>7000</v>
      </c>
      <c r="N899" s="119">
        <v>7.000000000000001E-4</v>
      </c>
      <c r="O899" s="462" t="s">
        <v>934</v>
      </c>
    </row>
    <row r="900" spans="1:15" ht="18" customHeight="1" x14ac:dyDescent="0.25">
      <c r="A900" s="116">
        <v>12</v>
      </c>
      <c r="B900" s="117" t="s">
        <v>106</v>
      </c>
      <c r="C900" s="116">
        <v>168</v>
      </c>
      <c r="D900" s="120" t="s">
        <v>87</v>
      </c>
      <c r="E900" s="120" t="s">
        <v>1057</v>
      </c>
      <c r="F900" s="117" t="s">
        <v>933</v>
      </c>
      <c r="G900" s="281">
        <v>0</v>
      </c>
      <c r="H900" s="260">
        <v>0</v>
      </c>
      <c r="I900" s="260">
        <v>0</v>
      </c>
      <c r="J900" s="260">
        <v>0</v>
      </c>
      <c r="K900" s="260">
        <v>0</v>
      </c>
      <c r="L900" s="260">
        <v>0</v>
      </c>
      <c r="M900" s="260">
        <v>0</v>
      </c>
      <c r="N900" s="119">
        <v>0</v>
      </c>
      <c r="O900" s="462" t="s">
        <v>934</v>
      </c>
    </row>
    <row r="901" spans="1:15" ht="18" customHeight="1" x14ac:dyDescent="0.25">
      <c r="A901" s="116">
        <v>12</v>
      </c>
      <c r="B901" s="117" t="s">
        <v>106</v>
      </c>
      <c r="C901" s="116">
        <v>86</v>
      </c>
      <c r="D901" s="120" t="s">
        <v>95</v>
      </c>
      <c r="E901" s="120" t="s">
        <v>972</v>
      </c>
      <c r="F901" s="117" t="s">
        <v>933</v>
      </c>
      <c r="G901" s="281">
        <v>13</v>
      </c>
      <c r="H901" s="260">
        <v>3241</v>
      </c>
      <c r="I901" s="260">
        <v>42130</v>
      </c>
      <c r="J901" s="260">
        <v>0</v>
      </c>
      <c r="K901" s="260">
        <v>42130</v>
      </c>
      <c r="L901" s="260">
        <v>3370</v>
      </c>
      <c r="M901" s="260">
        <v>45500</v>
      </c>
      <c r="N901" s="119">
        <v>4.5000000000000014E-3</v>
      </c>
      <c r="O901" s="462" t="s">
        <v>934</v>
      </c>
    </row>
    <row r="902" spans="1:15" ht="18" customHeight="1" x14ac:dyDescent="0.25">
      <c r="A902" s="116">
        <v>12</v>
      </c>
      <c r="B902" s="117" t="s">
        <v>106</v>
      </c>
      <c r="C902" s="116">
        <v>80</v>
      </c>
      <c r="D902" s="120" t="s">
        <v>95</v>
      </c>
      <c r="E902" s="120" t="s">
        <v>973</v>
      </c>
      <c r="F902" s="117" t="s">
        <v>933</v>
      </c>
      <c r="G902" s="281">
        <v>0</v>
      </c>
      <c r="H902" s="260">
        <v>0</v>
      </c>
      <c r="I902" s="260">
        <v>0</v>
      </c>
      <c r="J902" s="260">
        <v>0</v>
      </c>
      <c r="K902" s="260">
        <v>0</v>
      </c>
      <c r="L902" s="260">
        <v>0</v>
      </c>
      <c r="M902" s="260">
        <v>0</v>
      </c>
      <c r="N902" s="119">
        <v>0</v>
      </c>
      <c r="O902" s="462" t="s">
        <v>934</v>
      </c>
    </row>
    <row r="903" spans="1:15" ht="18" customHeight="1" x14ac:dyDescent="0.25">
      <c r="A903" s="116">
        <v>12</v>
      </c>
      <c r="B903" s="117" t="s">
        <v>106</v>
      </c>
      <c r="C903" s="116">
        <v>91</v>
      </c>
      <c r="D903" s="120" t="s">
        <v>95</v>
      </c>
      <c r="E903" s="120" t="s">
        <v>1042</v>
      </c>
      <c r="F903" s="117" t="s">
        <v>933</v>
      </c>
      <c r="G903" s="281">
        <v>1</v>
      </c>
      <c r="H903" s="260">
        <v>11111</v>
      </c>
      <c r="I903" s="260">
        <v>11111</v>
      </c>
      <c r="J903" s="260">
        <v>0</v>
      </c>
      <c r="K903" s="260">
        <v>11111</v>
      </c>
      <c r="L903" s="260">
        <v>889</v>
      </c>
      <c r="M903" s="260">
        <v>12000</v>
      </c>
      <c r="N903" s="119">
        <v>1.1999999999999999E-3</v>
      </c>
      <c r="O903" s="462" t="s">
        <v>934</v>
      </c>
    </row>
    <row r="904" spans="1:15" ht="18" customHeight="1" x14ac:dyDescent="0.25">
      <c r="A904" s="116">
        <v>12</v>
      </c>
      <c r="B904" s="117" t="s">
        <v>106</v>
      </c>
      <c r="C904" s="116">
        <v>79</v>
      </c>
      <c r="D904" s="120" t="s">
        <v>95</v>
      </c>
      <c r="E904" s="120" t="s">
        <v>975</v>
      </c>
      <c r="F904" s="117" t="s">
        <v>933</v>
      </c>
      <c r="G904" s="281">
        <v>4</v>
      </c>
      <c r="H904" s="260">
        <v>6481</v>
      </c>
      <c r="I904" s="260">
        <v>25926</v>
      </c>
      <c r="J904" s="260">
        <v>0</v>
      </c>
      <c r="K904" s="260">
        <v>25926</v>
      </c>
      <c r="L904" s="260">
        <v>2074</v>
      </c>
      <c r="M904" s="260">
        <v>28000</v>
      </c>
      <c r="N904" s="119">
        <v>2.8E-3</v>
      </c>
      <c r="O904" s="462" t="s">
        <v>934</v>
      </c>
    </row>
    <row r="905" spans="1:15" ht="18" customHeight="1" x14ac:dyDescent="0.25">
      <c r="A905" s="116">
        <v>12</v>
      </c>
      <c r="B905" s="117" t="s">
        <v>106</v>
      </c>
      <c r="C905" s="116">
        <v>62</v>
      </c>
      <c r="D905" s="120" t="s">
        <v>95</v>
      </c>
      <c r="E905" s="120" t="s">
        <v>976</v>
      </c>
      <c r="F905" s="117" t="s">
        <v>933</v>
      </c>
      <c r="G905" s="281">
        <v>7</v>
      </c>
      <c r="H905" s="260">
        <v>6944</v>
      </c>
      <c r="I905" s="260">
        <v>48611</v>
      </c>
      <c r="J905" s="260">
        <v>0</v>
      </c>
      <c r="K905" s="260">
        <v>48611</v>
      </c>
      <c r="L905" s="260">
        <v>3889</v>
      </c>
      <c r="M905" s="260">
        <v>52500</v>
      </c>
      <c r="N905" s="119">
        <v>5.1999999999999998E-3</v>
      </c>
      <c r="O905" s="462" t="s">
        <v>934</v>
      </c>
    </row>
    <row r="906" spans="1:15" ht="18" customHeight="1" x14ac:dyDescent="0.25">
      <c r="A906" s="116">
        <v>12</v>
      </c>
      <c r="B906" s="117" t="s">
        <v>106</v>
      </c>
      <c r="C906" s="116">
        <v>84</v>
      </c>
      <c r="D906" s="120" t="s">
        <v>95</v>
      </c>
      <c r="E906" s="120" t="s">
        <v>978</v>
      </c>
      <c r="F906" s="117" t="s">
        <v>933</v>
      </c>
      <c r="G906" s="281">
        <v>0</v>
      </c>
      <c r="H906" s="260">
        <v>0</v>
      </c>
      <c r="I906" s="260">
        <v>0</v>
      </c>
      <c r="J906" s="260">
        <v>0</v>
      </c>
      <c r="K906" s="260">
        <v>0</v>
      </c>
      <c r="L906" s="260">
        <v>0</v>
      </c>
      <c r="M906" s="260">
        <v>0</v>
      </c>
      <c r="N906" s="119">
        <v>0</v>
      </c>
      <c r="O906" s="462" t="s">
        <v>934</v>
      </c>
    </row>
    <row r="907" spans="1:15" ht="18" customHeight="1" x14ac:dyDescent="0.25">
      <c r="A907" s="116">
        <v>12</v>
      </c>
      <c r="B907" s="117" t="s">
        <v>106</v>
      </c>
      <c r="C907" s="116">
        <v>219</v>
      </c>
      <c r="D907" s="120" t="s">
        <v>87</v>
      </c>
      <c r="E907" s="120" t="s">
        <v>153</v>
      </c>
      <c r="F907" s="117" t="s">
        <v>933</v>
      </c>
      <c r="G907" s="281">
        <v>2</v>
      </c>
      <c r="H907" s="260">
        <v>69444</v>
      </c>
      <c r="I907" s="260">
        <v>138889</v>
      </c>
      <c r="J907" s="260">
        <v>0</v>
      </c>
      <c r="K907" s="260">
        <v>138889</v>
      </c>
      <c r="L907" s="260">
        <v>11111</v>
      </c>
      <c r="M907" s="260">
        <v>150000</v>
      </c>
      <c r="N907" s="119">
        <v>1.49E-2</v>
      </c>
      <c r="O907" s="462" t="s">
        <v>934</v>
      </c>
    </row>
    <row r="908" spans="1:15" ht="18" customHeight="1" x14ac:dyDescent="0.25">
      <c r="A908" s="116">
        <v>12</v>
      </c>
      <c r="B908" s="117" t="s">
        <v>106</v>
      </c>
      <c r="C908" s="116">
        <v>220</v>
      </c>
      <c r="D908" s="120" t="s">
        <v>87</v>
      </c>
      <c r="E908" s="120" t="s">
        <v>1044</v>
      </c>
      <c r="F908" s="117" t="s">
        <v>933</v>
      </c>
      <c r="G908" s="281">
        <v>2</v>
      </c>
      <c r="H908" s="260">
        <v>69444</v>
      </c>
      <c r="I908" s="260">
        <v>138889</v>
      </c>
      <c r="J908" s="260">
        <v>0</v>
      </c>
      <c r="K908" s="260">
        <v>138889</v>
      </c>
      <c r="L908" s="260">
        <v>11111</v>
      </c>
      <c r="M908" s="260">
        <v>150000</v>
      </c>
      <c r="N908" s="119">
        <v>1.49E-2</v>
      </c>
      <c r="O908" s="462" t="s">
        <v>934</v>
      </c>
    </row>
    <row r="909" spans="1:15" ht="18" customHeight="1" x14ac:dyDescent="0.25">
      <c r="A909" s="116">
        <v>12</v>
      </c>
      <c r="B909" s="117" t="s">
        <v>106</v>
      </c>
      <c r="C909" s="116">
        <v>140</v>
      </c>
      <c r="D909" s="120" t="s">
        <v>87</v>
      </c>
      <c r="E909" s="120" t="s">
        <v>979</v>
      </c>
      <c r="F909" s="117" t="s">
        <v>933</v>
      </c>
      <c r="G909" s="281">
        <v>2</v>
      </c>
      <c r="H909" s="260">
        <v>90741</v>
      </c>
      <c r="I909" s="260">
        <v>181481</v>
      </c>
      <c r="J909" s="260">
        <v>0</v>
      </c>
      <c r="K909" s="260">
        <v>181481</v>
      </c>
      <c r="L909" s="260">
        <v>14519</v>
      </c>
      <c r="M909" s="260">
        <v>196000</v>
      </c>
      <c r="N909" s="119">
        <v>1.9400000000000001E-2</v>
      </c>
      <c r="O909" s="462" t="s">
        <v>934</v>
      </c>
    </row>
    <row r="910" spans="1:15" ht="18" customHeight="1" x14ac:dyDescent="0.25">
      <c r="A910" s="116">
        <v>12</v>
      </c>
      <c r="B910" s="117" t="s">
        <v>106</v>
      </c>
      <c r="C910" s="116">
        <v>221</v>
      </c>
      <c r="D910" s="120" t="s">
        <v>87</v>
      </c>
      <c r="E910" s="120" t="s">
        <v>980</v>
      </c>
      <c r="F910" s="117" t="s">
        <v>933</v>
      </c>
      <c r="G910" s="281">
        <v>2</v>
      </c>
      <c r="H910" s="260">
        <v>54167</v>
      </c>
      <c r="I910" s="260">
        <v>108333</v>
      </c>
      <c r="J910" s="260">
        <v>0</v>
      </c>
      <c r="K910" s="260">
        <v>108333</v>
      </c>
      <c r="L910" s="260">
        <v>8667</v>
      </c>
      <c r="M910" s="260">
        <v>117000</v>
      </c>
      <c r="N910" s="119">
        <v>1.1599999999999999E-2</v>
      </c>
      <c r="O910" s="462" t="s">
        <v>934</v>
      </c>
    </row>
    <row r="911" spans="1:15" ht="18" customHeight="1" x14ac:dyDescent="0.25">
      <c r="A911" s="116">
        <v>12</v>
      </c>
      <c r="B911" s="117" t="s">
        <v>106</v>
      </c>
      <c r="C911" s="116">
        <v>226</v>
      </c>
      <c r="D911" s="120" t="s">
        <v>87</v>
      </c>
      <c r="E911" s="120" t="s">
        <v>1032</v>
      </c>
      <c r="F911" s="117" t="s">
        <v>933</v>
      </c>
      <c r="G911" s="281">
        <v>2</v>
      </c>
      <c r="H911" s="260">
        <v>90741</v>
      </c>
      <c r="I911" s="260">
        <v>181481</v>
      </c>
      <c r="J911" s="260">
        <v>0</v>
      </c>
      <c r="K911" s="260">
        <v>181481</v>
      </c>
      <c r="L911" s="260">
        <v>14519</v>
      </c>
      <c r="M911" s="260">
        <v>196000</v>
      </c>
      <c r="N911" s="119">
        <v>1.9400000000000001E-2</v>
      </c>
      <c r="O911" s="462" t="s">
        <v>934</v>
      </c>
    </row>
    <row r="912" spans="1:15" ht="18" customHeight="1" x14ac:dyDescent="0.25">
      <c r="A912" s="116">
        <v>12</v>
      </c>
      <c r="B912" s="117" t="s">
        <v>106</v>
      </c>
      <c r="C912" s="116">
        <v>222</v>
      </c>
      <c r="D912" s="120" t="s">
        <v>93</v>
      </c>
      <c r="E912" s="120" t="s">
        <v>981</v>
      </c>
      <c r="F912" s="117" t="s">
        <v>933</v>
      </c>
      <c r="G912" s="281">
        <v>2</v>
      </c>
      <c r="H912" s="260">
        <v>63426</v>
      </c>
      <c r="I912" s="260">
        <v>126852</v>
      </c>
      <c r="J912" s="260">
        <v>0</v>
      </c>
      <c r="K912" s="260">
        <v>126852</v>
      </c>
      <c r="L912" s="260">
        <v>10148</v>
      </c>
      <c r="M912" s="260">
        <v>137000</v>
      </c>
      <c r="N912" s="119">
        <v>1.3599999999999999E-2</v>
      </c>
      <c r="O912" s="462" t="s">
        <v>934</v>
      </c>
    </row>
    <row r="913" spans="1:15" ht="18" customHeight="1" x14ac:dyDescent="0.25">
      <c r="A913" s="116">
        <v>12</v>
      </c>
      <c r="B913" s="117" t="s">
        <v>106</v>
      </c>
      <c r="C913" s="116">
        <v>223</v>
      </c>
      <c r="D913" s="120" t="s">
        <v>87</v>
      </c>
      <c r="E913" s="120" t="s">
        <v>141</v>
      </c>
      <c r="F913" s="117" t="s">
        <v>933</v>
      </c>
      <c r="G913" s="281">
        <v>7</v>
      </c>
      <c r="H913" s="260">
        <v>69444</v>
      </c>
      <c r="I913" s="260">
        <v>486111</v>
      </c>
      <c r="J913" s="260">
        <v>0</v>
      </c>
      <c r="K913" s="260">
        <v>486111</v>
      </c>
      <c r="L913" s="260">
        <v>38889</v>
      </c>
      <c r="M913" s="260">
        <v>525000</v>
      </c>
      <c r="N913" s="119">
        <v>5.1999999999999998E-2</v>
      </c>
      <c r="O913" s="462" t="s">
        <v>934</v>
      </c>
    </row>
    <row r="914" spans="1:15" ht="18" customHeight="1" x14ac:dyDescent="0.25">
      <c r="A914" s="116">
        <v>12</v>
      </c>
      <c r="B914" s="117" t="s">
        <v>106</v>
      </c>
      <c r="C914" s="116">
        <v>229</v>
      </c>
      <c r="D914" s="120" t="s">
        <v>87</v>
      </c>
      <c r="E914" s="120" t="s">
        <v>1046</v>
      </c>
      <c r="F914" s="117" t="s">
        <v>933</v>
      </c>
      <c r="G914" s="281">
        <v>1</v>
      </c>
      <c r="H914" s="260">
        <v>66204</v>
      </c>
      <c r="I914" s="260">
        <v>66204</v>
      </c>
      <c r="J914" s="260">
        <v>0</v>
      </c>
      <c r="K914" s="260">
        <v>66204</v>
      </c>
      <c r="L914" s="260">
        <v>5296</v>
      </c>
      <c r="M914" s="260">
        <v>71500</v>
      </c>
      <c r="N914" s="119">
        <v>7.1000000000000004E-3</v>
      </c>
      <c r="O914" s="462" t="s">
        <v>934</v>
      </c>
    </row>
    <row r="915" spans="1:15" ht="18" customHeight="1" x14ac:dyDescent="0.25">
      <c r="A915" s="116">
        <v>12</v>
      </c>
      <c r="B915" s="117" t="s">
        <v>106</v>
      </c>
      <c r="C915" s="116">
        <v>50</v>
      </c>
      <c r="D915" s="120" t="s">
        <v>87</v>
      </c>
      <c r="E915" s="120" t="s">
        <v>159</v>
      </c>
      <c r="F915" s="117" t="s">
        <v>933</v>
      </c>
      <c r="G915" s="281">
        <v>5</v>
      </c>
      <c r="H915" s="260">
        <v>49074</v>
      </c>
      <c r="I915" s="260">
        <v>245370</v>
      </c>
      <c r="J915" s="260">
        <v>0</v>
      </c>
      <c r="K915" s="260">
        <v>245370</v>
      </c>
      <c r="L915" s="260">
        <v>19630</v>
      </c>
      <c r="M915" s="260">
        <v>265000</v>
      </c>
      <c r="N915" s="119">
        <v>2.63E-2</v>
      </c>
      <c r="O915" s="462" t="s">
        <v>934</v>
      </c>
    </row>
    <row r="916" spans="1:15" ht="18" customHeight="1" x14ac:dyDescent="0.25">
      <c r="A916" s="116">
        <v>12</v>
      </c>
      <c r="B916" s="117" t="s">
        <v>106</v>
      </c>
      <c r="C916" s="116">
        <v>10</v>
      </c>
      <c r="D916" s="120" t="s">
        <v>87</v>
      </c>
      <c r="E916" s="120" t="s">
        <v>1033</v>
      </c>
      <c r="F916" s="117" t="s">
        <v>933</v>
      </c>
      <c r="G916" s="281">
        <v>2</v>
      </c>
      <c r="H916" s="260">
        <v>13889</v>
      </c>
      <c r="I916" s="260">
        <v>27778</v>
      </c>
      <c r="J916" s="260">
        <v>0</v>
      </c>
      <c r="K916" s="260">
        <v>27778</v>
      </c>
      <c r="L916" s="260">
        <v>2222</v>
      </c>
      <c r="M916" s="260">
        <v>30000</v>
      </c>
      <c r="N916" s="119">
        <v>3.0000000000000001E-3</v>
      </c>
      <c r="O916" s="462" t="s">
        <v>934</v>
      </c>
    </row>
    <row r="917" spans="1:15" ht="18" customHeight="1" x14ac:dyDescent="0.25">
      <c r="A917" s="116">
        <v>12</v>
      </c>
      <c r="B917" s="117" t="s">
        <v>106</v>
      </c>
      <c r="C917" s="116">
        <v>120</v>
      </c>
      <c r="D917" s="120" t="s">
        <v>93</v>
      </c>
      <c r="E917" s="120" t="s">
        <v>982</v>
      </c>
      <c r="F917" s="117" t="s">
        <v>933</v>
      </c>
      <c r="G917" s="281">
        <v>3</v>
      </c>
      <c r="H917" s="260">
        <v>41667</v>
      </c>
      <c r="I917" s="260">
        <v>125000</v>
      </c>
      <c r="J917" s="260">
        <v>0</v>
      </c>
      <c r="K917" s="260">
        <v>125000</v>
      </c>
      <c r="L917" s="260">
        <v>10000</v>
      </c>
      <c r="M917" s="260">
        <v>135000</v>
      </c>
      <c r="N917" s="119">
        <v>1.34E-2</v>
      </c>
      <c r="O917" s="462" t="s">
        <v>934</v>
      </c>
    </row>
    <row r="918" spans="1:15" ht="18" customHeight="1" x14ac:dyDescent="0.25">
      <c r="A918" s="116">
        <v>12</v>
      </c>
      <c r="B918" s="117" t="s">
        <v>106</v>
      </c>
      <c r="C918" s="116">
        <v>129</v>
      </c>
      <c r="D918" s="120" t="s">
        <v>93</v>
      </c>
      <c r="E918" s="120" t="s">
        <v>983</v>
      </c>
      <c r="F918" s="117" t="s">
        <v>933</v>
      </c>
      <c r="G918" s="281">
        <v>3</v>
      </c>
      <c r="H918" s="260">
        <v>44444</v>
      </c>
      <c r="I918" s="260">
        <v>133333</v>
      </c>
      <c r="J918" s="260">
        <v>0</v>
      </c>
      <c r="K918" s="260">
        <v>133333</v>
      </c>
      <c r="L918" s="260">
        <v>10667</v>
      </c>
      <c r="M918" s="260">
        <v>144000</v>
      </c>
      <c r="N918" s="119">
        <v>1.43E-2</v>
      </c>
      <c r="O918" s="462" t="s">
        <v>934</v>
      </c>
    </row>
    <row r="919" spans="1:15" ht="18" customHeight="1" x14ac:dyDescent="0.25">
      <c r="A919" s="116">
        <v>12</v>
      </c>
      <c r="B919" s="117" t="s">
        <v>106</v>
      </c>
      <c r="C919" s="116">
        <v>116</v>
      </c>
      <c r="D919" s="120" t="s">
        <v>89</v>
      </c>
      <c r="E919" s="120" t="s">
        <v>1047</v>
      </c>
      <c r="F919" s="117" t="s">
        <v>933</v>
      </c>
      <c r="G919" s="281">
        <v>17</v>
      </c>
      <c r="H919" s="260">
        <v>5556</v>
      </c>
      <c r="I919" s="260">
        <v>94444</v>
      </c>
      <c r="J919" s="260">
        <v>0</v>
      </c>
      <c r="K919" s="260">
        <v>94444</v>
      </c>
      <c r="L919" s="260">
        <v>7556</v>
      </c>
      <c r="M919" s="260">
        <v>102000</v>
      </c>
      <c r="N919" s="119">
        <v>1.01E-2</v>
      </c>
      <c r="O919" s="462" t="s">
        <v>934</v>
      </c>
    </row>
    <row r="920" spans="1:15" ht="18" customHeight="1" x14ac:dyDescent="0.25">
      <c r="A920" s="116">
        <v>12</v>
      </c>
      <c r="B920" s="117" t="s">
        <v>106</v>
      </c>
      <c r="C920" s="116">
        <v>117</v>
      </c>
      <c r="D920" s="120" t="s">
        <v>87</v>
      </c>
      <c r="E920" s="120" t="s">
        <v>120</v>
      </c>
      <c r="F920" s="117" t="s">
        <v>933</v>
      </c>
      <c r="G920" s="281">
        <v>13</v>
      </c>
      <c r="H920" s="260">
        <v>41667</v>
      </c>
      <c r="I920" s="260">
        <v>541667</v>
      </c>
      <c r="J920" s="260">
        <v>0</v>
      </c>
      <c r="K920" s="260">
        <v>541667</v>
      </c>
      <c r="L920" s="260">
        <v>43333</v>
      </c>
      <c r="M920" s="260">
        <v>585000</v>
      </c>
      <c r="N920" s="119">
        <v>5.8000000000000003E-2</v>
      </c>
      <c r="O920" s="462" t="s">
        <v>934</v>
      </c>
    </row>
    <row r="921" spans="1:15" ht="18" customHeight="1" x14ac:dyDescent="0.25">
      <c r="A921" s="116">
        <v>12</v>
      </c>
      <c r="B921" s="117" t="s">
        <v>106</v>
      </c>
      <c r="C921" s="116">
        <v>36</v>
      </c>
      <c r="D921" s="120" t="s">
        <v>91</v>
      </c>
      <c r="E921" s="120" t="s">
        <v>984</v>
      </c>
      <c r="F921" s="117" t="s">
        <v>933</v>
      </c>
      <c r="G921" s="281">
        <v>6</v>
      </c>
      <c r="H921" s="260">
        <v>3704</v>
      </c>
      <c r="I921" s="260">
        <v>22222</v>
      </c>
      <c r="J921" s="260">
        <v>0</v>
      </c>
      <c r="K921" s="260">
        <v>22222</v>
      </c>
      <c r="L921" s="260">
        <v>1778</v>
      </c>
      <c r="M921" s="260">
        <v>24000</v>
      </c>
      <c r="N921" s="119">
        <v>2.3999999999999998E-3</v>
      </c>
      <c r="O921" s="462" t="s">
        <v>934</v>
      </c>
    </row>
    <row r="922" spans="1:15" ht="18" customHeight="1" x14ac:dyDescent="0.25">
      <c r="A922" s="116">
        <v>12</v>
      </c>
      <c r="B922" s="117" t="s">
        <v>106</v>
      </c>
      <c r="C922" s="116">
        <v>61</v>
      </c>
      <c r="D922" s="120" t="s">
        <v>97</v>
      </c>
      <c r="E922" s="120" t="s">
        <v>985</v>
      </c>
      <c r="F922" s="117" t="s">
        <v>933</v>
      </c>
      <c r="G922" s="281">
        <v>1</v>
      </c>
      <c r="H922" s="260">
        <v>4630</v>
      </c>
      <c r="I922" s="260">
        <v>4630</v>
      </c>
      <c r="J922" s="260">
        <v>0</v>
      </c>
      <c r="K922" s="260">
        <v>4630</v>
      </c>
      <c r="L922" s="260">
        <v>370</v>
      </c>
      <c r="M922" s="260">
        <v>5000</v>
      </c>
      <c r="N922" s="119">
        <v>5.0000000000000001E-4</v>
      </c>
      <c r="O922" s="462" t="s">
        <v>934</v>
      </c>
    </row>
    <row r="923" spans="1:15" ht="18" customHeight="1" x14ac:dyDescent="0.25">
      <c r="A923" s="116">
        <v>12</v>
      </c>
      <c r="B923" s="117" t="s">
        <v>106</v>
      </c>
      <c r="C923" s="116">
        <v>215</v>
      </c>
      <c r="D923" s="120" t="s">
        <v>87</v>
      </c>
      <c r="E923" s="120" t="s">
        <v>132</v>
      </c>
      <c r="F923" s="117" t="s">
        <v>933</v>
      </c>
      <c r="G923" s="281">
        <v>11</v>
      </c>
      <c r="H923" s="260">
        <v>37500</v>
      </c>
      <c r="I923" s="260">
        <v>412500</v>
      </c>
      <c r="J923" s="260">
        <v>0</v>
      </c>
      <c r="K923" s="260">
        <v>412500</v>
      </c>
      <c r="L923" s="260">
        <v>33000</v>
      </c>
      <c r="M923" s="260">
        <v>445500</v>
      </c>
      <c r="N923" s="119">
        <v>4.4200000000000003E-2</v>
      </c>
      <c r="O923" s="462" t="s">
        <v>934</v>
      </c>
    </row>
    <row r="924" spans="1:15" ht="18" customHeight="1" x14ac:dyDescent="0.25">
      <c r="A924" s="116">
        <v>12</v>
      </c>
      <c r="B924" s="117" t="s">
        <v>106</v>
      </c>
      <c r="C924" s="116">
        <v>214</v>
      </c>
      <c r="D924" s="120" t="s">
        <v>87</v>
      </c>
      <c r="E924" s="120" t="s">
        <v>1007</v>
      </c>
      <c r="F924" s="117" t="s">
        <v>933</v>
      </c>
      <c r="G924" s="281">
        <v>7</v>
      </c>
      <c r="H924" s="260">
        <v>37500</v>
      </c>
      <c r="I924" s="260">
        <v>262500</v>
      </c>
      <c r="J924" s="260">
        <v>0</v>
      </c>
      <c r="K924" s="260">
        <v>262500</v>
      </c>
      <c r="L924" s="260">
        <v>21000</v>
      </c>
      <c r="M924" s="260">
        <v>283500</v>
      </c>
      <c r="N924" s="119">
        <v>2.81E-2</v>
      </c>
      <c r="O924" s="462" t="s">
        <v>934</v>
      </c>
    </row>
    <row r="925" spans="1:15" ht="18" customHeight="1" x14ac:dyDescent="0.25">
      <c r="A925" s="116">
        <v>12</v>
      </c>
      <c r="B925" s="117" t="s">
        <v>106</v>
      </c>
      <c r="C925" s="116">
        <v>113</v>
      </c>
      <c r="D925" s="120" t="s">
        <v>89</v>
      </c>
      <c r="E925" s="120" t="s">
        <v>135</v>
      </c>
      <c r="F925" s="117" t="s">
        <v>933</v>
      </c>
      <c r="G925" s="281">
        <v>28</v>
      </c>
      <c r="H925" s="260">
        <v>22222</v>
      </c>
      <c r="I925" s="260">
        <v>622222</v>
      </c>
      <c r="J925" s="260">
        <v>0</v>
      </c>
      <c r="K925" s="260">
        <v>622222</v>
      </c>
      <c r="L925" s="260">
        <v>49778</v>
      </c>
      <c r="M925" s="260">
        <v>672000</v>
      </c>
      <c r="N925" s="119">
        <v>6.6600000000000006E-2</v>
      </c>
      <c r="O925" s="462" t="s">
        <v>934</v>
      </c>
    </row>
    <row r="926" spans="1:15" ht="18" customHeight="1" x14ac:dyDescent="0.25">
      <c r="A926" s="116">
        <v>12</v>
      </c>
      <c r="B926" s="117" t="s">
        <v>106</v>
      </c>
      <c r="C926" s="116">
        <v>256</v>
      </c>
      <c r="D926" s="120" t="s">
        <v>89</v>
      </c>
      <c r="E926" s="120" t="s">
        <v>1065</v>
      </c>
      <c r="F926" s="117" t="s">
        <v>933</v>
      </c>
      <c r="G926" s="281">
        <v>1</v>
      </c>
      <c r="H926" s="260">
        <v>18519</v>
      </c>
      <c r="I926" s="260">
        <v>18519</v>
      </c>
      <c r="J926" s="260">
        <v>0</v>
      </c>
      <c r="K926" s="260">
        <v>18519</v>
      </c>
      <c r="L926" s="260">
        <v>1481</v>
      </c>
      <c r="M926" s="260">
        <v>20000</v>
      </c>
      <c r="N926" s="119">
        <v>2E-3</v>
      </c>
      <c r="O926" s="462" t="s">
        <v>934</v>
      </c>
    </row>
    <row r="927" spans="1:15" ht="18" customHeight="1" x14ac:dyDescent="0.25">
      <c r="A927" s="116">
        <v>12</v>
      </c>
      <c r="B927" s="117" t="s">
        <v>106</v>
      </c>
      <c r="C927" s="116">
        <v>96</v>
      </c>
      <c r="D927" s="120" t="s">
        <v>93</v>
      </c>
      <c r="E927" s="120" t="s">
        <v>1009</v>
      </c>
      <c r="F927" s="117" t="s">
        <v>933</v>
      </c>
      <c r="G927" s="281">
        <v>5</v>
      </c>
      <c r="H927" s="260">
        <v>35648</v>
      </c>
      <c r="I927" s="260">
        <v>178241</v>
      </c>
      <c r="J927" s="260">
        <v>0</v>
      </c>
      <c r="K927" s="260">
        <v>178241</v>
      </c>
      <c r="L927" s="260">
        <v>14259</v>
      </c>
      <c r="M927" s="260">
        <v>192500</v>
      </c>
      <c r="N927" s="119">
        <v>1.9099999999999999E-2</v>
      </c>
      <c r="O927" s="462" t="s">
        <v>934</v>
      </c>
    </row>
    <row r="928" spans="1:15" ht="18" customHeight="1" x14ac:dyDescent="0.25">
      <c r="A928" s="116">
        <v>12</v>
      </c>
      <c r="B928" s="117" t="s">
        <v>106</v>
      </c>
      <c r="C928" s="116">
        <v>255</v>
      </c>
      <c r="D928" s="120" t="s">
        <v>93</v>
      </c>
      <c r="E928" s="120" t="s">
        <v>1010</v>
      </c>
      <c r="F928" s="117" t="s">
        <v>933</v>
      </c>
      <c r="G928" s="281">
        <v>2</v>
      </c>
      <c r="H928" s="260">
        <v>35648</v>
      </c>
      <c r="I928" s="260">
        <v>71296</v>
      </c>
      <c r="J928" s="260">
        <v>0</v>
      </c>
      <c r="K928" s="260">
        <v>71296</v>
      </c>
      <c r="L928" s="260">
        <v>5704</v>
      </c>
      <c r="M928" s="260">
        <v>77000</v>
      </c>
      <c r="N928" s="119">
        <v>7.6E-3</v>
      </c>
      <c r="O928" s="462" t="s">
        <v>934</v>
      </c>
    </row>
    <row r="929" spans="1:15" ht="18" customHeight="1" x14ac:dyDescent="0.25">
      <c r="A929" s="116">
        <v>13</v>
      </c>
      <c r="B929" s="117" t="s">
        <v>112</v>
      </c>
      <c r="C929" s="116">
        <v>73</v>
      </c>
      <c r="D929" s="120" t="s">
        <v>91</v>
      </c>
      <c r="E929" s="120" t="s">
        <v>932</v>
      </c>
      <c r="F929" s="117" t="s">
        <v>933</v>
      </c>
      <c r="G929" s="281">
        <v>25</v>
      </c>
      <c r="H929" s="260">
        <v>2593</v>
      </c>
      <c r="I929" s="260">
        <v>64815</v>
      </c>
      <c r="J929" s="260">
        <v>0</v>
      </c>
      <c r="K929" s="260">
        <v>64815</v>
      </c>
      <c r="L929" s="260">
        <v>5185</v>
      </c>
      <c r="M929" s="260">
        <v>70000</v>
      </c>
      <c r="N929" s="119">
        <v>4.0999999999999986E-3</v>
      </c>
      <c r="O929" s="462" t="s">
        <v>934</v>
      </c>
    </row>
    <row r="930" spans="1:15" ht="18" customHeight="1" x14ac:dyDescent="0.25">
      <c r="A930" s="116">
        <v>13</v>
      </c>
      <c r="B930" s="117" t="s">
        <v>112</v>
      </c>
      <c r="C930" s="116">
        <v>65</v>
      </c>
      <c r="D930" s="120" t="s">
        <v>91</v>
      </c>
      <c r="E930" s="120" t="s">
        <v>935</v>
      </c>
      <c r="F930" s="117" t="s">
        <v>933</v>
      </c>
      <c r="G930" s="281">
        <v>1</v>
      </c>
      <c r="H930" s="260">
        <v>2778</v>
      </c>
      <c r="I930" s="260">
        <v>2778</v>
      </c>
      <c r="J930" s="260">
        <v>0</v>
      </c>
      <c r="K930" s="260">
        <v>2778</v>
      </c>
      <c r="L930" s="260">
        <v>222</v>
      </c>
      <c r="M930" s="260">
        <v>3000</v>
      </c>
      <c r="N930" s="119">
        <v>2.0000000000000001E-4</v>
      </c>
      <c r="O930" s="462" t="s">
        <v>934</v>
      </c>
    </row>
    <row r="931" spans="1:15" ht="18" customHeight="1" x14ac:dyDescent="0.25">
      <c r="A931" s="116">
        <v>13</v>
      </c>
      <c r="B931" s="117" t="s">
        <v>112</v>
      </c>
      <c r="C931" s="116">
        <v>12</v>
      </c>
      <c r="D931" s="120" t="s">
        <v>93</v>
      </c>
      <c r="E931" s="120" t="s">
        <v>937</v>
      </c>
      <c r="F931" s="117" t="s">
        <v>933</v>
      </c>
      <c r="G931" s="281">
        <v>7</v>
      </c>
      <c r="H931" s="260">
        <v>41667</v>
      </c>
      <c r="I931" s="260">
        <v>291667</v>
      </c>
      <c r="J931" s="260">
        <v>0</v>
      </c>
      <c r="K931" s="260">
        <v>291667</v>
      </c>
      <c r="L931" s="260">
        <v>23333</v>
      </c>
      <c r="M931" s="260">
        <v>315000</v>
      </c>
      <c r="N931" s="119">
        <v>1.8499999999999999E-2</v>
      </c>
      <c r="O931" s="462" t="s">
        <v>934</v>
      </c>
    </row>
    <row r="932" spans="1:15" ht="18" customHeight="1" x14ac:dyDescent="0.25">
      <c r="A932" s="116">
        <v>13</v>
      </c>
      <c r="B932" s="117" t="s">
        <v>112</v>
      </c>
      <c r="C932" s="116">
        <v>313</v>
      </c>
      <c r="D932" s="120" t="s">
        <v>87</v>
      </c>
      <c r="E932" s="120" t="s">
        <v>1048</v>
      </c>
      <c r="F932" s="117" t="s">
        <v>933</v>
      </c>
      <c r="G932" s="281">
        <v>1</v>
      </c>
      <c r="H932" s="260">
        <v>4167</v>
      </c>
      <c r="I932" s="260">
        <v>4167</v>
      </c>
      <c r="J932" s="260">
        <v>0</v>
      </c>
      <c r="K932" s="260">
        <v>4167</v>
      </c>
      <c r="L932" s="260">
        <v>333</v>
      </c>
      <c r="M932" s="260">
        <v>4500</v>
      </c>
      <c r="N932" s="119">
        <v>2.9999999999999997E-4</v>
      </c>
      <c r="O932" s="462" t="s">
        <v>934</v>
      </c>
    </row>
    <row r="933" spans="1:15" ht="18" customHeight="1" x14ac:dyDescent="0.25">
      <c r="A933" s="116">
        <v>13</v>
      </c>
      <c r="B933" s="117" t="s">
        <v>112</v>
      </c>
      <c r="C933" s="116">
        <v>40</v>
      </c>
      <c r="D933" s="120" t="s">
        <v>87</v>
      </c>
      <c r="E933" s="120" t="s">
        <v>170</v>
      </c>
      <c r="F933" s="117" t="s">
        <v>933</v>
      </c>
      <c r="G933" s="281">
        <v>4</v>
      </c>
      <c r="H933" s="260">
        <v>55093</v>
      </c>
      <c r="I933" s="260">
        <v>220370</v>
      </c>
      <c r="J933" s="260">
        <v>0</v>
      </c>
      <c r="K933" s="260">
        <v>220370</v>
      </c>
      <c r="L933" s="260">
        <v>17630</v>
      </c>
      <c r="M933" s="260">
        <v>238000</v>
      </c>
      <c r="N933" s="119">
        <v>1.4E-2</v>
      </c>
      <c r="O933" s="462" t="s">
        <v>934</v>
      </c>
    </row>
    <row r="934" spans="1:15" ht="18" customHeight="1" x14ac:dyDescent="0.25">
      <c r="A934" s="116">
        <v>13</v>
      </c>
      <c r="B934" s="117" t="s">
        <v>112</v>
      </c>
      <c r="C934" s="116">
        <v>104</v>
      </c>
      <c r="D934" s="120" t="s">
        <v>89</v>
      </c>
      <c r="E934" s="120" t="s">
        <v>162</v>
      </c>
      <c r="F934" s="117" t="s">
        <v>933</v>
      </c>
      <c r="G934" s="281">
        <v>1</v>
      </c>
      <c r="H934" s="260">
        <v>15741</v>
      </c>
      <c r="I934" s="260">
        <v>15741</v>
      </c>
      <c r="J934" s="260">
        <v>0</v>
      </c>
      <c r="K934" s="260">
        <v>15741</v>
      </c>
      <c r="L934" s="260">
        <v>1259</v>
      </c>
      <c r="M934" s="260">
        <v>17000</v>
      </c>
      <c r="N934" s="119">
        <v>1E-3</v>
      </c>
      <c r="O934" s="462" t="s">
        <v>934</v>
      </c>
    </row>
    <row r="935" spans="1:15" ht="18" customHeight="1" x14ac:dyDescent="0.25">
      <c r="A935" s="116">
        <v>13</v>
      </c>
      <c r="B935" s="117" t="s">
        <v>112</v>
      </c>
      <c r="C935" s="116">
        <v>54</v>
      </c>
      <c r="D935" s="120" t="s">
        <v>91</v>
      </c>
      <c r="E935" s="120" t="s">
        <v>992</v>
      </c>
      <c r="F935" s="117" t="s">
        <v>933</v>
      </c>
      <c r="G935" s="281">
        <v>2</v>
      </c>
      <c r="H935" s="260">
        <v>2315</v>
      </c>
      <c r="I935" s="260">
        <v>4630</v>
      </c>
      <c r="J935" s="260">
        <v>0</v>
      </c>
      <c r="K935" s="260">
        <v>4630</v>
      </c>
      <c r="L935" s="260">
        <v>370</v>
      </c>
      <c r="M935" s="260">
        <v>5000</v>
      </c>
      <c r="N935" s="119">
        <v>2.9999999999999997E-4</v>
      </c>
      <c r="O935" s="462" t="s">
        <v>934</v>
      </c>
    </row>
    <row r="936" spans="1:15" ht="18" customHeight="1" x14ac:dyDescent="0.25">
      <c r="A936" s="116">
        <v>13</v>
      </c>
      <c r="B936" s="117" t="s">
        <v>112</v>
      </c>
      <c r="C936" s="116">
        <v>5</v>
      </c>
      <c r="D936" s="120" t="s">
        <v>89</v>
      </c>
      <c r="E936" s="120" t="s">
        <v>993</v>
      </c>
      <c r="F936" s="117" t="s">
        <v>933</v>
      </c>
      <c r="G936" s="281">
        <v>1</v>
      </c>
      <c r="H936" s="260">
        <v>11111</v>
      </c>
      <c r="I936" s="260">
        <v>11111</v>
      </c>
      <c r="J936" s="260">
        <v>0</v>
      </c>
      <c r="K936" s="260">
        <v>11111</v>
      </c>
      <c r="L936" s="260">
        <v>889</v>
      </c>
      <c r="M936" s="260">
        <v>12000</v>
      </c>
      <c r="N936" s="119">
        <v>7.000000000000001E-4</v>
      </c>
      <c r="O936" s="462" t="s">
        <v>934</v>
      </c>
    </row>
    <row r="937" spans="1:15" ht="18" customHeight="1" x14ac:dyDescent="0.25">
      <c r="A937" s="116">
        <v>13</v>
      </c>
      <c r="B937" s="117" t="s">
        <v>112</v>
      </c>
      <c r="C937" s="116">
        <v>136</v>
      </c>
      <c r="D937" s="120" t="s">
        <v>89</v>
      </c>
      <c r="E937" s="120" t="s">
        <v>939</v>
      </c>
      <c r="F937" s="117" t="s">
        <v>933</v>
      </c>
      <c r="G937" s="281">
        <v>6</v>
      </c>
      <c r="H937" s="260">
        <v>24074</v>
      </c>
      <c r="I937" s="260">
        <v>144444</v>
      </c>
      <c r="J937" s="260">
        <v>0</v>
      </c>
      <c r="K937" s="260">
        <v>144444</v>
      </c>
      <c r="L937" s="260">
        <v>11556</v>
      </c>
      <c r="M937" s="260">
        <v>156000</v>
      </c>
      <c r="N937" s="119">
        <v>9.1999999999999998E-3</v>
      </c>
      <c r="O937" s="462" t="s">
        <v>934</v>
      </c>
    </row>
    <row r="938" spans="1:15" ht="18" customHeight="1" x14ac:dyDescent="0.25">
      <c r="A938" s="116">
        <v>13</v>
      </c>
      <c r="B938" s="117" t="s">
        <v>112</v>
      </c>
      <c r="C938" s="116">
        <v>135</v>
      </c>
      <c r="D938" s="120" t="s">
        <v>89</v>
      </c>
      <c r="E938" s="120" t="s">
        <v>1024</v>
      </c>
      <c r="F938" s="117" t="s">
        <v>933</v>
      </c>
      <c r="G938" s="281">
        <v>4</v>
      </c>
      <c r="H938" s="260">
        <v>13889</v>
      </c>
      <c r="I938" s="260">
        <v>55556</v>
      </c>
      <c r="J938" s="260">
        <v>0</v>
      </c>
      <c r="K938" s="260">
        <v>55556</v>
      </c>
      <c r="L938" s="260">
        <v>4444</v>
      </c>
      <c r="M938" s="260">
        <v>60000</v>
      </c>
      <c r="N938" s="119">
        <v>3.5000000000000001E-3</v>
      </c>
      <c r="O938" s="462" t="s">
        <v>934</v>
      </c>
    </row>
    <row r="939" spans="1:15" ht="18" customHeight="1" x14ac:dyDescent="0.25">
      <c r="A939" s="116">
        <v>13</v>
      </c>
      <c r="B939" s="117" t="s">
        <v>112</v>
      </c>
      <c r="C939" s="116">
        <v>6</v>
      </c>
      <c r="D939" s="120" t="s">
        <v>89</v>
      </c>
      <c r="E939" s="120" t="s">
        <v>994</v>
      </c>
      <c r="F939" s="117" t="s">
        <v>933</v>
      </c>
      <c r="G939" s="281">
        <v>2</v>
      </c>
      <c r="H939" s="260">
        <v>14815</v>
      </c>
      <c r="I939" s="260">
        <v>29630</v>
      </c>
      <c r="J939" s="260">
        <v>0</v>
      </c>
      <c r="K939" s="260">
        <v>29630</v>
      </c>
      <c r="L939" s="260">
        <v>2370</v>
      </c>
      <c r="M939" s="260">
        <v>32000</v>
      </c>
      <c r="N939" s="119">
        <v>1.9E-3</v>
      </c>
      <c r="O939" s="462" t="s">
        <v>934</v>
      </c>
    </row>
    <row r="940" spans="1:15" ht="18" customHeight="1" x14ac:dyDescent="0.25">
      <c r="A940" s="116">
        <v>13</v>
      </c>
      <c r="B940" s="117" t="s">
        <v>112</v>
      </c>
      <c r="C940" s="116">
        <v>8</v>
      </c>
      <c r="D940" s="120" t="s">
        <v>87</v>
      </c>
      <c r="E940" s="120" t="s">
        <v>156</v>
      </c>
      <c r="F940" s="117" t="s">
        <v>933</v>
      </c>
      <c r="G940" s="281">
        <v>2</v>
      </c>
      <c r="H940" s="260">
        <v>18519</v>
      </c>
      <c r="I940" s="260">
        <v>37037</v>
      </c>
      <c r="J940" s="260">
        <v>0</v>
      </c>
      <c r="K940" s="260">
        <v>37037</v>
      </c>
      <c r="L940" s="260">
        <v>2963</v>
      </c>
      <c r="M940" s="260">
        <v>40000</v>
      </c>
      <c r="N940" s="119">
        <v>2.3E-3</v>
      </c>
      <c r="O940" s="462" t="s">
        <v>934</v>
      </c>
    </row>
    <row r="941" spans="1:15" ht="18" customHeight="1" x14ac:dyDescent="0.25">
      <c r="A941" s="116">
        <v>13</v>
      </c>
      <c r="B941" s="117" t="s">
        <v>112</v>
      </c>
      <c r="C941" s="116">
        <v>311</v>
      </c>
      <c r="D941" s="120" t="s">
        <v>93</v>
      </c>
      <c r="E941" s="120" t="s">
        <v>940</v>
      </c>
      <c r="F941" s="117" t="s">
        <v>933</v>
      </c>
      <c r="G941" s="281">
        <v>3</v>
      </c>
      <c r="H941" s="260">
        <v>44907</v>
      </c>
      <c r="I941" s="260">
        <v>134722</v>
      </c>
      <c r="J941" s="260">
        <v>0</v>
      </c>
      <c r="K941" s="260">
        <v>134722</v>
      </c>
      <c r="L941" s="260">
        <v>10778</v>
      </c>
      <c r="M941" s="260">
        <v>145500</v>
      </c>
      <c r="N941" s="119">
        <v>8.5000000000000006E-3</v>
      </c>
      <c r="O941" s="462" t="s">
        <v>934</v>
      </c>
    </row>
    <row r="942" spans="1:15" ht="18" customHeight="1" x14ac:dyDescent="0.25">
      <c r="A942" s="116">
        <v>13</v>
      </c>
      <c r="B942" s="117" t="s">
        <v>112</v>
      </c>
      <c r="C942" s="116">
        <v>87</v>
      </c>
      <c r="D942" s="120" t="s">
        <v>89</v>
      </c>
      <c r="E942" s="120" t="s">
        <v>144</v>
      </c>
      <c r="F942" s="117" t="s">
        <v>933</v>
      </c>
      <c r="G942" s="281">
        <v>11</v>
      </c>
      <c r="H942" s="260">
        <v>37500</v>
      </c>
      <c r="I942" s="260">
        <v>412500</v>
      </c>
      <c r="J942" s="260">
        <v>0</v>
      </c>
      <c r="K942" s="260">
        <v>412500</v>
      </c>
      <c r="L942" s="260">
        <v>33000</v>
      </c>
      <c r="M942" s="260">
        <v>445500</v>
      </c>
      <c r="N942" s="119">
        <v>2.6200000000000001E-2</v>
      </c>
      <c r="O942" s="462" t="s">
        <v>934</v>
      </c>
    </row>
    <row r="943" spans="1:15" ht="18" customHeight="1" x14ac:dyDescent="0.25">
      <c r="A943" s="116">
        <v>13</v>
      </c>
      <c r="B943" s="117" t="s">
        <v>112</v>
      </c>
      <c r="C943" s="116">
        <v>246</v>
      </c>
      <c r="D943" s="120" t="s">
        <v>91</v>
      </c>
      <c r="E943" s="120" t="s">
        <v>943</v>
      </c>
      <c r="F943" s="117" t="s">
        <v>933</v>
      </c>
      <c r="G943" s="281">
        <v>6</v>
      </c>
      <c r="H943" s="260">
        <v>6481</v>
      </c>
      <c r="I943" s="260">
        <v>38889</v>
      </c>
      <c r="J943" s="260">
        <v>0</v>
      </c>
      <c r="K943" s="260">
        <v>38889</v>
      </c>
      <c r="L943" s="260">
        <v>3111</v>
      </c>
      <c r="M943" s="260">
        <v>42000</v>
      </c>
      <c r="N943" s="119">
        <v>2.5000000000000001E-3</v>
      </c>
      <c r="O943" s="462" t="s">
        <v>934</v>
      </c>
    </row>
    <row r="944" spans="1:15" ht="18" customHeight="1" x14ac:dyDescent="0.25">
      <c r="A944" s="116">
        <v>13</v>
      </c>
      <c r="B944" s="117" t="s">
        <v>112</v>
      </c>
      <c r="C944" s="116">
        <v>70</v>
      </c>
      <c r="D944" s="120" t="s">
        <v>91</v>
      </c>
      <c r="E944" s="120" t="s">
        <v>944</v>
      </c>
      <c r="F944" s="117" t="s">
        <v>933</v>
      </c>
      <c r="G944" s="281">
        <v>2</v>
      </c>
      <c r="H944" s="260">
        <v>4630</v>
      </c>
      <c r="I944" s="260">
        <v>9259</v>
      </c>
      <c r="J944" s="260">
        <v>0</v>
      </c>
      <c r="K944" s="260">
        <v>9259</v>
      </c>
      <c r="L944" s="260">
        <v>741</v>
      </c>
      <c r="M944" s="260">
        <v>10000</v>
      </c>
      <c r="N944" s="119">
        <v>5.9999999999999995E-4</v>
      </c>
      <c r="O944" s="462" t="s">
        <v>934</v>
      </c>
    </row>
    <row r="945" spans="1:15" ht="18" customHeight="1" x14ac:dyDescent="0.25">
      <c r="A945" s="116">
        <v>13</v>
      </c>
      <c r="B945" s="117" t="s">
        <v>112</v>
      </c>
      <c r="C945" s="116">
        <v>71</v>
      </c>
      <c r="D945" s="120" t="s">
        <v>91</v>
      </c>
      <c r="E945" s="120" t="s">
        <v>945</v>
      </c>
      <c r="F945" s="117" t="s">
        <v>933</v>
      </c>
      <c r="G945" s="281">
        <v>3</v>
      </c>
      <c r="H945" s="260">
        <v>5556</v>
      </c>
      <c r="I945" s="260">
        <v>16667</v>
      </c>
      <c r="J945" s="260">
        <v>0</v>
      </c>
      <c r="K945" s="260">
        <v>16667</v>
      </c>
      <c r="L945" s="260">
        <v>1333</v>
      </c>
      <c r="M945" s="260">
        <v>18000</v>
      </c>
      <c r="N945" s="119">
        <v>1.1000000000000001E-3</v>
      </c>
      <c r="O945" s="462" t="s">
        <v>934</v>
      </c>
    </row>
    <row r="946" spans="1:15" ht="18" customHeight="1" x14ac:dyDescent="0.25">
      <c r="A946" s="116">
        <v>13</v>
      </c>
      <c r="B946" s="117" t="s">
        <v>112</v>
      </c>
      <c r="C946" s="116">
        <v>83</v>
      </c>
      <c r="D946" s="120" t="s">
        <v>87</v>
      </c>
      <c r="E946" s="120" t="s">
        <v>946</v>
      </c>
      <c r="F946" s="117" t="s">
        <v>933</v>
      </c>
      <c r="G946" s="281">
        <v>9</v>
      </c>
      <c r="H946" s="260">
        <v>20833</v>
      </c>
      <c r="I946" s="260">
        <v>187500</v>
      </c>
      <c r="J946" s="260">
        <v>0</v>
      </c>
      <c r="K946" s="260">
        <v>187500</v>
      </c>
      <c r="L946" s="260">
        <v>15000</v>
      </c>
      <c r="M946" s="260">
        <v>202500</v>
      </c>
      <c r="N946" s="119">
        <v>1.1900000000000001E-2</v>
      </c>
      <c r="O946" s="462" t="s">
        <v>934</v>
      </c>
    </row>
    <row r="947" spans="1:15" ht="18" customHeight="1" x14ac:dyDescent="0.25">
      <c r="A947" s="116">
        <v>13</v>
      </c>
      <c r="B947" s="117" t="s">
        <v>112</v>
      </c>
      <c r="C947" s="116">
        <v>52</v>
      </c>
      <c r="D947" s="120" t="s">
        <v>87</v>
      </c>
      <c r="E947" s="120" t="s">
        <v>996</v>
      </c>
      <c r="F947" s="117" t="s">
        <v>933</v>
      </c>
      <c r="G947" s="281">
        <v>1</v>
      </c>
      <c r="H947" s="260">
        <v>5556</v>
      </c>
      <c r="I947" s="260">
        <v>5556</v>
      </c>
      <c r="J947" s="260">
        <v>0</v>
      </c>
      <c r="K947" s="260">
        <v>5556</v>
      </c>
      <c r="L947" s="260">
        <v>444</v>
      </c>
      <c r="M947" s="260">
        <v>6000</v>
      </c>
      <c r="N947" s="119">
        <v>4.0000000000000002E-4</v>
      </c>
      <c r="O947" s="462" t="s">
        <v>934</v>
      </c>
    </row>
    <row r="948" spans="1:15" ht="18" customHeight="1" x14ac:dyDescent="0.25">
      <c r="A948" s="116">
        <v>13</v>
      </c>
      <c r="B948" s="117" t="s">
        <v>112</v>
      </c>
      <c r="C948" s="116">
        <v>43</v>
      </c>
      <c r="D948" s="120" t="s">
        <v>87</v>
      </c>
      <c r="E948" s="120" t="s">
        <v>947</v>
      </c>
      <c r="F948" s="117" t="s">
        <v>933</v>
      </c>
      <c r="G948" s="281">
        <v>1</v>
      </c>
      <c r="H948" s="260">
        <v>8333</v>
      </c>
      <c r="I948" s="260">
        <v>8333</v>
      </c>
      <c r="J948" s="260">
        <v>0</v>
      </c>
      <c r="K948" s="260">
        <v>8333</v>
      </c>
      <c r="L948" s="260">
        <v>667</v>
      </c>
      <c r="M948" s="260">
        <v>9000</v>
      </c>
      <c r="N948" s="119">
        <v>5.0000000000000001E-4</v>
      </c>
      <c r="O948" s="462" t="s">
        <v>934</v>
      </c>
    </row>
    <row r="949" spans="1:15" ht="18" customHeight="1" x14ac:dyDescent="0.25">
      <c r="A949" s="116">
        <v>13</v>
      </c>
      <c r="B949" s="117" t="s">
        <v>112</v>
      </c>
      <c r="C949" s="116">
        <v>41</v>
      </c>
      <c r="D949" s="120" t="s">
        <v>87</v>
      </c>
      <c r="E949" s="120" t="s">
        <v>168</v>
      </c>
      <c r="F949" s="117" t="s">
        <v>933</v>
      </c>
      <c r="G949" s="281">
        <v>5</v>
      </c>
      <c r="H949" s="260">
        <v>49074</v>
      </c>
      <c r="I949" s="260">
        <v>245370</v>
      </c>
      <c r="J949" s="260">
        <v>0</v>
      </c>
      <c r="K949" s="260">
        <v>245370</v>
      </c>
      <c r="L949" s="260">
        <v>19630</v>
      </c>
      <c r="M949" s="260">
        <v>265000</v>
      </c>
      <c r="N949" s="119">
        <v>1.5599999999999999E-2</v>
      </c>
      <c r="O949" s="462" t="s">
        <v>934</v>
      </c>
    </row>
    <row r="950" spans="1:15" ht="18" customHeight="1" x14ac:dyDescent="0.25">
      <c r="A950" s="116">
        <v>13</v>
      </c>
      <c r="B950" s="117" t="s">
        <v>112</v>
      </c>
      <c r="C950" s="116">
        <v>122</v>
      </c>
      <c r="D950" s="120" t="s">
        <v>91</v>
      </c>
      <c r="E950" s="120" t="s">
        <v>948</v>
      </c>
      <c r="F950" s="117" t="s">
        <v>933</v>
      </c>
      <c r="G950" s="281">
        <v>1</v>
      </c>
      <c r="H950" s="260">
        <v>2778</v>
      </c>
      <c r="I950" s="260">
        <v>2778</v>
      </c>
      <c r="J950" s="260">
        <v>0</v>
      </c>
      <c r="K950" s="260">
        <v>2778</v>
      </c>
      <c r="L950" s="260">
        <v>222</v>
      </c>
      <c r="M950" s="260">
        <v>3000</v>
      </c>
      <c r="N950" s="119">
        <v>2.0000000000000001E-4</v>
      </c>
      <c r="O950" s="462" t="s">
        <v>934</v>
      </c>
    </row>
    <row r="951" spans="1:15" ht="18" customHeight="1" x14ac:dyDescent="0.25">
      <c r="A951" s="116">
        <v>13</v>
      </c>
      <c r="B951" s="117" t="s">
        <v>112</v>
      </c>
      <c r="C951" s="116">
        <v>247</v>
      </c>
      <c r="D951" s="120" t="s">
        <v>87</v>
      </c>
      <c r="E951" s="120" t="s">
        <v>1014</v>
      </c>
      <c r="F951" s="117" t="s">
        <v>933</v>
      </c>
      <c r="G951" s="281">
        <v>1</v>
      </c>
      <c r="H951" s="260">
        <v>3056</v>
      </c>
      <c r="I951" s="260">
        <v>3056</v>
      </c>
      <c r="J951" s="260">
        <v>0</v>
      </c>
      <c r="K951" s="260">
        <v>3056</v>
      </c>
      <c r="L951" s="260">
        <v>244</v>
      </c>
      <c r="M951" s="260">
        <v>3300</v>
      </c>
      <c r="N951" s="119">
        <v>2.0000000000000001E-4</v>
      </c>
      <c r="O951" s="462" t="s">
        <v>934</v>
      </c>
    </row>
    <row r="952" spans="1:15" ht="18" customHeight="1" x14ac:dyDescent="0.25">
      <c r="A952" s="116">
        <v>13</v>
      </c>
      <c r="B952" s="117" t="s">
        <v>112</v>
      </c>
      <c r="C952" s="116">
        <v>42</v>
      </c>
      <c r="D952" s="120" t="s">
        <v>87</v>
      </c>
      <c r="E952" s="120" t="s">
        <v>360</v>
      </c>
      <c r="F952" s="117" t="s">
        <v>933</v>
      </c>
      <c r="G952" s="281">
        <v>7</v>
      </c>
      <c r="H952" s="260">
        <v>32407</v>
      </c>
      <c r="I952" s="260">
        <v>226852</v>
      </c>
      <c r="J952" s="260">
        <v>0</v>
      </c>
      <c r="K952" s="260">
        <v>226852</v>
      </c>
      <c r="L952" s="260">
        <v>18148</v>
      </c>
      <c r="M952" s="260">
        <v>245000</v>
      </c>
      <c r="N952" s="119">
        <v>1.44E-2</v>
      </c>
      <c r="O952" s="462" t="s">
        <v>934</v>
      </c>
    </row>
    <row r="953" spans="1:15" ht="18" customHeight="1" x14ac:dyDescent="0.25">
      <c r="A953" s="116">
        <v>13</v>
      </c>
      <c r="B953" s="117" t="s">
        <v>112</v>
      </c>
      <c r="C953" s="116">
        <v>44</v>
      </c>
      <c r="D953" s="120" t="s">
        <v>87</v>
      </c>
      <c r="E953" s="120" t="s">
        <v>138</v>
      </c>
      <c r="F953" s="117" t="s">
        <v>933</v>
      </c>
      <c r="G953" s="281">
        <v>33</v>
      </c>
      <c r="H953" s="260">
        <v>28241</v>
      </c>
      <c r="I953" s="260">
        <v>931944</v>
      </c>
      <c r="J953" s="260">
        <v>0</v>
      </c>
      <c r="K953" s="260">
        <v>931944</v>
      </c>
      <c r="L953" s="260">
        <v>74556</v>
      </c>
      <c r="M953" s="260">
        <v>1006500</v>
      </c>
      <c r="N953" s="119">
        <v>5.91E-2</v>
      </c>
      <c r="O953" s="462" t="s">
        <v>934</v>
      </c>
    </row>
    <row r="954" spans="1:15" ht="18" customHeight="1" x14ac:dyDescent="0.25">
      <c r="A954" s="116">
        <v>13</v>
      </c>
      <c r="B954" s="117" t="s">
        <v>112</v>
      </c>
      <c r="C954" s="116">
        <v>110</v>
      </c>
      <c r="D954" s="120" t="s">
        <v>99</v>
      </c>
      <c r="E954" s="120" t="s">
        <v>949</v>
      </c>
      <c r="F954" s="117" t="s">
        <v>933</v>
      </c>
      <c r="G954" s="281">
        <v>31</v>
      </c>
      <c r="H954" s="260">
        <v>926</v>
      </c>
      <c r="I954" s="260">
        <v>28704</v>
      </c>
      <c r="J954" s="260">
        <v>0</v>
      </c>
      <c r="K954" s="260">
        <v>28704</v>
      </c>
      <c r="L954" s="260">
        <v>2296</v>
      </c>
      <c r="M954" s="260">
        <v>31000</v>
      </c>
      <c r="N954" s="119">
        <v>1.8E-3</v>
      </c>
      <c r="O954" s="462" t="s">
        <v>934</v>
      </c>
    </row>
    <row r="955" spans="1:15" ht="18" customHeight="1" x14ac:dyDescent="0.25">
      <c r="A955" s="116">
        <v>13</v>
      </c>
      <c r="B955" s="117" t="s">
        <v>112</v>
      </c>
      <c r="C955" s="116">
        <v>102</v>
      </c>
      <c r="D955" s="120" t="s">
        <v>87</v>
      </c>
      <c r="E955" s="120" t="s">
        <v>998</v>
      </c>
      <c r="F955" s="117" t="s">
        <v>933</v>
      </c>
      <c r="G955" s="281">
        <v>4</v>
      </c>
      <c r="H955" s="260">
        <v>6944</v>
      </c>
      <c r="I955" s="260">
        <v>27778</v>
      </c>
      <c r="J955" s="260">
        <v>0</v>
      </c>
      <c r="K955" s="260">
        <v>27778</v>
      </c>
      <c r="L955" s="260">
        <v>2222</v>
      </c>
      <c r="M955" s="260">
        <v>30000</v>
      </c>
      <c r="N955" s="119">
        <v>1.8E-3</v>
      </c>
      <c r="O955" s="462" t="s">
        <v>934</v>
      </c>
    </row>
    <row r="956" spans="1:15" ht="18" customHeight="1" x14ac:dyDescent="0.25">
      <c r="A956" s="116">
        <v>13</v>
      </c>
      <c r="B956" s="117" t="s">
        <v>112</v>
      </c>
      <c r="C956" s="116">
        <v>45</v>
      </c>
      <c r="D956" s="120" t="s">
        <v>87</v>
      </c>
      <c r="E956" s="120" t="s">
        <v>950</v>
      </c>
      <c r="F956" s="117" t="s">
        <v>933</v>
      </c>
      <c r="G956" s="281">
        <v>7</v>
      </c>
      <c r="H956" s="260">
        <v>35648</v>
      </c>
      <c r="I956" s="260">
        <v>249537</v>
      </c>
      <c r="J956" s="260">
        <v>0</v>
      </c>
      <c r="K956" s="260">
        <v>249537</v>
      </c>
      <c r="L956" s="260">
        <v>19963</v>
      </c>
      <c r="M956" s="260">
        <v>269500</v>
      </c>
      <c r="N956" s="119">
        <v>1.5800000000000002E-2</v>
      </c>
      <c r="O956" s="462" t="s">
        <v>934</v>
      </c>
    </row>
    <row r="957" spans="1:15" ht="18" customHeight="1" x14ac:dyDescent="0.25">
      <c r="A957" s="116">
        <v>13</v>
      </c>
      <c r="B957" s="117" t="s">
        <v>112</v>
      </c>
      <c r="C957" s="116">
        <v>30</v>
      </c>
      <c r="D957" s="120" t="s">
        <v>95</v>
      </c>
      <c r="E957" s="120" t="s">
        <v>951</v>
      </c>
      <c r="F957" s="117" t="s">
        <v>933</v>
      </c>
      <c r="G957" s="281">
        <v>7</v>
      </c>
      <c r="H957" s="260">
        <v>6481</v>
      </c>
      <c r="I957" s="260">
        <v>45370</v>
      </c>
      <c r="J957" s="260">
        <v>0</v>
      </c>
      <c r="K957" s="260">
        <v>45370</v>
      </c>
      <c r="L957" s="260">
        <v>3630</v>
      </c>
      <c r="M957" s="260">
        <v>49000</v>
      </c>
      <c r="N957" s="119">
        <v>2.8999999999999998E-3</v>
      </c>
      <c r="O957" s="462" t="s">
        <v>934</v>
      </c>
    </row>
    <row r="958" spans="1:15" ht="18" customHeight="1" x14ac:dyDescent="0.25">
      <c r="A958" s="116">
        <v>13</v>
      </c>
      <c r="B958" s="117" t="s">
        <v>112</v>
      </c>
      <c r="C958" s="116">
        <v>94</v>
      </c>
      <c r="D958" s="120" t="s">
        <v>89</v>
      </c>
      <c r="E958" s="120" t="s">
        <v>150</v>
      </c>
      <c r="F958" s="117" t="s">
        <v>933</v>
      </c>
      <c r="G958" s="281">
        <v>2</v>
      </c>
      <c r="H958" s="260">
        <v>18519</v>
      </c>
      <c r="I958" s="260">
        <v>37037</v>
      </c>
      <c r="J958" s="260">
        <v>0</v>
      </c>
      <c r="K958" s="260">
        <v>37037</v>
      </c>
      <c r="L958" s="260">
        <v>2963</v>
      </c>
      <c r="M958" s="260">
        <v>40000</v>
      </c>
      <c r="N958" s="119">
        <v>2.3E-3</v>
      </c>
      <c r="O958" s="462" t="s">
        <v>934</v>
      </c>
    </row>
    <row r="959" spans="1:15" ht="18" customHeight="1" x14ac:dyDescent="0.25">
      <c r="A959" s="116">
        <v>13</v>
      </c>
      <c r="B959" s="117" t="s">
        <v>112</v>
      </c>
      <c r="C959" s="116">
        <v>233</v>
      </c>
      <c r="D959" s="120" t="s">
        <v>89</v>
      </c>
      <c r="E959" s="120" t="s">
        <v>117</v>
      </c>
      <c r="F959" s="117" t="s">
        <v>933</v>
      </c>
      <c r="G959" s="281">
        <v>1</v>
      </c>
      <c r="H959" s="260">
        <v>18519</v>
      </c>
      <c r="I959" s="260">
        <v>18519</v>
      </c>
      <c r="J959" s="260">
        <v>0</v>
      </c>
      <c r="K959" s="260">
        <v>18519</v>
      </c>
      <c r="L959" s="260">
        <v>1481</v>
      </c>
      <c r="M959" s="260">
        <v>20000</v>
      </c>
      <c r="N959" s="119">
        <v>1.1999999999999999E-3</v>
      </c>
      <c r="O959" s="462" t="s">
        <v>934</v>
      </c>
    </row>
    <row r="960" spans="1:15" ht="18" customHeight="1" x14ac:dyDescent="0.25">
      <c r="A960" s="116">
        <v>13</v>
      </c>
      <c r="B960" s="117" t="s">
        <v>112</v>
      </c>
      <c r="C960" s="116">
        <v>217</v>
      </c>
      <c r="D960" s="120" t="s">
        <v>89</v>
      </c>
      <c r="E960" s="120" t="s">
        <v>953</v>
      </c>
      <c r="F960" s="117" t="s">
        <v>933</v>
      </c>
      <c r="G960" s="281">
        <v>1</v>
      </c>
      <c r="H960" s="260">
        <v>27778</v>
      </c>
      <c r="I960" s="260">
        <v>27778</v>
      </c>
      <c r="J960" s="260">
        <v>0</v>
      </c>
      <c r="K960" s="260">
        <v>27778</v>
      </c>
      <c r="L960" s="260">
        <v>2222</v>
      </c>
      <c r="M960" s="260">
        <v>30000</v>
      </c>
      <c r="N960" s="119">
        <v>1.8E-3</v>
      </c>
      <c r="O960" s="462" t="s">
        <v>934</v>
      </c>
    </row>
    <row r="961" spans="1:15" ht="18" customHeight="1" x14ac:dyDescent="0.25">
      <c r="A961" s="116">
        <v>13</v>
      </c>
      <c r="B961" s="117" t="s">
        <v>112</v>
      </c>
      <c r="C961" s="116">
        <v>34</v>
      </c>
      <c r="D961" s="120" t="s">
        <v>91</v>
      </c>
      <c r="E961" s="120" t="s">
        <v>955</v>
      </c>
      <c r="F961" s="117" t="s">
        <v>933</v>
      </c>
      <c r="G961" s="281">
        <v>10</v>
      </c>
      <c r="H961" s="260">
        <v>6481</v>
      </c>
      <c r="I961" s="260">
        <v>64815</v>
      </c>
      <c r="J961" s="260">
        <v>0</v>
      </c>
      <c r="K961" s="260">
        <v>64815</v>
      </c>
      <c r="L961" s="260">
        <v>5185</v>
      </c>
      <c r="M961" s="260">
        <v>70000</v>
      </c>
      <c r="N961" s="119">
        <v>4.0999999999999986E-3</v>
      </c>
      <c r="O961" s="462" t="s">
        <v>934</v>
      </c>
    </row>
    <row r="962" spans="1:15" ht="18" customHeight="1" x14ac:dyDescent="0.25">
      <c r="A962" s="116">
        <v>13</v>
      </c>
      <c r="B962" s="117" t="s">
        <v>112</v>
      </c>
      <c r="C962" s="116">
        <v>66</v>
      </c>
      <c r="D962" s="120" t="s">
        <v>91</v>
      </c>
      <c r="E962" s="120" t="s">
        <v>1035</v>
      </c>
      <c r="F962" s="117" t="s">
        <v>933</v>
      </c>
      <c r="G962" s="281">
        <v>2</v>
      </c>
      <c r="H962" s="260">
        <v>11574</v>
      </c>
      <c r="I962" s="260">
        <v>23148</v>
      </c>
      <c r="J962" s="260">
        <v>0</v>
      </c>
      <c r="K962" s="260">
        <v>23148</v>
      </c>
      <c r="L962" s="260">
        <v>1852</v>
      </c>
      <c r="M962" s="260">
        <v>25000</v>
      </c>
      <c r="N962" s="119">
        <v>1.5E-3</v>
      </c>
      <c r="O962" s="462" t="s">
        <v>934</v>
      </c>
    </row>
    <row r="963" spans="1:15" ht="18" customHeight="1" x14ac:dyDescent="0.25">
      <c r="A963" s="116">
        <v>13</v>
      </c>
      <c r="B963" s="117" t="s">
        <v>112</v>
      </c>
      <c r="C963" s="116">
        <v>121</v>
      </c>
      <c r="D963" s="120" t="s">
        <v>91</v>
      </c>
      <c r="E963" s="120" t="s">
        <v>956</v>
      </c>
      <c r="F963" s="117" t="s">
        <v>933</v>
      </c>
      <c r="G963" s="281">
        <v>19</v>
      </c>
      <c r="H963" s="260">
        <v>2778</v>
      </c>
      <c r="I963" s="260">
        <v>52778</v>
      </c>
      <c r="J963" s="260">
        <v>0</v>
      </c>
      <c r="K963" s="260">
        <v>52778</v>
      </c>
      <c r="L963" s="260">
        <v>4222</v>
      </c>
      <c r="M963" s="260">
        <v>57000</v>
      </c>
      <c r="N963" s="119">
        <v>3.3E-3</v>
      </c>
      <c r="O963" s="462" t="s">
        <v>934</v>
      </c>
    </row>
    <row r="964" spans="1:15" ht="18" customHeight="1" x14ac:dyDescent="0.25">
      <c r="A964" s="116">
        <v>13</v>
      </c>
      <c r="B964" s="117" t="s">
        <v>112</v>
      </c>
      <c r="C964" s="116">
        <v>208</v>
      </c>
      <c r="D964" s="120" t="s">
        <v>91</v>
      </c>
      <c r="E964" s="120" t="s">
        <v>957</v>
      </c>
      <c r="F964" s="117" t="s">
        <v>933</v>
      </c>
      <c r="G964" s="281">
        <v>26</v>
      </c>
      <c r="H964" s="260">
        <v>3704</v>
      </c>
      <c r="I964" s="260">
        <v>96296</v>
      </c>
      <c r="J964" s="260">
        <v>0</v>
      </c>
      <c r="K964" s="260">
        <v>96296</v>
      </c>
      <c r="L964" s="260">
        <v>7704</v>
      </c>
      <c r="M964" s="260">
        <v>104000</v>
      </c>
      <c r="N964" s="119">
        <v>6.1000000000000004E-3</v>
      </c>
      <c r="O964" s="462" t="s">
        <v>934</v>
      </c>
    </row>
    <row r="965" spans="1:15" ht="18" customHeight="1" x14ac:dyDescent="0.25">
      <c r="A965" s="116">
        <v>13</v>
      </c>
      <c r="B965" s="117" t="s">
        <v>112</v>
      </c>
      <c r="C965" s="116">
        <v>90</v>
      </c>
      <c r="D965" s="120" t="s">
        <v>91</v>
      </c>
      <c r="E965" s="120" t="s">
        <v>487</v>
      </c>
      <c r="F965" s="117" t="s">
        <v>933</v>
      </c>
      <c r="G965" s="281">
        <v>2</v>
      </c>
      <c r="H965" s="260">
        <v>4259</v>
      </c>
      <c r="I965" s="260">
        <v>8519</v>
      </c>
      <c r="J965" s="260">
        <v>0</v>
      </c>
      <c r="K965" s="260">
        <v>8519</v>
      </c>
      <c r="L965" s="260">
        <v>681</v>
      </c>
      <c r="M965" s="260">
        <v>9200</v>
      </c>
      <c r="N965" s="119">
        <v>5.0000000000000001E-4</v>
      </c>
      <c r="O965" s="462" t="s">
        <v>934</v>
      </c>
    </row>
    <row r="966" spans="1:15" ht="18" customHeight="1" x14ac:dyDescent="0.25">
      <c r="A966" s="116">
        <v>13</v>
      </c>
      <c r="B966" s="117" t="s">
        <v>112</v>
      </c>
      <c r="C966" s="116">
        <v>123</v>
      </c>
      <c r="D966" s="120" t="s">
        <v>91</v>
      </c>
      <c r="E966" s="120" t="s">
        <v>958</v>
      </c>
      <c r="F966" s="117" t="s">
        <v>933</v>
      </c>
      <c r="G966" s="281">
        <v>9</v>
      </c>
      <c r="H966" s="260">
        <v>2778</v>
      </c>
      <c r="I966" s="260">
        <v>25000</v>
      </c>
      <c r="J966" s="260">
        <v>0</v>
      </c>
      <c r="K966" s="260">
        <v>25000</v>
      </c>
      <c r="L966" s="260">
        <v>2000</v>
      </c>
      <c r="M966" s="260">
        <v>27000</v>
      </c>
      <c r="N966" s="119">
        <v>1.6000000000000001E-3</v>
      </c>
      <c r="O966" s="462" t="s">
        <v>934</v>
      </c>
    </row>
    <row r="967" spans="1:15" ht="18" customHeight="1" x14ac:dyDescent="0.25">
      <c r="A967" s="116">
        <v>13</v>
      </c>
      <c r="B967" s="117" t="s">
        <v>112</v>
      </c>
      <c r="C967" s="116">
        <v>314</v>
      </c>
      <c r="D967" s="120" t="s">
        <v>87</v>
      </c>
      <c r="E967" s="120" t="s">
        <v>999</v>
      </c>
      <c r="F967" s="117" t="s">
        <v>933</v>
      </c>
      <c r="G967" s="281">
        <v>4</v>
      </c>
      <c r="H967" s="260">
        <v>4167</v>
      </c>
      <c r="I967" s="260">
        <v>16667</v>
      </c>
      <c r="J967" s="260">
        <v>0</v>
      </c>
      <c r="K967" s="260">
        <v>16667</v>
      </c>
      <c r="L967" s="260">
        <v>1333</v>
      </c>
      <c r="M967" s="260">
        <v>18000</v>
      </c>
      <c r="N967" s="119">
        <v>1.1000000000000001E-3</v>
      </c>
      <c r="O967" s="462" t="s">
        <v>934</v>
      </c>
    </row>
    <row r="968" spans="1:15" ht="18" customHeight="1" x14ac:dyDescent="0.25">
      <c r="A968" s="116">
        <v>13</v>
      </c>
      <c r="B968" s="117" t="s">
        <v>112</v>
      </c>
      <c r="C968" s="116">
        <v>31</v>
      </c>
      <c r="D968" s="120" t="s">
        <v>95</v>
      </c>
      <c r="E968" s="120" t="s">
        <v>959</v>
      </c>
      <c r="F968" s="117" t="s">
        <v>933</v>
      </c>
      <c r="G968" s="281">
        <v>3</v>
      </c>
      <c r="H968" s="260">
        <v>1204</v>
      </c>
      <c r="I968" s="260">
        <v>3611</v>
      </c>
      <c r="J968" s="260">
        <v>0</v>
      </c>
      <c r="K968" s="260">
        <v>3611</v>
      </c>
      <c r="L968" s="260">
        <v>289</v>
      </c>
      <c r="M968" s="260">
        <v>3900</v>
      </c>
      <c r="N968" s="119">
        <v>2.0000000000000001E-4</v>
      </c>
      <c r="O968" s="462" t="s">
        <v>934</v>
      </c>
    </row>
    <row r="969" spans="1:15" ht="18" customHeight="1" x14ac:dyDescent="0.25">
      <c r="A969" s="116">
        <v>13</v>
      </c>
      <c r="B969" s="117" t="s">
        <v>112</v>
      </c>
      <c r="C969" s="116">
        <v>201</v>
      </c>
      <c r="D969" s="120" t="s">
        <v>91</v>
      </c>
      <c r="E969" s="120" t="s">
        <v>1036</v>
      </c>
      <c r="F969" s="117" t="s">
        <v>933</v>
      </c>
      <c r="G969" s="281">
        <v>1</v>
      </c>
      <c r="H969" s="260">
        <v>18519</v>
      </c>
      <c r="I969" s="260">
        <v>18519</v>
      </c>
      <c r="J969" s="260">
        <v>0</v>
      </c>
      <c r="K969" s="260">
        <v>18519</v>
      </c>
      <c r="L969" s="260">
        <v>1481</v>
      </c>
      <c r="M969" s="260">
        <v>20000</v>
      </c>
      <c r="N969" s="119">
        <v>1.1999999999999999E-3</v>
      </c>
      <c r="O969" s="462" t="s">
        <v>934</v>
      </c>
    </row>
    <row r="970" spans="1:15" ht="18" customHeight="1" x14ac:dyDescent="0.25">
      <c r="A970" s="116">
        <v>13</v>
      </c>
      <c r="B970" s="117" t="s">
        <v>112</v>
      </c>
      <c r="C970" s="116">
        <v>202</v>
      </c>
      <c r="D970" s="120" t="s">
        <v>91</v>
      </c>
      <c r="E970" s="120" t="s">
        <v>1037</v>
      </c>
      <c r="F970" s="117" t="s">
        <v>933</v>
      </c>
      <c r="G970" s="281">
        <v>1</v>
      </c>
      <c r="H970" s="260">
        <v>32407</v>
      </c>
      <c r="I970" s="260">
        <v>32407</v>
      </c>
      <c r="J970" s="260">
        <v>0</v>
      </c>
      <c r="K970" s="260">
        <v>32407</v>
      </c>
      <c r="L970" s="260">
        <v>2593</v>
      </c>
      <c r="M970" s="260">
        <v>35000</v>
      </c>
      <c r="N970" s="119">
        <v>2.0999999999999999E-3</v>
      </c>
      <c r="O970" s="462" t="s">
        <v>934</v>
      </c>
    </row>
    <row r="971" spans="1:15" ht="18" customHeight="1" x14ac:dyDescent="0.25">
      <c r="A971" s="116">
        <v>13</v>
      </c>
      <c r="B971" s="117" t="s">
        <v>112</v>
      </c>
      <c r="C971" s="116">
        <v>212</v>
      </c>
      <c r="D971" s="120" t="s">
        <v>91</v>
      </c>
      <c r="E971" s="120" t="s">
        <v>165</v>
      </c>
      <c r="F971" s="117" t="s">
        <v>933</v>
      </c>
      <c r="G971" s="281">
        <v>17</v>
      </c>
      <c r="H971" s="260">
        <v>22222</v>
      </c>
      <c r="I971" s="260">
        <v>377778</v>
      </c>
      <c r="J971" s="260">
        <v>0</v>
      </c>
      <c r="K971" s="260">
        <v>377778</v>
      </c>
      <c r="L971" s="260">
        <v>30222</v>
      </c>
      <c r="M971" s="260">
        <v>408000</v>
      </c>
      <c r="N971" s="119">
        <v>2.4E-2</v>
      </c>
      <c r="O971" s="462" t="s">
        <v>934</v>
      </c>
    </row>
    <row r="972" spans="1:15" ht="18" customHeight="1" x14ac:dyDescent="0.25">
      <c r="A972" s="116">
        <v>13</v>
      </c>
      <c r="B972" s="117" t="s">
        <v>112</v>
      </c>
      <c r="C972" s="116">
        <v>74</v>
      </c>
      <c r="D972" s="120" t="s">
        <v>91</v>
      </c>
      <c r="E972" s="120" t="s">
        <v>1000</v>
      </c>
      <c r="F972" s="117" t="s">
        <v>933</v>
      </c>
      <c r="G972" s="281">
        <v>11</v>
      </c>
      <c r="H972" s="260">
        <v>6481</v>
      </c>
      <c r="I972" s="260">
        <v>71296</v>
      </c>
      <c r="J972" s="260">
        <v>0</v>
      </c>
      <c r="K972" s="260">
        <v>71296</v>
      </c>
      <c r="L972" s="260">
        <v>5704</v>
      </c>
      <c r="M972" s="260">
        <v>77000</v>
      </c>
      <c r="N972" s="119">
        <v>4.5000000000000014E-3</v>
      </c>
      <c r="O972" s="462" t="s">
        <v>934</v>
      </c>
    </row>
    <row r="973" spans="1:15" ht="18" customHeight="1" x14ac:dyDescent="0.25">
      <c r="A973" s="116">
        <v>13</v>
      </c>
      <c r="B973" s="117" t="s">
        <v>112</v>
      </c>
      <c r="C973" s="116">
        <v>306</v>
      </c>
      <c r="D973" s="120" t="s">
        <v>91</v>
      </c>
      <c r="E973" s="120" t="s">
        <v>1025</v>
      </c>
      <c r="F973" s="117" t="s">
        <v>933</v>
      </c>
      <c r="G973" s="281">
        <v>2</v>
      </c>
      <c r="H973" s="260">
        <v>2315</v>
      </c>
      <c r="I973" s="260">
        <v>4630</v>
      </c>
      <c r="J973" s="260">
        <v>0</v>
      </c>
      <c r="K973" s="260">
        <v>4630</v>
      </c>
      <c r="L973" s="260">
        <v>370</v>
      </c>
      <c r="M973" s="260">
        <v>5000</v>
      </c>
      <c r="N973" s="119">
        <v>2.9999999999999997E-4</v>
      </c>
      <c r="O973" s="462" t="s">
        <v>934</v>
      </c>
    </row>
    <row r="974" spans="1:15" ht="18" customHeight="1" x14ac:dyDescent="0.25">
      <c r="A974" s="116">
        <v>13</v>
      </c>
      <c r="B974" s="117" t="s">
        <v>112</v>
      </c>
      <c r="C974" s="116">
        <v>235</v>
      </c>
      <c r="D974" s="120" t="s">
        <v>91</v>
      </c>
      <c r="E974" s="120" t="s">
        <v>1001</v>
      </c>
      <c r="F974" s="117" t="s">
        <v>933</v>
      </c>
      <c r="G974" s="281">
        <v>1</v>
      </c>
      <c r="H974" s="260">
        <v>3426</v>
      </c>
      <c r="I974" s="260">
        <v>3426</v>
      </c>
      <c r="J974" s="260">
        <v>0</v>
      </c>
      <c r="K974" s="260">
        <v>3426</v>
      </c>
      <c r="L974" s="260">
        <v>274</v>
      </c>
      <c r="M974" s="260">
        <v>3700</v>
      </c>
      <c r="N974" s="119">
        <v>2.0000000000000001E-4</v>
      </c>
      <c r="O974" s="462" t="s">
        <v>934</v>
      </c>
    </row>
    <row r="975" spans="1:15" ht="18" customHeight="1" x14ac:dyDescent="0.25">
      <c r="A975" s="116">
        <v>13</v>
      </c>
      <c r="B975" s="117" t="s">
        <v>112</v>
      </c>
      <c r="C975" s="116">
        <v>134</v>
      </c>
      <c r="D975" s="120" t="s">
        <v>91</v>
      </c>
      <c r="E975" s="120" t="s">
        <v>1017</v>
      </c>
      <c r="F975" s="117" t="s">
        <v>933</v>
      </c>
      <c r="G975" s="281">
        <v>4</v>
      </c>
      <c r="H975" s="260">
        <v>12963</v>
      </c>
      <c r="I975" s="260">
        <v>51852</v>
      </c>
      <c r="J975" s="260">
        <v>0</v>
      </c>
      <c r="K975" s="260">
        <v>51852</v>
      </c>
      <c r="L975" s="260">
        <v>4148</v>
      </c>
      <c r="M975" s="260">
        <v>56000</v>
      </c>
      <c r="N975" s="119">
        <v>3.3E-3</v>
      </c>
      <c r="O975" s="462" t="s">
        <v>934</v>
      </c>
    </row>
    <row r="976" spans="1:15" ht="18" customHeight="1" x14ac:dyDescent="0.25">
      <c r="A976" s="116">
        <v>13</v>
      </c>
      <c r="B976" s="117" t="s">
        <v>112</v>
      </c>
      <c r="C976" s="116">
        <v>501</v>
      </c>
      <c r="D976" s="120" t="s">
        <v>91</v>
      </c>
      <c r="E976" s="120" t="s">
        <v>960</v>
      </c>
      <c r="F976" s="117" t="s">
        <v>933</v>
      </c>
      <c r="G976" s="281">
        <v>2</v>
      </c>
      <c r="H976" s="260">
        <v>22222</v>
      </c>
      <c r="I976" s="260">
        <v>44444</v>
      </c>
      <c r="J976" s="260">
        <v>0</v>
      </c>
      <c r="K976" s="260">
        <v>44444</v>
      </c>
      <c r="L976" s="260">
        <v>3556</v>
      </c>
      <c r="M976" s="260">
        <v>48000</v>
      </c>
      <c r="N976" s="119">
        <v>2.8E-3</v>
      </c>
      <c r="O976" s="462" t="s">
        <v>934</v>
      </c>
    </row>
    <row r="977" spans="1:15" ht="18" customHeight="1" x14ac:dyDescent="0.25">
      <c r="A977" s="116">
        <v>13</v>
      </c>
      <c r="B977" s="117" t="s">
        <v>112</v>
      </c>
      <c r="C977" s="116">
        <v>75</v>
      </c>
      <c r="D977" s="120" t="s">
        <v>91</v>
      </c>
      <c r="E977" s="120" t="s">
        <v>961</v>
      </c>
      <c r="F977" s="117" t="s">
        <v>933</v>
      </c>
      <c r="G977" s="281">
        <v>3</v>
      </c>
      <c r="H977" s="260">
        <v>9259</v>
      </c>
      <c r="I977" s="260">
        <v>27778</v>
      </c>
      <c r="J977" s="260">
        <v>0</v>
      </c>
      <c r="K977" s="260">
        <v>27778</v>
      </c>
      <c r="L977" s="260">
        <v>2222</v>
      </c>
      <c r="M977" s="260">
        <v>30000</v>
      </c>
      <c r="N977" s="119">
        <v>1.8E-3</v>
      </c>
      <c r="O977" s="462" t="s">
        <v>934</v>
      </c>
    </row>
    <row r="978" spans="1:15" ht="18" customHeight="1" x14ac:dyDescent="0.25">
      <c r="A978" s="116">
        <v>13</v>
      </c>
      <c r="B978" s="117" t="s">
        <v>112</v>
      </c>
      <c r="C978" s="116">
        <v>51</v>
      </c>
      <c r="D978" s="120" t="s">
        <v>87</v>
      </c>
      <c r="E978" s="120" t="s">
        <v>1038</v>
      </c>
      <c r="F978" s="117" t="s">
        <v>933</v>
      </c>
      <c r="G978" s="281">
        <v>7</v>
      </c>
      <c r="H978" s="260">
        <v>29167</v>
      </c>
      <c r="I978" s="260">
        <v>204167</v>
      </c>
      <c r="J978" s="260">
        <v>0</v>
      </c>
      <c r="K978" s="260">
        <v>204167</v>
      </c>
      <c r="L978" s="260">
        <v>16333</v>
      </c>
      <c r="M978" s="260">
        <v>220500</v>
      </c>
      <c r="N978" s="119">
        <v>1.29E-2</v>
      </c>
      <c r="O978" s="462" t="s">
        <v>934</v>
      </c>
    </row>
    <row r="979" spans="1:15" ht="18" customHeight="1" x14ac:dyDescent="0.25">
      <c r="A979" s="116">
        <v>13</v>
      </c>
      <c r="B979" s="117" t="s">
        <v>112</v>
      </c>
      <c r="C979" s="116">
        <v>88</v>
      </c>
      <c r="D979" s="120" t="s">
        <v>87</v>
      </c>
      <c r="E979" s="120" t="s">
        <v>129</v>
      </c>
      <c r="F979" s="117" t="s">
        <v>933</v>
      </c>
      <c r="G979" s="281">
        <v>28</v>
      </c>
      <c r="H979" s="260">
        <v>32870</v>
      </c>
      <c r="I979" s="260">
        <v>920370</v>
      </c>
      <c r="J979" s="260">
        <v>0</v>
      </c>
      <c r="K979" s="260">
        <v>920370</v>
      </c>
      <c r="L979" s="260">
        <v>73630</v>
      </c>
      <c r="M979" s="260">
        <v>994000</v>
      </c>
      <c r="N979" s="119">
        <v>5.8400000000000001E-2</v>
      </c>
      <c r="O979" s="462" t="s">
        <v>934</v>
      </c>
    </row>
    <row r="980" spans="1:15" ht="18" customHeight="1" x14ac:dyDescent="0.25">
      <c r="A980" s="116">
        <v>13</v>
      </c>
      <c r="B980" s="117" t="s">
        <v>112</v>
      </c>
      <c r="C980" s="116">
        <v>118</v>
      </c>
      <c r="D980" s="120" t="s">
        <v>87</v>
      </c>
      <c r="E980" s="120" t="s">
        <v>126</v>
      </c>
      <c r="F980" s="117" t="s">
        <v>933</v>
      </c>
      <c r="G980" s="281">
        <v>12</v>
      </c>
      <c r="H980" s="260">
        <v>41667</v>
      </c>
      <c r="I980" s="260">
        <v>500000</v>
      </c>
      <c r="J980" s="260">
        <v>0</v>
      </c>
      <c r="K980" s="260">
        <v>500000</v>
      </c>
      <c r="L980" s="260">
        <v>40000</v>
      </c>
      <c r="M980" s="260">
        <v>540000</v>
      </c>
      <c r="N980" s="119">
        <v>3.1699999999999999E-2</v>
      </c>
      <c r="O980" s="462" t="s">
        <v>934</v>
      </c>
    </row>
    <row r="981" spans="1:15" ht="18" customHeight="1" x14ac:dyDescent="0.25">
      <c r="A981" s="116">
        <v>13</v>
      </c>
      <c r="B981" s="117" t="s">
        <v>112</v>
      </c>
      <c r="C981" s="116">
        <v>205</v>
      </c>
      <c r="D981" s="120" t="s">
        <v>91</v>
      </c>
      <c r="E981" s="120" t="s">
        <v>1002</v>
      </c>
      <c r="F981" s="117" t="s">
        <v>933</v>
      </c>
      <c r="G981" s="281">
        <v>2</v>
      </c>
      <c r="H981" s="260">
        <v>12037</v>
      </c>
      <c r="I981" s="260">
        <v>24074</v>
      </c>
      <c r="J981" s="260">
        <v>0</v>
      </c>
      <c r="K981" s="260">
        <v>24074</v>
      </c>
      <c r="L981" s="260">
        <v>1926</v>
      </c>
      <c r="M981" s="260">
        <v>26000</v>
      </c>
      <c r="N981" s="119">
        <v>1.5E-3</v>
      </c>
      <c r="O981" s="462" t="s">
        <v>934</v>
      </c>
    </row>
    <row r="982" spans="1:15" ht="18" customHeight="1" x14ac:dyDescent="0.25">
      <c r="A982" s="116">
        <v>13</v>
      </c>
      <c r="B982" s="117" t="s">
        <v>112</v>
      </c>
      <c r="C982" s="116">
        <v>204</v>
      </c>
      <c r="D982" s="120" t="s">
        <v>91</v>
      </c>
      <c r="E982" s="120" t="s">
        <v>962</v>
      </c>
      <c r="F982" s="117" t="s">
        <v>933</v>
      </c>
      <c r="G982" s="281">
        <v>2</v>
      </c>
      <c r="H982" s="260">
        <v>12037</v>
      </c>
      <c r="I982" s="260">
        <v>24074</v>
      </c>
      <c r="J982" s="260">
        <v>0</v>
      </c>
      <c r="K982" s="260">
        <v>24074</v>
      </c>
      <c r="L982" s="260">
        <v>1926</v>
      </c>
      <c r="M982" s="260">
        <v>26000</v>
      </c>
      <c r="N982" s="119">
        <v>1.5E-3</v>
      </c>
      <c r="O982" s="462" t="s">
        <v>934</v>
      </c>
    </row>
    <row r="983" spans="1:15" ht="18" customHeight="1" x14ac:dyDescent="0.25">
      <c r="A983" s="116">
        <v>13</v>
      </c>
      <c r="B983" s="117" t="s">
        <v>112</v>
      </c>
      <c r="C983" s="116">
        <v>109</v>
      </c>
      <c r="D983" s="120" t="s">
        <v>91</v>
      </c>
      <c r="E983" s="120" t="s">
        <v>147</v>
      </c>
      <c r="F983" s="117" t="s">
        <v>933</v>
      </c>
      <c r="G983" s="281">
        <v>42</v>
      </c>
      <c r="H983" s="260">
        <v>12963</v>
      </c>
      <c r="I983" s="260">
        <v>544444</v>
      </c>
      <c r="J983" s="260">
        <v>0</v>
      </c>
      <c r="K983" s="260">
        <v>544444</v>
      </c>
      <c r="L983" s="260">
        <v>43556</v>
      </c>
      <c r="M983" s="260">
        <v>588000</v>
      </c>
      <c r="N983" s="119">
        <v>3.4500000000000003E-2</v>
      </c>
      <c r="O983" s="462" t="s">
        <v>934</v>
      </c>
    </row>
    <row r="984" spans="1:15" ht="18" customHeight="1" x14ac:dyDescent="0.25">
      <c r="A984" s="116">
        <v>13</v>
      </c>
      <c r="B984" s="117" t="s">
        <v>112</v>
      </c>
      <c r="C984" s="116">
        <v>147</v>
      </c>
      <c r="D984" s="120" t="s">
        <v>91</v>
      </c>
      <c r="E984" s="120" t="s">
        <v>963</v>
      </c>
      <c r="F984" s="117" t="s">
        <v>933</v>
      </c>
      <c r="G984" s="281">
        <v>8</v>
      </c>
      <c r="H984" s="260">
        <v>6481</v>
      </c>
      <c r="I984" s="260">
        <v>51852</v>
      </c>
      <c r="J984" s="260">
        <v>0</v>
      </c>
      <c r="K984" s="260">
        <v>51852</v>
      </c>
      <c r="L984" s="260">
        <v>4148</v>
      </c>
      <c r="M984" s="260">
        <v>56000</v>
      </c>
      <c r="N984" s="119">
        <v>3.3E-3</v>
      </c>
      <c r="O984" s="462" t="s">
        <v>934</v>
      </c>
    </row>
    <row r="985" spans="1:15" ht="18" customHeight="1" x14ac:dyDescent="0.25">
      <c r="A985" s="116">
        <v>13</v>
      </c>
      <c r="B985" s="117" t="s">
        <v>112</v>
      </c>
      <c r="C985" s="116">
        <v>46</v>
      </c>
      <c r="D985" s="120" t="s">
        <v>87</v>
      </c>
      <c r="E985" s="120" t="s">
        <v>964</v>
      </c>
      <c r="F985" s="117" t="s">
        <v>933</v>
      </c>
      <c r="G985" s="281">
        <v>1</v>
      </c>
      <c r="H985" s="260">
        <v>35648</v>
      </c>
      <c r="I985" s="260">
        <v>35648</v>
      </c>
      <c r="J985" s="260">
        <v>0</v>
      </c>
      <c r="K985" s="260">
        <v>35648</v>
      </c>
      <c r="L985" s="260">
        <v>2852</v>
      </c>
      <c r="M985" s="260">
        <v>38500</v>
      </c>
      <c r="N985" s="119">
        <v>2.3E-3</v>
      </c>
      <c r="O985" s="462" t="s">
        <v>934</v>
      </c>
    </row>
    <row r="986" spans="1:15" ht="18" customHeight="1" x14ac:dyDescent="0.25">
      <c r="A986" s="116">
        <v>13</v>
      </c>
      <c r="B986" s="117" t="s">
        <v>112</v>
      </c>
      <c r="C986" s="116">
        <v>72</v>
      </c>
      <c r="D986" s="120" t="s">
        <v>97</v>
      </c>
      <c r="E986" s="120" t="s">
        <v>965</v>
      </c>
      <c r="F986" s="117" t="s">
        <v>933</v>
      </c>
      <c r="G986" s="281">
        <v>19</v>
      </c>
      <c r="H986" s="260">
        <v>3704</v>
      </c>
      <c r="I986" s="260">
        <v>70370</v>
      </c>
      <c r="J986" s="260">
        <v>0</v>
      </c>
      <c r="K986" s="260">
        <v>70370</v>
      </c>
      <c r="L986" s="260">
        <v>5630</v>
      </c>
      <c r="M986" s="260">
        <v>76000</v>
      </c>
      <c r="N986" s="119">
        <v>4.5000000000000014E-3</v>
      </c>
      <c r="O986" s="462" t="s">
        <v>934</v>
      </c>
    </row>
    <row r="987" spans="1:15" ht="18" customHeight="1" x14ac:dyDescent="0.25">
      <c r="A987" s="116">
        <v>13</v>
      </c>
      <c r="B987" s="117" t="s">
        <v>112</v>
      </c>
      <c r="C987" s="116">
        <v>112</v>
      </c>
      <c r="D987" s="120" t="s">
        <v>87</v>
      </c>
      <c r="E987" s="120" t="s">
        <v>966</v>
      </c>
      <c r="F987" s="117" t="s">
        <v>933</v>
      </c>
      <c r="G987" s="281">
        <v>6</v>
      </c>
      <c r="H987" s="260">
        <v>41667</v>
      </c>
      <c r="I987" s="260">
        <v>250000</v>
      </c>
      <c r="J987" s="260">
        <v>0</v>
      </c>
      <c r="K987" s="260">
        <v>250000</v>
      </c>
      <c r="L987" s="260">
        <v>20000</v>
      </c>
      <c r="M987" s="260">
        <v>270000</v>
      </c>
      <c r="N987" s="119">
        <v>1.5900000000000001E-2</v>
      </c>
      <c r="O987" s="462" t="s">
        <v>934</v>
      </c>
    </row>
    <row r="988" spans="1:15" ht="18" customHeight="1" x14ac:dyDescent="0.25">
      <c r="A988" s="116">
        <v>13</v>
      </c>
      <c r="B988" s="117" t="s">
        <v>112</v>
      </c>
      <c r="C988" s="116">
        <v>227</v>
      </c>
      <c r="D988" s="120" t="s">
        <v>87</v>
      </c>
      <c r="E988" s="120" t="s">
        <v>1018</v>
      </c>
      <c r="F988" s="117" t="s">
        <v>933</v>
      </c>
      <c r="G988" s="281">
        <v>11</v>
      </c>
      <c r="H988" s="260">
        <v>1389</v>
      </c>
      <c r="I988" s="260">
        <v>15278</v>
      </c>
      <c r="J988" s="260">
        <v>0</v>
      </c>
      <c r="K988" s="260">
        <v>15278</v>
      </c>
      <c r="L988" s="260">
        <v>1222</v>
      </c>
      <c r="M988" s="260">
        <v>16500</v>
      </c>
      <c r="N988" s="119">
        <v>1E-3</v>
      </c>
      <c r="O988" s="462" t="s">
        <v>934</v>
      </c>
    </row>
    <row r="989" spans="1:15" ht="18" customHeight="1" x14ac:dyDescent="0.25">
      <c r="A989" s="116">
        <v>13</v>
      </c>
      <c r="B989" s="117" t="s">
        <v>112</v>
      </c>
      <c r="C989" s="116">
        <v>119</v>
      </c>
      <c r="D989" s="120" t="s">
        <v>89</v>
      </c>
      <c r="E989" s="120" t="s">
        <v>114</v>
      </c>
      <c r="F989" s="117" t="s">
        <v>933</v>
      </c>
      <c r="G989" s="281">
        <v>31</v>
      </c>
      <c r="H989" s="260">
        <v>44444</v>
      </c>
      <c r="I989" s="260">
        <v>1377778</v>
      </c>
      <c r="J989" s="260">
        <v>0</v>
      </c>
      <c r="K989" s="260">
        <v>1377778</v>
      </c>
      <c r="L989" s="260">
        <v>110222</v>
      </c>
      <c r="M989" s="260">
        <v>1488000</v>
      </c>
      <c r="N989" s="119">
        <v>8.7400000000000005E-2</v>
      </c>
      <c r="O989" s="462" t="s">
        <v>934</v>
      </c>
    </row>
    <row r="990" spans="1:15" ht="18" customHeight="1" x14ac:dyDescent="0.25">
      <c r="A990" s="116">
        <v>13</v>
      </c>
      <c r="B990" s="117" t="s">
        <v>112</v>
      </c>
      <c r="C990" s="116">
        <v>21</v>
      </c>
      <c r="D990" s="120" t="s">
        <v>95</v>
      </c>
      <c r="E990" s="120" t="s">
        <v>1051</v>
      </c>
      <c r="F990" s="117" t="s">
        <v>933</v>
      </c>
      <c r="G990" s="281">
        <v>3</v>
      </c>
      <c r="H990" s="260">
        <v>7407</v>
      </c>
      <c r="I990" s="260">
        <v>22222</v>
      </c>
      <c r="J990" s="260">
        <v>0</v>
      </c>
      <c r="K990" s="260">
        <v>22222</v>
      </c>
      <c r="L990" s="260">
        <v>1778</v>
      </c>
      <c r="M990" s="260">
        <v>24000</v>
      </c>
      <c r="N990" s="119">
        <v>1.4E-3</v>
      </c>
      <c r="O990" s="462" t="s">
        <v>934</v>
      </c>
    </row>
    <row r="991" spans="1:15" ht="18" customHeight="1" x14ac:dyDescent="0.25">
      <c r="A991" s="116">
        <v>13</v>
      </c>
      <c r="B991" s="117" t="s">
        <v>112</v>
      </c>
      <c r="C991" s="116">
        <v>19</v>
      </c>
      <c r="D991" s="120" t="s">
        <v>87</v>
      </c>
      <c r="E991" s="120" t="s">
        <v>968</v>
      </c>
      <c r="F991" s="117" t="s">
        <v>933</v>
      </c>
      <c r="G991" s="281">
        <v>3</v>
      </c>
      <c r="H991" s="260">
        <v>9259</v>
      </c>
      <c r="I991" s="260">
        <v>27778</v>
      </c>
      <c r="J991" s="260">
        <v>0</v>
      </c>
      <c r="K991" s="260">
        <v>27778</v>
      </c>
      <c r="L991" s="260">
        <v>2222</v>
      </c>
      <c r="M991" s="260">
        <v>30000</v>
      </c>
      <c r="N991" s="119">
        <v>1.8E-3</v>
      </c>
      <c r="O991" s="462" t="s">
        <v>934</v>
      </c>
    </row>
    <row r="992" spans="1:15" ht="18" customHeight="1" x14ac:dyDescent="0.25">
      <c r="A992" s="116">
        <v>13</v>
      </c>
      <c r="B992" s="117" t="s">
        <v>112</v>
      </c>
      <c r="C992" s="116">
        <v>20</v>
      </c>
      <c r="D992" s="120" t="s">
        <v>87</v>
      </c>
      <c r="E992" s="120" t="s">
        <v>1019</v>
      </c>
      <c r="F992" s="117" t="s">
        <v>933</v>
      </c>
      <c r="G992" s="281">
        <v>1</v>
      </c>
      <c r="H992" s="260">
        <v>6481</v>
      </c>
      <c r="I992" s="260">
        <v>6481</v>
      </c>
      <c r="J992" s="260">
        <v>0</v>
      </c>
      <c r="K992" s="260">
        <v>6481</v>
      </c>
      <c r="L992" s="260">
        <v>519</v>
      </c>
      <c r="M992" s="260">
        <v>7000</v>
      </c>
      <c r="N992" s="119">
        <v>4.0000000000000002E-4</v>
      </c>
      <c r="O992" s="462" t="s">
        <v>934</v>
      </c>
    </row>
    <row r="993" spans="1:15" ht="18" customHeight="1" x14ac:dyDescent="0.25">
      <c r="A993" s="116">
        <v>13</v>
      </c>
      <c r="B993" s="117" t="s">
        <v>112</v>
      </c>
      <c r="C993" s="116">
        <v>48</v>
      </c>
      <c r="D993" s="120" t="s">
        <v>87</v>
      </c>
      <c r="E993" s="120" t="s">
        <v>1039</v>
      </c>
      <c r="F993" s="117" t="s">
        <v>933</v>
      </c>
      <c r="G993" s="281">
        <v>1</v>
      </c>
      <c r="H993" s="260">
        <v>129630</v>
      </c>
      <c r="I993" s="260">
        <v>129630</v>
      </c>
      <c r="J993" s="260">
        <v>0</v>
      </c>
      <c r="K993" s="260">
        <v>129630</v>
      </c>
      <c r="L993" s="260">
        <v>10370</v>
      </c>
      <c r="M993" s="260">
        <v>140000</v>
      </c>
      <c r="N993" s="119">
        <v>8.199999999999999E-3</v>
      </c>
      <c r="O993" s="462" t="s">
        <v>934</v>
      </c>
    </row>
    <row r="994" spans="1:15" ht="18" customHeight="1" x14ac:dyDescent="0.25">
      <c r="A994" s="116">
        <v>13</v>
      </c>
      <c r="B994" s="117" t="s">
        <v>112</v>
      </c>
      <c r="C994" s="116">
        <v>47</v>
      </c>
      <c r="D994" s="120" t="s">
        <v>87</v>
      </c>
      <c r="E994" s="120" t="s">
        <v>1040</v>
      </c>
      <c r="F994" s="117" t="s">
        <v>933</v>
      </c>
      <c r="G994" s="281">
        <v>1</v>
      </c>
      <c r="H994" s="260">
        <v>64815</v>
      </c>
      <c r="I994" s="260">
        <v>64815</v>
      </c>
      <c r="J994" s="260">
        <v>0</v>
      </c>
      <c r="K994" s="260">
        <v>64815</v>
      </c>
      <c r="L994" s="260">
        <v>5185</v>
      </c>
      <c r="M994" s="260">
        <v>70000</v>
      </c>
      <c r="N994" s="119">
        <v>4.0999999999999986E-3</v>
      </c>
      <c r="O994" s="462" t="s">
        <v>934</v>
      </c>
    </row>
    <row r="995" spans="1:15" ht="18" customHeight="1" x14ac:dyDescent="0.25">
      <c r="A995" s="116">
        <v>13</v>
      </c>
      <c r="B995" s="117" t="s">
        <v>112</v>
      </c>
      <c r="C995" s="116">
        <v>77</v>
      </c>
      <c r="D995" s="120" t="s">
        <v>87</v>
      </c>
      <c r="E995" s="120" t="s">
        <v>969</v>
      </c>
      <c r="F995" s="117" t="s">
        <v>933</v>
      </c>
      <c r="G995" s="281">
        <v>2</v>
      </c>
      <c r="H995" s="260">
        <v>2778</v>
      </c>
      <c r="I995" s="260">
        <v>5556</v>
      </c>
      <c r="J995" s="260">
        <v>0</v>
      </c>
      <c r="K995" s="260">
        <v>5556</v>
      </c>
      <c r="L995" s="260">
        <v>444</v>
      </c>
      <c r="M995" s="260">
        <v>6000</v>
      </c>
      <c r="N995" s="119">
        <v>4.0000000000000002E-4</v>
      </c>
      <c r="O995" s="462" t="s">
        <v>934</v>
      </c>
    </row>
    <row r="996" spans="1:15" ht="18" customHeight="1" x14ac:dyDescent="0.25">
      <c r="A996" s="116">
        <v>13</v>
      </c>
      <c r="B996" s="117" t="s">
        <v>112</v>
      </c>
      <c r="C996" s="116">
        <v>111</v>
      </c>
      <c r="D996" s="120" t="s">
        <v>87</v>
      </c>
      <c r="E996" s="120" t="s">
        <v>1041</v>
      </c>
      <c r="F996" s="117" t="s">
        <v>933</v>
      </c>
      <c r="G996" s="281">
        <v>0</v>
      </c>
      <c r="H996" s="260">
        <v>0</v>
      </c>
      <c r="I996" s="260">
        <v>0</v>
      </c>
      <c r="J996" s="260">
        <v>0</v>
      </c>
      <c r="K996" s="260">
        <v>0</v>
      </c>
      <c r="L996" s="260">
        <v>0</v>
      </c>
      <c r="M996" s="260">
        <v>0</v>
      </c>
      <c r="N996" s="119">
        <v>0</v>
      </c>
      <c r="O996" s="462" t="s">
        <v>934</v>
      </c>
    </row>
    <row r="997" spans="1:15" ht="18" customHeight="1" x14ac:dyDescent="0.25">
      <c r="A997" s="116">
        <v>13</v>
      </c>
      <c r="B997" s="117" t="s">
        <v>112</v>
      </c>
      <c r="C997" s="116">
        <v>81</v>
      </c>
      <c r="D997" s="120" t="s">
        <v>95</v>
      </c>
      <c r="E997" s="120" t="s">
        <v>971</v>
      </c>
      <c r="F997" s="117" t="s">
        <v>933</v>
      </c>
      <c r="G997" s="281">
        <v>1</v>
      </c>
      <c r="H997" s="260">
        <v>1389</v>
      </c>
      <c r="I997" s="260">
        <v>1389</v>
      </c>
      <c r="J997" s="260">
        <v>0</v>
      </c>
      <c r="K997" s="260">
        <v>1389</v>
      </c>
      <c r="L997" s="260">
        <v>111</v>
      </c>
      <c r="M997" s="260">
        <v>1500</v>
      </c>
      <c r="N997" s="119">
        <v>1E-4</v>
      </c>
      <c r="O997" s="462" t="s">
        <v>934</v>
      </c>
    </row>
    <row r="998" spans="1:15" ht="18" customHeight="1" x14ac:dyDescent="0.25">
      <c r="A998" s="116">
        <v>13</v>
      </c>
      <c r="B998" s="117" t="s">
        <v>112</v>
      </c>
      <c r="C998" s="116">
        <v>86</v>
      </c>
      <c r="D998" s="120" t="s">
        <v>95</v>
      </c>
      <c r="E998" s="120" t="s">
        <v>972</v>
      </c>
      <c r="F998" s="117" t="s">
        <v>933</v>
      </c>
      <c r="G998" s="281">
        <v>5</v>
      </c>
      <c r="H998" s="260">
        <v>3241</v>
      </c>
      <c r="I998" s="260">
        <v>16204</v>
      </c>
      <c r="J998" s="260">
        <v>0</v>
      </c>
      <c r="K998" s="260">
        <v>16204</v>
      </c>
      <c r="L998" s="260">
        <v>1296</v>
      </c>
      <c r="M998" s="260">
        <v>17500</v>
      </c>
      <c r="N998" s="119">
        <v>1E-3</v>
      </c>
      <c r="O998" s="462" t="s">
        <v>934</v>
      </c>
    </row>
    <row r="999" spans="1:15" ht="18" customHeight="1" x14ac:dyDescent="0.25">
      <c r="A999" s="116">
        <v>13</v>
      </c>
      <c r="B999" s="117" t="s">
        <v>112</v>
      </c>
      <c r="C999" s="116">
        <v>91</v>
      </c>
      <c r="D999" s="120" t="s">
        <v>95</v>
      </c>
      <c r="E999" s="120" t="s">
        <v>1042</v>
      </c>
      <c r="F999" s="117" t="s">
        <v>933</v>
      </c>
      <c r="G999" s="281">
        <v>1</v>
      </c>
      <c r="H999" s="260">
        <v>11111</v>
      </c>
      <c r="I999" s="260">
        <v>11111</v>
      </c>
      <c r="J999" s="260">
        <v>0</v>
      </c>
      <c r="K999" s="260">
        <v>11111</v>
      </c>
      <c r="L999" s="260">
        <v>889</v>
      </c>
      <c r="M999" s="260">
        <v>12000</v>
      </c>
      <c r="N999" s="119">
        <v>7.000000000000001E-4</v>
      </c>
      <c r="O999" s="462" t="s">
        <v>934</v>
      </c>
    </row>
    <row r="1000" spans="1:15" ht="18" customHeight="1" x14ac:dyDescent="0.25">
      <c r="A1000" s="116">
        <v>13</v>
      </c>
      <c r="B1000" s="117" t="s">
        <v>112</v>
      </c>
      <c r="C1000" s="116">
        <v>63</v>
      </c>
      <c r="D1000" s="120" t="s">
        <v>95</v>
      </c>
      <c r="E1000" s="120" t="s">
        <v>1031</v>
      </c>
      <c r="F1000" s="117" t="s">
        <v>933</v>
      </c>
      <c r="G1000" s="281">
        <v>1</v>
      </c>
      <c r="H1000" s="260">
        <v>3704</v>
      </c>
      <c r="I1000" s="260">
        <v>3704</v>
      </c>
      <c r="J1000" s="260">
        <v>0</v>
      </c>
      <c r="K1000" s="260">
        <v>3704</v>
      </c>
      <c r="L1000" s="260">
        <v>296</v>
      </c>
      <c r="M1000" s="260">
        <v>4000</v>
      </c>
      <c r="N1000" s="119">
        <v>2.0000000000000001E-4</v>
      </c>
      <c r="O1000" s="462" t="s">
        <v>934</v>
      </c>
    </row>
    <row r="1001" spans="1:15" ht="18" customHeight="1" x14ac:dyDescent="0.25">
      <c r="A1001" s="116">
        <v>13</v>
      </c>
      <c r="B1001" s="117" t="s">
        <v>112</v>
      </c>
      <c r="C1001" s="116">
        <v>79</v>
      </c>
      <c r="D1001" s="120" t="s">
        <v>95</v>
      </c>
      <c r="E1001" s="120" t="s">
        <v>975</v>
      </c>
      <c r="F1001" s="117" t="s">
        <v>933</v>
      </c>
      <c r="G1001" s="281">
        <v>6</v>
      </c>
      <c r="H1001" s="260">
        <v>6481</v>
      </c>
      <c r="I1001" s="260">
        <v>38889</v>
      </c>
      <c r="J1001" s="260">
        <v>0</v>
      </c>
      <c r="K1001" s="260">
        <v>38889</v>
      </c>
      <c r="L1001" s="260">
        <v>3111</v>
      </c>
      <c r="M1001" s="260">
        <v>42000</v>
      </c>
      <c r="N1001" s="119">
        <v>2.5000000000000001E-3</v>
      </c>
      <c r="O1001" s="462" t="s">
        <v>934</v>
      </c>
    </row>
    <row r="1002" spans="1:15" ht="18" customHeight="1" x14ac:dyDescent="0.25">
      <c r="A1002" s="116">
        <v>13</v>
      </c>
      <c r="B1002" s="117" t="s">
        <v>112</v>
      </c>
      <c r="C1002" s="116">
        <v>62</v>
      </c>
      <c r="D1002" s="120" t="s">
        <v>95</v>
      </c>
      <c r="E1002" s="120" t="s">
        <v>976</v>
      </c>
      <c r="F1002" s="117" t="s">
        <v>933</v>
      </c>
      <c r="G1002" s="281">
        <v>3</v>
      </c>
      <c r="H1002" s="260">
        <v>6944</v>
      </c>
      <c r="I1002" s="260">
        <v>20833</v>
      </c>
      <c r="J1002" s="260">
        <v>0</v>
      </c>
      <c r="K1002" s="260">
        <v>20833</v>
      </c>
      <c r="L1002" s="260">
        <v>1667</v>
      </c>
      <c r="M1002" s="260">
        <v>22500</v>
      </c>
      <c r="N1002" s="119">
        <v>1.2999999999999999E-3</v>
      </c>
      <c r="O1002" s="462" t="s">
        <v>934</v>
      </c>
    </row>
    <row r="1003" spans="1:15" ht="18" customHeight="1" x14ac:dyDescent="0.25">
      <c r="A1003" s="116">
        <v>13</v>
      </c>
      <c r="B1003" s="117" t="s">
        <v>112</v>
      </c>
      <c r="C1003" s="116">
        <v>219</v>
      </c>
      <c r="D1003" s="120" t="s">
        <v>87</v>
      </c>
      <c r="E1003" s="120" t="s">
        <v>153</v>
      </c>
      <c r="F1003" s="117" t="s">
        <v>933</v>
      </c>
      <c r="G1003" s="281">
        <v>6</v>
      </c>
      <c r="H1003" s="260">
        <v>69444</v>
      </c>
      <c r="I1003" s="260">
        <v>416667</v>
      </c>
      <c r="J1003" s="260">
        <v>0</v>
      </c>
      <c r="K1003" s="260">
        <v>416667</v>
      </c>
      <c r="L1003" s="260">
        <v>33333</v>
      </c>
      <c r="M1003" s="260">
        <v>450000</v>
      </c>
      <c r="N1003" s="119">
        <v>2.64E-2</v>
      </c>
      <c r="O1003" s="462" t="s">
        <v>934</v>
      </c>
    </row>
    <row r="1004" spans="1:15" ht="18" customHeight="1" x14ac:dyDescent="0.25">
      <c r="A1004" s="116">
        <v>13</v>
      </c>
      <c r="B1004" s="117" t="s">
        <v>112</v>
      </c>
      <c r="C1004" s="116">
        <v>220</v>
      </c>
      <c r="D1004" s="120" t="s">
        <v>87</v>
      </c>
      <c r="E1004" s="120" t="s">
        <v>1044</v>
      </c>
      <c r="F1004" s="117" t="s">
        <v>933</v>
      </c>
      <c r="G1004" s="281">
        <v>3</v>
      </c>
      <c r="H1004" s="260">
        <v>69444</v>
      </c>
      <c r="I1004" s="260">
        <v>208333</v>
      </c>
      <c r="J1004" s="260">
        <v>0</v>
      </c>
      <c r="K1004" s="260">
        <v>208333</v>
      </c>
      <c r="L1004" s="260">
        <v>16667</v>
      </c>
      <c r="M1004" s="260">
        <v>225000</v>
      </c>
      <c r="N1004" s="119">
        <v>1.32E-2</v>
      </c>
      <c r="O1004" s="462" t="s">
        <v>934</v>
      </c>
    </row>
    <row r="1005" spans="1:15" ht="18" customHeight="1" x14ac:dyDescent="0.25">
      <c r="A1005" s="116">
        <v>13</v>
      </c>
      <c r="B1005" s="117" t="s">
        <v>112</v>
      </c>
      <c r="C1005" s="116">
        <v>140</v>
      </c>
      <c r="D1005" s="120" t="s">
        <v>87</v>
      </c>
      <c r="E1005" s="120" t="s">
        <v>979</v>
      </c>
      <c r="F1005" s="117" t="s">
        <v>933</v>
      </c>
      <c r="G1005" s="281">
        <v>3</v>
      </c>
      <c r="H1005" s="260">
        <v>90741</v>
      </c>
      <c r="I1005" s="260">
        <v>272222</v>
      </c>
      <c r="J1005" s="260">
        <v>0</v>
      </c>
      <c r="K1005" s="260">
        <v>272222</v>
      </c>
      <c r="L1005" s="260">
        <v>21778</v>
      </c>
      <c r="M1005" s="260">
        <v>294000</v>
      </c>
      <c r="N1005" s="119">
        <v>1.7299999999999999E-2</v>
      </c>
      <c r="O1005" s="462" t="s">
        <v>934</v>
      </c>
    </row>
    <row r="1006" spans="1:15" ht="18" customHeight="1" x14ac:dyDescent="0.25">
      <c r="A1006" s="116">
        <v>13</v>
      </c>
      <c r="B1006" s="117" t="s">
        <v>112</v>
      </c>
      <c r="C1006" s="116">
        <v>221</v>
      </c>
      <c r="D1006" s="120" t="s">
        <v>87</v>
      </c>
      <c r="E1006" s="120" t="s">
        <v>980</v>
      </c>
      <c r="F1006" s="117" t="s">
        <v>933</v>
      </c>
      <c r="G1006" s="281">
        <v>4</v>
      </c>
      <c r="H1006" s="260">
        <v>54167</v>
      </c>
      <c r="I1006" s="260">
        <v>216667</v>
      </c>
      <c r="J1006" s="260">
        <v>0</v>
      </c>
      <c r="K1006" s="260">
        <v>216667</v>
      </c>
      <c r="L1006" s="260">
        <v>17333</v>
      </c>
      <c r="M1006" s="260">
        <v>234000</v>
      </c>
      <c r="N1006" s="119">
        <v>1.37E-2</v>
      </c>
      <c r="O1006" s="462" t="s">
        <v>934</v>
      </c>
    </row>
    <row r="1007" spans="1:15" ht="18" customHeight="1" x14ac:dyDescent="0.25">
      <c r="A1007" s="116">
        <v>13</v>
      </c>
      <c r="B1007" s="117" t="s">
        <v>112</v>
      </c>
      <c r="C1007" s="116">
        <v>224</v>
      </c>
      <c r="D1007" s="120" t="s">
        <v>87</v>
      </c>
      <c r="E1007" s="120" t="s">
        <v>1021</v>
      </c>
      <c r="F1007" s="117" t="s">
        <v>933</v>
      </c>
      <c r="G1007" s="281">
        <v>3</v>
      </c>
      <c r="H1007" s="260">
        <v>62500</v>
      </c>
      <c r="I1007" s="260">
        <v>187500</v>
      </c>
      <c r="J1007" s="260">
        <v>0</v>
      </c>
      <c r="K1007" s="260">
        <v>187500</v>
      </c>
      <c r="L1007" s="260">
        <v>15000</v>
      </c>
      <c r="M1007" s="260">
        <v>202500</v>
      </c>
      <c r="N1007" s="119">
        <v>1.1900000000000001E-2</v>
      </c>
      <c r="O1007" s="462" t="s">
        <v>934</v>
      </c>
    </row>
    <row r="1008" spans="1:15" ht="18" customHeight="1" x14ac:dyDescent="0.25">
      <c r="A1008" s="116">
        <v>13</v>
      </c>
      <c r="B1008" s="117" t="s">
        <v>112</v>
      </c>
      <c r="C1008" s="116">
        <v>225</v>
      </c>
      <c r="D1008" s="120" t="s">
        <v>87</v>
      </c>
      <c r="E1008" s="120" t="s">
        <v>1045</v>
      </c>
      <c r="F1008" s="117" t="s">
        <v>933</v>
      </c>
      <c r="G1008" s="281">
        <v>1</v>
      </c>
      <c r="H1008" s="260">
        <v>62500</v>
      </c>
      <c r="I1008" s="260">
        <v>62500</v>
      </c>
      <c r="J1008" s="260">
        <v>0</v>
      </c>
      <c r="K1008" s="260">
        <v>62500</v>
      </c>
      <c r="L1008" s="260">
        <v>5000</v>
      </c>
      <c r="M1008" s="260">
        <v>67500</v>
      </c>
      <c r="N1008" s="119">
        <v>4.0000000000000001E-3</v>
      </c>
      <c r="O1008" s="462" t="s">
        <v>934</v>
      </c>
    </row>
    <row r="1009" spans="1:15" ht="18" customHeight="1" x14ac:dyDescent="0.25">
      <c r="A1009" s="116">
        <v>13</v>
      </c>
      <c r="B1009" s="117" t="s">
        <v>112</v>
      </c>
      <c r="C1009" s="116">
        <v>226</v>
      </c>
      <c r="D1009" s="120" t="s">
        <v>87</v>
      </c>
      <c r="E1009" s="120" t="s">
        <v>1032</v>
      </c>
      <c r="F1009" s="117" t="s">
        <v>933</v>
      </c>
      <c r="G1009" s="281">
        <v>1</v>
      </c>
      <c r="H1009" s="260">
        <v>90741</v>
      </c>
      <c r="I1009" s="260">
        <v>90741</v>
      </c>
      <c r="J1009" s="260">
        <v>0</v>
      </c>
      <c r="K1009" s="260">
        <v>90741</v>
      </c>
      <c r="L1009" s="260">
        <v>7259</v>
      </c>
      <c r="M1009" s="260">
        <v>98000</v>
      </c>
      <c r="N1009" s="119">
        <v>5.7999999999999996E-3</v>
      </c>
      <c r="O1009" s="462" t="s">
        <v>934</v>
      </c>
    </row>
    <row r="1010" spans="1:15" ht="18" customHeight="1" x14ac:dyDescent="0.25">
      <c r="A1010" s="116">
        <v>13</v>
      </c>
      <c r="B1010" s="117" t="s">
        <v>112</v>
      </c>
      <c r="C1010" s="116">
        <v>222</v>
      </c>
      <c r="D1010" s="120" t="s">
        <v>93</v>
      </c>
      <c r="E1010" s="120" t="s">
        <v>981</v>
      </c>
      <c r="F1010" s="117" t="s">
        <v>933</v>
      </c>
      <c r="G1010" s="281">
        <v>3</v>
      </c>
      <c r="H1010" s="260">
        <v>63426</v>
      </c>
      <c r="I1010" s="260">
        <v>190278</v>
      </c>
      <c r="J1010" s="260">
        <v>0</v>
      </c>
      <c r="K1010" s="260">
        <v>190278</v>
      </c>
      <c r="L1010" s="260">
        <v>15222</v>
      </c>
      <c r="M1010" s="260">
        <v>205500</v>
      </c>
      <c r="N1010" s="119">
        <v>1.21E-2</v>
      </c>
      <c r="O1010" s="462" t="s">
        <v>934</v>
      </c>
    </row>
    <row r="1011" spans="1:15" ht="18" customHeight="1" x14ac:dyDescent="0.25">
      <c r="A1011" s="116">
        <v>13</v>
      </c>
      <c r="B1011" s="117" t="s">
        <v>112</v>
      </c>
      <c r="C1011" s="116">
        <v>223</v>
      </c>
      <c r="D1011" s="120" t="s">
        <v>87</v>
      </c>
      <c r="E1011" s="120" t="s">
        <v>141</v>
      </c>
      <c r="F1011" s="117" t="s">
        <v>933</v>
      </c>
      <c r="G1011" s="281">
        <v>7</v>
      </c>
      <c r="H1011" s="260">
        <v>69444</v>
      </c>
      <c r="I1011" s="260">
        <v>486111</v>
      </c>
      <c r="J1011" s="260">
        <v>0</v>
      </c>
      <c r="K1011" s="260">
        <v>486111</v>
      </c>
      <c r="L1011" s="260">
        <v>38889</v>
      </c>
      <c r="M1011" s="260">
        <v>525000</v>
      </c>
      <c r="N1011" s="119">
        <v>3.0800000000000001E-2</v>
      </c>
      <c r="O1011" s="462" t="s">
        <v>934</v>
      </c>
    </row>
    <row r="1012" spans="1:15" ht="18" customHeight="1" x14ac:dyDescent="0.25">
      <c r="A1012" s="116">
        <v>13</v>
      </c>
      <c r="B1012" s="117" t="s">
        <v>112</v>
      </c>
      <c r="C1012" s="116">
        <v>229</v>
      </c>
      <c r="D1012" s="120" t="s">
        <v>87</v>
      </c>
      <c r="E1012" s="120" t="s">
        <v>1046</v>
      </c>
      <c r="F1012" s="117" t="s">
        <v>933</v>
      </c>
      <c r="G1012" s="281">
        <v>2</v>
      </c>
      <c r="H1012" s="260">
        <v>66204</v>
      </c>
      <c r="I1012" s="260">
        <v>132407</v>
      </c>
      <c r="J1012" s="260">
        <v>0</v>
      </c>
      <c r="K1012" s="260">
        <v>132407</v>
      </c>
      <c r="L1012" s="260">
        <v>10593</v>
      </c>
      <c r="M1012" s="260">
        <v>143000</v>
      </c>
      <c r="N1012" s="119">
        <v>8.3999999999999995E-3</v>
      </c>
      <c r="O1012" s="462" t="s">
        <v>934</v>
      </c>
    </row>
    <row r="1013" spans="1:15" ht="18" customHeight="1" x14ac:dyDescent="0.25">
      <c r="A1013" s="116">
        <v>13</v>
      </c>
      <c r="B1013" s="117" t="s">
        <v>112</v>
      </c>
      <c r="C1013" s="116">
        <v>50</v>
      </c>
      <c r="D1013" s="120" t="s">
        <v>87</v>
      </c>
      <c r="E1013" s="120" t="s">
        <v>159</v>
      </c>
      <c r="F1013" s="117" t="s">
        <v>933</v>
      </c>
      <c r="G1013" s="281">
        <v>6</v>
      </c>
      <c r="H1013" s="260">
        <v>49074</v>
      </c>
      <c r="I1013" s="260">
        <v>294444</v>
      </c>
      <c r="J1013" s="260">
        <v>0</v>
      </c>
      <c r="K1013" s="260">
        <v>294444</v>
      </c>
      <c r="L1013" s="260">
        <v>23556</v>
      </c>
      <c r="M1013" s="260">
        <v>318000</v>
      </c>
      <c r="N1013" s="119">
        <v>1.8700000000000001E-2</v>
      </c>
      <c r="O1013" s="462" t="s">
        <v>934</v>
      </c>
    </row>
    <row r="1014" spans="1:15" ht="18" customHeight="1" x14ac:dyDescent="0.25">
      <c r="A1014" s="116">
        <v>13</v>
      </c>
      <c r="B1014" s="117" t="s">
        <v>112</v>
      </c>
      <c r="C1014" s="116">
        <v>10</v>
      </c>
      <c r="D1014" s="120" t="s">
        <v>87</v>
      </c>
      <c r="E1014" s="120" t="s">
        <v>1033</v>
      </c>
      <c r="F1014" s="117" t="s">
        <v>933</v>
      </c>
      <c r="G1014" s="281">
        <v>3</v>
      </c>
      <c r="H1014" s="260">
        <v>13889</v>
      </c>
      <c r="I1014" s="260">
        <v>41667</v>
      </c>
      <c r="J1014" s="260">
        <v>0</v>
      </c>
      <c r="K1014" s="260">
        <v>41667</v>
      </c>
      <c r="L1014" s="260">
        <v>3333</v>
      </c>
      <c r="M1014" s="260">
        <v>45000</v>
      </c>
      <c r="N1014" s="119">
        <v>2.5999999999999999E-3</v>
      </c>
      <c r="O1014" s="462" t="s">
        <v>934</v>
      </c>
    </row>
    <row r="1015" spans="1:15" ht="18" customHeight="1" x14ac:dyDescent="0.25">
      <c r="A1015" s="116">
        <v>13</v>
      </c>
      <c r="B1015" s="117" t="s">
        <v>112</v>
      </c>
      <c r="C1015" s="116">
        <v>120</v>
      </c>
      <c r="D1015" s="120" t="s">
        <v>93</v>
      </c>
      <c r="E1015" s="120" t="s">
        <v>982</v>
      </c>
      <c r="F1015" s="117" t="s">
        <v>933</v>
      </c>
      <c r="G1015" s="281">
        <v>5</v>
      </c>
      <c r="H1015" s="260">
        <v>41667</v>
      </c>
      <c r="I1015" s="260">
        <v>208333</v>
      </c>
      <c r="J1015" s="260">
        <v>0</v>
      </c>
      <c r="K1015" s="260">
        <v>208333</v>
      </c>
      <c r="L1015" s="260">
        <v>16667</v>
      </c>
      <c r="M1015" s="260">
        <v>225000</v>
      </c>
      <c r="N1015" s="119">
        <v>1.32E-2</v>
      </c>
      <c r="O1015" s="462" t="s">
        <v>934</v>
      </c>
    </row>
    <row r="1016" spans="1:15" ht="18" customHeight="1" x14ac:dyDescent="0.25">
      <c r="A1016" s="116">
        <v>13</v>
      </c>
      <c r="B1016" s="117" t="s">
        <v>112</v>
      </c>
      <c r="C1016" s="116">
        <v>129</v>
      </c>
      <c r="D1016" s="120" t="s">
        <v>93</v>
      </c>
      <c r="E1016" s="120" t="s">
        <v>983</v>
      </c>
      <c r="F1016" s="117" t="s">
        <v>933</v>
      </c>
      <c r="G1016" s="281">
        <v>7</v>
      </c>
      <c r="H1016" s="260">
        <v>44444</v>
      </c>
      <c r="I1016" s="260">
        <v>311111</v>
      </c>
      <c r="J1016" s="260">
        <v>0</v>
      </c>
      <c r="K1016" s="260">
        <v>311111</v>
      </c>
      <c r="L1016" s="260">
        <v>24889</v>
      </c>
      <c r="M1016" s="260">
        <v>336000</v>
      </c>
      <c r="N1016" s="119">
        <v>1.9699999999999999E-2</v>
      </c>
      <c r="O1016" s="462" t="s">
        <v>934</v>
      </c>
    </row>
    <row r="1017" spans="1:15" ht="18" customHeight="1" x14ac:dyDescent="0.25">
      <c r="A1017" s="116">
        <v>13</v>
      </c>
      <c r="B1017" s="117" t="s">
        <v>112</v>
      </c>
      <c r="C1017" s="116">
        <v>116</v>
      </c>
      <c r="D1017" s="120" t="s">
        <v>89</v>
      </c>
      <c r="E1017" s="120" t="s">
        <v>1047</v>
      </c>
      <c r="F1017" s="117" t="s">
        <v>933</v>
      </c>
      <c r="G1017" s="281">
        <v>42</v>
      </c>
      <c r="H1017" s="260">
        <v>5556</v>
      </c>
      <c r="I1017" s="260">
        <v>233333</v>
      </c>
      <c r="J1017" s="260">
        <v>0</v>
      </c>
      <c r="K1017" s="260">
        <v>233333</v>
      </c>
      <c r="L1017" s="260">
        <v>18667</v>
      </c>
      <c r="M1017" s="260">
        <v>252000</v>
      </c>
      <c r="N1017" s="119">
        <v>1.4800000000000001E-2</v>
      </c>
      <c r="O1017" s="462" t="s">
        <v>934</v>
      </c>
    </row>
    <row r="1018" spans="1:15" ht="18" customHeight="1" x14ac:dyDescent="0.25">
      <c r="A1018" s="116">
        <v>13</v>
      </c>
      <c r="B1018" s="117" t="s">
        <v>112</v>
      </c>
      <c r="C1018" s="116">
        <v>117</v>
      </c>
      <c r="D1018" s="120" t="s">
        <v>87</v>
      </c>
      <c r="E1018" s="120" t="s">
        <v>120</v>
      </c>
      <c r="F1018" s="117" t="s">
        <v>933</v>
      </c>
      <c r="G1018" s="281">
        <v>24</v>
      </c>
      <c r="H1018" s="260">
        <v>41667</v>
      </c>
      <c r="I1018" s="260">
        <v>1000000</v>
      </c>
      <c r="J1018" s="260">
        <v>0</v>
      </c>
      <c r="K1018" s="260">
        <v>1000000</v>
      </c>
      <c r="L1018" s="260">
        <v>80000</v>
      </c>
      <c r="M1018" s="260">
        <v>1080000</v>
      </c>
      <c r="N1018" s="119">
        <v>6.3399999999999998E-2</v>
      </c>
      <c r="O1018" s="462" t="s">
        <v>934</v>
      </c>
    </row>
    <row r="1019" spans="1:15" ht="18" customHeight="1" x14ac:dyDescent="0.25">
      <c r="A1019" s="116">
        <v>13</v>
      </c>
      <c r="B1019" s="117" t="s">
        <v>112</v>
      </c>
      <c r="C1019" s="116">
        <v>36</v>
      </c>
      <c r="D1019" s="120" t="s">
        <v>91</v>
      </c>
      <c r="E1019" s="120" t="s">
        <v>984</v>
      </c>
      <c r="F1019" s="117" t="s">
        <v>933</v>
      </c>
      <c r="G1019" s="281">
        <v>9</v>
      </c>
      <c r="H1019" s="260">
        <v>3704</v>
      </c>
      <c r="I1019" s="260">
        <v>33333</v>
      </c>
      <c r="J1019" s="260">
        <v>0</v>
      </c>
      <c r="K1019" s="260">
        <v>33333</v>
      </c>
      <c r="L1019" s="260">
        <v>2667</v>
      </c>
      <c r="M1019" s="260">
        <v>36000</v>
      </c>
      <c r="N1019" s="119">
        <v>2.0999999999999999E-3</v>
      </c>
      <c r="O1019" s="462" t="s">
        <v>934</v>
      </c>
    </row>
    <row r="1020" spans="1:15" ht="18" customHeight="1" x14ac:dyDescent="0.25">
      <c r="A1020" s="116">
        <v>13</v>
      </c>
      <c r="B1020" s="117" t="s">
        <v>112</v>
      </c>
      <c r="C1020" s="116">
        <v>61</v>
      </c>
      <c r="D1020" s="120" t="s">
        <v>97</v>
      </c>
      <c r="E1020" s="120" t="s">
        <v>985</v>
      </c>
      <c r="F1020" s="117" t="s">
        <v>933</v>
      </c>
      <c r="G1020" s="281">
        <v>4</v>
      </c>
      <c r="H1020" s="260">
        <v>4630</v>
      </c>
      <c r="I1020" s="260">
        <v>18519</v>
      </c>
      <c r="J1020" s="260">
        <v>0</v>
      </c>
      <c r="K1020" s="260">
        <v>18519</v>
      </c>
      <c r="L1020" s="260">
        <v>1481</v>
      </c>
      <c r="M1020" s="260">
        <v>20000</v>
      </c>
      <c r="N1020" s="119">
        <v>1.1999999999999999E-3</v>
      </c>
      <c r="O1020" s="462" t="s">
        <v>934</v>
      </c>
    </row>
    <row r="1021" spans="1:15" ht="18" customHeight="1" x14ac:dyDescent="0.25">
      <c r="A1021" s="116">
        <v>13</v>
      </c>
      <c r="B1021" s="117" t="s">
        <v>112</v>
      </c>
      <c r="C1021" s="116">
        <v>215</v>
      </c>
      <c r="D1021" s="120" t="s">
        <v>87</v>
      </c>
      <c r="E1021" s="120" t="s">
        <v>132</v>
      </c>
      <c r="F1021" s="117" t="s">
        <v>933</v>
      </c>
      <c r="G1021" s="281">
        <v>25</v>
      </c>
      <c r="H1021" s="260">
        <v>37500</v>
      </c>
      <c r="I1021" s="260">
        <v>937500</v>
      </c>
      <c r="J1021" s="260">
        <v>0</v>
      </c>
      <c r="K1021" s="260">
        <v>937500</v>
      </c>
      <c r="L1021" s="260">
        <v>75000</v>
      </c>
      <c r="M1021" s="260">
        <v>1012500</v>
      </c>
      <c r="N1021" s="119">
        <v>5.9400000000000001E-2</v>
      </c>
      <c r="O1021" s="462" t="s">
        <v>934</v>
      </c>
    </row>
    <row r="1022" spans="1:15" ht="18" customHeight="1" x14ac:dyDescent="0.25">
      <c r="A1022" s="116">
        <v>13</v>
      </c>
      <c r="B1022" s="117" t="s">
        <v>112</v>
      </c>
      <c r="C1022" s="116">
        <v>214</v>
      </c>
      <c r="D1022" s="120" t="s">
        <v>87</v>
      </c>
      <c r="E1022" s="120" t="s">
        <v>1007</v>
      </c>
      <c r="F1022" s="117" t="s">
        <v>933</v>
      </c>
      <c r="G1022" s="281">
        <v>7</v>
      </c>
      <c r="H1022" s="260">
        <v>37500</v>
      </c>
      <c r="I1022" s="260">
        <v>262500</v>
      </c>
      <c r="J1022" s="260">
        <v>0</v>
      </c>
      <c r="K1022" s="260">
        <v>262500</v>
      </c>
      <c r="L1022" s="260">
        <v>21000</v>
      </c>
      <c r="M1022" s="260">
        <v>283500</v>
      </c>
      <c r="N1022" s="119">
        <v>1.66E-2</v>
      </c>
      <c r="O1022" s="462" t="s">
        <v>934</v>
      </c>
    </row>
    <row r="1023" spans="1:15" ht="18" customHeight="1" x14ac:dyDescent="0.25">
      <c r="A1023" s="116">
        <v>13</v>
      </c>
      <c r="B1023" s="117" t="s">
        <v>112</v>
      </c>
      <c r="C1023" s="116">
        <v>113</v>
      </c>
      <c r="D1023" s="120" t="s">
        <v>89</v>
      </c>
      <c r="E1023" s="120" t="s">
        <v>135</v>
      </c>
      <c r="F1023" s="117" t="s">
        <v>933</v>
      </c>
      <c r="G1023" s="281">
        <v>32</v>
      </c>
      <c r="H1023" s="260">
        <v>22222</v>
      </c>
      <c r="I1023" s="260">
        <v>711111</v>
      </c>
      <c r="J1023" s="260">
        <v>0</v>
      </c>
      <c r="K1023" s="260">
        <v>711111</v>
      </c>
      <c r="L1023" s="260">
        <v>56889</v>
      </c>
      <c r="M1023" s="260">
        <v>768000</v>
      </c>
      <c r="N1023" s="119">
        <v>4.5100000000000001E-2</v>
      </c>
      <c r="O1023" s="462" t="s">
        <v>934</v>
      </c>
    </row>
    <row r="1024" spans="1:15" ht="18" customHeight="1" x14ac:dyDescent="0.25">
      <c r="A1024" s="116">
        <v>13</v>
      </c>
      <c r="B1024" s="117" t="s">
        <v>112</v>
      </c>
      <c r="C1024" s="116">
        <v>256</v>
      </c>
      <c r="D1024" s="120" t="s">
        <v>89</v>
      </c>
      <c r="E1024" s="120" t="s">
        <v>1065</v>
      </c>
      <c r="F1024" s="117" t="s">
        <v>933</v>
      </c>
      <c r="G1024" s="281">
        <v>1</v>
      </c>
      <c r="H1024" s="260">
        <v>18519</v>
      </c>
      <c r="I1024" s="260">
        <v>18519</v>
      </c>
      <c r="J1024" s="260">
        <v>0</v>
      </c>
      <c r="K1024" s="260">
        <v>18519</v>
      </c>
      <c r="L1024" s="260">
        <v>1481</v>
      </c>
      <c r="M1024" s="260">
        <v>20000</v>
      </c>
      <c r="N1024" s="119">
        <v>1.1999999999999999E-3</v>
      </c>
      <c r="O1024" s="462" t="s">
        <v>934</v>
      </c>
    </row>
    <row r="1025" spans="1:15" ht="18" customHeight="1" x14ac:dyDescent="0.25">
      <c r="A1025" s="116">
        <v>13</v>
      </c>
      <c r="B1025" s="117" t="s">
        <v>112</v>
      </c>
      <c r="C1025" s="116">
        <v>315</v>
      </c>
      <c r="D1025" s="120" t="s">
        <v>87</v>
      </c>
      <c r="E1025" s="120" t="s">
        <v>1008</v>
      </c>
      <c r="F1025" s="117" t="s">
        <v>933</v>
      </c>
      <c r="G1025" s="281">
        <v>1</v>
      </c>
      <c r="H1025" s="260">
        <v>1852</v>
      </c>
      <c r="I1025" s="260">
        <v>1852</v>
      </c>
      <c r="J1025" s="260">
        <v>0</v>
      </c>
      <c r="K1025" s="260">
        <v>1852</v>
      </c>
      <c r="L1025" s="260">
        <v>148</v>
      </c>
      <c r="M1025" s="260">
        <v>2000</v>
      </c>
      <c r="N1025" s="119">
        <v>1E-4</v>
      </c>
      <c r="O1025" s="462" t="s">
        <v>934</v>
      </c>
    </row>
    <row r="1026" spans="1:15" ht="18" customHeight="1" x14ac:dyDescent="0.25">
      <c r="A1026" s="116">
        <v>13</v>
      </c>
      <c r="B1026" s="117" t="s">
        <v>112</v>
      </c>
      <c r="C1026" s="116">
        <v>96</v>
      </c>
      <c r="D1026" s="120" t="s">
        <v>93</v>
      </c>
      <c r="E1026" s="120" t="s">
        <v>1009</v>
      </c>
      <c r="F1026" s="117" t="s">
        <v>933</v>
      </c>
      <c r="G1026" s="281">
        <v>6</v>
      </c>
      <c r="H1026" s="260">
        <v>35648</v>
      </c>
      <c r="I1026" s="260">
        <v>213889</v>
      </c>
      <c r="J1026" s="260">
        <v>0</v>
      </c>
      <c r="K1026" s="260">
        <v>213889</v>
      </c>
      <c r="L1026" s="260">
        <v>17111</v>
      </c>
      <c r="M1026" s="260">
        <v>231000</v>
      </c>
      <c r="N1026" s="119">
        <v>1.3599999999999999E-2</v>
      </c>
      <c r="O1026" s="462" t="s">
        <v>934</v>
      </c>
    </row>
    <row r="1027" spans="1:15" ht="18" customHeight="1" x14ac:dyDescent="0.25">
      <c r="A1027" s="116">
        <v>13</v>
      </c>
      <c r="B1027" s="117" t="s">
        <v>112</v>
      </c>
      <c r="C1027" s="116">
        <v>68</v>
      </c>
      <c r="D1027" s="120" t="s">
        <v>93</v>
      </c>
      <c r="E1027" s="120" t="s">
        <v>986</v>
      </c>
      <c r="F1027" s="117" t="s">
        <v>933</v>
      </c>
      <c r="G1027" s="281">
        <v>1</v>
      </c>
      <c r="H1027" s="260">
        <v>41667</v>
      </c>
      <c r="I1027" s="260">
        <v>41667</v>
      </c>
      <c r="J1027" s="260">
        <v>0</v>
      </c>
      <c r="K1027" s="260">
        <v>41667</v>
      </c>
      <c r="L1027" s="260">
        <v>3333</v>
      </c>
      <c r="M1027" s="260">
        <v>45000</v>
      </c>
      <c r="N1027" s="119">
        <v>2.5999999999999999E-3</v>
      </c>
      <c r="O1027" s="462" t="s">
        <v>934</v>
      </c>
    </row>
    <row r="1028" spans="1:15" ht="18" customHeight="1" x14ac:dyDescent="0.25">
      <c r="A1028" s="116">
        <v>13</v>
      </c>
      <c r="B1028" s="117" t="s">
        <v>112</v>
      </c>
      <c r="C1028" s="116">
        <v>33</v>
      </c>
      <c r="D1028" s="120" t="s">
        <v>91</v>
      </c>
      <c r="E1028" s="120" t="s">
        <v>987</v>
      </c>
      <c r="F1028" s="117" t="s">
        <v>933</v>
      </c>
      <c r="G1028" s="281">
        <v>6</v>
      </c>
      <c r="H1028" s="260">
        <v>1852</v>
      </c>
      <c r="I1028" s="260">
        <v>11111</v>
      </c>
      <c r="J1028" s="260">
        <v>0</v>
      </c>
      <c r="K1028" s="260">
        <v>11111</v>
      </c>
      <c r="L1028" s="260">
        <v>889</v>
      </c>
      <c r="M1028" s="260">
        <v>12000</v>
      </c>
      <c r="N1028" s="119">
        <v>7.000000000000001E-4</v>
      </c>
      <c r="O1028" s="462" t="s">
        <v>934</v>
      </c>
    </row>
    <row r="1029" spans="1:15" ht="18" customHeight="1" x14ac:dyDescent="0.25">
      <c r="A1029" s="116">
        <v>13</v>
      </c>
      <c r="B1029" s="117" t="s">
        <v>112</v>
      </c>
      <c r="C1029" s="116">
        <v>255</v>
      </c>
      <c r="D1029" s="120" t="s">
        <v>93</v>
      </c>
      <c r="E1029" s="120" t="s">
        <v>1010</v>
      </c>
      <c r="F1029" s="117" t="s">
        <v>933</v>
      </c>
      <c r="G1029" s="281">
        <v>6</v>
      </c>
      <c r="H1029" s="260">
        <v>35648</v>
      </c>
      <c r="I1029" s="260">
        <v>213889</v>
      </c>
      <c r="J1029" s="260">
        <v>0</v>
      </c>
      <c r="K1029" s="260">
        <v>213889</v>
      </c>
      <c r="L1029" s="260">
        <v>17111</v>
      </c>
      <c r="M1029" s="260">
        <v>231000</v>
      </c>
      <c r="N1029" s="119">
        <v>1.3599999999999999E-2</v>
      </c>
      <c r="O1029" s="462" t="s">
        <v>934</v>
      </c>
    </row>
    <row r="1030" spans="1:15" ht="18" customHeight="1" x14ac:dyDescent="0.25">
      <c r="A1030" s="116">
        <v>13</v>
      </c>
      <c r="B1030" s="117" t="s">
        <v>112</v>
      </c>
      <c r="C1030" s="116">
        <v>67</v>
      </c>
      <c r="D1030" s="120" t="s">
        <v>93</v>
      </c>
      <c r="E1030" s="120" t="s">
        <v>988</v>
      </c>
      <c r="F1030" s="117" t="s">
        <v>933</v>
      </c>
      <c r="G1030" s="281">
        <v>3</v>
      </c>
      <c r="H1030" s="260">
        <v>41667</v>
      </c>
      <c r="I1030" s="260">
        <v>125000</v>
      </c>
      <c r="J1030" s="260">
        <v>0</v>
      </c>
      <c r="K1030" s="260">
        <v>125000</v>
      </c>
      <c r="L1030" s="260">
        <v>10000</v>
      </c>
      <c r="M1030" s="260">
        <v>135000</v>
      </c>
      <c r="N1030" s="119">
        <v>7.9000000000000008E-3</v>
      </c>
      <c r="O1030" s="462" t="s">
        <v>934</v>
      </c>
    </row>
    <row r="1031" spans="1:15" ht="18" customHeight="1" x14ac:dyDescent="0.25">
      <c r="A1031" s="116">
        <v>14</v>
      </c>
      <c r="B1031" s="117" t="s">
        <v>115</v>
      </c>
      <c r="C1031" s="116">
        <v>319</v>
      </c>
      <c r="D1031" s="120" t="s">
        <v>91</v>
      </c>
      <c r="E1031" s="120" t="s">
        <v>1066</v>
      </c>
      <c r="F1031" s="117" t="s">
        <v>933</v>
      </c>
      <c r="G1031" s="281">
        <v>1</v>
      </c>
      <c r="H1031" s="260">
        <v>3519</v>
      </c>
      <c r="I1031" s="260">
        <v>3519</v>
      </c>
      <c r="J1031" s="260">
        <v>0</v>
      </c>
      <c r="K1031" s="260">
        <v>3519</v>
      </c>
      <c r="L1031" s="260">
        <v>281</v>
      </c>
      <c r="M1031" s="260">
        <v>3800</v>
      </c>
      <c r="N1031" s="119">
        <v>8.0000000000000004E-4</v>
      </c>
      <c r="O1031" s="462" t="s">
        <v>934</v>
      </c>
    </row>
    <row r="1032" spans="1:15" ht="18" customHeight="1" x14ac:dyDescent="0.25">
      <c r="A1032" s="116">
        <v>14</v>
      </c>
      <c r="B1032" s="117" t="s">
        <v>115</v>
      </c>
      <c r="C1032" s="116">
        <v>73</v>
      </c>
      <c r="D1032" s="120" t="s">
        <v>91</v>
      </c>
      <c r="E1032" s="120" t="s">
        <v>932</v>
      </c>
      <c r="F1032" s="117" t="s">
        <v>933</v>
      </c>
      <c r="G1032" s="281">
        <v>13</v>
      </c>
      <c r="H1032" s="260">
        <v>2593</v>
      </c>
      <c r="I1032" s="260">
        <v>33704</v>
      </c>
      <c r="J1032" s="260">
        <v>0</v>
      </c>
      <c r="K1032" s="260">
        <v>33704</v>
      </c>
      <c r="L1032" s="260">
        <v>2696</v>
      </c>
      <c r="M1032" s="260">
        <v>36400</v>
      </c>
      <c r="N1032" s="119">
        <v>7.8000000000000014E-3</v>
      </c>
      <c r="O1032" s="462" t="s">
        <v>934</v>
      </c>
    </row>
    <row r="1033" spans="1:15" ht="18" customHeight="1" x14ac:dyDescent="0.25">
      <c r="A1033" s="116">
        <v>14</v>
      </c>
      <c r="B1033" s="117" t="s">
        <v>115</v>
      </c>
      <c r="C1033" s="116">
        <v>65</v>
      </c>
      <c r="D1033" s="120" t="s">
        <v>91</v>
      </c>
      <c r="E1033" s="120" t="s">
        <v>935</v>
      </c>
      <c r="F1033" s="117" t="s">
        <v>933</v>
      </c>
      <c r="G1033" s="281">
        <v>3</v>
      </c>
      <c r="H1033" s="260">
        <v>2778</v>
      </c>
      <c r="I1033" s="260">
        <v>8333</v>
      </c>
      <c r="J1033" s="260">
        <v>0</v>
      </c>
      <c r="K1033" s="260">
        <v>8333</v>
      </c>
      <c r="L1033" s="260">
        <v>667</v>
      </c>
      <c r="M1033" s="260">
        <v>9000</v>
      </c>
      <c r="N1033" s="119">
        <v>1.9E-3</v>
      </c>
      <c r="O1033" s="462" t="s">
        <v>934</v>
      </c>
    </row>
    <row r="1034" spans="1:15" ht="18" customHeight="1" x14ac:dyDescent="0.25">
      <c r="A1034" s="116">
        <v>14</v>
      </c>
      <c r="B1034" s="117" t="s">
        <v>115</v>
      </c>
      <c r="C1034" s="116">
        <v>12</v>
      </c>
      <c r="D1034" s="120" t="s">
        <v>93</v>
      </c>
      <c r="E1034" s="120" t="s">
        <v>937</v>
      </c>
      <c r="F1034" s="117" t="s">
        <v>933</v>
      </c>
      <c r="G1034" s="281">
        <v>1</v>
      </c>
      <c r="H1034" s="260">
        <v>41667</v>
      </c>
      <c r="I1034" s="260">
        <v>41667</v>
      </c>
      <c r="J1034" s="260">
        <v>0</v>
      </c>
      <c r="K1034" s="260">
        <v>41667</v>
      </c>
      <c r="L1034" s="260">
        <v>3333</v>
      </c>
      <c r="M1034" s="260">
        <v>45000</v>
      </c>
      <c r="N1034" s="119">
        <v>9.5999999999999992E-3</v>
      </c>
      <c r="O1034" s="462" t="s">
        <v>934</v>
      </c>
    </row>
    <row r="1035" spans="1:15" ht="18" customHeight="1" x14ac:dyDescent="0.25">
      <c r="A1035" s="116">
        <v>14</v>
      </c>
      <c r="B1035" s="117" t="s">
        <v>115</v>
      </c>
      <c r="C1035" s="116">
        <v>40</v>
      </c>
      <c r="D1035" s="120" t="s">
        <v>87</v>
      </c>
      <c r="E1035" s="120" t="s">
        <v>170</v>
      </c>
      <c r="F1035" s="117" t="s">
        <v>933</v>
      </c>
      <c r="G1035" s="281">
        <v>2</v>
      </c>
      <c r="H1035" s="260">
        <v>55093</v>
      </c>
      <c r="I1035" s="260">
        <v>110185</v>
      </c>
      <c r="J1035" s="260">
        <v>0</v>
      </c>
      <c r="K1035" s="260">
        <v>110185</v>
      </c>
      <c r="L1035" s="260">
        <v>8815</v>
      </c>
      <c r="M1035" s="260">
        <v>119000</v>
      </c>
      <c r="N1035" s="119">
        <v>2.5499999999999998E-2</v>
      </c>
      <c r="O1035" s="462" t="s">
        <v>934</v>
      </c>
    </row>
    <row r="1036" spans="1:15" ht="18" customHeight="1" x14ac:dyDescent="0.25">
      <c r="A1036" s="116">
        <v>14</v>
      </c>
      <c r="B1036" s="117" t="s">
        <v>115</v>
      </c>
      <c r="C1036" s="116">
        <v>131</v>
      </c>
      <c r="D1036" s="120" t="s">
        <v>87</v>
      </c>
      <c r="E1036" s="120" t="s">
        <v>991</v>
      </c>
      <c r="F1036" s="117" t="s">
        <v>933</v>
      </c>
      <c r="G1036" s="281">
        <v>1</v>
      </c>
      <c r="H1036" s="260">
        <v>278</v>
      </c>
      <c r="I1036" s="260">
        <v>278</v>
      </c>
      <c r="J1036" s="260">
        <v>0</v>
      </c>
      <c r="K1036" s="260">
        <v>278</v>
      </c>
      <c r="L1036" s="260">
        <v>22</v>
      </c>
      <c r="M1036" s="260">
        <v>300</v>
      </c>
      <c r="N1036" s="119">
        <v>1E-4</v>
      </c>
      <c r="O1036" s="462" t="s">
        <v>934</v>
      </c>
    </row>
    <row r="1037" spans="1:15" ht="18" customHeight="1" x14ac:dyDescent="0.25">
      <c r="A1037" s="116">
        <v>14</v>
      </c>
      <c r="B1037" s="117" t="s">
        <v>115</v>
      </c>
      <c r="C1037" s="116">
        <v>104</v>
      </c>
      <c r="D1037" s="120" t="s">
        <v>89</v>
      </c>
      <c r="E1037" s="120" t="s">
        <v>162</v>
      </c>
      <c r="F1037" s="117" t="s">
        <v>933</v>
      </c>
      <c r="G1037" s="281">
        <v>21</v>
      </c>
      <c r="H1037" s="260">
        <v>15939</v>
      </c>
      <c r="I1037" s="260">
        <v>334722</v>
      </c>
      <c r="J1037" s="260">
        <v>0</v>
      </c>
      <c r="K1037" s="260">
        <v>334722</v>
      </c>
      <c r="L1037" s="260">
        <v>26778</v>
      </c>
      <c r="M1037" s="260">
        <v>361500</v>
      </c>
      <c r="N1037" s="119">
        <v>7.7399999999999997E-2</v>
      </c>
      <c r="O1037" s="462" t="s">
        <v>934</v>
      </c>
    </row>
    <row r="1038" spans="1:15" ht="18" customHeight="1" x14ac:dyDescent="0.25">
      <c r="A1038" s="116">
        <v>14</v>
      </c>
      <c r="B1038" s="117" t="s">
        <v>115</v>
      </c>
      <c r="C1038" s="116">
        <v>54</v>
      </c>
      <c r="D1038" s="120" t="s">
        <v>91</v>
      </c>
      <c r="E1038" s="120" t="s">
        <v>992</v>
      </c>
      <c r="F1038" s="117" t="s">
        <v>933</v>
      </c>
      <c r="G1038" s="281">
        <v>1</v>
      </c>
      <c r="H1038" s="260">
        <v>2315</v>
      </c>
      <c r="I1038" s="260">
        <v>2315</v>
      </c>
      <c r="J1038" s="260">
        <v>0</v>
      </c>
      <c r="K1038" s="260">
        <v>2315</v>
      </c>
      <c r="L1038" s="260">
        <v>185</v>
      </c>
      <c r="M1038" s="260">
        <v>2500</v>
      </c>
      <c r="N1038" s="119">
        <v>5.0000000000000001E-4</v>
      </c>
      <c r="O1038" s="462" t="s">
        <v>934</v>
      </c>
    </row>
    <row r="1039" spans="1:15" ht="18" customHeight="1" x14ac:dyDescent="0.25">
      <c r="A1039" s="116">
        <v>14</v>
      </c>
      <c r="B1039" s="117" t="s">
        <v>115</v>
      </c>
      <c r="C1039" s="116">
        <v>5</v>
      </c>
      <c r="D1039" s="120" t="s">
        <v>89</v>
      </c>
      <c r="E1039" s="120" t="s">
        <v>993</v>
      </c>
      <c r="F1039" s="117" t="s">
        <v>933</v>
      </c>
      <c r="G1039" s="281">
        <v>2</v>
      </c>
      <c r="H1039" s="260">
        <v>11111</v>
      </c>
      <c r="I1039" s="260">
        <v>22222</v>
      </c>
      <c r="J1039" s="260">
        <v>0</v>
      </c>
      <c r="K1039" s="260">
        <v>22222</v>
      </c>
      <c r="L1039" s="260">
        <v>1778</v>
      </c>
      <c r="M1039" s="260">
        <v>24000</v>
      </c>
      <c r="N1039" s="119">
        <v>5.1000000000000004E-3</v>
      </c>
      <c r="O1039" s="462" t="s">
        <v>934</v>
      </c>
    </row>
    <row r="1040" spans="1:15" ht="18" customHeight="1" x14ac:dyDescent="0.25">
      <c r="A1040" s="116">
        <v>14</v>
      </c>
      <c r="B1040" s="117" t="s">
        <v>115</v>
      </c>
      <c r="C1040" s="116">
        <v>6</v>
      </c>
      <c r="D1040" s="120" t="s">
        <v>89</v>
      </c>
      <c r="E1040" s="120" t="s">
        <v>994</v>
      </c>
      <c r="F1040" s="117" t="s">
        <v>933</v>
      </c>
      <c r="G1040" s="281">
        <v>1</v>
      </c>
      <c r="H1040" s="260">
        <v>14815</v>
      </c>
      <c r="I1040" s="260">
        <v>14815</v>
      </c>
      <c r="J1040" s="260">
        <v>0</v>
      </c>
      <c r="K1040" s="260">
        <v>14815</v>
      </c>
      <c r="L1040" s="260">
        <v>1185</v>
      </c>
      <c r="M1040" s="260">
        <v>16000</v>
      </c>
      <c r="N1040" s="119">
        <v>3.3999999999999998E-3</v>
      </c>
      <c r="O1040" s="462" t="s">
        <v>934</v>
      </c>
    </row>
    <row r="1041" spans="1:15" ht="18" customHeight="1" x14ac:dyDescent="0.25">
      <c r="A1041" s="116">
        <v>14</v>
      </c>
      <c r="B1041" s="117" t="s">
        <v>115</v>
      </c>
      <c r="C1041" s="116">
        <v>8</v>
      </c>
      <c r="D1041" s="120" t="s">
        <v>87</v>
      </c>
      <c r="E1041" s="120" t="s">
        <v>156</v>
      </c>
      <c r="F1041" s="117" t="s">
        <v>933</v>
      </c>
      <c r="G1041" s="281">
        <v>15</v>
      </c>
      <c r="H1041" s="260">
        <v>18580</v>
      </c>
      <c r="I1041" s="260">
        <v>278704</v>
      </c>
      <c r="J1041" s="260">
        <v>0</v>
      </c>
      <c r="K1041" s="260">
        <v>278704</v>
      </c>
      <c r="L1041" s="260">
        <v>22296</v>
      </c>
      <c r="M1041" s="260">
        <v>301000</v>
      </c>
      <c r="N1041" s="119">
        <v>6.4500000000000002E-2</v>
      </c>
      <c r="O1041" s="462" t="s">
        <v>934</v>
      </c>
    </row>
    <row r="1042" spans="1:15" ht="18" customHeight="1" x14ac:dyDescent="0.25">
      <c r="A1042" s="116">
        <v>14</v>
      </c>
      <c r="B1042" s="117" t="s">
        <v>115</v>
      </c>
      <c r="C1042" s="116">
        <v>87</v>
      </c>
      <c r="D1042" s="120" t="s">
        <v>89</v>
      </c>
      <c r="E1042" s="120" t="s">
        <v>144</v>
      </c>
      <c r="F1042" s="117" t="s">
        <v>933</v>
      </c>
      <c r="G1042" s="281">
        <v>4</v>
      </c>
      <c r="H1042" s="260">
        <v>37500</v>
      </c>
      <c r="I1042" s="260">
        <v>150000</v>
      </c>
      <c r="J1042" s="260">
        <v>0</v>
      </c>
      <c r="K1042" s="260">
        <v>150000</v>
      </c>
      <c r="L1042" s="260">
        <v>12000</v>
      </c>
      <c r="M1042" s="260">
        <v>162000</v>
      </c>
      <c r="N1042" s="119">
        <v>3.4700000000000002E-2</v>
      </c>
      <c r="O1042" s="462" t="s">
        <v>934</v>
      </c>
    </row>
    <row r="1043" spans="1:15" ht="18" customHeight="1" x14ac:dyDescent="0.25">
      <c r="A1043" s="116">
        <v>14</v>
      </c>
      <c r="B1043" s="117" t="s">
        <v>115</v>
      </c>
      <c r="C1043" s="116">
        <v>264</v>
      </c>
      <c r="D1043" s="120" t="s">
        <v>91</v>
      </c>
      <c r="E1043" s="120" t="s">
        <v>995</v>
      </c>
      <c r="F1043" s="117" t="s">
        <v>933</v>
      </c>
      <c r="G1043" s="281">
        <v>2</v>
      </c>
      <c r="H1043" s="260">
        <v>4630</v>
      </c>
      <c r="I1043" s="260">
        <v>9259</v>
      </c>
      <c r="J1043" s="260">
        <v>0</v>
      </c>
      <c r="K1043" s="260">
        <v>9259</v>
      </c>
      <c r="L1043" s="260">
        <v>741</v>
      </c>
      <c r="M1043" s="260">
        <v>10000</v>
      </c>
      <c r="N1043" s="119">
        <v>2.0999999999999999E-3</v>
      </c>
      <c r="O1043" s="462" t="s">
        <v>934</v>
      </c>
    </row>
    <row r="1044" spans="1:15" ht="18" customHeight="1" x14ac:dyDescent="0.25">
      <c r="A1044" s="116">
        <v>14</v>
      </c>
      <c r="B1044" s="117" t="s">
        <v>115</v>
      </c>
      <c r="C1044" s="116">
        <v>83</v>
      </c>
      <c r="D1044" s="120" t="s">
        <v>87</v>
      </c>
      <c r="E1044" s="120" t="s">
        <v>946</v>
      </c>
      <c r="F1044" s="117" t="s">
        <v>933</v>
      </c>
      <c r="G1044" s="281">
        <v>5</v>
      </c>
      <c r="H1044" s="260">
        <v>20833</v>
      </c>
      <c r="I1044" s="260">
        <v>104167</v>
      </c>
      <c r="J1044" s="260">
        <v>0</v>
      </c>
      <c r="K1044" s="260">
        <v>104167</v>
      </c>
      <c r="L1044" s="260">
        <v>8333</v>
      </c>
      <c r="M1044" s="260">
        <v>112500</v>
      </c>
      <c r="N1044" s="119">
        <v>2.41E-2</v>
      </c>
      <c r="O1044" s="462" t="s">
        <v>934</v>
      </c>
    </row>
    <row r="1045" spans="1:15" ht="18" customHeight="1" x14ac:dyDescent="0.25">
      <c r="A1045" s="116">
        <v>14</v>
      </c>
      <c r="B1045" s="117" t="s">
        <v>115</v>
      </c>
      <c r="C1045" s="116">
        <v>27</v>
      </c>
      <c r="D1045" s="120" t="s">
        <v>87</v>
      </c>
      <c r="E1045" s="120" t="s">
        <v>1064</v>
      </c>
      <c r="F1045" s="117" t="s">
        <v>933</v>
      </c>
      <c r="G1045" s="281">
        <v>6</v>
      </c>
      <c r="H1045" s="260">
        <v>18827</v>
      </c>
      <c r="I1045" s="260">
        <v>112963</v>
      </c>
      <c r="J1045" s="260">
        <v>0</v>
      </c>
      <c r="K1045" s="260">
        <v>112963</v>
      </c>
      <c r="L1045" s="260">
        <v>9037</v>
      </c>
      <c r="M1045" s="260">
        <v>122000</v>
      </c>
      <c r="N1045" s="119">
        <v>2.6100000000000002E-2</v>
      </c>
      <c r="O1045" s="462" t="s">
        <v>934</v>
      </c>
    </row>
    <row r="1046" spans="1:15" ht="18" customHeight="1" x14ac:dyDescent="0.25">
      <c r="A1046" s="116">
        <v>14</v>
      </c>
      <c r="B1046" s="117" t="s">
        <v>115</v>
      </c>
      <c r="C1046" s="116">
        <v>122</v>
      </c>
      <c r="D1046" s="120" t="s">
        <v>91</v>
      </c>
      <c r="E1046" s="120" t="s">
        <v>948</v>
      </c>
      <c r="F1046" s="117" t="s">
        <v>933</v>
      </c>
      <c r="G1046" s="281">
        <v>2</v>
      </c>
      <c r="H1046" s="260">
        <v>2778</v>
      </c>
      <c r="I1046" s="260">
        <v>5556</v>
      </c>
      <c r="J1046" s="260">
        <v>0</v>
      </c>
      <c r="K1046" s="260">
        <v>5556</v>
      </c>
      <c r="L1046" s="260">
        <v>444</v>
      </c>
      <c r="M1046" s="260">
        <v>6000</v>
      </c>
      <c r="N1046" s="119">
        <v>1.2999999999999999E-3</v>
      </c>
      <c r="O1046" s="462" t="s">
        <v>934</v>
      </c>
    </row>
    <row r="1047" spans="1:15" ht="18" customHeight="1" x14ac:dyDescent="0.25">
      <c r="A1047" s="116">
        <v>14</v>
      </c>
      <c r="B1047" s="117" t="s">
        <v>115</v>
      </c>
      <c r="C1047" s="116">
        <v>42</v>
      </c>
      <c r="D1047" s="120" t="s">
        <v>87</v>
      </c>
      <c r="E1047" s="120" t="s">
        <v>360</v>
      </c>
      <c r="F1047" s="117" t="s">
        <v>933</v>
      </c>
      <c r="G1047" s="281">
        <v>2</v>
      </c>
      <c r="H1047" s="260">
        <v>32407</v>
      </c>
      <c r="I1047" s="260">
        <v>64815</v>
      </c>
      <c r="J1047" s="260">
        <v>0</v>
      </c>
      <c r="K1047" s="260">
        <v>64815</v>
      </c>
      <c r="L1047" s="260">
        <v>5185</v>
      </c>
      <c r="M1047" s="260">
        <v>70000</v>
      </c>
      <c r="N1047" s="119">
        <v>1.4999999999999999E-2</v>
      </c>
      <c r="O1047" s="462" t="s">
        <v>934</v>
      </c>
    </row>
    <row r="1048" spans="1:15" ht="18" customHeight="1" x14ac:dyDescent="0.25">
      <c r="A1048" s="116">
        <v>14</v>
      </c>
      <c r="B1048" s="117" t="s">
        <v>115</v>
      </c>
      <c r="C1048" s="116">
        <v>110</v>
      </c>
      <c r="D1048" s="120" t="s">
        <v>99</v>
      </c>
      <c r="E1048" s="120" t="s">
        <v>949</v>
      </c>
      <c r="F1048" s="117" t="s">
        <v>933</v>
      </c>
      <c r="G1048" s="281">
        <v>9</v>
      </c>
      <c r="H1048" s="260">
        <v>926</v>
      </c>
      <c r="I1048" s="260">
        <v>8333</v>
      </c>
      <c r="J1048" s="260">
        <v>0</v>
      </c>
      <c r="K1048" s="260">
        <v>8333</v>
      </c>
      <c r="L1048" s="260">
        <v>667</v>
      </c>
      <c r="M1048" s="260">
        <v>9000</v>
      </c>
      <c r="N1048" s="119">
        <v>1.9E-3</v>
      </c>
      <c r="O1048" s="462" t="s">
        <v>934</v>
      </c>
    </row>
    <row r="1049" spans="1:15" ht="18" customHeight="1" x14ac:dyDescent="0.25">
      <c r="A1049" s="116">
        <v>14</v>
      </c>
      <c r="B1049" s="117" t="s">
        <v>115</v>
      </c>
      <c r="C1049" s="116">
        <v>102</v>
      </c>
      <c r="D1049" s="120" t="s">
        <v>87</v>
      </c>
      <c r="E1049" s="120" t="s">
        <v>998</v>
      </c>
      <c r="F1049" s="117" t="s">
        <v>933</v>
      </c>
      <c r="G1049" s="281">
        <v>1</v>
      </c>
      <c r="H1049" s="260">
        <v>6944</v>
      </c>
      <c r="I1049" s="260">
        <v>6944</v>
      </c>
      <c r="J1049" s="260">
        <v>0</v>
      </c>
      <c r="K1049" s="260">
        <v>6944</v>
      </c>
      <c r="L1049" s="260">
        <v>556</v>
      </c>
      <c r="M1049" s="260">
        <v>7500</v>
      </c>
      <c r="N1049" s="119">
        <v>1.6000000000000001E-3</v>
      </c>
      <c r="O1049" s="462" t="s">
        <v>934</v>
      </c>
    </row>
    <row r="1050" spans="1:15" ht="18" customHeight="1" x14ac:dyDescent="0.25">
      <c r="A1050" s="116">
        <v>14</v>
      </c>
      <c r="B1050" s="117" t="s">
        <v>115</v>
      </c>
      <c r="C1050" s="116">
        <v>26</v>
      </c>
      <c r="D1050" s="120" t="s">
        <v>87</v>
      </c>
      <c r="E1050" s="120" t="s">
        <v>1016</v>
      </c>
      <c r="F1050" s="117" t="s">
        <v>933</v>
      </c>
      <c r="G1050" s="281">
        <v>4</v>
      </c>
      <c r="H1050" s="260">
        <v>18750</v>
      </c>
      <c r="I1050" s="260">
        <v>75000</v>
      </c>
      <c r="J1050" s="260">
        <v>0</v>
      </c>
      <c r="K1050" s="260">
        <v>75000</v>
      </c>
      <c r="L1050" s="260">
        <v>6000</v>
      </c>
      <c r="M1050" s="260">
        <v>81000</v>
      </c>
      <c r="N1050" s="119">
        <v>1.7299999999999999E-2</v>
      </c>
      <c r="O1050" s="462" t="s">
        <v>934</v>
      </c>
    </row>
    <row r="1051" spans="1:15" ht="18" customHeight="1" x14ac:dyDescent="0.25">
      <c r="A1051" s="116">
        <v>14</v>
      </c>
      <c r="B1051" s="117" t="s">
        <v>115</v>
      </c>
      <c r="C1051" s="116">
        <v>45</v>
      </c>
      <c r="D1051" s="120" t="s">
        <v>87</v>
      </c>
      <c r="E1051" s="120" t="s">
        <v>950</v>
      </c>
      <c r="F1051" s="117" t="s">
        <v>933</v>
      </c>
      <c r="G1051" s="281">
        <v>2</v>
      </c>
      <c r="H1051" s="260">
        <v>35648</v>
      </c>
      <c r="I1051" s="260">
        <v>71296</v>
      </c>
      <c r="J1051" s="260">
        <v>0</v>
      </c>
      <c r="K1051" s="260">
        <v>71296</v>
      </c>
      <c r="L1051" s="260">
        <v>5704</v>
      </c>
      <c r="M1051" s="260">
        <v>77000</v>
      </c>
      <c r="N1051" s="119">
        <v>1.6500000000000001E-2</v>
      </c>
      <c r="O1051" s="462" t="s">
        <v>934</v>
      </c>
    </row>
    <row r="1052" spans="1:15" ht="18" customHeight="1" x14ac:dyDescent="0.25">
      <c r="A1052" s="116">
        <v>14</v>
      </c>
      <c r="B1052" s="117" t="s">
        <v>115</v>
      </c>
      <c r="C1052" s="116">
        <v>30</v>
      </c>
      <c r="D1052" s="120" t="s">
        <v>95</v>
      </c>
      <c r="E1052" s="120" t="s">
        <v>951</v>
      </c>
      <c r="F1052" s="117" t="s">
        <v>933</v>
      </c>
      <c r="G1052" s="281">
        <v>1</v>
      </c>
      <c r="H1052" s="260">
        <v>6481</v>
      </c>
      <c r="I1052" s="260">
        <v>6481</v>
      </c>
      <c r="J1052" s="260">
        <v>0</v>
      </c>
      <c r="K1052" s="260">
        <v>6481</v>
      </c>
      <c r="L1052" s="260">
        <v>519</v>
      </c>
      <c r="M1052" s="260">
        <v>7000</v>
      </c>
      <c r="N1052" s="119">
        <v>1.5E-3</v>
      </c>
      <c r="O1052" s="462" t="s">
        <v>934</v>
      </c>
    </row>
    <row r="1053" spans="1:15" ht="18" customHeight="1" x14ac:dyDescent="0.25">
      <c r="A1053" s="116">
        <v>14</v>
      </c>
      <c r="B1053" s="117" t="s">
        <v>115</v>
      </c>
      <c r="C1053" s="116">
        <v>94</v>
      </c>
      <c r="D1053" s="120" t="s">
        <v>89</v>
      </c>
      <c r="E1053" s="120" t="s">
        <v>150</v>
      </c>
      <c r="F1053" s="117" t="s">
        <v>933</v>
      </c>
      <c r="G1053" s="281">
        <v>5</v>
      </c>
      <c r="H1053" s="260">
        <v>18519</v>
      </c>
      <c r="I1053" s="260">
        <v>92593</v>
      </c>
      <c r="J1053" s="260">
        <v>0</v>
      </c>
      <c r="K1053" s="260">
        <v>92593</v>
      </c>
      <c r="L1053" s="260">
        <v>7407</v>
      </c>
      <c r="M1053" s="260">
        <v>100000</v>
      </c>
      <c r="N1053" s="119">
        <v>2.1399999999999999E-2</v>
      </c>
      <c r="O1053" s="462" t="s">
        <v>934</v>
      </c>
    </row>
    <row r="1054" spans="1:15" ht="18" customHeight="1" x14ac:dyDescent="0.25">
      <c r="A1054" s="116">
        <v>14</v>
      </c>
      <c r="B1054" s="117" t="s">
        <v>115</v>
      </c>
      <c r="C1054" s="116">
        <v>233</v>
      </c>
      <c r="D1054" s="120" t="s">
        <v>89</v>
      </c>
      <c r="E1054" s="120" t="s">
        <v>117</v>
      </c>
      <c r="F1054" s="117" t="s">
        <v>933</v>
      </c>
      <c r="G1054" s="281">
        <v>30</v>
      </c>
      <c r="H1054" s="260">
        <v>18611</v>
      </c>
      <c r="I1054" s="260">
        <v>558333</v>
      </c>
      <c r="J1054" s="260">
        <v>0</v>
      </c>
      <c r="K1054" s="260">
        <v>558333</v>
      </c>
      <c r="L1054" s="260">
        <v>44667</v>
      </c>
      <c r="M1054" s="260">
        <v>603000</v>
      </c>
      <c r="N1054" s="119">
        <v>0.12909999999999999</v>
      </c>
      <c r="O1054" s="462" t="s">
        <v>934</v>
      </c>
    </row>
    <row r="1055" spans="1:15" ht="18" customHeight="1" x14ac:dyDescent="0.25">
      <c r="A1055" s="116">
        <v>14</v>
      </c>
      <c r="B1055" s="117" t="s">
        <v>115</v>
      </c>
      <c r="C1055" s="116">
        <v>218</v>
      </c>
      <c r="D1055" s="120" t="s">
        <v>89</v>
      </c>
      <c r="E1055" s="120" t="s">
        <v>954</v>
      </c>
      <c r="F1055" s="117" t="s">
        <v>933</v>
      </c>
      <c r="G1055" s="281">
        <v>5</v>
      </c>
      <c r="H1055" s="260">
        <v>18704</v>
      </c>
      <c r="I1055" s="260">
        <v>93519</v>
      </c>
      <c r="J1055" s="260">
        <v>0</v>
      </c>
      <c r="K1055" s="260">
        <v>93519</v>
      </c>
      <c r="L1055" s="260">
        <v>7481</v>
      </c>
      <c r="M1055" s="260">
        <v>101000</v>
      </c>
      <c r="N1055" s="119">
        <v>2.1600000000000001E-2</v>
      </c>
      <c r="O1055" s="462" t="s">
        <v>934</v>
      </c>
    </row>
    <row r="1056" spans="1:15" ht="18" customHeight="1" x14ac:dyDescent="0.25">
      <c r="A1056" s="116">
        <v>14</v>
      </c>
      <c r="B1056" s="117" t="s">
        <v>115</v>
      </c>
      <c r="C1056" s="116">
        <v>34</v>
      </c>
      <c r="D1056" s="120" t="s">
        <v>91</v>
      </c>
      <c r="E1056" s="120" t="s">
        <v>955</v>
      </c>
      <c r="F1056" s="117" t="s">
        <v>933</v>
      </c>
      <c r="G1056" s="281">
        <v>1</v>
      </c>
      <c r="H1056" s="260">
        <v>6481</v>
      </c>
      <c r="I1056" s="260">
        <v>6481</v>
      </c>
      <c r="J1056" s="260">
        <v>0</v>
      </c>
      <c r="K1056" s="260">
        <v>6481</v>
      </c>
      <c r="L1056" s="260">
        <v>519</v>
      </c>
      <c r="M1056" s="260">
        <v>7000</v>
      </c>
      <c r="N1056" s="119">
        <v>1.5E-3</v>
      </c>
      <c r="O1056" s="462" t="s">
        <v>934</v>
      </c>
    </row>
    <row r="1057" spans="1:15" ht="18" customHeight="1" x14ac:dyDescent="0.25">
      <c r="A1057" s="116">
        <v>14</v>
      </c>
      <c r="B1057" s="117" t="s">
        <v>115</v>
      </c>
      <c r="C1057" s="116">
        <v>121</v>
      </c>
      <c r="D1057" s="120" t="s">
        <v>91</v>
      </c>
      <c r="E1057" s="120" t="s">
        <v>956</v>
      </c>
      <c r="F1057" s="117" t="s">
        <v>933</v>
      </c>
      <c r="G1057" s="281">
        <v>1</v>
      </c>
      <c r="H1057" s="260">
        <v>2778</v>
      </c>
      <c r="I1057" s="260">
        <v>2778</v>
      </c>
      <c r="J1057" s="260">
        <v>0</v>
      </c>
      <c r="K1057" s="260">
        <v>2778</v>
      </c>
      <c r="L1057" s="260">
        <v>222</v>
      </c>
      <c r="M1057" s="260">
        <v>3000</v>
      </c>
      <c r="N1057" s="119">
        <v>5.9999999999999995E-4</v>
      </c>
      <c r="O1057" s="462" t="s">
        <v>934</v>
      </c>
    </row>
    <row r="1058" spans="1:15" ht="18" customHeight="1" x14ac:dyDescent="0.25">
      <c r="A1058" s="116">
        <v>14</v>
      </c>
      <c r="B1058" s="117" t="s">
        <v>115</v>
      </c>
      <c r="C1058" s="116">
        <v>208</v>
      </c>
      <c r="D1058" s="120" t="s">
        <v>91</v>
      </c>
      <c r="E1058" s="120" t="s">
        <v>957</v>
      </c>
      <c r="F1058" s="117" t="s">
        <v>933</v>
      </c>
      <c r="G1058" s="281">
        <v>6</v>
      </c>
      <c r="H1058" s="260">
        <v>3704</v>
      </c>
      <c r="I1058" s="260">
        <v>22222</v>
      </c>
      <c r="J1058" s="260">
        <v>0</v>
      </c>
      <c r="K1058" s="260">
        <v>22222</v>
      </c>
      <c r="L1058" s="260">
        <v>1778</v>
      </c>
      <c r="M1058" s="260">
        <v>24000</v>
      </c>
      <c r="N1058" s="119">
        <v>5.1000000000000004E-3</v>
      </c>
      <c r="O1058" s="462" t="s">
        <v>934</v>
      </c>
    </row>
    <row r="1059" spans="1:15" ht="18" customHeight="1" x14ac:dyDescent="0.25">
      <c r="A1059" s="116">
        <v>14</v>
      </c>
      <c r="B1059" s="117" t="s">
        <v>115</v>
      </c>
      <c r="C1059" s="116">
        <v>318</v>
      </c>
      <c r="D1059" s="120" t="s">
        <v>91</v>
      </c>
      <c r="E1059" s="120" t="s">
        <v>1067</v>
      </c>
      <c r="F1059" s="117" t="s">
        <v>933</v>
      </c>
      <c r="G1059" s="281">
        <v>1</v>
      </c>
      <c r="H1059" s="260">
        <v>4630</v>
      </c>
      <c r="I1059" s="260">
        <v>4630</v>
      </c>
      <c r="J1059" s="260">
        <v>0</v>
      </c>
      <c r="K1059" s="260">
        <v>4630</v>
      </c>
      <c r="L1059" s="260">
        <v>370</v>
      </c>
      <c r="M1059" s="260">
        <v>5000</v>
      </c>
      <c r="N1059" s="119">
        <v>1.1000000000000001E-3</v>
      </c>
      <c r="O1059" s="462" t="s">
        <v>934</v>
      </c>
    </row>
    <row r="1060" spans="1:15" ht="18" customHeight="1" x14ac:dyDescent="0.25">
      <c r="A1060" s="116">
        <v>14</v>
      </c>
      <c r="B1060" s="117" t="s">
        <v>115</v>
      </c>
      <c r="C1060" s="116">
        <v>90</v>
      </c>
      <c r="D1060" s="120" t="s">
        <v>91</v>
      </c>
      <c r="E1060" s="120" t="s">
        <v>487</v>
      </c>
      <c r="F1060" s="117" t="s">
        <v>933</v>
      </c>
      <c r="G1060" s="281">
        <v>1</v>
      </c>
      <c r="H1060" s="260">
        <v>4259</v>
      </c>
      <c r="I1060" s="260">
        <v>4259</v>
      </c>
      <c r="J1060" s="260">
        <v>0</v>
      </c>
      <c r="K1060" s="260">
        <v>4259</v>
      </c>
      <c r="L1060" s="260">
        <v>341</v>
      </c>
      <c r="M1060" s="260">
        <v>4600</v>
      </c>
      <c r="N1060" s="119">
        <v>1E-3</v>
      </c>
      <c r="O1060" s="462" t="s">
        <v>934</v>
      </c>
    </row>
    <row r="1061" spans="1:15" ht="18" customHeight="1" x14ac:dyDescent="0.25">
      <c r="A1061" s="116">
        <v>14</v>
      </c>
      <c r="B1061" s="117" t="s">
        <v>115</v>
      </c>
      <c r="C1061" s="116">
        <v>123</v>
      </c>
      <c r="D1061" s="120" t="s">
        <v>91</v>
      </c>
      <c r="E1061" s="120" t="s">
        <v>958</v>
      </c>
      <c r="F1061" s="117" t="s">
        <v>933</v>
      </c>
      <c r="G1061" s="281">
        <v>2</v>
      </c>
      <c r="H1061" s="260">
        <v>2778</v>
      </c>
      <c r="I1061" s="260">
        <v>5556</v>
      </c>
      <c r="J1061" s="260">
        <v>0</v>
      </c>
      <c r="K1061" s="260">
        <v>5556</v>
      </c>
      <c r="L1061" s="260">
        <v>444</v>
      </c>
      <c r="M1061" s="260">
        <v>6000</v>
      </c>
      <c r="N1061" s="119">
        <v>1.2999999999999999E-3</v>
      </c>
      <c r="O1061" s="462" t="s">
        <v>934</v>
      </c>
    </row>
    <row r="1062" spans="1:15" ht="18" customHeight="1" x14ac:dyDescent="0.25">
      <c r="A1062" s="116">
        <v>14</v>
      </c>
      <c r="B1062" s="117" t="s">
        <v>115</v>
      </c>
      <c r="C1062" s="116">
        <v>31</v>
      </c>
      <c r="D1062" s="120" t="s">
        <v>95</v>
      </c>
      <c r="E1062" s="120" t="s">
        <v>959</v>
      </c>
      <c r="F1062" s="117" t="s">
        <v>933</v>
      </c>
      <c r="G1062" s="281">
        <v>7</v>
      </c>
      <c r="H1062" s="260">
        <v>1204</v>
      </c>
      <c r="I1062" s="260">
        <v>8426</v>
      </c>
      <c r="J1062" s="260">
        <v>0</v>
      </c>
      <c r="K1062" s="260">
        <v>8426</v>
      </c>
      <c r="L1062" s="260">
        <v>674</v>
      </c>
      <c r="M1062" s="260">
        <v>9100</v>
      </c>
      <c r="N1062" s="119">
        <v>1.9E-3</v>
      </c>
      <c r="O1062" s="462" t="s">
        <v>934</v>
      </c>
    </row>
    <row r="1063" spans="1:15" ht="18" customHeight="1" x14ac:dyDescent="0.25">
      <c r="A1063" s="116">
        <v>14</v>
      </c>
      <c r="B1063" s="117" t="s">
        <v>115</v>
      </c>
      <c r="C1063" s="116">
        <v>74</v>
      </c>
      <c r="D1063" s="120" t="s">
        <v>91</v>
      </c>
      <c r="E1063" s="120" t="s">
        <v>1000</v>
      </c>
      <c r="F1063" s="117" t="s">
        <v>933</v>
      </c>
      <c r="G1063" s="281">
        <v>1</v>
      </c>
      <c r="H1063" s="260">
        <v>6481</v>
      </c>
      <c r="I1063" s="260">
        <v>6481</v>
      </c>
      <c r="J1063" s="260">
        <v>0</v>
      </c>
      <c r="K1063" s="260">
        <v>6481</v>
      </c>
      <c r="L1063" s="260">
        <v>519</v>
      </c>
      <c r="M1063" s="260">
        <v>7000</v>
      </c>
      <c r="N1063" s="119">
        <v>1.5E-3</v>
      </c>
      <c r="O1063" s="462" t="s">
        <v>934</v>
      </c>
    </row>
    <row r="1064" spans="1:15" ht="18" customHeight="1" x14ac:dyDescent="0.25">
      <c r="A1064" s="116">
        <v>14</v>
      </c>
      <c r="B1064" s="117" t="s">
        <v>115</v>
      </c>
      <c r="C1064" s="116">
        <v>235</v>
      </c>
      <c r="D1064" s="120" t="s">
        <v>91</v>
      </c>
      <c r="E1064" s="120" t="s">
        <v>1001</v>
      </c>
      <c r="F1064" s="117" t="s">
        <v>933</v>
      </c>
      <c r="G1064" s="281">
        <v>2</v>
      </c>
      <c r="H1064" s="260">
        <v>3426</v>
      </c>
      <c r="I1064" s="260">
        <v>6852</v>
      </c>
      <c r="J1064" s="260">
        <v>0</v>
      </c>
      <c r="K1064" s="260">
        <v>6852</v>
      </c>
      <c r="L1064" s="260">
        <v>548</v>
      </c>
      <c r="M1064" s="260">
        <v>7400</v>
      </c>
      <c r="N1064" s="119">
        <v>1.6000000000000001E-3</v>
      </c>
      <c r="O1064" s="462" t="s">
        <v>934</v>
      </c>
    </row>
    <row r="1065" spans="1:15" ht="18" customHeight="1" x14ac:dyDescent="0.25">
      <c r="A1065" s="116">
        <v>14</v>
      </c>
      <c r="B1065" s="117" t="s">
        <v>115</v>
      </c>
      <c r="C1065" s="116">
        <v>134</v>
      </c>
      <c r="D1065" s="120" t="s">
        <v>91</v>
      </c>
      <c r="E1065" s="120" t="s">
        <v>1017</v>
      </c>
      <c r="F1065" s="117" t="s">
        <v>933</v>
      </c>
      <c r="G1065" s="281">
        <v>1</v>
      </c>
      <c r="H1065" s="260">
        <v>12963</v>
      </c>
      <c r="I1065" s="260">
        <v>12963</v>
      </c>
      <c r="J1065" s="260">
        <v>0</v>
      </c>
      <c r="K1065" s="260">
        <v>12963</v>
      </c>
      <c r="L1065" s="260">
        <v>1037</v>
      </c>
      <c r="M1065" s="260">
        <v>14000</v>
      </c>
      <c r="N1065" s="119">
        <v>3.0000000000000001E-3</v>
      </c>
      <c r="O1065" s="462" t="s">
        <v>934</v>
      </c>
    </row>
    <row r="1066" spans="1:15" ht="18" customHeight="1" x14ac:dyDescent="0.25">
      <c r="A1066" s="116">
        <v>14</v>
      </c>
      <c r="B1066" s="117" t="s">
        <v>115</v>
      </c>
      <c r="C1066" s="116">
        <v>75</v>
      </c>
      <c r="D1066" s="120" t="s">
        <v>91</v>
      </c>
      <c r="E1066" s="120" t="s">
        <v>961</v>
      </c>
      <c r="F1066" s="117" t="s">
        <v>933</v>
      </c>
      <c r="G1066" s="281">
        <v>1</v>
      </c>
      <c r="H1066" s="260">
        <v>9259</v>
      </c>
      <c r="I1066" s="260">
        <v>9259</v>
      </c>
      <c r="J1066" s="260">
        <v>0</v>
      </c>
      <c r="K1066" s="260">
        <v>9259</v>
      </c>
      <c r="L1066" s="260">
        <v>741</v>
      </c>
      <c r="M1066" s="260">
        <v>10000</v>
      </c>
      <c r="N1066" s="119">
        <v>2.0999999999999999E-3</v>
      </c>
      <c r="O1066" s="462" t="s">
        <v>934</v>
      </c>
    </row>
    <row r="1067" spans="1:15" ht="18" customHeight="1" x14ac:dyDescent="0.25">
      <c r="A1067" s="116">
        <v>14</v>
      </c>
      <c r="B1067" s="117" t="s">
        <v>115</v>
      </c>
      <c r="C1067" s="116">
        <v>118</v>
      </c>
      <c r="D1067" s="120" t="s">
        <v>87</v>
      </c>
      <c r="E1067" s="120" t="s">
        <v>126</v>
      </c>
      <c r="F1067" s="117" t="s">
        <v>933</v>
      </c>
      <c r="G1067" s="281">
        <v>3</v>
      </c>
      <c r="H1067" s="260">
        <v>41667</v>
      </c>
      <c r="I1067" s="260">
        <v>125000</v>
      </c>
      <c r="J1067" s="260">
        <v>0</v>
      </c>
      <c r="K1067" s="260">
        <v>125000</v>
      </c>
      <c r="L1067" s="260">
        <v>10000</v>
      </c>
      <c r="M1067" s="260">
        <v>135000</v>
      </c>
      <c r="N1067" s="119">
        <v>2.8899999999999999E-2</v>
      </c>
      <c r="O1067" s="462" t="s">
        <v>934</v>
      </c>
    </row>
    <row r="1068" spans="1:15" ht="18" customHeight="1" x14ac:dyDescent="0.25">
      <c r="A1068" s="116">
        <v>14</v>
      </c>
      <c r="B1068" s="117" t="s">
        <v>115</v>
      </c>
      <c r="C1068" s="116">
        <v>205</v>
      </c>
      <c r="D1068" s="120" t="s">
        <v>91</v>
      </c>
      <c r="E1068" s="120" t="s">
        <v>1002</v>
      </c>
      <c r="F1068" s="117" t="s">
        <v>933</v>
      </c>
      <c r="G1068" s="281">
        <v>2</v>
      </c>
      <c r="H1068" s="260">
        <v>12037</v>
      </c>
      <c r="I1068" s="260">
        <v>24074</v>
      </c>
      <c r="J1068" s="260">
        <v>0</v>
      </c>
      <c r="K1068" s="260">
        <v>24074</v>
      </c>
      <c r="L1068" s="260">
        <v>1926</v>
      </c>
      <c r="M1068" s="260">
        <v>26000</v>
      </c>
      <c r="N1068" s="119">
        <v>5.6000000000000008E-3</v>
      </c>
      <c r="O1068" s="462" t="s">
        <v>934</v>
      </c>
    </row>
    <row r="1069" spans="1:15" ht="18" customHeight="1" x14ac:dyDescent="0.25">
      <c r="A1069" s="116">
        <v>14</v>
      </c>
      <c r="B1069" s="117" t="s">
        <v>115</v>
      </c>
      <c r="C1069" s="116">
        <v>109</v>
      </c>
      <c r="D1069" s="120" t="s">
        <v>91</v>
      </c>
      <c r="E1069" s="120" t="s">
        <v>147</v>
      </c>
      <c r="F1069" s="117" t="s">
        <v>933</v>
      </c>
      <c r="G1069" s="281">
        <v>2</v>
      </c>
      <c r="H1069" s="260">
        <v>12963</v>
      </c>
      <c r="I1069" s="260">
        <v>25926</v>
      </c>
      <c r="J1069" s="260">
        <v>0</v>
      </c>
      <c r="K1069" s="260">
        <v>25926</v>
      </c>
      <c r="L1069" s="260">
        <v>2074</v>
      </c>
      <c r="M1069" s="260">
        <v>28000</v>
      </c>
      <c r="N1069" s="119">
        <v>6.0000000000000001E-3</v>
      </c>
      <c r="O1069" s="462" t="s">
        <v>934</v>
      </c>
    </row>
    <row r="1070" spans="1:15" ht="18" customHeight="1" x14ac:dyDescent="0.25">
      <c r="A1070" s="116">
        <v>14</v>
      </c>
      <c r="B1070" s="117" t="s">
        <v>115</v>
      </c>
      <c r="C1070" s="116">
        <v>147</v>
      </c>
      <c r="D1070" s="120" t="s">
        <v>91</v>
      </c>
      <c r="E1070" s="120" t="s">
        <v>963</v>
      </c>
      <c r="F1070" s="117" t="s">
        <v>933</v>
      </c>
      <c r="G1070" s="281">
        <v>3</v>
      </c>
      <c r="H1070" s="260">
        <v>6481</v>
      </c>
      <c r="I1070" s="260">
        <v>19444</v>
      </c>
      <c r="J1070" s="260">
        <v>0</v>
      </c>
      <c r="K1070" s="260">
        <v>19444</v>
      </c>
      <c r="L1070" s="260">
        <v>1556</v>
      </c>
      <c r="M1070" s="260">
        <v>21000</v>
      </c>
      <c r="N1070" s="119">
        <v>4.5000000000000014E-3</v>
      </c>
      <c r="O1070" s="462" t="s">
        <v>934</v>
      </c>
    </row>
    <row r="1071" spans="1:15" ht="18" customHeight="1" x14ac:dyDescent="0.25">
      <c r="A1071" s="116">
        <v>14</v>
      </c>
      <c r="B1071" s="117" t="s">
        <v>115</v>
      </c>
      <c r="C1071" s="116">
        <v>46</v>
      </c>
      <c r="D1071" s="120" t="s">
        <v>87</v>
      </c>
      <c r="E1071" s="120" t="s">
        <v>964</v>
      </c>
      <c r="F1071" s="117" t="s">
        <v>933</v>
      </c>
      <c r="G1071" s="281">
        <v>1</v>
      </c>
      <c r="H1071" s="260">
        <v>35648</v>
      </c>
      <c r="I1071" s="260">
        <v>35648</v>
      </c>
      <c r="J1071" s="260">
        <v>0</v>
      </c>
      <c r="K1071" s="260">
        <v>35648</v>
      </c>
      <c r="L1071" s="260">
        <v>2852</v>
      </c>
      <c r="M1071" s="260">
        <v>38500</v>
      </c>
      <c r="N1071" s="119">
        <v>8.199999999999999E-3</v>
      </c>
      <c r="O1071" s="462" t="s">
        <v>934</v>
      </c>
    </row>
    <row r="1072" spans="1:15" ht="18" customHeight="1" x14ac:dyDescent="0.25">
      <c r="A1072" s="116">
        <v>14</v>
      </c>
      <c r="B1072" s="117" t="s">
        <v>115</v>
      </c>
      <c r="C1072" s="116">
        <v>72</v>
      </c>
      <c r="D1072" s="120" t="s">
        <v>97</v>
      </c>
      <c r="E1072" s="120" t="s">
        <v>965</v>
      </c>
      <c r="F1072" s="117" t="s">
        <v>933</v>
      </c>
      <c r="G1072" s="281">
        <v>5</v>
      </c>
      <c r="H1072" s="260">
        <v>3704</v>
      </c>
      <c r="I1072" s="260">
        <v>18519</v>
      </c>
      <c r="J1072" s="260">
        <v>0</v>
      </c>
      <c r="K1072" s="260">
        <v>18519</v>
      </c>
      <c r="L1072" s="260">
        <v>1481</v>
      </c>
      <c r="M1072" s="260">
        <v>20000</v>
      </c>
      <c r="N1072" s="119">
        <v>4.3E-3</v>
      </c>
      <c r="O1072" s="462" t="s">
        <v>934</v>
      </c>
    </row>
    <row r="1073" spans="1:15" ht="18" customHeight="1" x14ac:dyDescent="0.25">
      <c r="A1073" s="116">
        <v>14</v>
      </c>
      <c r="B1073" s="117" t="s">
        <v>115</v>
      </c>
      <c r="C1073" s="116">
        <v>112</v>
      </c>
      <c r="D1073" s="120" t="s">
        <v>87</v>
      </c>
      <c r="E1073" s="120" t="s">
        <v>966</v>
      </c>
      <c r="F1073" s="117" t="s">
        <v>933</v>
      </c>
      <c r="G1073" s="281">
        <v>1</v>
      </c>
      <c r="H1073" s="260">
        <v>41667</v>
      </c>
      <c r="I1073" s="260">
        <v>41667</v>
      </c>
      <c r="J1073" s="260">
        <v>0</v>
      </c>
      <c r="K1073" s="260">
        <v>41667</v>
      </c>
      <c r="L1073" s="260">
        <v>3333</v>
      </c>
      <c r="M1073" s="260">
        <v>45000</v>
      </c>
      <c r="N1073" s="119">
        <v>9.5999999999999992E-3</v>
      </c>
      <c r="O1073" s="462" t="s">
        <v>934</v>
      </c>
    </row>
    <row r="1074" spans="1:15" ht="18" customHeight="1" x14ac:dyDescent="0.25">
      <c r="A1074" s="116">
        <v>14</v>
      </c>
      <c r="B1074" s="117" t="s">
        <v>115</v>
      </c>
      <c r="C1074" s="116">
        <v>227</v>
      </c>
      <c r="D1074" s="120" t="s">
        <v>87</v>
      </c>
      <c r="E1074" s="120" t="s">
        <v>1018</v>
      </c>
      <c r="F1074" s="117" t="s">
        <v>933</v>
      </c>
      <c r="G1074" s="281">
        <v>2</v>
      </c>
      <c r="H1074" s="260">
        <v>1389</v>
      </c>
      <c r="I1074" s="260">
        <v>2778</v>
      </c>
      <c r="J1074" s="260">
        <v>0</v>
      </c>
      <c r="K1074" s="260">
        <v>2778</v>
      </c>
      <c r="L1074" s="260">
        <v>222</v>
      </c>
      <c r="M1074" s="260">
        <v>3000</v>
      </c>
      <c r="N1074" s="119">
        <v>5.9999999999999995E-4</v>
      </c>
      <c r="O1074" s="462" t="s">
        <v>934</v>
      </c>
    </row>
    <row r="1075" spans="1:15" ht="18" customHeight="1" x14ac:dyDescent="0.25">
      <c r="A1075" s="116">
        <v>14</v>
      </c>
      <c r="B1075" s="117" t="s">
        <v>115</v>
      </c>
      <c r="C1075" s="116">
        <v>317</v>
      </c>
      <c r="D1075" s="120" t="s">
        <v>87</v>
      </c>
      <c r="E1075" s="120" t="s">
        <v>1068</v>
      </c>
      <c r="F1075" s="117" t="s">
        <v>1069</v>
      </c>
      <c r="G1075" s="281">
        <v>1</v>
      </c>
      <c r="H1075" s="260">
        <v>3519</v>
      </c>
      <c r="I1075" s="260">
        <v>3519</v>
      </c>
      <c r="J1075" s="260">
        <v>0</v>
      </c>
      <c r="K1075" s="260">
        <v>3519</v>
      </c>
      <c r="L1075" s="260">
        <v>281</v>
      </c>
      <c r="M1075" s="260">
        <v>3800</v>
      </c>
      <c r="N1075" s="119">
        <v>8.0000000000000004E-4</v>
      </c>
      <c r="O1075" s="462" t="s">
        <v>934</v>
      </c>
    </row>
    <row r="1076" spans="1:15" ht="18" customHeight="1" x14ac:dyDescent="0.25">
      <c r="A1076" s="116">
        <v>14</v>
      </c>
      <c r="B1076" s="117" t="s">
        <v>115</v>
      </c>
      <c r="C1076" s="116">
        <v>93</v>
      </c>
      <c r="D1076" s="120" t="s">
        <v>89</v>
      </c>
      <c r="E1076" s="120" t="s">
        <v>123</v>
      </c>
      <c r="F1076" s="117" t="s">
        <v>933</v>
      </c>
      <c r="G1076" s="281">
        <v>1</v>
      </c>
      <c r="H1076" s="260">
        <v>20370</v>
      </c>
      <c r="I1076" s="260">
        <v>20370</v>
      </c>
      <c r="J1076" s="260">
        <v>0</v>
      </c>
      <c r="K1076" s="260">
        <v>20370</v>
      </c>
      <c r="L1076" s="260">
        <v>1630</v>
      </c>
      <c r="M1076" s="260">
        <v>22000</v>
      </c>
      <c r="N1076" s="119">
        <v>4.6999999999999993E-3</v>
      </c>
      <c r="O1076" s="462" t="s">
        <v>934</v>
      </c>
    </row>
    <row r="1077" spans="1:15" ht="18" customHeight="1" x14ac:dyDescent="0.25">
      <c r="A1077" s="116">
        <v>14</v>
      </c>
      <c r="B1077" s="117" t="s">
        <v>115</v>
      </c>
      <c r="C1077" s="116">
        <v>119</v>
      </c>
      <c r="D1077" s="120" t="s">
        <v>89</v>
      </c>
      <c r="E1077" s="120" t="s">
        <v>114</v>
      </c>
      <c r="F1077" s="117" t="s">
        <v>933</v>
      </c>
      <c r="G1077" s="281">
        <v>3</v>
      </c>
      <c r="H1077" s="260">
        <v>44444</v>
      </c>
      <c r="I1077" s="260">
        <v>133333</v>
      </c>
      <c r="J1077" s="260">
        <v>0</v>
      </c>
      <c r="K1077" s="260">
        <v>133333</v>
      </c>
      <c r="L1077" s="260">
        <v>10667</v>
      </c>
      <c r="M1077" s="260">
        <v>144000</v>
      </c>
      <c r="N1077" s="119">
        <v>3.0800000000000001E-2</v>
      </c>
      <c r="O1077" s="462" t="s">
        <v>934</v>
      </c>
    </row>
    <row r="1078" spans="1:15" ht="18" customHeight="1" x14ac:dyDescent="0.25">
      <c r="A1078" s="116">
        <v>14</v>
      </c>
      <c r="B1078" s="117" t="s">
        <v>115</v>
      </c>
      <c r="C1078" s="116">
        <v>21</v>
      </c>
      <c r="D1078" s="120" t="s">
        <v>95</v>
      </c>
      <c r="E1078" s="120" t="s">
        <v>1051</v>
      </c>
      <c r="F1078" s="117" t="s">
        <v>933</v>
      </c>
      <c r="G1078" s="281">
        <v>2</v>
      </c>
      <c r="H1078" s="260">
        <v>7407</v>
      </c>
      <c r="I1078" s="260">
        <v>14815</v>
      </c>
      <c r="J1078" s="260">
        <v>0</v>
      </c>
      <c r="K1078" s="260">
        <v>14815</v>
      </c>
      <c r="L1078" s="260">
        <v>1185</v>
      </c>
      <c r="M1078" s="260">
        <v>16000</v>
      </c>
      <c r="N1078" s="119">
        <v>3.3999999999999998E-3</v>
      </c>
      <c r="O1078" s="462" t="s">
        <v>934</v>
      </c>
    </row>
    <row r="1079" spans="1:15" ht="18" customHeight="1" x14ac:dyDescent="0.25">
      <c r="A1079" s="116">
        <v>14</v>
      </c>
      <c r="B1079" s="117" t="s">
        <v>115</v>
      </c>
      <c r="C1079" s="116">
        <v>145</v>
      </c>
      <c r="D1079" s="120" t="s">
        <v>87</v>
      </c>
      <c r="E1079" s="120" t="s">
        <v>1028</v>
      </c>
      <c r="F1079" s="117" t="s">
        <v>933</v>
      </c>
      <c r="G1079" s="281">
        <v>9</v>
      </c>
      <c r="H1079" s="260">
        <v>18519</v>
      </c>
      <c r="I1079" s="260">
        <v>166667</v>
      </c>
      <c r="J1079" s="260">
        <v>0</v>
      </c>
      <c r="K1079" s="260">
        <v>166667</v>
      </c>
      <c r="L1079" s="260">
        <v>13333</v>
      </c>
      <c r="M1079" s="260">
        <v>180000</v>
      </c>
      <c r="N1079" s="119">
        <v>3.8600000000000002E-2</v>
      </c>
      <c r="O1079" s="462" t="s">
        <v>934</v>
      </c>
    </row>
    <row r="1080" spans="1:15" ht="18" customHeight="1" x14ac:dyDescent="0.25">
      <c r="A1080" s="116">
        <v>14</v>
      </c>
      <c r="B1080" s="117" t="s">
        <v>115</v>
      </c>
      <c r="C1080" s="116">
        <v>111</v>
      </c>
      <c r="D1080" s="120" t="s">
        <v>87</v>
      </c>
      <c r="E1080" s="120" t="s">
        <v>1041</v>
      </c>
      <c r="F1080" s="117" t="s">
        <v>933</v>
      </c>
      <c r="G1080" s="281">
        <v>1</v>
      </c>
      <c r="H1080" s="260">
        <v>6481</v>
      </c>
      <c r="I1080" s="260">
        <v>6481</v>
      </c>
      <c r="J1080" s="260">
        <v>0</v>
      </c>
      <c r="K1080" s="260">
        <v>6481</v>
      </c>
      <c r="L1080" s="260">
        <v>519</v>
      </c>
      <c r="M1080" s="260">
        <v>7000</v>
      </c>
      <c r="N1080" s="119">
        <v>1.5E-3</v>
      </c>
      <c r="O1080" s="462" t="s">
        <v>934</v>
      </c>
    </row>
    <row r="1081" spans="1:15" ht="18" customHeight="1" x14ac:dyDescent="0.25">
      <c r="A1081" s="116">
        <v>14</v>
      </c>
      <c r="B1081" s="117" t="s">
        <v>115</v>
      </c>
      <c r="C1081" s="116">
        <v>86</v>
      </c>
      <c r="D1081" s="120" t="s">
        <v>95</v>
      </c>
      <c r="E1081" s="120" t="s">
        <v>972</v>
      </c>
      <c r="F1081" s="117" t="s">
        <v>933</v>
      </c>
      <c r="G1081" s="281">
        <v>11</v>
      </c>
      <c r="H1081" s="260">
        <v>3241</v>
      </c>
      <c r="I1081" s="260">
        <v>35648</v>
      </c>
      <c r="J1081" s="260">
        <v>0</v>
      </c>
      <c r="K1081" s="260">
        <v>35648</v>
      </c>
      <c r="L1081" s="260">
        <v>2852</v>
      </c>
      <c r="M1081" s="260">
        <v>38500</v>
      </c>
      <c r="N1081" s="119">
        <v>8.199999999999999E-3</v>
      </c>
      <c r="O1081" s="462" t="s">
        <v>934</v>
      </c>
    </row>
    <row r="1082" spans="1:15" ht="18" customHeight="1" x14ac:dyDescent="0.25">
      <c r="A1082" s="116">
        <v>14</v>
      </c>
      <c r="B1082" s="117" t="s">
        <v>115</v>
      </c>
      <c r="C1082" s="116">
        <v>80</v>
      </c>
      <c r="D1082" s="120" t="s">
        <v>95</v>
      </c>
      <c r="E1082" s="120" t="s">
        <v>973</v>
      </c>
      <c r="F1082" s="117" t="s">
        <v>933</v>
      </c>
      <c r="G1082" s="281">
        <v>0</v>
      </c>
      <c r="H1082" s="260">
        <v>0</v>
      </c>
      <c r="I1082" s="260">
        <v>0</v>
      </c>
      <c r="J1082" s="260">
        <v>0</v>
      </c>
      <c r="K1082" s="260">
        <v>0</v>
      </c>
      <c r="L1082" s="260">
        <v>0</v>
      </c>
      <c r="M1082" s="260">
        <v>0</v>
      </c>
      <c r="N1082" s="119">
        <v>0</v>
      </c>
      <c r="O1082" s="462" t="s">
        <v>934</v>
      </c>
    </row>
    <row r="1083" spans="1:15" ht="18" customHeight="1" x14ac:dyDescent="0.25">
      <c r="A1083" s="116">
        <v>14</v>
      </c>
      <c r="B1083" s="117" t="s">
        <v>115</v>
      </c>
      <c r="C1083" s="116">
        <v>163</v>
      </c>
      <c r="D1083" s="120" t="s">
        <v>95</v>
      </c>
      <c r="E1083" s="120" t="s">
        <v>1070</v>
      </c>
      <c r="F1083" s="117" t="s">
        <v>933</v>
      </c>
      <c r="G1083" s="281">
        <v>4</v>
      </c>
      <c r="H1083" s="260">
        <v>6481</v>
      </c>
      <c r="I1083" s="260">
        <v>25926</v>
      </c>
      <c r="J1083" s="260">
        <v>0</v>
      </c>
      <c r="K1083" s="260">
        <v>25926</v>
      </c>
      <c r="L1083" s="260">
        <v>2074</v>
      </c>
      <c r="M1083" s="260">
        <v>28000</v>
      </c>
      <c r="N1083" s="119">
        <v>6.0000000000000001E-3</v>
      </c>
      <c r="O1083" s="462" t="s">
        <v>934</v>
      </c>
    </row>
    <row r="1084" spans="1:15" ht="18" customHeight="1" x14ac:dyDescent="0.25">
      <c r="A1084" s="116">
        <v>14</v>
      </c>
      <c r="B1084" s="117" t="s">
        <v>115</v>
      </c>
      <c r="C1084" s="116">
        <v>79</v>
      </c>
      <c r="D1084" s="120" t="s">
        <v>95</v>
      </c>
      <c r="E1084" s="120" t="s">
        <v>975</v>
      </c>
      <c r="F1084" s="117" t="s">
        <v>933</v>
      </c>
      <c r="G1084" s="281">
        <v>3</v>
      </c>
      <c r="H1084" s="260">
        <v>6481</v>
      </c>
      <c r="I1084" s="260">
        <v>19444</v>
      </c>
      <c r="J1084" s="260">
        <v>0</v>
      </c>
      <c r="K1084" s="260">
        <v>19444</v>
      </c>
      <c r="L1084" s="260">
        <v>1556</v>
      </c>
      <c r="M1084" s="260">
        <v>21000</v>
      </c>
      <c r="N1084" s="119">
        <v>4.5000000000000014E-3</v>
      </c>
      <c r="O1084" s="462" t="s">
        <v>934</v>
      </c>
    </row>
    <row r="1085" spans="1:15" ht="18" customHeight="1" x14ac:dyDescent="0.25">
      <c r="A1085" s="116">
        <v>14</v>
      </c>
      <c r="B1085" s="117" t="s">
        <v>115</v>
      </c>
      <c r="C1085" s="116">
        <v>62</v>
      </c>
      <c r="D1085" s="120" t="s">
        <v>95</v>
      </c>
      <c r="E1085" s="120" t="s">
        <v>976</v>
      </c>
      <c r="F1085" s="117" t="s">
        <v>933</v>
      </c>
      <c r="G1085" s="281">
        <v>8</v>
      </c>
      <c r="H1085" s="260">
        <v>6944</v>
      </c>
      <c r="I1085" s="260">
        <v>55556</v>
      </c>
      <c r="J1085" s="260">
        <v>0</v>
      </c>
      <c r="K1085" s="260">
        <v>55556</v>
      </c>
      <c r="L1085" s="260">
        <v>4444</v>
      </c>
      <c r="M1085" s="260">
        <v>60000</v>
      </c>
      <c r="N1085" s="119">
        <v>1.29E-2</v>
      </c>
      <c r="O1085" s="462" t="s">
        <v>934</v>
      </c>
    </row>
    <row r="1086" spans="1:15" ht="18" customHeight="1" x14ac:dyDescent="0.25">
      <c r="A1086" s="116">
        <v>14</v>
      </c>
      <c r="B1086" s="117" t="s">
        <v>115</v>
      </c>
      <c r="C1086" s="116">
        <v>84</v>
      </c>
      <c r="D1086" s="120" t="s">
        <v>95</v>
      </c>
      <c r="E1086" s="120" t="s">
        <v>978</v>
      </c>
      <c r="F1086" s="117" t="s">
        <v>933</v>
      </c>
      <c r="G1086" s="281">
        <v>14</v>
      </c>
      <c r="H1086" s="260">
        <v>7407</v>
      </c>
      <c r="I1086" s="260">
        <v>103704</v>
      </c>
      <c r="J1086" s="260">
        <v>0</v>
      </c>
      <c r="K1086" s="260">
        <v>103704</v>
      </c>
      <c r="L1086" s="260">
        <v>8296</v>
      </c>
      <c r="M1086" s="260">
        <v>112000</v>
      </c>
      <c r="N1086" s="119">
        <v>2.4E-2</v>
      </c>
      <c r="O1086" s="462" t="s">
        <v>934</v>
      </c>
    </row>
    <row r="1087" spans="1:15" ht="18" customHeight="1" x14ac:dyDescent="0.25">
      <c r="A1087" s="116">
        <v>14</v>
      </c>
      <c r="B1087" s="117" t="s">
        <v>115</v>
      </c>
      <c r="C1087" s="116">
        <v>137</v>
      </c>
      <c r="D1087" s="120" t="s">
        <v>95</v>
      </c>
      <c r="E1087" s="120" t="s">
        <v>1006</v>
      </c>
      <c r="F1087" s="117" t="s">
        <v>933</v>
      </c>
      <c r="G1087" s="281">
        <v>15</v>
      </c>
      <c r="H1087" s="260">
        <v>6481</v>
      </c>
      <c r="I1087" s="260">
        <v>97222</v>
      </c>
      <c r="J1087" s="260">
        <v>0</v>
      </c>
      <c r="K1087" s="260">
        <v>97222</v>
      </c>
      <c r="L1087" s="260">
        <v>7778</v>
      </c>
      <c r="M1087" s="260">
        <v>105000</v>
      </c>
      <c r="N1087" s="119">
        <v>2.2499999999999999E-2</v>
      </c>
      <c r="O1087" s="462" t="s">
        <v>934</v>
      </c>
    </row>
    <row r="1088" spans="1:15" ht="18" customHeight="1" x14ac:dyDescent="0.25">
      <c r="A1088" s="116">
        <v>14</v>
      </c>
      <c r="B1088" s="117" t="s">
        <v>115</v>
      </c>
      <c r="C1088" s="116">
        <v>229</v>
      </c>
      <c r="D1088" s="120" t="s">
        <v>87</v>
      </c>
      <c r="E1088" s="120" t="s">
        <v>1046</v>
      </c>
      <c r="F1088" s="117" t="s">
        <v>933</v>
      </c>
      <c r="G1088" s="281">
        <v>1</v>
      </c>
      <c r="H1088" s="260">
        <v>66204</v>
      </c>
      <c r="I1088" s="260">
        <v>66204</v>
      </c>
      <c r="J1088" s="260">
        <v>0</v>
      </c>
      <c r="K1088" s="260">
        <v>66204</v>
      </c>
      <c r="L1088" s="260">
        <v>5296</v>
      </c>
      <c r="M1088" s="260">
        <v>71500</v>
      </c>
      <c r="N1088" s="119">
        <v>1.5299999999999999E-2</v>
      </c>
      <c r="O1088" s="462" t="s">
        <v>934</v>
      </c>
    </row>
    <row r="1089" spans="1:15" ht="18" customHeight="1" x14ac:dyDescent="0.25">
      <c r="A1089" s="116">
        <v>14</v>
      </c>
      <c r="B1089" s="117" t="s">
        <v>115</v>
      </c>
      <c r="C1089" s="116">
        <v>120</v>
      </c>
      <c r="D1089" s="120" t="s">
        <v>93</v>
      </c>
      <c r="E1089" s="120" t="s">
        <v>982</v>
      </c>
      <c r="F1089" s="117" t="s">
        <v>933</v>
      </c>
      <c r="G1089" s="281">
        <v>1</v>
      </c>
      <c r="H1089" s="260">
        <v>41667</v>
      </c>
      <c r="I1089" s="260">
        <v>41667</v>
      </c>
      <c r="J1089" s="260">
        <v>0</v>
      </c>
      <c r="K1089" s="260">
        <v>41667</v>
      </c>
      <c r="L1089" s="260">
        <v>3333</v>
      </c>
      <c r="M1089" s="260">
        <v>45000</v>
      </c>
      <c r="N1089" s="119">
        <v>9.5999999999999992E-3</v>
      </c>
      <c r="O1089" s="462" t="s">
        <v>934</v>
      </c>
    </row>
    <row r="1090" spans="1:15" ht="18" customHeight="1" x14ac:dyDescent="0.25">
      <c r="A1090" s="116">
        <v>14</v>
      </c>
      <c r="B1090" s="117" t="s">
        <v>115</v>
      </c>
      <c r="C1090" s="116">
        <v>129</v>
      </c>
      <c r="D1090" s="120" t="s">
        <v>93</v>
      </c>
      <c r="E1090" s="120" t="s">
        <v>983</v>
      </c>
      <c r="F1090" s="117" t="s">
        <v>933</v>
      </c>
      <c r="G1090" s="281">
        <v>1</v>
      </c>
      <c r="H1090" s="260">
        <v>44444</v>
      </c>
      <c r="I1090" s="260">
        <v>44444</v>
      </c>
      <c r="J1090" s="260">
        <v>0</v>
      </c>
      <c r="K1090" s="260">
        <v>44444</v>
      </c>
      <c r="L1090" s="260">
        <v>3556</v>
      </c>
      <c r="M1090" s="260">
        <v>48000</v>
      </c>
      <c r="N1090" s="119">
        <v>1.03E-2</v>
      </c>
      <c r="O1090" s="462" t="s">
        <v>934</v>
      </c>
    </row>
    <row r="1091" spans="1:15" ht="18" customHeight="1" x14ac:dyDescent="0.25">
      <c r="A1091" s="116">
        <v>14</v>
      </c>
      <c r="B1091" s="117" t="s">
        <v>115</v>
      </c>
      <c r="C1091" s="116">
        <v>117</v>
      </c>
      <c r="D1091" s="120" t="s">
        <v>87</v>
      </c>
      <c r="E1091" s="120" t="s">
        <v>120</v>
      </c>
      <c r="F1091" s="117" t="s">
        <v>933</v>
      </c>
      <c r="G1091" s="281">
        <v>1</v>
      </c>
      <c r="H1091" s="260">
        <v>41667</v>
      </c>
      <c r="I1091" s="260">
        <v>41667</v>
      </c>
      <c r="J1091" s="260">
        <v>0</v>
      </c>
      <c r="K1091" s="260">
        <v>41667</v>
      </c>
      <c r="L1091" s="260">
        <v>3333</v>
      </c>
      <c r="M1091" s="260">
        <v>45000</v>
      </c>
      <c r="N1091" s="119">
        <v>9.5999999999999992E-3</v>
      </c>
      <c r="O1091" s="462" t="s">
        <v>934</v>
      </c>
    </row>
    <row r="1092" spans="1:15" ht="18" customHeight="1" x14ac:dyDescent="0.25">
      <c r="A1092" s="116">
        <v>14</v>
      </c>
      <c r="B1092" s="117" t="s">
        <v>115</v>
      </c>
      <c r="C1092" s="116">
        <v>28</v>
      </c>
      <c r="D1092" s="120" t="s">
        <v>87</v>
      </c>
      <c r="E1092" s="120" t="s">
        <v>376</v>
      </c>
      <c r="F1092" s="117" t="s">
        <v>933</v>
      </c>
      <c r="G1092" s="281">
        <v>20</v>
      </c>
      <c r="H1092" s="260">
        <v>19074</v>
      </c>
      <c r="I1092" s="260">
        <v>381481</v>
      </c>
      <c r="J1092" s="260">
        <v>0</v>
      </c>
      <c r="K1092" s="260">
        <v>381481</v>
      </c>
      <c r="L1092" s="260">
        <v>30519</v>
      </c>
      <c r="M1092" s="260">
        <v>412000</v>
      </c>
      <c r="N1092" s="119">
        <v>8.8200000000000001E-2</v>
      </c>
      <c r="O1092" s="462" t="s">
        <v>934</v>
      </c>
    </row>
    <row r="1093" spans="1:15" ht="18" customHeight="1" x14ac:dyDescent="0.25">
      <c r="A1093" s="116">
        <v>14</v>
      </c>
      <c r="B1093" s="117" t="s">
        <v>115</v>
      </c>
      <c r="C1093" s="116">
        <v>36</v>
      </c>
      <c r="D1093" s="120" t="s">
        <v>91</v>
      </c>
      <c r="E1093" s="120" t="s">
        <v>984</v>
      </c>
      <c r="F1093" s="117" t="s">
        <v>933</v>
      </c>
      <c r="G1093" s="281">
        <v>1</v>
      </c>
      <c r="H1093" s="260">
        <v>3704</v>
      </c>
      <c r="I1093" s="260">
        <v>3704</v>
      </c>
      <c r="J1093" s="260">
        <v>0</v>
      </c>
      <c r="K1093" s="260">
        <v>3704</v>
      </c>
      <c r="L1093" s="260">
        <v>296</v>
      </c>
      <c r="M1093" s="260">
        <v>4000</v>
      </c>
      <c r="N1093" s="119">
        <v>8.9999999999999998E-4</v>
      </c>
      <c r="O1093" s="462" t="s">
        <v>934</v>
      </c>
    </row>
    <row r="1094" spans="1:15" ht="18" customHeight="1" x14ac:dyDescent="0.25">
      <c r="A1094" s="116">
        <v>14</v>
      </c>
      <c r="B1094" s="117" t="s">
        <v>115</v>
      </c>
      <c r="C1094" s="116">
        <v>61</v>
      </c>
      <c r="D1094" s="120" t="s">
        <v>97</v>
      </c>
      <c r="E1094" s="120" t="s">
        <v>985</v>
      </c>
      <c r="F1094" s="117" t="s">
        <v>933</v>
      </c>
      <c r="G1094" s="281">
        <v>13</v>
      </c>
      <c r="H1094" s="260">
        <v>4630</v>
      </c>
      <c r="I1094" s="260">
        <v>60185</v>
      </c>
      <c r="J1094" s="260">
        <v>0</v>
      </c>
      <c r="K1094" s="260">
        <v>60185</v>
      </c>
      <c r="L1094" s="260">
        <v>4815</v>
      </c>
      <c r="M1094" s="260">
        <v>65000</v>
      </c>
      <c r="N1094" s="119">
        <v>1.3899999999999999E-2</v>
      </c>
      <c r="O1094" s="462" t="s">
        <v>934</v>
      </c>
    </row>
    <row r="1095" spans="1:15" ht="18" customHeight="1" x14ac:dyDescent="0.25">
      <c r="A1095" s="116">
        <v>14</v>
      </c>
      <c r="B1095" s="117" t="s">
        <v>115</v>
      </c>
      <c r="C1095" s="116">
        <v>215</v>
      </c>
      <c r="D1095" s="120" t="s">
        <v>87</v>
      </c>
      <c r="E1095" s="120" t="s">
        <v>132</v>
      </c>
      <c r="F1095" s="117" t="s">
        <v>933</v>
      </c>
      <c r="G1095" s="281">
        <v>4</v>
      </c>
      <c r="H1095" s="260">
        <v>37500</v>
      </c>
      <c r="I1095" s="260">
        <v>150000</v>
      </c>
      <c r="J1095" s="260">
        <v>0</v>
      </c>
      <c r="K1095" s="260">
        <v>150000</v>
      </c>
      <c r="L1095" s="260">
        <v>12000</v>
      </c>
      <c r="M1095" s="260">
        <v>162000</v>
      </c>
      <c r="N1095" s="119">
        <v>3.4700000000000002E-2</v>
      </c>
      <c r="O1095" s="462" t="s">
        <v>934</v>
      </c>
    </row>
    <row r="1096" spans="1:15" ht="18" customHeight="1" x14ac:dyDescent="0.25">
      <c r="A1096" s="116">
        <v>14</v>
      </c>
      <c r="B1096" s="117" t="s">
        <v>115</v>
      </c>
      <c r="C1096" s="116">
        <v>113</v>
      </c>
      <c r="D1096" s="120" t="s">
        <v>89</v>
      </c>
      <c r="E1096" s="120" t="s">
        <v>135</v>
      </c>
      <c r="F1096" s="117" t="s">
        <v>933</v>
      </c>
      <c r="G1096" s="281">
        <v>6</v>
      </c>
      <c r="H1096" s="260">
        <v>22222</v>
      </c>
      <c r="I1096" s="260">
        <v>133333</v>
      </c>
      <c r="J1096" s="260">
        <v>0</v>
      </c>
      <c r="K1096" s="260">
        <v>133333</v>
      </c>
      <c r="L1096" s="260">
        <v>10667</v>
      </c>
      <c r="M1096" s="260">
        <v>144000</v>
      </c>
      <c r="N1096" s="119">
        <v>3.0800000000000001E-2</v>
      </c>
      <c r="O1096" s="462" t="s">
        <v>934</v>
      </c>
    </row>
    <row r="1097" spans="1:15" ht="18" customHeight="1" x14ac:dyDescent="0.25">
      <c r="A1097" s="116">
        <v>14</v>
      </c>
      <c r="B1097" s="117" t="s">
        <v>115</v>
      </c>
      <c r="C1097" s="116">
        <v>96</v>
      </c>
      <c r="D1097" s="120" t="s">
        <v>93</v>
      </c>
      <c r="E1097" s="120" t="s">
        <v>1009</v>
      </c>
      <c r="F1097" s="117" t="s">
        <v>933</v>
      </c>
      <c r="G1097" s="281">
        <v>2</v>
      </c>
      <c r="H1097" s="260">
        <v>35648</v>
      </c>
      <c r="I1097" s="260">
        <v>71296</v>
      </c>
      <c r="J1097" s="260">
        <v>0</v>
      </c>
      <c r="K1097" s="260">
        <v>71296</v>
      </c>
      <c r="L1097" s="260">
        <v>5704</v>
      </c>
      <c r="M1097" s="260">
        <v>77000</v>
      </c>
      <c r="N1097" s="119">
        <v>1.6500000000000001E-2</v>
      </c>
      <c r="O1097" s="462" t="s">
        <v>934</v>
      </c>
    </row>
    <row r="1098" spans="1:15" ht="18" customHeight="1" x14ac:dyDescent="0.25">
      <c r="A1098" s="116">
        <v>14</v>
      </c>
      <c r="B1098" s="117" t="s">
        <v>115</v>
      </c>
      <c r="C1098" s="116">
        <v>33</v>
      </c>
      <c r="D1098" s="120" t="s">
        <v>91</v>
      </c>
      <c r="E1098" s="120" t="s">
        <v>987</v>
      </c>
      <c r="F1098" s="117" t="s">
        <v>933</v>
      </c>
      <c r="G1098" s="281">
        <v>3</v>
      </c>
      <c r="H1098" s="260">
        <v>1852</v>
      </c>
      <c r="I1098" s="260">
        <v>5556</v>
      </c>
      <c r="J1098" s="260">
        <v>0</v>
      </c>
      <c r="K1098" s="260">
        <v>5556</v>
      </c>
      <c r="L1098" s="260">
        <v>444</v>
      </c>
      <c r="M1098" s="260">
        <v>6000</v>
      </c>
      <c r="N1098" s="119">
        <v>1.2999999999999999E-3</v>
      </c>
      <c r="O1098" s="462" t="s">
        <v>934</v>
      </c>
    </row>
    <row r="1099" spans="1:15" ht="18" customHeight="1" x14ac:dyDescent="0.25">
      <c r="A1099" s="116">
        <v>14</v>
      </c>
      <c r="B1099" s="117" t="s">
        <v>115</v>
      </c>
      <c r="C1099" s="116">
        <v>67</v>
      </c>
      <c r="D1099" s="120" t="s">
        <v>93</v>
      </c>
      <c r="E1099" s="120" t="s">
        <v>988</v>
      </c>
      <c r="F1099" s="117" t="s">
        <v>933</v>
      </c>
      <c r="G1099" s="281">
        <v>1</v>
      </c>
      <c r="H1099" s="260">
        <v>41667</v>
      </c>
      <c r="I1099" s="260">
        <v>41667</v>
      </c>
      <c r="J1099" s="260">
        <v>0</v>
      </c>
      <c r="K1099" s="260">
        <v>41667</v>
      </c>
      <c r="L1099" s="260">
        <v>3333</v>
      </c>
      <c r="M1099" s="260">
        <v>45000</v>
      </c>
      <c r="N1099" s="119">
        <v>9.5999999999999992E-3</v>
      </c>
      <c r="O1099" s="462" t="s">
        <v>934</v>
      </c>
    </row>
    <row r="1100" spans="1:15" ht="18" customHeight="1" x14ac:dyDescent="0.25">
      <c r="A1100" s="116">
        <v>14</v>
      </c>
      <c r="B1100" s="117" t="s">
        <v>115</v>
      </c>
      <c r="C1100" s="116">
        <v>39</v>
      </c>
      <c r="D1100" s="120" t="s">
        <v>91</v>
      </c>
      <c r="E1100" s="120" t="s">
        <v>1011</v>
      </c>
      <c r="F1100" s="117" t="s">
        <v>933</v>
      </c>
      <c r="G1100" s="281">
        <v>2</v>
      </c>
      <c r="H1100" s="260">
        <v>3333</v>
      </c>
      <c r="I1100" s="260">
        <v>6667</v>
      </c>
      <c r="J1100" s="260">
        <v>0</v>
      </c>
      <c r="K1100" s="260">
        <v>6667</v>
      </c>
      <c r="L1100" s="260">
        <v>533</v>
      </c>
      <c r="M1100" s="260">
        <v>7200</v>
      </c>
      <c r="N1100" s="119">
        <v>1.5E-3</v>
      </c>
      <c r="O1100" s="462" t="s">
        <v>934</v>
      </c>
    </row>
  </sheetData>
  <autoFilter ref="A1:N1100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K1001"/>
  <sheetViews>
    <sheetView zoomScale="145" zoomScaleNormal="145" workbookViewId="0"/>
  </sheetViews>
  <sheetFormatPr baseColWidth="10" defaultRowHeight="15" x14ac:dyDescent="0.25"/>
  <cols>
    <col min="1" max="1" width="8" style="3" customWidth="1"/>
    <col min="2" max="2" width="15" style="3" customWidth="1"/>
    <col min="3" max="3" width="18.5703125" style="3" customWidth="1"/>
    <col min="4" max="4" width="50.42578125" style="3" customWidth="1"/>
    <col min="5" max="5" width="12" style="4" customWidth="1"/>
    <col min="6" max="6" width="16" style="282" customWidth="1"/>
    <col min="7" max="7" width="18" style="282" bestFit="1" customWidth="1"/>
    <col min="8" max="8" width="32.28515625" style="526" customWidth="1"/>
    <col min="9" max="9" width="28.7109375" style="471" customWidth="1"/>
    <col min="10" max="10" width="15" style="471" customWidth="1"/>
    <col min="11" max="11" width="38" style="471" customWidth="1"/>
  </cols>
  <sheetData>
    <row r="1" spans="1:11" x14ac:dyDescent="0.25">
      <c r="A1" s="32" t="s">
        <v>48</v>
      </c>
      <c r="B1" s="32" t="s">
        <v>110</v>
      </c>
      <c r="C1" s="32" t="s">
        <v>1071</v>
      </c>
      <c r="D1" s="32" t="s">
        <v>469</v>
      </c>
      <c r="E1" s="32" t="s">
        <v>1072</v>
      </c>
      <c r="F1" s="32" t="s">
        <v>189</v>
      </c>
      <c r="G1" s="32" t="s">
        <v>1073</v>
      </c>
      <c r="H1" s="521" t="s">
        <v>185</v>
      </c>
      <c r="I1" s="92" t="s">
        <v>1074</v>
      </c>
      <c r="J1" s="92" t="s">
        <v>1075</v>
      </c>
      <c r="K1" s="461" t="s">
        <v>1076</v>
      </c>
    </row>
    <row r="2" spans="1:11" s="112" customFormat="1" hidden="1" x14ac:dyDescent="0.25">
      <c r="A2" s="46">
        <v>1</v>
      </c>
      <c r="B2" s="44" t="s">
        <v>1077</v>
      </c>
      <c r="C2" s="44" t="s">
        <v>192</v>
      </c>
      <c r="D2" s="44" t="s">
        <v>193</v>
      </c>
      <c r="E2" s="45">
        <v>4.7549999999999999</v>
      </c>
      <c r="F2" s="283">
        <v>7900</v>
      </c>
      <c r="G2" s="283">
        <v>37565</v>
      </c>
      <c r="H2" s="44" t="s">
        <v>191</v>
      </c>
      <c r="I2" s="89" t="s">
        <v>1078</v>
      </c>
      <c r="K2" s="463" t="s">
        <v>1079</v>
      </c>
    </row>
    <row r="3" spans="1:11" hidden="1" x14ac:dyDescent="0.25">
      <c r="A3" s="46">
        <v>1</v>
      </c>
      <c r="B3" s="44" t="s">
        <v>1077</v>
      </c>
      <c r="C3" s="44" t="s">
        <v>192</v>
      </c>
      <c r="D3" s="44" t="s">
        <v>193</v>
      </c>
      <c r="E3" s="45">
        <v>3.3650000000000002</v>
      </c>
      <c r="F3" s="284">
        <v>8915.2999999999993</v>
      </c>
      <c r="G3" s="284">
        <v>30000</v>
      </c>
      <c r="H3" s="44" t="s">
        <v>191</v>
      </c>
      <c r="I3" s="89" t="s">
        <v>1078</v>
      </c>
      <c r="K3" s="463" t="s">
        <v>1079</v>
      </c>
    </row>
    <row r="4" spans="1:11" hidden="1" x14ac:dyDescent="0.25">
      <c r="A4" s="46">
        <v>1</v>
      </c>
      <c r="B4" s="44" t="s">
        <v>949</v>
      </c>
      <c r="C4" s="44" t="s">
        <v>1080</v>
      </c>
      <c r="D4" s="44" t="s">
        <v>1081</v>
      </c>
      <c r="E4" s="45">
        <v>1</v>
      </c>
      <c r="F4" s="284">
        <v>14900</v>
      </c>
      <c r="G4" s="284">
        <v>14900</v>
      </c>
      <c r="H4" s="44" t="s">
        <v>191</v>
      </c>
      <c r="I4" s="89" t="s">
        <v>1078</v>
      </c>
      <c r="K4" s="463" t="s">
        <v>1079</v>
      </c>
    </row>
    <row r="5" spans="1:11" hidden="1" x14ac:dyDescent="0.25">
      <c r="A5" s="46">
        <v>1</v>
      </c>
      <c r="B5" s="44" t="s">
        <v>1082</v>
      </c>
      <c r="C5" s="44" t="s">
        <v>1083</v>
      </c>
      <c r="D5" s="44" t="s">
        <v>1084</v>
      </c>
      <c r="E5" s="45">
        <v>8</v>
      </c>
      <c r="F5" s="284">
        <v>6800</v>
      </c>
      <c r="G5" s="284">
        <v>54400</v>
      </c>
      <c r="H5" s="44" t="s">
        <v>1085</v>
      </c>
      <c r="I5" s="89" t="s">
        <v>1078</v>
      </c>
      <c r="K5" s="463" t="s">
        <v>1079</v>
      </c>
    </row>
    <row r="6" spans="1:11" hidden="1" x14ac:dyDescent="0.25">
      <c r="A6" s="46">
        <v>1</v>
      </c>
      <c r="B6" s="44" t="s">
        <v>1086</v>
      </c>
      <c r="C6" s="44" t="s">
        <v>1087</v>
      </c>
      <c r="D6" s="44" t="s">
        <v>1088</v>
      </c>
      <c r="E6" s="45">
        <v>100</v>
      </c>
      <c r="F6" s="284">
        <v>150</v>
      </c>
      <c r="G6" s="284">
        <v>15000</v>
      </c>
      <c r="H6" s="44" t="s">
        <v>1089</v>
      </c>
      <c r="I6" s="89" t="s">
        <v>1078</v>
      </c>
      <c r="K6" s="463" t="s">
        <v>1090</v>
      </c>
    </row>
    <row r="7" spans="1:11" hidden="1" x14ac:dyDescent="0.25">
      <c r="A7" s="46">
        <v>1</v>
      </c>
      <c r="B7" s="44" t="s">
        <v>1077</v>
      </c>
      <c r="C7" s="44" t="s">
        <v>195</v>
      </c>
      <c r="D7" s="44" t="s">
        <v>196</v>
      </c>
      <c r="E7" s="45">
        <v>20</v>
      </c>
      <c r="F7" s="284">
        <v>16500</v>
      </c>
      <c r="G7" s="284">
        <v>330000</v>
      </c>
      <c r="H7" s="44" t="s">
        <v>194</v>
      </c>
      <c r="I7" s="89" t="s">
        <v>1078</v>
      </c>
      <c r="K7" s="463" t="s">
        <v>1091</v>
      </c>
    </row>
    <row r="8" spans="1:11" hidden="1" x14ac:dyDescent="0.25">
      <c r="A8" s="46">
        <v>1</v>
      </c>
      <c r="B8" s="44" t="s">
        <v>1077</v>
      </c>
      <c r="C8" s="44" t="s">
        <v>198</v>
      </c>
      <c r="D8" s="44" t="s">
        <v>199</v>
      </c>
      <c r="E8" s="45">
        <v>4.58</v>
      </c>
      <c r="F8" s="284">
        <v>18500</v>
      </c>
      <c r="G8" s="284">
        <v>84730</v>
      </c>
      <c r="H8" s="445" t="s">
        <v>197</v>
      </c>
      <c r="I8" s="89" t="s">
        <v>1078</v>
      </c>
      <c r="K8" s="463" t="s">
        <v>1092</v>
      </c>
    </row>
    <row r="9" spans="1:11" hidden="1" x14ac:dyDescent="0.25">
      <c r="A9" s="46">
        <v>1</v>
      </c>
      <c r="B9" s="44" t="s">
        <v>1077</v>
      </c>
      <c r="C9" s="44" t="s">
        <v>200</v>
      </c>
      <c r="D9" s="44" t="s">
        <v>201</v>
      </c>
      <c r="E9" s="45">
        <v>15.1</v>
      </c>
      <c r="F9" s="284">
        <v>18500</v>
      </c>
      <c r="G9" s="284">
        <v>279350</v>
      </c>
      <c r="H9" s="445" t="s">
        <v>197</v>
      </c>
      <c r="I9" s="90" t="s">
        <v>1093</v>
      </c>
      <c r="K9" s="463" t="s">
        <v>1092</v>
      </c>
    </row>
    <row r="10" spans="1:11" hidden="1" x14ac:dyDescent="0.25">
      <c r="A10" s="46">
        <v>1</v>
      </c>
      <c r="B10" s="44" t="s">
        <v>1077</v>
      </c>
      <c r="C10" s="44" t="s">
        <v>203</v>
      </c>
      <c r="D10" s="44" t="s">
        <v>204</v>
      </c>
      <c r="E10" s="45">
        <v>9.8699999999999992</v>
      </c>
      <c r="F10" s="284">
        <v>55000</v>
      </c>
      <c r="G10" s="284">
        <v>542850</v>
      </c>
      <c r="H10" s="44" t="s">
        <v>202</v>
      </c>
      <c r="I10" s="89" t="s">
        <v>1078</v>
      </c>
      <c r="K10" s="463" t="s">
        <v>1094</v>
      </c>
    </row>
    <row r="11" spans="1:11" hidden="1" x14ac:dyDescent="0.25">
      <c r="A11" s="46">
        <v>1</v>
      </c>
      <c r="B11" s="44" t="s">
        <v>1077</v>
      </c>
      <c r="C11" s="44" t="s">
        <v>205</v>
      </c>
      <c r="D11" s="44" t="s">
        <v>206</v>
      </c>
      <c r="E11" s="45">
        <v>19.809999999999999</v>
      </c>
      <c r="F11" s="284">
        <v>18000</v>
      </c>
      <c r="G11" s="284">
        <v>356580</v>
      </c>
      <c r="H11" s="44" t="s">
        <v>202</v>
      </c>
      <c r="I11" s="89" t="s">
        <v>1078</v>
      </c>
      <c r="K11" s="463" t="s">
        <v>1094</v>
      </c>
    </row>
    <row r="12" spans="1:11" hidden="1" x14ac:dyDescent="0.25">
      <c r="A12" s="46">
        <v>1</v>
      </c>
      <c r="B12" s="88" t="s">
        <v>1095</v>
      </c>
      <c r="C12" s="88" t="s">
        <v>1095</v>
      </c>
      <c r="D12" s="88" t="s">
        <v>1095</v>
      </c>
      <c r="E12" s="45">
        <v>1</v>
      </c>
      <c r="F12" s="284">
        <v>12243950</v>
      </c>
      <c r="G12" s="284">
        <v>12243950</v>
      </c>
      <c r="H12" s="88" t="s">
        <v>1095</v>
      </c>
      <c r="I12" s="89" t="s">
        <v>1078</v>
      </c>
      <c r="K12" s="464" t="s">
        <v>1096</v>
      </c>
    </row>
    <row r="13" spans="1:11" hidden="1" x14ac:dyDescent="0.25">
      <c r="A13" s="46">
        <v>1</v>
      </c>
      <c r="B13" s="44" t="s">
        <v>949</v>
      </c>
      <c r="C13" s="44" t="s">
        <v>637</v>
      </c>
      <c r="D13" s="44" t="s">
        <v>1097</v>
      </c>
      <c r="E13" s="45">
        <v>2</v>
      </c>
      <c r="F13" s="284">
        <v>9500</v>
      </c>
      <c r="G13" s="284">
        <v>19000</v>
      </c>
      <c r="H13" s="44" t="s">
        <v>1098</v>
      </c>
      <c r="I13" s="89" t="s">
        <v>1078</v>
      </c>
      <c r="K13" s="463" t="s">
        <v>1099</v>
      </c>
    </row>
    <row r="14" spans="1:11" hidden="1" x14ac:dyDescent="0.25">
      <c r="A14" s="46">
        <v>1</v>
      </c>
      <c r="B14" s="44" t="s">
        <v>949</v>
      </c>
      <c r="C14" s="44" t="s">
        <v>1100</v>
      </c>
      <c r="D14" s="44" t="s">
        <v>1101</v>
      </c>
      <c r="E14" s="45">
        <v>3</v>
      </c>
      <c r="F14" s="284">
        <v>5000</v>
      </c>
      <c r="G14" s="284">
        <v>15000</v>
      </c>
      <c r="H14" s="44" t="s">
        <v>1098</v>
      </c>
      <c r="I14" s="89" t="s">
        <v>1078</v>
      </c>
      <c r="K14" s="463" t="s">
        <v>1099</v>
      </c>
    </row>
    <row r="15" spans="1:11" hidden="1" x14ac:dyDescent="0.25">
      <c r="A15" s="46">
        <v>1</v>
      </c>
      <c r="B15" s="44" t="s">
        <v>1102</v>
      </c>
      <c r="C15" s="44" t="s">
        <v>1103</v>
      </c>
      <c r="D15" s="44" t="s">
        <v>1104</v>
      </c>
      <c r="E15" s="45">
        <v>1</v>
      </c>
      <c r="F15" s="284">
        <v>30000</v>
      </c>
      <c r="G15" s="284">
        <v>30000</v>
      </c>
      <c r="H15" s="44" t="s">
        <v>207</v>
      </c>
      <c r="I15" s="89" t="s">
        <v>1078</v>
      </c>
      <c r="K15" s="463" t="s">
        <v>1105</v>
      </c>
    </row>
    <row r="16" spans="1:11" hidden="1" x14ac:dyDescent="0.25">
      <c r="A16" s="46">
        <v>1</v>
      </c>
      <c r="B16" s="44" t="s">
        <v>1102</v>
      </c>
      <c r="C16" s="44" t="s">
        <v>1106</v>
      </c>
      <c r="D16" s="44" t="s">
        <v>1107</v>
      </c>
      <c r="E16" s="45">
        <v>1</v>
      </c>
      <c r="F16" s="284">
        <v>100000</v>
      </c>
      <c r="G16" s="284">
        <v>100000</v>
      </c>
      <c r="H16" s="44" t="s">
        <v>207</v>
      </c>
      <c r="I16" s="89" t="s">
        <v>1078</v>
      </c>
      <c r="K16" s="463" t="s">
        <v>1108</v>
      </c>
    </row>
    <row r="17" spans="1:11" hidden="1" x14ac:dyDescent="0.25">
      <c r="A17" s="46">
        <v>1</v>
      </c>
      <c r="B17" s="44" t="s">
        <v>1077</v>
      </c>
      <c r="C17" s="44" t="s">
        <v>205</v>
      </c>
      <c r="D17" s="44" t="s">
        <v>208</v>
      </c>
      <c r="E17" s="45">
        <v>6</v>
      </c>
      <c r="F17" s="284">
        <v>3666.67</v>
      </c>
      <c r="G17" s="284">
        <v>22000</v>
      </c>
      <c r="H17" s="44" t="s">
        <v>207</v>
      </c>
      <c r="I17" s="89" t="s">
        <v>1078</v>
      </c>
      <c r="K17" s="463" t="s">
        <v>1109</v>
      </c>
    </row>
    <row r="18" spans="1:11" hidden="1" x14ac:dyDescent="0.25">
      <c r="A18" s="46">
        <v>1</v>
      </c>
      <c r="B18" s="44" t="s">
        <v>91</v>
      </c>
      <c r="C18" s="44" t="s">
        <v>477</v>
      </c>
      <c r="D18" s="44" t="s">
        <v>478</v>
      </c>
      <c r="E18" s="45">
        <v>1</v>
      </c>
      <c r="F18" s="284">
        <v>92200</v>
      </c>
      <c r="G18" s="284">
        <v>92200</v>
      </c>
      <c r="H18" s="44" t="s">
        <v>476</v>
      </c>
      <c r="I18" s="89" t="s">
        <v>1078</v>
      </c>
      <c r="K18" s="463" t="s">
        <v>1110</v>
      </c>
    </row>
    <row r="19" spans="1:11" hidden="1" x14ac:dyDescent="0.25">
      <c r="A19" s="46">
        <v>1</v>
      </c>
      <c r="B19" s="44" t="s">
        <v>91</v>
      </c>
      <c r="C19" s="44" t="s">
        <v>479</v>
      </c>
      <c r="D19" s="44" t="s">
        <v>480</v>
      </c>
      <c r="E19" s="45">
        <v>1</v>
      </c>
      <c r="F19" s="284">
        <v>77500</v>
      </c>
      <c r="G19" s="284">
        <v>77500</v>
      </c>
      <c r="H19" s="44" t="s">
        <v>476</v>
      </c>
      <c r="I19" s="89" t="s">
        <v>1078</v>
      </c>
      <c r="K19" s="463" t="s">
        <v>1110</v>
      </c>
    </row>
    <row r="20" spans="1:11" hidden="1" x14ac:dyDescent="0.25">
      <c r="A20" s="46">
        <v>1</v>
      </c>
      <c r="B20" s="44" t="s">
        <v>91</v>
      </c>
      <c r="C20" s="44" t="s">
        <v>481</v>
      </c>
      <c r="D20" s="44" t="s">
        <v>482</v>
      </c>
      <c r="E20" s="45">
        <v>1</v>
      </c>
      <c r="F20" s="284">
        <v>93000</v>
      </c>
      <c r="G20" s="284">
        <v>93000</v>
      </c>
      <c r="H20" s="44" t="s">
        <v>476</v>
      </c>
      <c r="I20" s="89" t="s">
        <v>1078</v>
      </c>
      <c r="K20" s="463" t="s">
        <v>1110</v>
      </c>
    </row>
    <row r="21" spans="1:11" hidden="1" x14ac:dyDescent="0.25">
      <c r="A21" s="46">
        <v>1</v>
      </c>
      <c r="B21" s="44" t="s">
        <v>91</v>
      </c>
      <c r="C21" s="44" t="s">
        <v>483</v>
      </c>
      <c r="D21" s="44" t="s">
        <v>484</v>
      </c>
      <c r="E21" s="45">
        <v>2</v>
      </c>
      <c r="F21" s="284">
        <v>74500</v>
      </c>
      <c r="G21" s="284">
        <v>149000</v>
      </c>
      <c r="H21" s="44" t="s">
        <v>476</v>
      </c>
      <c r="I21" s="89" t="s">
        <v>1078</v>
      </c>
      <c r="K21" s="463" t="s">
        <v>1110</v>
      </c>
    </row>
    <row r="22" spans="1:11" hidden="1" x14ac:dyDescent="0.25">
      <c r="A22" s="46">
        <v>1</v>
      </c>
      <c r="B22" s="44" t="s">
        <v>1082</v>
      </c>
      <c r="C22" s="44" t="s">
        <v>1111</v>
      </c>
      <c r="D22" s="44" t="s">
        <v>1112</v>
      </c>
      <c r="E22" s="45">
        <v>4</v>
      </c>
      <c r="F22" s="284">
        <v>19500</v>
      </c>
      <c r="G22" s="284">
        <v>78000</v>
      </c>
      <c r="H22" s="445" t="s">
        <v>209</v>
      </c>
      <c r="I22" s="89" t="s">
        <v>1078</v>
      </c>
      <c r="K22" s="463" t="s">
        <v>1113</v>
      </c>
    </row>
    <row r="23" spans="1:11" hidden="1" x14ac:dyDescent="0.25">
      <c r="A23" s="46">
        <v>1</v>
      </c>
      <c r="B23" s="44" t="s">
        <v>1077</v>
      </c>
      <c r="C23" s="44" t="s">
        <v>210</v>
      </c>
      <c r="D23" s="44" t="s">
        <v>211</v>
      </c>
      <c r="E23" s="45">
        <v>28.6</v>
      </c>
      <c r="F23" s="284">
        <v>14900</v>
      </c>
      <c r="G23" s="284">
        <v>426140</v>
      </c>
      <c r="H23" s="445" t="s">
        <v>209</v>
      </c>
      <c r="I23" s="89" t="s">
        <v>1078</v>
      </c>
      <c r="K23" s="463" t="s">
        <v>1113</v>
      </c>
    </row>
    <row r="24" spans="1:11" hidden="1" x14ac:dyDescent="0.25">
      <c r="A24" s="46">
        <v>1</v>
      </c>
      <c r="B24" s="44" t="s">
        <v>1077</v>
      </c>
      <c r="C24" s="44" t="s">
        <v>212</v>
      </c>
      <c r="D24" s="44" t="s">
        <v>213</v>
      </c>
      <c r="E24" s="45">
        <v>27.65</v>
      </c>
      <c r="F24" s="284">
        <v>23900</v>
      </c>
      <c r="G24" s="284">
        <v>660835</v>
      </c>
      <c r="H24" s="445" t="s">
        <v>209</v>
      </c>
      <c r="I24" s="89" t="s">
        <v>1078</v>
      </c>
      <c r="K24" s="463" t="s">
        <v>1113</v>
      </c>
    </row>
    <row r="25" spans="1:11" hidden="1" x14ac:dyDescent="0.25">
      <c r="A25" s="46">
        <v>1</v>
      </c>
      <c r="B25" s="44" t="s">
        <v>1077</v>
      </c>
      <c r="C25" s="44" t="s">
        <v>214</v>
      </c>
      <c r="D25" s="44" t="s">
        <v>215</v>
      </c>
      <c r="E25" s="45">
        <v>28.7</v>
      </c>
      <c r="F25" s="284">
        <v>25900</v>
      </c>
      <c r="G25" s="284">
        <v>743330</v>
      </c>
      <c r="H25" s="445" t="s">
        <v>209</v>
      </c>
      <c r="I25" s="89" t="s">
        <v>1078</v>
      </c>
      <c r="K25" s="463" t="s">
        <v>1113</v>
      </c>
    </row>
    <row r="26" spans="1:11" hidden="1" x14ac:dyDescent="0.25">
      <c r="A26" s="46">
        <v>1</v>
      </c>
      <c r="B26" s="44" t="s">
        <v>1077</v>
      </c>
      <c r="C26" s="44" t="s">
        <v>216</v>
      </c>
      <c r="D26" s="44" t="s">
        <v>217</v>
      </c>
      <c r="E26" s="45">
        <v>18.5</v>
      </c>
      <c r="F26" s="284">
        <v>34500</v>
      </c>
      <c r="G26" s="284">
        <v>638250</v>
      </c>
      <c r="H26" s="445" t="s">
        <v>209</v>
      </c>
      <c r="I26" s="89" t="s">
        <v>1078</v>
      </c>
      <c r="K26" s="463" t="s">
        <v>1113</v>
      </c>
    </row>
    <row r="27" spans="1:11" hidden="1" x14ac:dyDescent="0.25">
      <c r="A27" s="46">
        <v>1</v>
      </c>
      <c r="B27" s="44" t="s">
        <v>1077</v>
      </c>
      <c r="C27" s="44" t="s">
        <v>219</v>
      </c>
      <c r="D27" s="44" t="s">
        <v>220</v>
      </c>
      <c r="E27" s="45">
        <v>90.35</v>
      </c>
      <c r="F27" s="284">
        <v>21900</v>
      </c>
      <c r="G27" s="284">
        <v>1978665</v>
      </c>
      <c r="H27" s="445" t="s">
        <v>218</v>
      </c>
      <c r="I27" s="89" t="s">
        <v>1078</v>
      </c>
      <c r="K27" s="463" t="s">
        <v>1113</v>
      </c>
    </row>
    <row r="28" spans="1:11" hidden="1" x14ac:dyDescent="0.25">
      <c r="A28" s="46">
        <v>1</v>
      </c>
      <c r="B28" s="44" t="s">
        <v>1114</v>
      </c>
      <c r="C28" s="102" t="s">
        <v>1115</v>
      </c>
      <c r="D28" s="102" t="s">
        <v>1116</v>
      </c>
      <c r="E28" s="45">
        <v>1</v>
      </c>
      <c r="F28" s="285">
        <v>921345</v>
      </c>
      <c r="G28" s="284">
        <v>921345</v>
      </c>
      <c r="H28" s="105" t="s">
        <v>1117</v>
      </c>
      <c r="I28" s="97" t="s">
        <v>1078</v>
      </c>
      <c r="J28" s="98" t="s">
        <v>121</v>
      </c>
      <c r="K28" s="463" t="s">
        <v>1118</v>
      </c>
    </row>
    <row r="29" spans="1:11" hidden="1" x14ac:dyDescent="0.25">
      <c r="A29" s="46">
        <v>2</v>
      </c>
      <c r="B29" s="44" t="s">
        <v>91</v>
      </c>
      <c r="C29" s="44" t="s">
        <v>487</v>
      </c>
      <c r="D29" s="44" t="s">
        <v>488</v>
      </c>
      <c r="E29" s="45">
        <v>2</v>
      </c>
      <c r="F29" s="284">
        <v>39000</v>
      </c>
      <c r="G29" s="284">
        <v>78000</v>
      </c>
      <c r="H29" s="44" t="s">
        <v>486</v>
      </c>
      <c r="I29" s="89" t="s">
        <v>1078</v>
      </c>
      <c r="K29" s="463" t="s">
        <v>1110</v>
      </c>
    </row>
    <row r="30" spans="1:11" hidden="1" x14ac:dyDescent="0.25">
      <c r="A30" s="46">
        <v>2</v>
      </c>
      <c r="B30" s="44" t="s">
        <v>91</v>
      </c>
      <c r="C30" s="44" t="s">
        <v>489</v>
      </c>
      <c r="D30" s="44" t="s">
        <v>490</v>
      </c>
      <c r="E30" s="45">
        <v>1</v>
      </c>
      <c r="F30" s="284">
        <v>32500</v>
      </c>
      <c r="G30" s="284">
        <v>32500</v>
      </c>
      <c r="H30" s="44" t="s">
        <v>486</v>
      </c>
      <c r="I30" s="89" t="s">
        <v>1078</v>
      </c>
      <c r="K30" s="463" t="s">
        <v>1110</v>
      </c>
    </row>
    <row r="31" spans="1:11" hidden="1" x14ac:dyDescent="0.25">
      <c r="A31" s="46">
        <v>2</v>
      </c>
      <c r="B31" s="44" t="s">
        <v>91</v>
      </c>
      <c r="C31" s="44" t="s">
        <v>491</v>
      </c>
      <c r="D31" s="44" t="s">
        <v>492</v>
      </c>
      <c r="E31" s="45">
        <v>1</v>
      </c>
      <c r="F31" s="284">
        <v>51600</v>
      </c>
      <c r="G31" s="284">
        <v>51600</v>
      </c>
      <c r="H31" s="44" t="s">
        <v>486</v>
      </c>
      <c r="I31" s="89" t="s">
        <v>1078</v>
      </c>
      <c r="K31" s="463" t="s">
        <v>1110</v>
      </c>
    </row>
    <row r="32" spans="1:11" hidden="1" x14ac:dyDescent="0.25">
      <c r="A32" s="46">
        <v>2</v>
      </c>
      <c r="B32" s="44" t="s">
        <v>949</v>
      </c>
      <c r="C32" s="44" t="s">
        <v>637</v>
      </c>
      <c r="D32" s="44" t="s">
        <v>1119</v>
      </c>
      <c r="E32" s="45">
        <v>2</v>
      </c>
      <c r="F32" s="284">
        <v>9500</v>
      </c>
      <c r="G32" s="284">
        <v>19000</v>
      </c>
      <c r="H32" s="44" t="s">
        <v>1120</v>
      </c>
      <c r="I32" s="89" t="s">
        <v>1078</v>
      </c>
      <c r="K32" s="463" t="s">
        <v>1099</v>
      </c>
    </row>
    <row r="33" spans="1:11" hidden="1" x14ac:dyDescent="0.25">
      <c r="A33" s="46">
        <v>2</v>
      </c>
      <c r="B33" s="44" t="s">
        <v>1082</v>
      </c>
      <c r="C33" s="44" t="s">
        <v>1083</v>
      </c>
      <c r="D33" s="44" t="s">
        <v>1121</v>
      </c>
      <c r="E33" s="45">
        <v>19</v>
      </c>
      <c r="F33" s="284">
        <v>5263.16</v>
      </c>
      <c r="G33" s="284">
        <v>100000</v>
      </c>
      <c r="H33" s="44" t="s">
        <v>1122</v>
      </c>
      <c r="I33" s="89" t="s">
        <v>1078</v>
      </c>
      <c r="K33" s="463" t="s">
        <v>1109</v>
      </c>
    </row>
    <row r="34" spans="1:11" hidden="1" x14ac:dyDescent="0.25">
      <c r="A34" s="46">
        <v>2</v>
      </c>
      <c r="B34" s="44" t="s">
        <v>1102</v>
      </c>
      <c r="C34" s="44" t="s">
        <v>1103</v>
      </c>
      <c r="D34" s="44" t="s">
        <v>1123</v>
      </c>
      <c r="E34" s="45">
        <v>1</v>
      </c>
      <c r="F34" s="284">
        <v>30000</v>
      </c>
      <c r="G34" s="284">
        <v>30000</v>
      </c>
      <c r="H34" s="44" t="s">
        <v>1122</v>
      </c>
      <c r="I34" s="89" t="s">
        <v>1078</v>
      </c>
      <c r="K34" s="463" t="s">
        <v>1105</v>
      </c>
    </row>
    <row r="35" spans="1:11" hidden="1" x14ac:dyDescent="0.25">
      <c r="A35" s="46">
        <v>2</v>
      </c>
      <c r="B35" s="44" t="s">
        <v>949</v>
      </c>
      <c r="C35" s="44" t="s">
        <v>965</v>
      </c>
      <c r="D35" s="44" t="s">
        <v>1124</v>
      </c>
      <c r="E35" s="45">
        <v>1</v>
      </c>
      <c r="F35" s="284">
        <v>25000</v>
      </c>
      <c r="G35" s="284">
        <v>25000</v>
      </c>
      <c r="H35" s="44" t="s">
        <v>1122</v>
      </c>
      <c r="I35" s="89" t="s">
        <v>1078</v>
      </c>
      <c r="K35" s="463" t="s">
        <v>1109</v>
      </c>
    </row>
    <row r="36" spans="1:11" hidden="1" x14ac:dyDescent="0.25">
      <c r="A36" s="46">
        <v>2</v>
      </c>
      <c r="B36" s="44" t="s">
        <v>949</v>
      </c>
      <c r="C36" s="44" t="s">
        <v>637</v>
      </c>
      <c r="D36" s="44" t="s">
        <v>1125</v>
      </c>
      <c r="E36" s="45">
        <v>2</v>
      </c>
      <c r="F36" s="284">
        <v>9500</v>
      </c>
      <c r="G36" s="284">
        <v>19000</v>
      </c>
      <c r="H36" s="44" t="s">
        <v>1126</v>
      </c>
      <c r="I36" s="89" t="s">
        <v>1078</v>
      </c>
      <c r="K36" s="463" t="s">
        <v>1099</v>
      </c>
    </row>
    <row r="37" spans="1:11" hidden="1" x14ac:dyDescent="0.25">
      <c r="A37" s="46">
        <v>2</v>
      </c>
      <c r="B37" s="44" t="s">
        <v>949</v>
      </c>
      <c r="C37" s="44" t="s">
        <v>1100</v>
      </c>
      <c r="D37" s="44" t="s">
        <v>1127</v>
      </c>
      <c r="E37" s="45">
        <v>2</v>
      </c>
      <c r="F37" s="284">
        <v>5000</v>
      </c>
      <c r="G37" s="284">
        <v>10000</v>
      </c>
      <c r="H37" s="44" t="s">
        <v>1126</v>
      </c>
      <c r="I37" s="89" t="s">
        <v>1078</v>
      </c>
      <c r="K37" s="463" t="s">
        <v>1099</v>
      </c>
    </row>
    <row r="38" spans="1:11" hidden="1" x14ac:dyDescent="0.25">
      <c r="A38" s="46">
        <v>2</v>
      </c>
      <c r="B38" s="44" t="s">
        <v>1086</v>
      </c>
      <c r="C38" s="44" t="s">
        <v>1128</v>
      </c>
      <c r="D38" s="44" t="s">
        <v>1129</v>
      </c>
      <c r="E38" s="45">
        <v>5</v>
      </c>
      <c r="F38" s="284">
        <v>3105.6</v>
      </c>
      <c r="G38" s="284">
        <v>15528</v>
      </c>
      <c r="H38" s="44" t="s">
        <v>1130</v>
      </c>
      <c r="I38" s="90" t="s">
        <v>1093</v>
      </c>
      <c r="K38" s="463" t="s">
        <v>1131</v>
      </c>
    </row>
    <row r="39" spans="1:11" hidden="1" x14ac:dyDescent="0.25">
      <c r="A39" s="46">
        <v>2</v>
      </c>
      <c r="B39" s="44" t="s">
        <v>1086</v>
      </c>
      <c r="C39" s="44" t="s">
        <v>1128</v>
      </c>
      <c r="D39" s="44" t="s">
        <v>1132</v>
      </c>
      <c r="E39" s="45">
        <v>5</v>
      </c>
      <c r="F39" s="284">
        <v>3105.6</v>
      </c>
      <c r="G39" s="284">
        <v>15528</v>
      </c>
      <c r="H39" s="44" t="s">
        <v>1130</v>
      </c>
      <c r="I39" s="90" t="s">
        <v>1093</v>
      </c>
      <c r="K39" s="463" t="s">
        <v>1131</v>
      </c>
    </row>
    <row r="40" spans="1:11" hidden="1" x14ac:dyDescent="0.25">
      <c r="A40" s="46">
        <v>2</v>
      </c>
      <c r="B40" s="44" t="s">
        <v>1086</v>
      </c>
      <c r="C40" s="44" t="s">
        <v>1128</v>
      </c>
      <c r="D40" s="44" t="s">
        <v>1133</v>
      </c>
      <c r="E40" s="45">
        <v>5</v>
      </c>
      <c r="F40" s="284">
        <v>1309</v>
      </c>
      <c r="G40" s="284">
        <v>6545</v>
      </c>
      <c r="H40" s="44" t="s">
        <v>1130</v>
      </c>
      <c r="I40" s="90" t="s">
        <v>1093</v>
      </c>
      <c r="K40" s="463" t="s">
        <v>1131</v>
      </c>
    </row>
    <row r="41" spans="1:11" hidden="1" x14ac:dyDescent="0.25">
      <c r="A41" s="46">
        <v>2</v>
      </c>
      <c r="B41" s="44" t="s">
        <v>1086</v>
      </c>
      <c r="C41" s="44" t="s">
        <v>1128</v>
      </c>
      <c r="D41" s="44" t="s">
        <v>1134</v>
      </c>
      <c r="E41" s="45">
        <v>5</v>
      </c>
      <c r="F41" s="284">
        <v>2570.4</v>
      </c>
      <c r="G41" s="284">
        <v>12852</v>
      </c>
      <c r="H41" s="44" t="s">
        <v>1130</v>
      </c>
      <c r="I41" s="90" t="s">
        <v>1093</v>
      </c>
      <c r="K41" s="463" t="s">
        <v>1131</v>
      </c>
    </row>
    <row r="42" spans="1:11" hidden="1" x14ac:dyDescent="0.25">
      <c r="A42" s="46">
        <v>2</v>
      </c>
      <c r="B42" s="44" t="s">
        <v>1086</v>
      </c>
      <c r="C42" s="44" t="s">
        <v>1128</v>
      </c>
      <c r="D42" s="44" t="s">
        <v>1135</v>
      </c>
      <c r="E42" s="45">
        <v>3</v>
      </c>
      <c r="F42" s="284">
        <v>3760.333333333333</v>
      </c>
      <c r="G42" s="284">
        <v>11281</v>
      </c>
      <c r="H42" s="44" t="s">
        <v>1130</v>
      </c>
      <c r="I42" s="90" t="s">
        <v>1093</v>
      </c>
      <c r="K42" s="463" t="s">
        <v>1131</v>
      </c>
    </row>
    <row r="43" spans="1:11" hidden="1" x14ac:dyDescent="0.25">
      <c r="A43" s="46">
        <v>2</v>
      </c>
      <c r="B43" s="44" t="s">
        <v>1086</v>
      </c>
      <c r="C43" s="44" t="s">
        <v>1128</v>
      </c>
      <c r="D43" s="44" t="s">
        <v>1136</v>
      </c>
      <c r="E43" s="45">
        <v>3</v>
      </c>
      <c r="F43" s="284">
        <v>3760.333333333333</v>
      </c>
      <c r="G43" s="284">
        <v>11281</v>
      </c>
      <c r="H43" s="44" t="s">
        <v>1130</v>
      </c>
      <c r="I43" s="90" t="s">
        <v>1093</v>
      </c>
      <c r="K43" s="463" t="s">
        <v>1131</v>
      </c>
    </row>
    <row r="44" spans="1:11" hidden="1" x14ac:dyDescent="0.25">
      <c r="A44" s="46">
        <v>2</v>
      </c>
      <c r="B44" s="44" t="s">
        <v>1086</v>
      </c>
      <c r="C44" s="44" t="s">
        <v>1137</v>
      </c>
      <c r="D44" s="44" t="s">
        <v>1138</v>
      </c>
      <c r="E44" s="45">
        <v>70</v>
      </c>
      <c r="F44" s="284">
        <v>4180</v>
      </c>
      <c r="G44" s="284">
        <v>292600</v>
      </c>
      <c r="H44" s="44" t="s">
        <v>1130</v>
      </c>
      <c r="I44" s="90" t="s">
        <v>1093</v>
      </c>
      <c r="K44" s="463" t="s">
        <v>1131</v>
      </c>
    </row>
    <row r="45" spans="1:11" hidden="1" x14ac:dyDescent="0.25">
      <c r="A45" s="46">
        <v>2</v>
      </c>
      <c r="B45" s="44" t="s">
        <v>949</v>
      </c>
      <c r="C45" s="44" t="s">
        <v>1139</v>
      </c>
      <c r="D45" s="44" t="s">
        <v>1140</v>
      </c>
      <c r="E45" s="45">
        <v>4</v>
      </c>
      <c r="F45" s="284">
        <v>18200</v>
      </c>
      <c r="G45" s="284">
        <v>72800</v>
      </c>
      <c r="H45" s="44" t="s">
        <v>1130</v>
      </c>
      <c r="I45" s="90" t="s">
        <v>1093</v>
      </c>
      <c r="K45" s="463" t="s">
        <v>1131</v>
      </c>
    </row>
    <row r="46" spans="1:11" hidden="1" x14ac:dyDescent="0.25">
      <c r="A46" s="46">
        <v>2</v>
      </c>
      <c r="B46" s="44" t="s">
        <v>1077</v>
      </c>
      <c r="C46" s="44" t="s">
        <v>223</v>
      </c>
      <c r="D46" s="44" t="s">
        <v>224</v>
      </c>
      <c r="E46" s="45">
        <v>34.700000000000003</v>
      </c>
      <c r="F46" s="284">
        <v>7500</v>
      </c>
      <c r="G46" s="284">
        <v>260250</v>
      </c>
      <c r="H46" s="445" t="s">
        <v>222</v>
      </c>
      <c r="I46" s="90" t="s">
        <v>1093</v>
      </c>
      <c r="K46" s="463" t="s">
        <v>1092</v>
      </c>
    </row>
    <row r="47" spans="1:11" hidden="1" x14ac:dyDescent="0.25">
      <c r="A47" s="46">
        <v>2</v>
      </c>
      <c r="B47" s="44" t="s">
        <v>1077</v>
      </c>
      <c r="C47" s="44" t="s">
        <v>226</v>
      </c>
      <c r="D47" s="44" t="s">
        <v>227</v>
      </c>
      <c r="E47" s="45">
        <v>5</v>
      </c>
      <c r="F47" s="284">
        <v>21500</v>
      </c>
      <c r="G47" s="284">
        <v>107500</v>
      </c>
      <c r="H47" s="44" t="s">
        <v>225</v>
      </c>
      <c r="I47" s="89" t="s">
        <v>1078</v>
      </c>
      <c r="K47" s="463" t="s">
        <v>1141</v>
      </c>
    </row>
    <row r="48" spans="1:11" hidden="1" x14ac:dyDescent="0.25">
      <c r="A48" s="46">
        <v>2</v>
      </c>
      <c r="B48" s="44" t="s">
        <v>1086</v>
      </c>
      <c r="C48" s="44" t="s">
        <v>1087</v>
      </c>
      <c r="D48" s="44" t="s">
        <v>1142</v>
      </c>
      <c r="E48" s="45">
        <v>150</v>
      </c>
      <c r="F48" s="284">
        <v>150</v>
      </c>
      <c r="G48" s="284">
        <v>22500</v>
      </c>
      <c r="H48" s="44" t="s">
        <v>1143</v>
      </c>
      <c r="I48" s="89" t="s">
        <v>1078</v>
      </c>
      <c r="K48" s="463" t="s">
        <v>1090</v>
      </c>
    </row>
    <row r="49" spans="1:11" hidden="1" x14ac:dyDescent="0.25">
      <c r="A49" s="46">
        <v>2</v>
      </c>
      <c r="B49" s="44" t="s">
        <v>1082</v>
      </c>
      <c r="C49" s="44" t="s">
        <v>1144</v>
      </c>
      <c r="D49" s="44" t="s">
        <v>1145</v>
      </c>
      <c r="E49" s="45">
        <v>4</v>
      </c>
      <c r="F49" s="284">
        <v>2480</v>
      </c>
      <c r="G49" s="284">
        <v>9920</v>
      </c>
      <c r="H49" s="44" t="s">
        <v>1146</v>
      </c>
      <c r="I49" s="89" t="s">
        <v>1078</v>
      </c>
      <c r="K49" s="463" t="s">
        <v>1079</v>
      </c>
    </row>
    <row r="50" spans="1:11" hidden="1" x14ac:dyDescent="0.25">
      <c r="A50" s="46">
        <v>2</v>
      </c>
      <c r="B50" s="44" t="s">
        <v>1082</v>
      </c>
      <c r="C50" s="44" t="s">
        <v>1083</v>
      </c>
      <c r="D50" s="44" t="s">
        <v>1147</v>
      </c>
      <c r="E50" s="45">
        <v>3</v>
      </c>
      <c r="F50" s="284">
        <v>5440</v>
      </c>
      <c r="G50" s="284">
        <v>16320</v>
      </c>
      <c r="H50" s="44" t="s">
        <v>1148</v>
      </c>
      <c r="I50" s="89" t="s">
        <v>1078</v>
      </c>
      <c r="K50" s="463" t="s">
        <v>1079</v>
      </c>
    </row>
    <row r="51" spans="1:11" hidden="1" x14ac:dyDescent="0.25">
      <c r="A51" s="46">
        <v>2</v>
      </c>
      <c r="B51" s="44" t="s">
        <v>1077</v>
      </c>
      <c r="C51" s="44" t="s">
        <v>229</v>
      </c>
      <c r="D51" s="44" t="s">
        <v>230</v>
      </c>
      <c r="E51" s="45">
        <v>2.77</v>
      </c>
      <c r="F51" s="284">
        <v>19900</v>
      </c>
      <c r="G51" s="284">
        <v>55123</v>
      </c>
      <c r="H51" s="44" t="s">
        <v>228</v>
      </c>
      <c r="I51" s="89" t="s">
        <v>1078</v>
      </c>
      <c r="K51" s="463" t="s">
        <v>1079</v>
      </c>
    </row>
    <row r="52" spans="1:11" hidden="1" x14ac:dyDescent="0.25">
      <c r="A52" s="46">
        <v>2</v>
      </c>
      <c r="B52" s="44" t="s">
        <v>1077</v>
      </c>
      <c r="C52" s="44" t="s">
        <v>229</v>
      </c>
      <c r="D52" s="44" t="s">
        <v>230</v>
      </c>
      <c r="E52" s="45">
        <v>4.7640000000000002</v>
      </c>
      <c r="F52" s="284">
        <v>22190</v>
      </c>
      <c r="G52" s="284">
        <v>105713</v>
      </c>
      <c r="H52" s="44" t="s">
        <v>228</v>
      </c>
      <c r="I52" s="89" t="s">
        <v>1078</v>
      </c>
      <c r="K52" s="463" t="s">
        <v>1079</v>
      </c>
    </row>
    <row r="53" spans="1:11" hidden="1" x14ac:dyDescent="0.25">
      <c r="A53" s="46">
        <v>2</v>
      </c>
      <c r="B53" s="44" t="s">
        <v>1086</v>
      </c>
      <c r="C53" s="44" t="s">
        <v>1149</v>
      </c>
      <c r="D53" s="44" t="s">
        <v>1150</v>
      </c>
      <c r="E53" s="45">
        <v>1</v>
      </c>
      <c r="F53" s="284">
        <v>4390</v>
      </c>
      <c r="G53" s="284">
        <v>4390</v>
      </c>
      <c r="H53" s="44" t="s">
        <v>228</v>
      </c>
      <c r="I53" s="89" t="s">
        <v>1078</v>
      </c>
      <c r="K53" s="463" t="s">
        <v>1079</v>
      </c>
    </row>
    <row r="54" spans="1:11" hidden="1" x14ac:dyDescent="0.25">
      <c r="A54" s="46">
        <v>2</v>
      </c>
      <c r="B54" s="44" t="s">
        <v>949</v>
      </c>
      <c r="C54" s="44" t="s">
        <v>1151</v>
      </c>
      <c r="D54" s="44" t="s">
        <v>1152</v>
      </c>
      <c r="E54" s="45">
        <v>1</v>
      </c>
      <c r="F54" s="284">
        <v>120</v>
      </c>
      <c r="G54" s="284">
        <v>120</v>
      </c>
      <c r="H54" s="44" t="s">
        <v>228</v>
      </c>
      <c r="I54" s="89" t="s">
        <v>1078</v>
      </c>
      <c r="K54" s="463" t="s">
        <v>1079</v>
      </c>
    </row>
    <row r="55" spans="1:11" hidden="1" x14ac:dyDescent="0.25">
      <c r="A55" s="46">
        <v>3</v>
      </c>
      <c r="B55" s="44" t="s">
        <v>1086</v>
      </c>
      <c r="C55" s="44" t="s">
        <v>1153</v>
      </c>
      <c r="D55" s="44" t="s">
        <v>1154</v>
      </c>
      <c r="E55" s="45">
        <v>1</v>
      </c>
      <c r="F55" s="284">
        <v>4500</v>
      </c>
      <c r="G55" s="284">
        <v>4500</v>
      </c>
      <c r="H55" s="44" t="s">
        <v>1155</v>
      </c>
      <c r="I55" s="89" t="s">
        <v>1078</v>
      </c>
      <c r="K55" s="463" t="s">
        <v>1141</v>
      </c>
    </row>
    <row r="56" spans="1:11" hidden="1" x14ac:dyDescent="0.25">
      <c r="A56" s="46">
        <v>3</v>
      </c>
      <c r="B56" s="44" t="s">
        <v>949</v>
      </c>
      <c r="C56" s="44" t="s">
        <v>637</v>
      </c>
      <c r="D56" s="44" t="s">
        <v>1156</v>
      </c>
      <c r="E56" s="45">
        <v>2</v>
      </c>
      <c r="F56" s="284">
        <v>9500</v>
      </c>
      <c r="G56" s="284">
        <v>19000</v>
      </c>
      <c r="H56" s="44" t="s">
        <v>1157</v>
      </c>
      <c r="I56" s="89" t="s">
        <v>1078</v>
      </c>
      <c r="K56" s="463" t="s">
        <v>1099</v>
      </c>
    </row>
    <row r="57" spans="1:11" hidden="1" x14ac:dyDescent="0.25">
      <c r="A57" s="46">
        <v>3</v>
      </c>
      <c r="B57" s="44" t="s">
        <v>1102</v>
      </c>
      <c r="C57" s="44" t="s">
        <v>1103</v>
      </c>
      <c r="D57" s="44" t="s">
        <v>1158</v>
      </c>
      <c r="E57" s="45">
        <v>1</v>
      </c>
      <c r="F57" s="284">
        <v>30000</v>
      </c>
      <c r="G57" s="284">
        <v>30000</v>
      </c>
      <c r="H57" s="44" t="s">
        <v>1159</v>
      </c>
      <c r="I57" s="89" t="s">
        <v>1078</v>
      </c>
      <c r="K57" s="463" t="s">
        <v>1105</v>
      </c>
    </row>
    <row r="58" spans="1:11" hidden="1" x14ac:dyDescent="0.25">
      <c r="A58" s="46">
        <v>3</v>
      </c>
      <c r="B58" s="44" t="s">
        <v>1102</v>
      </c>
      <c r="C58" s="44" t="s">
        <v>1160</v>
      </c>
      <c r="D58" s="44" t="s">
        <v>1161</v>
      </c>
      <c r="E58" s="45">
        <v>1</v>
      </c>
      <c r="F58" s="284">
        <v>10000</v>
      </c>
      <c r="G58" s="284">
        <v>10000</v>
      </c>
      <c r="H58" s="44" t="s">
        <v>1159</v>
      </c>
      <c r="I58" s="89" t="s">
        <v>1078</v>
      </c>
      <c r="K58" s="463" t="s">
        <v>1109</v>
      </c>
    </row>
    <row r="59" spans="1:11" hidden="1" x14ac:dyDescent="0.25">
      <c r="A59" s="46">
        <v>3</v>
      </c>
      <c r="B59" s="44" t="s">
        <v>1102</v>
      </c>
      <c r="C59" s="44" t="s">
        <v>1162</v>
      </c>
      <c r="D59" s="44" t="s">
        <v>1163</v>
      </c>
      <c r="E59" s="45">
        <v>1</v>
      </c>
      <c r="F59" s="284">
        <v>10000</v>
      </c>
      <c r="G59" s="284">
        <v>10000</v>
      </c>
      <c r="H59" s="44" t="s">
        <v>1159</v>
      </c>
      <c r="I59" s="89" t="s">
        <v>1078</v>
      </c>
      <c r="K59" s="463" t="s">
        <v>1109</v>
      </c>
    </row>
    <row r="60" spans="1:11" hidden="1" x14ac:dyDescent="0.25">
      <c r="A60" s="46">
        <v>3</v>
      </c>
      <c r="B60" s="44" t="s">
        <v>1102</v>
      </c>
      <c r="C60" s="44" t="s">
        <v>1164</v>
      </c>
      <c r="D60" s="44" t="s">
        <v>1165</v>
      </c>
      <c r="E60" s="45">
        <v>1</v>
      </c>
      <c r="F60" s="284">
        <v>7000</v>
      </c>
      <c r="G60" s="284">
        <v>7000</v>
      </c>
      <c r="H60" s="44" t="s">
        <v>1159</v>
      </c>
      <c r="I60" s="89" t="s">
        <v>1078</v>
      </c>
      <c r="K60" s="463" t="s">
        <v>1109</v>
      </c>
    </row>
    <row r="61" spans="1:11" hidden="1" x14ac:dyDescent="0.25">
      <c r="A61" s="46">
        <v>3</v>
      </c>
      <c r="B61" s="44" t="s">
        <v>1082</v>
      </c>
      <c r="C61" s="44" t="s">
        <v>1166</v>
      </c>
      <c r="D61" s="44" t="s">
        <v>1167</v>
      </c>
      <c r="E61" s="45">
        <v>35</v>
      </c>
      <c r="F61" s="284">
        <v>2500</v>
      </c>
      <c r="G61" s="284">
        <v>87500</v>
      </c>
      <c r="H61" s="44" t="s">
        <v>1159</v>
      </c>
      <c r="I61" s="89" t="s">
        <v>1078</v>
      </c>
      <c r="K61" s="463" t="s">
        <v>1109</v>
      </c>
    </row>
    <row r="62" spans="1:11" hidden="1" x14ac:dyDescent="0.25">
      <c r="A62" s="46">
        <v>3</v>
      </c>
      <c r="B62" s="44" t="s">
        <v>1082</v>
      </c>
      <c r="C62" s="44" t="s">
        <v>1168</v>
      </c>
      <c r="D62" s="44" t="s">
        <v>1169</v>
      </c>
      <c r="E62" s="45">
        <v>8</v>
      </c>
      <c r="F62" s="284">
        <v>3000</v>
      </c>
      <c r="G62" s="284">
        <v>24000</v>
      </c>
      <c r="H62" s="44" t="s">
        <v>1159</v>
      </c>
      <c r="I62" s="89" t="s">
        <v>1078</v>
      </c>
      <c r="K62" s="463" t="s">
        <v>1109</v>
      </c>
    </row>
    <row r="63" spans="1:11" hidden="1" x14ac:dyDescent="0.25">
      <c r="A63" s="46">
        <v>3</v>
      </c>
      <c r="B63" s="44" t="s">
        <v>1082</v>
      </c>
      <c r="C63" s="44" t="s">
        <v>1170</v>
      </c>
      <c r="D63" s="44" t="s">
        <v>1171</v>
      </c>
      <c r="E63" s="45">
        <v>5</v>
      </c>
      <c r="F63" s="284">
        <v>8000</v>
      </c>
      <c r="G63" s="284">
        <v>40000</v>
      </c>
      <c r="H63" s="44" t="s">
        <v>1159</v>
      </c>
      <c r="I63" s="89" t="s">
        <v>1078</v>
      </c>
      <c r="K63" s="463" t="s">
        <v>1109</v>
      </c>
    </row>
    <row r="64" spans="1:11" hidden="1" x14ac:dyDescent="0.25">
      <c r="A64" s="46">
        <v>3</v>
      </c>
      <c r="B64" s="44" t="s">
        <v>1082</v>
      </c>
      <c r="C64" s="44" t="s">
        <v>1172</v>
      </c>
      <c r="D64" s="44" t="s">
        <v>1173</v>
      </c>
      <c r="E64" s="45">
        <v>16</v>
      </c>
      <c r="F64" s="284">
        <v>2000</v>
      </c>
      <c r="G64" s="284">
        <v>32000</v>
      </c>
      <c r="H64" s="44" t="s">
        <v>1159</v>
      </c>
      <c r="I64" s="89" t="s">
        <v>1078</v>
      </c>
      <c r="K64" s="463" t="s">
        <v>1109</v>
      </c>
    </row>
    <row r="65" spans="1:11" hidden="1" x14ac:dyDescent="0.25">
      <c r="A65" s="46">
        <v>3</v>
      </c>
      <c r="B65" s="44" t="s">
        <v>1082</v>
      </c>
      <c r="C65" s="44" t="s">
        <v>1174</v>
      </c>
      <c r="D65" s="44" t="s">
        <v>1175</v>
      </c>
      <c r="E65" s="45">
        <v>15</v>
      </c>
      <c r="F65" s="284">
        <v>3333.33</v>
      </c>
      <c r="G65" s="284">
        <v>50000</v>
      </c>
      <c r="H65" s="44" t="s">
        <v>1159</v>
      </c>
      <c r="I65" s="89" t="s">
        <v>1078</v>
      </c>
      <c r="K65" s="463" t="s">
        <v>1109</v>
      </c>
    </row>
    <row r="66" spans="1:11" hidden="1" x14ac:dyDescent="0.25">
      <c r="A66" s="46">
        <v>3</v>
      </c>
      <c r="B66" s="44" t="s">
        <v>1082</v>
      </c>
      <c r="C66" s="44" t="s">
        <v>1176</v>
      </c>
      <c r="D66" s="44" t="s">
        <v>1177</v>
      </c>
      <c r="E66" s="45">
        <v>1</v>
      </c>
      <c r="F66" s="284">
        <v>8000</v>
      </c>
      <c r="G66" s="284">
        <v>8000</v>
      </c>
      <c r="H66" s="44" t="s">
        <v>1159</v>
      </c>
      <c r="I66" s="89" t="s">
        <v>1078</v>
      </c>
      <c r="K66" s="463" t="s">
        <v>1109</v>
      </c>
    </row>
    <row r="67" spans="1:11" hidden="1" x14ac:dyDescent="0.25">
      <c r="A67" s="46">
        <v>3</v>
      </c>
      <c r="B67" s="44" t="s">
        <v>1082</v>
      </c>
      <c r="C67" s="44" t="s">
        <v>1178</v>
      </c>
      <c r="D67" s="44" t="s">
        <v>1179</v>
      </c>
      <c r="E67" s="45">
        <v>10</v>
      </c>
      <c r="F67" s="284">
        <v>1000</v>
      </c>
      <c r="G67" s="284">
        <v>10000</v>
      </c>
      <c r="H67" s="44" t="s">
        <v>1159</v>
      </c>
      <c r="I67" s="89" t="s">
        <v>1078</v>
      </c>
      <c r="K67" s="463" t="s">
        <v>1109</v>
      </c>
    </row>
    <row r="68" spans="1:11" hidden="1" x14ac:dyDescent="0.25">
      <c r="A68" s="46">
        <v>3</v>
      </c>
      <c r="B68" s="44" t="s">
        <v>1102</v>
      </c>
      <c r="C68" s="44" t="s">
        <v>1180</v>
      </c>
      <c r="D68" s="44" t="s">
        <v>1181</v>
      </c>
      <c r="E68" s="45">
        <v>1</v>
      </c>
      <c r="F68" s="284">
        <v>3500</v>
      </c>
      <c r="G68" s="284">
        <v>3500</v>
      </c>
      <c r="H68" s="44" t="s">
        <v>1159</v>
      </c>
      <c r="I68" s="89" t="s">
        <v>1078</v>
      </c>
      <c r="K68" s="463" t="s">
        <v>1109</v>
      </c>
    </row>
    <row r="69" spans="1:11" hidden="1" x14ac:dyDescent="0.25">
      <c r="A69" s="46">
        <v>3</v>
      </c>
      <c r="B69" s="44" t="s">
        <v>949</v>
      </c>
      <c r="C69" s="44" t="s">
        <v>637</v>
      </c>
      <c r="D69" s="44" t="s">
        <v>1182</v>
      </c>
      <c r="E69" s="45">
        <v>2</v>
      </c>
      <c r="F69" s="284">
        <v>9500</v>
      </c>
      <c r="G69" s="284">
        <v>19000</v>
      </c>
      <c r="H69" s="44" t="s">
        <v>1183</v>
      </c>
      <c r="I69" s="89" t="s">
        <v>1078</v>
      </c>
      <c r="K69" s="463" t="s">
        <v>1099</v>
      </c>
    </row>
    <row r="70" spans="1:11" hidden="1" x14ac:dyDescent="0.25">
      <c r="A70" s="46">
        <v>3</v>
      </c>
      <c r="B70" s="44" t="s">
        <v>1086</v>
      </c>
      <c r="C70" s="44" t="s">
        <v>1184</v>
      </c>
      <c r="D70" s="44" t="s">
        <v>1185</v>
      </c>
      <c r="E70" s="45">
        <v>4</v>
      </c>
      <c r="F70" s="284">
        <v>22987.5</v>
      </c>
      <c r="G70" s="284">
        <v>91950</v>
      </c>
      <c r="H70" s="44" t="s">
        <v>1186</v>
      </c>
      <c r="I70" s="90" t="s">
        <v>1093</v>
      </c>
      <c r="K70" s="463" t="s">
        <v>1187</v>
      </c>
    </row>
    <row r="71" spans="1:11" hidden="1" x14ac:dyDescent="0.25">
      <c r="A71" s="46">
        <v>3</v>
      </c>
      <c r="B71" s="44" t="s">
        <v>91</v>
      </c>
      <c r="C71" s="44" t="s">
        <v>495</v>
      </c>
      <c r="D71" s="44" t="s">
        <v>496</v>
      </c>
      <c r="E71" s="45">
        <v>1</v>
      </c>
      <c r="F71" s="284">
        <v>32000</v>
      </c>
      <c r="G71" s="284">
        <v>32000</v>
      </c>
      <c r="H71" s="44" t="s">
        <v>494</v>
      </c>
      <c r="I71" s="89" t="s">
        <v>1078</v>
      </c>
      <c r="K71" s="463" t="s">
        <v>1188</v>
      </c>
    </row>
    <row r="72" spans="1:11" hidden="1" x14ac:dyDescent="0.25">
      <c r="A72" s="46">
        <v>3</v>
      </c>
      <c r="B72" s="44" t="s">
        <v>91</v>
      </c>
      <c r="C72" s="44" t="s">
        <v>497</v>
      </c>
      <c r="D72" s="44" t="s">
        <v>498</v>
      </c>
      <c r="E72" s="45">
        <v>2</v>
      </c>
      <c r="F72" s="284">
        <v>65000</v>
      </c>
      <c r="G72" s="284">
        <v>130000</v>
      </c>
      <c r="H72" s="44" t="s">
        <v>494</v>
      </c>
      <c r="I72" s="89" t="s">
        <v>1078</v>
      </c>
      <c r="K72" s="463" t="s">
        <v>1188</v>
      </c>
    </row>
    <row r="73" spans="1:11" hidden="1" x14ac:dyDescent="0.25">
      <c r="A73" s="46">
        <v>3</v>
      </c>
      <c r="B73" s="44" t="s">
        <v>91</v>
      </c>
      <c r="C73" s="44" t="s">
        <v>499</v>
      </c>
      <c r="D73" s="44" t="s">
        <v>500</v>
      </c>
      <c r="E73" s="45">
        <v>2</v>
      </c>
      <c r="F73" s="284">
        <v>65000</v>
      </c>
      <c r="G73" s="284">
        <v>130000</v>
      </c>
      <c r="H73" s="44" t="s">
        <v>494</v>
      </c>
      <c r="I73" s="89" t="s">
        <v>1078</v>
      </c>
      <c r="K73" s="463" t="s">
        <v>1188</v>
      </c>
    </row>
    <row r="74" spans="1:11" hidden="1" x14ac:dyDescent="0.25">
      <c r="A74" s="46">
        <v>3</v>
      </c>
      <c r="B74" s="44" t="s">
        <v>91</v>
      </c>
      <c r="C74" s="44" t="s">
        <v>501</v>
      </c>
      <c r="D74" s="44" t="s">
        <v>502</v>
      </c>
      <c r="E74" s="45">
        <v>10</v>
      </c>
      <c r="F74" s="284">
        <v>28800</v>
      </c>
      <c r="G74" s="284">
        <v>288000</v>
      </c>
      <c r="H74" s="44" t="s">
        <v>494</v>
      </c>
      <c r="I74" s="89" t="s">
        <v>1078</v>
      </c>
      <c r="K74" s="463" t="s">
        <v>1188</v>
      </c>
    </row>
    <row r="75" spans="1:11" hidden="1" x14ac:dyDescent="0.25">
      <c r="A75" s="46">
        <v>3</v>
      </c>
      <c r="B75" s="44" t="s">
        <v>91</v>
      </c>
      <c r="C75" s="44" t="s">
        <v>503</v>
      </c>
      <c r="D75" s="44" t="s">
        <v>504</v>
      </c>
      <c r="E75" s="45">
        <v>8</v>
      </c>
      <c r="F75" s="284">
        <v>30000</v>
      </c>
      <c r="G75" s="284">
        <v>240000</v>
      </c>
      <c r="H75" s="44" t="s">
        <v>494</v>
      </c>
      <c r="I75" s="89" t="s">
        <v>1078</v>
      </c>
      <c r="K75" s="463" t="s">
        <v>1188</v>
      </c>
    </row>
    <row r="76" spans="1:11" hidden="1" x14ac:dyDescent="0.25">
      <c r="A76" s="46">
        <v>3</v>
      </c>
      <c r="B76" s="44" t="s">
        <v>91</v>
      </c>
      <c r="C76" s="44" t="s">
        <v>506</v>
      </c>
      <c r="D76" s="44" t="s">
        <v>507</v>
      </c>
      <c r="E76" s="45">
        <v>2</v>
      </c>
      <c r="F76" s="284">
        <v>25100</v>
      </c>
      <c r="G76" s="284">
        <v>50200</v>
      </c>
      <c r="H76" s="44" t="s">
        <v>505</v>
      </c>
      <c r="I76" s="89" t="s">
        <v>1078</v>
      </c>
      <c r="K76" s="463" t="s">
        <v>1188</v>
      </c>
    </row>
    <row r="77" spans="1:11" hidden="1" x14ac:dyDescent="0.25">
      <c r="A77" s="46">
        <v>3</v>
      </c>
      <c r="B77" s="44" t="s">
        <v>91</v>
      </c>
      <c r="C77" s="44" t="s">
        <v>506</v>
      </c>
      <c r="D77" s="44" t="s">
        <v>508</v>
      </c>
      <c r="E77" s="45">
        <v>2</v>
      </c>
      <c r="F77" s="284">
        <v>25100</v>
      </c>
      <c r="G77" s="284">
        <v>50200</v>
      </c>
      <c r="H77" s="44" t="s">
        <v>505</v>
      </c>
      <c r="I77" s="89" t="s">
        <v>1078</v>
      </c>
      <c r="K77" s="463" t="s">
        <v>1188</v>
      </c>
    </row>
    <row r="78" spans="1:11" hidden="1" x14ac:dyDescent="0.25">
      <c r="A78" s="46">
        <v>3</v>
      </c>
      <c r="B78" s="44" t="s">
        <v>91</v>
      </c>
      <c r="C78" s="44" t="s">
        <v>506</v>
      </c>
      <c r="D78" s="44" t="s">
        <v>509</v>
      </c>
      <c r="E78" s="45">
        <v>2</v>
      </c>
      <c r="F78" s="284">
        <v>25100</v>
      </c>
      <c r="G78" s="284">
        <v>50200</v>
      </c>
      <c r="H78" s="44" t="s">
        <v>505</v>
      </c>
      <c r="I78" s="89" t="s">
        <v>1078</v>
      </c>
      <c r="K78" s="463" t="s">
        <v>1188</v>
      </c>
    </row>
    <row r="79" spans="1:11" hidden="1" x14ac:dyDescent="0.25">
      <c r="A79" s="46">
        <v>3</v>
      </c>
      <c r="B79" s="44" t="s">
        <v>1082</v>
      </c>
      <c r="C79" s="44" t="s">
        <v>962</v>
      </c>
      <c r="D79" s="44" t="s">
        <v>1189</v>
      </c>
      <c r="E79" s="45">
        <v>4</v>
      </c>
      <c r="F79" s="284">
        <v>26000</v>
      </c>
      <c r="G79" s="284">
        <v>104000</v>
      </c>
      <c r="H79" s="44" t="s">
        <v>1190</v>
      </c>
      <c r="I79" s="89" t="s">
        <v>1078</v>
      </c>
      <c r="K79" s="463" t="s">
        <v>1141</v>
      </c>
    </row>
    <row r="80" spans="1:11" hidden="1" x14ac:dyDescent="0.25">
      <c r="A80" s="46">
        <v>3</v>
      </c>
      <c r="B80" s="44" t="s">
        <v>1077</v>
      </c>
      <c r="C80" s="44" t="s">
        <v>233</v>
      </c>
      <c r="D80" s="44" t="s">
        <v>234</v>
      </c>
      <c r="E80" s="45">
        <v>5.96</v>
      </c>
      <c r="F80" s="284">
        <v>34000</v>
      </c>
      <c r="G80" s="284">
        <v>202640</v>
      </c>
      <c r="H80" s="448" t="s">
        <v>232</v>
      </c>
      <c r="I80" s="89" t="s">
        <v>1078</v>
      </c>
      <c r="K80" s="463" t="s">
        <v>1191</v>
      </c>
    </row>
    <row r="81" spans="1:11" hidden="1" x14ac:dyDescent="0.25">
      <c r="A81" s="46">
        <v>3</v>
      </c>
      <c r="B81" s="44" t="s">
        <v>1077</v>
      </c>
      <c r="C81" s="44" t="s">
        <v>235</v>
      </c>
      <c r="D81" s="44" t="s">
        <v>236</v>
      </c>
      <c r="E81" s="45">
        <v>7</v>
      </c>
      <c r="F81" s="284">
        <v>20000</v>
      </c>
      <c r="G81" s="284">
        <v>140000</v>
      </c>
      <c r="H81" s="448" t="s">
        <v>232</v>
      </c>
      <c r="I81" s="89" t="s">
        <v>1078</v>
      </c>
      <c r="K81" s="463" t="s">
        <v>1191</v>
      </c>
    </row>
    <row r="82" spans="1:11" hidden="1" x14ac:dyDescent="0.25">
      <c r="A82" s="46">
        <v>3</v>
      </c>
      <c r="B82" s="44" t="s">
        <v>1077</v>
      </c>
      <c r="C82" s="44" t="s">
        <v>226</v>
      </c>
      <c r="D82" s="44" t="s">
        <v>238</v>
      </c>
      <c r="E82" s="45">
        <v>5.8</v>
      </c>
      <c r="F82" s="284">
        <v>22000</v>
      </c>
      <c r="G82" s="284">
        <v>127600</v>
      </c>
      <c r="H82" s="448" t="s">
        <v>237</v>
      </c>
      <c r="I82" s="89" t="s">
        <v>1078</v>
      </c>
      <c r="K82" s="463" t="s">
        <v>1191</v>
      </c>
    </row>
    <row r="83" spans="1:11" hidden="1" x14ac:dyDescent="0.25">
      <c r="A83" s="46">
        <v>3</v>
      </c>
      <c r="B83" s="44" t="s">
        <v>1077</v>
      </c>
      <c r="C83" s="44" t="s">
        <v>239</v>
      </c>
      <c r="D83" s="44" t="s">
        <v>240</v>
      </c>
      <c r="E83" s="45">
        <v>7.35</v>
      </c>
      <c r="F83" s="284">
        <v>54000</v>
      </c>
      <c r="G83" s="284">
        <v>396900</v>
      </c>
      <c r="H83" s="448" t="s">
        <v>237</v>
      </c>
      <c r="I83" s="89" t="s">
        <v>1078</v>
      </c>
      <c r="K83" s="463" t="s">
        <v>1191</v>
      </c>
    </row>
    <row r="84" spans="1:11" hidden="1" x14ac:dyDescent="0.25">
      <c r="A84" s="46">
        <v>3</v>
      </c>
      <c r="B84" s="44" t="s">
        <v>1077</v>
      </c>
      <c r="C84" s="44" t="s">
        <v>233</v>
      </c>
      <c r="D84" s="44" t="s">
        <v>242</v>
      </c>
      <c r="E84" s="45">
        <v>4.05</v>
      </c>
      <c r="F84" s="284">
        <v>33000</v>
      </c>
      <c r="G84" s="284">
        <v>133650</v>
      </c>
      <c r="H84" s="448" t="s">
        <v>241</v>
      </c>
      <c r="I84" s="89" t="s">
        <v>1078</v>
      </c>
      <c r="K84" s="463" t="s">
        <v>1191</v>
      </c>
    </row>
    <row r="85" spans="1:11" hidden="1" x14ac:dyDescent="0.25">
      <c r="A85" s="46">
        <v>3</v>
      </c>
      <c r="B85" s="44" t="s">
        <v>1077</v>
      </c>
      <c r="C85" s="44" t="s">
        <v>243</v>
      </c>
      <c r="D85" s="44" t="s">
        <v>244</v>
      </c>
      <c r="E85" s="45">
        <v>10.3</v>
      </c>
      <c r="F85" s="284">
        <v>20000</v>
      </c>
      <c r="G85" s="284">
        <v>206000</v>
      </c>
      <c r="H85" s="448" t="s">
        <v>241</v>
      </c>
      <c r="I85" s="89" t="s">
        <v>1078</v>
      </c>
      <c r="K85" s="463" t="s">
        <v>1191</v>
      </c>
    </row>
    <row r="86" spans="1:11" hidden="1" x14ac:dyDescent="0.25">
      <c r="A86" s="46">
        <v>3</v>
      </c>
      <c r="B86" s="44" t="s">
        <v>1086</v>
      </c>
      <c r="C86" s="44" t="s">
        <v>1192</v>
      </c>
      <c r="D86" s="44" t="s">
        <v>1193</v>
      </c>
      <c r="E86" s="45">
        <v>2</v>
      </c>
      <c r="F86" s="284">
        <v>254000</v>
      </c>
      <c r="G86" s="284">
        <v>508000</v>
      </c>
      <c r="H86" s="44" t="s">
        <v>1194</v>
      </c>
      <c r="I86" s="90" t="s">
        <v>1093</v>
      </c>
      <c r="K86" s="463" t="s">
        <v>1195</v>
      </c>
    </row>
    <row r="87" spans="1:11" hidden="1" x14ac:dyDescent="0.25">
      <c r="A87" s="46">
        <v>3</v>
      </c>
      <c r="B87" s="44" t="s">
        <v>1086</v>
      </c>
      <c r="C87" s="44" t="s">
        <v>1196</v>
      </c>
      <c r="D87" s="44" t="s">
        <v>1197</v>
      </c>
      <c r="E87" s="45">
        <v>1</v>
      </c>
      <c r="F87" s="284">
        <v>160000</v>
      </c>
      <c r="G87" s="284">
        <v>160000</v>
      </c>
      <c r="H87" s="44" t="s">
        <v>1194</v>
      </c>
      <c r="I87" s="90" t="s">
        <v>1093</v>
      </c>
      <c r="K87" s="463" t="s">
        <v>1195</v>
      </c>
    </row>
    <row r="88" spans="1:11" hidden="1" x14ac:dyDescent="0.25">
      <c r="A88" s="46">
        <v>3</v>
      </c>
      <c r="B88" s="44" t="s">
        <v>1086</v>
      </c>
      <c r="C88" s="44" t="s">
        <v>1153</v>
      </c>
      <c r="D88" s="44" t="s">
        <v>1198</v>
      </c>
      <c r="E88" s="45">
        <v>1</v>
      </c>
      <c r="F88" s="284">
        <v>70000</v>
      </c>
      <c r="G88" s="284">
        <v>70000</v>
      </c>
      <c r="H88" s="44" t="s">
        <v>1194</v>
      </c>
      <c r="I88" s="90" t="s">
        <v>1093</v>
      </c>
      <c r="K88" s="463" t="s">
        <v>1195</v>
      </c>
    </row>
    <row r="89" spans="1:11" hidden="1" x14ac:dyDescent="0.25">
      <c r="A89" s="46">
        <v>3</v>
      </c>
      <c r="B89" s="44" t="s">
        <v>1086</v>
      </c>
      <c r="C89" s="44" t="s">
        <v>1087</v>
      </c>
      <c r="D89" s="44" t="s">
        <v>1199</v>
      </c>
      <c r="E89" s="45">
        <v>100</v>
      </c>
      <c r="F89" s="284">
        <v>150</v>
      </c>
      <c r="G89" s="284">
        <v>15000</v>
      </c>
      <c r="H89" s="44" t="s">
        <v>1200</v>
      </c>
      <c r="I89" s="89" t="s">
        <v>1078</v>
      </c>
      <c r="K89" s="463" t="s">
        <v>1090</v>
      </c>
    </row>
    <row r="90" spans="1:11" hidden="1" x14ac:dyDescent="0.25">
      <c r="A90" s="46">
        <v>3</v>
      </c>
      <c r="B90" s="44" t="s">
        <v>1086</v>
      </c>
      <c r="C90" s="44" t="s">
        <v>1201</v>
      </c>
      <c r="D90" s="44" t="s">
        <v>1202</v>
      </c>
      <c r="E90" s="45">
        <v>15</v>
      </c>
      <c r="F90" s="284">
        <v>13233.33</v>
      </c>
      <c r="G90" s="284">
        <v>198500</v>
      </c>
      <c r="H90" s="44" t="s">
        <v>1200</v>
      </c>
      <c r="I90" s="90" t="s">
        <v>1093</v>
      </c>
      <c r="K90" s="463" t="s">
        <v>1141</v>
      </c>
    </row>
    <row r="91" spans="1:11" hidden="1" x14ac:dyDescent="0.25">
      <c r="A91" s="46">
        <v>3</v>
      </c>
      <c r="B91" s="44" t="s">
        <v>949</v>
      </c>
      <c r="C91" s="44" t="s">
        <v>1203</v>
      </c>
      <c r="D91" s="44" t="s">
        <v>1204</v>
      </c>
      <c r="E91" s="45">
        <v>6</v>
      </c>
      <c r="F91" s="284">
        <v>3100</v>
      </c>
      <c r="G91" s="284">
        <v>18600</v>
      </c>
      <c r="H91" s="44" t="s">
        <v>1205</v>
      </c>
      <c r="I91" s="89" t="s">
        <v>1078</v>
      </c>
      <c r="K91" s="463" t="s">
        <v>1079</v>
      </c>
    </row>
    <row r="92" spans="1:11" hidden="1" x14ac:dyDescent="0.25">
      <c r="A92" s="46">
        <v>3</v>
      </c>
      <c r="B92" s="44" t="s">
        <v>1077</v>
      </c>
      <c r="C92" s="44" t="s">
        <v>246</v>
      </c>
      <c r="D92" s="44" t="s">
        <v>247</v>
      </c>
      <c r="E92" s="45">
        <v>4</v>
      </c>
      <c r="F92" s="284">
        <v>48000</v>
      </c>
      <c r="G92" s="284">
        <v>192000</v>
      </c>
      <c r="H92" s="44" t="s">
        <v>245</v>
      </c>
      <c r="I92" s="90" t="s">
        <v>1093</v>
      </c>
      <c r="K92" s="463" t="s">
        <v>1141</v>
      </c>
    </row>
    <row r="93" spans="1:11" hidden="1" x14ac:dyDescent="0.25">
      <c r="A93" s="46">
        <v>3</v>
      </c>
      <c r="B93" s="44" t="s">
        <v>1077</v>
      </c>
      <c r="C93" s="44" t="s">
        <v>246</v>
      </c>
      <c r="D93" s="44" t="s">
        <v>248</v>
      </c>
      <c r="E93" s="45">
        <v>1</v>
      </c>
      <c r="F93" s="284">
        <v>46000</v>
      </c>
      <c r="G93" s="284">
        <v>46000</v>
      </c>
      <c r="H93" s="44" t="s">
        <v>245</v>
      </c>
      <c r="I93" s="90" t="s">
        <v>1093</v>
      </c>
      <c r="K93" s="463" t="s">
        <v>1141</v>
      </c>
    </row>
    <row r="94" spans="1:11" hidden="1" x14ac:dyDescent="0.25">
      <c r="A94" s="46">
        <v>4</v>
      </c>
      <c r="B94" s="44" t="s">
        <v>949</v>
      </c>
      <c r="C94" s="44" t="s">
        <v>637</v>
      </c>
      <c r="D94" s="44" t="s">
        <v>1206</v>
      </c>
      <c r="E94" s="45">
        <v>2</v>
      </c>
      <c r="F94" s="284">
        <v>9500</v>
      </c>
      <c r="G94" s="284">
        <v>19000</v>
      </c>
      <c r="H94" s="44" t="s">
        <v>1207</v>
      </c>
      <c r="I94" s="89" t="s">
        <v>1078</v>
      </c>
      <c r="K94" s="463" t="s">
        <v>1099</v>
      </c>
    </row>
    <row r="95" spans="1:11" hidden="1" x14ac:dyDescent="0.25">
      <c r="A95" s="46">
        <v>4</v>
      </c>
      <c r="B95" s="44" t="s">
        <v>949</v>
      </c>
      <c r="C95" s="44" t="s">
        <v>1100</v>
      </c>
      <c r="D95" s="44" t="s">
        <v>1208</v>
      </c>
      <c r="E95" s="45">
        <v>2</v>
      </c>
      <c r="F95" s="284">
        <v>5000</v>
      </c>
      <c r="G95" s="284">
        <v>10000</v>
      </c>
      <c r="H95" s="44" t="s">
        <v>1207</v>
      </c>
      <c r="I95" s="89" t="s">
        <v>1078</v>
      </c>
      <c r="K95" s="463" t="s">
        <v>1099</v>
      </c>
    </row>
    <row r="96" spans="1:11" hidden="1" x14ac:dyDescent="0.25">
      <c r="A96" s="46">
        <v>4</v>
      </c>
      <c r="B96" s="44" t="s">
        <v>949</v>
      </c>
      <c r="C96" s="44" t="s">
        <v>1209</v>
      </c>
      <c r="D96" s="44" t="s">
        <v>1210</v>
      </c>
      <c r="E96" s="45">
        <v>3</v>
      </c>
      <c r="F96" s="284">
        <v>6200</v>
      </c>
      <c r="G96" s="284">
        <v>18600</v>
      </c>
      <c r="H96" s="44" t="s">
        <v>1211</v>
      </c>
      <c r="I96" s="89" t="s">
        <v>1078</v>
      </c>
      <c r="K96" s="463" t="s">
        <v>1212</v>
      </c>
    </row>
    <row r="97" spans="1:11" hidden="1" x14ac:dyDescent="0.25">
      <c r="A97" s="46">
        <v>4</v>
      </c>
      <c r="B97" s="44" t="s">
        <v>949</v>
      </c>
      <c r="C97" s="44" t="s">
        <v>1213</v>
      </c>
      <c r="D97" s="44" t="s">
        <v>1214</v>
      </c>
      <c r="E97" s="45">
        <v>3</v>
      </c>
      <c r="F97" s="284">
        <v>3000</v>
      </c>
      <c r="G97" s="284">
        <v>9000</v>
      </c>
      <c r="H97" s="44" t="s">
        <v>1211</v>
      </c>
      <c r="I97" s="89" t="s">
        <v>1078</v>
      </c>
      <c r="K97" s="463" t="s">
        <v>1212</v>
      </c>
    </row>
    <row r="98" spans="1:11" hidden="1" x14ac:dyDescent="0.25">
      <c r="A98" s="46">
        <v>4</v>
      </c>
      <c r="B98" s="44" t="s">
        <v>949</v>
      </c>
      <c r="C98" s="44" t="s">
        <v>1215</v>
      </c>
      <c r="D98" s="44" t="s">
        <v>1216</v>
      </c>
      <c r="E98" s="45">
        <v>1</v>
      </c>
      <c r="F98" s="284">
        <v>8400</v>
      </c>
      <c r="G98" s="284">
        <v>8400</v>
      </c>
      <c r="H98" s="44" t="s">
        <v>1211</v>
      </c>
      <c r="I98" s="89" t="s">
        <v>1078</v>
      </c>
      <c r="K98" s="463" t="s">
        <v>1212</v>
      </c>
    </row>
    <row r="99" spans="1:11" hidden="1" x14ac:dyDescent="0.25">
      <c r="A99" s="46">
        <v>4</v>
      </c>
      <c r="B99" s="44" t="s">
        <v>949</v>
      </c>
      <c r="C99" s="44" t="s">
        <v>1217</v>
      </c>
      <c r="D99" s="44" t="s">
        <v>1218</v>
      </c>
      <c r="E99" s="45">
        <v>5</v>
      </c>
      <c r="F99" s="284">
        <v>6650</v>
      </c>
      <c r="G99" s="284">
        <v>33250</v>
      </c>
      <c r="H99" s="44" t="s">
        <v>1211</v>
      </c>
      <c r="I99" s="89" t="s">
        <v>1078</v>
      </c>
      <c r="K99" s="463" t="s">
        <v>1212</v>
      </c>
    </row>
    <row r="100" spans="1:11" hidden="1" x14ac:dyDescent="0.25">
      <c r="A100" s="46">
        <v>4</v>
      </c>
      <c r="B100" s="44" t="s">
        <v>949</v>
      </c>
      <c r="C100" s="44" t="s">
        <v>1219</v>
      </c>
      <c r="D100" s="44" t="s">
        <v>1220</v>
      </c>
      <c r="E100" s="45">
        <v>80</v>
      </c>
      <c r="F100" s="284">
        <v>1400</v>
      </c>
      <c r="G100" s="284">
        <v>112000</v>
      </c>
      <c r="H100" s="44" t="s">
        <v>1211</v>
      </c>
      <c r="I100" s="89" t="s">
        <v>1078</v>
      </c>
      <c r="K100" s="463" t="s">
        <v>1212</v>
      </c>
    </row>
    <row r="101" spans="1:11" hidden="1" x14ac:dyDescent="0.25">
      <c r="A101" s="46">
        <v>4</v>
      </c>
      <c r="B101" s="44" t="s">
        <v>949</v>
      </c>
      <c r="C101" s="44" t="s">
        <v>1221</v>
      </c>
      <c r="D101" s="44" t="s">
        <v>1222</v>
      </c>
      <c r="E101" s="45">
        <v>10</v>
      </c>
      <c r="F101" s="284">
        <v>450</v>
      </c>
      <c r="G101" s="284">
        <v>4500</v>
      </c>
      <c r="H101" s="44" t="s">
        <v>1211</v>
      </c>
      <c r="I101" s="89" t="s">
        <v>1078</v>
      </c>
      <c r="K101" s="463" t="s">
        <v>1212</v>
      </c>
    </row>
    <row r="102" spans="1:11" hidden="1" x14ac:dyDescent="0.25">
      <c r="A102" s="46">
        <v>4</v>
      </c>
      <c r="B102" s="44" t="s">
        <v>949</v>
      </c>
      <c r="C102" s="44" t="s">
        <v>1223</v>
      </c>
      <c r="D102" s="44" t="s">
        <v>1224</v>
      </c>
      <c r="E102" s="45">
        <v>20</v>
      </c>
      <c r="F102" s="284">
        <v>900</v>
      </c>
      <c r="G102" s="284">
        <v>18000</v>
      </c>
      <c r="H102" s="44" t="s">
        <v>1211</v>
      </c>
      <c r="I102" s="89" t="s">
        <v>1078</v>
      </c>
      <c r="K102" s="463" t="s">
        <v>1212</v>
      </c>
    </row>
    <row r="103" spans="1:11" hidden="1" x14ac:dyDescent="0.25">
      <c r="A103" s="46">
        <v>4</v>
      </c>
      <c r="B103" s="44" t="s">
        <v>949</v>
      </c>
      <c r="C103" s="44" t="s">
        <v>1225</v>
      </c>
      <c r="D103" s="44" t="s">
        <v>1226</v>
      </c>
      <c r="E103" s="45">
        <v>5</v>
      </c>
      <c r="F103" s="284">
        <v>4600</v>
      </c>
      <c r="G103" s="284">
        <v>23000</v>
      </c>
      <c r="H103" s="44" t="s">
        <v>1211</v>
      </c>
      <c r="I103" s="89" t="s">
        <v>1078</v>
      </c>
      <c r="K103" s="463" t="s">
        <v>1212</v>
      </c>
    </row>
    <row r="104" spans="1:11" hidden="1" x14ac:dyDescent="0.25">
      <c r="A104" s="46">
        <v>4</v>
      </c>
      <c r="B104" s="44" t="s">
        <v>949</v>
      </c>
      <c r="C104" s="44" t="s">
        <v>1227</v>
      </c>
      <c r="D104" s="44" t="s">
        <v>1228</v>
      </c>
      <c r="E104" s="45">
        <v>3</v>
      </c>
      <c r="F104" s="284">
        <v>9600</v>
      </c>
      <c r="G104" s="284">
        <v>28800</v>
      </c>
      <c r="H104" s="44" t="s">
        <v>1211</v>
      </c>
      <c r="I104" s="89" t="s">
        <v>1078</v>
      </c>
      <c r="K104" s="463" t="s">
        <v>1212</v>
      </c>
    </row>
    <row r="105" spans="1:11" hidden="1" x14ac:dyDescent="0.25">
      <c r="A105" s="46">
        <v>4</v>
      </c>
      <c r="B105" s="44" t="s">
        <v>949</v>
      </c>
      <c r="C105" s="44" t="s">
        <v>1229</v>
      </c>
      <c r="D105" s="44" t="s">
        <v>1230</v>
      </c>
      <c r="E105" s="45">
        <v>2</v>
      </c>
      <c r="F105" s="284">
        <v>27500</v>
      </c>
      <c r="G105" s="284">
        <v>55000</v>
      </c>
      <c r="H105" s="44" t="s">
        <v>1211</v>
      </c>
      <c r="I105" s="89" t="s">
        <v>1078</v>
      </c>
      <c r="K105" s="463" t="s">
        <v>1212</v>
      </c>
    </row>
    <row r="106" spans="1:11" hidden="1" x14ac:dyDescent="0.25">
      <c r="A106" s="46">
        <v>4</v>
      </c>
      <c r="B106" s="44" t="s">
        <v>949</v>
      </c>
      <c r="C106" s="44" t="s">
        <v>1231</v>
      </c>
      <c r="D106" s="44" t="s">
        <v>1232</v>
      </c>
      <c r="E106" s="45">
        <v>2</v>
      </c>
      <c r="F106" s="284">
        <v>23800</v>
      </c>
      <c r="G106" s="284">
        <v>47600</v>
      </c>
      <c r="H106" s="44" t="s">
        <v>1211</v>
      </c>
      <c r="I106" s="89" t="s">
        <v>1078</v>
      </c>
      <c r="K106" s="463" t="s">
        <v>1212</v>
      </c>
    </row>
    <row r="107" spans="1:11" hidden="1" x14ac:dyDescent="0.25">
      <c r="A107" s="46">
        <v>4</v>
      </c>
      <c r="B107" s="44" t="s">
        <v>949</v>
      </c>
      <c r="C107" s="44" t="s">
        <v>1233</v>
      </c>
      <c r="D107" s="44" t="s">
        <v>1234</v>
      </c>
      <c r="E107" s="45">
        <v>6</v>
      </c>
      <c r="F107" s="284">
        <v>2500</v>
      </c>
      <c r="G107" s="284">
        <v>15000</v>
      </c>
      <c r="H107" s="44" t="s">
        <v>1211</v>
      </c>
      <c r="I107" s="89" t="s">
        <v>1078</v>
      </c>
      <c r="K107" s="463" t="s">
        <v>1212</v>
      </c>
    </row>
    <row r="108" spans="1:11" hidden="1" x14ac:dyDescent="0.25">
      <c r="A108" s="46">
        <v>4</v>
      </c>
      <c r="B108" s="44" t="s">
        <v>949</v>
      </c>
      <c r="C108" s="44" t="s">
        <v>1235</v>
      </c>
      <c r="D108" s="44" t="s">
        <v>1236</v>
      </c>
      <c r="E108" s="45">
        <v>150</v>
      </c>
      <c r="F108" s="284">
        <v>390</v>
      </c>
      <c r="G108" s="284">
        <v>58500</v>
      </c>
      <c r="H108" s="44" t="s">
        <v>1211</v>
      </c>
      <c r="I108" s="89" t="s">
        <v>1078</v>
      </c>
      <c r="K108" s="463" t="s">
        <v>1212</v>
      </c>
    </row>
    <row r="109" spans="1:11" hidden="1" x14ac:dyDescent="0.25">
      <c r="A109" s="46">
        <v>4</v>
      </c>
      <c r="B109" s="44" t="s">
        <v>949</v>
      </c>
      <c r="C109" s="44" t="s">
        <v>1237</v>
      </c>
      <c r="D109" s="44" t="s">
        <v>1238</v>
      </c>
      <c r="E109" s="45">
        <v>1</v>
      </c>
      <c r="F109" s="284">
        <v>17500</v>
      </c>
      <c r="G109" s="284">
        <v>17500</v>
      </c>
      <c r="H109" s="44" t="s">
        <v>1211</v>
      </c>
      <c r="I109" s="89" t="s">
        <v>1078</v>
      </c>
      <c r="K109" s="463" t="s">
        <v>1212</v>
      </c>
    </row>
    <row r="110" spans="1:11" hidden="1" x14ac:dyDescent="0.25">
      <c r="A110" s="46">
        <v>4</v>
      </c>
      <c r="B110" s="44" t="s">
        <v>949</v>
      </c>
      <c r="C110" s="44" t="s">
        <v>1239</v>
      </c>
      <c r="D110" s="44" t="s">
        <v>1240</v>
      </c>
      <c r="E110" s="45">
        <v>5</v>
      </c>
      <c r="F110" s="284">
        <v>10600</v>
      </c>
      <c r="G110" s="284">
        <v>53000</v>
      </c>
      <c r="H110" s="44" t="s">
        <v>1211</v>
      </c>
      <c r="I110" s="89" t="s">
        <v>1078</v>
      </c>
      <c r="K110" s="463" t="s">
        <v>1212</v>
      </c>
    </row>
    <row r="111" spans="1:11" hidden="1" x14ac:dyDescent="0.25">
      <c r="A111" s="46">
        <v>4</v>
      </c>
      <c r="B111" s="44" t="s">
        <v>949</v>
      </c>
      <c r="C111" s="44" t="s">
        <v>1241</v>
      </c>
      <c r="D111" s="44" t="s">
        <v>1242</v>
      </c>
      <c r="E111" s="45">
        <v>1</v>
      </c>
      <c r="F111" s="284">
        <v>23700</v>
      </c>
      <c r="G111" s="284">
        <v>23700</v>
      </c>
      <c r="H111" s="44" t="s">
        <v>1211</v>
      </c>
      <c r="I111" s="89" t="s">
        <v>1078</v>
      </c>
      <c r="K111" s="463" t="s">
        <v>1212</v>
      </c>
    </row>
    <row r="112" spans="1:11" hidden="1" x14ac:dyDescent="0.25">
      <c r="A112" s="46">
        <v>4</v>
      </c>
      <c r="B112" s="44" t="s">
        <v>949</v>
      </c>
      <c r="C112" s="44" t="s">
        <v>1243</v>
      </c>
      <c r="D112" s="44" t="s">
        <v>1244</v>
      </c>
      <c r="E112" s="45">
        <v>5</v>
      </c>
      <c r="F112" s="284">
        <v>2100</v>
      </c>
      <c r="G112" s="284">
        <v>10500</v>
      </c>
      <c r="H112" s="44" t="s">
        <v>1211</v>
      </c>
      <c r="I112" s="89" t="s">
        <v>1078</v>
      </c>
      <c r="K112" s="463" t="s">
        <v>1212</v>
      </c>
    </row>
    <row r="113" spans="1:11" hidden="1" x14ac:dyDescent="0.25">
      <c r="A113" s="46">
        <v>4</v>
      </c>
      <c r="B113" s="44" t="s">
        <v>949</v>
      </c>
      <c r="C113" s="44" t="s">
        <v>1245</v>
      </c>
      <c r="D113" s="44" t="s">
        <v>1246</v>
      </c>
      <c r="E113" s="45">
        <v>25</v>
      </c>
      <c r="F113" s="284">
        <v>2100</v>
      </c>
      <c r="G113" s="284">
        <v>52500</v>
      </c>
      <c r="H113" s="44" t="s">
        <v>1211</v>
      </c>
      <c r="I113" s="89" t="s">
        <v>1078</v>
      </c>
      <c r="K113" s="463" t="s">
        <v>1212</v>
      </c>
    </row>
    <row r="114" spans="1:11" hidden="1" x14ac:dyDescent="0.25">
      <c r="A114" s="46">
        <v>4</v>
      </c>
      <c r="B114" s="44" t="s">
        <v>949</v>
      </c>
      <c r="C114" s="44" t="s">
        <v>1247</v>
      </c>
      <c r="D114" s="44" t="s">
        <v>1248</v>
      </c>
      <c r="E114" s="45">
        <v>1</v>
      </c>
      <c r="F114" s="284">
        <v>19850</v>
      </c>
      <c r="G114" s="284">
        <v>19850</v>
      </c>
      <c r="H114" s="44" t="s">
        <v>1211</v>
      </c>
      <c r="I114" s="89" t="s">
        <v>1078</v>
      </c>
      <c r="K114" s="463" t="s">
        <v>1212</v>
      </c>
    </row>
    <row r="115" spans="1:11" hidden="1" x14ac:dyDescent="0.25">
      <c r="A115" s="46">
        <v>4</v>
      </c>
      <c r="B115" s="44" t="s">
        <v>949</v>
      </c>
      <c r="C115" s="44" t="s">
        <v>1249</v>
      </c>
      <c r="D115" s="44" t="s">
        <v>1250</v>
      </c>
      <c r="E115" s="45">
        <v>1</v>
      </c>
      <c r="F115" s="284">
        <v>34300</v>
      </c>
      <c r="G115" s="284">
        <v>34300</v>
      </c>
      <c r="H115" s="44" t="s">
        <v>1211</v>
      </c>
      <c r="I115" s="89" t="s">
        <v>1078</v>
      </c>
      <c r="K115" s="463" t="s">
        <v>1212</v>
      </c>
    </row>
    <row r="116" spans="1:11" hidden="1" x14ac:dyDescent="0.25">
      <c r="A116" s="46">
        <v>4</v>
      </c>
      <c r="B116" s="44" t="s">
        <v>949</v>
      </c>
      <c r="C116" s="44" t="s">
        <v>1251</v>
      </c>
      <c r="D116" s="44" t="s">
        <v>1252</v>
      </c>
      <c r="E116" s="45">
        <v>1</v>
      </c>
      <c r="F116" s="284">
        <v>15100</v>
      </c>
      <c r="G116" s="284">
        <v>15100</v>
      </c>
      <c r="H116" s="44" t="s">
        <v>1211</v>
      </c>
      <c r="I116" s="89" t="s">
        <v>1078</v>
      </c>
      <c r="K116" s="463" t="s">
        <v>1212</v>
      </c>
    </row>
    <row r="117" spans="1:11" hidden="1" x14ac:dyDescent="0.25">
      <c r="A117" s="46">
        <v>4</v>
      </c>
      <c r="B117" s="44" t="s">
        <v>949</v>
      </c>
      <c r="C117" s="44" t="s">
        <v>1253</v>
      </c>
      <c r="D117" s="44" t="s">
        <v>1254</v>
      </c>
      <c r="E117" s="45">
        <v>200</v>
      </c>
      <c r="F117" s="284">
        <v>270</v>
      </c>
      <c r="G117" s="284">
        <v>54000</v>
      </c>
      <c r="H117" s="44" t="s">
        <v>1211</v>
      </c>
      <c r="I117" s="89" t="s">
        <v>1078</v>
      </c>
      <c r="K117" s="463" t="s">
        <v>1212</v>
      </c>
    </row>
    <row r="118" spans="1:11" hidden="1" x14ac:dyDescent="0.25">
      <c r="A118" s="46">
        <v>4</v>
      </c>
      <c r="B118" s="44" t="s">
        <v>949</v>
      </c>
      <c r="C118" s="44" t="s">
        <v>1255</v>
      </c>
      <c r="D118" s="44" t="s">
        <v>1256</v>
      </c>
      <c r="E118" s="45">
        <v>100</v>
      </c>
      <c r="F118" s="284">
        <v>950</v>
      </c>
      <c r="G118" s="284">
        <v>95000</v>
      </c>
      <c r="H118" s="44" t="s">
        <v>1211</v>
      </c>
      <c r="I118" s="89" t="s">
        <v>1078</v>
      </c>
      <c r="K118" s="463" t="s">
        <v>1212</v>
      </c>
    </row>
    <row r="119" spans="1:11" hidden="1" x14ac:dyDescent="0.25">
      <c r="A119" s="46">
        <v>4</v>
      </c>
      <c r="B119" s="44" t="s">
        <v>949</v>
      </c>
      <c r="C119" s="44" t="s">
        <v>1257</v>
      </c>
      <c r="D119" s="44" t="s">
        <v>1258</v>
      </c>
      <c r="E119" s="45">
        <v>200</v>
      </c>
      <c r="F119" s="284">
        <v>440</v>
      </c>
      <c r="G119" s="284">
        <v>88000</v>
      </c>
      <c r="H119" s="44" t="s">
        <v>1211</v>
      </c>
      <c r="I119" s="89" t="s">
        <v>1078</v>
      </c>
      <c r="K119" s="463" t="s">
        <v>1212</v>
      </c>
    </row>
    <row r="120" spans="1:11" hidden="1" x14ac:dyDescent="0.25">
      <c r="A120" s="46">
        <v>4</v>
      </c>
      <c r="B120" s="44" t="s">
        <v>949</v>
      </c>
      <c r="C120" s="44" t="s">
        <v>1259</v>
      </c>
      <c r="D120" s="44" t="s">
        <v>1260</v>
      </c>
      <c r="E120" s="45">
        <v>400</v>
      </c>
      <c r="F120" s="284">
        <v>440</v>
      </c>
      <c r="G120" s="284">
        <v>176000</v>
      </c>
      <c r="H120" s="44" t="s">
        <v>1211</v>
      </c>
      <c r="I120" s="89" t="s">
        <v>1078</v>
      </c>
      <c r="K120" s="463" t="s">
        <v>1212</v>
      </c>
    </row>
    <row r="121" spans="1:11" hidden="1" x14ac:dyDescent="0.25">
      <c r="A121" s="46">
        <v>4</v>
      </c>
      <c r="B121" s="44" t="s">
        <v>949</v>
      </c>
      <c r="C121" s="44" t="s">
        <v>1261</v>
      </c>
      <c r="D121" s="44" t="s">
        <v>1262</v>
      </c>
      <c r="E121" s="45">
        <v>2</v>
      </c>
      <c r="F121" s="284">
        <v>30350</v>
      </c>
      <c r="G121" s="284">
        <v>60700</v>
      </c>
      <c r="H121" s="44" t="s">
        <v>1211</v>
      </c>
      <c r="I121" s="89" t="s">
        <v>1078</v>
      </c>
      <c r="K121" s="463" t="s">
        <v>1212</v>
      </c>
    </row>
    <row r="122" spans="1:11" hidden="1" x14ac:dyDescent="0.25">
      <c r="A122" s="46">
        <v>4</v>
      </c>
      <c r="B122" s="44" t="s">
        <v>949</v>
      </c>
      <c r="C122" s="44" t="s">
        <v>1263</v>
      </c>
      <c r="D122" s="44" t="s">
        <v>1264</v>
      </c>
      <c r="E122" s="45">
        <v>2</v>
      </c>
      <c r="F122" s="284">
        <v>18650</v>
      </c>
      <c r="G122" s="284">
        <v>37300</v>
      </c>
      <c r="H122" s="44" t="s">
        <v>1211</v>
      </c>
      <c r="I122" s="89" t="s">
        <v>1078</v>
      </c>
      <c r="K122" s="463" t="s">
        <v>1212</v>
      </c>
    </row>
    <row r="123" spans="1:11" hidden="1" x14ac:dyDescent="0.25">
      <c r="A123" s="46">
        <v>4</v>
      </c>
      <c r="B123" s="44" t="s">
        <v>949</v>
      </c>
      <c r="C123" s="44" t="s">
        <v>1265</v>
      </c>
      <c r="D123" s="44" t="s">
        <v>1266</v>
      </c>
      <c r="E123" s="45">
        <v>1</v>
      </c>
      <c r="F123" s="284">
        <v>14600</v>
      </c>
      <c r="G123" s="284">
        <v>14600</v>
      </c>
      <c r="H123" s="44" t="s">
        <v>1211</v>
      </c>
      <c r="I123" s="89" t="s">
        <v>1078</v>
      </c>
      <c r="K123" s="463" t="s">
        <v>1212</v>
      </c>
    </row>
    <row r="124" spans="1:11" hidden="1" x14ac:dyDescent="0.25">
      <c r="A124" s="46">
        <v>4</v>
      </c>
      <c r="B124" s="44" t="s">
        <v>949</v>
      </c>
      <c r="C124" s="44" t="s">
        <v>1267</v>
      </c>
      <c r="D124" s="44" t="s">
        <v>1268</v>
      </c>
      <c r="E124" s="45">
        <v>5</v>
      </c>
      <c r="F124" s="284">
        <v>20950</v>
      </c>
      <c r="G124" s="284">
        <v>104750</v>
      </c>
      <c r="H124" s="44" t="s">
        <v>1211</v>
      </c>
      <c r="I124" s="89" t="s">
        <v>1078</v>
      </c>
      <c r="K124" s="463" t="s">
        <v>1212</v>
      </c>
    </row>
    <row r="125" spans="1:11" hidden="1" x14ac:dyDescent="0.25">
      <c r="A125" s="46">
        <v>4</v>
      </c>
      <c r="B125" s="44" t="s">
        <v>949</v>
      </c>
      <c r="C125" s="44" t="s">
        <v>1269</v>
      </c>
      <c r="D125" s="44" t="s">
        <v>1270</v>
      </c>
      <c r="E125" s="45">
        <v>1</v>
      </c>
      <c r="F125" s="284">
        <v>18200</v>
      </c>
      <c r="G125" s="284">
        <v>18200</v>
      </c>
      <c r="H125" s="44" t="s">
        <v>1211</v>
      </c>
      <c r="I125" s="89" t="s">
        <v>1078</v>
      </c>
      <c r="K125" s="463" t="s">
        <v>1212</v>
      </c>
    </row>
    <row r="126" spans="1:11" hidden="1" x14ac:dyDescent="0.25">
      <c r="A126" s="46">
        <v>4</v>
      </c>
      <c r="B126" s="44" t="s">
        <v>949</v>
      </c>
      <c r="C126" s="44" t="s">
        <v>1271</v>
      </c>
      <c r="D126" s="44" t="s">
        <v>1272</v>
      </c>
      <c r="E126" s="45">
        <v>60</v>
      </c>
      <c r="F126" s="284">
        <v>2000</v>
      </c>
      <c r="G126" s="284">
        <v>120000</v>
      </c>
      <c r="H126" s="44" t="s">
        <v>1211</v>
      </c>
      <c r="I126" s="89" t="s">
        <v>1078</v>
      </c>
      <c r="K126" s="463" t="s">
        <v>1212</v>
      </c>
    </row>
    <row r="127" spans="1:11" hidden="1" x14ac:dyDescent="0.25">
      <c r="A127" s="46">
        <v>4</v>
      </c>
      <c r="B127" s="44" t="s">
        <v>949</v>
      </c>
      <c r="C127" s="44" t="s">
        <v>1273</v>
      </c>
      <c r="D127" s="44" t="s">
        <v>1274</v>
      </c>
      <c r="E127" s="45">
        <v>6</v>
      </c>
      <c r="F127" s="284">
        <v>2400</v>
      </c>
      <c r="G127" s="284">
        <v>14400</v>
      </c>
      <c r="H127" s="44" t="s">
        <v>1211</v>
      </c>
      <c r="I127" s="89" t="s">
        <v>1078</v>
      </c>
      <c r="K127" s="463" t="s">
        <v>1212</v>
      </c>
    </row>
    <row r="128" spans="1:11" hidden="1" x14ac:dyDescent="0.25">
      <c r="A128" s="46">
        <v>4</v>
      </c>
      <c r="B128" s="44" t="s">
        <v>949</v>
      </c>
      <c r="C128" s="44" t="s">
        <v>1275</v>
      </c>
      <c r="D128" s="44" t="s">
        <v>1276</v>
      </c>
      <c r="E128" s="45">
        <v>3</v>
      </c>
      <c r="F128" s="284">
        <v>5450</v>
      </c>
      <c r="G128" s="284">
        <v>16350</v>
      </c>
      <c r="H128" s="44" t="s">
        <v>1211</v>
      </c>
      <c r="I128" s="89" t="s">
        <v>1078</v>
      </c>
      <c r="K128" s="463" t="s">
        <v>1212</v>
      </c>
    </row>
    <row r="129" spans="1:11" hidden="1" x14ac:dyDescent="0.25">
      <c r="A129" s="46">
        <v>4</v>
      </c>
      <c r="B129" s="44" t="s">
        <v>949</v>
      </c>
      <c r="C129" s="44" t="s">
        <v>1277</v>
      </c>
      <c r="D129" s="44" t="s">
        <v>1278</v>
      </c>
      <c r="E129" s="45">
        <v>3</v>
      </c>
      <c r="F129" s="284">
        <v>5450</v>
      </c>
      <c r="G129" s="284">
        <v>16350</v>
      </c>
      <c r="H129" s="44" t="s">
        <v>1211</v>
      </c>
      <c r="I129" s="89" t="s">
        <v>1078</v>
      </c>
      <c r="K129" s="463" t="s">
        <v>1212</v>
      </c>
    </row>
    <row r="130" spans="1:11" hidden="1" x14ac:dyDescent="0.25">
      <c r="A130" s="46">
        <v>4</v>
      </c>
      <c r="B130" s="44" t="s">
        <v>949</v>
      </c>
      <c r="C130" s="44" t="s">
        <v>1279</v>
      </c>
      <c r="D130" s="44" t="s">
        <v>1280</v>
      </c>
      <c r="E130" s="45">
        <v>2</v>
      </c>
      <c r="F130" s="284">
        <v>17250</v>
      </c>
      <c r="G130" s="284">
        <v>34500</v>
      </c>
      <c r="H130" s="44" t="s">
        <v>1211</v>
      </c>
      <c r="I130" s="89" t="s">
        <v>1078</v>
      </c>
      <c r="K130" s="463" t="s">
        <v>1212</v>
      </c>
    </row>
    <row r="131" spans="1:11" hidden="1" x14ac:dyDescent="0.25">
      <c r="A131" s="46">
        <v>4</v>
      </c>
      <c r="B131" s="44" t="s">
        <v>949</v>
      </c>
      <c r="C131" s="44" t="s">
        <v>1281</v>
      </c>
      <c r="D131" s="44" t="s">
        <v>1282</v>
      </c>
      <c r="E131" s="45">
        <v>1</v>
      </c>
      <c r="F131" s="284">
        <v>17250</v>
      </c>
      <c r="G131" s="284">
        <v>17250</v>
      </c>
      <c r="H131" s="44" t="s">
        <v>1211</v>
      </c>
      <c r="I131" s="89" t="s">
        <v>1078</v>
      </c>
      <c r="K131" s="463" t="s">
        <v>1212</v>
      </c>
    </row>
    <row r="132" spans="1:11" hidden="1" x14ac:dyDescent="0.25">
      <c r="A132" s="46">
        <v>4</v>
      </c>
      <c r="B132" s="44" t="s">
        <v>949</v>
      </c>
      <c r="C132" s="44" t="s">
        <v>1283</v>
      </c>
      <c r="D132" s="44" t="s">
        <v>1284</v>
      </c>
      <c r="E132" s="45">
        <v>10</v>
      </c>
      <c r="F132" s="284">
        <v>5200</v>
      </c>
      <c r="G132" s="284">
        <v>52000</v>
      </c>
      <c r="H132" s="44" t="s">
        <v>1211</v>
      </c>
      <c r="I132" s="89" t="s">
        <v>1078</v>
      </c>
      <c r="K132" s="463" t="s">
        <v>1212</v>
      </c>
    </row>
    <row r="133" spans="1:11" hidden="1" x14ac:dyDescent="0.25">
      <c r="A133" s="46">
        <v>4</v>
      </c>
      <c r="B133" s="44" t="s">
        <v>949</v>
      </c>
      <c r="C133" s="44" t="s">
        <v>1285</v>
      </c>
      <c r="D133" s="44" t="s">
        <v>1286</v>
      </c>
      <c r="E133" s="45">
        <v>2</v>
      </c>
      <c r="F133" s="284">
        <v>10450</v>
      </c>
      <c r="G133" s="284">
        <v>20900</v>
      </c>
      <c r="H133" s="44" t="s">
        <v>1211</v>
      </c>
      <c r="I133" s="89" t="s">
        <v>1078</v>
      </c>
      <c r="K133" s="463" t="s">
        <v>1212</v>
      </c>
    </row>
    <row r="134" spans="1:11" hidden="1" x14ac:dyDescent="0.25">
      <c r="A134" s="46">
        <v>4</v>
      </c>
      <c r="B134" s="44" t="s">
        <v>949</v>
      </c>
      <c r="C134" s="44" t="s">
        <v>1287</v>
      </c>
      <c r="D134" s="44" t="s">
        <v>1288</v>
      </c>
      <c r="E134" s="45">
        <v>40</v>
      </c>
      <c r="F134" s="284">
        <v>3100</v>
      </c>
      <c r="G134" s="284">
        <v>124000</v>
      </c>
      <c r="H134" s="44" t="s">
        <v>1211</v>
      </c>
      <c r="I134" s="89" t="s">
        <v>1078</v>
      </c>
      <c r="K134" s="463" t="s">
        <v>1212</v>
      </c>
    </row>
    <row r="135" spans="1:11" hidden="1" x14ac:dyDescent="0.25">
      <c r="A135" s="46">
        <v>4</v>
      </c>
      <c r="B135" s="44" t="s">
        <v>949</v>
      </c>
      <c r="C135" s="44" t="s">
        <v>1289</v>
      </c>
      <c r="D135" s="44" t="s">
        <v>1290</v>
      </c>
      <c r="E135" s="45">
        <v>6</v>
      </c>
      <c r="F135" s="284">
        <v>5000</v>
      </c>
      <c r="G135" s="284">
        <v>30000</v>
      </c>
      <c r="H135" s="44" t="s">
        <v>1211</v>
      </c>
      <c r="I135" s="89" t="s">
        <v>1078</v>
      </c>
      <c r="K135" s="463" t="s">
        <v>1212</v>
      </c>
    </row>
    <row r="136" spans="1:11" hidden="1" x14ac:dyDescent="0.25">
      <c r="A136" s="46">
        <v>4</v>
      </c>
      <c r="B136" s="44" t="s">
        <v>949</v>
      </c>
      <c r="C136" s="44" t="s">
        <v>1291</v>
      </c>
      <c r="D136" s="44" t="s">
        <v>1292</v>
      </c>
      <c r="E136" s="45">
        <v>3</v>
      </c>
      <c r="F136" s="284">
        <v>4850</v>
      </c>
      <c r="G136" s="284">
        <v>14550</v>
      </c>
      <c r="H136" s="44" t="s">
        <v>1211</v>
      </c>
      <c r="I136" s="89" t="s">
        <v>1078</v>
      </c>
      <c r="K136" s="463" t="s">
        <v>1212</v>
      </c>
    </row>
    <row r="137" spans="1:11" hidden="1" x14ac:dyDescent="0.25">
      <c r="A137" s="46">
        <v>4</v>
      </c>
      <c r="B137" s="44" t="s">
        <v>949</v>
      </c>
      <c r="C137" s="44" t="s">
        <v>1293</v>
      </c>
      <c r="D137" s="44" t="s">
        <v>1294</v>
      </c>
      <c r="E137" s="45">
        <v>2</v>
      </c>
      <c r="F137" s="284">
        <v>7200</v>
      </c>
      <c r="G137" s="284">
        <v>14400</v>
      </c>
      <c r="H137" s="44" t="s">
        <v>1211</v>
      </c>
      <c r="I137" s="89" t="s">
        <v>1078</v>
      </c>
      <c r="K137" s="463" t="s">
        <v>1212</v>
      </c>
    </row>
    <row r="138" spans="1:11" hidden="1" x14ac:dyDescent="0.25">
      <c r="A138" s="46">
        <v>4</v>
      </c>
      <c r="B138" s="44" t="s">
        <v>1086</v>
      </c>
      <c r="C138" s="44" t="s">
        <v>1295</v>
      </c>
      <c r="D138" s="44" t="s">
        <v>1296</v>
      </c>
      <c r="E138" s="45">
        <v>1</v>
      </c>
      <c r="F138" s="284">
        <v>233000</v>
      </c>
      <c r="G138" s="284">
        <v>233000</v>
      </c>
      <c r="H138" s="44" t="s">
        <v>1297</v>
      </c>
      <c r="I138" s="89" t="s">
        <v>1078</v>
      </c>
      <c r="K138" s="463" t="s">
        <v>1109</v>
      </c>
    </row>
    <row r="139" spans="1:11" hidden="1" x14ac:dyDescent="0.25">
      <c r="A139" s="46">
        <v>4</v>
      </c>
      <c r="B139" s="44" t="s">
        <v>949</v>
      </c>
      <c r="C139" s="44" t="s">
        <v>1298</v>
      </c>
      <c r="D139" s="44" t="s">
        <v>1299</v>
      </c>
      <c r="E139" s="45">
        <v>5</v>
      </c>
      <c r="F139" s="284">
        <v>5000</v>
      </c>
      <c r="G139" s="284">
        <v>25000</v>
      </c>
      <c r="H139" s="44" t="s">
        <v>1297</v>
      </c>
      <c r="I139" s="89" t="s">
        <v>1078</v>
      </c>
      <c r="K139" s="463" t="s">
        <v>1109</v>
      </c>
    </row>
    <row r="140" spans="1:11" hidden="1" x14ac:dyDescent="0.25">
      <c r="A140" s="46">
        <v>4</v>
      </c>
      <c r="B140" s="44" t="s">
        <v>949</v>
      </c>
      <c r="C140" s="44" t="s">
        <v>1300</v>
      </c>
      <c r="D140" s="44" t="s">
        <v>1301</v>
      </c>
      <c r="E140" s="45">
        <v>1</v>
      </c>
      <c r="F140" s="284">
        <v>5500</v>
      </c>
      <c r="G140" s="284">
        <v>5500</v>
      </c>
      <c r="H140" s="44" t="s">
        <v>1297</v>
      </c>
      <c r="I140" s="89" t="s">
        <v>1078</v>
      </c>
      <c r="K140" s="463" t="s">
        <v>1109</v>
      </c>
    </row>
    <row r="141" spans="1:11" hidden="1" x14ac:dyDescent="0.25">
      <c r="A141" s="46">
        <v>4</v>
      </c>
      <c r="B141" s="44" t="s">
        <v>1102</v>
      </c>
      <c r="C141" s="44" t="s">
        <v>1103</v>
      </c>
      <c r="D141" s="44" t="s">
        <v>1302</v>
      </c>
      <c r="E141" s="45">
        <v>1</v>
      </c>
      <c r="F141" s="284">
        <v>30000</v>
      </c>
      <c r="G141" s="284">
        <v>30000</v>
      </c>
      <c r="H141" s="44" t="s">
        <v>1297</v>
      </c>
      <c r="I141" s="89" t="s">
        <v>1078</v>
      </c>
      <c r="K141" s="463" t="s">
        <v>1105</v>
      </c>
    </row>
    <row r="142" spans="1:11" hidden="1" x14ac:dyDescent="0.25">
      <c r="A142" s="46">
        <v>4</v>
      </c>
      <c r="B142" s="44" t="s">
        <v>1077</v>
      </c>
      <c r="C142" s="44" t="s">
        <v>254</v>
      </c>
      <c r="D142" s="44" t="s">
        <v>255</v>
      </c>
      <c r="E142" s="45">
        <v>26.5</v>
      </c>
      <c r="F142" s="284">
        <v>19500</v>
      </c>
      <c r="G142" s="284">
        <v>516750</v>
      </c>
      <c r="H142" s="44" t="s">
        <v>253</v>
      </c>
      <c r="I142" s="89" t="s">
        <v>1078</v>
      </c>
      <c r="K142" s="463" t="s">
        <v>1303</v>
      </c>
    </row>
    <row r="143" spans="1:11" hidden="1" x14ac:dyDescent="0.25">
      <c r="A143" s="46">
        <v>4</v>
      </c>
      <c r="B143" s="44" t="s">
        <v>1077</v>
      </c>
      <c r="C143" s="44" t="s">
        <v>200</v>
      </c>
      <c r="D143" s="44" t="s">
        <v>257</v>
      </c>
      <c r="E143" s="45">
        <v>23.5</v>
      </c>
      <c r="F143" s="284">
        <v>18500</v>
      </c>
      <c r="G143" s="284">
        <v>434750</v>
      </c>
      <c r="H143" s="445" t="s">
        <v>256</v>
      </c>
      <c r="I143" s="90" t="s">
        <v>1093</v>
      </c>
      <c r="K143" s="463" t="s">
        <v>1092</v>
      </c>
    </row>
    <row r="144" spans="1:11" hidden="1" x14ac:dyDescent="0.25">
      <c r="A144" s="46">
        <v>4</v>
      </c>
      <c r="B144" s="44" t="s">
        <v>1077</v>
      </c>
      <c r="C144" s="44" t="s">
        <v>259</v>
      </c>
      <c r="D144" s="44" t="s">
        <v>260</v>
      </c>
      <c r="E144" s="45">
        <v>10</v>
      </c>
      <c r="F144" s="284">
        <v>10000</v>
      </c>
      <c r="G144" s="284">
        <v>100000</v>
      </c>
      <c r="H144" s="44" t="s">
        <v>258</v>
      </c>
      <c r="I144" s="89" t="s">
        <v>1078</v>
      </c>
      <c r="K144" s="463" t="s">
        <v>1304</v>
      </c>
    </row>
    <row r="145" spans="1:11" hidden="1" x14ac:dyDescent="0.25">
      <c r="A145" s="46">
        <v>4</v>
      </c>
      <c r="B145" s="44" t="s">
        <v>1086</v>
      </c>
      <c r="C145" s="44" t="s">
        <v>1087</v>
      </c>
      <c r="D145" s="44" t="s">
        <v>1305</v>
      </c>
      <c r="E145" s="45">
        <v>100</v>
      </c>
      <c r="F145" s="284">
        <v>150</v>
      </c>
      <c r="G145" s="284">
        <v>15000</v>
      </c>
      <c r="H145" s="44" t="s">
        <v>1306</v>
      </c>
      <c r="I145" s="89" t="s">
        <v>1078</v>
      </c>
      <c r="K145" s="463" t="s">
        <v>1090</v>
      </c>
    </row>
    <row r="146" spans="1:11" hidden="1" x14ac:dyDescent="0.25">
      <c r="A146" s="46">
        <v>4</v>
      </c>
      <c r="B146" s="44" t="s">
        <v>1086</v>
      </c>
      <c r="C146" s="44" t="s">
        <v>1307</v>
      </c>
      <c r="D146" s="44" t="s">
        <v>1308</v>
      </c>
      <c r="E146" s="45">
        <v>3</v>
      </c>
      <c r="F146" s="284">
        <v>2950</v>
      </c>
      <c r="G146" s="284">
        <v>8850</v>
      </c>
      <c r="H146" s="44" t="s">
        <v>1309</v>
      </c>
      <c r="I146" s="90" t="s">
        <v>1093</v>
      </c>
      <c r="K146" s="463" t="s">
        <v>1079</v>
      </c>
    </row>
    <row r="147" spans="1:11" hidden="1" x14ac:dyDescent="0.25">
      <c r="A147" s="46">
        <v>4</v>
      </c>
      <c r="B147" s="44" t="s">
        <v>1077</v>
      </c>
      <c r="C147" s="44" t="s">
        <v>262</v>
      </c>
      <c r="D147" s="44" t="s">
        <v>263</v>
      </c>
      <c r="E147" s="45">
        <v>3.0950000000000002</v>
      </c>
      <c r="F147" s="284">
        <v>13980</v>
      </c>
      <c r="G147" s="284">
        <v>43269</v>
      </c>
      <c r="H147" s="44" t="s">
        <v>261</v>
      </c>
      <c r="I147" s="90" t="s">
        <v>1093</v>
      </c>
      <c r="K147" s="463" t="s">
        <v>1079</v>
      </c>
    </row>
    <row r="148" spans="1:11" hidden="1" x14ac:dyDescent="0.25">
      <c r="A148" s="46">
        <v>5</v>
      </c>
      <c r="B148" s="44" t="s">
        <v>1082</v>
      </c>
      <c r="C148" s="44" t="s">
        <v>1111</v>
      </c>
      <c r="D148" s="44" t="s">
        <v>1310</v>
      </c>
      <c r="E148" s="45">
        <v>12</v>
      </c>
      <c r="F148" s="284">
        <v>19500</v>
      </c>
      <c r="G148" s="284">
        <v>234000</v>
      </c>
      <c r="H148" s="445" t="s">
        <v>274</v>
      </c>
      <c r="I148" s="89" t="s">
        <v>1078</v>
      </c>
      <c r="K148" s="463" t="s">
        <v>1113</v>
      </c>
    </row>
    <row r="149" spans="1:11" hidden="1" x14ac:dyDescent="0.25">
      <c r="A149" s="46">
        <v>5</v>
      </c>
      <c r="B149" s="44" t="s">
        <v>1077</v>
      </c>
      <c r="C149" s="44" t="s">
        <v>275</v>
      </c>
      <c r="D149" s="44" t="s">
        <v>276</v>
      </c>
      <c r="E149" s="45">
        <v>19.7</v>
      </c>
      <c r="F149" s="284">
        <v>22900</v>
      </c>
      <c r="G149" s="284">
        <v>451130</v>
      </c>
      <c r="H149" s="445" t="s">
        <v>274</v>
      </c>
      <c r="I149" s="89" t="s">
        <v>1078</v>
      </c>
      <c r="K149" s="463" t="s">
        <v>1113</v>
      </c>
    </row>
    <row r="150" spans="1:11" hidden="1" x14ac:dyDescent="0.25">
      <c r="A150" s="46">
        <v>5</v>
      </c>
      <c r="B150" s="44" t="s">
        <v>1077</v>
      </c>
      <c r="C150" s="44" t="s">
        <v>278</v>
      </c>
      <c r="D150" s="44" t="s">
        <v>279</v>
      </c>
      <c r="E150" s="45">
        <v>26.1</v>
      </c>
      <c r="F150" s="284">
        <v>18500</v>
      </c>
      <c r="G150" s="284">
        <v>482850</v>
      </c>
      <c r="H150" s="445" t="s">
        <v>274</v>
      </c>
      <c r="I150" s="89" t="s">
        <v>1078</v>
      </c>
      <c r="K150" s="463" t="s">
        <v>1113</v>
      </c>
    </row>
    <row r="151" spans="1:11" hidden="1" x14ac:dyDescent="0.25">
      <c r="A151" s="46">
        <v>5</v>
      </c>
      <c r="B151" s="44" t="s">
        <v>1077</v>
      </c>
      <c r="C151" s="44" t="s">
        <v>280</v>
      </c>
      <c r="D151" s="44" t="s">
        <v>281</v>
      </c>
      <c r="E151" s="45">
        <v>30.66</v>
      </c>
      <c r="F151" s="284">
        <v>18900</v>
      </c>
      <c r="G151" s="284">
        <v>579474</v>
      </c>
      <c r="H151" s="445" t="s">
        <v>274</v>
      </c>
      <c r="I151" s="89" t="s">
        <v>1078</v>
      </c>
      <c r="K151" s="463" t="s">
        <v>1113</v>
      </c>
    </row>
    <row r="152" spans="1:11" hidden="1" x14ac:dyDescent="0.25">
      <c r="A152" s="46">
        <v>5</v>
      </c>
      <c r="B152" s="44" t="s">
        <v>1077</v>
      </c>
      <c r="C152" s="44" t="s">
        <v>282</v>
      </c>
      <c r="D152" s="44" t="s">
        <v>283</v>
      </c>
      <c r="E152" s="45">
        <v>21.55</v>
      </c>
      <c r="F152" s="284">
        <v>42000</v>
      </c>
      <c r="G152" s="284">
        <v>905100</v>
      </c>
      <c r="H152" s="445" t="s">
        <v>274</v>
      </c>
      <c r="I152" s="89" t="s">
        <v>1078</v>
      </c>
      <c r="K152" s="463" t="s">
        <v>1113</v>
      </c>
    </row>
    <row r="153" spans="1:11" hidden="1" x14ac:dyDescent="0.25">
      <c r="A153" s="46">
        <v>5</v>
      </c>
      <c r="B153" s="44" t="s">
        <v>1077</v>
      </c>
      <c r="C153" s="44" t="s">
        <v>284</v>
      </c>
      <c r="D153" s="44" t="s">
        <v>285</v>
      </c>
      <c r="E153" s="45">
        <v>18</v>
      </c>
      <c r="F153" s="284">
        <v>44000</v>
      </c>
      <c r="G153" s="284">
        <v>792000</v>
      </c>
      <c r="H153" s="445" t="s">
        <v>274</v>
      </c>
      <c r="I153" s="89" t="s">
        <v>1078</v>
      </c>
      <c r="K153" s="463" t="s">
        <v>1113</v>
      </c>
    </row>
    <row r="154" spans="1:11" hidden="1" x14ac:dyDescent="0.25">
      <c r="A154" s="46">
        <v>5</v>
      </c>
      <c r="B154" s="44" t="s">
        <v>1077</v>
      </c>
      <c r="C154" s="44" t="s">
        <v>214</v>
      </c>
      <c r="D154" s="44" t="s">
        <v>286</v>
      </c>
      <c r="E154" s="45">
        <v>20.239999999999998</v>
      </c>
      <c r="F154" s="284">
        <v>25900</v>
      </c>
      <c r="G154" s="284">
        <v>524216</v>
      </c>
      <c r="H154" s="445" t="s">
        <v>274</v>
      </c>
      <c r="I154" s="89" t="s">
        <v>1078</v>
      </c>
      <c r="K154" s="463" t="s">
        <v>1113</v>
      </c>
    </row>
    <row r="155" spans="1:11" hidden="1" x14ac:dyDescent="0.25">
      <c r="A155" s="46">
        <v>5</v>
      </c>
      <c r="B155" s="44" t="s">
        <v>1077</v>
      </c>
      <c r="C155" s="44" t="s">
        <v>216</v>
      </c>
      <c r="D155" s="44" t="s">
        <v>287</v>
      </c>
      <c r="E155" s="45">
        <v>9</v>
      </c>
      <c r="F155" s="284">
        <v>34500</v>
      </c>
      <c r="G155" s="284">
        <v>310500</v>
      </c>
      <c r="H155" s="445" t="s">
        <v>274</v>
      </c>
      <c r="I155" s="89" t="s">
        <v>1078</v>
      </c>
      <c r="K155" s="463" t="s">
        <v>1113</v>
      </c>
    </row>
    <row r="156" spans="1:11" hidden="1" x14ac:dyDescent="0.25">
      <c r="A156" s="46">
        <v>5</v>
      </c>
      <c r="B156" s="44" t="s">
        <v>1077</v>
      </c>
      <c r="C156" s="44" t="s">
        <v>288</v>
      </c>
      <c r="D156" s="44" t="s">
        <v>289</v>
      </c>
      <c r="E156" s="45">
        <v>150.9</v>
      </c>
      <c r="F156" s="284">
        <v>21900</v>
      </c>
      <c r="G156" s="284">
        <v>3304710</v>
      </c>
      <c r="H156" s="445" t="s">
        <v>274</v>
      </c>
      <c r="I156" s="89" t="s">
        <v>1078</v>
      </c>
      <c r="K156" s="463" t="s">
        <v>1113</v>
      </c>
    </row>
    <row r="157" spans="1:11" hidden="1" x14ac:dyDescent="0.25">
      <c r="A157" s="46">
        <v>5</v>
      </c>
      <c r="B157" s="44" t="s">
        <v>1086</v>
      </c>
      <c r="C157" s="44" t="s">
        <v>1087</v>
      </c>
      <c r="D157" s="44" t="s">
        <v>1311</v>
      </c>
      <c r="E157" s="45">
        <v>1150</v>
      </c>
      <c r="F157" s="284">
        <v>150</v>
      </c>
      <c r="G157" s="284">
        <v>172500</v>
      </c>
      <c r="H157" s="44" t="s">
        <v>1312</v>
      </c>
      <c r="I157" s="89" t="s">
        <v>1078</v>
      </c>
      <c r="K157" s="463" t="s">
        <v>1090</v>
      </c>
    </row>
    <row r="158" spans="1:11" hidden="1" x14ac:dyDescent="0.25">
      <c r="A158" s="46">
        <v>5</v>
      </c>
      <c r="B158" s="44" t="s">
        <v>949</v>
      </c>
      <c r="C158" s="44" t="s">
        <v>637</v>
      </c>
      <c r="D158" s="44" t="s">
        <v>1313</v>
      </c>
      <c r="E158" s="45">
        <v>2</v>
      </c>
      <c r="F158" s="284">
        <v>9500</v>
      </c>
      <c r="G158" s="284">
        <v>19000</v>
      </c>
      <c r="H158" s="44" t="s">
        <v>1314</v>
      </c>
      <c r="I158" s="89" t="s">
        <v>1078</v>
      </c>
      <c r="K158" s="463" t="s">
        <v>1099</v>
      </c>
    </row>
    <row r="159" spans="1:11" hidden="1" x14ac:dyDescent="0.25">
      <c r="A159" s="46">
        <v>5</v>
      </c>
      <c r="B159" s="44" t="s">
        <v>949</v>
      </c>
      <c r="C159" s="44" t="s">
        <v>1100</v>
      </c>
      <c r="D159" s="44" t="s">
        <v>1315</v>
      </c>
      <c r="E159" s="45">
        <v>3</v>
      </c>
      <c r="F159" s="284">
        <v>5000</v>
      </c>
      <c r="G159" s="284">
        <v>15000</v>
      </c>
      <c r="H159" s="44" t="s">
        <v>1314</v>
      </c>
      <c r="I159" s="89" t="s">
        <v>1078</v>
      </c>
      <c r="K159" s="463" t="s">
        <v>1099</v>
      </c>
    </row>
    <row r="160" spans="1:11" hidden="1" x14ac:dyDescent="0.25">
      <c r="A160" s="46">
        <v>5</v>
      </c>
      <c r="B160" s="44" t="s">
        <v>949</v>
      </c>
      <c r="C160" s="44" t="s">
        <v>637</v>
      </c>
      <c r="D160" s="44" t="s">
        <v>1316</v>
      </c>
      <c r="E160" s="45">
        <v>2</v>
      </c>
      <c r="F160" s="284">
        <v>9500</v>
      </c>
      <c r="G160" s="284">
        <v>19000</v>
      </c>
      <c r="H160" s="44" t="s">
        <v>1317</v>
      </c>
      <c r="I160" s="89" t="s">
        <v>1078</v>
      </c>
      <c r="K160" s="463" t="s">
        <v>1099</v>
      </c>
    </row>
    <row r="161" spans="1:11" hidden="1" x14ac:dyDescent="0.25">
      <c r="A161" s="46">
        <v>5</v>
      </c>
      <c r="B161" s="44" t="s">
        <v>949</v>
      </c>
      <c r="C161" s="44" t="s">
        <v>1100</v>
      </c>
      <c r="D161" s="44" t="s">
        <v>1318</v>
      </c>
      <c r="E161" s="45">
        <v>2</v>
      </c>
      <c r="F161" s="284">
        <v>5000</v>
      </c>
      <c r="G161" s="284">
        <v>10000</v>
      </c>
      <c r="H161" s="44" t="s">
        <v>1317</v>
      </c>
      <c r="I161" s="89" t="s">
        <v>1078</v>
      </c>
      <c r="K161" s="463" t="s">
        <v>1099</v>
      </c>
    </row>
    <row r="162" spans="1:11" hidden="1" x14ac:dyDescent="0.25">
      <c r="A162" s="46">
        <v>5</v>
      </c>
      <c r="B162" s="44" t="s">
        <v>1082</v>
      </c>
      <c r="C162" s="44" t="s">
        <v>1319</v>
      </c>
      <c r="D162" s="44" t="s">
        <v>1320</v>
      </c>
      <c r="E162" s="45">
        <v>8</v>
      </c>
      <c r="F162" s="284">
        <v>4500</v>
      </c>
      <c r="G162" s="284">
        <v>36000</v>
      </c>
      <c r="H162" s="44" t="s">
        <v>1321</v>
      </c>
      <c r="I162" s="89" t="s">
        <v>1078</v>
      </c>
      <c r="K162" s="463" t="s">
        <v>1141</v>
      </c>
    </row>
    <row r="163" spans="1:11" hidden="1" x14ac:dyDescent="0.25">
      <c r="A163" s="46">
        <v>5</v>
      </c>
      <c r="B163" s="44" t="s">
        <v>1086</v>
      </c>
      <c r="C163" s="44" t="s">
        <v>1087</v>
      </c>
      <c r="D163" s="44" t="s">
        <v>1322</v>
      </c>
      <c r="E163" s="45">
        <v>500</v>
      </c>
      <c r="F163" s="284">
        <v>150</v>
      </c>
      <c r="G163" s="284">
        <v>75000</v>
      </c>
      <c r="H163" s="44" t="s">
        <v>1323</v>
      </c>
      <c r="I163" s="89" t="s">
        <v>1078</v>
      </c>
      <c r="K163" s="463" t="s">
        <v>1090</v>
      </c>
    </row>
    <row r="164" spans="1:11" hidden="1" x14ac:dyDescent="0.25">
      <c r="A164" s="46">
        <v>5</v>
      </c>
      <c r="B164" s="44" t="s">
        <v>1082</v>
      </c>
      <c r="C164" s="44" t="s">
        <v>1324</v>
      </c>
      <c r="D164" s="44" t="s">
        <v>1325</v>
      </c>
      <c r="E164" s="45">
        <v>4</v>
      </c>
      <c r="F164" s="284">
        <v>17950</v>
      </c>
      <c r="G164" s="284">
        <v>71800</v>
      </c>
      <c r="H164" s="44" t="s">
        <v>1326</v>
      </c>
      <c r="I164" s="90" t="s">
        <v>1093</v>
      </c>
      <c r="K164" s="463" t="s">
        <v>1141</v>
      </c>
    </row>
    <row r="165" spans="1:11" hidden="1" x14ac:dyDescent="0.25">
      <c r="A165" s="46">
        <v>5</v>
      </c>
      <c r="B165" s="44" t="s">
        <v>1082</v>
      </c>
      <c r="C165" s="44" t="s">
        <v>1327</v>
      </c>
      <c r="D165" s="44" t="s">
        <v>1328</v>
      </c>
      <c r="E165" s="45">
        <v>5</v>
      </c>
      <c r="F165" s="284">
        <v>12900</v>
      </c>
      <c r="G165" s="284">
        <v>64500</v>
      </c>
      <c r="H165" s="44" t="s">
        <v>1326</v>
      </c>
      <c r="I165" s="90" t="s">
        <v>1093</v>
      </c>
      <c r="K165" s="463" t="s">
        <v>1141</v>
      </c>
    </row>
    <row r="166" spans="1:11" hidden="1" x14ac:dyDescent="0.25">
      <c r="A166" s="46">
        <v>5</v>
      </c>
      <c r="B166" s="44" t="s">
        <v>1082</v>
      </c>
      <c r="C166" s="44" t="s">
        <v>1329</v>
      </c>
      <c r="D166" s="44" t="s">
        <v>1330</v>
      </c>
      <c r="E166" s="45">
        <v>3</v>
      </c>
      <c r="F166" s="284">
        <v>12600</v>
      </c>
      <c r="G166" s="284">
        <v>37800</v>
      </c>
      <c r="H166" s="44" t="s">
        <v>1326</v>
      </c>
      <c r="I166" s="90" t="s">
        <v>1093</v>
      </c>
      <c r="K166" s="463" t="s">
        <v>1141</v>
      </c>
    </row>
    <row r="167" spans="1:11" hidden="1" x14ac:dyDescent="0.25">
      <c r="A167" s="46">
        <v>5</v>
      </c>
      <c r="B167" s="44" t="s">
        <v>1082</v>
      </c>
      <c r="C167" s="44" t="s">
        <v>1331</v>
      </c>
      <c r="D167" s="44" t="s">
        <v>1332</v>
      </c>
      <c r="E167" s="45">
        <v>3</v>
      </c>
      <c r="F167" s="284">
        <v>15500</v>
      </c>
      <c r="G167" s="284">
        <v>46500</v>
      </c>
      <c r="H167" s="44" t="s">
        <v>1326</v>
      </c>
      <c r="I167" s="90" t="s">
        <v>1093</v>
      </c>
      <c r="K167" s="463" t="s">
        <v>1141</v>
      </c>
    </row>
    <row r="168" spans="1:11" hidden="1" x14ac:dyDescent="0.25">
      <c r="A168" s="46">
        <v>5</v>
      </c>
      <c r="B168" s="44" t="s">
        <v>1082</v>
      </c>
      <c r="C168" s="44" t="s">
        <v>1333</v>
      </c>
      <c r="D168" s="44" t="s">
        <v>1334</v>
      </c>
      <c r="E168" s="45">
        <v>2</v>
      </c>
      <c r="F168" s="284">
        <v>16800</v>
      </c>
      <c r="G168" s="284">
        <v>33600</v>
      </c>
      <c r="H168" s="44" t="s">
        <v>1326</v>
      </c>
      <c r="I168" s="90" t="s">
        <v>1093</v>
      </c>
      <c r="K168" s="463" t="s">
        <v>1141</v>
      </c>
    </row>
    <row r="169" spans="1:11" hidden="1" x14ac:dyDescent="0.25">
      <c r="A169" s="46">
        <v>6</v>
      </c>
      <c r="B169" s="44" t="s">
        <v>949</v>
      </c>
      <c r="C169" s="44" t="s">
        <v>637</v>
      </c>
      <c r="D169" s="44" t="s">
        <v>1335</v>
      </c>
      <c r="E169" s="45">
        <v>2</v>
      </c>
      <c r="F169" s="284">
        <v>9500</v>
      </c>
      <c r="G169" s="284">
        <v>19000</v>
      </c>
      <c r="H169" s="44" t="s">
        <v>1336</v>
      </c>
      <c r="I169" s="89" t="s">
        <v>1078</v>
      </c>
      <c r="K169" s="463" t="s">
        <v>1099</v>
      </c>
    </row>
    <row r="170" spans="1:11" hidden="1" x14ac:dyDescent="0.25">
      <c r="A170" s="46">
        <v>6</v>
      </c>
      <c r="B170" s="44" t="s">
        <v>949</v>
      </c>
      <c r="C170" s="44" t="s">
        <v>1100</v>
      </c>
      <c r="D170" s="44" t="s">
        <v>1337</v>
      </c>
      <c r="E170" s="45">
        <v>4</v>
      </c>
      <c r="F170" s="284">
        <v>5000</v>
      </c>
      <c r="G170" s="284">
        <v>20000</v>
      </c>
      <c r="H170" s="44" t="s">
        <v>1336</v>
      </c>
      <c r="I170" s="89" t="s">
        <v>1078</v>
      </c>
      <c r="K170" s="463" t="s">
        <v>1099</v>
      </c>
    </row>
    <row r="171" spans="1:11" hidden="1" x14ac:dyDescent="0.25">
      <c r="A171" s="46">
        <v>6</v>
      </c>
      <c r="B171" s="44" t="s">
        <v>1082</v>
      </c>
      <c r="C171" s="44" t="s">
        <v>1338</v>
      </c>
      <c r="D171" s="44" t="s">
        <v>1339</v>
      </c>
      <c r="E171" s="45">
        <v>9</v>
      </c>
      <c r="F171" s="284">
        <v>9000</v>
      </c>
      <c r="G171" s="284">
        <v>81000</v>
      </c>
      <c r="H171" s="44" t="s">
        <v>1340</v>
      </c>
      <c r="I171" s="89" t="s">
        <v>1078</v>
      </c>
      <c r="K171" s="463" t="s">
        <v>1109</v>
      </c>
    </row>
    <row r="172" spans="1:11" hidden="1" x14ac:dyDescent="0.25">
      <c r="A172" s="46">
        <v>6</v>
      </c>
      <c r="B172" s="44" t="s">
        <v>949</v>
      </c>
      <c r="C172" s="44" t="s">
        <v>965</v>
      </c>
      <c r="D172" s="44" t="s">
        <v>1341</v>
      </c>
      <c r="E172" s="45">
        <v>1</v>
      </c>
      <c r="F172" s="284">
        <v>20000</v>
      </c>
      <c r="G172" s="284">
        <v>20000</v>
      </c>
      <c r="H172" s="44" t="s">
        <v>1340</v>
      </c>
      <c r="I172" s="89" t="s">
        <v>1078</v>
      </c>
      <c r="K172" s="463" t="s">
        <v>1109</v>
      </c>
    </row>
    <row r="173" spans="1:11" hidden="1" x14ac:dyDescent="0.25">
      <c r="A173" s="46">
        <v>6</v>
      </c>
      <c r="B173" s="44" t="s">
        <v>949</v>
      </c>
      <c r="C173" s="44" t="s">
        <v>1300</v>
      </c>
      <c r="D173" s="44" t="s">
        <v>1342</v>
      </c>
      <c r="E173" s="45">
        <v>10</v>
      </c>
      <c r="F173" s="284">
        <v>9000</v>
      </c>
      <c r="G173" s="284">
        <v>90000</v>
      </c>
      <c r="H173" s="44" t="s">
        <v>1340</v>
      </c>
      <c r="I173" s="89" t="s">
        <v>1078</v>
      </c>
      <c r="K173" s="463" t="s">
        <v>1109</v>
      </c>
    </row>
    <row r="174" spans="1:11" hidden="1" x14ac:dyDescent="0.25">
      <c r="A174" s="46">
        <v>6</v>
      </c>
      <c r="B174" s="44" t="s">
        <v>1102</v>
      </c>
      <c r="C174" s="44" t="s">
        <v>1106</v>
      </c>
      <c r="D174" s="44" t="s">
        <v>1343</v>
      </c>
      <c r="E174" s="45">
        <v>1</v>
      </c>
      <c r="F174" s="284">
        <v>90000</v>
      </c>
      <c r="G174" s="284">
        <v>90000</v>
      </c>
      <c r="H174" s="44" t="s">
        <v>1340</v>
      </c>
      <c r="I174" s="89" t="s">
        <v>1078</v>
      </c>
      <c r="K174" s="463" t="s">
        <v>1109</v>
      </c>
    </row>
    <row r="175" spans="1:11" hidden="1" x14ac:dyDescent="0.25">
      <c r="A175" s="46">
        <v>6</v>
      </c>
      <c r="B175" s="44" t="s">
        <v>1082</v>
      </c>
      <c r="C175" s="44" t="s">
        <v>1083</v>
      </c>
      <c r="D175" s="44" t="s">
        <v>1344</v>
      </c>
      <c r="E175" s="45">
        <v>34</v>
      </c>
      <c r="F175" s="284">
        <v>6000</v>
      </c>
      <c r="G175" s="284">
        <v>204000</v>
      </c>
      <c r="H175" s="44" t="s">
        <v>1340</v>
      </c>
      <c r="I175" s="90" t="s">
        <v>1093</v>
      </c>
      <c r="K175" s="463" t="s">
        <v>1109</v>
      </c>
    </row>
    <row r="176" spans="1:11" hidden="1" x14ac:dyDescent="0.25">
      <c r="A176" s="46">
        <v>7</v>
      </c>
      <c r="B176" s="44" t="s">
        <v>1102</v>
      </c>
      <c r="C176" s="44" t="s">
        <v>1345</v>
      </c>
      <c r="D176" s="44" t="s">
        <v>1346</v>
      </c>
      <c r="E176" s="45">
        <v>1</v>
      </c>
      <c r="F176" s="284">
        <v>649800</v>
      </c>
      <c r="G176" s="284">
        <v>649800</v>
      </c>
      <c r="H176" s="44" t="s">
        <v>1347</v>
      </c>
      <c r="I176" s="90" t="s">
        <v>1093</v>
      </c>
      <c r="K176" s="463" t="s">
        <v>1348</v>
      </c>
    </row>
    <row r="177" spans="1:11" hidden="1" x14ac:dyDescent="0.25">
      <c r="A177" s="46">
        <v>7</v>
      </c>
      <c r="B177" s="44" t="s">
        <v>949</v>
      </c>
      <c r="C177" s="44" t="s">
        <v>637</v>
      </c>
      <c r="D177" s="44" t="s">
        <v>1349</v>
      </c>
      <c r="E177" s="45">
        <v>2</v>
      </c>
      <c r="F177" s="284">
        <v>9500</v>
      </c>
      <c r="G177" s="284">
        <v>19000</v>
      </c>
      <c r="H177" s="44" t="s">
        <v>1350</v>
      </c>
      <c r="I177" s="89" t="s">
        <v>1078</v>
      </c>
      <c r="K177" s="463" t="s">
        <v>1099</v>
      </c>
    </row>
    <row r="178" spans="1:11" hidden="1" x14ac:dyDescent="0.25">
      <c r="A178" s="46">
        <v>7</v>
      </c>
      <c r="B178" s="44" t="s">
        <v>949</v>
      </c>
      <c r="C178" s="44" t="s">
        <v>1100</v>
      </c>
      <c r="D178" s="44" t="s">
        <v>1351</v>
      </c>
      <c r="E178" s="45">
        <v>2</v>
      </c>
      <c r="F178" s="284">
        <v>5000</v>
      </c>
      <c r="G178" s="284">
        <v>10000</v>
      </c>
      <c r="H178" s="44" t="s">
        <v>1352</v>
      </c>
      <c r="I178" s="89" t="s">
        <v>1078</v>
      </c>
      <c r="K178" s="463" t="s">
        <v>1099</v>
      </c>
    </row>
    <row r="179" spans="1:11" hidden="1" x14ac:dyDescent="0.25">
      <c r="A179" s="46">
        <v>7</v>
      </c>
      <c r="B179" s="44" t="s">
        <v>949</v>
      </c>
      <c r="C179" s="44" t="s">
        <v>1225</v>
      </c>
      <c r="D179" s="44" t="s">
        <v>1353</v>
      </c>
      <c r="E179" s="45">
        <v>1</v>
      </c>
      <c r="F179" s="284">
        <v>433</v>
      </c>
      <c r="G179" s="284">
        <v>433</v>
      </c>
      <c r="H179" s="44" t="s">
        <v>292</v>
      </c>
      <c r="I179" s="89" t="s">
        <v>1078</v>
      </c>
      <c r="K179" s="463" t="s">
        <v>1141</v>
      </c>
    </row>
    <row r="180" spans="1:11" hidden="1" x14ac:dyDescent="0.25">
      <c r="A180" s="46">
        <v>7</v>
      </c>
      <c r="B180" s="44" t="s">
        <v>1077</v>
      </c>
      <c r="C180" s="44" t="s">
        <v>293</v>
      </c>
      <c r="D180" s="44" t="s">
        <v>294</v>
      </c>
      <c r="E180" s="45">
        <v>3.32</v>
      </c>
      <c r="F180" s="284">
        <v>8974.59</v>
      </c>
      <c r="G180" s="284">
        <v>29795.64</v>
      </c>
      <c r="H180" s="44" t="s">
        <v>292</v>
      </c>
      <c r="I180" s="89" t="s">
        <v>1078</v>
      </c>
      <c r="K180" s="463" t="s">
        <v>1141</v>
      </c>
    </row>
    <row r="181" spans="1:11" hidden="1" x14ac:dyDescent="0.25">
      <c r="A181" s="46">
        <v>7</v>
      </c>
      <c r="B181" s="44" t="s">
        <v>1077</v>
      </c>
      <c r="C181" s="44" t="s">
        <v>192</v>
      </c>
      <c r="D181" s="44" t="s">
        <v>295</v>
      </c>
      <c r="E181" s="45">
        <v>3.93</v>
      </c>
      <c r="F181" s="284">
        <v>7984.07</v>
      </c>
      <c r="G181" s="284">
        <v>31377.4</v>
      </c>
      <c r="H181" s="44" t="s">
        <v>292</v>
      </c>
      <c r="I181" s="89" t="s">
        <v>1078</v>
      </c>
      <c r="K181" s="463" t="s">
        <v>1141</v>
      </c>
    </row>
    <row r="182" spans="1:11" hidden="1" x14ac:dyDescent="0.25">
      <c r="A182" s="46">
        <v>7</v>
      </c>
      <c r="B182" s="44" t="s">
        <v>1077</v>
      </c>
      <c r="C182" s="44" t="s">
        <v>297</v>
      </c>
      <c r="D182" s="44" t="s">
        <v>298</v>
      </c>
      <c r="E182" s="45">
        <v>38.6</v>
      </c>
      <c r="F182" s="284">
        <v>11500</v>
      </c>
      <c r="G182" s="284">
        <v>443900</v>
      </c>
      <c r="H182" s="44" t="s">
        <v>296</v>
      </c>
      <c r="I182" s="90" t="s">
        <v>1093</v>
      </c>
      <c r="K182" s="463" t="s">
        <v>1354</v>
      </c>
    </row>
    <row r="183" spans="1:11" hidden="1" x14ac:dyDescent="0.25">
      <c r="A183" s="46">
        <v>7</v>
      </c>
      <c r="B183" s="44" t="s">
        <v>1077</v>
      </c>
      <c r="C183" s="44" t="s">
        <v>259</v>
      </c>
      <c r="D183" s="44" t="s">
        <v>300</v>
      </c>
      <c r="E183" s="45">
        <v>1</v>
      </c>
      <c r="F183" s="284">
        <v>130000</v>
      </c>
      <c r="G183" s="284">
        <v>130000</v>
      </c>
      <c r="H183" s="44" t="s">
        <v>299</v>
      </c>
      <c r="I183" s="89" t="s">
        <v>1078</v>
      </c>
      <c r="K183" s="463" t="s">
        <v>1141</v>
      </c>
    </row>
    <row r="184" spans="1:11" hidden="1" x14ac:dyDescent="0.25">
      <c r="A184" s="46">
        <v>7</v>
      </c>
      <c r="B184" s="44" t="s">
        <v>1102</v>
      </c>
      <c r="C184" s="44" t="s">
        <v>1103</v>
      </c>
      <c r="D184" s="44" t="s">
        <v>1355</v>
      </c>
      <c r="E184" s="45">
        <v>1</v>
      </c>
      <c r="F184" s="284">
        <v>30000</v>
      </c>
      <c r="G184" s="284">
        <v>30000</v>
      </c>
      <c r="H184" s="44" t="s">
        <v>730</v>
      </c>
      <c r="I184" s="89" t="s">
        <v>1078</v>
      </c>
      <c r="K184" s="463" t="s">
        <v>1105</v>
      </c>
    </row>
    <row r="185" spans="1:11" hidden="1" x14ac:dyDescent="0.25">
      <c r="A185" s="46">
        <v>7</v>
      </c>
      <c r="B185" s="44" t="s">
        <v>1102</v>
      </c>
      <c r="C185" s="44" t="s">
        <v>1106</v>
      </c>
      <c r="D185" s="44" t="s">
        <v>731</v>
      </c>
      <c r="E185" s="45">
        <v>1</v>
      </c>
      <c r="F185" s="284">
        <v>74000</v>
      </c>
      <c r="G185" s="284">
        <v>74000</v>
      </c>
      <c r="H185" s="44" t="s">
        <v>730</v>
      </c>
      <c r="I185" s="89" t="s">
        <v>1078</v>
      </c>
      <c r="K185" s="463" t="s">
        <v>1109</v>
      </c>
    </row>
    <row r="186" spans="1:11" hidden="1" x14ac:dyDescent="0.25">
      <c r="A186" s="46">
        <v>7</v>
      </c>
      <c r="B186" s="44" t="s">
        <v>1077</v>
      </c>
      <c r="C186" s="44" t="s">
        <v>302</v>
      </c>
      <c r="D186" s="44" t="s">
        <v>303</v>
      </c>
      <c r="E186" s="45">
        <v>5.5919999999999996</v>
      </c>
      <c r="F186" s="284">
        <v>26900</v>
      </c>
      <c r="G186" s="284">
        <v>150425</v>
      </c>
      <c r="H186" s="445" t="s">
        <v>301</v>
      </c>
      <c r="I186" s="89" t="s">
        <v>1078</v>
      </c>
      <c r="K186" s="463" t="s">
        <v>1113</v>
      </c>
    </row>
    <row r="187" spans="1:11" hidden="1" x14ac:dyDescent="0.25">
      <c r="A187" s="46">
        <v>7</v>
      </c>
      <c r="B187" s="44" t="s">
        <v>1077</v>
      </c>
      <c r="C187" s="44" t="s">
        <v>214</v>
      </c>
      <c r="D187" s="44" t="s">
        <v>304</v>
      </c>
      <c r="E187" s="45">
        <v>21.61</v>
      </c>
      <c r="F187" s="284">
        <v>25900</v>
      </c>
      <c r="G187" s="284">
        <v>559699</v>
      </c>
      <c r="H187" s="445" t="s">
        <v>301</v>
      </c>
      <c r="I187" s="89" t="s">
        <v>1078</v>
      </c>
      <c r="K187" s="463" t="s">
        <v>1113</v>
      </c>
    </row>
    <row r="188" spans="1:11" hidden="1" x14ac:dyDescent="0.25">
      <c r="A188" s="46">
        <v>7</v>
      </c>
      <c r="B188" s="44" t="s">
        <v>1077</v>
      </c>
      <c r="C188" s="44" t="s">
        <v>216</v>
      </c>
      <c r="D188" s="44" t="s">
        <v>305</v>
      </c>
      <c r="E188" s="45">
        <v>20.565000000000001</v>
      </c>
      <c r="F188" s="284">
        <v>34500</v>
      </c>
      <c r="G188" s="284">
        <v>709493</v>
      </c>
      <c r="H188" s="445" t="s">
        <v>301</v>
      </c>
      <c r="I188" s="89" t="s">
        <v>1078</v>
      </c>
      <c r="K188" s="463" t="s">
        <v>1113</v>
      </c>
    </row>
    <row r="189" spans="1:11" hidden="1" x14ac:dyDescent="0.25">
      <c r="A189" s="46">
        <v>7</v>
      </c>
      <c r="B189" s="44" t="s">
        <v>1082</v>
      </c>
      <c r="C189" s="44" t="s">
        <v>1356</v>
      </c>
      <c r="D189" s="44" t="s">
        <v>1357</v>
      </c>
      <c r="E189" s="45">
        <v>10</v>
      </c>
      <c r="F189" s="284">
        <v>10900</v>
      </c>
      <c r="G189" s="284">
        <v>109000</v>
      </c>
      <c r="H189" s="445" t="s">
        <v>301</v>
      </c>
      <c r="I189" s="89" t="s">
        <v>1078</v>
      </c>
      <c r="K189" s="463" t="s">
        <v>1113</v>
      </c>
    </row>
    <row r="190" spans="1:11" hidden="1" x14ac:dyDescent="0.25">
      <c r="A190" s="46">
        <v>7</v>
      </c>
      <c r="B190" s="44" t="s">
        <v>1102</v>
      </c>
      <c r="C190" s="286" t="s">
        <v>737</v>
      </c>
      <c r="D190" s="286" t="s">
        <v>737</v>
      </c>
      <c r="E190" s="45">
        <v>1</v>
      </c>
      <c r="F190" s="285">
        <v>66000</v>
      </c>
      <c r="G190" s="284">
        <v>66000</v>
      </c>
      <c r="H190" s="84" t="s">
        <v>1358</v>
      </c>
      <c r="I190" s="89" t="s">
        <v>1078</v>
      </c>
      <c r="K190" s="463" t="s">
        <v>1108</v>
      </c>
    </row>
    <row r="191" spans="1:11" hidden="1" x14ac:dyDescent="0.25">
      <c r="A191" s="46">
        <v>7</v>
      </c>
      <c r="B191" s="44" t="s">
        <v>1102</v>
      </c>
      <c r="C191" s="286" t="s">
        <v>1359</v>
      </c>
      <c r="D191" s="286" t="s">
        <v>1359</v>
      </c>
      <c r="E191" s="45">
        <v>1</v>
      </c>
      <c r="F191" s="285">
        <v>10000</v>
      </c>
      <c r="G191" s="284">
        <v>10000</v>
      </c>
      <c r="H191" s="81" t="s">
        <v>319</v>
      </c>
      <c r="I191" s="89" t="s">
        <v>1078</v>
      </c>
      <c r="K191" s="463" t="s">
        <v>1108</v>
      </c>
    </row>
    <row r="192" spans="1:11" hidden="1" x14ac:dyDescent="0.25">
      <c r="A192" s="46">
        <v>7</v>
      </c>
      <c r="B192" s="44" t="s">
        <v>1102</v>
      </c>
      <c r="C192" s="286" t="s">
        <v>1360</v>
      </c>
      <c r="D192" s="286" t="s">
        <v>1360</v>
      </c>
      <c r="E192" s="45">
        <v>1</v>
      </c>
      <c r="F192" s="287">
        <v>37100</v>
      </c>
      <c r="G192" s="284">
        <v>37100</v>
      </c>
      <c r="H192" s="81" t="s">
        <v>319</v>
      </c>
      <c r="I192" s="89" t="s">
        <v>1078</v>
      </c>
      <c r="K192" s="463" t="s">
        <v>1108</v>
      </c>
    </row>
    <row r="193" spans="1:11" hidden="1" x14ac:dyDescent="0.25">
      <c r="A193" s="46">
        <v>7</v>
      </c>
      <c r="B193" s="44" t="s">
        <v>1102</v>
      </c>
      <c r="C193" s="286" t="s">
        <v>1361</v>
      </c>
      <c r="D193" s="286" t="s">
        <v>1361</v>
      </c>
      <c r="E193" s="45">
        <v>1</v>
      </c>
      <c r="F193" s="287">
        <v>4000</v>
      </c>
      <c r="G193" s="284">
        <v>4000</v>
      </c>
      <c r="H193" s="81" t="s">
        <v>319</v>
      </c>
      <c r="I193" s="89" t="s">
        <v>1078</v>
      </c>
      <c r="K193" s="463" t="s">
        <v>1108</v>
      </c>
    </row>
    <row r="194" spans="1:11" hidden="1" x14ac:dyDescent="0.25">
      <c r="A194" s="46">
        <v>7</v>
      </c>
      <c r="B194" s="44" t="s">
        <v>1102</v>
      </c>
      <c r="C194" s="286" t="s">
        <v>746</v>
      </c>
      <c r="D194" s="286" t="s">
        <v>746</v>
      </c>
      <c r="E194" s="45">
        <v>1</v>
      </c>
      <c r="F194" s="287">
        <v>85000</v>
      </c>
      <c r="G194" s="284">
        <v>85000</v>
      </c>
      <c r="H194" s="81" t="s">
        <v>319</v>
      </c>
      <c r="I194" s="89" t="s">
        <v>1078</v>
      </c>
      <c r="K194" s="463" t="s">
        <v>1108</v>
      </c>
    </row>
    <row r="195" spans="1:11" hidden="1" x14ac:dyDescent="0.25">
      <c r="A195" s="46">
        <v>7</v>
      </c>
      <c r="B195" s="44" t="s">
        <v>1102</v>
      </c>
      <c r="C195" s="286" t="s">
        <v>752</v>
      </c>
      <c r="D195" s="286" t="s">
        <v>752</v>
      </c>
      <c r="E195" s="45">
        <v>1</v>
      </c>
      <c r="F195" s="285">
        <v>15000</v>
      </c>
      <c r="G195" s="284">
        <v>15000</v>
      </c>
      <c r="H195" s="81" t="s">
        <v>319</v>
      </c>
      <c r="I195" s="89" t="s">
        <v>1078</v>
      </c>
      <c r="K195" s="463" t="s">
        <v>1108</v>
      </c>
    </row>
    <row r="196" spans="1:11" hidden="1" x14ac:dyDescent="0.25">
      <c r="A196" s="46">
        <v>7</v>
      </c>
      <c r="B196" s="44" t="s">
        <v>1082</v>
      </c>
      <c r="C196" s="44" t="s">
        <v>1362</v>
      </c>
      <c r="D196" s="44" t="s">
        <v>1363</v>
      </c>
      <c r="E196" s="45">
        <v>0.505</v>
      </c>
      <c r="F196" s="284">
        <v>11000</v>
      </c>
      <c r="G196" s="284">
        <v>5555</v>
      </c>
      <c r="H196" s="44" t="s">
        <v>1364</v>
      </c>
      <c r="I196" s="89" t="s">
        <v>1078</v>
      </c>
      <c r="K196" s="463" t="s">
        <v>1079</v>
      </c>
    </row>
    <row r="197" spans="1:11" hidden="1" x14ac:dyDescent="0.25">
      <c r="A197" s="46">
        <v>7</v>
      </c>
      <c r="B197" s="44" t="s">
        <v>1077</v>
      </c>
      <c r="C197" s="44" t="s">
        <v>229</v>
      </c>
      <c r="D197" s="44" t="s">
        <v>307</v>
      </c>
      <c r="E197" s="45">
        <v>3.39</v>
      </c>
      <c r="F197" s="284">
        <v>17500</v>
      </c>
      <c r="G197" s="284">
        <v>59325</v>
      </c>
      <c r="H197" s="44" t="s">
        <v>306</v>
      </c>
      <c r="I197" s="89" t="s">
        <v>1078</v>
      </c>
      <c r="K197" s="463" t="s">
        <v>1079</v>
      </c>
    </row>
    <row r="198" spans="1:11" hidden="1" x14ac:dyDescent="0.25">
      <c r="A198" s="46">
        <v>7</v>
      </c>
      <c r="B198" s="44" t="s">
        <v>1077</v>
      </c>
      <c r="C198" s="44" t="s">
        <v>308</v>
      </c>
      <c r="D198" s="44" t="s">
        <v>309</v>
      </c>
      <c r="E198" s="45">
        <v>2</v>
      </c>
      <c r="F198" s="284">
        <v>10600</v>
      </c>
      <c r="G198" s="284">
        <v>21200</v>
      </c>
      <c r="H198" s="44" t="s">
        <v>306</v>
      </c>
      <c r="I198" s="89" t="s">
        <v>1078</v>
      </c>
      <c r="K198" s="463" t="s">
        <v>1079</v>
      </c>
    </row>
    <row r="199" spans="1:11" hidden="1" x14ac:dyDescent="0.25">
      <c r="A199" s="46">
        <v>7</v>
      </c>
      <c r="B199" s="44" t="s">
        <v>1082</v>
      </c>
      <c r="C199" s="44" t="s">
        <v>1365</v>
      </c>
      <c r="D199" s="44" t="s">
        <v>1366</v>
      </c>
      <c r="E199" s="45">
        <v>4</v>
      </c>
      <c r="F199" s="284">
        <v>2400</v>
      </c>
      <c r="G199" s="284">
        <v>9600</v>
      </c>
      <c r="H199" s="44" t="s">
        <v>306</v>
      </c>
      <c r="I199" s="89" t="s">
        <v>1078</v>
      </c>
      <c r="K199" s="463" t="s">
        <v>1079</v>
      </c>
    </row>
    <row r="200" spans="1:11" hidden="1" x14ac:dyDescent="0.25">
      <c r="A200" s="46">
        <v>7</v>
      </c>
      <c r="B200" s="44" t="s">
        <v>1367</v>
      </c>
      <c r="C200" s="102" t="s">
        <v>1087</v>
      </c>
      <c r="D200" s="102" t="s">
        <v>1368</v>
      </c>
      <c r="E200" s="45">
        <v>100</v>
      </c>
      <c r="F200" s="285">
        <v>150</v>
      </c>
      <c r="G200" s="284">
        <v>15000</v>
      </c>
      <c r="H200" s="105" t="s">
        <v>391</v>
      </c>
      <c r="I200" s="97" t="s">
        <v>1078</v>
      </c>
      <c r="J200" s="98" t="s">
        <v>121</v>
      </c>
      <c r="K200" s="463" t="s">
        <v>1090</v>
      </c>
    </row>
    <row r="201" spans="1:11" hidden="1" x14ac:dyDescent="0.25">
      <c r="A201" s="46">
        <v>8</v>
      </c>
      <c r="B201" s="44" t="s">
        <v>949</v>
      </c>
      <c r="C201" s="44" t="s">
        <v>1100</v>
      </c>
      <c r="D201" s="44" t="s">
        <v>1369</v>
      </c>
      <c r="E201" s="45">
        <v>2</v>
      </c>
      <c r="F201" s="284">
        <v>5000</v>
      </c>
      <c r="G201" s="284">
        <v>10000</v>
      </c>
      <c r="H201" s="44" t="s">
        <v>1370</v>
      </c>
      <c r="I201" s="89" t="s">
        <v>1078</v>
      </c>
      <c r="K201" s="463" t="s">
        <v>1099</v>
      </c>
    </row>
    <row r="202" spans="1:11" hidden="1" x14ac:dyDescent="0.25">
      <c r="A202" s="46">
        <v>8</v>
      </c>
      <c r="B202" s="44" t="s">
        <v>1082</v>
      </c>
      <c r="C202" s="44" t="s">
        <v>1371</v>
      </c>
      <c r="D202" s="44" t="s">
        <v>1372</v>
      </c>
      <c r="E202" s="45">
        <v>4.2</v>
      </c>
      <c r="F202" s="284">
        <v>6000</v>
      </c>
      <c r="G202" s="284">
        <v>25200</v>
      </c>
      <c r="H202" s="445" t="s">
        <v>1373</v>
      </c>
      <c r="I202" s="89" t="s">
        <v>1078</v>
      </c>
      <c r="K202" s="463" t="s">
        <v>1113</v>
      </c>
    </row>
    <row r="203" spans="1:11" hidden="1" x14ac:dyDescent="0.25">
      <c r="A203" s="46">
        <v>8</v>
      </c>
      <c r="B203" s="44" t="s">
        <v>1082</v>
      </c>
      <c r="C203" s="44" t="s">
        <v>1144</v>
      </c>
      <c r="D203" s="44" t="s">
        <v>1374</v>
      </c>
      <c r="E203" s="45">
        <v>3.3</v>
      </c>
      <c r="F203" s="284">
        <v>15000</v>
      </c>
      <c r="G203" s="284">
        <v>49500</v>
      </c>
      <c r="H203" s="445" t="s">
        <v>1373</v>
      </c>
      <c r="I203" s="89" t="s">
        <v>1078</v>
      </c>
      <c r="K203" s="463" t="s">
        <v>1113</v>
      </c>
    </row>
    <row r="204" spans="1:11" hidden="1" x14ac:dyDescent="0.25">
      <c r="A204" s="46">
        <v>8</v>
      </c>
      <c r="B204" s="44" t="s">
        <v>1082</v>
      </c>
      <c r="C204" s="44" t="s">
        <v>1375</v>
      </c>
      <c r="D204" s="44" t="s">
        <v>1376</v>
      </c>
      <c r="E204" s="45">
        <v>10</v>
      </c>
      <c r="F204" s="284">
        <v>6000</v>
      </c>
      <c r="G204" s="284">
        <v>60000</v>
      </c>
      <c r="H204" s="445" t="s">
        <v>1373</v>
      </c>
      <c r="I204" s="89" t="s">
        <v>1078</v>
      </c>
      <c r="K204" s="463" t="s">
        <v>1113</v>
      </c>
    </row>
    <row r="205" spans="1:11" hidden="1" x14ac:dyDescent="0.25">
      <c r="A205" s="46">
        <v>8</v>
      </c>
      <c r="B205" s="44" t="s">
        <v>1082</v>
      </c>
      <c r="C205" s="44" t="s">
        <v>1377</v>
      </c>
      <c r="D205" s="44" t="s">
        <v>1378</v>
      </c>
      <c r="E205" s="45">
        <v>9.5</v>
      </c>
      <c r="F205" s="284">
        <v>3800</v>
      </c>
      <c r="G205" s="284">
        <v>36100</v>
      </c>
      <c r="H205" s="445" t="s">
        <v>1373</v>
      </c>
      <c r="I205" s="89" t="s">
        <v>1078</v>
      </c>
      <c r="K205" s="463" t="s">
        <v>1113</v>
      </c>
    </row>
    <row r="206" spans="1:11" hidden="1" x14ac:dyDescent="0.25">
      <c r="A206" s="46">
        <v>8</v>
      </c>
      <c r="B206" s="44" t="s">
        <v>1082</v>
      </c>
      <c r="C206" s="44" t="s">
        <v>1379</v>
      </c>
      <c r="D206" s="44" t="s">
        <v>1380</v>
      </c>
      <c r="E206" s="45">
        <v>42</v>
      </c>
      <c r="F206" s="284">
        <v>2800</v>
      </c>
      <c r="G206" s="284">
        <v>117600</v>
      </c>
      <c r="H206" s="445" t="s">
        <v>1373</v>
      </c>
      <c r="I206" s="89" t="s">
        <v>1078</v>
      </c>
      <c r="K206" s="463" t="s">
        <v>1113</v>
      </c>
    </row>
    <row r="207" spans="1:11" hidden="1" x14ac:dyDescent="0.25">
      <c r="A207" s="46">
        <v>8</v>
      </c>
      <c r="B207" s="44" t="s">
        <v>1082</v>
      </c>
      <c r="C207" s="44" t="s">
        <v>1381</v>
      </c>
      <c r="D207" s="44" t="s">
        <v>1382</v>
      </c>
      <c r="E207" s="45">
        <v>63.2</v>
      </c>
      <c r="F207" s="284">
        <v>3400</v>
      </c>
      <c r="G207" s="284">
        <v>214880</v>
      </c>
      <c r="H207" s="445" t="s">
        <v>1373</v>
      </c>
      <c r="I207" s="89" t="s">
        <v>1078</v>
      </c>
      <c r="K207" s="463" t="s">
        <v>1113</v>
      </c>
    </row>
    <row r="208" spans="1:11" hidden="1" x14ac:dyDescent="0.25">
      <c r="A208" s="46">
        <v>8</v>
      </c>
      <c r="B208" s="44" t="s">
        <v>1082</v>
      </c>
      <c r="C208" s="44" t="s">
        <v>1383</v>
      </c>
      <c r="D208" s="44" t="s">
        <v>1384</v>
      </c>
      <c r="E208" s="45">
        <v>1</v>
      </c>
      <c r="F208" s="284">
        <v>130000</v>
      </c>
      <c r="G208" s="284">
        <v>130000</v>
      </c>
      <c r="H208" s="445" t="s">
        <v>1373</v>
      </c>
      <c r="I208" s="89" t="s">
        <v>1078</v>
      </c>
      <c r="K208" s="463" t="s">
        <v>1113</v>
      </c>
    </row>
    <row r="209" spans="1:11" hidden="1" x14ac:dyDescent="0.25">
      <c r="A209" s="46">
        <v>8</v>
      </c>
      <c r="B209" s="44" t="s">
        <v>1082</v>
      </c>
      <c r="C209" s="44" t="s">
        <v>1174</v>
      </c>
      <c r="D209" s="44" t="s">
        <v>1385</v>
      </c>
      <c r="E209" s="45">
        <v>8.6999999999999993</v>
      </c>
      <c r="F209" s="284">
        <v>6000</v>
      </c>
      <c r="G209" s="284">
        <v>52200</v>
      </c>
      <c r="H209" s="445" t="s">
        <v>1373</v>
      </c>
      <c r="I209" s="89" t="s">
        <v>1078</v>
      </c>
      <c r="K209" s="463" t="s">
        <v>1113</v>
      </c>
    </row>
    <row r="210" spans="1:11" hidden="1" x14ac:dyDescent="0.25">
      <c r="A210" s="46">
        <v>8</v>
      </c>
      <c r="B210" s="44" t="s">
        <v>1082</v>
      </c>
      <c r="C210" s="44" t="s">
        <v>1172</v>
      </c>
      <c r="D210" s="44" t="s">
        <v>1386</v>
      </c>
      <c r="E210" s="45">
        <v>6.8</v>
      </c>
      <c r="F210" s="284">
        <v>3500</v>
      </c>
      <c r="G210" s="284">
        <v>23800</v>
      </c>
      <c r="H210" s="445" t="s">
        <v>1373</v>
      </c>
      <c r="I210" s="89" t="s">
        <v>1078</v>
      </c>
      <c r="K210" s="463" t="s">
        <v>1113</v>
      </c>
    </row>
    <row r="211" spans="1:11" hidden="1" x14ac:dyDescent="0.25">
      <c r="A211" s="46">
        <v>8</v>
      </c>
      <c r="B211" s="44" t="s">
        <v>1082</v>
      </c>
      <c r="C211" s="44" t="s">
        <v>1387</v>
      </c>
      <c r="D211" s="44" t="s">
        <v>1388</v>
      </c>
      <c r="E211" s="45">
        <v>3.3</v>
      </c>
      <c r="F211" s="284">
        <v>2500</v>
      </c>
      <c r="G211" s="284">
        <v>8250</v>
      </c>
      <c r="H211" s="445" t="s">
        <v>1373</v>
      </c>
      <c r="I211" s="89" t="s">
        <v>1078</v>
      </c>
      <c r="K211" s="463" t="s">
        <v>1113</v>
      </c>
    </row>
    <row r="212" spans="1:11" hidden="1" x14ac:dyDescent="0.25">
      <c r="A212" s="46">
        <v>8</v>
      </c>
      <c r="B212" s="44" t="s">
        <v>1082</v>
      </c>
      <c r="C212" s="44" t="s">
        <v>1389</v>
      </c>
      <c r="D212" s="44" t="s">
        <v>1390</v>
      </c>
      <c r="E212" s="45">
        <v>4</v>
      </c>
      <c r="F212" s="284">
        <v>9000</v>
      </c>
      <c r="G212" s="284">
        <v>36000</v>
      </c>
      <c r="H212" s="445" t="s">
        <v>1373</v>
      </c>
      <c r="I212" s="89" t="s">
        <v>1078</v>
      </c>
      <c r="K212" s="463" t="s">
        <v>1113</v>
      </c>
    </row>
    <row r="213" spans="1:11" hidden="1" x14ac:dyDescent="0.25">
      <c r="A213" s="46">
        <v>8</v>
      </c>
      <c r="B213" s="44" t="s">
        <v>1082</v>
      </c>
      <c r="C213" s="44" t="s">
        <v>1391</v>
      </c>
      <c r="D213" s="44" t="s">
        <v>1392</v>
      </c>
      <c r="E213" s="45">
        <v>8.1999999999999993</v>
      </c>
      <c r="F213" s="284">
        <v>4000</v>
      </c>
      <c r="G213" s="284">
        <v>32800</v>
      </c>
      <c r="H213" s="445" t="s">
        <v>1373</v>
      </c>
      <c r="I213" s="89" t="s">
        <v>1078</v>
      </c>
      <c r="K213" s="463" t="s">
        <v>1113</v>
      </c>
    </row>
    <row r="214" spans="1:11" hidden="1" x14ac:dyDescent="0.25">
      <c r="A214" s="46">
        <v>8</v>
      </c>
      <c r="B214" s="44" t="s">
        <v>1082</v>
      </c>
      <c r="C214" s="44" t="s">
        <v>1393</v>
      </c>
      <c r="D214" s="44" t="s">
        <v>1394</v>
      </c>
      <c r="E214" s="45">
        <v>53</v>
      </c>
      <c r="F214" s="284">
        <v>1400</v>
      </c>
      <c r="G214" s="284">
        <v>74200</v>
      </c>
      <c r="H214" s="445" t="s">
        <v>1373</v>
      </c>
      <c r="I214" s="89" t="s">
        <v>1078</v>
      </c>
      <c r="K214" s="463" t="s">
        <v>1113</v>
      </c>
    </row>
    <row r="215" spans="1:11" hidden="1" x14ac:dyDescent="0.25">
      <c r="A215" s="46">
        <v>8</v>
      </c>
      <c r="B215" s="44" t="s">
        <v>1082</v>
      </c>
      <c r="C215" s="44" t="s">
        <v>1395</v>
      </c>
      <c r="D215" s="44" t="s">
        <v>1396</v>
      </c>
      <c r="E215" s="45">
        <v>61</v>
      </c>
      <c r="F215" s="284">
        <v>1400</v>
      </c>
      <c r="G215" s="284">
        <v>85400</v>
      </c>
      <c r="H215" s="445" t="s">
        <v>1373</v>
      </c>
      <c r="I215" s="89" t="s">
        <v>1078</v>
      </c>
      <c r="K215" s="463" t="s">
        <v>1113</v>
      </c>
    </row>
    <row r="216" spans="1:11" hidden="1" x14ac:dyDescent="0.25">
      <c r="A216" s="46">
        <v>8</v>
      </c>
      <c r="B216" s="44" t="s">
        <v>1082</v>
      </c>
      <c r="C216" s="44" t="s">
        <v>1397</v>
      </c>
      <c r="D216" s="44" t="s">
        <v>1398</v>
      </c>
      <c r="E216" s="45">
        <v>5.7</v>
      </c>
      <c r="F216" s="284">
        <v>2800</v>
      </c>
      <c r="G216" s="284">
        <v>15960</v>
      </c>
      <c r="H216" s="445" t="s">
        <v>1373</v>
      </c>
      <c r="I216" s="89" t="s">
        <v>1078</v>
      </c>
      <c r="K216" s="463" t="s">
        <v>1113</v>
      </c>
    </row>
    <row r="217" spans="1:11" hidden="1" x14ac:dyDescent="0.25">
      <c r="A217" s="46">
        <v>8</v>
      </c>
      <c r="B217" s="44" t="s">
        <v>1082</v>
      </c>
      <c r="C217" s="44" t="s">
        <v>1399</v>
      </c>
      <c r="D217" s="44" t="s">
        <v>1400</v>
      </c>
      <c r="E217" s="45">
        <v>7</v>
      </c>
      <c r="F217" s="284">
        <v>5000</v>
      </c>
      <c r="G217" s="284">
        <v>35000</v>
      </c>
      <c r="H217" s="445" t="s">
        <v>1373</v>
      </c>
      <c r="I217" s="89" t="s">
        <v>1078</v>
      </c>
      <c r="K217" s="463" t="s">
        <v>1113</v>
      </c>
    </row>
    <row r="218" spans="1:11" hidden="1" x14ac:dyDescent="0.25">
      <c r="A218" s="46">
        <v>8</v>
      </c>
      <c r="B218" s="44" t="s">
        <v>1082</v>
      </c>
      <c r="C218" s="44" t="s">
        <v>1401</v>
      </c>
      <c r="D218" s="44" t="s">
        <v>1402</v>
      </c>
      <c r="E218" s="45">
        <v>4.0999999999999996</v>
      </c>
      <c r="F218" s="284">
        <v>5000</v>
      </c>
      <c r="G218" s="284">
        <v>20500</v>
      </c>
      <c r="H218" s="445" t="s">
        <v>1373</v>
      </c>
      <c r="I218" s="89" t="s">
        <v>1078</v>
      </c>
      <c r="K218" s="463" t="s">
        <v>1113</v>
      </c>
    </row>
    <row r="219" spans="1:11" hidden="1" x14ac:dyDescent="0.25">
      <c r="A219" s="46">
        <v>8</v>
      </c>
      <c r="B219" s="44" t="s">
        <v>1082</v>
      </c>
      <c r="C219" s="44" t="s">
        <v>1403</v>
      </c>
      <c r="D219" s="44" t="s">
        <v>1404</v>
      </c>
      <c r="E219" s="45">
        <v>9.3000000000000007</v>
      </c>
      <c r="F219" s="284">
        <v>2000</v>
      </c>
      <c r="G219" s="284">
        <v>18600</v>
      </c>
      <c r="H219" s="445" t="s">
        <v>1373</v>
      </c>
      <c r="I219" s="89" t="s">
        <v>1078</v>
      </c>
      <c r="K219" s="463" t="s">
        <v>1113</v>
      </c>
    </row>
    <row r="220" spans="1:11" hidden="1" x14ac:dyDescent="0.25">
      <c r="A220" s="46">
        <v>8</v>
      </c>
      <c r="B220" s="44" t="s">
        <v>949</v>
      </c>
      <c r="C220" s="44" t="s">
        <v>1209</v>
      </c>
      <c r="D220" s="44" t="s">
        <v>1405</v>
      </c>
      <c r="E220" s="45">
        <v>3</v>
      </c>
      <c r="F220" s="284">
        <v>6200</v>
      </c>
      <c r="G220" s="284">
        <v>18600</v>
      </c>
      <c r="H220" s="44" t="s">
        <v>1406</v>
      </c>
      <c r="I220" s="89" t="s">
        <v>1078</v>
      </c>
      <c r="K220" s="463" t="s">
        <v>1212</v>
      </c>
    </row>
    <row r="221" spans="1:11" hidden="1" x14ac:dyDescent="0.25">
      <c r="A221" s="46">
        <v>8</v>
      </c>
      <c r="B221" s="44" t="s">
        <v>949</v>
      </c>
      <c r="C221" s="44" t="s">
        <v>1213</v>
      </c>
      <c r="D221" s="44" t="s">
        <v>1407</v>
      </c>
      <c r="E221" s="45">
        <v>3</v>
      </c>
      <c r="F221" s="284">
        <v>3000</v>
      </c>
      <c r="G221" s="284">
        <v>9000</v>
      </c>
      <c r="H221" s="44" t="s">
        <v>1406</v>
      </c>
      <c r="I221" s="89" t="s">
        <v>1078</v>
      </c>
      <c r="K221" s="463" t="s">
        <v>1212</v>
      </c>
    </row>
    <row r="222" spans="1:11" hidden="1" x14ac:dyDescent="0.25">
      <c r="A222" s="46">
        <v>8</v>
      </c>
      <c r="B222" s="44" t="s">
        <v>949</v>
      </c>
      <c r="C222" s="44" t="s">
        <v>1408</v>
      </c>
      <c r="D222" s="44" t="s">
        <v>1409</v>
      </c>
      <c r="E222" s="45">
        <v>1</v>
      </c>
      <c r="F222" s="284">
        <v>2500</v>
      </c>
      <c r="G222" s="284">
        <v>2500</v>
      </c>
      <c r="H222" s="44" t="s">
        <v>1406</v>
      </c>
      <c r="I222" s="89" t="s">
        <v>1078</v>
      </c>
      <c r="K222" s="463" t="s">
        <v>1212</v>
      </c>
    </row>
    <row r="223" spans="1:11" hidden="1" x14ac:dyDescent="0.25">
      <c r="A223" s="46">
        <v>8</v>
      </c>
      <c r="B223" s="44" t="s">
        <v>949</v>
      </c>
      <c r="C223" s="44" t="s">
        <v>1225</v>
      </c>
      <c r="D223" s="44" t="s">
        <v>1410</v>
      </c>
      <c r="E223" s="45">
        <v>5</v>
      </c>
      <c r="F223" s="284">
        <v>4600</v>
      </c>
      <c r="G223" s="284">
        <v>23000</v>
      </c>
      <c r="H223" s="44" t="s">
        <v>1406</v>
      </c>
      <c r="I223" s="89" t="s">
        <v>1078</v>
      </c>
      <c r="K223" s="463" t="s">
        <v>1212</v>
      </c>
    </row>
    <row r="224" spans="1:11" hidden="1" x14ac:dyDescent="0.25">
      <c r="A224" s="46">
        <v>8</v>
      </c>
      <c r="B224" s="44" t="s">
        <v>949</v>
      </c>
      <c r="C224" s="44" t="s">
        <v>1227</v>
      </c>
      <c r="D224" s="44" t="s">
        <v>1411</v>
      </c>
      <c r="E224" s="45">
        <v>3</v>
      </c>
      <c r="F224" s="284">
        <v>9600</v>
      </c>
      <c r="G224" s="284">
        <v>28800</v>
      </c>
      <c r="H224" s="44" t="s">
        <v>1406</v>
      </c>
      <c r="I224" s="89" t="s">
        <v>1078</v>
      </c>
      <c r="K224" s="463" t="s">
        <v>1212</v>
      </c>
    </row>
    <row r="225" spans="1:11" hidden="1" x14ac:dyDescent="0.25">
      <c r="A225" s="46">
        <v>8</v>
      </c>
      <c r="B225" s="44" t="s">
        <v>949</v>
      </c>
      <c r="C225" s="44" t="s">
        <v>1412</v>
      </c>
      <c r="D225" s="44" t="s">
        <v>1413</v>
      </c>
      <c r="E225" s="45">
        <v>1</v>
      </c>
      <c r="F225" s="284">
        <v>21700</v>
      </c>
      <c r="G225" s="284">
        <v>21700</v>
      </c>
      <c r="H225" s="44" t="s">
        <v>1406</v>
      </c>
      <c r="I225" s="89" t="s">
        <v>1078</v>
      </c>
      <c r="K225" s="463" t="s">
        <v>1212</v>
      </c>
    </row>
    <row r="226" spans="1:11" hidden="1" x14ac:dyDescent="0.25">
      <c r="A226" s="46">
        <v>8</v>
      </c>
      <c r="B226" s="44" t="s">
        <v>949</v>
      </c>
      <c r="C226" s="44" t="s">
        <v>1229</v>
      </c>
      <c r="D226" s="44" t="s">
        <v>1414</v>
      </c>
      <c r="E226" s="45">
        <v>1</v>
      </c>
      <c r="F226" s="284">
        <v>27500</v>
      </c>
      <c r="G226" s="284">
        <v>27500</v>
      </c>
      <c r="H226" s="44" t="s">
        <v>1406</v>
      </c>
      <c r="I226" s="89" t="s">
        <v>1078</v>
      </c>
      <c r="K226" s="463" t="s">
        <v>1212</v>
      </c>
    </row>
    <row r="227" spans="1:11" hidden="1" x14ac:dyDescent="0.25">
      <c r="A227" s="46">
        <v>8</v>
      </c>
      <c r="B227" s="44" t="s">
        <v>949</v>
      </c>
      <c r="C227" s="44" t="s">
        <v>1415</v>
      </c>
      <c r="D227" s="44" t="s">
        <v>1416</v>
      </c>
      <c r="E227" s="45">
        <v>20</v>
      </c>
      <c r="F227" s="284">
        <v>11200</v>
      </c>
      <c r="G227" s="284">
        <v>224000</v>
      </c>
      <c r="H227" s="44" t="s">
        <v>1406</v>
      </c>
      <c r="I227" s="89" t="s">
        <v>1078</v>
      </c>
      <c r="K227" s="463" t="s">
        <v>1212</v>
      </c>
    </row>
    <row r="228" spans="1:11" hidden="1" x14ac:dyDescent="0.25">
      <c r="A228" s="46">
        <v>8</v>
      </c>
      <c r="B228" s="44" t="s">
        <v>949</v>
      </c>
      <c r="C228" s="44" t="s">
        <v>1417</v>
      </c>
      <c r="D228" s="44" t="s">
        <v>1418</v>
      </c>
      <c r="E228" s="45">
        <v>13</v>
      </c>
      <c r="F228" s="284">
        <v>8600</v>
      </c>
      <c r="G228" s="284">
        <v>111800</v>
      </c>
      <c r="H228" s="44" t="s">
        <v>1406</v>
      </c>
      <c r="I228" s="89" t="s">
        <v>1078</v>
      </c>
      <c r="K228" s="463" t="s">
        <v>1212</v>
      </c>
    </row>
    <row r="229" spans="1:11" hidden="1" x14ac:dyDescent="0.25">
      <c r="A229" s="46">
        <v>8</v>
      </c>
      <c r="B229" s="44" t="s">
        <v>949</v>
      </c>
      <c r="C229" s="44" t="s">
        <v>1419</v>
      </c>
      <c r="D229" s="44" t="s">
        <v>1420</v>
      </c>
      <c r="E229" s="45">
        <v>1</v>
      </c>
      <c r="F229" s="284">
        <v>6800</v>
      </c>
      <c r="G229" s="284">
        <v>6800</v>
      </c>
      <c r="H229" s="44" t="s">
        <v>1406</v>
      </c>
      <c r="I229" s="89" t="s">
        <v>1078</v>
      </c>
      <c r="K229" s="463" t="s">
        <v>1212</v>
      </c>
    </row>
    <row r="230" spans="1:11" hidden="1" x14ac:dyDescent="0.25">
      <c r="A230" s="46">
        <v>8</v>
      </c>
      <c r="B230" s="44" t="s">
        <v>949</v>
      </c>
      <c r="C230" s="44" t="s">
        <v>1239</v>
      </c>
      <c r="D230" s="44" t="s">
        <v>1421</v>
      </c>
      <c r="E230" s="45">
        <v>5</v>
      </c>
      <c r="F230" s="284">
        <v>10600</v>
      </c>
      <c r="G230" s="284">
        <v>53000</v>
      </c>
      <c r="H230" s="44" t="s">
        <v>1406</v>
      </c>
      <c r="I230" s="89" t="s">
        <v>1078</v>
      </c>
      <c r="K230" s="463" t="s">
        <v>1212</v>
      </c>
    </row>
    <row r="231" spans="1:11" hidden="1" x14ac:dyDescent="0.25">
      <c r="A231" s="46">
        <v>8</v>
      </c>
      <c r="B231" s="44" t="s">
        <v>949</v>
      </c>
      <c r="C231" s="44" t="s">
        <v>1243</v>
      </c>
      <c r="D231" s="44" t="s">
        <v>1422</v>
      </c>
      <c r="E231" s="45">
        <v>6</v>
      </c>
      <c r="F231" s="284">
        <v>2100</v>
      </c>
      <c r="G231" s="284">
        <v>12600</v>
      </c>
      <c r="H231" s="44" t="s">
        <v>1406</v>
      </c>
      <c r="I231" s="89" t="s">
        <v>1078</v>
      </c>
      <c r="K231" s="463" t="s">
        <v>1212</v>
      </c>
    </row>
    <row r="232" spans="1:11" hidden="1" x14ac:dyDescent="0.25">
      <c r="A232" s="46">
        <v>8</v>
      </c>
      <c r="B232" s="44" t="s">
        <v>949</v>
      </c>
      <c r="C232" s="44" t="s">
        <v>1247</v>
      </c>
      <c r="D232" s="44" t="s">
        <v>1423</v>
      </c>
      <c r="E232" s="45">
        <v>1</v>
      </c>
      <c r="F232" s="284">
        <v>19850</v>
      </c>
      <c r="G232" s="284">
        <v>19850</v>
      </c>
      <c r="H232" s="44" t="s">
        <v>1406</v>
      </c>
      <c r="I232" s="89" t="s">
        <v>1078</v>
      </c>
      <c r="K232" s="463" t="s">
        <v>1212</v>
      </c>
    </row>
    <row r="233" spans="1:11" hidden="1" x14ac:dyDescent="0.25">
      <c r="A233" s="46">
        <v>8</v>
      </c>
      <c r="B233" s="44" t="s">
        <v>949</v>
      </c>
      <c r="C233" s="44" t="s">
        <v>1424</v>
      </c>
      <c r="D233" s="44" t="s">
        <v>1425</v>
      </c>
      <c r="E233" s="45">
        <v>1</v>
      </c>
      <c r="F233" s="284">
        <v>2000</v>
      </c>
      <c r="G233" s="284">
        <v>2000</v>
      </c>
      <c r="H233" s="44" t="s">
        <v>1406</v>
      </c>
      <c r="I233" s="89" t="s">
        <v>1078</v>
      </c>
      <c r="K233" s="463" t="s">
        <v>1212</v>
      </c>
    </row>
    <row r="234" spans="1:11" hidden="1" x14ac:dyDescent="0.25">
      <c r="A234" s="46">
        <v>8</v>
      </c>
      <c r="B234" s="44" t="s">
        <v>949</v>
      </c>
      <c r="C234" s="44" t="s">
        <v>1426</v>
      </c>
      <c r="D234" s="44" t="s">
        <v>1427</v>
      </c>
      <c r="E234" s="45">
        <v>5</v>
      </c>
      <c r="F234" s="284">
        <v>7600</v>
      </c>
      <c r="G234" s="284">
        <v>38000</v>
      </c>
      <c r="H234" s="44" t="s">
        <v>1406</v>
      </c>
      <c r="I234" s="89" t="s">
        <v>1078</v>
      </c>
      <c r="K234" s="463" t="s">
        <v>1212</v>
      </c>
    </row>
    <row r="235" spans="1:11" hidden="1" x14ac:dyDescent="0.25">
      <c r="A235" s="46">
        <v>8</v>
      </c>
      <c r="B235" s="44" t="s">
        <v>949</v>
      </c>
      <c r="C235" s="44" t="s">
        <v>1259</v>
      </c>
      <c r="D235" s="44" t="s">
        <v>1428</v>
      </c>
      <c r="E235" s="45">
        <v>200</v>
      </c>
      <c r="F235" s="284">
        <v>440</v>
      </c>
      <c r="G235" s="284">
        <v>88000</v>
      </c>
      <c r="H235" s="44" t="s">
        <v>1406</v>
      </c>
      <c r="I235" s="89" t="s">
        <v>1078</v>
      </c>
      <c r="K235" s="463" t="s">
        <v>1212</v>
      </c>
    </row>
    <row r="236" spans="1:11" hidden="1" x14ac:dyDescent="0.25">
      <c r="A236" s="46">
        <v>8</v>
      </c>
      <c r="B236" s="44" t="s">
        <v>949</v>
      </c>
      <c r="C236" s="44" t="s">
        <v>1429</v>
      </c>
      <c r="D236" s="44" t="s">
        <v>1430</v>
      </c>
      <c r="E236" s="45">
        <v>1</v>
      </c>
      <c r="F236" s="284">
        <v>13100</v>
      </c>
      <c r="G236" s="284">
        <v>13100</v>
      </c>
      <c r="H236" s="44" t="s">
        <v>1406</v>
      </c>
      <c r="I236" s="89" t="s">
        <v>1078</v>
      </c>
      <c r="K236" s="463" t="s">
        <v>1212</v>
      </c>
    </row>
    <row r="237" spans="1:11" hidden="1" x14ac:dyDescent="0.25">
      <c r="A237" s="46">
        <v>8</v>
      </c>
      <c r="B237" s="44" t="s">
        <v>949</v>
      </c>
      <c r="C237" s="44" t="s">
        <v>1265</v>
      </c>
      <c r="D237" s="44" t="s">
        <v>1431</v>
      </c>
      <c r="E237" s="45">
        <v>1</v>
      </c>
      <c r="F237" s="284">
        <v>14600</v>
      </c>
      <c r="G237" s="284">
        <v>14600</v>
      </c>
      <c r="H237" s="44" t="s">
        <v>1406</v>
      </c>
      <c r="I237" s="89" t="s">
        <v>1078</v>
      </c>
      <c r="K237" s="463" t="s">
        <v>1212</v>
      </c>
    </row>
    <row r="238" spans="1:11" hidden="1" x14ac:dyDescent="0.25">
      <c r="A238" s="46">
        <v>8</v>
      </c>
      <c r="B238" s="44" t="s">
        <v>949</v>
      </c>
      <c r="C238" s="44" t="s">
        <v>1269</v>
      </c>
      <c r="D238" s="44" t="s">
        <v>1432</v>
      </c>
      <c r="E238" s="45">
        <v>1</v>
      </c>
      <c r="F238" s="284">
        <v>18200</v>
      </c>
      <c r="G238" s="284">
        <v>18200</v>
      </c>
      <c r="H238" s="44" t="s">
        <v>1406</v>
      </c>
      <c r="I238" s="89" t="s">
        <v>1078</v>
      </c>
      <c r="K238" s="463" t="s">
        <v>1212</v>
      </c>
    </row>
    <row r="239" spans="1:11" hidden="1" x14ac:dyDescent="0.25">
      <c r="A239" s="46">
        <v>8</v>
      </c>
      <c r="B239" s="44" t="s">
        <v>949</v>
      </c>
      <c r="C239" s="44" t="s">
        <v>1277</v>
      </c>
      <c r="D239" s="44" t="s">
        <v>1433</v>
      </c>
      <c r="E239" s="45">
        <v>4</v>
      </c>
      <c r="F239" s="284">
        <v>4850</v>
      </c>
      <c r="G239" s="284">
        <v>19400</v>
      </c>
      <c r="H239" s="44" t="s">
        <v>1406</v>
      </c>
      <c r="I239" s="89" t="s">
        <v>1078</v>
      </c>
      <c r="K239" s="463" t="s">
        <v>1212</v>
      </c>
    </row>
    <row r="240" spans="1:11" hidden="1" x14ac:dyDescent="0.25">
      <c r="A240" s="46">
        <v>8</v>
      </c>
      <c r="B240" s="44" t="s">
        <v>949</v>
      </c>
      <c r="C240" s="44" t="s">
        <v>1279</v>
      </c>
      <c r="D240" s="44" t="s">
        <v>1434</v>
      </c>
      <c r="E240" s="45">
        <v>2</v>
      </c>
      <c r="F240" s="284">
        <v>17250</v>
      </c>
      <c r="G240" s="284">
        <v>34500</v>
      </c>
      <c r="H240" s="44" t="s">
        <v>1406</v>
      </c>
      <c r="I240" s="89" t="s">
        <v>1078</v>
      </c>
      <c r="K240" s="463" t="s">
        <v>1212</v>
      </c>
    </row>
    <row r="241" spans="1:11" hidden="1" x14ac:dyDescent="0.25">
      <c r="A241" s="46">
        <v>8</v>
      </c>
      <c r="B241" s="44" t="s">
        <v>949</v>
      </c>
      <c r="C241" s="44" t="s">
        <v>1283</v>
      </c>
      <c r="D241" s="44" t="s">
        <v>1435</v>
      </c>
      <c r="E241" s="45">
        <v>6</v>
      </c>
      <c r="F241" s="284">
        <v>5200</v>
      </c>
      <c r="G241" s="284">
        <v>31200</v>
      </c>
      <c r="H241" s="44" t="s">
        <v>1406</v>
      </c>
      <c r="I241" s="89" t="s">
        <v>1078</v>
      </c>
      <c r="K241" s="463" t="s">
        <v>1212</v>
      </c>
    </row>
    <row r="242" spans="1:11" hidden="1" x14ac:dyDescent="0.25">
      <c r="A242" s="46">
        <v>8</v>
      </c>
      <c r="B242" s="44" t="s">
        <v>949</v>
      </c>
      <c r="C242" s="44" t="s">
        <v>1287</v>
      </c>
      <c r="D242" s="44" t="s">
        <v>1436</v>
      </c>
      <c r="E242" s="45">
        <v>40</v>
      </c>
      <c r="F242" s="284">
        <v>3100</v>
      </c>
      <c r="G242" s="284">
        <v>124000</v>
      </c>
      <c r="H242" s="44" t="s">
        <v>1406</v>
      </c>
      <c r="I242" s="89" t="s">
        <v>1078</v>
      </c>
      <c r="K242" s="463" t="s">
        <v>1212</v>
      </c>
    </row>
    <row r="243" spans="1:11" hidden="1" x14ac:dyDescent="0.25">
      <c r="A243" s="46">
        <v>8</v>
      </c>
      <c r="B243" s="44" t="s">
        <v>949</v>
      </c>
      <c r="C243" s="44" t="s">
        <v>1291</v>
      </c>
      <c r="D243" s="44" t="s">
        <v>1437</v>
      </c>
      <c r="E243" s="45">
        <v>4</v>
      </c>
      <c r="F243" s="284">
        <v>2750</v>
      </c>
      <c r="G243" s="284">
        <v>11000</v>
      </c>
      <c r="H243" s="44" t="s">
        <v>1406</v>
      </c>
      <c r="I243" s="89" t="s">
        <v>1078</v>
      </c>
      <c r="K243" s="463" t="s">
        <v>1212</v>
      </c>
    </row>
    <row r="244" spans="1:11" hidden="1" x14ac:dyDescent="0.25">
      <c r="A244" s="532">
        <v>8</v>
      </c>
      <c r="B244" s="533" t="s">
        <v>1077</v>
      </c>
      <c r="C244" s="533" t="s">
        <v>200</v>
      </c>
      <c r="D244" s="535" t="s">
        <v>312</v>
      </c>
      <c r="E244" s="45">
        <v>14.1</v>
      </c>
      <c r="F244" s="284">
        <v>18500</v>
      </c>
      <c r="G244" s="534">
        <v>260850</v>
      </c>
      <c r="H244" s="445" t="s">
        <v>311</v>
      </c>
      <c r="I244" s="89" t="s">
        <v>1438</v>
      </c>
      <c r="K244" s="463" t="s">
        <v>1092</v>
      </c>
    </row>
    <row r="245" spans="1:11" hidden="1" x14ac:dyDescent="0.25">
      <c r="A245" s="46">
        <v>8</v>
      </c>
      <c r="B245" s="44" t="s">
        <v>1077</v>
      </c>
      <c r="C245" s="44" t="s">
        <v>254</v>
      </c>
      <c r="D245" s="44" t="s">
        <v>314</v>
      </c>
      <c r="E245" s="45">
        <v>13.6</v>
      </c>
      <c r="F245" s="284">
        <v>19500</v>
      </c>
      <c r="G245" s="284">
        <v>265200</v>
      </c>
      <c r="H245" s="44" t="s">
        <v>313</v>
      </c>
      <c r="I245" s="89" t="s">
        <v>1439</v>
      </c>
      <c r="K245" s="463" t="s">
        <v>1303</v>
      </c>
    </row>
    <row r="246" spans="1:11" hidden="1" x14ac:dyDescent="0.25">
      <c r="A246" s="532">
        <v>8</v>
      </c>
      <c r="B246" s="533" t="s">
        <v>1077</v>
      </c>
      <c r="C246" s="533" t="s">
        <v>223</v>
      </c>
      <c r="D246" s="535" t="s">
        <v>315</v>
      </c>
      <c r="E246" s="45">
        <v>14.9</v>
      </c>
      <c r="F246" s="284">
        <v>7500</v>
      </c>
      <c r="G246" s="534">
        <v>111750</v>
      </c>
      <c r="H246" s="445" t="s">
        <v>311</v>
      </c>
      <c r="I246" s="89" t="s">
        <v>1078</v>
      </c>
      <c r="K246" s="463" t="s">
        <v>1092</v>
      </c>
    </row>
    <row r="247" spans="1:11" hidden="1" x14ac:dyDescent="0.25">
      <c r="A247" s="46">
        <v>8</v>
      </c>
      <c r="B247" s="44" t="s">
        <v>1086</v>
      </c>
      <c r="C247" s="44" t="s">
        <v>1440</v>
      </c>
      <c r="D247" s="44" t="s">
        <v>1441</v>
      </c>
      <c r="E247" s="45">
        <v>7</v>
      </c>
      <c r="F247" s="284">
        <v>21000</v>
      </c>
      <c r="G247" s="284">
        <v>147000</v>
      </c>
      <c r="H247" s="44" t="s">
        <v>1442</v>
      </c>
      <c r="I247" s="89" t="s">
        <v>1078</v>
      </c>
      <c r="K247" s="463" t="s">
        <v>1109</v>
      </c>
    </row>
    <row r="248" spans="1:11" hidden="1" x14ac:dyDescent="0.25">
      <c r="A248" s="46">
        <v>8</v>
      </c>
      <c r="B248" s="44" t="s">
        <v>949</v>
      </c>
      <c r="C248" s="44" t="s">
        <v>1443</v>
      </c>
      <c r="D248" s="44" t="s">
        <v>1444</v>
      </c>
      <c r="E248" s="45">
        <v>1</v>
      </c>
      <c r="F248" s="284">
        <v>14000</v>
      </c>
      <c r="G248" s="284">
        <v>14000</v>
      </c>
      <c r="H248" s="44" t="s">
        <v>1442</v>
      </c>
      <c r="I248" s="89" t="s">
        <v>1078</v>
      </c>
      <c r="K248" s="463" t="s">
        <v>1109</v>
      </c>
    </row>
    <row r="249" spans="1:11" hidden="1" x14ac:dyDescent="0.25">
      <c r="A249" s="46">
        <v>8</v>
      </c>
      <c r="B249" s="44" t="s">
        <v>1077</v>
      </c>
      <c r="C249" s="44" t="s">
        <v>233</v>
      </c>
      <c r="D249" s="44" t="s">
        <v>317</v>
      </c>
      <c r="E249" s="45">
        <v>5</v>
      </c>
      <c r="F249" s="284">
        <v>33000</v>
      </c>
      <c r="G249" s="284">
        <v>165000</v>
      </c>
      <c r="H249" s="448" t="s">
        <v>316</v>
      </c>
      <c r="I249" s="89" t="s">
        <v>1078</v>
      </c>
      <c r="K249" s="463" t="s">
        <v>1191</v>
      </c>
    </row>
    <row r="250" spans="1:11" hidden="1" x14ac:dyDescent="0.25">
      <c r="A250" s="46">
        <v>8</v>
      </c>
      <c r="B250" s="44" t="s">
        <v>1077</v>
      </c>
      <c r="C250" s="44" t="s">
        <v>192</v>
      </c>
      <c r="D250" s="44" t="s">
        <v>318</v>
      </c>
      <c r="E250" s="45">
        <v>8.65</v>
      </c>
      <c r="F250" s="284">
        <v>7000</v>
      </c>
      <c r="G250" s="284">
        <v>60550</v>
      </c>
      <c r="H250" s="448" t="s">
        <v>316</v>
      </c>
      <c r="I250" s="89" t="s">
        <v>1078</v>
      </c>
      <c r="K250" s="463" t="s">
        <v>1191</v>
      </c>
    </row>
    <row r="251" spans="1:11" hidden="1" x14ac:dyDescent="0.25">
      <c r="A251" s="46">
        <v>8</v>
      </c>
      <c r="B251" s="44" t="s">
        <v>1102</v>
      </c>
      <c r="C251" s="286" t="s">
        <v>1445</v>
      </c>
      <c r="D251" s="286" t="s">
        <v>1445</v>
      </c>
      <c r="E251" s="45">
        <v>1</v>
      </c>
      <c r="F251" s="287">
        <v>66000</v>
      </c>
      <c r="G251" s="284">
        <v>66000</v>
      </c>
      <c r="H251" s="84" t="s">
        <v>1358</v>
      </c>
      <c r="I251" s="89" t="s">
        <v>1078</v>
      </c>
      <c r="K251" s="463" t="s">
        <v>1108</v>
      </c>
    </row>
    <row r="252" spans="1:11" hidden="1" x14ac:dyDescent="0.25">
      <c r="A252" s="46">
        <v>8</v>
      </c>
      <c r="B252" s="44" t="s">
        <v>1102</v>
      </c>
      <c r="C252" s="286" t="s">
        <v>1446</v>
      </c>
      <c r="D252" s="286" t="s">
        <v>1446</v>
      </c>
      <c r="E252" s="45">
        <v>1</v>
      </c>
      <c r="F252" s="285">
        <v>66000</v>
      </c>
      <c r="G252" s="284">
        <v>66000</v>
      </c>
      <c r="H252" s="84" t="s">
        <v>1358</v>
      </c>
      <c r="I252" s="89" t="s">
        <v>1078</v>
      </c>
      <c r="K252" s="463" t="s">
        <v>1141</v>
      </c>
    </row>
    <row r="253" spans="1:11" hidden="1" x14ac:dyDescent="0.25">
      <c r="A253" s="46">
        <v>8</v>
      </c>
      <c r="B253" s="44" t="s">
        <v>1102</v>
      </c>
      <c r="C253" s="286" t="s">
        <v>766</v>
      </c>
      <c r="D253" s="286" t="s">
        <v>766</v>
      </c>
      <c r="E253" s="45">
        <v>1</v>
      </c>
      <c r="F253" s="285">
        <v>66000</v>
      </c>
      <c r="G253" s="284">
        <v>66000</v>
      </c>
      <c r="H253" s="84" t="s">
        <v>1358</v>
      </c>
      <c r="I253" s="89" t="s">
        <v>1078</v>
      </c>
      <c r="K253" s="463" t="s">
        <v>1108</v>
      </c>
    </row>
    <row r="254" spans="1:11" hidden="1" x14ac:dyDescent="0.25">
      <c r="A254" s="46">
        <v>8</v>
      </c>
      <c r="B254" s="44" t="s">
        <v>1102</v>
      </c>
      <c r="C254" s="286" t="s">
        <v>1447</v>
      </c>
      <c r="D254" s="286" t="s">
        <v>1447</v>
      </c>
      <c r="E254" s="45">
        <v>1</v>
      </c>
      <c r="F254" s="285">
        <v>132000</v>
      </c>
      <c r="G254" s="284">
        <v>132000</v>
      </c>
      <c r="H254" s="84" t="s">
        <v>1358</v>
      </c>
      <c r="I254" s="89" t="s">
        <v>1078</v>
      </c>
      <c r="K254" s="463" t="s">
        <v>1108</v>
      </c>
    </row>
    <row r="255" spans="1:11" hidden="1" x14ac:dyDescent="0.25">
      <c r="A255" s="48">
        <v>8</v>
      </c>
      <c r="B255" s="49" t="s">
        <v>1077</v>
      </c>
      <c r="C255" s="288" t="s">
        <v>320</v>
      </c>
      <c r="D255" s="288" t="s">
        <v>320</v>
      </c>
      <c r="E255" s="50">
        <v>1</v>
      </c>
      <c r="F255" s="289">
        <v>72200</v>
      </c>
      <c r="G255" s="290">
        <v>72200</v>
      </c>
      <c r="H255" s="82" t="s">
        <v>319</v>
      </c>
      <c r="I255" s="89" t="s">
        <v>1078</v>
      </c>
      <c r="K255" s="463" t="s">
        <v>1141</v>
      </c>
    </row>
    <row r="256" spans="1:11" hidden="1" x14ac:dyDescent="0.25">
      <c r="A256" s="48">
        <v>8</v>
      </c>
      <c r="B256" s="49" t="s">
        <v>1102</v>
      </c>
      <c r="C256" s="288" t="s">
        <v>1448</v>
      </c>
      <c r="D256" s="288" t="s">
        <v>1448</v>
      </c>
      <c r="E256" s="50">
        <v>1</v>
      </c>
      <c r="F256" s="289">
        <v>13500</v>
      </c>
      <c r="G256" s="290">
        <v>13500</v>
      </c>
      <c r="H256" s="82" t="s">
        <v>319</v>
      </c>
      <c r="I256" s="89" t="s">
        <v>1078</v>
      </c>
      <c r="K256" s="463" t="s">
        <v>1141</v>
      </c>
    </row>
    <row r="257" spans="1:11" hidden="1" x14ac:dyDescent="0.25">
      <c r="A257" s="48">
        <v>8</v>
      </c>
      <c r="B257" s="49" t="s">
        <v>1102</v>
      </c>
      <c r="C257" s="288" t="s">
        <v>1449</v>
      </c>
      <c r="D257" s="288" t="s">
        <v>1449</v>
      </c>
      <c r="E257" s="50">
        <v>1</v>
      </c>
      <c r="F257" s="291">
        <v>20000</v>
      </c>
      <c r="G257" s="290">
        <v>20000</v>
      </c>
      <c r="H257" s="82" t="s">
        <v>319</v>
      </c>
      <c r="I257" s="89" t="s">
        <v>1078</v>
      </c>
      <c r="K257" s="463" t="s">
        <v>1141</v>
      </c>
    </row>
    <row r="258" spans="1:11" hidden="1" x14ac:dyDescent="0.25">
      <c r="A258" s="48">
        <v>8</v>
      </c>
      <c r="B258" s="49" t="s">
        <v>949</v>
      </c>
      <c r="C258" s="288" t="s">
        <v>1450</v>
      </c>
      <c r="D258" s="288" t="s">
        <v>1450</v>
      </c>
      <c r="E258" s="50">
        <v>1</v>
      </c>
      <c r="F258" s="291">
        <v>90000</v>
      </c>
      <c r="G258" s="290">
        <v>90000</v>
      </c>
      <c r="H258" s="82" t="s">
        <v>319</v>
      </c>
      <c r="I258" s="89" t="s">
        <v>1078</v>
      </c>
      <c r="K258" s="463" t="s">
        <v>1141</v>
      </c>
    </row>
    <row r="259" spans="1:11" hidden="1" x14ac:dyDescent="0.25">
      <c r="A259" s="48">
        <v>8</v>
      </c>
      <c r="B259" s="49" t="s">
        <v>1082</v>
      </c>
      <c r="C259" s="288" t="s">
        <v>1451</v>
      </c>
      <c r="D259" s="288" t="s">
        <v>1451</v>
      </c>
      <c r="E259" s="50">
        <v>1</v>
      </c>
      <c r="F259" s="289">
        <v>81000</v>
      </c>
      <c r="G259" s="290">
        <v>81000</v>
      </c>
      <c r="H259" s="82" t="s">
        <v>319</v>
      </c>
      <c r="I259" s="89" t="s">
        <v>1078</v>
      </c>
      <c r="K259" s="463" t="s">
        <v>1141</v>
      </c>
    </row>
    <row r="260" spans="1:11" hidden="1" x14ac:dyDescent="0.25">
      <c r="A260" s="48">
        <v>8</v>
      </c>
      <c r="B260" s="49" t="s">
        <v>1082</v>
      </c>
      <c r="C260" s="288" t="s">
        <v>1452</v>
      </c>
      <c r="D260" s="288" t="s">
        <v>1452</v>
      </c>
      <c r="E260" s="50">
        <v>1</v>
      </c>
      <c r="F260" s="289">
        <v>5000</v>
      </c>
      <c r="G260" s="290">
        <v>5000</v>
      </c>
      <c r="H260" s="82" t="s">
        <v>319</v>
      </c>
      <c r="I260" s="89" t="s">
        <v>1078</v>
      </c>
      <c r="K260" s="463" t="s">
        <v>1141</v>
      </c>
    </row>
    <row r="261" spans="1:11" hidden="1" x14ac:dyDescent="0.25">
      <c r="A261" s="48">
        <v>8</v>
      </c>
      <c r="B261" s="49" t="s">
        <v>1082</v>
      </c>
      <c r="C261" s="288" t="s">
        <v>1453</v>
      </c>
      <c r="D261" s="288" t="s">
        <v>1453</v>
      </c>
      <c r="E261" s="50">
        <v>1</v>
      </c>
      <c r="F261" s="289">
        <v>86600</v>
      </c>
      <c r="G261" s="290">
        <v>86600</v>
      </c>
      <c r="H261" s="82" t="s">
        <v>319</v>
      </c>
      <c r="I261" s="89" t="s">
        <v>1078</v>
      </c>
      <c r="K261" s="463" t="s">
        <v>1141</v>
      </c>
    </row>
    <row r="262" spans="1:11" hidden="1" x14ac:dyDescent="0.25">
      <c r="A262" s="48">
        <v>8</v>
      </c>
      <c r="B262" s="49" t="s">
        <v>1102</v>
      </c>
      <c r="C262" s="288" t="s">
        <v>1454</v>
      </c>
      <c r="D262" s="288" t="s">
        <v>1454</v>
      </c>
      <c r="E262" s="50">
        <v>1</v>
      </c>
      <c r="F262" s="291">
        <v>130000</v>
      </c>
      <c r="G262" s="290">
        <v>130000</v>
      </c>
      <c r="H262" s="82" t="s">
        <v>319</v>
      </c>
      <c r="I262" s="89" t="s">
        <v>1078</v>
      </c>
      <c r="K262" s="463" t="s">
        <v>1141</v>
      </c>
    </row>
    <row r="263" spans="1:11" hidden="1" x14ac:dyDescent="0.25">
      <c r="A263" s="48">
        <v>8</v>
      </c>
      <c r="B263" s="49" t="s">
        <v>1102</v>
      </c>
      <c r="C263" s="288" t="s">
        <v>1455</v>
      </c>
      <c r="D263" s="288" t="s">
        <v>1455</v>
      </c>
      <c r="E263" s="50">
        <v>1</v>
      </c>
      <c r="F263" s="289">
        <v>35100</v>
      </c>
      <c r="G263" s="290">
        <v>35100</v>
      </c>
      <c r="H263" s="82" t="s">
        <v>319</v>
      </c>
      <c r="I263" s="89" t="s">
        <v>1078</v>
      </c>
      <c r="K263" s="463" t="s">
        <v>1141</v>
      </c>
    </row>
    <row r="264" spans="1:11" hidden="1" x14ac:dyDescent="0.25">
      <c r="A264" s="48">
        <v>8</v>
      </c>
      <c r="B264" s="49" t="s">
        <v>1102</v>
      </c>
      <c r="C264" s="288" t="s">
        <v>1456</v>
      </c>
      <c r="D264" s="288" t="s">
        <v>1456</v>
      </c>
      <c r="E264" s="50">
        <v>1</v>
      </c>
      <c r="F264" s="291">
        <v>20000</v>
      </c>
      <c r="G264" s="290">
        <v>20000</v>
      </c>
      <c r="H264" s="82" t="s">
        <v>319</v>
      </c>
      <c r="I264" s="89" t="s">
        <v>1078</v>
      </c>
      <c r="K264" s="463" t="s">
        <v>1105</v>
      </c>
    </row>
    <row r="265" spans="1:11" hidden="1" x14ac:dyDescent="0.25">
      <c r="A265" s="48">
        <v>8</v>
      </c>
      <c r="B265" s="49" t="s">
        <v>1082</v>
      </c>
      <c r="C265" s="288" t="s">
        <v>1457</v>
      </c>
      <c r="D265" s="288" t="s">
        <v>1457</v>
      </c>
      <c r="E265" s="50">
        <v>1</v>
      </c>
      <c r="F265" s="291">
        <v>66000</v>
      </c>
      <c r="G265" s="290">
        <v>66000</v>
      </c>
      <c r="H265" s="82" t="s">
        <v>319</v>
      </c>
      <c r="I265" s="89" t="s">
        <v>1078</v>
      </c>
      <c r="K265" s="463" t="s">
        <v>1141</v>
      </c>
    </row>
    <row r="266" spans="1:11" hidden="1" x14ac:dyDescent="0.25">
      <c r="A266" s="48">
        <v>8</v>
      </c>
      <c r="B266" s="49" t="s">
        <v>1082</v>
      </c>
      <c r="C266" s="288" t="s">
        <v>1458</v>
      </c>
      <c r="D266" s="288" t="s">
        <v>1458</v>
      </c>
      <c r="E266" s="50">
        <v>1</v>
      </c>
      <c r="F266" s="289">
        <v>78500</v>
      </c>
      <c r="G266" s="290">
        <v>78500</v>
      </c>
      <c r="H266" s="82" t="s">
        <v>319</v>
      </c>
      <c r="I266" s="89" t="s">
        <v>1078</v>
      </c>
      <c r="K266" s="463" t="s">
        <v>1141</v>
      </c>
    </row>
    <row r="267" spans="1:11" hidden="1" x14ac:dyDescent="0.25">
      <c r="A267" s="48">
        <v>8</v>
      </c>
      <c r="B267" s="49" t="s">
        <v>1086</v>
      </c>
      <c r="C267" s="49" t="s">
        <v>1201</v>
      </c>
      <c r="D267" s="49" t="s">
        <v>1459</v>
      </c>
      <c r="E267" s="50">
        <v>15</v>
      </c>
      <c r="F267" s="290">
        <v>15166.67</v>
      </c>
      <c r="G267" s="290">
        <v>227500</v>
      </c>
      <c r="H267" s="49" t="s">
        <v>1460</v>
      </c>
      <c r="I267" s="90" t="s">
        <v>1093</v>
      </c>
      <c r="K267" s="463" t="s">
        <v>1141</v>
      </c>
    </row>
    <row r="268" spans="1:11" hidden="1" x14ac:dyDescent="0.25">
      <c r="A268" s="48">
        <v>8</v>
      </c>
      <c r="B268" s="49" t="s">
        <v>1461</v>
      </c>
      <c r="C268" s="95" t="s">
        <v>1462</v>
      </c>
      <c r="D268" s="95" t="s">
        <v>1463</v>
      </c>
      <c r="E268" s="50">
        <v>1</v>
      </c>
      <c r="F268" s="291">
        <v>54899.46</v>
      </c>
      <c r="G268" s="290">
        <v>54899.46</v>
      </c>
      <c r="H268" s="96" t="s">
        <v>1464</v>
      </c>
      <c r="I268" s="97" t="s">
        <v>1078</v>
      </c>
      <c r="J268" s="98" t="s">
        <v>121</v>
      </c>
      <c r="K268" s="463" t="s">
        <v>1141</v>
      </c>
    </row>
    <row r="269" spans="1:11" hidden="1" x14ac:dyDescent="0.25">
      <c r="A269" s="48">
        <v>8</v>
      </c>
      <c r="B269" s="49" t="s">
        <v>1461</v>
      </c>
      <c r="C269" s="95" t="s">
        <v>1465</v>
      </c>
      <c r="D269" s="95" t="s">
        <v>1466</v>
      </c>
      <c r="E269" s="50">
        <v>1</v>
      </c>
      <c r="F269" s="291">
        <v>74899.789999999994</v>
      </c>
      <c r="G269" s="290">
        <v>74899.789999999994</v>
      </c>
      <c r="H269" s="96" t="s">
        <v>1464</v>
      </c>
      <c r="I269" s="97" t="s">
        <v>1078</v>
      </c>
      <c r="J269" s="98" t="s">
        <v>121</v>
      </c>
      <c r="K269" s="463" t="s">
        <v>1141</v>
      </c>
    </row>
    <row r="270" spans="1:11" hidden="1" x14ac:dyDescent="0.25">
      <c r="A270" s="48">
        <v>8</v>
      </c>
      <c r="B270" s="49" t="s">
        <v>1461</v>
      </c>
      <c r="C270" s="95" t="s">
        <v>1467</v>
      </c>
      <c r="D270" s="95" t="s">
        <v>1468</v>
      </c>
      <c r="E270" s="50">
        <v>1</v>
      </c>
      <c r="F270" s="291">
        <v>4999.1899999999996</v>
      </c>
      <c r="G270" s="290">
        <v>4999.1899999999996</v>
      </c>
      <c r="H270" s="96" t="s">
        <v>1464</v>
      </c>
      <c r="I270" s="97" t="s">
        <v>1078</v>
      </c>
      <c r="J270" s="98" t="s">
        <v>121</v>
      </c>
      <c r="K270" s="463" t="s">
        <v>1141</v>
      </c>
    </row>
    <row r="271" spans="1:11" hidden="1" x14ac:dyDescent="0.25">
      <c r="A271" s="48">
        <v>8</v>
      </c>
      <c r="B271" s="49" t="s">
        <v>1461</v>
      </c>
      <c r="C271" s="95" t="s">
        <v>1469</v>
      </c>
      <c r="D271" s="95" t="s">
        <v>1470</v>
      </c>
      <c r="E271" s="50">
        <v>1</v>
      </c>
      <c r="F271" s="291">
        <v>49900.27</v>
      </c>
      <c r="G271" s="290">
        <v>49900.27</v>
      </c>
      <c r="H271" s="96" t="s">
        <v>1464</v>
      </c>
      <c r="I271" s="97" t="s">
        <v>1078</v>
      </c>
      <c r="J271" s="98" t="s">
        <v>121</v>
      </c>
      <c r="K271" s="463" t="s">
        <v>1141</v>
      </c>
    </row>
    <row r="272" spans="1:11" hidden="1" x14ac:dyDescent="0.25">
      <c r="A272" s="48">
        <v>8</v>
      </c>
      <c r="B272" s="49" t="s">
        <v>1367</v>
      </c>
      <c r="C272" s="95" t="s">
        <v>1087</v>
      </c>
      <c r="D272" s="95" t="s">
        <v>1087</v>
      </c>
      <c r="E272" s="50">
        <v>200</v>
      </c>
      <c r="F272" s="291">
        <v>150</v>
      </c>
      <c r="G272" s="290">
        <v>30000</v>
      </c>
      <c r="H272" s="96" t="s">
        <v>391</v>
      </c>
      <c r="I272" s="97" t="s">
        <v>1078</v>
      </c>
      <c r="J272" s="98" t="s">
        <v>121</v>
      </c>
      <c r="K272" s="463" t="s">
        <v>1090</v>
      </c>
    </row>
    <row r="273" spans="1:11" hidden="1" x14ac:dyDescent="0.25">
      <c r="A273" s="48">
        <v>9</v>
      </c>
      <c r="B273" s="49" t="s">
        <v>1082</v>
      </c>
      <c r="C273" s="49" t="s">
        <v>1111</v>
      </c>
      <c r="D273" s="49" t="s">
        <v>1471</v>
      </c>
      <c r="E273" s="50">
        <v>16</v>
      </c>
      <c r="F273" s="290">
        <v>17500</v>
      </c>
      <c r="G273" s="290">
        <v>280000</v>
      </c>
      <c r="H273" s="446" t="s">
        <v>325</v>
      </c>
      <c r="I273" s="89" t="s">
        <v>1078</v>
      </c>
      <c r="K273" s="463" t="s">
        <v>1113</v>
      </c>
    </row>
    <row r="274" spans="1:11" hidden="1" x14ac:dyDescent="0.25">
      <c r="A274" s="48">
        <v>9</v>
      </c>
      <c r="B274" s="49" t="s">
        <v>1077</v>
      </c>
      <c r="C274" s="49" t="s">
        <v>275</v>
      </c>
      <c r="D274" s="49" t="s">
        <v>326</v>
      </c>
      <c r="E274" s="50">
        <v>20.2</v>
      </c>
      <c r="F274" s="290">
        <v>22900</v>
      </c>
      <c r="G274" s="290">
        <v>462580</v>
      </c>
      <c r="H274" s="446" t="s">
        <v>325</v>
      </c>
      <c r="I274" s="89" t="s">
        <v>1078</v>
      </c>
      <c r="K274" s="463" t="s">
        <v>1113</v>
      </c>
    </row>
    <row r="275" spans="1:11" hidden="1" x14ac:dyDescent="0.25">
      <c r="A275" s="48">
        <v>9</v>
      </c>
      <c r="B275" s="49" t="s">
        <v>1077</v>
      </c>
      <c r="C275" s="49" t="s">
        <v>210</v>
      </c>
      <c r="D275" s="49" t="s">
        <v>327</v>
      </c>
      <c r="E275" s="50">
        <v>28.6</v>
      </c>
      <c r="F275" s="290">
        <v>15900</v>
      </c>
      <c r="G275" s="290">
        <v>454740</v>
      </c>
      <c r="H275" s="446" t="s">
        <v>325</v>
      </c>
      <c r="I275" s="89" t="s">
        <v>1078</v>
      </c>
      <c r="K275" s="463" t="s">
        <v>1113</v>
      </c>
    </row>
    <row r="276" spans="1:11" hidden="1" x14ac:dyDescent="0.25">
      <c r="A276" s="48">
        <v>9</v>
      </c>
      <c r="B276" s="49" t="s">
        <v>1077</v>
      </c>
      <c r="C276" s="49" t="s">
        <v>212</v>
      </c>
      <c r="D276" s="49" t="s">
        <v>328</v>
      </c>
      <c r="E276" s="50">
        <v>24.7</v>
      </c>
      <c r="F276" s="290">
        <v>23900</v>
      </c>
      <c r="G276" s="290">
        <v>590330</v>
      </c>
      <c r="H276" s="446" t="s">
        <v>325</v>
      </c>
      <c r="I276" s="89" t="s">
        <v>1078</v>
      </c>
      <c r="K276" s="463" t="s">
        <v>1113</v>
      </c>
    </row>
    <row r="277" spans="1:11" hidden="1" x14ac:dyDescent="0.25">
      <c r="A277" s="48">
        <v>9</v>
      </c>
      <c r="B277" s="49" t="s">
        <v>1077</v>
      </c>
      <c r="C277" s="49" t="s">
        <v>214</v>
      </c>
      <c r="D277" s="49" t="s">
        <v>329</v>
      </c>
      <c r="E277" s="50">
        <v>22.18</v>
      </c>
      <c r="F277" s="290">
        <v>25900</v>
      </c>
      <c r="G277" s="290">
        <v>574462</v>
      </c>
      <c r="H277" s="446" t="s">
        <v>325</v>
      </c>
      <c r="I277" s="89" t="s">
        <v>1078</v>
      </c>
      <c r="K277" s="463" t="s">
        <v>1113</v>
      </c>
    </row>
    <row r="278" spans="1:11" hidden="1" x14ac:dyDescent="0.25">
      <c r="A278" s="48">
        <v>9</v>
      </c>
      <c r="B278" s="49" t="s">
        <v>1077</v>
      </c>
      <c r="C278" s="49" t="s">
        <v>288</v>
      </c>
      <c r="D278" s="49" t="s">
        <v>330</v>
      </c>
      <c r="E278" s="50">
        <v>68.7</v>
      </c>
      <c r="F278" s="290">
        <v>21900</v>
      </c>
      <c r="G278" s="290">
        <v>1504530</v>
      </c>
      <c r="H278" s="446" t="s">
        <v>325</v>
      </c>
      <c r="I278" s="89" t="s">
        <v>1078</v>
      </c>
      <c r="K278" s="463" t="s">
        <v>1113</v>
      </c>
    </row>
    <row r="279" spans="1:11" hidden="1" x14ac:dyDescent="0.25">
      <c r="A279" s="48">
        <v>9</v>
      </c>
      <c r="B279" s="49" t="s">
        <v>1077</v>
      </c>
      <c r="C279" s="49" t="s">
        <v>331</v>
      </c>
      <c r="D279" s="49" t="s">
        <v>332</v>
      </c>
      <c r="E279" s="50">
        <v>17.260000000000002</v>
      </c>
      <c r="F279" s="290">
        <v>11500</v>
      </c>
      <c r="G279" s="290">
        <v>198490</v>
      </c>
      <c r="H279" s="446" t="s">
        <v>325</v>
      </c>
      <c r="I279" s="89" t="s">
        <v>1078</v>
      </c>
      <c r="K279" s="463" t="s">
        <v>1113</v>
      </c>
    </row>
    <row r="280" spans="1:11" hidden="1" x14ac:dyDescent="0.25">
      <c r="A280" s="48">
        <v>9</v>
      </c>
      <c r="B280" s="49" t="s">
        <v>91</v>
      </c>
      <c r="C280" s="49" t="s">
        <v>561</v>
      </c>
      <c r="D280" s="49" t="s">
        <v>562</v>
      </c>
      <c r="E280" s="50">
        <v>720</v>
      </c>
      <c r="F280" s="290">
        <v>700</v>
      </c>
      <c r="G280" s="290">
        <v>504000</v>
      </c>
      <c r="H280" s="49" t="s">
        <v>560</v>
      </c>
      <c r="I280" s="89" t="s">
        <v>1078</v>
      </c>
      <c r="K280" s="463" t="s">
        <v>1212</v>
      </c>
    </row>
    <row r="281" spans="1:11" hidden="1" x14ac:dyDescent="0.25">
      <c r="A281" s="48">
        <v>9</v>
      </c>
      <c r="B281" s="49" t="s">
        <v>949</v>
      </c>
      <c r="C281" s="49" t="s">
        <v>1225</v>
      </c>
      <c r="D281" s="49" t="s">
        <v>1472</v>
      </c>
      <c r="E281" s="50">
        <v>10</v>
      </c>
      <c r="F281" s="290">
        <v>4600</v>
      </c>
      <c r="G281" s="290">
        <v>46000</v>
      </c>
      <c r="H281" s="49" t="s">
        <v>560</v>
      </c>
      <c r="I281" s="89" t="s">
        <v>1078</v>
      </c>
      <c r="K281" s="463" t="s">
        <v>1212</v>
      </c>
    </row>
    <row r="282" spans="1:11" hidden="1" x14ac:dyDescent="0.25">
      <c r="A282" s="48">
        <v>9</v>
      </c>
      <c r="B282" s="49" t="s">
        <v>949</v>
      </c>
      <c r="C282" s="49" t="s">
        <v>1227</v>
      </c>
      <c r="D282" s="49" t="s">
        <v>1473</v>
      </c>
      <c r="E282" s="50">
        <v>10</v>
      </c>
      <c r="F282" s="290">
        <v>5550</v>
      </c>
      <c r="G282" s="290">
        <v>55500</v>
      </c>
      <c r="H282" s="49" t="s">
        <v>560</v>
      </c>
      <c r="I282" s="89" t="s">
        <v>1078</v>
      </c>
      <c r="K282" s="463" t="s">
        <v>1212</v>
      </c>
    </row>
    <row r="283" spans="1:11" hidden="1" x14ac:dyDescent="0.25">
      <c r="A283" s="48">
        <v>9</v>
      </c>
      <c r="B283" s="49" t="s">
        <v>949</v>
      </c>
      <c r="C283" s="49" t="s">
        <v>1474</v>
      </c>
      <c r="D283" s="49" t="s">
        <v>1475</v>
      </c>
      <c r="E283" s="50">
        <v>12</v>
      </c>
      <c r="F283" s="290">
        <v>3000</v>
      </c>
      <c r="G283" s="290">
        <v>36000</v>
      </c>
      <c r="H283" s="49" t="s">
        <v>560</v>
      </c>
      <c r="I283" s="89" t="s">
        <v>1078</v>
      </c>
      <c r="K283" s="463" t="s">
        <v>1212</v>
      </c>
    </row>
    <row r="284" spans="1:11" hidden="1" x14ac:dyDescent="0.25">
      <c r="A284" s="48">
        <v>9</v>
      </c>
      <c r="B284" s="49" t="s">
        <v>949</v>
      </c>
      <c r="C284" s="49" t="s">
        <v>1415</v>
      </c>
      <c r="D284" s="49" t="s">
        <v>1476</v>
      </c>
      <c r="E284" s="50">
        <v>20</v>
      </c>
      <c r="F284" s="290">
        <v>11200</v>
      </c>
      <c r="G284" s="290">
        <v>224000</v>
      </c>
      <c r="H284" s="49" t="s">
        <v>560</v>
      </c>
      <c r="I284" s="89" t="s">
        <v>1078</v>
      </c>
      <c r="K284" s="463" t="s">
        <v>1212</v>
      </c>
    </row>
    <row r="285" spans="1:11" hidden="1" x14ac:dyDescent="0.25">
      <c r="A285" s="48">
        <v>9</v>
      </c>
      <c r="B285" s="49" t="s">
        <v>949</v>
      </c>
      <c r="C285" s="49" t="s">
        <v>1417</v>
      </c>
      <c r="D285" s="49" t="s">
        <v>1477</v>
      </c>
      <c r="E285" s="50">
        <v>50</v>
      </c>
      <c r="F285" s="290">
        <v>9100</v>
      </c>
      <c r="G285" s="290">
        <v>455000</v>
      </c>
      <c r="H285" s="49" t="s">
        <v>560</v>
      </c>
      <c r="I285" s="89" t="s">
        <v>1078</v>
      </c>
      <c r="K285" s="463" t="s">
        <v>1212</v>
      </c>
    </row>
    <row r="286" spans="1:11" hidden="1" x14ac:dyDescent="0.25">
      <c r="A286" s="48">
        <v>9</v>
      </c>
      <c r="B286" s="49" t="s">
        <v>949</v>
      </c>
      <c r="C286" s="49" t="s">
        <v>1235</v>
      </c>
      <c r="D286" s="49" t="s">
        <v>1478</v>
      </c>
      <c r="E286" s="50">
        <v>850</v>
      </c>
      <c r="F286" s="290">
        <v>390</v>
      </c>
      <c r="G286" s="290">
        <v>331500</v>
      </c>
      <c r="H286" s="49" t="s">
        <v>560</v>
      </c>
      <c r="I286" s="89" t="s">
        <v>1078</v>
      </c>
      <c r="K286" s="463" t="s">
        <v>1212</v>
      </c>
    </row>
    <row r="287" spans="1:11" hidden="1" x14ac:dyDescent="0.25">
      <c r="A287" s="48">
        <v>9</v>
      </c>
      <c r="B287" s="49" t="s">
        <v>949</v>
      </c>
      <c r="C287" s="49" t="s">
        <v>1259</v>
      </c>
      <c r="D287" s="49" t="s">
        <v>1479</v>
      </c>
      <c r="E287" s="50">
        <v>1200</v>
      </c>
      <c r="F287" s="290">
        <v>440</v>
      </c>
      <c r="G287" s="290">
        <v>528000</v>
      </c>
      <c r="H287" s="49" t="s">
        <v>560</v>
      </c>
      <c r="I287" s="89" t="s">
        <v>1078</v>
      </c>
      <c r="K287" s="463" t="s">
        <v>1212</v>
      </c>
    </row>
    <row r="288" spans="1:11" hidden="1" x14ac:dyDescent="0.25">
      <c r="A288" s="48">
        <v>9</v>
      </c>
      <c r="B288" s="49" t="s">
        <v>949</v>
      </c>
      <c r="C288" s="49" t="s">
        <v>1277</v>
      </c>
      <c r="D288" s="49" t="s">
        <v>1480</v>
      </c>
      <c r="E288" s="50">
        <v>24</v>
      </c>
      <c r="F288" s="290">
        <v>4850</v>
      </c>
      <c r="G288" s="290">
        <v>116400</v>
      </c>
      <c r="H288" s="49" t="s">
        <v>560</v>
      </c>
      <c r="I288" s="89" t="s">
        <v>1078</v>
      </c>
      <c r="K288" s="463" t="s">
        <v>1212</v>
      </c>
    </row>
    <row r="289" spans="1:11" hidden="1" x14ac:dyDescent="0.25">
      <c r="A289" s="48">
        <v>9</v>
      </c>
      <c r="B289" s="49" t="s">
        <v>949</v>
      </c>
      <c r="C289" s="49" t="s">
        <v>1291</v>
      </c>
      <c r="D289" s="49" t="s">
        <v>1481</v>
      </c>
      <c r="E289" s="50">
        <v>24</v>
      </c>
      <c r="F289" s="290">
        <v>2750</v>
      </c>
      <c r="G289" s="290">
        <v>66000</v>
      </c>
      <c r="H289" s="49" t="s">
        <v>560</v>
      </c>
      <c r="I289" s="89" t="s">
        <v>1078</v>
      </c>
      <c r="K289" s="463" t="s">
        <v>1212</v>
      </c>
    </row>
    <row r="290" spans="1:11" hidden="1" x14ac:dyDescent="0.25">
      <c r="A290" s="48">
        <v>9</v>
      </c>
      <c r="B290" s="49" t="s">
        <v>1077</v>
      </c>
      <c r="C290" s="49" t="s">
        <v>297</v>
      </c>
      <c r="D290" s="49" t="s">
        <v>334</v>
      </c>
      <c r="E290" s="50">
        <v>38.4</v>
      </c>
      <c r="F290" s="290">
        <v>11000</v>
      </c>
      <c r="G290" s="290">
        <v>422400</v>
      </c>
      <c r="H290" s="49" t="s">
        <v>333</v>
      </c>
      <c r="I290" s="90" t="s">
        <v>1093</v>
      </c>
      <c r="K290" s="463" t="s">
        <v>1354</v>
      </c>
    </row>
    <row r="291" spans="1:11" hidden="1" x14ac:dyDescent="0.25">
      <c r="A291" s="48">
        <v>9</v>
      </c>
      <c r="B291" s="49" t="s">
        <v>949</v>
      </c>
      <c r="C291" s="49" t="s">
        <v>1482</v>
      </c>
      <c r="D291" s="49" t="s">
        <v>1483</v>
      </c>
      <c r="E291" s="50">
        <v>1</v>
      </c>
      <c r="F291" s="290">
        <v>4500</v>
      </c>
      <c r="G291" s="290">
        <v>4500</v>
      </c>
      <c r="H291" s="49" t="s">
        <v>333</v>
      </c>
      <c r="I291" s="89" t="s">
        <v>1078</v>
      </c>
      <c r="K291" s="463" t="s">
        <v>1141</v>
      </c>
    </row>
    <row r="292" spans="1:11" hidden="1" x14ac:dyDescent="0.25">
      <c r="A292" s="48">
        <v>9</v>
      </c>
      <c r="B292" s="49" t="s">
        <v>1077</v>
      </c>
      <c r="C292" s="49" t="s">
        <v>200</v>
      </c>
      <c r="D292" s="49" t="s">
        <v>336</v>
      </c>
      <c r="E292" s="50">
        <v>13.6</v>
      </c>
      <c r="F292" s="290">
        <v>18500</v>
      </c>
      <c r="G292" s="290">
        <v>251600</v>
      </c>
      <c r="H292" s="446" t="s">
        <v>335</v>
      </c>
      <c r="I292" s="89" t="s">
        <v>1078</v>
      </c>
      <c r="K292" s="463" t="s">
        <v>1092</v>
      </c>
    </row>
    <row r="293" spans="1:11" hidden="1" x14ac:dyDescent="0.25">
      <c r="A293" s="48">
        <v>9</v>
      </c>
      <c r="B293" s="49" t="s">
        <v>1077</v>
      </c>
      <c r="C293" s="49" t="s">
        <v>223</v>
      </c>
      <c r="D293" s="49" t="s">
        <v>337</v>
      </c>
      <c r="E293" s="50">
        <v>43.4</v>
      </c>
      <c r="F293" s="290">
        <v>7500</v>
      </c>
      <c r="G293" s="290">
        <v>325500</v>
      </c>
      <c r="H293" s="446" t="s">
        <v>335</v>
      </c>
      <c r="I293" s="89" t="s">
        <v>1078</v>
      </c>
      <c r="K293" s="463" t="s">
        <v>1092</v>
      </c>
    </row>
    <row r="294" spans="1:11" hidden="1" x14ac:dyDescent="0.25">
      <c r="A294" s="48">
        <v>9</v>
      </c>
      <c r="B294" s="49" t="s">
        <v>949</v>
      </c>
      <c r="C294" s="49" t="s">
        <v>965</v>
      </c>
      <c r="D294" s="49" t="s">
        <v>1484</v>
      </c>
      <c r="E294" s="50">
        <v>1</v>
      </c>
      <c r="F294" s="290">
        <v>25000</v>
      </c>
      <c r="G294" s="290">
        <v>25000</v>
      </c>
      <c r="H294" s="49" t="s">
        <v>1485</v>
      </c>
      <c r="I294" s="89" t="s">
        <v>1078</v>
      </c>
      <c r="K294" s="463" t="s">
        <v>1109</v>
      </c>
    </row>
    <row r="295" spans="1:11" hidden="1" x14ac:dyDescent="0.25">
      <c r="A295" s="48">
        <v>9</v>
      </c>
      <c r="B295" s="49" t="s">
        <v>1102</v>
      </c>
      <c r="C295" s="49" t="s">
        <v>1103</v>
      </c>
      <c r="D295" s="49" t="s">
        <v>1486</v>
      </c>
      <c r="E295" s="50">
        <v>1</v>
      </c>
      <c r="F295" s="290">
        <v>30000</v>
      </c>
      <c r="G295" s="290">
        <v>30000</v>
      </c>
      <c r="H295" s="49" t="s">
        <v>1485</v>
      </c>
      <c r="I295" s="89" t="s">
        <v>1078</v>
      </c>
      <c r="K295" s="463" t="s">
        <v>1105</v>
      </c>
    </row>
    <row r="296" spans="1:11" hidden="1" x14ac:dyDescent="0.25">
      <c r="A296" s="48">
        <v>9</v>
      </c>
      <c r="B296" s="49" t="s">
        <v>91</v>
      </c>
      <c r="C296" s="49" t="s">
        <v>564</v>
      </c>
      <c r="D296" s="49" t="s">
        <v>565</v>
      </c>
      <c r="E296" s="50">
        <v>7</v>
      </c>
      <c r="F296" s="290">
        <v>2166.67</v>
      </c>
      <c r="G296" s="290">
        <v>15166.68</v>
      </c>
      <c r="H296" s="446" t="s">
        <v>563</v>
      </c>
      <c r="I296" s="89" t="s">
        <v>1078</v>
      </c>
      <c r="K296" s="463" t="s">
        <v>1487</v>
      </c>
    </row>
    <row r="297" spans="1:11" hidden="1" x14ac:dyDescent="0.25">
      <c r="A297" s="48">
        <v>9</v>
      </c>
      <c r="B297" s="49" t="s">
        <v>91</v>
      </c>
      <c r="C297" s="49" t="s">
        <v>566</v>
      </c>
      <c r="D297" s="49" t="s">
        <v>567</v>
      </c>
      <c r="E297" s="50">
        <v>8</v>
      </c>
      <c r="F297" s="290">
        <v>2166.67</v>
      </c>
      <c r="G297" s="290">
        <v>17333.349999999999</v>
      </c>
      <c r="H297" s="446" t="s">
        <v>563</v>
      </c>
      <c r="I297" s="89" t="s">
        <v>1078</v>
      </c>
      <c r="K297" s="463" t="s">
        <v>1487</v>
      </c>
    </row>
    <row r="298" spans="1:11" hidden="1" x14ac:dyDescent="0.25">
      <c r="A298" s="48">
        <v>9</v>
      </c>
      <c r="B298" s="49" t="s">
        <v>91</v>
      </c>
      <c r="C298" s="49" t="s">
        <v>568</v>
      </c>
      <c r="D298" s="49" t="s">
        <v>569</v>
      </c>
      <c r="E298" s="50">
        <v>15</v>
      </c>
      <c r="F298" s="290">
        <v>2166.67</v>
      </c>
      <c r="G298" s="290">
        <v>32500.03</v>
      </c>
      <c r="H298" s="446" t="s">
        <v>563</v>
      </c>
      <c r="I298" s="89" t="s">
        <v>1078</v>
      </c>
      <c r="K298" s="463" t="s">
        <v>1487</v>
      </c>
    </row>
    <row r="299" spans="1:11" hidden="1" x14ac:dyDescent="0.25">
      <c r="A299" s="48">
        <v>9</v>
      </c>
      <c r="B299" s="49" t="s">
        <v>91</v>
      </c>
      <c r="C299" s="49" t="s">
        <v>570</v>
      </c>
      <c r="D299" s="49" t="s">
        <v>571</v>
      </c>
      <c r="E299" s="50">
        <v>24</v>
      </c>
      <c r="F299" s="290">
        <v>1500</v>
      </c>
      <c r="G299" s="290">
        <v>36000</v>
      </c>
      <c r="H299" s="446" t="s">
        <v>563</v>
      </c>
      <c r="I299" s="89" t="s">
        <v>1078</v>
      </c>
      <c r="K299" s="463" t="s">
        <v>1487</v>
      </c>
    </row>
    <row r="300" spans="1:11" hidden="1" x14ac:dyDescent="0.25">
      <c r="A300" s="48">
        <v>9</v>
      </c>
      <c r="B300" s="49" t="s">
        <v>91</v>
      </c>
      <c r="C300" s="49" t="s">
        <v>572</v>
      </c>
      <c r="D300" s="49" t="s">
        <v>573</v>
      </c>
      <c r="E300" s="50">
        <v>48</v>
      </c>
      <c r="F300" s="290">
        <v>1333.33</v>
      </c>
      <c r="G300" s="290">
        <v>63999.839999999997</v>
      </c>
      <c r="H300" s="446" t="s">
        <v>563</v>
      </c>
      <c r="I300" s="89" t="s">
        <v>1078</v>
      </c>
      <c r="K300" s="463" t="s">
        <v>1487</v>
      </c>
    </row>
    <row r="301" spans="1:11" hidden="1" x14ac:dyDescent="0.25">
      <c r="A301" s="48">
        <v>9</v>
      </c>
      <c r="B301" s="49" t="s">
        <v>91</v>
      </c>
      <c r="C301" s="49" t="s">
        <v>574</v>
      </c>
      <c r="D301" s="49" t="s">
        <v>575</v>
      </c>
      <c r="E301" s="50">
        <v>90</v>
      </c>
      <c r="F301" s="290">
        <v>1916.67</v>
      </c>
      <c r="G301" s="290">
        <v>172500.3</v>
      </c>
      <c r="H301" s="446" t="s">
        <v>563</v>
      </c>
      <c r="I301" s="89" t="s">
        <v>1078</v>
      </c>
      <c r="K301" s="463" t="s">
        <v>1487</v>
      </c>
    </row>
    <row r="302" spans="1:11" hidden="1" x14ac:dyDescent="0.25">
      <c r="A302" s="48">
        <v>9</v>
      </c>
      <c r="B302" s="49" t="s">
        <v>91</v>
      </c>
      <c r="C302" s="49" t="s">
        <v>576</v>
      </c>
      <c r="D302" s="49" t="s">
        <v>577</v>
      </c>
      <c r="E302" s="50">
        <v>15</v>
      </c>
      <c r="F302" s="290">
        <v>1726.67</v>
      </c>
      <c r="G302" s="290">
        <v>25899.99</v>
      </c>
      <c r="H302" s="446" t="s">
        <v>563</v>
      </c>
      <c r="I302" s="89" t="s">
        <v>1078</v>
      </c>
      <c r="K302" s="463" t="s">
        <v>1487</v>
      </c>
    </row>
    <row r="303" spans="1:11" hidden="1" x14ac:dyDescent="0.25">
      <c r="A303" s="48">
        <v>9</v>
      </c>
      <c r="B303" s="49" t="s">
        <v>91</v>
      </c>
      <c r="C303" s="49" t="s">
        <v>578</v>
      </c>
      <c r="D303" s="49" t="s">
        <v>579</v>
      </c>
      <c r="E303" s="50">
        <v>15</v>
      </c>
      <c r="F303" s="290">
        <v>1726.67</v>
      </c>
      <c r="G303" s="290">
        <v>25899.99</v>
      </c>
      <c r="H303" s="446" t="s">
        <v>563</v>
      </c>
      <c r="I303" s="89" t="s">
        <v>1078</v>
      </c>
      <c r="K303" s="463" t="s">
        <v>1487</v>
      </c>
    </row>
    <row r="304" spans="1:11" hidden="1" x14ac:dyDescent="0.25">
      <c r="A304" s="48">
        <v>9</v>
      </c>
      <c r="B304" s="49" t="s">
        <v>91</v>
      </c>
      <c r="C304" s="49" t="s">
        <v>580</v>
      </c>
      <c r="D304" s="49" t="s">
        <v>581</v>
      </c>
      <c r="E304" s="50">
        <v>15</v>
      </c>
      <c r="F304" s="290">
        <v>1726.67</v>
      </c>
      <c r="G304" s="290">
        <v>25899.99</v>
      </c>
      <c r="H304" s="446" t="s">
        <v>563</v>
      </c>
      <c r="I304" s="89" t="s">
        <v>1078</v>
      </c>
      <c r="K304" s="463" t="s">
        <v>1487</v>
      </c>
    </row>
    <row r="305" spans="1:11" hidden="1" x14ac:dyDescent="0.25">
      <c r="A305" s="48">
        <v>9</v>
      </c>
      <c r="B305" s="49" t="s">
        <v>91</v>
      </c>
      <c r="C305" s="49" t="s">
        <v>582</v>
      </c>
      <c r="D305" s="49" t="s">
        <v>583</v>
      </c>
      <c r="E305" s="50">
        <v>15</v>
      </c>
      <c r="F305" s="290">
        <v>1726.67</v>
      </c>
      <c r="G305" s="290">
        <v>25899.99</v>
      </c>
      <c r="H305" s="446" t="s">
        <v>563</v>
      </c>
      <c r="I305" s="89" t="s">
        <v>1078</v>
      </c>
      <c r="K305" s="463" t="s">
        <v>1487</v>
      </c>
    </row>
    <row r="306" spans="1:11" hidden="1" x14ac:dyDescent="0.25">
      <c r="A306" s="48">
        <v>9</v>
      </c>
      <c r="B306" s="49" t="s">
        <v>91</v>
      </c>
      <c r="C306" s="49" t="s">
        <v>584</v>
      </c>
      <c r="D306" s="49" t="s">
        <v>585</v>
      </c>
      <c r="E306" s="50">
        <v>30</v>
      </c>
      <c r="F306" s="290">
        <v>1500</v>
      </c>
      <c r="G306" s="290">
        <v>44999.85</v>
      </c>
      <c r="H306" s="446" t="s">
        <v>563</v>
      </c>
      <c r="I306" s="89" t="s">
        <v>1078</v>
      </c>
      <c r="K306" s="463" t="s">
        <v>1487</v>
      </c>
    </row>
    <row r="307" spans="1:11" hidden="1" x14ac:dyDescent="0.25">
      <c r="A307" s="48">
        <v>9</v>
      </c>
      <c r="B307" s="49" t="s">
        <v>91</v>
      </c>
      <c r="C307" s="49" t="s">
        <v>586</v>
      </c>
      <c r="D307" s="49" t="s">
        <v>587</v>
      </c>
      <c r="E307" s="50">
        <v>12</v>
      </c>
      <c r="F307" s="290">
        <v>3750</v>
      </c>
      <c r="G307" s="290">
        <v>44999.99</v>
      </c>
      <c r="H307" s="446" t="s">
        <v>563</v>
      </c>
      <c r="I307" s="89" t="s">
        <v>1078</v>
      </c>
      <c r="K307" s="463" t="s">
        <v>1487</v>
      </c>
    </row>
    <row r="308" spans="1:11" hidden="1" x14ac:dyDescent="0.25">
      <c r="A308" s="48">
        <v>9</v>
      </c>
      <c r="B308" s="49" t="s">
        <v>91</v>
      </c>
      <c r="C308" s="49" t="s">
        <v>588</v>
      </c>
      <c r="D308" s="49" t="s">
        <v>589</v>
      </c>
      <c r="E308" s="50">
        <v>12</v>
      </c>
      <c r="F308" s="290">
        <v>3750</v>
      </c>
      <c r="G308" s="290">
        <v>44999.99</v>
      </c>
      <c r="H308" s="446" t="s">
        <v>563</v>
      </c>
      <c r="I308" s="89" t="s">
        <v>1078</v>
      </c>
      <c r="K308" s="463" t="s">
        <v>1487</v>
      </c>
    </row>
    <row r="309" spans="1:11" hidden="1" x14ac:dyDescent="0.25">
      <c r="A309" s="48">
        <v>9</v>
      </c>
      <c r="B309" s="49" t="s">
        <v>91</v>
      </c>
      <c r="C309" s="49" t="s">
        <v>590</v>
      </c>
      <c r="D309" s="49" t="s">
        <v>591</v>
      </c>
      <c r="E309" s="50">
        <v>12</v>
      </c>
      <c r="F309" s="290">
        <v>3750</v>
      </c>
      <c r="G309" s="290">
        <v>45000.01</v>
      </c>
      <c r="H309" s="446" t="s">
        <v>563</v>
      </c>
      <c r="I309" s="89" t="s">
        <v>1078</v>
      </c>
      <c r="K309" s="463" t="s">
        <v>1487</v>
      </c>
    </row>
    <row r="310" spans="1:11" hidden="1" x14ac:dyDescent="0.25">
      <c r="A310" s="48">
        <v>9</v>
      </c>
      <c r="B310" s="49" t="s">
        <v>1086</v>
      </c>
      <c r="C310" s="49" t="s">
        <v>1307</v>
      </c>
      <c r="D310" s="49" t="s">
        <v>1488</v>
      </c>
      <c r="E310" s="50">
        <v>25</v>
      </c>
      <c r="F310" s="290">
        <v>1890</v>
      </c>
      <c r="G310" s="290">
        <v>47250</v>
      </c>
      <c r="H310" s="49" t="s">
        <v>1489</v>
      </c>
      <c r="I310" s="89" t="s">
        <v>1078</v>
      </c>
      <c r="K310" s="463" t="s">
        <v>1187</v>
      </c>
    </row>
    <row r="311" spans="1:11" hidden="1" x14ac:dyDescent="0.25">
      <c r="A311" s="48">
        <v>9</v>
      </c>
      <c r="B311" s="49" t="s">
        <v>1086</v>
      </c>
      <c r="C311" s="49" t="s">
        <v>1490</v>
      </c>
      <c r="D311" s="49" t="s">
        <v>1491</v>
      </c>
      <c r="E311" s="50">
        <v>14</v>
      </c>
      <c r="F311" s="290">
        <v>5490</v>
      </c>
      <c r="G311" s="290">
        <v>76860</v>
      </c>
      <c r="H311" s="49" t="s">
        <v>1492</v>
      </c>
      <c r="I311" s="89" t="s">
        <v>1078</v>
      </c>
      <c r="K311" s="463" t="s">
        <v>1187</v>
      </c>
    </row>
    <row r="312" spans="1:11" hidden="1" x14ac:dyDescent="0.25">
      <c r="A312" s="48">
        <v>9</v>
      </c>
      <c r="B312" s="49" t="s">
        <v>1077</v>
      </c>
      <c r="C312" s="49" t="s">
        <v>254</v>
      </c>
      <c r="D312" s="49" t="s">
        <v>339</v>
      </c>
      <c r="E312" s="50">
        <v>27.9</v>
      </c>
      <c r="F312" s="290">
        <v>18500</v>
      </c>
      <c r="G312" s="290">
        <v>516150</v>
      </c>
      <c r="H312" s="454" t="s">
        <v>338</v>
      </c>
      <c r="I312" s="89" t="s">
        <v>1078</v>
      </c>
      <c r="K312" s="463" t="s">
        <v>1191</v>
      </c>
    </row>
    <row r="313" spans="1:11" hidden="1" x14ac:dyDescent="0.25">
      <c r="A313" s="48">
        <v>9</v>
      </c>
      <c r="B313" s="49" t="s">
        <v>1077</v>
      </c>
      <c r="C313" s="49" t="s">
        <v>195</v>
      </c>
      <c r="D313" s="49" t="s">
        <v>341</v>
      </c>
      <c r="E313" s="50">
        <v>20</v>
      </c>
      <c r="F313" s="290">
        <v>16500</v>
      </c>
      <c r="G313" s="290">
        <v>330000</v>
      </c>
      <c r="H313" s="49" t="s">
        <v>340</v>
      </c>
      <c r="I313" s="89" t="s">
        <v>1078</v>
      </c>
      <c r="K313" s="463" t="s">
        <v>1141</v>
      </c>
    </row>
    <row r="314" spans="1:11" hidden="1" x14ac:dyDescent="0.25">
      <c r="A314" s="48">
        <v>9</v>
      </c>
      <c r="B314" s="49" t="s">
        <v>1102</v>
      </c>
      <c r="C314" s="288" t="s">
        <v>1445</v>
      </c>
      <c r="D314" s="288" t="s">
        <v>1445</v>
      </c>
      <c r="E314" s="50">
        <v>1</v>
      </c>
      <c r="F314" s="289">
        <v>66000</v>
      </c>
      <c r="G314" s="290">
        <v>66000</v>
      </c>
      <c r="H314" s="86" t="s">
        <v>1358</v>
      </c>
      <c r="I314" s="89" t="s">
        <v>1078</v>
      </c>
      <c r="K314" s="463" t="s">
        <v>1108</v>
      </c>
    </row>
    <row r="315" spans="1:11" hidden="1" x14ac:dyDescent="0.25">
      <c r="A315" s="48">
        <v>9</v>
      </c>
      <c r="B315" s="49" t="s">
        <v>1102</v>
      </c>
      <c r="C315" s="288" t="s">
        <v>1493</v>
      </c>
      <c r="D315" s="288" t="s">
        <v>1493</v>
      </c>
      <c r="E315" s="50">
        <v>1</v>
      </c>
      <c r="F315" s="291">
        <v>66000</v>
      </c>
      <c r="G315" s="290">
        <v>66000</v>
      </c>
      <c r="H315" s="86" t="s">
        <v>1358</v>
      </c>
      <c r="I315" s="89" t="s">
        <v>1078</v>
      </c>
      <c r="K315" s="463" t="s">
        <v>1108</v>
      </c>
    </row>
    <row r="316" spans="1:11" hidden="1" x14ac:dyDescent="0.25">
      <c r="A316" s="48">
        <v>9</v>
      </c>
      <c r="B316" s="49" t="s">
        <v>1102</v>
      </c>
      <c r="C316" s="288" t="s">
        <v>786</v>
      </c>
      <c r="D316" s="288" t="s">
        <v>786</v>
      </c>
      <c r="E316" s="50">
        <v>1</v>
      </c>
      <c r="F316" s="291">
        <v>66000</v>
      </c>
      <c r="G316" s="290">
        <v>66000</v>
      </c>
      <c r="H316" s="86" t="s">
        <v>1358</v>
      </c>
      <c r="I316" s="89" t="s">
        <v>1078</v>
      </c>
      <c r="K316" s="463" t="s">
        <v>1108</v>
      </c>
    </row>
    <row r="317" spans="1:11" hidden="1" x14ac:dyDescent="0.25">
      <c r="A317" s="48">
        <v>9</v>
      </c>
      <c r="B317" s="49" t="s">
        <v>1077</v>
      </c>
      <c r="C317" s="288" t="s">
        <v>342</v>
      </c>
      <c r="D317" s="288" t="s">
        <v>342</v>
      </c>
      <c r="E317" s="50">
        <v>1</v>
      </c>
      <c r="F317" s="289">
        <v>76500</v>
      </c>
      <c r="G317" s="290">
        <v>76500</v>
      </c>
      <c r="H317" s="82" t="s">
        <v>319</v>
      </c>
      <c r="I317" s="89" t="s">
        <v>1078</v>
      </c>
      <c r="K317" s="463" t="s">
        <v>1141</v>
      </c>
    </row>
    <row r="318" spans="1:11" hidden="1" x14ac:dyDescent="0.25">
      <c r="A318" s="48">
        <v>9</v>
      </c>
      <c r="B318" s="49" t="s">
        <v>1102</v>
      </c>
      <c r="C318" s="288" t="s">
        <v>789</v>
      </c>
      <c r="D318" s="288" t="s">
        <v>789</v>
      </c>
      <c r="E318" s="50">
        <v>1</v>
      </c>
      <c r="F318" s="289">
        <v>500000</v>
      </c>
      <c r="G318" s="290">
        <v>500000</v>
      </c>
      <c r="H318" s="82" t="s">
        <v>319</v>
      </c>
      <c r="I318" s="89" t="s">
        <v>1078</v>
      </c>
      <c r="K318" s="463" t="s">
        <v>1141</v>
      </c>
    </row>
    <row r="319" spans="1:11" hidden="1" x14ac:dyDescent="0.25">
      <c r="A319" s="48">
        <v>9</v>
      </c>
      <c r="B319" s="49" t="s">
        <v>1102</v>
      </c>
      <c r="C319" s="288" t="s">
        <v>1494</v>
      </c>
      <c r="D319" s="288" t="s">
        <v>1494</v>
      </c>
      <c r="E319" s="50">
        <v>1</v>
      </c>
      <c r="F319" s="291">
        <v>40000</v>
      </c>
      <c r="G319" s="290">
        <v>40000</v>
      </c>
      <c r="H319" s="82" t="s">
        <v>319</v>
      </c>
      <c r="I319" s="89" t="s">
        <v>1078</v>
      </c>
      <c r="K319" s="463" t="s">
        <v>1141</v>
      </c>
    </row>
    <row r="320" spans="1:11" hidden="1" x14ac:dyDescent="0.25">
      <c r="A320" s="48">
        <v>9</v>
      </c>
      <c r="B320" s="49" t="s">
        <v>1082</v>
      </c>
      <c r="C320" s="288" t="s">
        <v>1495</v>
      </c>
      <c r="D320" s="288" t="s">
        <v>1495</v>
      </c>
      <c r="E320" s="50">
        <v>1</v>
      </c>
      <c r="F320" s="291">
        <v>31000</v>
      </c>
      <c r="G320" s="290">
        <v>31000</v>
      </c>
      <c r="H320" s="82" t="s">
        <v>319</v>
      </c>
      <c r="I320" s="89" t="s">
        <v>1078</v>
      </c>
      <c r="K320" s="463" t="s">
        <v>1141</v>
      </c>
    </row>
    <row r="321" spans="1:11" hidden="1" x14ac:dyDescent="0.25">
      <c r="A321" s="48">
        <v>9</v>
      </c>
      <c r="B321" s="49" t="s">
        <v>1082</v>
      </c>
      <c r="C321" s="288" t="s">
        <v>1496</v>
      </c>
      <c r="D321" s="288" t="s">
        <v>1496</v>
      </c>
      <c r="E321" s="50">
        <v>1</v>
      </c>
      <c r="F321" s="291">
        <v>130000</v>
      </c>
      <c r="G321" s="290">
        <v>130000</v>
      </c>
      <c r="H321" s="82" t="s">
        <v>319</v>
      </c>
      <c r="I321" s="89" t="s">
        <v>1078</v>
      </c>
      <c r="K321" s="463" t="s">
        <v>1141</v>
      </c>
    </row>
    <row r="322" spans="1:11" hidden="1" x14ac:dyDescent="0.25">
      <c r="A322" s="48">
        <v>9</v>
      </c>
      <c r="B322" s="49" t="s">
        <v>1082</v>
      </c>
      <c r="C322" s="49" t="s">
        <v>1324</v>
      </c>
      <c r="D322" s="49" t="s">
        <v>1497</v>
      </c>
      <c r="E322" s="50">
        <v>5</v>
      </c>
      <c r="F322" s="290">
        <v>17950</v>
      </c>
      <c r="G322" s="290">
        <v>89750</v>
      </c>
      <c r="H322" s="49" t="s">
        <v>1498</v>
      </c>
      <c r="I322" s="89" t="s">
        <v>1078</v>
      </c>
      <c r="K322" s="463" t="s">
        <v>1141</v>
      </c>
    </row>
    <row r="323" spans="1:11" hidden="1" x14ac:dyDescent="0.25">
      <c r="A323" s="48">
        <v>9</v>
      </c>
      <c r="B323" s="49" t="s">
        <v>1082</v>
      </c>
      <c r="C323" s="55" t="s">
        <v>1327</v>
      </c>
      <c r="D323" s="55" t="s">
        <v>1499</v>
      </c>
      <c r="E323" s="50">
        <v>6</v>
      </c>
      <c r="F323" s="292">
        <v>12900</v>
      </c>
      <c r="G323" s="290">
        <v>77400</v>
      </c>
      <c r="H323" s="55" t="s">
        <v>1498</v>
      </c>
      <c r="I323" s="89" t="s">
        <v>1078</v>
      </c>
      <c r="K323" s="463" t="s">
        <v>1141</v>
      </c>
    </row>
    <row r="324" spans="1:11" hidden="1" x14ac:dyDescent="0.25">
      <c r="A324" s="48">
        <v>9</v>
      </c>
      <c r="B324" s="49" t="s">
        <v>1082</v>
      </c>
      <c r="C324" s="55" t="s">
        <v>1329</v>
      </c>
      <c r="D324" s="55" t="s">
        <v>1500</v>
      </c>
      <c r="E324" s="50">
        <v>5</v>
      </c>
      <c r="F324" s="292">
        <v>12600</v>
      </c>
      <c r="G324" s="290">
        <v>63000</v>
      </c>
      <c r="H324" s="55" t="s">
        <v>1498</v>
      </c>
      <c r="I324" s="89" t="s">
        <v>1078</v>
      </c>
      <c r="K324" s="463" t="s">
        <v>1141</v>
      </c>
    </row>
    <row r="325" spans="1:11" hidden="1" x14ac:dyDescent="0.25">
      <c r="A325" s="48">
        <v>9</v>
      </c>
      <c r="B325" s="49" t="s">
        <v>1082</v>
      </c>
      <c r="C325" s="55" t="s">
        <v>1501</v>
      </c>
      <c r="D325" s="55" t="s">
        <v>1502</v>
      </c>
      <c r="E325" s="50">
        <v>2</v>
      </c>
      <c r="F325" s="292">
        <v>12700</v>
      </c>
      <c r="G325" s="290">
        <v>25400</v>
      </c>
      <c r="H325" s="55" t="s">
        <v>1498</v>
      </c>
      <c r="I325" s="89" t="s">
        <v>1078</v>
      </c>
      <c r="K325" s="463" t="s">
        <v>1141</v>
      </c>
    </row>
    <row r="326" spans="1:11" hidden="1" x14ac:dyDescent="0.25">
      <c r="A326" s="48">
        <v>9</v>
      </c>
      <c r="B326" s="49" t="s">
        <v>1082</v>
      </c>
      <c r="C326" s="55" t="s">
        <v>1331</v>
      </c>
      <c r="D326" s="55" t="s">
        <v>1503</v>
      </c>
      <c r="E326" s="50">
        <v>3</v>
      </c>
      <c r="F326" s="292">
        <v>15500</v>
      </c>
      <c r="G326" s="290">
        <v>46500</v>
      </c>
      <c r="H326" s="55" t="s">
        <v>1498</v>
      </c>
      <c r="I326" s="89" t="s">
        <v>1078</v>
      </c>
      <c r="K326" s="463" t="s">
        <v>1141</v>
      </c>
    </row>
    <row r="327" spans="1:11" hidden="1" x14ac:dyDescent="0.25">
      <c r="A327" s="48">
        <v>9</v>
      </c>
      <c r="B327" s="49" t="s">
        <v>1082</v>
      </c>
      <c r="C327" s="55" t="s">
        <v>1333</v>
      </c>
      <c r="D327" s="55" t="s">
        <v>1504</v>
      </c>
      <c r="E327" s="50">
        <v>3</v>
      </c>
      <c r="F327" s="292">
        <v>16800</v>
      </c>
      <c r="G327" s="290">
        <v>50400</v>
      </c>
      <c r="H327" s="55" t="s">
        <v>1498</v>
      </c>
      <c r="I327" s="89" t="s">
        <v>1078</v>
      </c>
      <c r="K327" s="463" t="s">
        <v>1141</v>
      </c>
    </row>
    <row r="328" spans="1:11" hidden="1" x14ac:dyDescent="0.25">
      <c r="A328" s="48">
        <v>9</v>
      </c>
      <c r="B328" s="49" t="s">
        <v>1505</v>
      </c>
      <c r="C328" s="103" t="s">
        <v>1506</v>
      </c>
      <c r="D328" s="103" t="s">
        <v>1507</v>
      </c>
      <c r="E328" s="50">
        <v>5</v>
      </c>
      <c r="F328" s="293">
        <v>22990</v>
      </c>
      <c r="G328" s="290">
        <v>114950</v>
      </c>
      <c r="H328" s="106" t="s">
        <v>1508</v>
      </c>
      <c r="I328" s="97" t="s">
        <v>1509</v>
      </c>
      <c r="J328" s="98" t="s">
        <v>121</v>
      </c>
      <c r="K328" s="463" t="s">
        <v>1141</v>
      </c>
    </row>
    <row r="329" spans="1:11" hidden="1" x14ac:dyDescent="0.25">
      <c r="A329" s="48">
        <v>9</v>
      </c>
      <c r="B329" s="49" t="s">
        <v>1367</v>
      </c>
      <c r="C329" s="103" t="s">
        <v>1087</v>
      </c>
      <c r="D329" s="103" t="s">
        <v>1087</v>
      </c>
      <c r="E329" s="50">
        <v>100</v>
      </c>
      <c r="F329" s="293">
        <v>150</v>
      </c>
      <c r="G329" s="290">
        <v>15000</v>
      </c>
      <c r="H329" s="106" t="s">
        <v>391</v>
      </c>
      <c r="I329" s="97" t="s">
        <v>1078</v>
      </c>
      <c r="J329" s="98" t="s">
        <v>121</v>
      </c>
      <c r="K329" s="463" t="s">
        <v>1090</v>
      </c>
    </row>
    <row r="330" spans="1:11" hidden="1" x14ac:dyDescent="0.25">
      <c r="A330" s="48">
        <v>9</v>
      </c>
      <c r="B330" s="49" t="s">
        <v>1510</v>
      </c>
      <c r="C330" s="103" t="s">
        <v>1511</v>
      </c>
      <c r="D330" s="103" t="s">
        <v>1512</v>
      </c>
      <c r="E330" s="50">
        <v>1</v>
      </c>
      <c r="F330" s="293">
        <v>3000</v>
      </c>
      <c r="G330" s="290">
        <v>3000</v>
      </c>
      <c r="H330" s="106" t="s">
        <v>391</v>
      </c>
      <c r="I330" s="97" t="s">
        <v>1078</v>
      </c>
      <c r="J330" s="98" t="s">
        <v>121</v>
      </c>
      <c r="K330" s="463" t="s">
        <v>1141</v>
      </c>
    </row>
    <row r="331" spans="1:11" hidden="1" x14ac:dyDescent="0.25">
      <c r="A331" s="48">
        <v>10</v>
      </c>
      <c r="B331" s="49" t="s">
        <v>949</v>
      </c>
      <c r="C331" s="55" t="s">
        <v>1513</v>
      </c>
      <c r="D331" s="55" t="s">
        <v>1514</v>
      </c>
      <c r="E331" s="50">
        <v>2</v>
      </c>
      <c r="F331" s="292">
        <v>9500</v>
      </c>
      <c r="G331" s="290">
        <v>19000</v>
      </c>
      <c r="H331" s="55" t="s">
        <v>1515</v>
      </c>
      <c r="I331" s="89" t="s">
        <v>1078</v>
      </c>
      <c r="K331" s="463" t="s">
        <v>1099</v>
      </c>
    </row>
    <row r="332" spans="1:11" hidden="1" x14ac:dyDescent="0.25">
      <c r="A332" s="48">
        <v>10</v>
      </c>
      <c r="B332" s="49" t="s">
        <v>949</v>
      </c>
      <c r="C332" s="55" t="s">
        <v>1516</v>
      </c>
      <c r="D332" s="55" t="s">
        <v>1517</v>
      </c>
      <c r="E332" s="50">
        <v>3</v>
      </c>
      <c r="F332" s="292">
        <v>5000</v>
      </c>
      <c r="G332" s="290">
        <v>15000</v>
      </c>
      <c r="H332" s="55" t="s">
        <v>1515</v>
      </c>
      <c r="I332" s="89" t="s">
        <v>1078</v>
      </c>
      <c r="K332" s="463" t="s">
        <v>1099</v>
      </c>
    </row>
    <row r="333" spans="1:11" ht="18.95" hidden="1" customHeight="1" x14ac:dyDescent="0.25">
      <c r="A333" s="57">
        <v>10</v>
      </c>
      <c r="B333" s="56" t="s">
        <v>1086</v>
      </c>
      <c r="C333" s="56" t="s">
        <v>1518</v>
      </c>
      <c r="D333" s="56" t="s">
        <v>1519</v>
      </c>
      <c r="E333" s="58">
        <v>0.5</v>
      </c>
      <c r="F333" s="294">
        <v>38000</v>
      </c>
      <c r="G333" s="294">
        <v>19000</v>
      </c>
      <c r="H333" s="55" t="s">
        <v>1520</v>
      </c>
      <c r="I333" s="90" t="s">
        <v>1093</v>
      </c>
      <c r="J333" s="111"/>
      <c r="K333" s="463" t="s">
        <v>1141</v>
      </c>
    </row>
    <row r="334" spans="1:11" ht="18.95" hidden="1" customHeight="1" x14ac:dyDescent="0.25">
      <c r="A334" s="60">
        <v>10</v>
      </c>
      <c r="B334" s="59" t="s">
        <v>1077</v>
      </c>
      <c r="C334" s="59" t="s">
        <v>223</v>
      </c>
      <c r="D334" s="59" t="s">
        <v>345</v>
      </c>
      <c r="E334" s="61">
        <v>87.3</v>
      </c>
      <c r="F334" s="295">
        <v>7500</v>
      </c>
      <c r="G334" s="295">
        <v>654750</v>
      </c>
      <c r="H334" s="527" t="s">
        <v>344</v>
      </c>
      <c r="I334" s="89" t="s">
        <v>1521</v>
      </c>
      <c r="J334" s="110"/>
      <c r="K334" s="463" t="s">
        <v>1092</v>
      </c>
    </row>
    <row r="335" spans="1:11" hidden="1" x14ac:dyDescent="0.25">
      <c r="A335" s="48">
        <v>10</v>
      </c>
      <c r="B335" s="49" t="s">
        <v>1102</v>
      </c>
      <c r="C335" s="59" t="s">
        <v>1180</v>
      </c>
      <c r="D335" s="59" t="s">
        <v>1522</v>
      </c>
      <c r="E335" s="50">
        <v>1</v>
      </c>
      <c r="F335" s="290">
        <v>20000</v>
      </c>
      <c r="G335" s="290">
        <v>20000</v>
      </c>
      <c r="H335" s="55" t="s">
        <v>792</v>
      </c>
      <c r="I335" s="90" t="s">
        <v>1093</v>
      </c>
      <c r="K335" s="463" t="s">
        <v>1108</v>
      </c>
    </row>
    <row r="336" spans="1:11" hidden="1" x14ac:dyDescent="0.25">
      <c r="A336" s="48">
        <v>10</v>
      </c>
      <c r="B336" s="49" t="s">
        <v>1077</v>
      </c>
      <c r="C336" s="78" t="s">
        <v>246</v>
      </c>
      <c r="D336" s="78" t="s">
        <v>347</v>
      </c>
      <c r="E336" s="50">
        <v>1</v>
      </c>
      <c r="F336" s="296">
        <v>18000</v>
      </c>
      <c r="G336" s="290">
        <v>18000</v>
      </c>
      <c r="H336" s="79" t="s">
        <v>346</v>
      </c>
      <c r="I336" s="90" t="s">
        <v>1093</v>
      </c>
      <c r="K336" s="463" t="s">
        <v>1109</v>
      </c>
    </row>
    <row r="337" spans="1:11" hidden="1" x14ac:dyDescent="0.25">
      <c r="A337" s="48">
        <v>10</v>
      </c>
      <c r="B337" s="49" t="s">
        <v>1077</v>
      </c>
      <c r="C337" s="78" t="s">
        <v>348</v>
      </c>
      <c r="D337" s="78" t="s">
        <v>349</v>
      </c>
      <c r="E337" s="50">
        <v>1</v>
      </c>
      <c r="F337" s="296">
        <v>5000</v>
      </c>
      <c r="G337" s="290">
        <v>5000</v>
      </c>
      <c r="H337" s="79" t="s">
        <v>346</v>
      </c>
      <c r="I337" s="90" t="s">
        <v>1093</v>
      </c>
      <c r="K337" s="463" t="s">
        <v>1109</v>
      </c>
    </row>
    <row r="338" spans="1:11" hidden="1" x14ac:dyDescent="0.25">
      <c r="A338" s="48">
        <v>10</v>
      </c>
      <c r="B338" s="49" t="s">
        <v>1082</v>
      </c>
      <c r="C338" s="78" t="s">
        <v>1083</v>
      </c>
      <c r="D338" s="78" t="s">
        <v>1523</v>
      </c>
      <c r="E338" s="50">
        <v>20</v>
      </c>
      <c r="F338" s="296">
        <v>5000</v>
      </c>
      <c r="G338" s="290">
        <v>100000</v>
      </c>
      <c r="H338" s="79" t="s">
        <v>346</v>
      </c>
      <c r="I338" s="90" t="s">
        <v>1093</v>
      </c>
      <c r="K338" s="463" t="s">
        <v>1109</v>
      </c>
    </row>
    <row r="339" spans="1:11" hidden="1" x14ac:dyDescent="0.25">
      <c r="A339" s="48">
        <v>10</v>
      </c>
      <c r="B339" s="49" t="s">
        <v>1082</v>
      </c>
      <c r="C339" s="78" t="s">
        <v>1524</v>
      </c>
      <c r="D339" s="78" t="s">
        <v>1525</v>
      </c>
      <c r="E339" s="50">
        <v>11</v>
      </c>
      <c r="F339" s="296">
        <v>3000</v>
      </c>
      <c r="G339" s="290">
        <v>33000</v>
      </c>
      <c r="H339" s="79" t="s">
        <v>346</v>
      </c>
      <c r="I339" s="90" t="s">
        <v>1093</v>
      </c>
      <c r="K339" s="463" t="s">
        <v>1109</v>
      </c>
    </row>
    <row r="340" spans="1:11" hidden="1" x14ac:dyDescent="0.25">
      <c r="A340" s="48">
        <v>10</v>
      </c>
      <c r="B340" s="49" t="s">
        <v>949</v>
      </c>
      <c r="C340" s="78" t="s">
        <v>1526</v>
      </c>
      <c r="D340" s="78" t="s">
        <v>1527</v>
      </c>
      <c r="E340" s="50">
        <v>40</v>
      </c>
      <c r="F340" s="296">
        <v>2700</v>
      </c>
      <c r="G340" s="290">
        <v>108000</v>
      </c>
      <c r="H340" s="79" t="s">
        <v>346</v>
      </c>
      <c r="I340" s="90" t="s">
        <v>1093</v>
      </c>
      <c r="K340" s="463" t="s">
        <v>1109</v>
      </c>
    </row>
    <row r="341" spans="1:11" hidden="1" x14ac:dyDescent="0.25">
      <c r="A341" s="48">
        <v>10</v>
      </c>
      <c r="B341" s="49" t="s">
        <v>1086</v>
      </c>
      <c r="C341" s="78" t="s">
        <v>1528</v>
      </c>
      <c r="D341" s="78" t="s">
        <v>1529</v>
      </c>
      <c r="E341" s="50">
        <v>9</v>
      </c>
      <c r="F341" s="296">
        <v>3000</v>
      </c>
      <c r="G341" s="290">
        <v>27000</v>
      </c>
      <c r="H341" s="79" t="s">
        <v>346</v>
      </c>
      <c r="I341" s="90" t="s">
        <v>1093</v>
      </c>
      <c r="K341" s="463" t="s">
        <v>1109</v>
      </c>
    </row>
    <row r="342" spans="1:11" hidden="1" x14ac:dyDescent="0.25">
      <c r="A342" s="48">
        <v>10</v>
      </c>
      <c r="B342" s="49" t="s">
        <v>1086</v>
      </c>
      <c r="C342" s="78" t="s">
        <v>1530</v>
      </c>
      <c r="D342" s="78" t="s">
        <v>1531</v>
      </c>
      <c r="E342" s="50">
        <v>5</v>
      </c>
      <c r="F342" s="296">
        <v>9000</v>
      </c>
      <c r="G342" s="290">
        <v>45000</v>
      </c>
      <c r="H342" s="79" t="s">
        <v>346</v>
      </c>
      <c r="I342" s="90" t="s">
        <v>1093</v>
      </c>
      <c r="K342" s="463" t="s">
        <v>1109</v>
      </c>
    </row>
    <row r="343" spans="1:11" hidden="1" x14ac:dyDescent="0.25">
      <c r="A343" s="48">
        <v>10</v>
      </c>
      <c r="B343" s="49" t="s">
        <v>1102</v>
      </c>
      <c r="C343" s="78" t="s">
        <v>1532</v>
      </c>
      <c r="D343" s="78" t="s">
        <v>796</v>
      </c>
      <c r="E343" s="50">
        <v>1</v>
      </c>
      <c r="F343" s="296">
        <v>58000</v>
      </c>
      <c r="G343" s="290">
        <v>58000</v>
      </c>
      <c r="H343" s="79" t="s">
        <v>795</v>
      </c>
      <c r="I343" s="90" t="s">
        <v>1093</v>
      </c>
      <c r="J343" s="109"/>
      <c r="K343" s="463" t="s">
        <v>1108</v>
      </c>
    </row>
    <row r="344" spans="1:11" hidden="1" x14ac:dyDescent="0.25">
      <c r="A344" s="48">
        <v>10</v>
      </c>
      <c r="B344" s="49" t="s">
        <v>1102</v>
      </c>
      <c r="C344" s="78" t="s">
        <v>1533</v>
      </c>
      <c r="D344" s="78" t="s">
        <v>1534</v>
      </c>
      <c r="E344" s="50">
        <v>1</v>
      </c>
      <c r="F344" s="296">
        <v>10000</v>
      </c>
      <c r="G344" s="290">
        <v>10000</v>
      </c>
      <c r="H344" s="79" t="s">
        <v>798</v>
      </c>
      <c r="I344" s="90" t="s">
        <v>1093</v>
      </c>
      <c r="J344" s="109"/>
      <c r="K344" s="463" t="s">
        <v>1105</v>
      </c>
    </row>
    <row r="345" spans="1:11" hidden="1" x14ac:dyDescent="0.25">
      <c r="A345" s="48">
        <v>10</v>
      </c>
      <c r="B345" s="49" t="s">
        <v>1102</v>
      </c>
      <c r="C345" s="78" t="s">
        <v>1103</v>
      </c>
      <c r="D345" s="78" t="s">
        <v>1535</v>
      </c>
      <c r="E345" s="50">
        <v>1</v>
      </c>
      <c r="F345" s="296">
        <v>30000</v>
      </c>
      <c r="G345" s="290">
        <v>30000</v>
      </c>
      <c r="H345" s="79" t="s">
        <v>1536</v>
      </c>
      <c r="I345" s="89" t="s">
        <v>1078</v>
      </c>
      <c r="K345" s="463" t="s">
        <v>1105</v>
      </c>
    </row>
    <row r="346" spans="1:11" hidden="1" x14ac:dyDescent="0.25">
      <c r="A346" s="48">
        <v>10</v>
      </c>
      <c r="B346" s="49" t="s">
        <v>949</v>
      </c>
      <c r="C346" s="78" t="s">
        <v>965</v>
      </c>
      <c r="D346" s="78" t="s">
        <v>1537</v>
      </c>
      <c r="E346" s="50">
        <v>1</v>
      </c>
      <c r="F346" s="296">
        <v>20000</v>
      </c>
      <c r="G346" s="290">
        <v>20000</v>
      </c>
      <c r="H346" s="79" t="s">
        <v>1538</v>
      </c>
      <c r="I346" s="89" t="s">
        <v>1078</v>
      </c>
      <c r="K346" s="463" t="s">
        <v>1109</v>
      </c>
    </row>
    <row r="347" spans="1:11" hidden="1" x14ac:dyDescent="0.25">
      <c r="A347" s="48">
        <v>10</v>
      </c>
      <c r="B347" s="49" t="s">
        <v>1102</v>
      </c>
      <c r="C347" s="78" t="s">
        <v>1180</v>
      </c>
      <c r="D347" s="78" t="s">
        <v>803</v>
      </c>
      <c r="E347" s="50">
        <v>1</v>
      </c>
      <c r="F347" s="296">
        <v>50000</v>
      </c>
      <c r="G347" s="290">
        <v>50000</v>
      </c>
      <c r="H347" s="79" t="s">
        <v>801</v>
      </c>
      <c r="I347" s="89" t="s">
        <v>1078</v>
      </c>
      <c r="K347" s="463" t="s">
        <v>1109</v>
      </c>
    </row>
    <row r="348" spans="1:11" hidden="1" x14ac:dyDescent="0.25">
      <c r="A348" s="48">
        <v>10</v>
      </c>
      <c r="B348" s="49" t="s">
        <v>1086</v>
      </c>
      <c r="C348" s="78" t="s">
        <v>1539</v>
      </c>
      <c r="D348" s="78" t="s">
        <v>1540</v>
      </c>
      <c r="E348" s="50">
        <v>10</v>
      </c>
      <c r="F348" s="296">
        <v>1700</v>
      </c>
      <c r="G348" s="290">
        <v>17000</v>
      </c>
      <c r="H348" s="79" t="s">
        <v>1541</v>
      </c>
      <c r="I348" s="90" t="s">
        <v>1093</v>
      </c>
      <c r="K348" s="463" t="s">
        <v>1187</v>
      </c>
    </row>
    <row r="349" spans="1:11" hidden="1" x14ac:dyDescent="0.25">
      <c r="A349" s="48">
        <v>10</v>
      </c>
      <c r="B349" s="49" t="s">
        <v>1086</v>
      </c>
      <c r="C349" s="78" t="s">
        <v>1184</v>
      </c>
      <c r="D349" s="78" t="s">
        <v>1542</v>
      </c>
      <c r="E349" s="50">
        <v>4</v>
      </c>
      <c r="F349" s="296">
        <v>22987.5</v>
      </c>
      <c r="G349" s="290">
        <v>91950</v>
      </c>
      <c r="H349" s="79" t="s">
        <v>1541</v>
      </c>
      <c r="I349" s="89" t="s">
        <v>1078</v>
      </c>
      <c r="K349" s="463" t="s">
        <v>1187</v>
      </c>
    </row>
    <row r="350" spans="1:11" hidden="1" x14ac:dyDescent="0.25">
      <c r="A350" s="48">
        <v>10</v>
      </c>
      <c r="B350" s="49" t="s">
        <v>1102</v>
      </c>
      <c r="C350" s="297" t="s">
        <v>1445</v>
      </c>
      <c r="D350" s="297" t="s">
        <v>1445</v>
      </c>
      <c r="E350" s="50">
        <v>1</v>
      </c>
      <c r="F350" s="298">
        <v>66000</v>
      </c>
      <c r="G350" s="290">
        <v>66000</v>
      </c>
      <c r="H350" s="86" t="s">
        <v>1358</v>
      </c>
      <c r="I350" s="89" t="s">
        <v>1078</v>
      </c>
      <c r="K350" s="463" t="s">
        <v>1108</v>
      </c>
    </row>
    <row r="351" spans="1:11" hidden="1" x14ac:dyDescent="0.25">
      <c r="A351" s="48">
        <v>10</v>
      </c>
      <c r="B351" s="49" t="s">
        <v>1102</v>
      </c>
      <c r="C351" s="297" t="s">
        <v>1493</v>
      </c>
      <c r="D351" s="297" t="s">
        <v>1493</v>
      </c>
      <c r="E351" s="50">
        <v>1</v>
      </c>
      <c r="F351" s="299">
        <v>66000</v>
      </c>
      <c r="G351" s="290">
        <v>66000</v>
      </c>
      <c r="H351" s="83" t="s">
        <v>1358</v>
      </c>
      <c r="I351" s="89" t="s">
        <v>1078</v>
      </c>
      <c r="K351" s="463" t="s">
        <v>1108</v>
      </c>
    </row>
    <row r="352" spans="1:11" hidden="1" x14ac:dyDescent="0.25">
      <c r="A352" s="48">
        <v>10</v>
      </c>
      <c r="B352" s="49" t="s">
        <v>1102</v>
      </c>
      <c r="C352" s="297" t="s">
        <v>806</v>
      </c>
      <c r="D352" s="297" t="s">
        <v>806</v>
      </c>
      <c r="E352" s="50">
        <v>1</v>
      </c>
      <c r="F352" s="298">
        <v>70000</v>
      </c>
      <c r="G352" s="290">
        <v>70000</v>
      </c>
      <c r="H352" s="86" t="s">
        <v>1358</v>
      </c>
      <c r="I352" s="89" t="s">
        <v>1078</v>
      </c>
      <c r="K352" s="463" t="s">
        <v>1108</v>
      </c>
    </row>
    <row r="353" spans="1:11" hidden="1" x14ac:dyDescent="0.25">
      <c r="A353" s="48">
        <v>10</v>
      </c>
      <c r="B353" s="49" t="s">
        <v>1102</v>
      </c>
      <c r="C353" s="297" t="s">
        <v>808</v>
      </c>
      <c r="D353" s="297" t="s">
        <v>808</v>
      </c>
      <c r="E353" s="50">
        <v>1</v>
      </c>
      <c r="F353" s="299">
        <v>28000</v>
      </c>
      <c r="G353" s="290">
        <v>28000</v>
      </c>
      <c r="H353" s="82" t="s">
        <v>319</v>
      </c>
      <c r="I353" s="89" t="s">
        <v>1078</v>
      </c>
      <c r="K353" s="463" t="s">
        <v>1141</v>
      </c>
    </row>
    <row r="354" spans="1:11" hidden="1" x14ac:dyDescent="0.25">
      <c r="A354" s="48">
        <v>10</v>
      </c>
      <c r="B354" s="49" t="s">
        <v>1102</v>
      </c>
      <c r="C354" s="297" t="s">
        <v>766</v>
      </c>
      <c r="D354" s="297" t="s">
        <v>766</v>
      </c>
      <c r="E354" s="50">
        <v>1</v>
      </c>
      <c r="F354" s="299">
        <v>66000</v>
      </c>
      <c r="G354" s="290">
        <v>66000</v>
      </c>
      <c r="H354" s="87" t="s">
        <v>319</v>
      </c>
      <c r="I354" s="89" t="s">
        <v>1078</v>
      </c>
      <c r="K354" s="463" t="s">
        <v>1108</v>
      </c>
    </row>
    <row r="355" spans="1:11" hidden="1" x14ac:dyDescent="0.25">
      <c r="A355" s="48">
        <v>10</v>
      </c>
      <c r="B355" s="49" t="s">
        <v>91</v>
      </c>
      <c r="C355" s="297" t="s">
        <v>617</v>
      </c>
      <c r="D355" s="297" t="s">
        <v>617</v>
      </c>
      <c r="E355" s="50">
        <v>1</v>
      </c>
      <c r="F355" s="298">
        <v>329500</v>
      </c>
      <c r="G355" s="290">
        <v>329500</v>
      </c>
      <c r="H355" s="87" t="s">
        <v>319</v>
      </c>
      <c r="I355" s="89" t="s">
        <v>1078</v>
      </c>
      <c r="K355" s="463" t="s">
        <v>1188</v>
      </c>
    </row>
    <row r="356" spans="1:11" hidden="1" x14ac:dyDescent="0.25">
      <c r="A356" s="48">
        <v>10</v>
      </c>
      <c r="B356" s="49" t="s">
        <v>1086</v>
      </c>
      <c r="C356" s="297" t="s">
        <v>1543</v>
      </c>
      <c r="D356" s="297" t="s">
        <v>1543</v>
      </c>
      <c r="E356" s="50">
        <v>1</v>
      </c>
      <c r="F356" s="299">
        <v>75350</v>
      </c>
      <c r="G356" s="290">
        <v>75350</v>
      </c>
      <c r="H356" s="87" t="s">
        <v>319</v>
      </c>
      <c r="I356" s="89" t="s">
        <v>1078</v>
      </c>
      <c r="K356" s="463" t="s">
        <v>1141</v>
      </c>
    </row>
    <row r="357" spans="1:11" hidden="1" x14ac:dyDescent="0.25">
      <c r="A357" s="48">
        <v>10</v>
      </c>
      <c r="B357" s="49" t="s">
        <v>1086</v>
      </c>
      <c r="C357" s="78" t="s">
        <v>1544</v>
      </c>
      <c r="D357" s="78" t="s">
        <v>1545</v>
      </c>
      <c r="E357" s="50">
        <v>1</v>
      </c>
      <c r="F357" s="296">
        <v>82500</v>
      </c>
      <c r="G357" s="290">
        <v>82500</v>
      </c>
      <c r="H357" s="79" t="s">
        <v>1546</v>
      </c>
      <c r="I357" s="89" t="s">
        <v>1078</v>
      </c>
      <c r="K357" s="463" t="s">
        <v>1212</v>
      </c>
    </row>
    <row r="358" spans="1:11" hidden="1" x14ac:dyDescent="0.25">
      <c r="A358" s="48">
        <v>10</v>
      </c>
      <c r="B358" s="49" t="s">
        <v>949</v>
      </c>
      <c r="C358" s="78" t="s">
        <v>1547</v>
      </c>
      <c r="D358" s="78" t="s">
        <v>1548</v>
      </c>
      <c r="E358" s="50">
        <v>1</v>
      </c>
      <c r="F358" s="296">
        <v>52500</v>
      </c>
      <c r="G358" s="290">
        <v>52500</v>
      </c>
      <c r="H358" s="79" t="s">
        <v>1546</v>
      </c>
      <c r="I358" s="89" t="s">
        <v>1078</v>
      </c>
      <c r="K358" s="463" t="s">
        <v>1212</v>
      </c>
    </row>
    <row r="359" spans="1:11" hidden="1" x14ac:dyDescent="0.25">
      <c r="A359" s="48">
        <v>10</v>
      </c>
      <c r="B359" s="49" t="s">
        <v>949</v>
      </c>
      <c r="C359" s="78" t="s">
        <v>1549</v>
      </c>
      <c r="D359" s="78" t="s">
        <v>1550</v>
      </c>
      <c r="E359" s="50">
        <v>1</v>
      </c>
      <c r="F359" s="296">
        <v>30350</v>
      </c>
      <c r="G359" s="290">
        <v>30350</v>
      </c>
      <c r="H359" s="79" t="s">
        <v>1546</v>
      </c>
      <c r="I359" s="89" t="s">
        <v>1078</v>
      </c>
      <c r="K359" s="463" t="s">
        <v>1212</v>
      </c>
    </row>
    <row r="360" spans="1:11" hidden="1" x14ac:dyDescent="0.25">
      <c r="A360" s="48">
        <v>10</v>
      </c>
      <c r="B360" s="49" t="s">
        <v>949</v>
      </c>
      <c r="C360" s="78" t="s">
        <v>1551</v>
      </c>
      <c r="D360" s="78" t="s">
        <v>1552</v>
      </c>
      <c r="E360" s="50">
        <v>1</v>
      </c>
      <c r="F360" s="296">
        <v>18650</v>
      </c>
      <c r="G360" s="290">
        <v>18650</v>
      </c>
      <c r="H360" s="79" t="s">
        <v>1546</v>
      </c>
      <c r="I360" s="89" t="s">
        <v>1078</v>
      </c>
      <c r="K360" s="463" t="s">
        <v>1212</v>
      </c>
    </row>
    <row r="361" spans="1:11" hidden="1" x14ac:dyDescent="0.25">
      <c r="A361" s="48">
        <v>10</v>
      </c>
      <c r="B361" s="49" t="s">
        <v>1086</v>
      </c>
      <c r="C361" s="78" t="s">
        <v>1539</v>
      </c>
      <c r="D361" s="78" t="s">
        <v>1553</v>
      </c>
      <c r="E361" s="50">
        <v>10</v>
      </c>
      <c r="F361" s="296">
        <v>1700</v>
      </c>
      <c r="G361" s="290">
        <v>17000</v>
      </c>
      <c r="H361" s="79" t="s">
        <v>1554</v>
      </c>
      <c r="I361" s="89" t="s">
        <v>1078</v>
      </c>
      <c r="K361" s="463" t="s">
        <v>1079</v>
      </c>
    </row>
    <row r="362" spans="1:11" hidden="1" x14ac:dyDescent="0.25">
      <c r="A362" s="48">
        <v>10</v>
      </c>
      <c r="B362" s="49" t="s">
        <v>1077</v>
      </c>
      <c r="C362" s="78" t="s">
        <v>308</v>
      </c>
      <c r="D362" s="78" t="s">
        <v>351</v>
      </c>
      <c r="E362" s="50">
        <v>1</v>
      </c>
      <c r="F362" s="296">
        <v>8950</v>
      </c>
      <c r="G362" s="290">
        <v>8950</v>
      </c>
      <c r="H362" s="79" t="s">
        <v>350</v>
      </c>
      <c r="I362" s="89" t="s">
        <v>1078</v>
      </c>
      <c r="K362" s="463" t="s">
        <v>1079</v>
      </c>
    </row>
    <row r="363" spans="1:11" hidden="1" x14ac:dyDescent="0.25">
      <c r="A363" s="48">
        <v>10</v>
      </c>
      <c r="B363" s="49" t="s">
        <v>1086</v>
      </c>
      <c r="C363" s="78" t="s">
        <v>1555</v>
      </c>
      <c r="D363" s="78" t="s">
        <v>1556</v>
      </c>
      <c r="E363" s="50">
        <v>16</v>
      </c>
      <c r="F363" s="296">
        <v>4150</v>
      </c>
      <c r="G363" s="290">
        <v>66400</v>
      </c>
      <c r="H363" s="79" t="s">
        <v>350</v>
      </c>
      <c r="I363" s="89" t="s">
        <v>1078</v>
      </c>
      <c r="K363" s="463" t="s">
        <v>1079</v>
      </c>
    </row>
    <row r="364" spans="1:11" hidden="1" x14ac:dyDescent="0.25">
      <c r="A364" s="48">
        <v>10</v>
      </c>
      <c r="B364" s="49" t="s">
        <v>1077</v>
      </c>
      <c r="C364" s="78" t="s">
        <v>254</v>
      </c>
      <c r="D364" s="78" t="s">
        <v>353</v>
      </c>
      <c r="E364" s="50">
        <v>16.149999999999999</v>
      </c>
      <c r="F364" s="296">
        <v>18500</v>
      </c>
      <c r="G364" s="290">
        <v>298775</v>
      </c>
      <c r="H364" s="522" t="s">
        <v>352</v>
      </c>
      <c r="I364" s="89" t="s">
        <v>1078</v>
      </c>
      <c r="K364" s="463" t="s">
        <v>1191</v>
      </c>
    </row>
    <row r="365" spans="1:11" hidden="1" x14ac:dyDescent="0.25">
      <c r="A365" s="48">
        <v>10</v>
      </c>
      <c r="B365" s="49" t="s">
        <v>1077</v>
      </c>
      <c r="C365" s="78" t="s">
        <v>239</v>
      </c>
      <c r="D365" s="78" t="s">
        <v>354</v>
      </c>
      <c r="E365" s="50">
        <v>4.9050000000000002</v>
      </c>
      <c r="F365" s="296">
        <v>54000</v>
      </c>
      <c r="G365" s="290">
        <v>264870</v>
      </c>
      <c r="H365" s="522" t="s">
        <v>352</v>
      </c>
      <c r="I365" s="89" t="s">
        <v>1078</v>
      </c>
      <c r="K365" s="463" t="s">
        <v>1191</v>
      </c>
    </row>
    <row r="366" spans="1:11" hidden="1" x14ac:dyDescent="0.25">
      <c r="A366" s="48">
        <v>10</v>
      </c>
      <c r="B366" s="49" t="s">
        <v>1082</v>
      </c>
      <c r="C366" s="78" t="s">
        <v>1557</v>
      </c>
      <c r="D366" s="78" t="s">
        <v>1558</v>
      </c>
      <c r="E366" s="50">
        <v>6</v>
      </c>
      <c r="F366" s="296">
        <v>12500</v>
      </c>
      <c r="G366" s="290">
        <v>75000</v>
      </c>
      <c r="H366" s="79" t="s">
        <v>1559</v>
      </c>
      <c r="I366" s="89" t="s">
        <v>1078</v>
      </c>
      <c r="K366" s="463" t="s">
        <v>1141</v>
      </c>
    </row>
    <row r="367" spans="1:11" hidden="1" x14ac:dyDescent="0.25">
      <c r="A367" s="48">
        <v>10</v>
      </c>
      <c r="B367" s="49" t="s">
        <v>91</v>
      </c>
      <c r="C367" s="104" t="s">
        <v>619</v>
      </c>
      <c r="D367" s="104" t="s">
        <v>620</v>
      </c>
      <c r="E367" s="50">
        <v>1</v>
      </c>
      <c r="F367" s="299">
        <v>10504</v>
      </c>
      <c r="G367" s="290">
        <v>10504</v>
      </c>
      <c r="H367" s="108" t="s">
        <v>618</v>
      </c>
      <c r="I367" s="97" t="s">
        <v>1078</v>
      </c>
      <c r="J367" s="98" t="s">
        <v>124</v>
      </c>
      <c r="K367" s="463" t="s">
        <v>1141</v>
      </c>
    </row>
    <row r="368" spans="1:11" hidden="1" x14ac:dyDescent="0.25">
      <c r="A368" s="48">
        <v>10</v>
      </c>
      <c r="B368" s="49" t="s">
        <v>91</v>
      </c>
      <c r="C368" s="104" t="s">
        <v>622</v>
      </c>
      <c r="D368" s="104" t="s">
        <v>623</v>
      </c>
      <c r="E368" s="50">
        <v>1</v>
      </c>
      <c r="F368" s="299">
        <v>12000</v>
      </c>
      <c r="G368" s="290">
        <v>12000</v>
      </c>
      <c r="H368" s="108" t="s">
        <v>621</v>
      </c>
      <c r="I368" s="97" t="s">
        <v>1078</v>
      </c>
      <c r="J368" s="98" t="s">
        <v>124</v>
      </c>
      <c r="K368" s="463" t="s">
        <v>1141</v>
      </c>
    </row>
    <row r="369" spans="1:11" hidden="1" x14ac:dyDescent="0.25">
      <c r="A369" s="48">
        <v>10</v>
      </c>
      <c r="B369" s="49" t="s">
        <v>91</v>
      </c>
      <c r="C369" s="104" t="s">
        <v>625</v>
      </c>
      <c r="D369" s="104" t="s">
        <v>626</v>
      </c>
      <c r="E369" s="50">
        <v>1</v>
      </c>
      <c r="F369" s="299">
        <v>33782</v>
      </c>
      <c r="G369" s="290">
        <v>33782</v>
      </c>
      <c r="H369" s="108" t="s">
        <v>624</v>
      </c>
      <c r="I369" s="97" t="s">
        <v>1078</v>
      </c>
      <c r="J369" s="98" t="s">
        <v>124</v>
      </c>
      <c r="K369" s="463" t="s">
        <v>1188</v>
      </c>
    </row>
    <row r="370" spans="1:11" hidden="1" x14ac:dyDescent="0.25">
      <c r="A370" s="48">
        <v>10</v>
      </c>
      <c r="B370" s="49" t="s">
        <v>91</v>
      </c>
      <c r="C370" s="104" t="s">
        <v>628</v>
      </c>
      <c r="D370" s="104" t="s">
        <v>629</v>
      </c>
      <c r="E370" s="50">
        <v>1</v>
      </c>
      <c r="F370" s="299">
        <v>37815</v>
      </c>
      <c r="G370" s="290">
        <v>37815</v>
      </c>
      <c r="H370" s="108" t="s">
        <v>627</v>
      </c>
      <c r="I370" s="97" t="s">
        <v>1078</v>
      </c>
      <c r="J370" s="98" t="s">
        <v>124</v>
      </c>
      <c r="K370" s="463" t="s">
        <v>1141</v>
      </c>
    </row>
    <row r="371" spans="1:11" hidden="1" x14ac:dyDescent="0.25">
      <c r="A371" s="48">
        <v>11</v>
      </c>
      <c r="B371" s="49" t="s">
        <v>1102</v>
      </c>
      <c r="C371" s="78" t="s">
        <v>1560</v>
      </c>
      <c r="D371" s="78" t="s">
        <v>1561</v>
      </c>
      <c r="E371" s="50">
        <v>1</v>
      </c>
      <c r="F371" s="296">
        <v>5241000</v>
      </c>
      <c r="G371" s="290">
        <v>5241000</v>
      </c>
      <c r="H371" s="79" t="s">
        <v>1562</v>
      </c>
      <c r="I371" s="90" t="s">
        <v>1093</v>
      </c>
      <c r="K371" s="463" t="s">
        <v>1563</v>
      </c>
    </row>
    <row r="372" spans="1:11" hidden="1" x14ac:dyDescent="0.25">
      <c r="A372" s="48">
        <v>11</v>
      </c>
      <c r="B372" s="49" t="s">
        <v>1102</v>
      </c>
      <c r="C372" s="78" t="s">
        <v>1564</v>
      </c>
      <c r="D372" s="78" t="s">
        <v>1565</v>
      </c>
      <c r="E372" s="50">
        <v>1</v>
      </c>
      <c r="F372" s="296">
        <v>72000</v>
      </c>
      <c r="G372" s="290">
        <v>72000</v>
      </c>
      <c r="H372" s="79" t="s">
        <v>1566</v>
      </c>
      <c r="I372" s="90" t="s">
        <v>1093</v>
      </c>
      <c r="K372" s="463" t="s">
        <v>1567</v>
      </c>
    </row>
    <row r="373" spans="1:11" hidden="1" x14ac:dyDescent="0.25">
      <c r="A373" s="48">
        <v>11</v>
      </c>
      <c r="B373" s="49" t="s">
        <v>1102</v>
      </c>
      <c r="C373" s="78" t="s">
        <v>1568</v>
      </c>
      <c r="D373" s="78" t="s">
        <v>1569</v>
      </c>
      <c r="E373" s="50">
        <v>1</v>
      </c>
      <c r="F373" s="296">
        <v>1149000</v>
      </c>
      <c r="G373" s="290">
        <v>1149000</v>
      </c>
      <c r="H373" s="79" t="s">
        <v>810</v>
      </c>
      <c r="I373" s="90" t="s">
        <v>1093</v>
      </c>
      <c r="K373" s="463" t="s">
        <v>1141</v>
      </c>
    </row>
    <row r="374" spans="1:11" hidden="1" x14ac:dyDescent="0.25">
      <c r="A374" s="48">
        <v>11</v>
      </c>
      <c r="B374" s="49" t="s">
        <v>1102</v>
      </c>
      <c r="C374" s="78" t="s">
        <v>1570</v>
      </c>
      <c r="D374" s="78" t="s">
        <v>1570</v>
      </c>
      <c r="E374" s="50">
        <v>1</v>
      </c>
      <c r="F374" s="296">
        <v>1200000</v>
      </c>
      <c r="G374" s="290">
        <v>1200000</v>
      </c>
      <c r="H374" s="85" t="s">
        <v>359</v>
      </c>
      <c r="I374" s="90" t="s">
        <v>1093</v>
      </c>
      <c r="K374" s="463" t="s">
        <v>815</v>
      </c>
    </row>
    <row r="375" spans="1:11" hidden="1" x14ac:dyDescent="0.25">
      <c r="A375" s="48">
        <v>11</v>
      </c>
      <c r="B375" s="49" t="s">
        <v>1102</v>
      </c>
      <c r="C375" s="78" t="s">
        <v>1571</v>
      </c>
      <c r="D375" s="78" t="s">
        <v>1571</v>
      </c>
      <c r="E375" s="50">
        <v>1</v>
      </c>
      <c r="F375" s="296">
        <v>432000</v>
      </c>
      <c r="G375" s="290">
        <v>432000</v>
      </c>
      <c r="H375" s="85" t="s">
        <v>359</v>
      </c>
      <c r="I375" s="90" t="s">
        <v>1093</v>
      </c>
      <c r="K375" s="463" t="s">
        <v>1141</v>
      </c>
    </row>
    <row r="376" spans="1:11" hidden="1" x14ac:dyDescent="0.25">
      <c r="A376" s="48">
        <v>11</v>
      </c>
      <c r="B376" s="49" t="s">
        <v>1102</v>
      </c>
      <c r="C376" s="78" t="s">
        <v>1572</v>
      </c>
      <c r="D376" s="78" t="s">
        <v>1572</v>
      </c>
      <c r="E376" s="50">
        <v>1</v>
      </c>
      <c r="F376" s="296">
        <v>19944200</v>
      </c>
      <c r="G376" s="290">
        <v>19944200</v>
      </c>
      <c r="H376" s="447" t="s">
        <v>359</v>
      </c>
      <c r="I376" s="90" t="s">
        <v>1093</v>
      </c>
      <c r="K376" s="463" t="s">
        <v>1113</v>
      </c>
    </row>
    <row r="377" spans="1:11" hidden="1" x14ac:dyDescent="0.25">
      <c r="A377" s="48">
        <v>11</v>
      </c>
      <c r="B377" s="49" t="s">
        <v>1102</v>
      </c>
      <c r="C377" s="78" t="s">
        <v>1573</v>
      </c>
      <c r="D377" s="78" t="s">
        <v>1574</v>
      </c>
      <c r="E377" s="50">
        <v>1</v>
      </c>
      <c r="F377" s="296">
        <v>16523800</v>
      </c>
      <c r="G377" s="290">
        <v>16523800</v>
      </c>
      <c r="H377" s="85" t="s">
        <v>819</v>
      </c>
      <c r="I377" s="90" t="s">
        <v>1093</v>
      </c>
      <c r="J377" t="s">
        <v>130</v>
      </c>
      <c r="K377" s="463" t="s">
        <v>1575</v>
      </c>
    </row>
    <row r="378" spans="1:11" hidden="1" x14ac:dyDescent="0.25">
      <c r="A378" s="48">
        <v>11</v>
      </c>
      <c r="B378" s="49" t="s">
        <v>1102</v>
      </c>
      <c r="C378" s="78" t="s">
        <v>1576</v>
      </c>
      <c r="D378" s="78" t="s">
        <v>1576</v>
      </c>
      <c r="E378" s="50">
        <v>1</v>
      </c>
      <c r="F378" s="296">
        <v>200000</v>
      </c>
      <c r="G378" s="290">
        <v>200000</v>
      </c>
      <c r="H378" s="85" t="s">
        <v>359</v>
      </c>
      <c r="I378" s="90" t="s">
        <v>1093</v>
      </c>
      <c r="K378" s="463" t="s">
        <v>1141</v>
      </c>
    </row>
    <row r="379" spans="1:11" hidden="1" x14ac:dyDescent="0.25">
      <c r="A379" s="48">
        <v>11</v>
      </c>
      <c r="B379" s="49" t="s">
        <v>1102</v>
      </c>
      <c r="C379" s="78" t="s">
        <v>1577</v>
      </c>
      <c r="D379" s="78" t="s">
        <v>1577</v>
      </c>
      <c r="E379" s="50">
        <v>1</v>
      </c>
      <c r="F379" s="296">
        <v>15000</v>
      </c>
      <c r="G379" s="290">
        <v>15000</v>
      </c>
      <c r="H379" s="85" t="s">
        <v>359</v>
      </c>
      <c r="I379" s="90" t="s">
        <v>1093</v>
      </c>
      <c r="K379" s="463" t="s">
        <v>1108</v>
      </c>
    </row>
    <row r="380" spans="1:11" hidden="1" x14ac:dyDescent="0.25">
      <c r="A380" s="48">
        <v>11</v>
      </c>
      <c r="B380" s="49" t="s">
        <v>1077</v>
      </c>
      <c r="C380" s="78" t="s">
        <v>360</v>
      </c>
      <c r="D380" s="78" t="s">
        <v>360</v>
      </c>
      <c r="E380" s="50">
        <v>1</v>
      </c>
      <c r="F380" s="296">
        <v>364000</v>
      </c>
      <c r="G380" s="290">
        <v>364000</v>
      </c>
      <c r="H380" s="85" t="s">
        <v>359</v>
      </c>
      <c r="I380" s="90" t="s">
        <v>1093</v>
      </c>
      <c r="K380" s="463" t="s">
        <v>1141</v>
      </c>
    </row>
    <row r="381" spans="1:11" hidden="1" x14ac:dyDescent="0.25">
      <c r="A381" s="48">
        <v>11</v>
      </c>
      <c r="B381" s="49" t="s">
        <v>1077</v>
      </c>
      <c r="C381" s="78" t="s">
        <v>360</v>
      </c>
      <c r="D381" s="78" t="s">
        <v>360</v>
      </c>
      <c r="E381" s="50">
        <v>1</v>
      </c>
      <c r="F381" s="296">
        <v>364000</v>
      </c>
      <c r="G381" s="290">
        <v>364000</v>
      </c>
      <c r="H381" s="85" t="s">
        <v>359</v>
      </c>
      <c r="I381" s="90" t="s">
        <v>1093</v>
      </c>
      <c r="K381" s="463" t="s">
        <v>1141</v>
      </c>
    </row>
    <row r="382" spans="1:11" hidden="1" x14ac:dyDescent="0.25">
      <c r="A382" s="48">
        <v>11</v>
      </c>
      <c r="B382" s="49" t="s">
        <v>1077</v>
      </c>
      <c r="C382" s="78" t="s">
        <v>361</v>
      </c>
      <c r="D382" s="78" t="s">
        <v>361</v>
      </c>
      <c r="E382" s="50">
        <v>1</v>
      </c>
      <c r="F382" s="296">
        <v>1124100</v>
      </c>
      <c r="G382" s="290">
        <v>1124100</v>
      </c>
      <c r="H382" s="85" t="s">
        <v>359</v>
      </c>
      <c r="I382" s="90" t="s">
        <v>1093</v>
      </c>
      <c r="K382" s="463" t="s">
        <v>1141</v>
      </c>
    </row>
    <row r="383" spans="1:11" hidden="1" x14ac:dyDescent="0.25">
      <c r="A383" s="48">
        <v>11</v>
      </c>
      <c r="B383" s="49" t="s">
        <v>1077</v>
      </c>
      <c r="C383" s="49" t="s">
        <v>360</v>
      </c>
      <c r="D383" s="49" t="s">
        <v>362</v>
      </c>
      <c r="E383" s="50">
        <v>2</v>
      </c>
      <c r="F383" s="290">
        <v>364000</v>
      </c>
      <c r="G383" s="290">
        <v>728000</v>
      </c>
      <c r="H383" s="107" t="s">
        <v>359</v>
      </c>
      <c r="I383" s="90" t="s">
        <v>1093</v>
      </c>
      <c r="K383" s="463" t="s">
        <v>1141</v>
      </c>
    </row>
    <row r="384" spans="1:11" hidden="1" x14ac:dyDescent="0.25">
      <c r="A384" s="48">
        <v>11</v>
      </c>
      <c r="B384" s="49" t="s">
        <v>1082</v>
      </c>
      <c r="C384" s="49" t="s">
        <v>1578</v>
      </c>
      <c r="D384" s="49" t="s">
        <v>1579</v>
      </c>
      <c r="E384" s="50">
        <v>1</v>
      </c>
      <c r="F384" s="290">
        <v>2288950</v>
      </c>
      <c r="G384" s="290">
        <v>2288950</v>
      </c>
      <c r="H384" s="107" t="s">
        <v>1580</v>
      </c>
      <c r="I384" s="90" t="s">
        <v>1093</v>
      </c>
      <c r="J384" t="s">
        <v>130</v>
      </c>
      <c r="K384" s="463" t="s">
        <v>1581</v>
      </c>
    </row>
    <row r="385" spans="1:11" hidden="1" x14ac:dyDescent="0.25">
      <c r="A385" s="48">
        <v>11</v>
      </c>
      <c r="B385" s="49" t="s">
        <v>1086</v>
      </c>
      <c r="C385" s="49" t="s">
        <v>1195</v>
      </c>
      <c r="D385" s="49" t="s">
        <v>1195</v>
      </c>
      <c r="E385" s="50">
        <v>1</v>
      </c>
      <c r="F385" s="290">
        <v>1076000</v>
      </c>
      <c r="G385" s="290">
        <v>1076000</v>
      </c>
      <c r="H385" s="107" t="s">
        <v>359</v>
      </c>
      <c r="I385" s="90" t="s">
        <v>1093</v>
      </c>
      <c r="K385" s="463" t="s">
        <v>1195</v>
      </c>
    </row>
    <row r="386" spans="1:11" hidden="1" x14ac:dyDescent="0.25">
      <c r="A386" s="48">
        <v>11</v>
      </c>
      <c r="B386" s="49" t="s">
        <v>1082</v>
      </c>
      <c r="C386" s="49" t="s">
        <v>1083</v>
      </c>
      <c r="D386" s="49" t="s">
        <v>1582</v>
      </c>
      <c r="E386" s="50">
        <v>1</v>
      </c>
      <c r="F386" s="290">
        <v>200000</v>
      </c>
      <c r="G386" s="290">
        <v>200000</v>
      </c>
      <c r="H386" s="107" t="s">
        <v>359</v>
      </c>
      <c r="I386" s="90" t="s">
        <v>1093</v>
      </c>
      <c r="K386" s="463" t="s">
        <v>1141</v>
      </c>
    </row>
    <row r="387" spans="1:11" hidden="1" x14ac:dyDescent="0.25">
      <c r="A387" s="48">
        <v>11</v>
      </c>
      <c r="B387" s="49" t="s">
        <v>1102</v>
      </c>
      <c r="C387" s="288" t="s">
        <v>1583</v>
      </c>
      <c r="D387" s="288" t="s">
        <v>1583</v>
      </c>
      <c r="E387" s="50">
        <v>1</v>
      </c>
      <c r="F387" s="291">
        <v>66000</v>
      </c>
      <c r="G387" s="290">
        <v>66000</v>
      </c>
      <c r="H387" s="86" t="s">
        <v>1358</v>
      </c>
      <c r="I387" s="89" t="s">
        <v>1078</v>
      </c>
      <c r="K387" s="463" t="s">
        <v>1108</v>
      </c>
    </row>
    <row r="388" spans="1:11" hidden="1" x14ac:dyDescent="0.25">
      <c r="A388" s="48">
        <v>11</v>
      </c>
      <c r="B388" s="49" t="s">
        <v>1102</v>
      </c>
      <c r="C388" s="288" t="s">
        <v>1584</v>
      </c>
      <c r="D388" s="288" t="s">
        <v>1584</v>
      </c>
      <c r="E388" s="50">
        <v>1</v>
      </c>
      <c r="F388" s="289">
        <v>66000</v>
      </c>
      <c r="G388" s="290">
        <v>66000</v>
      </c>
      <c r="H388" s="86" t="s">
        <v>1358</v>
      </c>
      <c r="I388" s="89" t="s">
        <v>1078</v>
      </c>
      <c r="K388" s="463" t="s">
        <v>1108</v>
      </c>
    </row>
    <row r="389" spans="1:11" hidden="1" x14ac:dyDescent="0.25">
      <c r="A389" s="48">
        <v>11</v>
      </c>
      <c r="B389" s="49" t="s">
        <v>1102</v>
      </c>
      <c r="C389" s="288" t="s">
        <v>1585</v>
      </c>
      <c r="D389" s="288" t="s">
        <v>1585</v>
      </c>
      <c r="E389" s="50">
        <v>1</v>
      </c>
      <c r="F389" s="291">
        <v>66000</v>
      </c>
      <c r="G389" s="290">
        <v>66000</v>
      </c>
      <c r="H389" s="86" t="s">
        <v>1358</v>
      </c>
      <c r="I389" s="89" t="s">
        <v>1078</v>
      </c>
      <c r="K389" s="463" t="s">
        <v>1108</v>
      </c>
    </row>
    <row r="390" spans="1:11" hidden="1" x14ac:dyDescent="0.25">
      <c r="A390" s="48">
        <v>11</v>
      </c>
      <c r="B390" s="49" t="s">
        <v>1077</v>
      </c>
      <c r="C390" s="288" t="s">
        <v>363</v>
      </c>
      <c r="D390" s="288" t="s">
        <v>363</v>
      </c>
      <c r="E390" s="50">
        <v>1</v>
      </c>
      <c r="F390" s="289">
        <v>377500</v>
      </c>
      <c r="G390" s="290">
        <v>377500</v>
      </c>
      <c r="H390" s="82" t="s">
        <v>319</v>
      </c>
      <c r="I390" s="89" t="s">
        <v>1078</v>
      </c>
      <c r="K390" s="463" t="s">
        <v>1108</v>
      </c>
    </row>
    <row r="391" spans="1:11" hidden="1" x14ac:dyDescent="0.25">
      <c r="A391" s="48">
        <v>11</v>
      </c>
      <c r="B391" s="49" t="s">
        <v>1102</v>
      </c>
      <c r="C391" s="288" t="s">
        <v>1586</v>
      </c>
      <c r="D391" s="288" t="s">
        <v>1586</v>
      </c>
      <c r="E391" s="50">
        <v>1</v>
      </c>
      <c r="F391" s="291">
        <v>30000</v>
      </c>
      <c r="G391" s="290">
        <v>30000</v>
      </c>
      <c r="H391" s="82" t="s">
        <v>319</v>
      </c>
      <c r="I391" s="89" t="s">
        <v>1078</v>
      </c>
      <c r="K391" s="463" t="s">
        <v>1105</v>
      </c>
    </row>
    <row r="392" spans="1:11" hidden="1" x14ac:dyDescent="0.25">
      <c r="A392" s="48">
        <v>11</v>
      </c>
      <c r="B392" s="49" t="s">
        <v>1102</v>
      </c>
      <c r="C392" s="288" t="s">
        <v>1587</v>
      </c>
      <c r="D392" s="288" t="s">
        <v>1587</v>
      </c>
      <c r="E392" s="50">
        <v>1</v>
      </c>
      <c r="F392" s="289">
        <v>300000</v>
      </c>
      <c r="G392" s="290">
        <v>300000</v>
      </c>
      <c r="H392" s="82" t="s">
        <v>319</v>
      </c>
      <c r="I392" s="89" t="s">
        <v>1078</v>
      </c>
      <c r="K392" s="463" t="s">
        <v>1108</v>
      </c>
    </row>
    <row r="393" spans="1:11" hidden="1" x14ac:dyDescent="0.25">
      <c r="A393" s="48">
        <v>11</v>
      </c>
      <c r="B393" s="49" t="s">
        <v>1102</v>
      </c>
      <c r="C393" s="288" t="s">
        <v>1588</v>
      </c>
      <c r="D393" s="288" t="s">
        <v>1588</v>
      </c>
      <c r="E393" s="50">
        <v>1</v>
      </c>
      <c r="F393" s="291">
        <v>85000</v>
      </c>
      <c r="G393" s="290">
        <v>85000</v>
      </c>
      <c r="H393" s="82" t="s">
        <v>319</v>
      </c>
      <c r="I393" s="89" t="s">
        <v>1078</v>
      </c>
      <c r="K393" s="463" t="s">
        <v>1108</v>
      </c>
    </row>
    <row r="394" spans="1:11" hidden="1" x14ac:dyDescent="0.25">
      <c r="A394" s="48">
        <v>11</v>
      </c>
      <c r="B394" s="49" t="s">
        <v>949</v>
      </c>
      <c r="C394" s="288" t="s">
        <v>1589</v>
      </c>
      <c r="D394" s="288" t="s">
        <v>1589</v>
      </c>
      <c r="E394" s="50">
        <v>1</v>
      </c>
      <c r="F394" s="289">
        <v>29000</v>
      </c>
      <c r="G394" s="290">
        <v>29000</v>
      </c>
      <c r="H394" s="82" t="s">
        <v>319</v>
      </c>
      <c r="I394" s="89" t="s">
        <v>1078</v>
      </c>
      <c r="K394" s="463" t="s">
        <v>1108</v>
      </c>
    </row>
    <row r="395" spans="1:11" hidden="1" x14ac:dyDescent="0.25">
      <c r="A395" s="48">
        <v>11</v>
      </c>
      <c r="B395" s="49" t="s">
        <v>1082</v>
      </c>
      <c r="C395" s="288" t="s">
        <v>1590</v>
      </c>
      <c r="D395" s="288" t="s">
        <v>1590</v>
      </c>
      <c r="E395" s="50">
        <v>1</v>
      </c>
      <c r="F395" s="289">
        <v>77300</v>
      </c>
      <c r="G395" s="290">
        <v>77300</v>
      </c>
      <c r="H395" s="82" t="s">
        <v>319</v>
      </c>
      <c r="I395" s="89" t="s">
        <v>1078</v>
      </c>
      <c r="K395" s="463" t="s">
        <v>1108</v>
      </c>
    </row>
    <row r="396" spans="1:11" hidden="1" x14ac:dyDescent="0.25">
      <c r="A396" s="48">
        <v>11</v>
      </c>
      <c r="B396" s="49" t="s">
        <v>1082</v>
      </c>
      <c r="C396" s="288" t="s">
        <v>1591</v>
      </c>
      <c r="D396" s="288" t="s">
        <v>1591</v>
      </c>
      <c r="E396" s="50">
        <v>1</v>
      </c>
      <c r="F396" s="291">
        <v>46500</v>
      </c>
      <c r="G396" s="290">
        <v>46500</v>
      </c>
      <c r="H396" s="82" t="s">
        <v>319</v>
      </c>
      <c r="I396" s="89" t="s">
        <v>1078</v>
      </c>
      <c r="K396" s="463" t="s">
        <v>1108</v>
      </c>
    </row>
    <row r="397" spans="1:11" hidden="1" x14ac:dyDescent="0.25">
      <c r="A397" s="48">
        <v>11</v>
      </c>
      <c r="B397" s="49" t="s">
        <v>1592</v>
      </c>
      <c r="C397" s="95" t="s">
        <v>816</v>
      </c>
      <c r="D397" s="95" t="s">
        <v>1593</v>
      </c>
      <c r="E397" s="50">
        <v>1</v>
      </c>
      <c r="F397" s="291">
        <v>900000</v>
      </c>
      <c r="G397" s="290">
        <v>900000</v>
      </c>
      <c r="H397" s="96" t="s">
        <v>1594</v>
      </c>
      <c r="I397" s="97" t="s">
        <v>1078</v>
      </c>
      <c r="J397" s="98" t="s">
        <v>121</v>
      </c>
      <c r="K397" s="463" t="s">
        <v>815</v>
      </c>
    </row>
    <row r="398" spans="1:11" hidden="1" x14ac:dyDescent="0.25">
      <c r="A398" s="48">
        <v>11</v>
      </c>
      <c r="B398" s="49" t="s">
        <v>1367</v>
      </c>
      <c r="C398" s="95" t="s">
        <v>1087</v>
      </c>
      <c r="D398" s="95" t="s">
        <v>1087</v>
      </c>
      <c r="E398" s="50">
        <v>200</v>
      </c>
      <c r="F398" s="291">
        <v>150</v>
      </c>
      <c r="G398" s="290">
        <v>30000</v>
      </c>
      <c r="H398" s="96" t="s">
        <v>391</v>
      </c>
      <c r="I398" s="97" t="s">
        <v>1078</v>
      </c>
      <c r="J398" s="98" t="s">
        <v>121</v>
      </c>
      <c r="K398" s="463" t="s">
        <v>1090</v>
      </c>
    </row>
    <row r="399" spans="1:11" hidden="1" x14ac:dyDescent="0.25">
      <c r="A399" s="48">
        <v>11</v>
      </c>
      <c r="B399" s="49" t="s">
        <v>1367</v>
      </c>
      <c r="C399" s="95" t="s">
        <v>1595</v>
      </c>
      <c r="D399" s="95" t="s">
        <v>1596</v>
      </c>
      <c r="E399" s="50">
        <v>2</v>
      </c>
      <c r="F399" s="291">
        <v>9500</v>
      </c>
      <c r="G399" s="290">
        <v>19000</v>
      </c>
      <c r="H399" s="96" t="s">
        <v>1597</v>
      </c>
      <c r="I399" s="97" t="s">
        <v>1078</v>
      </c>
      <c r="J399" s="98" t="s">
        <v>121</v>
      </c>
      <c r="K399" s="463" t="s">
        <v>1099</v>
      </c>
    </row>
    <row r="400" spans="1:11" hidden="1" x14ac:dyDescent="0.25">
      <c r="A400" s="48">
        <v>11</v>
      </c>
      <c r="B400" s="49" t="s">
        <v>1367</v>
      </c>
      <c r="C400" s="95" t="s">
        <v>1598</v>
      </c>
      <c r="D400" s="95" t="s">
        <v>1599</v>
      </c>
      <c r="E400" s="50">
        <v>2</v>
      </c>
      <c r="F400" s="291">
        <v>5000</v>
      </c>
      <c r="G400" s="290">
        <v>10000</v>
      </c>
      <c r="H400" s="96" t="s">
        <v>1597</v>
      </c>
      <c r="I400" s="97" t="s">
        <v>1078</v>
      </c>
      <c r="J400" s="98" t="s">
        <v>121</v>
      </c>
      <c r="K400" s="463" t="s">
        <v>1099</v>
      </c>
    </row>
    <row r="401" spans="1:11" hidden="1" x14ac:dyDescent="0.25">
      <c r="A401" s="48">
        <v>11</v>
      </c>
      <c r="B401" s="49" t="s">
        <v>1592</v>
      </c>
      <c r="C401" s="95" t="s">
        <v>1600</v>
      </c>
      <c r="D401" s="95" t="s">
        <v>1600</v>
      </c>
      <c r="E401" s="50">
        <v>1</v>
      </c>
      <c r="F401" s="291">
        <v>30000</v>
      </c>
      <c r="G401" s="290">
        <v>30000</v>
      </c>
      <c r="H401" s="96" t="s">
        <v>391</v>
      </c>
      <c r="I401" s="97" t="s">
        <v>1078</v>
      </c>
      <c r="J401" s="98" t="s">
        <v>121</v>
      </c>
      <c r="K401" s="463" t="s">
        <v>1105</v>
      </c>
    </row>
    <row r="402" spans="1:11" hidden="1" x14ac:dyDescent="0.25">
      <c r="A402" s="48">
        <v>11</v>
      </c>
      <c r="B402" s="49" t="s">
        <v>1461</v>
      </c>
      <c r="C402" s="95" t="s">
        <v>1601</v>
      </c>
      <c r="D402" s="95" t="s">
        <v>1602</v>
      </c>
      <c r="E402" s="50">
        <v>1</v>
      </c>
      <c r="F402" s="291">
        <v>85000</v>
      </c>
      <c r="G402" s="290">
        <v>85000</v>
      </c>
      <c r="H402" s="96" t="s">
        <v>391</v>
      </c>
      <c r="I402" s="97" t="s">
        <v>1078</v>
      </c>
      <c r="J402" s="98" t="s">
        <v>121</v>
      </c>
      <c r="K402" s="463" t="s">
        <v>1141</v>
      </c>
    </row>
    <row r="403" spans="1:11" hidden="1" x14ac:dyDescent="0.25">
      <c r="A403" s="48">
        <v>11</v>
      </c>
      <c r="B403" s="49" t="s">
        <v>1505</v>
      </c>
      <c r="C403" s="95" t="s">
        <v>1603</v>
      </c>
      <c r="D403" s="95" t="s">
        <v>1604</v>
      </c>
      <c r="E403" s="50">
        <v>1</v>
      </c>
      <c r="F403" s="291">
        <v>25750</v>
      </c>
      <c r="G403" s="290">
        <v>25750</v>
      </c>
      <c r="H403" s="96" t="s">
        <v>364</v>
      </c>
      <c r="I403" s="97" t="s">
        <v>1078</v>
      </c>
      <c r="J403" s="98" t="s">
        <v>121</v>
      </c>
      <c r="K403" s="463" t="s">
        <v>1141</v>
      </c>
    </row>
    <row r="404" spans="1:11" hidden="1" x14ac:dyDescent="0.25">
      <c r="A404" s="48">
        <v>11</v>
      </c>
      <c r="B404" s="49" t="s">
        <v>1505</v>
      </c>
      <c r="C404" s="95" t="s">
        <v>1603</v>
      </c>
      <c r="D404" s="95" t="s">
        <v>1605</v>
      </c>
      <c r="E404" s="50">
        <v>1</v>
      </c>
      <c r="F404" s="291">
        <v>25750</v>
      </c>
      <c r="G404" s="290">
        <v>25750</v>
      </c>
      <c r="H404" s="96" t="s">
        <v>364</v>
      </c>
      <c r="I404" s="97" t="s">
        <v>1078</v>
      </c>
      <c r="J404" s="98" t="s">
        <v>121</v>
      </c>
      <c r="K404" s="463" t="s">
        <v>1141</v>
      </c>
    </row>
    <row r="405" spans="1:11" hidden="1" x14ac:dyDescent="0.25">
      <c r="A405" s="48">
        <v>11</v>
      </c>
      <c r="B405" s="49" t="s">
        <v>1367</v>
      </c>
      <c r="C405" s="95" t="s">
        <v>1606</v>
      </c>
      <c r="D405" s="95" t="s">
        <v>1607</v>
      </c>
      <c r="E405" s="50">
        <v>1</v>
      </c>
      <c r="F405" s="291">
        <v>300</v>
      </c>
      <c r="G405" s="290">
        <v>300</v>
      </c>
      <c r="H405" s="96" t="s">
        <v>364</v>
      </c>
      <c r="I405" s="97" t="s">
        <v>1078</v>
      </c>
      <c r="J405" s="98" t="s">
        <v>121</v>
      </c>
      <c r="K405" s="463" t="s">
        <v>1079</v>
      </c>
    </row>
    <row r="406" spans="1:11" hidden="1" x14ac:dyDescent="0.25">
      <c r="A406" s="48">
        <v>11</v>
      </c>
      <c r="B406" s="49" t="s">
        <v>1077</v>
      </c>
      <c r="C406" s="95" t="s">
        <v>365</v>
      </c>
      <c r="D406" s="95" t="s">
        <v>366</v>
      </c>
      <c r="E406" s="50">
        <v>1</v>
      </c>
      <c r="F406" s="291">
        <v>12750</v>
      </c>
      <c r="G406" s="290">
        <v>12750</v>
      </c>
      <c r="H406" s="96" t="s">
        <v>364</v>
      </c>
      <c r="I406" s="97" t="s">
        <v>1078</v>
      </c>
      <c r="J406" s="98" t="s">
        <v>121</v>
      </c>
      <c r="K406" s="463" t="s">
        <v>1141</v>
      </c>
    </row>
    <row r="407" spans="1:11" hidden="1" x14ac:dyDescent="0.25">
      <c r="A407" s="48">
        <v>11</v>
      </c>
      <c r="B407" s="49" t="s">
        <v>1077</v>
      </c>
      <c r="C407" s="95" t="s">
        <v>365</v>
      </c>
      <c r="D407" s="95" t="s">
        <v>367</v>
      </c>
      <c r="E407" s="50">
        <v>1</v>
      </c>
      <c r="F407" s="291">
        <v>12750</v>
      </c>
      <c r="G407" s="290">
        <v>12750</v>
      </c>
      <c r="H407" s="96" t="s">
        <v>364</v>
      </c>
      <c r="I407" s="97" t="s">
        <v>1078</v>
      </c>
      <c r="J407" s="98" t="s">
        <v>121</v>
      </c>
      <c r="K407" s="463" t="s">
        <v>1141</v>
      </c>
    </row>
    <row r="408" spans="1:11" hidden="1" x14ac:dyDescent="0.25">
      <c r="A408" s="48">
        <v>11</v>
      </c>
      <c r="B408" s="49" t="s">
        <v>1505</v>
      </c>
      <c r="C408" s="95" t="s">
        <v>1603</v>
      </c>
      <c r="D408" s="95" t="s">
        <v>1604</v>
      </c>
      <c r="E408" s="50">
        <v>1</v>
      </c>
      <c r="F408" s="291">
        <v>25750</v>
      </c>
      <c r="G408" s="290">
        <v>25750</v>
      </c>
      <c r="H408" s="96" t="s">
        <v>1608</v>
      </c>
      <c r="I408" s="97" t="s">
        <v>1078</v>
      </c>
      <c r="J408" s="98" t="s">
        <v>121</v>
      </c>
      <c r="K408" s="463" t="s">
        <v>1079</v>
      </c>
    </row>
    <row r="409" spans="1:11" hidden="1" x14ac:dyDescent="0.25">
      <c r="A409" s="48">
        <v>11</v>
      </c>
      <c r="B409" s="49" t="s">
        <v>1505</v>
      </c>
      <c r="C409" s="95" t="s">
        <v>1609</v>
      </c>
      <c r="D409" s="95" t="s">
        <v>1610</v>
      </c>
      <c r="E409" s="50">
        <v>1</v>
      </c>
      <c r="F409" s="291">
        <v>4150</v>
      </c>
      <c r="G409" s="290">
        <v>4150</v>
      </c>
      <c r="H409" s="96" t="s">
        <v>1608</v>
      </c>
      <c r="I409" s="97" t="s">
        <v>1078</v>
      </c>
      <c r="J409" s="98" t="s">
        <v>121</v>
      </c>
      <c r="K409" s="463" t="s">
        <v>1079</v>
      </c>
    </row>
    <row r="410" spans="1:11" hidden="1" x14ac:dyDescent="0.25">
      <c r="A410" s="48">
        <v>11</v>
      </c>
      <c r="B410" s="49" t="s">
        <v>1505</v>
      </c>
      <c r="C410" s="95" t="s">
        <v>1609</v>
      </c>
      <c r="D410" s="95" t="s">
        <v>1611</v>
      </c>
      <c r="E410" s="50">
        <v>1</v>
      </c>
      <c r="F410" s="291">
        <v>4150</v>
      </c>
      <c r="G410" s="290">
        <v>4150</v>
      </c>
      <c r="H410" s="96" t="s">
        <v>1608</v>
      </c>
      <c r="I410" s="97" t="s">
        <v>1078</v>
      </c>
      <c r="J410" s="98" t="s">
        <v>121</v>
      </c>
      <c r="K410" s="463" t="s">
        <v>1079</v>
      </c>
    </row>
    <row r="411" spans="1:11" hidden="1" x14ac:dyDescent="0.25">
      <c r="A411" s="48">
        <v>11</v>
      </c>
      <c r="B411" s="49" t="s">
        <v>1505</v>
      </c>
      <c r="C411" s="95" t="s">
        <v>1609</v>
      </c>
      <c r="D411" s="95" t="s">
        <v>1612</v>
      </c>
      <c r="E411" s="50">
        <v>1</v>
      </c>
      <c r="F411" s="291">
        <v>4150</v>
      </c>
      <c r="G411" s="290">
        <v>4150</v>
      </c>
      <c r="H411" s="96" t="s">
        <v>1608</v>
      </c>
      <c r="I411" s="97" t="s">
        <v>1078</v>
      </c>
      <c r="J411" s="98" t="s">
        <v>121</v>
      </c>
      <c r="K411" s="463" t="s">
        <v>1079</v>
      </c>
    </row>
    <row r="412" spans="1:11" hidden="1" x14ac:dyDescent="0.25">
      <c r="A412" s="48">
        <v>11</v>
      </c>
      <c r="B412" s="49" t="s">
        <v>1505</v>
      </c>
      <c r="C412" s="95" t="s">
        <v>1609</v>
      </c>
      <c r="D412" s="95" t="s">
        <v>1613</v>
      </c>
      <c r="E412" s="50">
        <v>1</v>
      </c>
      <c r="F412" s="291">
        <v>4150</v>
      </c>
      <c r="G412" s="290">
        <v>4150</v>
      </c>
      <c r="H412" s="96" t="s">
        <v>1608</v>
      </c>
      <c r="I412" s="97" t="s">
        <v>1078</v>
      </c>
      <c r="J412" s="98" t="s">
        <v>121</v>
      </c>
      <c r="K412" s="463" t="s">
        <v>1079</v>
      </c>
    </row>
    <row r="413" spans="1:11" hidden="1" x14ac:dyDescent="0.25">
      <c r="A413" s="48">
        <v>11</v>
      </c>
      <c r="B413" s="49" t="s">
        <v>1505</v>
      </c>
      <c r="C413" s="95" t="s">
        <v>1609</v>
      </c>
      <c r="D413" s="95" t="s">
        <v>1614</v>
      </c>
      <c r="E413" s="50">
        <v>1</v>
      </c>
      <c r="F413" s="291">
        <v>4150</v>
      </c>
      <c r="G413" s="290">
        <v>4150</v>
      </c>
      <c r="H413" s="96" t="s">
        <v>1608</v>
      </c>
      <c r="I413" s="97" t="s">
        <v>1078</v>
      </c>
      <c r="J413" s="98" t="s">
        <v>121</v>
      </c>
      <c r="K413" s="463" t="s">
        <v>1079</v>
      </c>
    </row>
    <row r="414" spans="1:11" hidden="1" x14ac:dyDescent="0.25">
      <c r="A414" s="48">
        <v>11</v>
      </c>
      <c r="B414" s="49" t="s">
        <v>1615</v>
      </c>
      <c r="C414" s="95" t="s">
        <v>1616</v>
      </c>
      <c r="D414" s="95" t="s">
        <v>1616</v>
      </c>
      <c r="E414" s="50">
        <v>1</v>
      </c>
      <c r="F414" s="291">
        <v>66000</v>
      </c>
      <c r="G414" s="290">
        <v>66000</v>
      </c>
      <c r="H414" s="96" t="s">
        <v>391</v>
      </c>
      <c r="I414" s="97" t="s">
        <v>1078</v>
      </c>
      <c r="J414" s="98" t="s">
        <v>121</v>
      </c>
      <c r="K414" s="463" t="s">
        <v>1108</v>
      </c>
    </row>
    <row r="415" spans="1:11" hidden="1" x14ac:dyDescent="0.25">
      <c r="A415" s="48">
        <v>11</v>
      </c>
      <c r="B415" s="49" t="s">
        <v>1615</v>
      </c>
      <c r="C415" s="95" t="s">
        <v>1617</v>
      </c>
      <c r="D415" s="95" t="s">
        <v>1617</v>
      </c>
      <c r="E415" s="50">
        <v>1</v>
      </c>
      <c r="F415" s="291">
        <v>49500</v>
      </c>
      <c r="G415" s="290">
        <v>49500</v>
      </c>
      <c r="H415" s="96" t="s">
        <v>391</v>
      </c>
      <c r="I415" s="97" t="s">
        <v>1078</v>
      </c>
      <c r="J415" s="98" t="s">
        <v>121</v>
      </c>
      <c r="K415" s="463" t="s">
        <v>1141</v>
      </c>
    </row>
    <row r="416" spans="1:11" hidden="1" x14ac:dyDescent="0.25">
      <c r="A416" s="48">
        <v>11</v>
      </c>
      <c r="B416" s="49" t="s">
        <v>1180</v>
      </c>
      <c r="C416" s="95" t="s">
        <v>1180</v>
      </c>
      <c r="D416" s="95" t="s">
        <v>1180</v>
      </c>
      <c r="E416" s="50">
        <v>1</v>
      </c>
      <c r="F416" s="291">
        <v>20000</v>
      </c>
      <c r="G416" s="290">
        <v>20000</v>
      </c>
      <c r="H416" s="96" t="s">
        <v>391</v>
      </c>
      <c r="I416" s="97" t="s">
        <v>1078</v>
      </c>
      <c r="J416" s="98" t="s">
        <v>121</v>
      </c>
      <c r="K416" s="463" t="s">
        <v>1141</v>
      </c>
    </row>
    <row r="417" spans="1:11" hidden="1" x14ac:dyDescent="0.25">
      <c r="A417" s="48">
        <v>11</v>
      </c>
      <c r="B417" s="49" t="s">
        <v>1180</v>
      </c>
      <c r="C417" s="95" t="s">
        <v>1180</v>
      </c>
      <c r="D417" s="95" t="s">
        <v>1180</v>
      </c>
      <c r="E417" s="50">
        <v>1</v>
      </c>
      <c r="F417" s="291">
        <v>50000</v>
      </c>
      <c r="G417" s="290">
        <v>50000</v>
      </c>
      <c r="H417" s="96" t="s">
        <v>391</v>
      </c>
      <c r="I417" s="97" t="s">
        <v>1078</v>
      </c>
      <c r="J417" s="98" t="s">
        <v>121</v>
      </c>
      <c r="K417" s="463" t="s">
        <v>1141</v>
      </c>
    </row>
    <row r="418" spans="1:11" hidden="1" x14ac:dyDescent="0.25">
      <c r="A418" s="48">
        <v>11</v>
      </c>
      <c r="B418" s="49" t="s">
        <v>1180</v>
      </c>
      <c r="C418" s="95" t="s">
        <v>1180</v>
      </c>
      <c r="D418" s="95" t="s">
        <v>1180</v>
      </c>
      <c r="E418" s="50">
        <v>1</v>
      </c>
      <c r="F418" s="291">
        <v>40000</v>
      </c>
      <c r="G418" s="290">
        <v>40000</v>
      </c>
      <c r="H418" s="96" t="s">
        <v>391</v>
      </c>
      <c r="I418" s="97" t="s">
        <v>1078</v>
      </c>
      <c r="J418" s="98" t="s">
        <v>121</v>
      </c>
      <c r="K418" s="463" t="s">
        <v>1141</v>
      </c>
    </row>
    <row r="419" spans="1:11" hidden="1" x14ac:dyDescent="0.25">
      <c r="A419" s="48">
        <v>11</v>
      </c>
      <c r="B419" s="49" t="s">
        <v>1180</v>
      </c>
      <c r="C419" s="95" t="s">
        <v>1180</v>
      </c>
      <c r="D419" s="95" t="s">
        <v>1180</v>
      </c>
      <c r="E419" s="50">
        <v>1</v>
      </c>
      <c r="F419" s="291">
        <v>26700</v>
      </c>
      <c r="G419" s="290">
        <v>26700</v>
      </c>
      <c r="H419" s="96" t="s">
        <v>391</v>
      </c>
      <c r="I419" s="97" t="s">
        <v>1078</v>
      </c>
      <c r="J419" s="98" t="s">
        <v>121</v>
      </c>
      <c r="K419" s="463" t="s">
        <v>1141</v>
      </c>
    </row>
    <row r="420" spans="1:11" hidden="1" x14ac:dyDescent="0.25">
      <c r="A420" s="48">
        <v>11</v>
      </c>
      <c r="B420" s="49" t="s">
        <v>1505</v>
      </c>
      <c r="C420" s="95" t="s">
        <v>1618</v>
      </c>
      <c r="D420" s="95" t="s">
        <v>1619</v>
      </c>
      <c r="E420" s="50">
        <v>1</v>
      </c>
      <c r="F420" s="291">
        <v>20900</v>
      </c>
      <c r="G420" s="290">
        <v>20900</v>
      </c>
      <c r="H420" s="96" t="s">
        <v>1620</v>
      </c>
      <c r="I420" s="97" t="s">
        <v>1078</v>
      </c>
      <c r="J420" s="98" t="s">
        <v>121</v>
      </c>
      <c r="K420" s="463" t="s">
        <v>1141</v>
      </c>
    </row>
    <row r="421" spans="1:11" hidden="1" x14ac:dyDescent="0.25">
      <c r="A421" s="48">
        <v>11</v>
      </c>
      <c r="B421" s="49" t="s">
        <v>1505</v>
      </c>
      <c r="C421" s="95" t="s">
        <v>1621</v>
      </c>
      <c r="D421" s="95" t="s">
        <v>1622</v>
      </c>
      <c r="E421" s="50">
        <v>5</v>
      </c>
      <c r="F421" s="291">
        <v>21900</v>
      </c>
      <c r="G421" s="290">
        <v>109500</v>
      </c>
      <c r="H421" s="96" t="s">
        <v>1620</v>
      </c>
      <c r="I421" s="97" t="s">
        <v>1078</v>
      </c>
      <c r="J421" s="98" t="s">
        <v>121</v>
      </c>
      <c r="K421" s="463" t="s">
        <v>1141</v>
      </c>
    </row>
    <row r="422" spans="1:11" hidden="1" x14ac:dyDescent="0.25">
      <c r="A422" s="48">
        <v>11</v>
      </c>
      <c r="B422" s="49" t="s">
        <v>1367</v>
      </c>
      <c r="C422" s="95" t="s">
        <v>1623</v>
      </c>
      <c r="D422" s="95" t="s">
        <v>1624</v>
      </c>
      <c r="E422" s="50">
        <v>2</v>
      </c>
      <c r="F422" s="291">
        <v>73</v>
      </c>
      <c r="G422" s="290">
        <v>146</v>
      </c>
      <c r="H422" s="96" t="s">
        <v>1620</v>
      </c>
      <c r="I422" s="97" t="s">
        <v>1078</v>
      </c>
      <c r="J422" s="98" t="s">
        <v>121</v>
      </c>
      <c r="K422" s="463" t="s">
        <v>1141</v>
      </c>
    </row>
    <row r="423" spans="1:11" hidden="1" x14ac:dyDescent="0.25">
      <c r="A423" s="48">
        <v>11</v>
      </c>
      <c r="B423" s="49" t="s">
        <v>1505</v>
      </c>
      <c r="C423" s="95" t="s">
        <v>1549</v>
      </c>
      <c r="D423" s="95" t="s">
        <v>1625</v>
      </c>
      <c r="E423" s="50">
        <v>1</v>
      </c>
      <c r="F423" s="291">
        <v>29900</v>
      </c>
      <c r="G423" s="290">
        <v>29900</v>
      </c>
      <c r="H423" s="96" t="s">
        <v>391</v>
      </c>
      <c r="I423" s="97" t="s">
        <v>1078</v>
      </c>
      <c r="J423" s="98" t="s">
        <v>121</v>
      </c>
      <c r="K423" s="463" t="s">
        <v>1141</v>
      </c>
    </row>
    <row r="424" spans="1:11" hidden="1" x14ac:dyDescent="0.25">
      <c r="A424" s="48">
        <v>11</v>
      </c>
      <c r="B424" s="49" t="s">
        <v>1505</v>
      </c>
      <c r="C424" s="95" t="s">
        <v>1626</v>
      </c>
      <c r="D424" s="95" t="s">
        <v>1627</v>
      </c>
      <c r="E424" s="50">
        <v>2</v>
      </c>
      <c r="F424" s="291">
        <v>3000</v>
      </c>
      <c r="G424" s="290">
        <v>6000</v>
      </c>
      <c r="H424" s="96" t="s">
        <v>391</v>
      </c>
      <c r="I424" s="97" t="s">
        <v>1078</v>
      </c>
      <c r="J424" s="98" t="s">
        <v>121</v>
      </c>
      <c r="K424" s="463" t="s">
        <v>1141</v>
      </c>
    </row>
    <row r="425" spans="1:11" hidden="1" x14ac:dyDescent="0.25">
      <c r="A425" s="48">
        <v>12</v>
      </c>
      <c r="B425" s="49" t="s">
        <v>1077</v>
      </c>
      <c r="C425" s="95" t="s">
        <v>214</v>
      </c>
      <c r="D425" s="95" t="s">
        <v>373</v>
      </c>
      <c r="E425" s="50">
        <v>26.73</v>
      </c>
      <c r="F425" s="291">
        <v>25900</v>
      </c>
      <c r="G425" s="290">
        <v>692307</v>
      </c>
      <c r="H425" s="450" t="s">
        <v>372</v>
      </c>
      <c r="I425" s="97" t="s">
        <v>1078</v>
      </c>
      <c r="J425" s="98" t="s">
        <v>121</v>
      </c>
      <c r="K425" s="463" t="s">
        <v>1113</v>
      </c>
    </row>
    <row r="426" spans="1:11" hidden="1" x14ac:dyDescent="0.25">
      <c r="A426" s="48">
        <v>12</v>
      </c>
      <c r="B426" s="49" t="s">
        <v>1077</v>
      </c>
      <c r="C426" s="95" t="s">
        <v>374</v>
      </c>
      <c r="D426" s="95" t="s">
        <v>375</v>
      </c>
      <c r="E426" s="50">
        <v>106.3</v>
      </c>
      <c r="F426" s="291">
        <v>21900</v>
      </c>
      <c r="G426" s="290">
        <v>2327970</v>
      </c>
      <c r="H426" s="450" t="s">
        <v>372</v>
      </c>
      <c r="I426" s="97" t="s">
        <v>1078</v>
      </c>
      <c r="J426" s="98" t="s">
        <v>121</v>
      </c>
      <c r="K426" s="463" t="s">
        <v>1113</v>
      </c>
    </row>
    <row r="427" spans="1:11" hidden="1" x14ac:dyDescent="0.25">
      <c r="A427" s="48">
        <v>12</v>
      </c>
      <c r="B427" s="49" t="s">
        <v>1077</v>
      </c>
      <c r="C427" s="95" t="s">
        <v>376</v>
      </c>
      <c r="D427" s="95" t="s">
        <v>377</v>
      </c>
      <c r="E427" s="50">
        <v>29.9</v>
      </c>
      <c r="F427" s="291">
        <v>34500</v>
      </c>
      <c r="G427" s="290">
        <v>1031550</v>
      </c>
      <c r="H427" s="450" t="s">
        <v>372</v>
      </c>
      <c r="I427" s="97" t="s">
        <v>1078</v>
      </c>
      <c r="J427" s="98" t="s">
        <v>121</v>
      </c>
      <c r="K427" s="463" t="s">
        <v>1113</v>
      </c>
    </row>
    <row r="428" spans="1:11" hidden="1" x14ac:dyDescent="0.25">
      <c r="A428" s="48">
        <v>12</v>
      </c>
      <c r="B428" s="49" t="s">
        <v>1082</v>
      </c>
      <c r="C428" s="95" t="s">
        <v>1628</v>
      </c>
      <c r="D428" s="95" t="s">
        <v>1629</v>
      </c>
      <c r="E428" s="50">
        <v>8</v>
      </c>
      <c r="F428" s="291">
        <v>17500</v>
      </c>
      <c r="G428" s="290">
        <v>140000</v>
      </c>
      <c r="H428" s="450" t="s">
        <v>372</v>
      </c>
      <c r="I428" s="97" t="s">
        <v>1078</v>
      </c>
      <c r="J428" s="98" t="s">
        <v>121</v>
      </c>
      <c r="K428" s="463" t="s">
        <v>1113</v>
      </c>
    </row>
    <row r="429" spans="1:11" hidden="1" x14ac:dyDescent="0.25">
      <c r="A429" s="48">
        <v>12</v>
      </c>
      <c r="B429" s="49" t="s">
        <v>1077</v>
      </c>
      <c r="C429" s="95" t="s">
        <v>284</v>
      </c>
      <c r="D429" s="95" t="s">
        <v>378</v>
      </c>
      <c r="E429" s="50">
        <v>11</v>
      </c>
      <c r="F429" s="291">
        <v>44000</v>
      </c>
      <c r="G429" s="290">
        <v>484000</v>
      </c>
      <c r="H429" s="450" t="s">
        <v>372</v>
      </c>
      <c r="I429" s="97" t="s">
        <v>1078</v>
      </c>
      <c r="J429" s="98" t="s">
        <v>121</v>
      </c>
      <c r="K429" s="463" t="s">
        <v>1113</v>
      </c>
    </row>
    <row r="430" spans="1:11" hidden="1" x14ac:dyDescent="0.25">
      <c r="A430" s="48">
        <v>12</v>
      </c>
      <c r="B430" s="49" t="s">
        <v>1077</v>
      </c>
      <c r="C430" s="95" t="s">
        <v>250</v>
      </c>
      <c r="D430" s="95" t="s">
        <v>379</v>
      </c>
      <c r="E430" s="50">
        <v>41.6</v>
      </c>
      <c r="F430" s="291">
        <v>18900</v>
      </c>
      <c r="G430" s="290">
        <v>786240</v>
      </c>
      <c r="H430" s="450" t="s">
        <v>372</v>
      </c>
      <c r="I430" s="97" t="s">
        <v>1078</v>
      </c>
      <c r="J430" s="98" t="s">
        <v>121</v>
      </c>
      <c r="K430" s="463" t="s">
        <v>1113</v>
      </c>
    </row>
    <row r="431" spans="1:11" hidden="1" x14ac:dyDescent="0.25">
      <c r="A431" s="48">
        <v>12</v>
      </c>
      <c r="B431" s="49" t="s">
        <v>1082</v>
      </c>
      <c r="C431" s="95" t="s">
        <v>1630</v>
      </c>
      <c r="D431" s="95" t="s">
        <v>1631</v>
      </c>
      <c r="E431" s="50">
        <v>20</v>
      </c>
      <c r="F431" s="291">
        <v>5200</v>
      </c>
      <c r="G431" s="290">
        <v>104000</v>
      </c>
      <c r="H431" s="450" t="s">
        <v>372</v>
      </c>
      <c r="I431" s="97" t="s">
        <v>1078</v>
      </c>
      <c r="J431" s="98" t="s">
        <v>121</v>
      </c>
      <c r="K431" s="463" t="s">
        <v>1113</v>
      </c>
    </row>
    <row r="432" spans="1:11" hidden="1" x14ac:dyDescent="0.25">
      <c r="A432" s="48">
        <v>12</v>
      </c>
      <c r="B432" s="49" t="s">
        <v>1077</v>
      </c>
      <c r="C432" s="95" t="s">
        <v>302</v>
      </c>
      <c r="D432" s="95" t="s">
        <v>380</v>
      </c>
      <c r="E432" s="50">
        <v>19.23</v>
      </c>
      <c r="F432" s="291">
        <v>26900</v>
      </c>
      <c r="G432" s="290">
        <v>517287</v>
      </c>
      <c r="H432" s="450" t="s">
        <v>372</v>
      </c>
      <c r="I432" s="97" t="s">
        <v>1078</v>
      </c>
      <c r="J432" s="98" t="s">
        <v>121</v>
      </c>
      <c r="K432" s="463" t="s">
        <v>1113</v>
      </c>
    </row>
    <row r="433" spans="1:11" hidden="1" x14ac:dyDescent="0.25">
      <c r="A433" s="48">
        <v>12</v>
      </c>
      <c r="B433" s="49" t="s">
        <v>1077</v>
      </c>
      <c r="C433" s="95" t="s">
        <v>382</v>
      </c>
      <c r="D433" s="95" t="s">
        <v>383</v>
      </c>
      <c r="E433" s="50">
        <v>9.19</v>
      </c>
      <c r="F433" s="291">
        <v>20400</v>
      </c>
      <c r="G433" s="290">
        <v>187476</v>
      </c>
      <c r="H433" s="523" t="s">
        <v>381</v>
      </c>
      <c r="I433" s="97" t="s">
        <v>1078</v>
      </c>
      <c r="J433" s="98" t="s">
        <v>121</v>
      </c>
      <c r="K433" s="463" t="s">
        <v>1191</v>
      </c>
    </row>
    <row r="434" spans="1:11" hidden="1" x14ac:dyDescent="0.25">
      <c r="A434" s="48">
        <v>12</v>
      </c>
      <c r="B434" s="49" t="s">
        <v>1077</v>
      </c>
      <c r="C434" s="95" t="s">
        <v>376</v>
      </c>
      <c r="D434" s="95" t="s">
        <v>385</v>
      </c>
      <c r="E434" s="50">
        <v>39.75</v>
      </c>
      <c r="F434" s="291">
        <v>30000</v>
      </c>
      <c r="G434" s="290">
        <v>1192500</v>
      </c>
      <c r="H434" s="523" t="s">
        <v>384</v>
      </c>
      <c r="I434" s="97" t="s">
        <v>1078</v>
      </c>
      <c r="J434" s="98" t="s">
        <v>121</v>
      </c>
      <c r="K434" s="463" t="s">
        <v>1191</v>
      </c>
    </row>
    <row r="435" spans="1:11" hidden="1" x14ac:dyDescent="0.25">
      <c r="A435" s="48">
        <v>12</v>
      </c>
      <c r="B435" s="49" t="s">
        <v>1077</v>
      </c>
      <c r="C435" s="95" t="s">
        <v>382</v>
      </c>
      <c r="D435" s="95" t="s">
        <v>383</v>
      </c>
      <c r="E435" s="50">
        <v>4.6500000000000004</v>
      </c>
      <c r="F435" s="291">
        <v>18600</v>
      </c>
      <c r="G435" s="290">
        <v>86490</v>
      </c>
      <c r="H435" s="523" t="s">
        <v>384</v>
      </c>
      <c r="I435" s="97" t="s">
        <v>1078</v>
      </c>
      <c r="J435" s="98" t="s">
        <v>121</v>
      </c>
      <c r="K435" s="463" t="s">
        <v>1191</v>
      </c>
    </row>
    <row r="436" spans="1:11" hidden="1" x14ac:dyDescent="0.25">
      <c r="A436" s="48">
        <v>12</v>
      </c>
      <c r="B436" s="49" t="s">
        <v>1082</v>
      </c>
      <c r="C436" s="95" t="s">
        <v>1632</v>
      </c>
      <c r="D436" s="95" t="s">
        <v>1633</v>
      </c>
      <c r="E436" s="50">
        <v>73.599999999999994</v>
      </c>
      <c r="F436" s="291">
        <v>1400</v>
      </c>
      <c r="G436" s="290">
        <v>103040</v>
      </c>
      <c r="H436" s="96" t="s">
        <v>1634</v>
      </c>
      <c r="I436" s="97" t="s">
        <v>1078</v>
      </c>
      <c r="J436" s="98" t="s">
        <v>121</v>
      </c>
      <c r="K436" s="463" t="s">
        <v>1141</v>
      </c>
    </row>
    <row r="437" spans="1:11" hidden="1" x14ac:dyDescent="0.25">
      <c r="A437" s="48">
        <v>12</v>
      </c>
      <c r="B437" s="49" t="s">
        <v>1082</v>
      </c>
      <c r="C437" s="95" t="s">
        <v>1379</v>
      </c>
      <c r="D437" s="95" t="s">
        <v>1635</v>
      </c>
      <c r="E437" s="50">
        <v>19.5</v>
      </c>
      <c r="F437" s="291">
        <v>2800</v>
      </c>
      <c r="G437" s="290">
        <v>54600</v>
      </c>
      <c r="H437" s="96" t="s">
        <v>1634</v>
      </c>
      <c r="I437" s="97" t="s">
        <v>1078</v>
      </c>
      <c r="J437" s="98" t="s">
        <v>121</v>
      </c>
      <c r="K437" s="463" t="s">
        <v>1141</v>
      </c>
    </row>
    <row r="438" spans="1:11" hidden="1" x14ac:dyDescent="0.25">
      <c r="A438" s="48">
        <v>12</v>
      </c>
      <c r="B438" s="49" t="s">
        <v>1082</v>
      </c>
      <c r="C438" s="95" t="s">
        <v>1636</v>
      </c>
      <c r="D438" s="95" t="s">
        <v>1637</v>
      </c>
      <c r="E438" s="50">
        <v>2</v>
      </c>
      <c r="F438" s="291">
        <v>2000</v>
      </c>
      <c r="G438" s="290">
        <v>4000</v>
      </c>
      <c r="H438" s="96" t="s">
        <v>1634</v>
      </c>
      <c r="I438" s="97" t="s">
        <v>1078</v>
      </c>
      <c r="J438" s="98" t="s">
        <v>121</v>
      </c>
      <c r="K438" s="463" t="s">
        <v>1141</v>
      </c>
    </row>
    <row r="439" spans="1:11" hidden="1" x14ac:dyDescent="0.25">
      <c r="A439" s="48">
        <v>12</v>
      </c>
      <c r="B439" s="49" t="s">
        <v>1082</v>
      </c>
      <c r="C439" s="95" t="s">
        <v>1638</v>
      </c>
      <c r="D439" s="95" t="s">
        <v>1638</v>
      </c>
      <c r="E439" s="50">
        <v>1</v>
      </c>
      <c r="F439" s="291">
        <v>10000</v>
      </c>
      <c r="G439" s="290">
        <v>10000</v>
      </c>
      <c r="H439" s="96" t="s">
        <v>1634</v>
      </c>
      <c r="I439" s="97" t="s">
        <v>1078</v>
      </c>
      <c r="J439" s="98" t="s">
        <v>121</v>
      </c>
      <c r="K439" s="463" t="s">
        <v>1141</v>
      </c>
    </row>
    <row r="440" spans="1:11" hidden="1" x14ac:dyDescent="0.25">
      <c r="A440" s="48">
        <v>12</v>
      </c>
      <c r="B440" s="49" t="s">
        <v>1082</v>
      </c>
      <c r="C440" s="95" t="s">
        <v>1639</v>
      </c>
      <c r="D440" s="95" t="s">
        <v>1639</v>
      </c>
      <c r="E440" s="50">
        <v>4.3</v>
      </c>
      <c r="F440" s="291">
        <v>3500</v>
      </c>
      <c r="G440" s="290">
        <v>15050</v>
      </c>
      <c r="H440" s="96" t="s">
        <v>1634</v>
      </c>
      <c r="I440" s="97" t="s">
        <v>1078</v>
      </c>
      <c r="J440" s="98" t="s">
        <v>121</v>
      </c>
      <c r="K440" s="463" t="s">
        <v>1141</v>
      </c>
    </row>
    <row r="441" spans="1:11" hidden="1" x14ac:dyDescent="0.25">
      <c r="A441" s="48">
        <v>12</v>
      </c>
      <c r="B441" s="49" t="s">
        <v>1082</v>
      </c>
      <c r="C441" s="95" t="s">
        <v>1403</v>
      </c>
      <c r="D441" s="95" t="s">
        <v>1640</v>
      </c>
      <c r="E441" s="50">
        <v>7.9</v>
      </c>
      <c r="F441" s="291">
        <v>2000</v>
      </c>
      <c r="G441" s="290">
        <v>15800</v>
      </c>
      <c r="H441" s="96" t="s">
        <v>1634</v>
      </c>
      <c r="I441" s="97" t="s">
        <v>1078</v>
      </c>
      <c r="J441" s="98" t="s">
        <v>121</v>
      </c>
      <c r="K441" s="463" t="s">
        <v>1141</v>
      </c>
    </row>
    <row r="442" spans="1:11" hidden="1" x14ac:dyDescent="0.25">
      <c r="A442" s="48">
        <v>12</v>
      </c>
      <c r="B442" s="49" t="s">
        <v>1082</v>
      </c>
      <c r="C442" s="95" t="s">
        <v>1641</v>
      </c>
      <c r="D442" s="95" t="s">
        <v>1642</v>
      </c>
      <c r="E442" s="50">
        <v>2.4</v>
      </c>
      <c r="F442" s="291">
        <v>2800</v>
      </c>
      <c r="G442" s="290">
        <v>6720</v>
      </c>
      <c r="H442" s="96" t="s">
        <v>1634</v>
      </c>
      <c r="I442" s="97" t="s">
        <v>1078</v>
      </c>
      <c r="J442" s="98" t="s">
        <v>121</v>
      </c>
      <c r="K442" s="463" t="s">
        <v>1141</v>
      </c>
    </row>
    <row r="443" spans="1:11" hidden="1" x14ac:dyDescent="0.25">
      <c r="A443" s="48">
        <v>12</v>
      </c>
      <c r="B443" s="49" t="s">
        <v>1082</v>
      </c>
      <c r="C443" s="95" t="s">
        <v>1377</v>
      </c>
      <c r="D443" s="95" t="s">
        <v>1643</v>
      </c>
      <c r="E443" s="50">
        <v>8</v>
      </c>
      <c r="F443" s="291">
        <v>3800</v>
      </c>
      <c r="G443" s="290">
        <v>30400</v>
      </c>
      <c r="H443" s="96" t="s">
        <v>1634</v>
      </c>
      <c r="I443" s="97" t="s">
        <v>1078</v>
      </c>
      <c r="J443" s="98" t="s">
        <v>121</v>
      </c>
      <c r="K443" s="463" t="s">
        <v>1141</v>
      </c>
    </row>
    <row r="444" spans="1:11" hidden="1" x14ac:dyDescent="0.25">
      <c r="A444" s="48">
        <v>12</v>
      </c>
      <c r="B444" s="49" t="s">
        <v>1082</v>
      </c>
      <c r="C444" s="95" t="s">
        <v>1399</v>
      </c>
      <c r="D444" s="95" t="s">
        <v>1644</v>
      </c>
      <c r="E444" s="50">
        <v>7.4</v>
      </c>
      <c r="F444" s="291">
        <v>4800</v>
      </c>
      <c r="G444" s="290">
        <v>35520</v>
      </c>
      <c r="H444" s="96" t="s">
        <v>1634</v>
      </c>
      <c r="I444" s="97" t="s">
        <v>1078</v>
      </c>
      <c r="J444" s="98" t="s">
        <v>121</v>
      </c>
      <c r="K444" s="463" t="s">
        <v>1141</v>
      </c>
    </row>
    <row r="445" spans="1:11" hidden="1" x14ac:dyDescent="0.25">
      <c r="A445" s="48">
        <v>12</v>
      </c>
      <c r="B445" s="49" t="s">
        <v>1082</v>
      </c>
      <c r="C445" s="95" t="s">
        <v>1645</v>
      </c>
      <c r="D445" s="95" t="s">
        <v>1646</v>
      </c>
      <c r="E445" s="50">
        <v>1</v>
      </c>
      <c r="F445" s="291">
        <v>60000</v>
      </c>
      <c r="G445" s="290">
        <v>60000</v>
      </c>
      <c r="H445" s="96" t="s">
        <v>1634</v>
      </c>
      <c r="I445" s="97" t="s">
        <v>1078</v>
      </c>
      <c r="J445" s="98" t="s">
        <v>121</v>
      </c>
      <c r="K445" s="463" t="s">
        <v>1141</v>
      </c>
    </row>
    <row r="446" spans="1:11" hidden="1" x14ac:dyDescent="0.25">
      <c r="A446" s="48">
        <v>12</v>
      </c>
      <c r="B446" s="49" t="s">
        <v>1082</v>
      </c>
      <c r="C446" s="95" t="s">
        <v>1401</v>
      </c>
      <c r="D446" s="95" t="s">
        <v>1647</v>
      </c>
      <c r="E446" s="50">
        <v>4</v>
      </c>
      <c r="F446" s="291">
        <v>4800</v>
      </c>
      <c r="G446" s="290">
        <v>19200</v>
      </c>
      <c r="H446" s="96" t="s">
        <v>1634</v>
      </c>
      <c r="I446" s="97" t="s">
        <v>1078</v>
      </c>
      <c r="J446" s="98" t="s">
        <v>121</v>
      </c>
      <c r="K446" s="463" t="s">
        <v>1141</v>
      </c>
    </row>
    <row r="447" spans="1:11" hidden="1" x14ac:dyDescent="0.25">
      <c r="A447" s="48">
        <v>12</v>
      </c>
      <c r="B447" s="49" t="s">
        <v>1082</v>
      </c>
      <c r="C447" s="95" t="s">
        <v>1648</v>
      </c>
      <c r="D447" s="95" t="s">
        <v>1649</v>
      </c>
      <c r="E447" s="50">
        <v>45.2</v>
      </c>
      <c r="F447" s="291">
        <v>3400</v>
      </c>
      <c r="G447" s="290">
        <v>153680</v>
      </c>
      <c r="H447" s="96" t="s">
        <v>1634</v>
      </c>
      <c r="I447" s="97" t="s">
        <v>1078</v>
      </c>
      <c r="J447" s="98" t="s">
        <v>121</v>
      </c>
      <c r="K447" s="463" t="s">
        <v>1141</v>
      </c>
    </row>
    <row r="448" spans="1:11" hidden="1" x14ac:dyDescent="0.25">
      <c r="A448" s="48">
        <v>12</v>
      </c>
      <c r="B448" s="49" t="s">
        <v>1082</v>
      </c>
      <c r="C448" s="95" t="s">
        <v>1650</v>
      </c>
      <c r="D448" s="95" t="s">
        <v>1651</v>
      </c>
      <c r="E448" s="50">
        <v>56.4</v>
      </c>
      <c r="F448" s="291">
        <v>1400</v>
      </c>
      <c r="G448" s="290">
        <v>78960</v>
      </c>
      <c r="H448" s="96" t="s">
        <v>1634</v>
      </c>
      <c r="I448" s="97" t="s">
        <v>1078</v>
      </c>
      <c r="J448" s="98" t="s">
        <v>121</v>
      </c>
      <c r="K448" s="463" t="s">
        <v>1141</v>
      </c>
    </row>
    <row r="449" spans="1:11" hidden="1" x14ac:dyDescent="0.25">
      <c r="A449" s="48">
        <v>12</v>
      </c>
      <c r="B449" s="49" t="s">
        <v>1082</v>
      </c>
      <c r="C449" s="95" t="s">
        <v>1650</v>
      </c>
      <c r="D449" s="95" t="s">
        <v>1651</v>
      </c>
      <c r="E449" s="50">
        <v>12</v>
      </c>
      <c r="F449" s="291">
        <v>1400</v>
      </c>
      <c r="G449" s="290">
        <v>16800</v>
      </c>
      <c r="H449" s="96" t="s">
        <v>1634</v>
      </c>
      <c r="I449" s="97" t="s">
        <v>1078</v>
      </c>
      <c r="J449" s="98" t="s">
        <v>121</v>
      </c>
      <c r="K449" s="463" t="s">
        <v>1141</v>
      </c>
    </row>
    <row r="450" spans="1:11" hidden="1" x14ac:dyDescent="0.25">
      <c r="A450" s="48">
        <v>12</v>
      </c>
      <c r="B450" s="49" t="s">
        <v>1652</v>
      </c>
      <c r="C450" s="95" t="s">
        <v>1653</v>
      </c>
      <c r="D450" s="95" t="s">
        <v>1654</v>
      </c>
      <c r="E450" s="50">
        <v>1</v>
      </c>
      <c r="F450" s="291">
        <v>20000</v>
      </c>
      <c r="G450" s="290">
        <v>20000</v>
      </c>
      <c r="H450" s="96" t="s">
        <v>391</v>
      </c>
      <c r="I450" s="97" t="s">
        <v>1078</v>
      </c>
      <c r="J450" s="98" t="s">
        <v>121</v>
      </c>
      <c r="K450" s="463" t="s">
        <v>1105</v>
      </c>
    </row>
    <row r="451" spans="1:11" hidden="1" x14ac:dyDescent="0.25">
      <c r="A451" s="48">
        <v>12</v>
      </c>
      <c r="B451" s="49" t="s">
        <v>1367</v>
      </c>
      <c r="C451" s="95" t="s">
        <v>1655</v>
      </c>
      <c r="D451" s="95" t="s">
        <v>1655</v>
      </c>
      <c r="E451" s="50">
        <v>10</v>
      </c>
      <c r="F451" s="291">
        <v>14700</v>
      </c>
      <c r="G451" s="290">
        <v>147000</v>
      </c>
      <c r="H451" s="96" t="s">
        <v>391</v>
      </c>
      <c r="I451" s="97" t="s">
        <v>1078</v>
      </c>
      <c r="J451" s="98" t="s">
        <v>121</v>
      </c>
      <c r="K451" s="463" t="s">
        <v>1141</v>
      </c>
    </row>
    <row r="452" spans="1:11" hidden="1" x14ac:dyDescent="0.25">
      <c r="A452" s="48">
        <v>12</v>
      </c>
      <c r="B452" s="49" t="s">
        <v>1505</v>
      </c>
      <c r="C452" s="95" t="s">
        <v>1656</v>
      </c>
      <c r="D452" s="95" t="s">
        <v>1507</v>
      </c>
      <c r="E452" s="50">
        <v>6</v>
      </c>
      <c r="F452" s="291">
        <v>22990</v>
      </c>
      <c r="G452" s="290">
        <v>137940</v>
      </c>
      <c r="H452" s="96" t="s">
        <v>1657</v>
      </c>
      <c r="I452" s="97" t="s">
        <v>1078</v>
      </c>
      <c r="J452" s="98" t="s">
        <v>121</v>
      </c>
      <c r="K452" s="463" t="s">
        <v>1141</v>
      </c>
    </row>
    <row r="453" spans="1:11" hidden="1" x14ac:dyDescent="0.25">
      <c r="A453" s="48">
        <v>12</v>
      </c>
      <c r="B453" s="49" t="s">
        <v>1082</v>
      </c>
      <c r="C453" s="95" t="s">
        <v>1658</v>
      </c>
      <c r="D453" s="95" t="s">
        <v>1659</v>
      </c>
      <c r="E453" s="50">
        <v>20</v>
      </c>
      <c r="F453" s="291">
        <v>4500</v>
      </c>
      <c r="G453" s="290">
        <v>90000</v>
      </c>
      <c r="H453" s="96" t="s">
        <v>391</v>
      </c>
      <c r="I453" s="97" t="s">
        <v>1078</v>
      </c>
      <c r="J453" s="98" t="s">
        <v>121</v>
      </c>
      <c r="K453" s="463" t="s">
        <v>1141</v>
      </c>
    </row>
    <row r="454" spans="1:11" hidden="1" x14ac:dyDescent="0.25">
      <c r="A454" s="48">
        <v>12</v>
      </c>
      <c r="B454" s="49" t="s">
        <v>1367</v>
      </c>
      <c r="C454" s="95" t="s">
        <v>1087</v>
      </c>
      <c r="D454" s="95" t="s">
        <v>1368</v>
      </c>
      <c r="E454" s="50">
        <v>1200</v>
      </c>
      <c r="F454" s="291">
        <v>150</v>
      </c>
      <c r="G454" s="290">
        <v>180000</v>
      </c>
      <c r="H454" s="96" t="s">
        <v>1660</v>
      </c>
      <c r="I454" s="97" t="s">
        <v>1078</v>
      </c>
      <c r="J454" s="98" t="s">
        <v>121</v>
      </c>
      <c r="K454" s="463" t="s">
        <v>1090</v>
      </c>
    </row>
    <row r="455" spans="1:11" hidden="1" x14ac:dyDescent="0.25">
      <c r="A455" s="48">
        <v>12</v>
      </c>
      <c r="B455" s="49" t="s">
        <v>1367</v>
      </c>
      <c r="C455" s="95" t="s">
        <v>1087</v>
      </c>
      <c r="D455" s="95" t="s">
        <v>1087</v>
      </c>
      <c r="E455" s="50">
        <v>600</v>
      </c>
      <c r="F455" s="291">
        <v>150</v>
      </c>
      <c r="G455" s="290">
        <v>90000</v>
      </c>
      <c r="H455" s="96" t="s">
        <v>391</v>
      </c>
      <c r="I455" s="97" t="s">
        <v>1078</v>
      </c>
      <c r="J455" s="98" t="s">
        <v>121</v>
      </c>
      <c r="K455" s="463" t="s">
        <v>1090</v>
      </c>
    </row>
    <row r="456" spans="1:11" hidden="1" x14ac:dyDescent="0.25">
      <c r="A456" s="48">
        <v>12</v>
      </c>
      <c r="B456" s="49" t="s">
        <v>1367</v>
      </c>
      <c r="C456" s="95" t="s">
        <v>1595</v>
      </c>
      <c r="D456" s="95" t="s">
        <v>1596</v>
      </c>
      <c r="E456" s="50">
        <v>2</v>
      </c>
      <c r="F456" s="291">
        <v>9500</v>
      </c>
      <c r="G456" s="290">
        <v>19000</v>
      </c>
      <c r="H456" s="96" t="s">
        <v>1661</v>
      </c>
      <c r="I456" s="97" t="s">
        <v>1078</v>
      </c>
      <c r="J456" s="98" t="s">
        <v>121</v>
      </c>
      <c r="K456" s="463" t="s">
        <v>1099</v>
      </c>
    </row>
    <row r="457" spans="1:11" hidden="1" x14ac:dyDescent="0.25">
      <c r="A457" s="48">
        <v>12</v>
      </c>
      <c r="B457" s="49" t="s">
        <v>1367</v>
      </c>
      <c r="C457" s="95" t="s">
        <v>1598</v>
      </c>
      <c r="D457" s="95" t="s">
        <v>1599</v>
      </c>
      <c r="E457" s="50">
        <v>3</v>
      </c>
      <c r="F457" s="291">
        <v>5000</v>
      </c>
      <c r="G457" s="290">
        <v>15000</v>
      </c>
      <c r="H457" s="96" t="s">
        <v>1661</v>
      </c>
      <c r="I457" s="97" t="s">
        <v>1078</v>
      </c>
      <c r="J457" s="98" t="s">
        <v>121</v>
      </c>
      <c r="K457" s="463" t="s">
        <v>1099</v>
      </c>
    </row>
    <row r="458" spans="1:11" hidden="1" x14ac:dyDescent="0.25">
      <c r="A458" s="48">
        <v>12</v>
      </c>
      <c r="B458" s="49" t="s">
        <v>1077</v>
      </c>
      <c r="C458" s="95" t="s">
        <v>387</v>
      </c>
      <c r="D458" s="95" t="s">
        <v>388</v>
      </c>
      <c r="E458" s="50">
        <v>5</v>
      </c>
      <c r="F458" s="291">
        <v>48000</v>
      </c>
      <c r="G458" s="290">
        <v>240000</v>
      </c>
      <c r="H458" s="96" t="s">
        <v>386</v>
      </c>
      <c r="I458" s="97" t="s">
        <v>1078</v>
      </c>
      <c r="J458" s="98" t="s">
        <v>121</v>
      </c>
      <c r="K458" s="463" t="s">
        <v>1141</v>
      </c>
    </row>
    <row r="459" spans="1:11" hidden="1" x14ac:dyDescent="0.25">
      <c r="A459" s="48">
        <v>12</v>
      </c>
      <c r="B459" s="49" t="s">
        <v>1077</v>
      </c>
      <c r="C459" s="95" t="s">
        <v>389</v>
      </c>
      <c r="D459" s="95" t="s">
        <v>390</v>
      </c>
      <c r="E459" s="50">
        <v>2</v>
      </c>
      <c r="F459" s="291">
        <v>46000</v>
      </c>
      <c r="G459" s="290">
        <v>92000</v>
      </c>
      <c r="H459" s="96" t="s">
        <v>386</v>
      </c>
      <c r="I459" s="97" t="s">
        <v>1078</v>
      </c>
      <c r="J459" s="98" t="s">
        <v>121</v>
      </c>
      <c r="K459" s="463" t="s">
        <v>1141</v>
      </c>
    </row>
    <row r="460" spans="1:11" hidden="1" x14ac:dyDescent="0.25">
      <c r="A460" s="48">
        <v>12</v>
      </c>
      <c r="B460" s="49" t="s">
        <v>91</v>
      </c>
      <c r="C460" s="95" t="s">
        <v>646</v>
      </c>
      <c r="D460" s="95" t="s">
        <v>647</v>
      </c>
      <c r="E460" s="50">
        <v>1</v>
      </c>
      <c r="F460" s="291">
        <v>20750</v>
      </c>
      <c r="G460" s="290">
        <v>20750</v>
      </c>
      <c r="H460" s="96" t="s">
        <v>645</v>
      </c>
      <c r="I460" s="97" t="s">
        <v>1078</v>
      </c>
      <c r="J460" s="98" t="s">
        <v>121</v>
      </c>
      <c r="K460" s="463" t="s">
        <v>1141</v>
      </c>
    </row>
    <row r="461" spans="1:11" hidden="1" x14ac:dyDescent="0.25">
      <c r="A461" s="48">
        <v>12</v>
      </c>
      <c r="B461" s="49" t="s">
        <v>91</v>
      </c>
      <c r="C461" s="95" t="s">
        <v>646</v>
      </c>
      <c r="D461" s="95" t="s">
        <v>648</v>
      </c>
      <c r="E461" s="50">
        <v>1</v>
      </c>
      <c r="F461" s="291">
        <v>20750</v>
      </c>
      <c r="G461" s="290">
        <v>20750</v>
      </c>
      <c r="H461" s="96" t="s">
        <v>645</v>
      </c>
      <c r="I461" s="97" t="s">
        <v>1078</v>
      </c>
      <c r="J461" s="98" t="s">
        <v>121</v>
      </c>
      <c r="K461" s="463" t="s">
        <v>1141</v>
      </c>
    </row>
    <row r="462" spans="1:11" hidden="1" x14ac:dyDescent="0.25">
      <c r="A462" s="48">
        <v>12</v>
      </c>
      <c r="B462" s="49" t="s">
        <v>91</v>
      </c>
      <c r="C462" s="95" t="s">
        <v>646</v>
      </c>
      <c r="D462" s="95" t="s">
        <v>649</v>
      </c>
      <c r="E462" s="50">
        <v>1</v>
      </c>
      <c r="F462" s="291">
        <v>20750</v>
      </c>
      <c r="G462" s="290">
        <v>20750</v>
      </c>
      <c r="H462" s="96" t="s">
        <v>645</v>
      </c>
      <c r="I462" s="97" t="s">
        <v>1078</v>
      </c>
      <c r="J462" s="98" t="s">
        <v>121</v>
      </c>
      <c r="K462" s="463" t="s">
        <v>1141</v>
      </c>
    </row>
    <row r="463" spans="1:11" hidden="1" x14ac:dyDescent="0.25">
      <c r="A463" s="48">
        <v>12</v>
      </c>
      <c r="B463" s="49" t="s">
        <v>91</v>
      </c>
      <c r="C463" s="95" t="s">
        <v>646</v>
      </c>
      <c r="D463" s="95" t="s">
        <v>650</v>
      </c>
      <c r="E463" s="50">
        <v>1</v>
      </c>
      <c r="F463" s="291">
        <v>20750</v>
      </c>
      <c r="G463" s="290">
        <v>20750</v>
      </c>
      <c r="H463" s="96" t="s">
        <v>645</v>
      </c>
      <c r="I463" s="97" t="s">
        <v>1078</v>
      </c>
      <c r="J463" s="98" t="s">
        <v>121</v>
      </c>
      <c r="K463" s="463" t="s">
        <v>1141</v>
      </c>
    </row>
    <row r="464" spans="1:11" hidden="1" x14ac:dyDescent="0.25">
      <c r="A464" s="48">
        <v>12</v>
      </c>
      <c r="B464" s="49" t="s">
        <v>1505</v>
      </c>
      <c r="C464" s="95" t="s">
        <v>1192</v>
      </c>
      <c r="D464" s="95" t="s">
        <v>1662</v>
      </c>
      <c r="E464" s="50">
        <v>3</v>
      </c>
      <c r="F464" s="291">
        <v>254000</v>
      </c>
      <c r="G464" s="290">
        <v>762000</v>
      </c>
      <c r="H464" s="96" t="s">
        <v>1663</v>
      </c>
      <c r="I464" s="97" t="s">
        <v>1664</v>
      </c>
      <c r="J464" s="98" t="s">
        <v>124</v>
      </c>
      <c r="K464" s="463" t="s">
        <v>1195</v>
      </c>
    </row>
    <row r="465" spans="1:11" hidden="1" x14ac:dyDescent="0.25">
      <c r="A465" s="48">
        <v>12</v>
      </c>
      <c r="B465" s="49" t="s">
        <v>1505</v>
      </c>
      <c r="C465" s="95" t="s">
        <v>1665</v>
      </c>
      <c r="D465" s="95" t="s">
        <v>1666</v>
      </c>
      <c r="E465" s="50">
        <v>1</v>
      </c>
      <c r="F465" s="291">
        <v>160000</v>
      </c>
      <c r="G465" s="290">
        <v>160000</v>
      </c>
      <c r="H465" s="96" t="s">
        <v>1663</v>
      </c>
      <c r="I465" s="97" t="s">
        <v>1664</v>
      </c>
      <c r="J465" s="98" t="s">
        <v>124</v>
      </c>
      <c r="K465" s="463" t="s">
        <v>1195</v>
      </c>
    </row>
    <row r="466" spans="1:11" hidden="1" x14ac:dyDescent="0.25">
      <c r="A466" s="48">
        <v>12</v>
      </c>
      <c r="B466" s="49" t="s">
        <v>1505</v>
      </c>
      <c r="C466" s="95" t="s">
        <v>1667</v>
      </c>
      <c r="D466" s="95" t="s">
        <v>1668</v>
      </c>
      <c r="E466" s="50">
        <v>2</v>
      </c>
      <c r="F466" s="291">
        <v>86000</v>
      </c>
      <c r="G466" s="290">
        <v>172000</v>
      </c>
      <c r="H466" s="96" t="s">
        <v>1663</v>
      </c>
      <c r="I466" s="97" t="s">
        <v>1664</v>
      </c>
      <c r="J466" s="98" t="s">
        <v>124</v>
      </c>
      <c r="K466" s="463" t="s">
        <v>1195</v>
      </c>
    </row>
    <row r="467" spans="1:11" hidden="1" x14ac:dyDescent="0.25">
      <c r="A467" s="48">
        <v>12</v>
      </c>
      <c r="B467" s="49" t="s">
        <v>1367</v>
      </c>
      <c r="C467" s="95" t="s">
        <v>1669</v>
      </c>
      <c r="D467" s="95" t="s">
        <v>1670</v>
      </c>
      <c r="E467" s="50">
        <v>1</v>
      </c>
      <c r="F467" s="291">
        <v>36000</v>
      </c>
      <c r="G467" s="290">
        <v>36000</v>
      </c>
      <c r="H467" s="96" t="s">
        <v>1663</v>
      </c>
      <c r="I467" s="97" t="s">
        <v>1664</v>
      </c>
      <c r="J467" s="98" t="s">
        <v>124</v>
      </c>
      <c r="K467" s="463" t="s">
        <v>1195</v>
      </c>
    </row>
    <row r="468" spans="1:11" hidden="1" x14ac:dyDescent="0.25">
      <c r="A468" s="48">
        <v>13</v>
      </c>
      <c r="B468" s="49" t="s">
        <v>91</v>
      </c>
      <c r="C468" s="95" t="s">
        <v>653</v>
      </c>
      <c r="D468" s="95" t="s">
        <v>654</v>
      </c>
      <c r="E468" s="50">
        <v>2</v>
      </c>
      <c r="F468" s="291">
        <v>32000</v>
      </c>
      <c r="G468" s="290">
        <v>64000</v>
      </c>
      <c r="H468" s="96" t="s">
        <v>652</v>
      </c>
      <c r="I468" s="97" t="s">
        <v>1671</v>
      </c>
      <c r="J468" s="98" t="s">
        <v>121</v>
      </c>
      <c r="K468" s="463" t="s">
        <v>1141</v>
      </c>
    </row>
    <row r="469" spans="1:11" hidden="1" x14ac:dyDescent="0.25">
      <c r="A469" s="48">
        <v>13</v>
      </c>
      <c r="B469" s="49" t="s">
        <v>91</v>
      </c>
      <c r="C469" s="95" t="s">
        <v>656</v>
      </c>
      <c r="D469" s="95" t="s">
        <v>657</v>
      </c>
      <c r="E469" s="50">
        <v>1</v>
      </c>
      <c r="F469" s="291">
        <v>62500</v>
      </c>
      <c r="G469" s="290">
        <v>62500</v>
      </c>
      <c r="H469" s="96" t="s">
        <v>655</v>
      </c>
      <c r="I469" s="97" t="s">
        <v>1671</v>
      </c>
      <c r="J469" s="98" t="s">
        <v>121</v>
      </c>
      <c r="K469" s="463" t="s">
        <v>1188</v>
      </c>
    </row>
    <row r="470" spans="1:11" hidden="1" x14ac:dyDescent="0.25">
      <c r="A470" s="48">
        <v>13</v>
      </c>
      <c r="B470" s="49" t="s">
        <v>1367</v>
      </c>
      <c r="C470" s="95" t="s">
        <v>1598</v>
      </c>
      <c r="D470" s="95" t="s">
        <v>1599</v>
      </c>
      <c r="E470" s="50">
        <v>4</v>
      </c>
      <c r="F470" s="291">
        <v>5000</v>
      </c>
      <c r="G470" s="290">
        <v>20000</v>
      </c>
      <c r="H470" s="96" t="s">
        <v>1672</v>
      </c>
      <c r="I470" s="97" t="s">
        <v>1078</v>
      </c>
      <c r="J470" s="98" t="s">
        <v>121</v>
      </c>
      <c r="K470" s="463" t="s">
        <v>1099</v>
      </c>
    </row>
    <row r="471" spans="1:11" hidden="1" x14ac:dyDescent="0.25">
      <c r="A471" s="48">
        <v>13</v>
      </c>
      <c r="B471" s="49" t="s">
        <v>1082</v>
      </c>
      <c r="C471" s="95" t="s">
        <v>1673</v>
      </c>
      <c r="D471" s="95" t="s">
        <v>1674</v>
      </c>
      <c r="E471" s="50">
        <v>15</v>
      </c>
      <c r="F471" s="291">
        <v>7000</v>
      </c>
      <c r="G471" s="290">
        <v>105000</v>
      </c>
      <c r="H471" s="96" t="s">
        <v>391</v>
      </c>
      <c r="I471" s="97" t="s">
        <v>1078</v>
      </c>
      <c r="J471" s="98" t="s">
        <v>121</v>
      </c>
      <c r="K471" s="463" t="s">
        <v>1141</v>
      </c>
    </row>
    <row r="472" spans="1:11" hidden="1" x14ac:dyDescent="0.25">
      <c r="A472" s="48">
        <v>13</v>
      </c>
      <c r="B472" s="49" t="s">
        <v>1077</v>
      </c>
      <c r="C472" s="95" t="s">
        <v>397</v>
      </c>
      <c r="D472" s="95" t="s">
        <v>398</v>
      </c>
      <c r="E472" s="50">
        <v>7</v>
      </c>
      <c r="F472" s="291">
        <v>9714.2900000000009</v>
      </c>
      <c r="G472" s="290">
        <v>68000.03</v>
      </c>
      <c r="H472" s="96" t="s">
        <v>391</v>
      </c>
      <c r="I472" s="97" t="s">
        <v>1078</v>
      </c>
      <c r="J472" s="98" t="s">
        <v>121</v>
      </c>
      <c r="K472" s="463" t="s">
        <v>1141</v>
      </c>
    </row>
    <row r="473" spans="1:11" hidden="1" x14ac:dyDescent="0.25">
      <c r="A473" s="48">
        <v>13</v>
      </c>
      <c r="B473" s="49" t="s">
        <v>1077</v>
      </c>
      <c r="C473" s="95" t="s">
        <v>399</v>
      </c>
      <c r="D473" s="95" t="s">
        <v>400</v>
      </c>
      <c r="E473" s="50">
        <v>7</v>
      </c>
      <c r="F473" s="291">
        <v>4028.57</v>
      </c>
      <c r="G473" s="290">
        <v>28199.99</v>
      </c>
      <c r="H473" s="96" t="s">
        <v>391</v>
      </c>
      <c r="I473" s="97" t="s">
        <v>1078</v>
      </c>
      <c r="J473" s="98" t="s">
        <v>121</v>
      </c>
      <c r="K473" s="463" t="s">
        <v>1141</v>
      </c>
    </row>
    <row r="474" spans="1:11" hidden="1" x14ac:dyDescent="0.25">
      <c r="A474" s="48">
        <v>13</v>
      </c>
      <c r="B474" s="49" t="s">
        <v>1082</v>
      </c>
      <c r="C474" s="95" t="s">
        <v>1675</v>
      </c>
      <c r="D474" s="95" t="s">
        <v>1675</v>
      </c>
      <c r="E474" s="50">
        <v>1</v>
      </c>
      <c r="F474" s="291">
        <v>3000</v>
      </c>
      <c r="G474" s="290">
        <v>3000</v>
      </c>
      <c r="H474" s="96" t="s">
        <v>391</v>
      </c>
      <c r="I474" s="97" t="s">
        <v>1078</v>
      </c>
      <c r="J474" s="98" t="s">
        <v>121</v>
      </c>
      <c r="K474" s="463" t="s">
        <v>1141</v>
      </c>
    </row>
    <row r="475" spans="1:11" hidden="1" x14ac:dyDescent="0.25">
      <c r="A475" s="48">
        <v>13</v>
      </c>
      <c r="B475" s="49" t="s">
        <v>1505</v>
      </c>
      <c r="C475" s="95" t="s">
        <v>1676</v>
      </c>
      <c r="D475" s="95" t="s">
        <v>1677</v>
      </c>
      <c r="E475" s="50">
        <v>1</v>
      </c>
      <c r="F475" s="291">
        <v>6200</v>
      </c>
      <c r="G475" s="290">
        <v>6200</v>
      </c>
      <c r="H475" s="96" t="s">
        <v>391</v>
      </c>
      <c r="I475" s="97" t="s">
        <v>1078</v>
      </c>
      <c r="J475" s="98" t="s">
        <v>121</v>
      </c>
      <c r="K475" s="463" t="s">
        <v>1141</v>
      </c>
    </row>
    <row r="476" spans="1:11" hidden="1" x14ac:dyDescent="0.25">
      <c r="A476" s="48">
        <v>14</v>
      </c>
      <c r="B476" s="49" t="s">
        <v>1077</v>
      </c>
      <c r="C476" s="95" t="s">
        <v>404</v>
      </c>
      <c r="D476" s="95" t="s">
        <v>405</v>
      </c>
      <c r="E476" s="50">
        <v>4.0999999999999996</v>
      </c>
      <c r="F476" s="291">
        <v>34000</v>
      </c>
      <c r="G476" s="290">
        <v>139400</v>
      </c>
      <c r="H476" s="523" t="s">
        <v>403</v>
      </c>
      <c r="I476" s="97" t="s">
        <v>1078</v>
      </c>
      <c r="J476" s="98" t="s">
        <v>121</v>
      </c>
      <c r="K476" s="463" t="s">
        <v>1191</v>
      </c>
    </row>
    <row r="477" spans="1:11" hidden="1" x14ac:dyDescent="0.25">
      <c r="A477" s="48">
        <v>14</v>
      </c>
      <c r="B477" s="49" t="s">
        <v>1077</v>
      </c>
      <c r="C477" s="95" t="s">
        <v>278</v>
      </c>
      <c r="D477" s="95" t="s">
        <v>406</v>
      </c>
      <c r="E477" s="50">
        <v>20.399999999999999</v>
      </c>
      <c r="F477" s="291">
        <v>20000</v>
      </c>
      <c r="G477" s="290">
        <v>408000</v>
      </c>
      <c r="H477" s="523" t="s">
        <v>403</v>
      </c>
      <c r="I477" s="97" t="s">
        <v>1078</v>
      </c>
      <c r="J477" s="98" t="s">
        <v>121</v>
      </c>
      <c r="K477" s="463" t="s">
        <v>1191</v>
      </c>
    </row>
    <row r="478" spans="1:11" hidden="1" x14ac:dyDescent="0.25">
      <c r="A478" s="48">
        <v>14</v>
      </c>
      <c r="B478" s="49" t="s">
        <v>1077</v>
      </c>
      <c r="C478" s="95" t="s">
        <v>214</v>
      </c>
      <c r="D478" s="95" t="s">
        <v>373</v>
      </c>
      <c r="E478" s="50">
        <v>19.422000000000001</v>
      </c>
      <c r="F478" s="291">
        <v>25900</v>
      </c>
      <c r="G478" s="290">
        <v>503029.8</v>
      </c>
      <c r="H478" s="96" t="s">
        <v>407</v>
      </c>
      <c r="I478" s="97" t="s">
        <v>1078</v>
      </c>
      <c r="J478" s="98" t="s">
        <v>121</v>
      </c>
      <c r="K478" s="463" t="s">
        <v>1113</v>
      </c>
    </row>
    <row r="479" spans="1:11" hidden="1" x14ac:dyDescent="0.25">
      <c r="A479" s="48">
        <v>14</v>
      </c>
      <c r="B479" s="49" t="s">
        <v>1077</v>
      </c>
      <c r="C479" s="95" t="s">
        <v>408</v>
      </c>
      <c r="D479" s="95" t="s">
        <v>409</v>
      </c>
      <c r="E479" s="50">
        <v>5.3220000000000001</v>
      </c>
      <c r="F479" s="291">
        <v>29500</v>
      </c>
      <c r="G479" s="290">
        <v>156999</v>
      </c>
      <c r="H479" s="96" t="s">
        <v>407</v>
      </c>
      <c r="I479" s="97" t="s">
        <v>1078</v>
      </c>
      <c r="J479" s="98" t="s">
        <v>121</v>
      </c>
      <c r="K479" s="463" t="s">
        <v>1113</v>
      </c>
    </row>
    <row r="480" spans="1:11" hidden="1" x14ac:dyDescent="0.25">
      <c r="A480" s="48">
        <v>14</v>
      </c>
      <c r="B480" s="49" t="s">
        <v>1082</v>
      </c>
      <c r="C480" s="95" t="s">
        <v>1632</v>
      </c>
      <c r="D480" s="95" t="s">
        <v>1633</v>
      </c>
      <c r="E480" s="50">
        <v>20.6</v>
      </c>
      <c r="F480" s="291">
        <v>1800</v>
      </c>
      <c r="G480" s="290">
        <v>37080</v>
      </c>
      <c r="H480" s="96" t="s">
        <v>391</v>
      </c>
      <c r="I480" s="97" t="s">
        <v>1078</v>
      </c>
      <c r="J480" s="98" t="s">
        <v>121</v>
      </c>
      <c r="K480" s="463" t="s">
        <v>1141</v>
      </c>
    </row>
    <row r="481" spans="1:11" hidden="1" x14ac:dyDescent="0.25">
      <c r="A481" s="48">
        <v>14</v>
      </c>
      <c r="B481" s="49" t="s">
        <v>1367</v>
      </c>
      <c r="C481" s="95" t="s">
        <v>637</v>
      </c>
      <c r="D481" s="95" t="s">
        <v>1596</v>
      </c>
      <c r="E481" s="50">
        <v>2</v>
      </c>
      <c r="F481" s="291">
        <v>9500</v>
      </c>
      <c r="G481" s="290">
        <v>19000</v>
      </c>
      <c r="H481" s="96" t="s">
        <v>1678</v>
      </c>
      <c r="I481" s="97" t="s">
        <v>1078</v>
      </c>
      <c r="J481" s="98" t="s">
        <v>121</v>
      </c>
      <c r="K481" s="463" t="s">
        <v>1099</v>
      </c>
    </row>
    <row r="482" spans="1:11" hidden="1" x14ac:dyDescent="0.25">
      <c r="A482" s="48">
        <v>14</v>
      </c>
      <c r="B482" s="49" t="s">
        <v>1367</v>
      </c>
      <c r="C482" s="95" t="s">
        <v>1679</v>
      </c>
      <c r="D482" s="95" t="s">
        <v>1599</v>
      </c>
      <c r="E482" s="50">
        <v>2</v>
      </c>
      <c r="F482" s="291">
        <v>5000</v>
      </c>
      <c r="G482" s="290">
        <v>10000</v>
      </c>
      <c r="H482" s="96" t="s">
        <v>1678</v>
      </c>
      <c r="I482" s="97" t="s">
        <v>1078</v>
      </c>
      <c r="J482" s="98" t="s">
        <v>121</v>
      </c>
      <c r="K482" s="463" t="s">
        <v>1099</v>
      </c>
    </row>
    <row r="483" spans="1:11" hidden="1" x14ac:dyDescent="0.25">
      <c r="A483" s="48">
        <v>14</v>
      </c>
      <c r="B483" s="49" t="s">
        <v>1367</v>
      </c>
      <c r="C483" s="95" t="s">
        <v>1680</v>
      </c>
      <c r="D483" s="95" t="s">
        <v>1681</v>
      </c>
      <c r="E483" s="50">
        <v>9</v>
      </c>
      <c r="F483" s="291">
        <v>15333.33</v>
      </c>
      <c r="G483" s="290">
        <v>137999.97</v>
      </c>
      <c r="H483" s="96" t="s">
        <v>1682</v>
      </c>
      <c r="I483" s="97" t="s">
        <v>1078</v>
      </c>
      <c r="J483" s="98" t="s">
        <v>121</v>
      </c>
      <c r="K483" s="463" t="s">
        <v>1141</v>
      </c>
    </row>
    <row r="484" spans="1:11" hidden="1" x14ac:dyDescent="0.25">
      <c r="A484" s="48">
        <v>14</v>
      </c>
      <c r="B484" s="49" t="s">
        <v>1592</v>
      </c>
      <c r="C484" s="95" t="s">
        <v>1683</v>
      </c>
      <c r="D484" s="95" t="s">
        <v>1684</v>
      </c>
      <c r="E484" s="50">
        <v>1</v>
      </c>
      <c r="F484" s="291">
        <v>300000</v>
      </c>
      <c r="G484" s="290">
        <v>300000</v>
      </c>
      <c r="H484" s="96" t="s">
        <v>1685</v>
      </c>
      <c r="I484" s="97" t="s">
        <v>1078</v>
      </c>
      <c r="J484" s="98" t="s">
        <v>121</v>
      </c>
      <c r="K484" s="463" t="s">
        <v>1141</v>
      </c>
    </row>
    <row r="485" spans="1:11" hidden="1" x14ac:dyDescent="0.25">
      <c r="A485" s="48">
        <v>14</v>
      </c>
      <c r="B485" s="49" t="s">
        <v>1077</v>
      </c>
      <c r="C485" s="95" t="s">
        <v>411</v>
      </c>
      <c r="D485" s="95" t="s">
        <v>412</v>
      </c>
      <c r="E485" s="50">
        <v>18.25</v>
      </c>
      <c r="F485" s="291">
        <v>19500</v>
      </c>
      <c r="G485" s="290">
        <v>355875</v>
      </c>
      <c r="H485" s="96" t="s">
        <v>410</v>
      </c>
      <c r="I485" s="97" t="s">
        <v>1686</v>
      </c>
      <c r="J485" s="98" t="s">
        <v>124</v>
      </c>
      <c r="K485" s="463" t="s">
        <v>1303</v>
      </c>
    </row>
    <row r="486" spans="1:11" hidden="1" x14ac:dyDescent="0.25">
      <c r="A486" s="48">
        <v>14</v>
      </c>
      <c r="B486" s="49" t="s">
        <v>1461</v>
      </c>
      <c r="C486" s="95" t="s">
        <v>1687</v>
      </c>
      <c r="D486" s="95" t="s">
        <v>1688</v>
      </c>
      <c r="E486" s="50">
        <v>1</v>
      </c>
      <c r="F486" s="291">
        <v>3400000</v>
      </c>
      <c r="G486" s="290">
        <v>3400000</v>
      </c>
      <c r="H486" s="96" t="s">
        <v>391</v>
      </c>
      <c r="I486" s="97" t="s">
        <v>1689</v>
      </c>
      <c r="J486" s="98" t="s">
        <v>124</v>
      </c>
      <c r="K486" s="463" t="s">
        <v>1690</v>
      </c>
    </row>
    <row r="487" spans="1:11" hidden="1" x14ac:dyDescent="0.25">
      <c r="A487" s="48">
        <v>14</v>
      </c>
      <c r="B487" s="49" t="s">
        <v>1077</v>
      </c>
      <c r="C487" s="95" t="s">
        <v>414</v>
      </c>
      <c r="D487" s="95" t="s">
        <v>415</v>
      </c>
      <c r="E487" s="50">
        <v>17.100000000000001</v>
      </c>
      <c r="F487" s="291">
        <v>18500</v>
      </c>
      <c r="G487" s="290">
        <v>316350</v>
      </c>
      <c r="H487" s="450" t="s">
        <v>413</v>
      </c>
      <c r="I487" s="97" t="s">
        <v>1691</v>
      </c>
      <c r="J487" s="98" t="s">
        <v>124</v>
      </c>
      <c r="K487" s="463" t="s">
        <v>1092</v>
      </c>
    </row>
    <row r="488" spans="1:11" hidden="1" x14ac:dyDescent="0.25">
      <c r="A488" s="48">
        <v>14</v>
      </c>
      <c r="B488" s="49" t="s">
        <v>1077</v>
      </c>
      <c r="C488" s="95" t="s">
        <v>414</v>
      </c>
      <c r="D488" s="95" t="s">
        <v>417</v>
      </c>
      <c r="E488" s="50">
        <v>28.3</v>
      </c>
      <c r="F488" s="291">
        <v>18500</v>
      </c>
      <c r="G488" s="290">
        <v>523550</v>
      </c>
      <c r="H488" s="450" t="s">
        <v>416</v>
      </c>
      <c r="I488" s="97" t="s">
        <v>1692</v>
      </c>
      <c r="J488" s="98" t="s">
        <v>124</v>
      </c>
      <c r="K488" s="463" t="s">
        <v>1092</v>
      </c>
    </row>
    <row r="489" spans="1:11" hidden="1" x14ac:dyDescent="0.25">
      <c r="A489" s="48">
        <v>15</v>
      </c>
      <c r="B489" s="49" t="s">
        <v>1082</v>
      </c>
      <c r="C489" s="95" t="s">
        <v>1632</v>
      </c>
      <c r="D489" s="95" t="s">
        <v>1693</v>
      </c>
      <c r="E489" s="50">
        <v>22</v>
      </c>
      <c r="F489" s="291">
        <v>1800</v>
      </c>
      <c r="G489" s="290">
        <v>39600</v>
      </c>
      <c r="H489" s="96" t="s">
        <v>810</v>
      </c>
      <c r="I489" s="97" t="s">
        <v>1694</v>
      </c>
      <c r="J489" s="98" t="s">
        <v>121</v>
      </c>
      <c r="K489" s="463" t="s">
        <v>1108</v>
      </c>
    </row>
    <row r="490" spans="1:11" hidden="1" x14ac:dyDescent="0.25">
      <c r="A490" s="48">
        <v>15</v>
      </c>
      <c r="B490" s="49" t="s">
        <v>1114</v>
      </c>
      <c r="C490" s="95" t="s">
        <v>1695</v>
      </c>
      <c r="D490" s="95" t="s">
        <v>1116</v>
      </c>
      <c r="E490" s="50">
        <v>1</v>
      </c>
      <c r="F490" s="291">
        <v>95820</v>
      </c>
      <c r="G490" s="290">
        <v>95820</v>
      </c>
      <c r="H490" s="96" t="s">
        <v>1696</v>
      </c>
      <c r="I490" s="97" t="s">
        <v>1078</v>
      </c>
      <c r="J490" s="98" t="s">
        <v>121</v>
      </c>
      <c r="K490" s="463" t="s">
        <v>1141</v>
      </c>
    </row>
    <row r="491" spans="1:11" hidden="1" x14ac:dyDescent="0.25">
      <c r="A491" s="48">
        <v>16</v>
      </c>
      <c r="B491" s="49" t="s">
        <v>1652</v>
      </c>
      <c r="C491" s="95" t="s">
        <v>1697</v>
      </c>
      <c r="D491" s="95" t="s">
        <v>1698</v>
      </c>
      <c r="E491" s="50">
        <v>1</v>
      </c>
      <c r="F491" s="291">
        <v>100000</v>
      </c>
      <c r="G491" s="290">
        <v>100000</v>
      </c>
      <c r="H491" s="96" t="s">
        <v>391</v>
      </c>
      <c r="I491" s="97" t="s">
        <v>1078</v>
      </c>
      <c r="J491" s="98" t="s">
        <v>121</v>
      </c>
      <c r="K491" s="463" t="s">
        <v>1141</v>
      </c>
    </row>
    <row r="492" spans="1:11" hidden="1" x14ac:dyDescent="0.25">
      <c r="A492" s="48">
        <v>16</v>
      </c>
      <c r="B492" s="49" t="s">
        <v>1652</v>
      </c>
      <c r="C492" s="95" t="s">
        <v>1699</v>
      </c>
      <c r="D492" s="95" t="s">
        <v>901</v>
      </c>
      <c r="E492" s="50">
        <v>1</v>
      </c>
      <c r="F492" s="291">
        <v>800000</v>
      </c>
      <c r="G492" s="290">
        <v>800000</v>
      </c>
      <c r="H492" s="96" t="s">
        <v>391</v>
      </c>
      <c r="I492" s="97" t="s">
        <v>1700</v>
      </c>
      <c r="J492" s="98" t="s">
        <v>121</v>
      </c>
      <c r="K492" s="463" t="s">
        <v>1141</v>
      </c>
    </row>
    <row r="493" spans="1:11" hidden="1" x14ac:dyDescent="0.25">
      <c r="A493" s="48">
        <v>16</v>
      </c>
      <c r="B493" s="49" t="s">
        <v>1652</v>
      </c>
      <c r="C493" s="95" t="s">
        <v>1180</v>
      </c>
      <c r="D493" s="95" t="s">
        <v>1701</v>
      </c>
      <c r="E493" s="50">
        <v>1</v>
      </c>
      <c r="F493" s="291">
        <v>30000</v>
      </c>
      <c r="G493" s="290">
        <v>30000</v>
      </c>
      <c r="H493" s="96" t="s">
        <v>391</v>
      </c>
      <c r="I493" s="97" t="s">
        <v>1078</v>
      </c>
      <c r="J493" s="98" t="s">
        <v>121</v>
      </c>
      <c r="K493" s="463" t="s">
        <v>1105</v>
      </c>
    </row>
    <row r="494" spans="1:11" hidden="1" x14ac:dyDescent="0.25">
      <c r="A494" s="48">
        <v>16</v>
      </c>
      <c r="B494" s="49" t="s">
        <v>1652</v>
      </c>
      <c r="C494" s="95" t="s">
        <v>1180</v>
      </c>
      <c r="D494" s="95" t="s">
        <v>1702</v>
      </c>
      <c r="E494" s="50">
        <v>1</v>
      </c>
      <c r="F494" s="291">
        <v>30000</v>
      </c>
      <c r="G494" s="290">
        <v>30000</v>
      </c>
      <c r="H494" s="96" t="s">
        <v>391</v>
      </c>
      <c r="I494" s="97" t="s">
        <v>1078</v>
      </c>
      <c r="J494" s="98" t="s">
        <v>121</v>
      </c>
      <c r="K494" s="463" t="s">
        <v>1141</v>
      </c>
    </row>
    <row r="495" spans="1:11" hidden="1" x14ac:dyDescent="0.25">
      <c r="A495" s="48">
        <v>16</v>
      </c>
      <c r="B495" s="49" t="s">
        <v>1652</v>
      </c>
      <c r="C495" s="95" t="s">
        <v>1180</v>
      </c>
      <c r="D495" s="95" t="s">
        <v>1703</v>
      </c>
      <c r="E495" s="50">
        <v>1</v>
      </c>
      <c r="F495" s="291">
        <v>50000</v>
      </c>
      <c r="G495" s="290">
        <v>50000</v>
      </c>
      <c r="H495" s="96" t="s">
        <v>391</v>
      </c>
      <c r="I495" s="97" t="s">
        <v>1078</v>
      </c>
      <c r="J495" s="98" t="s">
        <v>121</v>
      </c>
      <c r="K495" s="463" t="s">
        <v>1141</v>
      </c>
    </row>
    <row r="496" spans="1:11" hidden="1" x14ac:dyDescent="0.25">
      <c r="A496" s="48">
        <v>16</v>
      </c>
      <c r="B496" s="49" t="s">
        <v>1652</v>
      </c>
      <c r="C496" s="95" t="s">
        <v>1180</v>
      </c>
      <c r="D496" s="95" t="s">
        <v>1703</v>
      </c>
      <c r="E496" s="50">
        <v>1</v>
      </c>
      <c r="F496" s="291">
        <v>27500</v>
      </c>
      <c r="G496" s="290">
        <v>27500</v>
      </c>
      <c r="H496" s="96" t="s">
        <v>391</v>
      </c>
      <c r="I496" s="97" t="s">
        <v>1078</v>
      </c>
      <c r="J496" s="98" t="s">
        <v>121</v>
      </c>
      <c r="K496" s="463" t="s">
        <v>1141</v>
      </c>
    </row>
    <row r="497" spans="1:11" hidden="1" x14ac:dyDescent="0.25">
      <c r="A497" s="48">
        <v>16</v>
      </c>
      <c r="B497" s="49" t="s">
        <v>1652</v>
      </c>
      <c r="C497" s="95" t="s">
        <v>1180</v>
      </c>
      <c r="D497" s="95" t="s">
        <v>1703</v>
      </c>
      <c r="E497" s="50">
        <v>1</v>
      </c>
      <c r="F497" s="291">
        <v>40000</v>
      </c>
      <c r="G497" s="290">
        <v>40000</v>
      </c>
      <c r="H497" s="96" t="s">
        <v>391</v>
      </c>
      <c r="I497" s="97" t="s">
        <v>1078</v>
      </c>
      <c r="J497" s="98" t="s">
        <v>121</v>
      </c>
      <c r="K497" s="463" t="s">
        <v>1141</v>
      </c>
    </row>
    <row r="498" spans="1:11" hidden="1" x14ac:dyDescent="0.25">
      <c r="A498" s="171">
        <v>11</v>
      </c>
      <c r="B498" s="172" t="s">
        <v>91</v>
      </c>
      <c r="C498" s="173" t="s">
        <v>642</v>
      </c>
      <c r="D498" s="173" t="s">
        <v>516</v>
      </c>
      <c r="E498" s="174">
        <v>2</v>
      </c>
      <c r="F498" s="300">
        <v>9500</v>
      </c>
      <c r="G498" s="301">
        <v>19000</v>
      </c>
      <c r="H498" s="175" t="s">
        <v>641</v>
      </c>
      <c r="I498" s="173" t="s">
        <v>1078</v>
      </c>
      <c r="J498" s="176" t="s">
        <v>127</v>
      </c>
      <c r="K498" s="463" t="s">
        <v>1099</v>
      </c>
    </row>
    <row r="499" spans="1:11" hidden="1" x14ac:dyDescent="0.25">
      <c r="A499" s="177">
        <v>11</v>
      </c>
      <c r="B499" s="178" t="s">
        <v>91</v>
      </c>
      <c r="C499" s="179" t="s">
        <v>643</v>
      </c>
      <c r="D499" s="179" t="s">
        <v>552</v>
      </c>
      <c r="E499" s="180">
        <v>3</v>
      </c>
      <c r="F499" s="302">
        <v>5000</v>
      </c>
      <c r="G499" s="303">
        <v>15000</v>
      </c>
      <c r="H499" s="181" t="s">
        <v>641</v>
      </c>
      <c r="I499" s="179" t="s">
        <v>1078</v>
      </c>
      <c r="J499" s="182" t="s">
        <v>127</v>
      </c>
      <c r="K499" s="463" t="s">
        <v>1099</v>
      </c>
    </row>
    <row r="500" spans="1:11" hidden="1" x14ac:dyDescent="0.25">
      <c r="A500" s="171">
        <v>11</v>
      </c>
      <c r="B500" s="172" t="s">
        <v>1077</v>
      </c>
      <c r="C500" s="173" t="s">
        <v>265</v>
      </c>
      <c r="D500" s="173" t="s">
        <v>369</v>
      </c>
      <c r="E500" s="174">
        <v>20.97</v>
      </c>
      <c r="F500" s="300">
        <v>18000</v>
      </c>
      <c r="G500" s="301">
        <v>377460</v>
      </c>
      <c r="H500" s="175" t="s">
        <v>368</v>
      </c>
      <c r="I500" s="173" t="s">
        <v>1078</v>
      </c>
      <c r="J500" s="176" t="s">
        <v>127</v>
      </c>
      <c r="K500" s="463" t="s">
        <v>1094</v>
      </c>
    </row>
    <row r="501" spans="1:11" hidden="1" x14ac:dyDescent="0.25">
      <c r="A501" s="177">
        <v>10</v>
      </c>
      <c r="B501" s="178" t="s">
        <v>91</v>
      </c>
      <c r="C501" s="179" t="s">
        <v>631</v>
      </c>
      <c r="D501" s="179" t="s">
        <v>632</v>
      </c>
      <c r="E501" s="180">
        <v>1</v>
      </c>
      <c r="F501" s="302">
        <v>264500</v>
      </c>
      <c r="G501" s="303">
        <v>264500</v>
      </c>
      <c r="H501" s="181" t="s">
        <v>630</v>
      </c>
      <c r="I501" s="179" t="s">
        <v>1078</v>
      </c>
      <c r="J501" s="182" t="s">
        <v>127</v>
      </c>
      <c r="K501" s="463" t="s">
        <v>1141</v>
      </c>
    </row>
    <row r="502" spans="1:11" hidden="1" x14ac:dyDescent="0.25">
      <c r="A502" s="171">
        <v>10</v>
      </c>
      <c r="B502" s="172" t="s">
        <v>91</v>
      </c>
      <c r="C502" s="173" t="s">
        <v>634</v>
      </c>
      <c r="D502" s="173" t="s">
        <v>635</v>
      </c>
      <c r="E502" s="174">
        <v>1</v>
      </c>
      <c r="F502" s="300">
        <v>65000</v>
      </c>
      <c r="G502" s="301">
        <v>65000</v>
      </c>
      <c r="H502" s="175" t="s">
        <v>633</v>
      </c>
      <c r="I502" s="173" t="s">
        <v>1078</v>
      </c>
      <c r="J502" s="176" t="s">
        <v>127</v>
      </c>
      <c r="K502" s="463" t="s">
        <v>1141</v>
      </c>
    </row>
    <row r="503" spans="1:11" hidden="1" x14ac:dyDescent="0.25">
      <c r="A503" s="177">
        <v>11</v>
      </c>
      <c r="B503" s="178" t="s">
        <v>1077</v>
      </c>
      <c r="C503" s="179" t="s">
        <v>250</v>
      </c>
      <c r="D503" s="179" t="s">
        <v>251</v>
      </c>
      <c r="E503" s="180">
        <v>40</v>
      </c>
      <c r="F503" s="302">
        <v>18200</v>
      </c>
      <c r="G503" s="303">
        <v>728000</v>
      </c>
      <c r="H503" s="181" t="s">
        <v>370</v>
      </c>
      <c r="I503" s="179" t="s">
        <v>1078</v>
      </c>
      <c r="J503" s="182" t="s">
        <v>127</v>
      </c>
      <c r="K503" s="463" t="s">
        <v>1704</v>
      </c>
    </row>
    <row r="504" spans="1:11" hidden="1" x14ac:dyDescent="0.25">
      <c r="A504" s="171">
        <v>3</v>
      </c>
      <c r="B504" s="172" t="s">
        <v>1077</v>
      </c>
      <c r="C504" s="173" t="s">
        <v>250</v>
      </c>
      <c r="D504" s="173" t="s">
        <v>251</v>
      </c>
      <c r="E504" s="174">
        <v>20</v>
      </c>
      <c r="F504" s="300">
        <v>18200</v>
      </c>
      <c r="G504" s="301">
        <v>364000</v>
      </c>
      <c r="H504" s="175" t="s">
        <v>249</v>
      </c>
      <c r="I504" s="173" t="s">
        <v>1078</v>
      </c>
      <c r="J504" s="176" t="s">
        <v>127</v>
      </c>
      <c r="K504" s="463" t="s">
        <v>1141</v>
      </c>
    </row>
    <row r="505" spans="1:11" hidden="1" x14ac:dyDescent="0.25">
      <c r="A505" s="177">
        <v>5</v>
      </c>
      <c r="B505" s="178" t="s">
        <v>1077</v>
      </c>
      <c r="C505" s="179" t="s">
        <v>250</v>
      </c>
      <c r="D505" s="179" t="s">
        <v>251</v>
      </c>
      <c r="E505" s="180">
        <v>20</v>
      </c>
      <c r="F505" s="302">
        <v>18200</v>
      </c>
      <c r="G505" s="303">
        <v>364000</v>
      </c>
      <c r="H505" s="181" t="s">
        <v>290</v>
      </c>
      <c r="I505" s="179" t="s">
        <v>1078</v>
      </c>
      <c r="J505" s="182" t="s">
        <v>127</v>
      </c>
      <c r="K505" s="463" t="s">
        <v>1141</v>
      </c>
    </row>
    <row r="506" spans="1:11" hidden="1" x14ac:dyDescent="0.25">
      <c r="A506" s="171">
        <v>10</v>
      </c>
      <c r="B506" s="172" t="s">
        <v>91</v>
      </c>
      <c r="C506" s="173" t="s">
        <v>637</v>
      </c>
      <c r="D506" s="173" t="s">
        <v>638</v>
      </c>
      <c r="E506" s="174">
        <v>2</v>
      </c>
      <c r="F506" s="300">
        <v>9500</v>
      </c>
      <c r="G506" s="301">
        <v>19000</v>
      </c>
      <c r="H506" s="175" t="s">
        <v>636</v>
      </c>
      <c r="I506" s="173" t="s">
        <v>1078</v>
      </c>
      <c r="J506" s="176" t="s">
        <v>127</v>
      </c>
      <c r="K506" s="463" t="s">
        <v>1099</v>
      </c>
    </row>
    <row r="507" spans="1:11" hidden="1" x14ac:dyDescent="0.25">
      <c r="A507" s="177">
        <v>9</v>
      </c>
      <c r="B507" s="178" t="s">
        <v>1086</v>
      </c>
      <c r="C507" s="179" t="s">
        <v>1705</v>
      </c>
      <c r="D507" s="179" t="s">
        <v>1706</v>
      </c>
      <c r="E507" s="180">
        <v>1</v>
      </c>
      <c r="F507" s="302">
        <v>84000</v>
      </c>
      <c r="G507" s="303">
        <v>84000</v>
      </c>
      <c r="H507" s="181" t="s">
        <v>1707</v>
      </c>
      <c r="I507" s="179" t="s">
        <v>1078</v>
      </c>
      <c r="J507" s="182" t="s">
        <v>127</v>
      </c>
      <c r="K507" s="463" t="s">
        <v>1195</v>
      </c>
    </row>
    <row r="508" spans="1:11" hidden="1" x14ac:dyDescent="0.25">
      <c r="A508" s="171">
        <v>9</v>
      </c>
      <c r="B508" s="172" t="s">
        <v>1086</v>
      </c>
      <c r="C508" s="173" t="s">
        <v>1708</v>
      </c>
      <c r="D508" s="173" t="s">
        <v>1709</v>
      </c>
      <c r="E508" s="174">
        <v>2</v>
      </c>
      <c r="F508" s="300">
        <v>102000</v>
      </c>
      <c r="G508" s="301">
        <v>204000</v>
      </c>
      <c r="H508" s="175" t="s">
        <v>1707</v>
      </c>
      <c r="I508" s="173" t="s">
        <v>1078</v>
      </c>
      <c r="J508" s="176" t="s">
        <v>127</v>
      </c>
      <c r="K508" s="463" t="s">
        <v>1195</v>
      </c>
    </row>
    <row r="509" spans="1:11" hidden="1" x14ac:dyDescent="0.25">
      <c r="A509" s="177">
        <v>9</v>
      </c>
      <c r="B509" s="178" t="s">
        <v>1086</v>
      </c>
      <c r="C509" s="179" t="s">
        <v>1710</v>
      </c>
      <c r="D509" s="179" t="s">
        <v>1711</v>
      </c>
      <c r="E509" s="180">
        <v>3</v>
      </c>
      <c r="F509" s="302">
        <v>254000</v>
      </c>
      <c r="G509" s="303">
        <v>762000</v>
      </c>
      <c r="H509" s="181" t="s">
        <v>1707</v>
      </c>
      <c r="I509" s="179" t="s">
        <v>1078</v>
      </c>
      <c r="J509" s="182" t="s">
        <v>127</v>
      </c>
      <c r="K509" s="463" t="s">
        <v>1195</v>
      </c>
    </row>
    <row r="510" spans="1:11" hidden="1" x14ac:dyDescent="0.25">
      <c r="A510" s="171">
        <v>9</v>
      </c>
      <c r="B510" s="172" t="s">
        <v>1086</v>
      </c>
      <c r="C510" s="173" t="s">
        <v>1712</v>
      </c>
      <c r="D510" s="173" t="s">
        <v>1713</v>
      </c>
      <c r="E510" s="174">
        <v>1</v>
      </c>
      <c r="F510" s="300">
        <v>26000</v>
      </c>
      <c r="G510" s="301">
        <v>26000</v>
      </c>
      <c r="H510" s="175" t="s">
        <v>1707</v>
      </c>
      <c r="I510" s="173" t="s">
        <v>1078</v>
      </c>
      <c r="J510" s="176" t="s">
        <v>127</v>
      </c>
      <c r="K510" s="463" t="s">
        <v>1195</v>
      </c>
    </row>
    <row r="511" spans="1:11" hidden="1" x14ac:dyDescent="0.25">
      <c r="A511" s="177">
        <v>10</v>
      </c>
      <c r="B511" s="178" t="s">
        <v>1077</v>
      </c>
      <c r="C511" s="179" t="s">
        <v>356</v>
      </c>
      <c r="D511" s="179" t="s">
        <v>357</v>
      </c>
      <c r="E511" s="180">
        <v>4.1500000000000004</v>
      </c>
      <c r="F511" s="302">
        <v>33000</v>
      </c>
      <c r="G511" s="303">
        <v>136950</v>
      </c>
      <c r="H511" s="524" t="s">
        <v>355</v>
      </c>
      <c r="I511" s="179" t="s">
        <v>1078</v>
      </c>
      <c r="J511" s="182" t="s">
        <v>127</v>
      </c>
      <c r="K511" s="463" t="s">
        <v>1191</v>
      </c>
    </row>
    <row r="512" spans="1:11" hidden="1" x14ac:dyDescent="0.25">
      <c r="A512" s="171">
        <v>5</v>
      </c>
      <c r="B512" s="172" t="s">
        <v>91</v>
      </c>
      <c r="C512" s="173" t="s">
        <v>519</v>
      </c>
      <c r="D512" s="173" t="s">
        <v>520</v>
      </c>
      <c r="E512" s="174">
        <v>5</v>
      </c>
      <c r="F512" s="300">
        <v>1820.73</v>
      </c>
      <c r="G512" s="301">
        <v>9103.65</v>
      </c>
      <c r="H512" s="175" t="s">
        <v>518</v>
      </c>
      <c r="I512" s="173" t="s">
        <v>1078</v>
      </c>
      <c r="J512" s="176" t="s">
        <v>127</v>
      </c>
      <c r="K512" s="463" t="s">
        <v>1487</v>
      </c>
    </row>
    <row r="513" spans="1:11" hidden="1" x14ac:dyDescent="0.25">
      <c r="A513" s="177">
        <v>5</v>
      </c>
      <c r="B513" s="178" t="s">
        <v>91</v>
      </c>
      <c r="C513" s="179" t="s">
        <v>521</v>
      </c>
      <c r="D513" s="179" t="s">
        <v>522</v>
      </c>
      <c r="E513" s="180">
        <v>5</v>
      </c>
      <c r="F513" s="302">
        <v>1820.73</v>
      </c>
      <c r="G513" s="303">
        <v>9103.65</v>
      </c>
      <c r="H513" s="181" t="s">
        <v>518</v>
      </c>
      <c r="I513" s="179" t="s">
        <v>1078</v>
      </c>
      <c r="J513" s="182" t="s">
        <v>127</v>
      </c>
      <c r="K513" s="463" t="s">
        <v>1487</v>
      </c>
    </row>
    <row r="514" spans="1:11" hidden="1" x14ac:dyDescent="0.25">
      <c r="A514" s="171">
        <v>5</v>
      </c>
      <c r="B514" s="172" t="s">
        <v>91</v>
      </c>
      <c r="C514" s="173" t="s">
        <v>523</v>
      </c>
      <c r="D514" s="173" t="s">
        <v>524</v>
      </c>
      <c r="E514" s="174">
        <v>5</v>
      </c>
      <c r="F514" s="300">
        <v>1820.73</v>
      </c>
      <c r="G514" s="301">
        <v>9103.65</v>
      </c>
      <c r="H514" s="175" t="s">
        <v>518</v>
      </c>
      <c r="I514" s="173" t="s">
        <v>1078</v>
      </c>
      <c r="J514" s="176" t="s">
        <v>127</v>
      </c>
      <c r="K514" s="463" t="s">
        <v>1487</v>
      </c>
    </row>
    <row r="515" spans="1:11" hidden="1" x14ac:dyDescent="0.25">
      <c r="A515" s="177">
        <v>5</v>
      </c>
      <c r="B515" s="178" t="s">
        <v>91</v>
      </c>
      <c r="C515" s="179" t="s">
        <v>525</v>
      </c>
      <c r="D515" s="179" t="s">
        <v>526</v>
      </c>
      <c r="E515" s="180">
        <v>6</v>
      </c>
      <c r="F515" s="302">
        <v>1890.76</v>
      </c>
      <c r="G515" s="303">
        <v>11344.56</v>
      </c>
      <c r="H515" s="181" t="s">
        <v>518</v>
      </c>
      <c r="I515" s="179" t="s">
        <v>1078</v>
      </c>
      <c r="J515" s="182" t="s">
        <v>127</v>
      </c>
      <c r="K515" s="463" t="s">
        <v>1487</v>
      </c>
    </row>
    <row r="516" spans="1:11" hidden="1" x14ac:dyDescent="0.25">
      <c r="A516" s="171">
        <v>5</v>
      </c>
      <c r="B516" s="172" t="s">
        <v>91</v>
      </c>
      <c r="C516" s="173" t="s">
        <v>527</v>
      </c>
      <c r="D516" s="173" t="s">
        <v>528</v>
      </c>
      <c r="E516" s="174">
        <v>6</v>
      </c>
      <c r="F516" s="300">
        <v>1890.76</v>
      </c>
      <c r="G516" s="301">
        <v>11344.56</v>
      </c>
      <c r="H516" s="175" t="s">
        <v>518</v>
      </c>
      <c r="I516" s="173" t="s">
        <v>1078</v>
      </c>
      <c r="J516" s="176" t="s">
        <v>127</v>
      </c>
      <c r="K516" s="463" t="s">
        <v>1487</v>
      </c>
    </row>
    <row r="517" spans="1:11" hidden="1" x14ac:dyDescent="0.25">
      <c r="A517" s="177">
        <v>5</v>
      </c>
      <c r="B517" s="178" t="s">
        <v>91</v>
      </c>
      <c r="C517" s="179" t="s">
        <v>529</v>
      </c>
      <c r="D517" s="179" t="s">
        <v>530</v>
      </c>
      <c r="E517" s="180">
        <v>6</v>
      </c>
      <c r="F517" s="302">
        <v>3151.26</v>
      </c>
      <c r="G517" s="303">
        <v>18907.560000000001</v>
      </c>
      <c r="H517" s="181" t="s">
        <v>518</v>
      </c>
      <c r="I517" s="179" t="s">
        <v>1078</v>
      </c>
      <c r="J517" s="182" t="s">
        <v>127</v>
      </c>
      <c r="K517" s="463" t="s">
        <v>1487</v>
      </c>
    </row>
    <row r="518" spans="1:11" hidden="1" x14ac:dyDescent="0.25">
      <c r="A518" s="171">
        <v>5</v>
      </c>
      <c r="B518" s="172" t="s">
        <v>91</v>
      </c>
      <c r="C518" s="173" t="s">
        <v>531</v>
      </c>
      <c r="D518" s="173" t="s">
        <v>532</v>
      </c>
      <c r="E518" s="174">
        <v>6</v>
      </c>
      <c r="F518" s="300">
        <v>3151.26</v>
      </c>
      <c r="G518" s="301">
        <v>18907.560000000001</v>
      </c>
      <c r="H518" s="175" t="s">
        <v>518</v>
      </c>
      <c r="I518" s="173" t="s">
        <v>1078</v>
      </c>
      <c r="J518" s="176" t="s">
        <v>127</v>
      </c>
      <c r="K518" s="463" t="s">
        <v>1487</v>
      </c>
    </row>
    <row r="519" spans="1:11" hidden="1" x14ac:dyDescent="0.25">
      <c r="A519" s="177">
        <v>5</v>
      </c>
      <c r="B519" s="178" t="s">
        <v>91</v>
      </c>
      <c r="C519" s="179" t="s">
        <v>533</v>
      </c>
      <c r="D519" s="179" t="s">
        <v>534</v>
      </c>
      <c r="E519" s="180">
        <v>15</v>
      </c>
      <c r="F519" s="302">
        <v>1450.98</v>
      </c>
      <c r="G519" s="303">
        <v>21764.7</v>
      </c>
      <c r="H519" s="181" t="s">
        <v>518</v>
      </c>
      <c r="I519" s="179" t="s">
        <v>1078</v>
      </c>
      <c r="J519" s="182" t="s">
        <v>127</v>
      </c>
      <c r="K519" s="463" t="s">
        <v>1487</v>
      </c>
    </row>
    <row r="520" spans="1:11" hidden="1" x14ac:dyDescent="0.25">
      <c r="A520" s="171">
        <v>5</v>
      </c>
      <c r="B520" s="172" t="s">
        <v>91</v>
      </c>
      <c r="C520" s="173" t="s">
        <v>535</v>
      </c>
      <c r="D520" s="173" t="s">
        <v>536</v>
      </c>
      <c r="E520" s="174">
        <v>15</v>
      </c>
      <c r="F520" s="300">
        <v>1450.98</v>
      </c>
      <c r="G520" s="301">
        <v>21764.7</v>
      </c>
      <c r="H520" s="175" t="s">
        <v>518</v>
      </c>
      <c r="I520" s="173" t="s">
        <v>1078</v>
      </c>
      <c r="J520" s="176" t="s">
        <v>127</v>
      </c>
      <c r="K520" s="463" t="s">
        <v>1487</v>
      </c>
    </row>
    <row r="521" spans="1:11" hidden="1" x14ac:dyDescent="0.25">
      <c r="A521" s="177">
        <v>5</v>
      </c>
      <c r="B521" s="178" t="s">
        <v>91</v>
      </c>
      <c r="C521" s="179" t="s">
        <v>537</v>
      </c>
      <c r="D521" s="179" t="s">
        <v>538</v>
      </c>
      <c r="E521" s="180">
        <v>15</v>
      </c>
      <c r="F521" s="302">
        <v>1450.98</v>
      </c>
      <c r="G521" s="303">
        <v>21764.7</v>
      </c>
      <c r="H521" s="181" t="s">
        <v>518</v>
      </c>
      <c r="I521" s="179" t="s">
        <v>1078</v>
      </c>
      <c r="J521" s="182" t="s">
        <v>127</v>
      </c>
      <c r="K521" s="463" t="s">
        <v>1487</v>
      </c>
    </row>
    <row r="522" spans="1:11" hidden="1" x14ac:dyDescent="0.25">
      <c r="A522" s="171">
        <v>5</v>
      </c>
      <c r="B522" s="172" t="s">
        <v>91</v>
      </c>
      <c r="C522" s="173" t="s">
        <v>539</v>
      </c>
      <c r="D522" s="173" t="s">
        <v>540</v>
      </c>
      <c r="E522" s="174">
        <v>15</v>
      </c>
      <c r="F522" s="300">
        <v>1450.98</v>
      </c>
      <c r="G522" s="301">
        <v>21764.7</v>
      </c>
      <c r="H522" s="175" t="s">
        <v>518</v>
      </c>
      <c r="I522" s="173" t="s">
        <v>1078</v>
      </c>
      <c r="J522" s="176" t="s">
        <v>127</v>
      </c>
      <c r="K522" s="463" t="s">
        <v>1487</v>
      </c>
    </row>
    <row r="523" spans="1:11" hidden="1" x14ac:dyDescent="0.25">
      <c r="A523" s="177">
        <v>5</v>
      </c>
      <c r="B523" s="178" t="s">
        <v>91</v>
      </c>
      <c r="C523" s="179" t="s">
        <v>541</v>
      </c>
      <c r="D523" s="179" t="s">
        <v>542</v>
      </c>
      <c r="E523" s="180">
        <v>12</v>
      </c>
      <c r="F523" s="302">
        <v>3151.26</v>
      </c>
      <c r="G523" s="303">
        <v>37815.120000000003</v>
      </c>
      <c r="H523" s="181" t="s">
        <v>518</v>
      </c>
      <c r="I523" s="179" t="s">
        <v>1078</v>
      </c>
      <c r="J523" s="182" t="s">
        <v>127</v>
      </c>
      <c r="K523" s="463" t="s">
        <v>1487</v>
      </c>
    </row>
    <row r="524" spans="1:11" hidden="1" x14ac:dyDescent="0.25">
      <c r="A524" s="171">
        <v>5</v>
      </c>
      <c r="B524" s="172" t="s">
        <v>91</v>
      </c>
      <c r="C524" s="173" t="s">
        <v>543</v>
      </c>
      <c r="D524" s="173" t="s">
        <v>544</v>
      </c>
      <c r="E524" s="174">
        <v>12</v>
      </c>
      <c r="F524" s="300">
        <v>3151.26</v>
      </c>
      <c r="G524" s="301">
        <v>37815.120000000003</v>
      </c>
      <c r="H524" s="175" t="s">
        <v>518</v>
      </c>
      <c r="I524" s="173" t="s">
        <v>1078</v>
      </c>
      <c r="J524" s="176" t="s">
        <v>127</v>
      </c>
      <c r="K524" s="463" t="s">
        <v>1487</v>
      </c>
    </row>
    <row r="525" spans="1:11" hidden="1" x14ac:dyDescent="0.25">
      <c r="A525" s="177">
        <v>5</v>
      </c>
      <c r="B525" s="178" t="s">
        <v>91</v>
      </c>
      <c r="C525" s="179" t="s">
        <v>545</v>
      </c>
      <c r="D525" s="179" t="s">
        <v>546</v>
      </c>
      <c r="E525" s="180">
        <v>48</v>
      </c>
      <c r="F525" s="302">
        <v>1333.33</v>
      </c>
      <c r="G525" s="303">
        <v>63999.839999999997</v>
      </c>
      <c r="H525" s="181" t="s">
        <v>518</v>
      </c>
      <c r="I525" s="179" t="s">
        <v>1078</v>
      </c>
      <c r="J525" s="182" t="s">
        <v>127</v>
      </c>
      <c r="K525" s="463" t="s">
        <v>1487</v>
      </c>
    </row>
    <row r="526" spans="1:11" hidden="1" x14ac:dyDescent="0.25">
      <c r="A526" s="171">
        <v>5</v>
      </c>
      <c r="B526" s="172" t="s">
        <v>91</v>
      </c>
      <c r="C526" s="173" t="s">
        <v>547</v>
      </c>
      <c r="D526" s="173" t="s">
        <v>548</v>
      </c>
      <c r="E526" s="174">
        <v>48</v>
      </c>
      <c r="F526" s="300">
        <v>1500</v>
      </c>
      <c r="G526" s="301">
        <v>72000</v>
      </c>
      <c r="H526" s="175" t="s">
        <v>518</v>
      </c>
      <c r="I526" s="173" t="s">
        <v>1078</v>
      </c>
      <c r="J526" s="176" t="s">
        <v>127</v>
      </c>
      <c r="K526" s="463" t="s">
        <v>1487</v>
      </c>
    </row>
    <row r="527" spans="1:11" hidden="1" x14ac:dyDescent="0.25">
      <c r="A527" s="177">
        <v>10</v>
      </c>
      <c r="B527" s="178" t="s">
        <v>91</v>
      </c>
      <c r="C527" s="179" t="s">
        <v>512</v>
      </c>
      <c r="D527" s="179" t="s">
        <v>513</v>
      </c>
      <c r="E527" s="180">
        <v>6</v>
      </c>
      <c r="F527" s="302">
        <v>24395</v>
      </c>
      <c r="G527" s="303">
        <v>146370</v>
      </c>
      <c r="H527" s="181" t="s">
        <v>639</v>
      </c>
      <c r="I527" s="179" t="s">
        <v>1078</v>
      </c>
      <c r="J527" s="182" t="s">
        <v>127</v>
      </c>
      <c r="K527" s="463" t="s">
        <v>1141</v>
      </c>
    </row>
    <row r="528" spans="1:11" hidden="1" x14ac:dyDescent="0.25">
      <c r="A528" s="171">
        <v>4</v>
      </c>
      <c r="B528" s="172" t="s">
        <v>91</v>
      </c>
      <c r="C528" s="173" t="s">
        <v>512</v>
      </c>
      <c r="D528" s="173" t="s">
        <v>513</v>
      </c>
      <c r="E528" s="174">
        <v>5</v>
      </c>
      <c r="F528" s="300">
        <v>24395</v>
      </c>
      <c r="G528" s="301">
        <v>121975</v>
      </c>
      <c r="H528" s="175" t="s">
        <v>511</v>
      </c>
      <c r="I528" s="173" t="s">
        <v>1078</v>
      </c>
      <c r="J528" s="176" t="s">
        <v>127</v>
      </c>
      <c r="K528" s="463" t="s">
        <v>1141</v>
      </c>
    </row>
    <row r="529" spans="1:11" hidden="1" x14ac:dyDescent="0.25">
      <c r="A529" s="177">
        <v>4</v>
      </c>
      <c r="B529" s="178" t="s">
        <v>1077</v>
      </c>
      <c r="C529" s="179" t="s">
        <v>265</v>
      </c>
      <c r="D529" s="179" t="s">
        <v>266</v>
      </c>
      <c r="E529" s="180">
        <v>20.74</v>
      </c>
      <c r="F529" s="302">
        <v>18000</v>
      </c>
      <c r="G529" s="303">
        <v>373320</v>
      </c>
      <c r="H529" s="181" t="s">
        <v>264</v>
      </c>
      <c r="I529" s="179" t="s">
        <v>1078</v>
      </c>
      <c r="J529" s="182" t="s">
        <v>127</v>
      </c>
      <c r="K529" s="463" t="s">
        <v>1094</v>
      </c>
    </row>
    <row r="530" spans="1:11" hidden="1" x14ac:dyDescent="0.25">
      <c r="A530" s="171">
        <v>4</v>
      </c>
      <c r="B530" s="172" t="s">
        <v>1077</v>
      </c>
      <c r="C530" s="173" t="s">
        <v>267</v>
      </c>
      <c r="D530" s="173" t="s">
        <v>268</v>
      </c>
      <c r="E530" s="174">
        <v>6.7649999999999997</v>
      </c>
      <c r="F530" s="300">
        <v>55000</v>
      </c>
      <c r="G530" s="301">
        <v>372075</v>
      </c>
      <c r="H530" s="175" t="s">
        <v>264</v>
      </c>
      <c r="I530" s="173" t="s">
        <v>1078</v>
      </c>
      <c r="J530" s="176" t="s">
        <v>127</v>
      </c>
      <c r="K530" s="463" t="s">
        <v>1094</v>
      </c>
    </row>
    <row r="531" spans="1:11" hidden="1" x14ac:dyDescent="0.25">
      <c r="A531" s="177">
        <v>4</v>
      </c>
      <c r="B531" s="178" t="s">
        <v>1077</v>
      </c>
      <c r="C531" s="179" t="s">
        <v>269</v>
      </c>
      <c r="D531" s="179" t="s">
        <v>270</v>
      </c>
      <c r="E531" s="180">
        <v>9.16</v>
      </c>
      <c r="F531" s="302">
        <v>23000</v>
      </c>
      <c r="G531" s="303">
        <v>210680</v>
      </c>
      <c r="H531" s="181" t="s">
        <v>264</v>
      </c>
      <c r="I531" s="179" t="s">
        <v>1078</v>
      </c>
      <c r="J531" s="182" t="s">
        <v>127</v>
      </c>
      <c r="K531" s="463" t="s">
        <v>1094</v>
      </c>
    </row>
    <row r="532" spans="1:11" hidden="1" x14ac:dyDescent="0.25">
      <c r="A532" s="171">
        <v>4</v>
      </c>
      <c r="B532" s="172" t="s">
        <v>1077</v>
      </c>
      <c r="C532" s="173" t="s">
        <v>271</v>
      </c>
      <c r="D532" s="173" t="s">
        <v>272</v>
      </c>
      <c r="E532" s="174">
        <v>7</v>
      </c>
      <c r="F532" s="300">
        <v>24000</v>
      </c>
      <c r="G532" s="301">
        <v>168000</v>
      </c>
      <c r="H532" s="175" t="s">
        <v>264</v>
      </c>
      <c r="I532" s="173" t="s">
        <v>1078</v>
      </c>
      <c r="J532" s="176" t="s">
        <v>127</v>
      </c>
      <c r="K532" s="463" t="s">
        <v>1094</v>
      </c>
    </row>
    <row r="533" spans="1:11" hidden="1" x14ac:dyDescent="0.25">
      <c r="A533" s="177">
        <v>8</v>
      </c>
      <c r="B533" s="178" t="s">
        <v>1102</v>
      </c>
      <c r="C533" s="179" t="s">
        <v>1714</v>
      </c>
      <c r="D533" s="179" t="s">
        <v>1715</v>
      </c>
      <c r="E533" s="180">
        <v>1</v>
      </c>
      <c r="F533" s="302">
        <v>29512</v>
      </c>
      <c r="G533" s="303">
        <v>29512</v>
      </c>
      <c r="H533" s="181" t="s">
        <v>1716</v>
      </c>
      <c r="I533" s="179" t="s">
        <v>1078</v>
      </c>
      <c r="J533" s="182" t="s">
        <v>127</v>
      </c>
      <c r="K533" s="463" t="s">
        <v>1141</v>
      </c>
    </row>
    <row r="534" spans="1:11" hidden="1" x14ac:dyDescent="0.25">
      <c r="A534" s="171">
        <v>9</v>
      </c>
      <c r="B534" s="172" t="s">
        <v>91</v>
      </c>
      <c r="C534" s="173" t="s">
        <v>558</v>
      </c>
      <c r="D534" s="173" t="s">
        <v>552</v>
      </c>
      <c r="E534" s="174">
        <v>2</v>
      </c>
      <c r="F534" s="300">
        <v>5000</v>
      </c>
      <c r="G534" s="301">
        <v>10000</v>
      </c>
      <c r="H534" s="175" t="s">
        <v>592</v>
      </c>
      <c r="I534" s="173" t="s">
        <v>1078</v>
      </c>
      <c r="J534" s="176" t="s">
        <v>127</v>
      </c>
      <c r="K534" s="463" t="s">
        <v>1099</v>
      </c>
    </row>
    <row r="535" spans="1:11" hidden="1" x14ac:dyDescent="0.25">
      <c r="A535" s="177">
        <v>9</v>
      </c>
      <c r="B535" s="178" t="s">
        <v>91</v>
      </c>
      <c r="C535" s="179" t="s">
        <v>594</v>
      </c>
      <c r="D535" s="179" t="s">
        <v>595</v>
      </c>
      <c r="E535" s="180">
        <v>5</v>
      </c>
      <c r="F535" s="302">
        <v>26000</v>
      </c>
      <c r="G535" s="303">
        <v>130000</v>
      </c>
      <c r="H535" s="181" t="s">
        <v>593</v>
      </c>
      <c r="I535" s="179" t="s">
        <v>1078</v>
      </c>
      <c r="J535" s="182" t="s">
        <v>127</v>
      </c>
      <c r="K535" s="463" t="s">
        <v>1141</v>
      </c>
    </row>
    <row r="536" spans="1:11" hidden="1" x14ac:dyDescent="0.25">
      <c r="A536" s="171">
        <v>9</v>
      </c>
      <c r="B536" s="172" t="s">
        <v>1102</v>
      </c>
      <c r="C536" s="173" t="s">
        <v>1717</v>
      </c>
      <c r="D536" s="173" t="s">
        <v>1718</v>
      </c>
      <c r="E536" s="174">
        <v>1</v>
      </c>
      <c r="F536" s="300">
        <v>1439070</v>
      </c>
      <c r="G536" s="301">
        <v>1439070</v>
      </c>
      <c r="H536" s="175" t="s">
        <v>596</v>
      </c>
      <c r="I536" s="173" t="s">
        <v>1078</v>
      </c>
      <c r="J536" s="176" t="s">
        <v>127</v>
      </c>
      <c r="K536" s="463" t="s">
        <v>1348</v>
      </c>
    </row>
    <row r="537" spans="1:11" hidden="1" x14ac:dyDescent="0.25">
      <c r="A537" s="177">
        <v>9</v>
      </c>
      <c r="B537" s="178" t="s">
        <v>1102</v>
      </c>
      <c r="C537" s="179" t="s">
        <v>1719</v>
      </c>
      <c r="D537" s="179" t="s">
        <v>1720</v>
      </c>
      <c r="E537" s="180">
        <v>1</v>
      </c>
      <c r="F537" s="302">
        <v>45900</v>
      </c>
      <c r="G537" s="303">
        <v>45900</v>
      </c>
      <c r="H537" s="181" t="s">
        <v>596</v>
      </c>
      <c r="I537" s="179" t="s">
        <v>1078</v>
      </c>
      <c r="J537" s="182" t="s">
        <v>127</v>
      </c>
      <c r="K537" s="463" t="s">
        <v>1348</v>
      </c>
    </row>
    <row r="538" spans="1:11" hidden="1" x14ac:dyDescent="0.25">
      <c r="A538" s="171">
        <v>9</v>
      </c>
      <c r="B538" s="172" t="s">
        <v>1102</v>
      </c>
      <c r="C538" s="173" t="s">
        <v>1721</v>
      </c>
      <c r="D538" s="173" t="s">
        <v>1722</v>
      </c>
      <c r="E538" s="174">
        <v>1</v>
      </c>
      <c r="F538" s="300">
        <v>27900</v>
      </c>
      <c r="G538" s="301">
        <v>27900</v>
      </c>
      <c r="H538" s="175" t="s">
        <v>596</v>
      </c>
      <c r="I538" s="173" t="s">
        <v>1078</v>
      </c>
      <c r="J538" s="176" t="s">
        <v>127</v>
      </c>
      <c r="K538" s="463" t="s">
        <v>1348</v>
      </c>
    </row>
    <row r="539" spans="1:11" hidden="1" x14ac:dyDescent="0.25">
      <c r="A539" s="177">
        <v>9</v>
      </c>
      <c r="B539" s="178" t="s">
        <v>1086</v>
      </c>
      <c r="C539" s="179" t="s">
        <v>1723</v>
      </c>
      <c r="D539" s="179" t="s">
        <v>1724</v>
      </c>
      <c r="E539" s="180">
        <v>1</v>
      </c>
      <c r="F539" s="302">
        <v>14800</v>
      </c>
      <c r="G539" s="303">
        <v>14800</v>
      </c>
      <c r="H539" s="181" t="s">
        <v>596</v>
      </c>
      <c r="I539" s="179" t="s">
        <v>1078</v>
      </c>
      <c r="J539" s="182" t="s">
        <v>127</v>
      </c>
      <c r="K539" s="463" t="s">
        <v>1348</v>
      </c>
    </row>
    <row r="540" spans="1:11" hidden="1" x14ac:dyDescent="0.25">
      <c r="A540" s="171">
        <v>9</v>
      </c>
      <c r="B540" s="172" t="s">
        <v>91</v>
      </c>
      <c r="C540" s="173" t="s">
        <v>597</v>
      </c>
      <c r="D540" s="173" t="s">
        <v>598</v>
      </c>
      <c r="E540" s="174">
        <v>1</v>
      </c>
      <c r="F540" s="300">
        <v>44900</v>
      </c>
      <c r="G540" s="301">
        <v>44900</v>
      </c>
      <c r="H540" s="175" t="s">
        <v>596</v>
      </c>
      <c r="I540" s="173" t="s">
        <v>1078</v>
      </c>
      <c r="J540" s="176" t="s">
        <v>127</v>
      </c>
      <c r="K540" s="463" t="s">
        <v>1348</v>
      </c>
    </row>
    <row r="541" spans="1:11" hidden="1" x14ac:dyDescent="0.25">
      <c r="A541" s="177">
        <v>9</v>
      </c>
      <c r="B541" s="178" t="s">
        <v>949</v>
      </c>
      <c r="C541" s="179" t="s">
        <v>1725</v>
      </c>
      <c r="D541" s="179" t="s">
        <v>1726</v>
      </c>
      <c r="E541" s="180">
        <v>1</v>
      </c>
      <c r="F541" s="302">
        <v>73</v>
      </c>
      <c r="G541" s="303">
        <v>73</v>
      </c>
      <c r="H541" s="181" t="s">
        <v>596</v>
      </c>
      <c r="I541" s="179" t="s">
        <v>1078</v>
      </c>
      <c r="J541" s="182" t="s">
        <v>127</v>
      </c>
      <c r="K541" s="463" t="s">
        <v>1348</v>
      </c>
    </row>
    <row r="542" spans="1:11" hidden="1" x14ac:dyDescent="0.25">
      <c r="A542" s="171">
        <v>9</v>
      </c>
      <c r="B542" s="172" t="s">
        <v>91</v>
      </c>
      <c r="C542" s="173" t="s">
        <v>600</v>
      </c>
      <c r="D542" s="173" t="s">
        <v>601</v>
      </c>
      <c r="E542" s="174">
        <v>5</v>
      </c>
      <c r="F542" s="300">
        <v>3160</v>
      </c>
      <c r="G542" s="301">
        <v>15800</v>
      </c>
      <c r="H542" s="175" t="s">
        <v>599</v>
      </c>
      <c r="I542" s="173" t="s">
        <v>1078</v>
      </c>
      <c r="J542" s="176" t="s">
        <v>127</v>
      </c>
      <c r="K542" s="463" t="s">
        <v>1191</v>
      </c>
    </row>
    <row r="543" spans="1:11" hidden="1" x14ac:dyDescent="0.25">
      <c r="A543" s="177">
        <v>9</v>
      </c>
      <c r="B543" s="178" t="s">
        <v>91</v>
      </c>
      <c r="C543" s="179" t="s">
        <v>602</v>
      </c>
      <c r="D543" s="179" t="s">
        <v>603</v>
      </c>
      <c r="E543" s="180">
        <v>5</v>
      </c>
      <c r="F543" s="302">
        <v>2510</v>
      </c>
      <c r="G543" s="303">
        <v>12550</v>
      </c>
      <c r="H543" s="181" t="s">
        <v>599</v>
      </c>
      <c r="I543" s="179" t="s">
        <v>1078</v>
      </c>
      <c r="J543" s="182" t="s">
        <v>127</v>
      </c>
      <c r="K543" s="463" t="s">
        <v>1191</v>
      </c>
    </row>
    <row r="544" spans="1:11" hidden="1" x14ac:dyDescent="0.25">
      <c r="A544" s="171">
        <v>9</v>
      </c>
      <c r="B544" s="172" t="s">
        <v>91</v>
      </c>
      <c r="C544" s="173" t="s">
        <v>604</v>
      </c>
      <c r="D544" s="173" t="s">
        <v>605</v>
      </c>
      <c r="E544" s="174">
        <v>2</v>
      </c>
      <c r="F544" s="300">
        <v>18200</v>
      </c>
      <c r="G544" s="301">
        <v>36400</v>
      </c>
      <c r="H544" s="175" t="s">
        <v>599</v>
      </c>
      <c r="I544" s="173" t="s">
        <v>1078</v>
      </c>
      <c r="J544" s="176" t="s">
        <v>127</v>
      </c>
      <c r="K544" s="463" t="s">
        <v>1191</v>
      </c>
    </row>
    <row r="545" spans="1:11" hidden="1" x14ac:dyDescent="0.25">
      <c r="A545" s="177">
        <v>9</v>
      </c>
      <c r="B545" s="178" t="s">
        <v>91</v>
      </c>
      <c r="C545" s="179" t="s">
        <v>606</v>
      </c>
      <c r="D545" s="179" t="s">
        <v>607</v>
      </c>
      <c r="E545" s="180">
        <v>70</v>
      </c>
      <c r="F545" s="302">
        <v>4180</v>
      </c>
      <c r="G545" s="303">
        <v>292600</v>
      </c>
      <c r="H545" s="181" t="s">
        <v>599</v>
      </c>
      <c r="I545" s="179" t="s">
        <v>1078</v>
      </c>
      <c r="J545" s="182" t="s">
        <v>127</v>
      </c>
      <c r="K545" s="463" t="s">
        <v>1191</v>
      </c>
    </row>
    <row r="546" spans="1:11" hidden="1" x14ac:dyDescent="0.25">
      <c r="A546" s="171">
        <v>9</v>
      </c>
      <c r="B546" s="172" t="s">
        <v>91</v>
      </c>
      <c r="C546" s="173" t="s">
        <v>608</v>
      </c>
      <c r="D546" s="173" t="s">
        <v>609</v>
      </c>
      <c r="E546" s="174">
        <v>6</v>
      </c>
      <c r="F546" s="300">
        <v>1100</v>
      </c>
      <c r="G546" s="301">
        <v>6600</v>
      </c>
      <c r="H546" s="175" t="s">
        <v>599</v>
      </c>
      <c r="I546" s="173" t="s">
        <v>1078</v>
      </c>
      <c r="J546" s="176" t="s">
        <v>127</v>
      </c>
      <c r="K546" s="463" t="s">
        <v>1191</v>
      </c>
    </row>
    <row r="547" spans="1:11" hidden="1" x14ac:dyDescent="0.25">
      <c r="A547" s="177">
        <v>9</v>
      </c>
      <c r="B547" s="178" t="s">
        <v>91</v>
      </c>
      <c r="C547" s="179" t="s">
        <v>610</v>
      </c>
      <c r="D547" s="179" t="s">
        <v>611</v>
      </c>
      <c r="E547" s="180">
        <v>6</v>
      </c>
      <c r="F547" s="302">
        <v>2510</v>
      </c>
      <c r="G547" s="303">
        <v>15060</v>
      </c>
      <c r="H547" s="181" t="s">
        <v>599</v>
      </c>
      <c r="I547" s="179" t="s">
        <v>1078</v>
      </c>
      <c r="J547" s="182" t="s">
        <v>127</v>
      </c>
      <c r="K547" s="463" t="s">
        <v>1191</v>
      </c>
    </row>
    <row r="548" spans="1:11" hidden="1" x14ac:dyDescent="0.25">
      <c r="A548" s="171">
        <v>9</v>
      </c>
      <c r="B548" s="172" t="s">
        <v>91</v>
      </c>
      <c r="C548" s="173" t="s">
        <v>612</v>
      </c>
      <c r="D548" s="173" t="s">
        <v>613</v>
      </c>
      <c r="E548" s="174">
        <v>5</v>
      </c>
      <c r="F548" s="300">
        <v>3160</v>
      </c>
      <c r="G548" s="301">
        <v>15800</v>
      </c>
      <c r="H548" s="175" t="s">
        <v>599</v>
      </c>
      <c r="I548" s="173" t="s">
        <v>1078</v>
      </c>
      <c r="J548" s="176" t="s">
        <v>127</v>
      </c>
      <c r="K548" s="463" t="s">
        <v>1191</v>
      </c>
    </row>
    <row r="549" spans="1:11" hidden="1" x14ac:dyDescent="0.25">
      <c r="A549" s="177">
        <v>9</v>
      </c>
      <c r="B549" s="178" t="s">
        <v>91</v>
      </c>
      <c r="C549" s="179" t="s">
        <v>614</v>
      </c>
      <c r="D549" s="179" t="s">
        <v>615</v>
      </c>
      <c r="E549" s="180">
        <v>6</v>
      </c>
      <c r="F549" s="302">
        <v>3160</v>
      </c>
      <c r="G549" s="303">
        <v>18960</v>
      </c>
      <c r="H549" s="181" t="s">
        <v>599</v>
      </c>
      <c r="I549" s="179" t="s">
        <v>1078</v>
      </c>
      <c r="J549" s="182" t="s">
        <v>127</v>
      </c>
      <c r="K549" s="463" t="s">
        <v>1191</v>
      </c>
    </row>
    <row r="550" spans="1:11" hidden="1" x14ac:dyDescent="0.25">
      <c r="A550" s="171">
        <v>8</v>
      </c>
      <c r="B550" s="172" t="s">
        <v>91</v>
      </c>
      <c r="C550" s="173" t="s">
        <v>556</v>
      </c>
      <c r="D550" s="173" t="s">
        <v>516</v>
      </c>
      <c r="E550" s="174">
        <v>2</v>
      </c>
      <c r="F550" s="300">
        <v>9500</v>
      </c>
      <c r="G550" s="301">
        <v>19000</v>
      </c>
      <c r="H550" s="175" t="s">
        <v>555</v>
      </c>
      <c r="I550" s="173" t="s">
        <v>1078</v>
      </c>
      <c r="J550" s="176" t="s">
        <v>127</v>
      </c>
      <c r="K550" s="463" t="s">
        <v>1099</v>
      </c>
    </row>
    <row r="551" spans="1:11" hidden="1" x14ac:dyDescent="0.25">
      <c r="A551" s="177">
        <v>8</v>
      </c>
      <c r="B551" s="178" t="s">
        <v>91</v>
      </c>
      <c r="C551" s="179" t="s">
        <v>558</v>
      </c>
      <c r="D551" s="179" t="s">
        <v>552</v>
      </c>
      <c r="E551" s="180">
        <v>2</v>
      </c>
      <c r="F551" s="302">
        <v>5000</v>
      </c>
      <c r="G551" s="303">
        <v>10000</v>
      </c>
      <c r="H551" s="181" t="s">
        <v>557</v>
      </c>
      <c r="I551" s="179" t="s">
        <v>1078</v>
      </c>
      <c r="J551" s="182" t="s">
        <v>127</v>
      </c>
      <c r="K551" s="463" t="s">
        <v>1099</v>
      </c>
    </row>
    <row r="552" spans="1:11" hidden="1" x14ac:dyDescent="0.25">
      <c r="A552" s="171">
        <v>8</v>
      </c>
      <c r="B552" s="172" t="s">
        <v>1082</v>
      </c>
      <c r="C552" s="173" t="s">
        <v>1727</v>
      </c>
      <c r="D552" s="173" t="s">
        <v>1728</v>
      </c>
      <c r="E552" s="174">
        <v>2.0099999999999998</v>
      </c>
      <c r="F552" s="300">
        <v>13000</v>
      </c>
      <c r="G552" s="301">
        <v>26130</v>
      </c>
      <c r="H552" s="175" t="s">
        <v>321</v>
      </c>
      <c r="I552" s="173" t="s">
        <v>1078</v>
      </c>
      <c r="J552" s="176" t="s">
        <v>127</v>
      </c>
      <c r="K552" s="463" t="s">
        <v>1079</v>
      </c>
    </row>
    <row r="553" spans="1:11" hidden="1" x14ac:dyDescent="0.25">
      <c r="A553" s="177">
        <v>8</v>
      </c>
      <c r="B553" s="178" t="s">
        <v>1082</v>
      </c>
      <c r="C553" s="179" t="s">
        <v>1727</v>
      </c>
      <c r="D553" s="179" t="s">
        <v>1728</v>
      </c>
      <c r="E553" s="180">
        <v>1</v>
      </c>
      <c r="F553" s="302">
        <v>13000</v>
      </c>
      <c r="G553" s="303">
        <v>13000</v>
      </c>
      <c r="H553" s="181" t="s">
        <v>321</v>
      </c>
      <c r="I553" s="179" t="s">
        <v>1078</v>
      </c>
      <c r="J553" s="182" t="s">
        <v>127</v>
      </c>
      <c r="K553" s="463" t="s">
        <v>1079</v>
      </c>
    </row>
    <row r="554" spans="1:11" hidden="1" x14ac:dyDescent="0.25">
      <c r="A554" s="171">
        <v>8</v>
      </c>
      <c r="B554" s="172" t="s">
        <v>1086</v>
      </c>
      <c r="C554" s="173" t="s">
        <v>1729</v>
      </c>
      <c r="D554" s="173" t="s">
        <v>1730</v>
      </c>
      <c r="E554" s="174">
        <v>1</v>
      </c>
      <c r="F554" s="300">
        <v>3700</v>
      </c>
      <c r="G554" s="301">
        <v>3700</v>
      </c>
      <c r="H554" s="175" t="s">
        <v>321</v>
      </c>
      <c r="I554" s="173" t="s">
        <v>1078</v>
      </c>
      <c r="J554" s="176" t="s">
        <v>127</v>
      </c>
      <c r="K554" s="463" t="s">
        <v>1079</v>
      </c>
    </row>
    <row r="555" spans="1:11" hidden="1" x14ac:dyDescent="0.25">
      <c r="A555" s="177">
        <v>8</v>
      </c>
      <c r="B555" s="178" t="s">
        <v>1086</v>
      </c>
      <c r="C555" s="179" t="s">
        <v>1729</v>
      </c>
      <c r="D555" s="179" t="s">
        <v>1730</v>
      </c>
      <c r="E555" s="180">
        <v>1</v>
      </c>
      <c r="F555" s="302">
        <v>3700</v>
      </c>
      <c r="G555" s="303">
        <v>3700</v>
      </c>
      <c r="H555" s="181" t="s">
        <v>321</v>
      </c>
      <c r="I555" s="179" t="s">
        <v>1078</v>
      </c>
      <c r="J555" s="182" t="s">
        <v>127</v>
      </c>
      <c r="K555" s="463" t="s">
        <v>1079</v>
      </c>
    </row>
    <row r="556" spans="1:11" hidden="1" x14ac:dyDescent="0.25">
      <c r="A556" s="171">
        <v>8</v>
      </c>
      <c r="B556" s="172" t="s">
        <v>1086</v>
      </c>
      <c r="C556" s="173" t="s">
        <v>1729</v>
      </c>
      <c r="D556" s="173" t="s">
        <v>1730</v>
      </c>
      <c r="E556" s="174">
        <v>1</v>
      </c>
      <c r="F556" s="300">
        <v>3700</v>
      </c>
      <c r="G556" s="301">
        <v>3700</v>
      </c>
      <c r="H556" s="175" t="s">
        <v>321</v>
      </c>
      <c r="I556" s="173" t="s">
        <v>1078</v>
      </c>
      <c r="J556" s="176" t="s">
        <v>127</v>
      </c>
      <c r="K556" s="463" t="s">
        <v>1079</v>
      </c>
    </row>
    <row r="557" spans="1:11" hidden="1" x14ac:dyDescent="0.25">
      <c r="A557" s="177">
        <v>8</v>
      </c>
      <c r="B557" s="178" t="s">
        <v>1086</v>
      </c>
      <c r="C557" s="179" t="s">
        <v>1729</v>
      </c>
      <c r="D557" s="179" t="s">
        <v>1730</v>
      </c>
      <c r="E557" s="180">
        <v>1</v>
      </c>
      <c r="F557" s="302">
        <v>3700</v>
      </c>
      <c r="G557" s="303">
        <v>3700</v>
      </c>
      <c r="H557" s="181" t="s">
        <v>321</v>
      </c>
      <c r="I557" s="179" t="s">
        <v>1078</v>
      </c>
      <c r="J557" s="182" t="s">
        <v>127</v>
      </c>
      <c r="K557" s="463" t="s">
        <v>1079</v>
      </c>
    </row>
    <row r="558" spans="1:11" hidden="1" x14ac:dyDescent="0.25">
      <c r="A558" s="171">
        <v>8</v>
      </c>
      <c r="B558" s="172" t="s">
        <v>1077</v>
      </c>
      <c r="C558" s="173" t="s">
        <v>322</v>
      </c>
      <c r="D558" s="173" t="s">
        <v>323</v>
      </c>
      <c r="E558" s="174">
        <v>2</v>
      </c>
      <c r="F558" s="300">
        <v>3050</v>
      </c>
      <c r="G558" s="301">
        <v>6100</v>
      </c>
      <c r="H558" s="175" t="s">
        <v>321</v>
      </c>
      <c r="I558" s="173" t="s">
        <v>1078</v>
      </c>
      <c r="J558" s="176" t="s">
        <v>127</v>
      </c>
      <c r="K558" s="463" t="s">
        <v>1079</v>
      </c>
    </row>
    <row r="559" spans="1:11" hidden="1" x14ac:dyDescent="0.25">
      <c r="A559" s="177">
        <v>8</v>
      </c>
      <c r="B559" s="178" t="s">
        <v>1077</v>
      </c>
      <c r="C559" s="179" t="s">
        <v>322</v>
      </c>
      <c r="D559" s="179" t="s">
        <v>323</v>
      </c>
      <c r="E559" s="180">
        <v>2</v>
      </c>
      <c r="F559" s="302">
        <v>3050</v>
      </c>
      <c r="G559" s="303">
        <v>6100</v>
      </c>
      <c r="H559" s="181" t="s">
        <v>321</v>
      </c>
      <c r="I559" s="179" t="s">
        <v>1078</v>
      </c>
      <c r="J559" s="182" t="s">
        <v>127</v>
      </c>
      <c r="K559" s="463" t="s">
        <v>1079</v>
      </c>
    </row>
    <row r="560" spans="1:11" hidden="1" x14ac:dyDescent="0.25">
      <c r="A560" s="171">
        <v>8</v>
      </c>
      <c r="B560" s="172" t="s">
        <v>1077</v>
      </c>
      <c r="C560" s="173" t="s">
        <v>322</v>
      </c>
      <c r="D560" s="173" t="s">
        <v>323</v>
      </c>
      <c r="E560" s="174">
        <v>2</v>
      </c>
      <c r="F560" s="300">
        <v>3050</v>
      </c>
      <c r="G560" s="301">
        <v>6100</v>
      </c>
      <c r="H560" s="175" t="s">
        <v>321</v>
      </c>
      <c r="I560" s="173" t="s">
        <v>1078</v>
      </c>
      <c r="J560" s="176" t="s">
        <v>127</v>
      </c>
      <c r="K560" s="463" t="s">
        <v>1079</v>
      </c>
    </row>
    <row r="561" spans="1:11" hidden="1" x14ac:dyDescent="0.25">
      <c r="A561" s="177">
        <v>8</v>
      </c>
      <c r="B561" s="178" t="s">
        <v>1077</v>
      </c>
      <c r="C561" s="179" t="s">
        <v>322</v>
      </c>
      <c r="D561" s="179" t="s">
        <v>323</v>
      </c>
      <c r="E561" s="180">
        <v>2</v>
      </c>
      <c r="F561" s="302">
        <v>3050</v>
      </c>
      <c r="G561" s="303">
        <v>6100</v>
      </c>
      <c r="H561" s="181" t="s">
        <v>321</v>
      </c>
      <c r="I561" s="179" t="s">
        <v>1078</v>
      </c>
      <c r="J561" s="182" t="s">
        <v>127</v>
      </c>
      <c r="K561" s="463" t="s">
        <v>1079</v>
      </c>
    </row>
    <row r="562" spans="1:11" hidden="1" x14ac:dyDescent="0.25">
      <c r="A562" s="171">
        <v>8</v>
      </c>
      <c r="B562" s="172" t="s">
        <v>1077</v>
      </c>
      <c r="C562" s="173" t="s">
        <v>322</v>
      </c>
      <c r="D562" s="173" t="s">
        <v>323</v>
      </c>
      <c r="E562" s="174">
        <v>2</v>
      </c>
      <c r="F562" s="300">
        <v>3050</v>
      </c>
      <c r="G562" s="301">
        <v>6100</v>
      </c>
      <c r="H562" s="175" t="s">
        <v>321</v>
      </c>
      <c r="I562" s="173" t="s">
        <v>1078</v>
      </c>
      <c r="J562" s="176" t="s">
        <v>127</v>
      </c>
      <c r="K562" s="463" t="s">
        <v>1079</v>
      </c>
    </row>
    <row r="563" spans="1:11" hidden="1" x14ac:dyDescent="0.25">
      <c r="A563" s="177">
        <v>8</v>
      </c>
      <c r="B563" s="178" t="s">
        <v>949</v>
      </c>
      <c r="C563" s="179" t="s">
        <v>1731</v>
      </c>
      <c r="D563" s="179" t="s">
        <v>1732</v>
      </c>
      <c r="E563" s="180">
        <v>1</v>
      </c>
      <c r="F563" s="302">
        <v>2200</v>
      </c>
      <c r="G563" s="303">
        <v>2200</v>
      </c>
      <c r="H563" s="181" t="s">
        <v>321</v>
      </c>
      <c r="I563" s="179" t="s">
        <v>1078</v>
      </c>
      <c r="J563" s="182" t="s">
        <v>127</v>
      </c>
      <c r="K563" s="463" t="s">
        <v>1079</v>
      </c>
    </row>
    <row r="564" spans="1:11" hidden="1" x14ac:dyDescent="0.25">
      <c r="A564" s="171">
        <v>7</v>
      </c>
      <c r="B564" s="172" t="s">
        <v>91</v>
      </c>
      <c r="C564" s="173" t="s">
        <v>515</v>
      </c>
      <c r="D564" s="173" t="s">
        <v>516</v>
      </c>
      <c r="E564" s="174">
        <v>2</v>
      </c>
      <c r="F564" s="300">
        <v>9500</v>
      </c>
      <c r="G564" s="301">
        <v>19000</v>
      </c>
      <c r="H564" s="175" t="s">
        <v>550</v>
      </c>
      <c r="I564" s="173" t="s">
        <v>1078</v>
      </c>
      <c r="J564" s="176" t="s">
        <v>127</v>
      </c>
      <c r="K564" s="463" t="s">
        <v>1099</v>
      </c>
    </row>
    <row r="565" spans="1:11" hidden="1" x14ac:dyDescent="0.25">
      <c r="A565" s="177">
        <v>7</v>
      </c>
      <c r="B565" s="178" t="s">
        <v>91</v>
      </c>
      <c r="C565" s="179" t="s">
        <v>551</v>
      </c>
      <c r="D565" s="179" t="s">
        <v>552</v>
      </c>
      <c r="E565" s="180">
        <v>4</v>
      </c>
      <c r="F565" s="302">
        <v>5000</v>
      </c>
      <c r="G565" s="303">
        <v>20000</v>
      </c>
      <c r="H565" s="181" t="s">
        <v>550</v>
      </c>
      <c r="I565" s="179" t="s">
        <v>1078</v>
      </c>
      <c r="J565" s="182" t="s">
        <v>127</v>
      </c>
      <c r="K565" s="463" t="s">
        <v>1099</v>
      </c>
    </row>
    <row r="566" spans="1:11" hidden="1" x14ac:dyDescent="0.25">
      <c r="A566" s="171">
        <v>7</v>
      </c>
      <c r="B566" s="172" t="s">
        <v>91</v>
      </c>
      <c r="C566" s="173" t="s">
        <v>515</v>
      </c>
      <c r="D566" s="173" t="s">
        <v>516</v>
      </c>
      <c r="E566" s="174">
        <v>2</v>
      </c>
      <c r="F566" s="300">
        <v>9500</v>
      </c>
      <c r="G566" s="301">
        <v>19000</v>
      </c>
      <c r="H566" s="175" t="s">
        <v>553</v>
      </c>
      <c r="I566" s="173" t="s">
        <v>1078</v>
      </c>
      <c r="J566" s="176" t="s">
        <v>127</v>
      </c>
      <c r="K566" s="463" t="s">
        <v>1099</v>
      </c>
    </row>
    <row r="567" spans="1:11" hidden="1" x14ac:dyDescent="0.25">
      <c r="A567" s="177">
        <v>7</v>
      </c>
      <c r="B567" s="178" t="s">
        <v>91</v>
      </c>
      <c r="C567" s="179" t="s">
        <v>551</v>
      </c>
      <c r="D567" s="179" t="s">
        <v>552</v>
      </c>
      <c r="E567" s="180">
        <v>3</v>
      </c>
      <c r="F567" s="302">
        <v>5000</v>
      </c>
      <c r="G567" s="303">
        <v>15000</v>
      </c>
      <c r="H567" s="181" t="s">
        <v>553</v>
      </c>
      <c r="I567" s="179" t="s">
        <v>1078</v>
      </c>
      <c r="J567" s="182" t="s">
        <v>127</v>
      </c>
      <c r="K567" s="463" t="s">
        <v>1099</v>
      </c>
    </row>
    <row r="568" spans="1:11" hidden="1" x14ac:dyDescent="0.25">
      <c r="A568" s="171">
        <v>4</v>
      </c>
      <c r="B568" s="172" t="s">
        <v>91</v>
      </c>
      <c r="C568" s="173" t="s">
        <v>515</v>
      </c>
      <c r="D568" s="173" t="s">
        <v>516</v>
      </c>
      <c r="E568" s="174">
        <v>2</v>
      </c>
      <c r="F568" s="300">
        <v>9500</v>
      </c>
      <c r="G568" s="301">
        <v>19000</v>
      </c>
      <c r="H568" s="175" t="s">
        <v>514</v>
      </c>
      <c r="I568" s="173" t="s">
        <v>1078</v>
      </c>
      <c r="J568" s="176" t="s">
        <v>127</v>
      </c>
      <c r="K568" s="463" t="s">
        <v>1099</v>
      </c>
    </row>
    <row r="569" spans="1:11" hidden="1" x14ac:dyDescent="0.25">
      <c r="A569" s="186">
        <v>9</v>
      </c>
      <c r="B569" s="187" t="s">
        <v>1592</v>
      </c>
      <c r="C569" s="187" t="s">
        <v>1733</v>
      </c>
      <c r="D569" s="187" t="s">
        <v>1734</v>
      </c>
      <c r="E569" s="188">
        <v>1</v>
      </c>
      <c r="F569" s="268">
        <v>376852</v>
      </c>
      <c r="G569" s="268">
        <v>376852</v>
      </c>
      <c r="H569" s="189" t="s">
        <v>1735</v>
      </c>
      <c r="I569" s="187" t="s">
        <v>1736</v>
      </c>
      <c r="J569" s="189" t="s">
        <v>130</v>
      </c>
      <c r="K569" s="463" t="s">
        <v>1737</v>
      </c>
    </row>
    <row r="570" spans="1:11" hidden="1" x14ac:dyDescent="0.25">
      <c r="A570" s="186">
        <v>15</v>
      </c>
      <c r="B570" s="187" t="s">
        <v>1114</v>
      </c>
      <c r="C570" s="187" t="s">
        <v>1738</v>
      </c>
      <c r="D570" s="187" t="s">
        <v>1739</v>
      </c>
      <c r="E570" s="188">
        <v>1</v>
      </c>
      <c r="F570" s="268">
        <v>4920175</v>
      </c>
      <c r="G570" s="268">
        <v>4920175</v>
      </c>
      <c r="H570" s="189" t="s">
        <v>1740</v>
      </c>
      <c r="I570" s="187" t="s">
        <v>1741</v>
      </c>
      <c r="J570" s="189" t="s">
        <v>130</v>
      </c>
      <c r="K570" s="463" t="s">
        <v>1742</v>
      </c>
    </row>
    <row r="571" spans="1:11" hidden="1" x14ac:dyDescent="0.25">
      <c r="A571" s="186">
        <v>9</v>
      </c>
      <c r="B571" s="187" t="s">
        <v>1114</v>
      </c>
      <c r="C571" s="187" t="s">
        <v>1743</v>
      </c>
      <c r="D571" s="187" t="s">
        <v>1744</v>
      </c>
      <c r="E571" s="188">
        <v>1</v>
      </c>
      <c r="F571" s="268">
        <v>106180</v>
      </c>
      <c r="G571" s="268">
        <v>106180</v>
      </c>
      <c r="H571" s="189" t="s">
        <v>1745</v>
      </c>
      <c r="I571" s="187" t="s">
        <v>1746</v>
      </c>
      <c r="J571" s="189" t="s">
        <v>130</v>
      </c>
      <c r="K571" s="463" t="s">
        <v>1118</v>
      </c>
    </row>
    <row r="572" spans="1:11" hidden="1" x14ac:dyDescent="0.25">
      <c r="A572" s="186">
        <v>15</v>
      </c>
      <c r="B572" s="187" t="s">
        <v>1367</v>
      </c>
      <c r="C572" s="187" t="s">
        <v>1747</v>
      </c>
      <c r="D572" s="187" t="s">
        <v>1748</v>
      </c>
      <c r="E572" s="188">
        <v>2</v>
      </c>
      <c r="F572" s="268">
        <v>18200</v>
      </c>
      <c r="G572" s="268">
        <v>36400</v>
      </c>
      <c r="H572" s="189" t="s">
        <v>659</v>
      </c>
      <c r="I572" s="187" t="s">
        <v>1749</v>
      </c>
      <c r="J572" s="189" t="s">
        <v>130</v>
      </c>
      <c r="K572" s="463" t="s">
        <v>1131</v>
      </c>
    </row>
    <row r="573" spans="1:11" hidden="1" x14ac:dyDescent="0.25">
      <c r="A573" s="186">
        <v>15</v>
      </c>
      <c r="B573" s="187" t="s">
        <v>1367</v>
      </c>
      <c r="C573" s="187" t="s">
        <v>1750</v>
      </c>
      <c r="D573" s="187" t="s">
        <v>1751</v>
      </c>
      <c r="E573" s="188">
        <v>70</v>
      </c>
      <c r="F573" s="268">
        <v>4180</v>
      </c>
      <c r="G573" s="268">
        <v>292600</v>
      </c>
      <c r="H573" s="189" t="s">
        <v>659</v>
      </c>
      <c r="I573" s="187" t="s">
        <v>1749</v>
      </c>
      <c r="J573" s="189" t="s">
        <v>130</v>
      </c>
      <c r="K573" s="463" t="s">
        <v>1131</v>
      </c>
    </row>
    <row r="574" spans="1:11" hidden="1" x14ac:dyDescent="0.25">
      <c r="A574" s="186">
        <v>15</v>
      </c>
      <c r="B574" s="187" t="s">
        <v>91</v>
      </c>
      <c r="C574" s="187" t="s">
        <v>660</v>
      </c>
      <c r="D574" s="187" t="s">
        <v>661</v>
      </c>
      <c r="E574" s="188">
        <v>4</v>
      </c>
      <c r="F574" s="268">
        <v>1309</v>
      </c>
      <c r="G574" s="268">
        <v>5236</v>
      </c>
      <c r="H574" s="189" t="s">
        <v>659</v>
      </c>
      <c r="I574" s="187" t="s">
        <v>1749</v>
      </c>
      <c r="J574" s="189" t="s">
        <v>130</v>
      </c>
      <c r="K574" s="463" t="s">
        <v>1131</v>
      </c>
    </row>
    <row r="575" spans="1:11" hidden="1" x14ac:dyDescent="0.25">
      <c r="A575" s="186">
        <v>15</v>
      </c>
      <c r="B575" s="187" t="s">
        <v>1615</v>
      </c>
      <c r="C575" s="187" t="s">
        <v>1752</v>
      </c>
      <c r="D575" s="187" t="s">
        <v>874</v>
      </c>
      <c r="E575" s="188">
        <v>1</v>
      </c>
      <c r="F575" s="268">
        <v>897464</v>
      </c>
      <c r="G575" s="268">
        <v>897464</v>
      </c>
      <c r="H575" s="189" t="s">
        <v>871</v>
      </c>
      <c r="I575" s="187" t="s">
        <v>1753</v>
      </c>
      <c r="J575" s="189" t="s">
        <v>130</v>
      </c>
      <c r="K575" s="463" t="s">
        <v>1754</v>
      </c>
    </row>
    <row r="576" spans="1:11" hidden="1" x14ac:dyDescent="0.25">
      <c r="A576" s="186">
        <v>15</v>
      </c>
      <c r="B576" s="187" t="s">
        <v>1615</v>
      </c>
      <c r="C576" s="187" t="s">
        <v>1755</v>
      </c>
      <c r="D576" s="187" t="s">
        <v>874</v>
      </c>
      <c r="E576" s="188">
        <v>1</v>
      </c>
      <c r="F576" s="268">
        <v>892864</v>
      </c>
      <c r="G576" s="268">
        <v>892864</v>
      </c>
      <c r="H576" s="189" t="s">
        <v>871</v>
      </c>
      <c r="I576" s="187" t="s">
        <v>1753</v>
      </c>
      <c r="J576" s="189" t="s">
        <v>130</v>
      </c>
      <c r="K576" s="463" t="s">
        <v>1754</v>
      </c>
    </row>
    <row r="577" spans="1:11" hidden="1" x14ac:dyDescent="0.25">
      <c r="A577" s="186">
        <v>15</v>
      </c>
      <c r="B577" s="187" t="s">
        <v>1615</v>
      </c>
      <c r="C577" s="187" t="s">
        <v>1756</v>
      </c>
      <c r="D577" s="187" t="s">
        <v>874</v>
      </c>
      <c r="E577" s="188">
        <v>1</v>
      </c>
      <c r="F577" s="268">
        <v>897464</v>
      </c>
      <c r="G577" s="268">
        <v>897464</v>
      </c>
      <c r="H577" s="189" t="s">
        <v>871</v>
      </c>
      <c r="I577" s="187" t="s">
        <v>1753</v>
      </c>
      <c r="J577" s="189" t="s">
        <v>130</v>
      </c>
      <c r="K577" s="463" t="s">
        <v>1754</v>
      </c>
    </row>
    <row r="578" spans="1:11" hidden="1" x14ac:dyDescent="0.25">
      <c r="A578" s="186">
        <v>15</v>
      </c>
      <c r="B578" s="187" t="s">
        <v>1615</v>
      </c>
      <c r="C578" s="187" t="s">
        <v>1757</v>
      </c>
      <c r="D578" s="187" t="s">
        <v>874</v>
      </c>
      <c r="E578" s="188">
        <v>1</v>
      </c>
      <c r="F578" s="268">
        <v>1615060</v>
      </c>
      <c r="G578" s="268">
        <v>1615060</v>
      </c>
      <c r="H578" s="189" t="s">
        <v>871</v>
      </c>
      <c r="I578" s="187" t="s">
        <v>1753</v>
      </c>
      <c r="J578" s="189" t="s">
        <v>130</v>
      </c>
      <c r="K578" s="463" t="s">
        <v>1754</v>
      </c>
    </row>
    <row r="579" spans="1:11" hidden="1" x14ac:dyDescent="0.25">
      <c r="A579" s="186">
        <v>16</v>
      </c>
      <c r="B579" s="187" t="s">
        <v>1077</v>
      </c>
      <c r="C579" s="187" t="s">
        <v>195</v>
      </c>
      <c r="D579" s="187" t="s">
        <v>425</v>
      </c>
      <c r="E579" s="188">
        <v>20</v>
      </c>
      <c r="F579" s="268">
        <v>16500</v>
      </c>
      <c r="G579" s="268">
        <v>330000</v>
      </c>
      <c r="H579" s="189" t="s">
        <v>424</v>
      </c>
      <c r="I579" s="187" t="s">
        <v>1758</v>
      </c>
      <c r="J579" s="189" t="s">
        <v>130</v>
      </c>
      <c r="K579" s="463" t="s">
        <v>1091</v>
      </c>
    </row>
    <row r="580" spans="1:11" hidden="1" x14ac:dyDescent="0.25">
      <c r="A580" s="186">
        <v>17</v>
      </c>
      <c r="B580" s="187" t="s">
        <v>91</v>
      </c>
      <c r="C580" s="187" t="s">
        <v>673</v>
      </c>
      <c r="D580" s="187" t="s">
        <v>674</v>
      </c>
      <c r="E580" s="188">
        <v>2</v>
      </c>
      <c r="F580" s="268">
        <v>57800</v>
      </c>
      <c r="G580" s="268">
        <v>115600</v>
      </c>
      <c r="H580" s="189" t="s">
        <v>672</v>
      </c>
      <c r="I580" s="187" t="s">
        <v>1759</v>
      </c>
      <c r="J580" s="189" t="s">
        <v>130</v>
      </c>
      <c r="K580" s="463" t="s">
        <v>1188</v>
      </c>
    </row>
    <row r="581" spans="1:11" hidden="1" x14ac:dyDescent="0.25">
      <c r="A581" s="186">
        <v>17</v>
      </c>
      <c r="B581" s="187" t="s">
        <v>91</v>
      </c>
      <c r="C581" s="187" t="s">
        <v>675</v>
      </c>
      <c r="D581" s="187" t="s">
        <v>676</v>
      </c>
      <c r="E581" s="188">
        <v>3</v>
      </c>
      <c r="F581" s="268">
        <v>34800</v>
      </c>
      <c r="G581" s="268">
        <v>104400</v>
      </c>
      <c r="H581" s="189" t="s">
        <v>672</v>
      </c>
      <c r="I581" s="187" t="s">
        <v>1759</v>
      </c>
      <c r="J581" s="189" t="s">
        <v>130</v>
      </c>
      <c r="K581" s="463" t="s">
        <v>1188</v>
      </c>
    </row>
    <row r="582" spans="1:11" hidden="1" x14ac:dyDescent="0.25">
      <c r="A582" s="186">
        <v>18</v>
      </c>
      <c r="B582" s="187" t="s">
        <v>91</v>
      </c>
      <c r="C582" s="187" t="s">
        <v>681</v>
      </c>
      <c r="D582" s="187" t="s">
        <v>682</v>
      </c>
      <c r="E582" s="188">
        <v>2</v>
      </c>
      <c r="F582" s="268">
        <v>74500</v>
      </c>
      <c r="G582" s="268">
        <v>149000</v>
      </c>
      <c r="H582" s="189" t="s">
        <v>680</v>
      </c>
      <c r="I582" s="187" t="s">
        <v>1760</v>
      </c>
      <c r="J582" s="189" t="s">
        <v>130</v>
      </c>
      <c r="K582" s="463" t="s">
        <v>1110</v>
      </c>
    </row>
    <row r="583" spans="1:11" hidden="1" x14ac:dyDescent="0.25">
      <c r="A583" s="186">
        <v>18</v>
      </c>
      <c r="B583" s="187" t="s">
        <v>91</v>
      </c>
      <c r="C583" s="187" t="s">
        <v>683</v>
      </c>
      <c r="D583" s="187" t="s">
        <v>684</v>
      </c>
      <c r="E583" s="188">
        <v>1</v>
      </c>
      <c r="F583" s="268">
        <v>77500</v>
      </c>
      <c r="G583" s="268">
        <v>77500</v>
      </c>
      <c r="H583" s="189" t="s">
        <v>680</v>
      </c>
      <c r="I583" s="187" t="s">
        <v>1760</v>
      </c>
      <c r="J583" s="189" t="s">
        <v>130</v>
      </c>
      <c r="K583" s="463" t="s">
        <v>1110</v>
      </c>
    </row>
    <row r="584" spans="1:11" hidden="1" x14ac:dyDescent="0.25">
      <c r="A584" s="186">
        <v>18</v>
      </c>
      <c r="B584" s="187" t="s">
        <v>91</v>
      </c>
      <c r="C584" s="187" t="s">
        <v>685</v>
      </c>
      <c r="D584" s="187" t="s">
        <v>686</v>
      </c>
      <c r="E584" s="188">
        <v>1</v>
      </c>
      <c r="F584" s="268">
        <v>92200</v>
      </c>
      <c r="G584" s="268">
        <v>92200</v>
      </c>
      <c r="H584" s="189" t="s">
        <v>680</v>
      </c>
      <c r="I584" s="187" t="s">
        <v>1760</v>
      </c>
      <c r="J584" s="189" t="s">
        <v>130</v>
      </c>
      <c r="K584" s="463" t="s">
        <v>1110</v>
      </c>
    </row>
    <row r="585" spans="1:11" hidden="1" x14ac:dyDescent="0.25">
      <c r="A585" s="186">
        <v>18</v>
      </c>
      <c r="B585" s="187" t="s">
        <v>91</v>
      </c>
      <c r="C585" s="187" t="s">
        <v>687</v>
      </c>
      <c r="D585" s="187" t="s">
        <v>688</v>
      </c>
      <c r="E585" s="188">
        <v>1</v>
      </c>
      <c r="F585" s="268">
        <v>93000</v>
      </c>
      <c r="G585" s="268">
        <v>93000</v>
      </c>
      <c r="H585" s="189" t="s">
        <v>680</v>
      </c>
      <c r="I585" s="187" t="s">
        <v>1760</v>
      </c>
      <c r="J585" s="189" t="s">
        <v>130</v>
      </c>
      <c r="K585" s="463" t="s">
        <v>1110</v>
      </c>
    </row>
    <row r="586" spans="1:11" hidden="1" x14ac:dyDescent="0.25">
      <c r="A586" s="186">
        <v>18</v>
      </c>
      <c r="B586" s="187" t="s">
        <v>91</v>
      </c>
      <c r="C586" s="187" t="s">
        <v>689</v>
      </c>
      <c r="D586" s="187" t="s">
        <v>690</v>
      </c>
      <c r="E586" s="188">
        <v>1</v>
      </c>
      <c r="F586" s="268">
        <v>51600</v>
      </c>
      <c r="G586" s="268">
        <v>51600</v>
      </c>
      <c r="H586" s="189" t="s">
        <v>680</v>
      </c>
      <c r="I586" s="187" t="s">
        <v>1760</v>
      </c>
      <c r="J586" s="189" t="s">
        <v>130</v>
      </c>
      <c r="K586" s="463" t="s">
        <v>1110</v>
      </c>
    </row>
    <row r="587" spans="1:11" hidden="1" x14ac:dyDescent="0.25">
      <c r="A587" s="186">
        <v>18</v>
      </c>
      <c r="B587" s="187" t="s">
        <v>91</v>
      </c>
      <c r="C587" s="187" t="s">
        <v>691</v>
      </c>
      <c r="D587" s="187" t="s">
        <v>692</v>
      </c>
      <c r="E587" s="188">
        <v>1</v>
      </c>
      <c r="F587" s="268">
        <v>60900</v>
      </c>
      <c r="G587" s="268">
        <v>60900</v>
      </c>
      <c r="H587" s="189" t="s">
        <v>680</v>
      </c>
      <c r="I587" s="187" t="s">
        <v>1760</v>
      </c>
      <c r="J587" s="189" t="s">
        <v>130</v>
      </c>
      <c r="K587" s="463" t="s">
        <v>1110</v>
      </c>
    </row>
    <row r="588" spans="1:11" hidden="1" x14ac:dyDescent="0.25">
      <c r="A588" s="186">
        <v>18</v>
      </c>
      <c r="B588" s="187" t="s">
        <v>1077</v>
      </c>
      <c r="C588" s="187" t="s">
        <v>453</v>
      </c>
      <c r="D588" s="187" t="s">
        <v>454</v>
      </c>
      <c r="E588" s="188">
        <v>25</v>
      </c>
      <c r="F588" s="268">
        <v>15120</v>
      </c>
      <c r="G588" s="268">
        <v>378000</v>
      </c>
      <c r="H588" s="189" t="s">
        <v>452</v>
      </c>
      <c r="I588" s="187" t="s">
        <v>1761</v>
      </c>
      <c r="J588" s="189" t="s">
        <v>130</v>
      </c>
      <c r="K588" s="463" t="s">
        <v>1108</v>
      </c>
    </row>
    <row r="589" spans="1:11" hidden="1" x14ac:dyDescent="0.25">
      <c r="A589" s="186">
        <v>15</v>
      </c>
      <c r="B589" s="187" t="s">
        <v>1615</v>
      </c>
      <c r="C589" s="187" t="s">
        <v>1762</v>
      </c>
      <c r="D589" s="187" t="s">
        <v>879</v>
      </c>
      <c r="E589" s="188">
        <v>1</v>
      </c>
      <c r="F589" s="268">
        <v>66000</v>
      </c>
      <c r="G589" s="268">
        <v>66000</v>
      </c>
      <c r="H589" s="189" t="s">
        <v>391</v>
      </c>
      <c r="I589" s="187" t="s">
        <v>759</v>
      </c>
      <c r="J589" s="189" t="s">
        <v>130</v>
      </c>
      <c r="K589" s="463" t="s">
        <v>1108</v>
      </c>
    </row>
    <row r="590" spans="1:11" hidden="1" x14ac:dyDescent="0.25">
      <c r="A590" s="186">
        <v>15</v>
      </c>
      <c r="B590" s="187" t="s">
        <v>1615</v>
      </c>
      <c r="C590" s="187" t="s">
        <v>1763</v>
      </c>
      <c r="D590" s="187" t="s">
        <v>880</v>
      </c>
      <c r="E590" s="188">
        <v>1</v>
      </c>
      <c r="F590" s="268">
        <v>66000</v>
      </c>
      <c r="G590" s="268">
        <v>66000</v>
      </c>
      <c r="H590" s="189" t="s">
        <v>391</v>
      </c>
      <c r="I590" s="187" t="s">
        <v>769</v>
      </c>
      <c r="J590" s="189" t="s">
        <v>130</v>
      </c>
      <c r="K590" s="463" t="s">
        <v>1108</v>
      </c>
    </row>
    <row r="591" spans="1:11" hidden="1" x14ac:dyDescent="0.25">
      <c r="A591" s="186">
        <v>15</v>
      </c>
      <c r="B591" s="187" t="s">
        <v>1615</v>
      </c>
      <c r="C591" s="187" t="s">
        <v>1764</v>
      </c>
      <c r="D591" s="187" t="s">
        <v>881</v>
      </c>
      <c r="E591" s="188">
        <v>1</v>
      </c>
      <c r="F591" s="268">
        <v>66000</v>
      </c>
      <c r="G591" s="268">
        <v>66000</v>
      </c>
      <c r="H591" s="189" t="s">
        <v>391</v>
      </c>
      <c r="I591" s="187" t="s">
        <v>782</v>
      </c>
      <c r="J591" s="189" t="s">
        <v>130</v>
      </c>
      <c r="K591" s="463" t="s">
        <v>1108</v>
      </c>
    </row>
    <row r="592" spans="1:11" hidden="1" x14ac:dyDescent="0.25">
      <c r="A592" s="186">
        <v>15</v>
      </c>
      <c r="B592" s="187" t="s">
        <v>1180</v>
      </c>
      <c r="C592" s="187" t="s">
        <v>1765</v>
      </c>
      <c r="D592" s="187" t="s">
        <v>1766</v>
      </c>
      <c r="E592" s="188">
        <v>1</v>
      </c>
      <c r="F592" s="268">
        <v>30000</v>
      </c>
      <c r="G592" s="268">
        <v>30000</v>
      </c>
      <c r="H592" s="189" t="s">
        <v>391</v>
      </c>
      <c r="I592" s="187" t="s">
        <v>1103</v>
      </c>
      <c r="J592" s="189" t="s">
        <v>130</v>
      </c>
      <c r="K592" s="463" t="s">
        <v>1105</v>
      </c>
    </row>
    <row r="593" spans="1:11" hidden="1" x14ac:dyDescent="0.25">
      <c r="A593" s="186">
        <v>15</v>
      </c>
      <c r="B593" s="187" t="s">
        <v>1652</v>
      </c>
      <c r="C593" s="187" t="s">
        <v>1767</v>
      </c>
      <c r="D593" s="187" t="s">
        <v>883</v>
      </c>
      <c r="E593" s="188">
        <v>1</v>
      </c>
      <c r="F593" s="268">
        <v>5000</v>
      </c>
      <c r="G593" s="268">
        <v>5000</v>
      </c>
      <c r="H593" s="189" t="s">
        <v>391</v>
      </c>
      <c r="I593" s="187" t="s">
        <v>882</v>
      </c>
      <c r="J593" s="189" t="s">
        <v>130</v>
      </c>
      <c r="K593" s="463" t="s">
        <v>1141</v>
      </c>
    </row>
    <row r="594" spans="1:11" hidden="1" x14ac:dyDescent="0.25">
      <c r="A594" s="186">
        <v>15</v>
      </c>
      <c r="B594" s="187" t="s">
        <v>91</v>
      </c>
      <c r="C594" s="187" t="s">
        <v>663</v>
      </c>
      <c r="D594" s="187" t="s">
        <v>664</v>
      </c>
      <c r="E594" s="188">
        <v>1</v>
      </c>
      <c r="F594" s="268">
        <v>19000</v>
      </c>
      <c r="G594" s="268">
        <v>19000</v>
      </c>
      <c r="H594" s="189" t="s">
        <v>662</v>
      </c>
      <c r="I594" s="187" t="s">
        <v>1768</v>
      </c>
      <c r="J594" s="189" t="s">
        <v>130</v>
      </c>
      <c r="K594" s="463" t="s">
        <v>1099</v>
      </c>
    </row>
    <row r="595" spans="1:11" hidden="1" x14ac:dyDescent="0.25">
      <c r="A595" s="186">
        <v>15</v>
      </c>
      <c r="B595" s="187" t="s">
        <v>91</v>
      </c>
      <c r="C595" s="187" t="s">
        <v>666</v>
      </c>
      <c r="D595" s="187" t="s">
        <v>667</v>
      </c>
      <c r="E595" s="188">
        <v>1</v>
      </c>
      <c r="F595" s="268">
        <v>14200</v>
      </c>
      <c r="G595" s="268">
        <v>14200</v>
      </c>
      <c r="H595" s="189" t="s">
        <v>665</v>
      </c>
      <c r="I595" s="187" t="s">
        <v>1079</v>
      </c>
      <c r="J595" s="189" t="s">
        <v>130</v>
      </c>
      <c r="K595" s="463" t="s">
        <v>1079</v>
      </c>
    </row>
    <row r="596" spans="1:11" hidden="1" x14ac:dyDescent="0.25">
      <c r="A596" s="186">
        <v>15</v>
      </c>
      <c r="B596" s="187" t="s">
        <v>1461</v>
      </c>
      <c r="C596" s="187" t="s">
        <v>1769</v>
      </c>
      <c r="D596" s="187" t="s">
        <v>1770</v>
      </c>
      <c r="E596" s="188">
        <v>1</v>
      </c>
      <c r="F596" s="268">
        <v>110000</v>
      </c>
      <c r="G596" s="268">
        <v>110000</v>
      </c>
      <c r="H596" s="189" t="s">
        <v>1771</v>
      </c>
      <c r="I596" s="187" t="s">
        <v>1772</v>
      </c>
      <c r="J596" s="189" t="s">
        <v>130</v>
      </c>
      <c r="K596" s="463" t="s">
        <v>1690</v>
      </c>
    </row>
    <row r="597" spans="1:11" hidden="1" x14ac:dyDescent="0.25">
      <c r="A597" s="186">
        <v>15</v>
      </c>
      <c r="B597" s="187" t="s">
        <v>1592</v>
      </c>
      <c r="C597" s="187" t="s">
        <v>1773</v>
      </c>
      <c r="D597" s="187" t="s">
        <v>1774</v>
      </c>
      <c r="E597" s="188">
        <v>1</v>
      </c>
      <c r="F597" s="268">
        <v>3500</v>
      </c>
      <c r="G597" s="268">
        <v>3500</v>
      </c>
      <c r="H597" s="189" t="s">
        <v>1775</v>
      </c>
      <c r="I597" s="187" t="s">
        <v>1776</v>
      </c>
      <c r="J597" s="189" t="s">
        <v>130</v>
      </c>
      <c r="K597" s="463" t="s">
        <v>1141</v>
      </c>
    </row>
    <row r="598" spans="1:11" hidden="1" x14ac:dyDescent="0.25">
      <c r="A598" s="186">
        <v>15</v>
      </c>
      <c r="B598" s="187" t="s">
        <v>1077</v>
      </c>
      <c r="C598" s="187" t="s">
        <v>420</v>
      </c>
      <c r="D598" s="187" t="s">
        <v>421</v>
      </c>
      <c r="E598" s="188">
        <v>1</v>
      </c>
      <c r="F598" s="268">
        <v>144700</v>
      </c>
      <c r="G598" s="268">
        <v>144700</v>
      </c>
      <c r="H598" s="189" t="s">
        <v>419</v>
      </c>
      <c r="I598" s="187" t="s">
        <v>1777</v>
      </c>
      <c r="J598" s="189" t="s">
        <v>130</v>
      </c>
      <c r="K598" s="463" t="s">
        <v>1141</v>
      </c>
    </row>
    <row r="599" spans="1:11" hidden="1" x14ac:dyDescent="0.25">
      <c r="A599" s="186">
        <v>15</v>
      </c>
      <c r="B599" s="187" t="s">
        <v>1505</v>
      </c>
      <c r="C599" s="187" t="s">
        <v>1149</v>
      </c>
      <c r="D599" s="187" t="s">
        <v>1778</v>
      </c>
      <c r="E599" s="188">
        <v>1</v>
      </c>
      <c r="F599" s="268">
        <v>16550</v>
      </c>
      <c r="G599" s="268">
        <v>16550</v>
      </c>
      <c r="H599" s="189" t="s">
        <v>1779</v>
      </c>
      <c r="I599" s="187" t="s">
        <v>1079</v>
      </c>
      <c r="J599" s="189" t="s">
        <v>130</v>
      </c>
      <c r="K599" s="463" t="s">
        <v>1079</v>
      </c>
    </row>
    <row r="600" spans="1:11" hidden="1" x14ac:dyDescent="0.25">
      <c r="A600" s="186">
        <v>15</v>
      </c>
      <c r="B600" s="187" t="s">
        <v>1367</v>
      </c>
      <c r="C600" s="187" t="s">
        <v>1780</v>
      </c>
      <c r="D600" s="187" t="s">
        <v>1781</v>
      </c>
      <c r="E600" s="188">
        <v>1</v>
      </c>
      <c r="F600" s="268">
        <v>14000</v>
      </c>
      <c r="G600" s="268">
        <v>14000</v>
      </c>
      <c r="H600" s="189" t="s">
        <v>1782</v>
      </c>
      <c r="I600" s="187" t="s">
        <v>1304</v>
      </c>
      <c r="J600" s="189" t="s">
        <v>130</v>
      </c>
      <c r="K600" s="463" t="s">
        <v>1304</v>
      </c>
    </row>
    <row r="601" spans="1:11" hidden="1" x14ac:dyDescent="0.25">
      <c r="A601" s="186">
        <v>15</v>
      </c>
      <c r="B601" s="187" t="s">
        <v>1510</v>
      </c>
      <c r="C601" s="187" t="s">
        <v>1783</v>
      </c>
      <c r="D601" s="187" t="s">
        <v>1784</v>
      </c>
      <c r="E601" s="188">
        <v>1</v>
      </c>
      <c r="F601" s="268">
        <v>11100</v>
      </c>
      <c r="G601" s="268">
        <v>11100</v>
      </c>
      <c r="H601" s="189" t="s">
        <v>1785</v>
      </c>
      <c r="I601" s="187" t="s">
        <v>1786</v>
      </c>
      <c r="J601" s="189" t="s">
        <v>130</v>
      </c>
      <c r="K601" s="463" t="s">
        <v>1187</v>
      </c>
    </row>
    <row r="602" spans="1:11" hidden="1" x14ac:dyDescent="0.25">
      <c r="A602" s="186">
        <v>15</v>
      </c>
      <c r="B602" s="187" t="s">
        <v>1077</v>
      </c>
      <c r="C602" s="187" t="s">
        <v>259</v>
      </c>
      <c r="D602" s="187" t="s">
        <v>422</v>
      </c>
      <c r="E602" s="188">
        <v>1</v>
      </c>
      <c r="F602" s="268">
        <v>90000</v>
      </c>
      <c r="G602" s="268">
        <v>90000</v>
      </c>
      <c r="H602" s="189" t="s">
        <v>391</v>
      </c>
      <c r="I602" s="187" t="s">
        <v>1787</v>
      </c>
      <c r="J602" s="189" t="s">
        <v>130</v>
      </c>
      <c r="K602" s="463" t="s">
        <v>1141</v>
      </c>
    </row>
    <row r="603" spans="1:11" hidden="1" x14ac:dyDescent="0.25">
      <c r="A603" s="186">
        <v>15</v>
      </c>
      <c r="B603" s="187" t="s">
        <v>1615</v>
      </c>
      <c r="C603" s="187" t="s">
        <v>1788</v>
      </c>
      <c r="D603" s="187" t="s">
        <v>884</v>
      </c>
      <c r="E603" s="188">
        <v>1</v>
      </c>
      <c r="F603" s="268">
        <v>66000</v>
      </c>
      <c r="G603" s="268">
        <v>66000</v>
      </c>
      <c r="H603" s="189" t="s">
        <v>391</v>
      </c>
      <c r="I603" s="187" t="s">
        <v>735</v>
      </c>
      <c r="J603" s="189" t="s">
        <v>130</v>
      </c>
      <c r="K603" s="463" t="s">
        <v>1108</v>
      </c>
    </row>
    <row r="604" spans="1:11" hidden="1" x14ac:dyDescent="0.25">
      <c r="A604" s="186">
        <v>16</v>
      </c>
      <c r="B604" s="187" t="s">
        <v>1615</v>
      </c>
      <c r="C604" s="187" t="s">
        <v>1762</v>
      </c>
      <c r="D604" s="187" t="s">
        <v>904</v>
      </c>
      <c r="E604" s="188">
        <v>1</v>
      </c>
      <c r="F604" s="268">
        <v>66000</v>
      </c>
      <c r="G604" s="268">
        <v>66000</v>
      </c>
      <c r="H604" s="189" t="s">
        <v>391</v>
      </c>
      <c r="I604" s="187" t="s">
        <v>759</v>
      </c>
      <c r="J604" s="189" t="s">
        <v>130</v>
      </c>
      <c r="K604" s="463" t="s">
        <v>1108</v>
      </c>
    </row>
    <row r="605" spans="1:11" hidden="1" x14ac:dyDescent="0.25">
      <c r="A605" s="186">
        <v>16</v>
      </c>
      <c r="B605" s="187" t="s">
        <v>1505</v>
      </c>
      <c r="C605" s="187" t="s">
        <v>965</v>
      </c>
      <c r="D605" s="187" t="s">
        <v>1789</v>
      </c>
      <c r="E605" s="188">
        <v>1</v>
      </c>
      <c r="F605" s="268">
        <v>30000</v>
      </c>
      <c r="G605" s="268">
        <v>30000</v>
      </c>
      <c r="H605" s="189" t="s">
        <v>391</v>
      </c>
      <c r="I605" s="187" t="s">
        <v>1787</v>
      </c>
      <c r="J605" s="189" t="s">
        <v>130</v>
      </c>
      <c r="K605" s="463" t="s">
        <v>1141</v>
      </c>
    </row>
    <row r="606" spans="1:11" hidden="1" x14ac:dyDescent="0.25">
      <c r="A606" s="186">
        <v>16</v>
      </c>
      <c r="B606" s="187" t="s">
        <v>91</v>
      </c>
      <c r="C606" s="187" t="s">
        <v>663</v>
      </c>
      <c r="D606" s="187" t="s">
        <v>670</v>
      </c>
      <c r="E606" s="188">
        <v>1</v>
      </c>
      <c r="F606" s="268">
        <v>34000</v>
      </c>
      <c r="G606" s="268">
        <v>34000</v>
      </c>
      <c r="H606" s="189" t="s">
        <v>669</v>
      </c>
      <c r="I606" s="187" t="s">
        <v>1768</v>
      </c>
      <c r="J606" s="189" t="s">
        <v>130</v>
      </c>
      <c r="K606" s="463" t="s">
        <v>1099</v>
      </c>
    </row>
    <row r="607" spans="1:11" hidden="1" x14ac:dyDescent="0.25">
      <c r="A607" s="186">
        <v>16</v>
      </c>
      <c r="B607" s="187" t="s">
        <v>1082</v>
      </c>
      <c r="C607" s="187" t="s">
        <v>1632</v>
      </c>
      <c r="D607" s="187" t="s">
        <v>1790</v>
      </c>
      <c r="E607" s="188">
        <v>1</v>
      </c>
      <c r="F607" s="268">
        <v>76700</v>
      </c>
      <c r="G607" s="268">
        <v>76700</v>
      </c>
      <c r="H607" s="189" t="s">
        <v>391</v>
      </c>
      <c r="I607" s="187" t="s">
        <v>1787</v>
      </c>
      <c r="J607" s="189" t="s">
        <v>130</v>
      </c>
      <c r="K607" s="463" t="s">
        <v>1141</v>
      </c>
    </row>
    <row r="608" spans="1:11" hidden="1" x14ac:dyDescent="0.25">
      <c r="A608" s="186">
        <v>16</v>
      </c>
      <c r="B608" s="187" t="s">
        <v>1592</v>
      </c>
      <c r="C608" s="187" t="s">
        <v>1791</v>
      </c>
      <c r="D608" s="187" t="s">
        <v>1792</v>
      </c>
      <c r="E608" s="188">
        <v>1</v>
      </c>
      <c r="F608" s="268">
        <v>69000</v>
      </c>
      <c r="G608" s="268">
        <v>69000</v>
      </c>
      <c r="H608" s="189" t="s">
        <v>1793</v>
      </c>
      <c r="I608" s="187" t="s">
        <v>1794</v>
      </c>
      <c r="J608" s="189" t="s">
        <v>130</v>
      </c>
      <c r="K608" s="463" t="s">
        <v>1141</v>
      </c>
    </row>
    <row r="609" spans="1:11" hidden="1" x14ac:dyDescent="0.25">
      <c r="A609" s="186">
        <v>16</v>
      </c>
      <c r="B609" s="187" t="s">
        <v>1461</v>
      </c>
      <c r="C609" s="187" t="s">
        <v>1795</v>
      </c>
      <c r="D609" s="187" t="s">
        <v>1796</v>
      </c>
      <c r="E609" s="188">
        <v>1</v>
      </c>
      <c r="F609" s="268">
        <v>109400</v>
      </c>
      <c r="G609" s="268">
        <v>109400</v>
      </c>
      <c r="H609" s="189" t="s">
        <v>1797</v>
      </c>
      <c r="I609" s="187" t="s">
        <v>1798</v>
      </c>
      <c r="J609" s="189" t="s">
        <v>130</v>
      </c>
      <c r="K609" s="463" t="s">
        <v>1799</v>
      </c>
    </row>
    <row r="610" spans="1:11" hidden="1" x14ac:dyDescent="0.25">
      <c r="A610" s="186">
        <v>16</v>
      </c>
      <c r="B610" s="187" t="s">
        <v>1652</v>
      </c>
      <c r="C610" s="187" t="s">
        <v>1800</v>
      </c>
      <c r="D610" s="187" t="s">
        <v>906</v>
      </c>
      <c r="E610" s="188">
        <v>1</v>
      </c>
      <c r="F610" s="268">
        <v>3800</v>
      </c>
      <c r="G610" s="268">
        <v>3800</v>
      </c>
      <c r="H610" s="189" t="s">
        <v>391</v>
      </c>
      <c r="I610" s="187" t="s">
        <v>905</v>
      </c>
      <c r="J610" s="189" t="s">
        <v>130</v>
      </c>
      <c r="K610" s="463" t="s">
        <v>1141</v>
      </c>
    </row>
    <row r="611" spans="1:11" hidden="1" x14ac:dyDescent="0.25">
      <c r="A611" s="186">
        <v>16</v>
      </c>
      <c r="B611" s="187" t="s">
        <v>1615</v>
      </c>
      <c r="C611" s="187" t="s">
        <v>1788</v>
      </c>
      <c r="D611" s="187" t="s">
        <v>884</v>
      </c>
      <c r="E611" s="188">
        <v>1</v>
      </c>
      <c r="F611" s="268">
        <v>66000</v>
      </c>
      <c r="G611" s="268">
        <v>66000</v>
      </c>
      <c r="H611" s="189" t="s">
        <v>391</v>
      </c>
      <c r="I611" s="187" t="s">
        <v>735</v>
      </c>
      <c r="J611" s="189" t="s">
        <v>130</v>
      </c>
      <c r="K611" s="463" t="s">
        <v>1108</v>
      </c>
    </row>
    <row r="612" spans="1:11" hidden="1" x14ac:dyDescent="0.25">
      <c r="A612" s="186">
        <v>16</v>
      </c>
      <c r="B612" s="187" t="s">
        <v>1461</v>
      </c>
      <c r="C612" s="187" t="s">
        <v>1801</v>
      </c>
      <c r="D612" s="187" t="s">
        <v>1802</v>
      </c>
      <c r="E612" s="188">
        <v>1</v>
      </c>
      <c r="F612" s="268">
        <v>6900</v>
      </c>
      <c r="G612" s="268">
        <v>6900</v>
      </c>
      <c r="H612" s="189" t="s">
        <v>1803</v>
      </c>
      <c r="I612" s="187" t="s">
        <v>1804</v>
      </c>
      <c r="J612" s="189" t="s">
        <v>130</v>
      </c>
      <c r="K612" s="463" t="s">
        <v>1805</v>
      </c>
    </row>
    <row r="613" spans="1:11" hidden="1" x14ac:dyDescent="0.25">
      <c r="A613" s="186">
        <v>16</v>
      </c>
      <c r="B613" s="187" t="s">
        <v>1077</v>
      </c>
      <c r="C613" s="187" t="s">
        <v>427</v>
      </c>
      <c r="D613" s="187" t="s">
        <v>428</v>
      </c>
      <c r="E613" s="188">
        <v>1</v>
      </c>
      <c r="F613" s="268">
        <v>70900</v>
      </c>
      <c r="G613" s="268">
        <v>70900</v>
      </c>
      <c r="H613" s="189" t="s">
        <v>426</v>
      </c>
      <c r="I613" s="187" t="s">
        <v>1079</v>
      </c>
      <c r="J613" s="189" t="s">
        <v>130</v>
      </c>
      <c r="K613" s="463" t="s">
        <v>1079</v>
      </c>
    </row>
    <row r="614" spans="1:11" x14ac:dyDescent="0.25">
      <c r="A614" s="186">
        <v>17</v>
      </c>
      <c r="B614" s="187" t="s">
        <v>1615</v>
      </c>
      <c r="C614" s="187" t="s">
        <v>1764</v>
      </c>
      <c r="D614" s="187" t="s">
        <v>908</v>
      </c>
      <c r="E614" s="188">
        <v>1</v>
      </c>
      <c r="F614" s="268">
        <v>66000</v>
      </c>
      <c r="G614" s="268">
        <v>66000</v>
      </c>
      <c r="H614" s="189" t="s">
        <v>391</v>
      </c>
      <c r="I614" s="187" t="s">
        <v>782</v>
      </c>
      <c r="J614" s="189" t="s">
        <v>130</v>
      </c>
      <c r="K614" s="463" t="s">
        <v>1108</v>
      </c>
    </row>
    <row r="615" spans="1:11" hidden="1" x14ac:dyDescent="0.25">
      <c r="A615" s="186">
        <v>17</v>
      </c>
      <c r="B615" s="187" t="s">
        <v>91</v>
      </c>
      <c r="C615" s="187" t="s">
        <v>663</v>
      </c>
      <c r="D615" s="187" t="s">
        <v>678</v>
      </c>
      <c r="E615" s="188">
        <v>1</v>
      </c>
      <c r="F615" s="268">
        <v>29000</v>
      </c>
      <c r="G615" s="268">
        <v>29000</v>
      </c>
      <c r="H615" s="189" t="s">
        <v>677</v>
      </c>
      <c r="I615" s="187" t="s">
        <v>1768</v>
      </c>
      <c r="J615" s="189" t="s">
        <v>130</v>
      </c>
      <c r="K615" s="463" t="s">
        <v>1099</v>
      </c>
    </row>
    <row r="616" spans="1:11" x14ac:dyDescent="0.25">
      <c r="A616" s="186">
        <v>17</v>
      </c>
      <c r="B616" s="187" t="s">
        <v>1180</v>
      </c>
      <c r="C616" s="187" t="s">
        <v>1765</v>
      </c>
      <c r="D616" s="187" t="s">
        <v>1806</v>
      </c>
      <c r="E616" s="188">
        <v>1</v>
      </c>
      <c r="F616" s="268">
        <v>30000</v>
      </c>
      <c r="G616" s="268">
        <v>30000</v>
      </c>
      <c r="H616" s="189" t="s">
        <v>1807</v>
      </c>
      <c r="I616" s="187" t="s">
        <v>1808</v>
      </c>
      <c r="J616" s="189" t="s">
        <v>130</v>
      </c>
      <c r="K616" s="463" t="s">
        <v>1105</v>
      </c>
    </row>
    <row r="617" spans="1:11" x14ac:dyDescent="0.25">
      <c r="A617" s="186">
        <v>17</v>
      </c>
      <c r="B617" s="187" t="s">
        <v>1615</v>
      </c>
      <c r="C617" s="187" t="s">
        <v>1788</v>
      </c>
      <c r="D617" s="187" t="s">
        <v>884</v>
      </c>
      <c r="E617" s="188">
        <v>1</v>
      </c>
      <c r="F617" s="268">
        <v>66000</v>
      </c>
      <c r="G617" s="268">
        <v>66000</v>
      </c>
      <c r="H617" s="189" t="s">
        <v>391</v>
      </c>
      <c r="I617" s="187" t="s">
        <v>735</v>
      </c>
      <c r="J617" s="189" t="s">
        <v>130</v>
      </c>
      <c r="K617" s="463" t="s">
        <v>1108</v>
      </c>
    </row>
    <row r="618" spans="1:11" x14ac:dyDescent="0.25">
      <c r="A618" s="186">
        <v>17</v>
      </c>
      <c r="B618" s="187" t="s">
        <v>1615</v>
      </c>
      <c r="C618" s="187" t="s">
        <v>1809</v>
      </c>
      <c r="D618" s="187" t="s">
        <v>1810</v>
      </c>
      <c r="E618" s="188">
        <v>1</v>
      </c>
      <c r="F618" s="268">
        <v>37700</v>
      </c>
      <c r="G618" s="268">
        <v>37700</v>
      </c>
      <c r="H618" s="189" t="s">
        <v>909</v>
      </c>
      <c r="I618" s="187" t="s">
        <v>1811</v>
      </c>
      <c r="J618" s="189" t="s">
        <v>130</v>
      </c>
      <c r="K618" s="463" t="s">
        <v>1108</v>
      </c>
    </row>
    <row r="619" spans="1:11" x14ac:dyDescent="0.25">
      <c r="A619" s="186">
        <v>17</v>
      </c>
      <c r="B619" s="187" t="s">
        <v>1615</v>
      </c>
      <c r="C619" s="187" t="s">
        <v>1812</v>
      </c>
      <c r="D619" s="187" t="s">
        <v>914</v>
      </c>
      <c r="E619" s="188">
        <v>1</v>
      </c>
      <c r="F619" s="268">
        <v>70000</v>
      </c>
      <c r="G619" s="268">
        <v>70000</v>
      </c>
      <c r="H619" s="189" t="s">
        <v>391</v>
      </c>
      <c r="I619" s="187" t="s">
        <v>1813</v>
      </c>
      <c r="J619" s="189" t="s">
        <v>130</v>
      </c>
      <c r="K619" s="463" t="s">
        <v>1108</v>
      </c>
    </row>
    <row r="620" spans="1:11" hidden="1" x14ac:dyDescent="0.25">
      <c r="A620" s="186">
        <v>17</v>
      </c>
      <c r="B620" s="187" t="s">
        <v>1367</v>
      </c>
      <c r="C620" s="187" t="s">
        <v>1814</v>
      </c>
      <c r="D620" s="187" t="s">
        <v>1815</v>
      </c>
      <c r="E620" s="188">
        <v>1</v>
      </c>
      <c r="F620" s="268">
        <v>75000</v>
      </c>
      <c r="G620" s="268">
        <v>75000</v>
      </c>
      <c r="H620" s="189" t="s">
        <v>1816</v>
      </c>
      <c r="I620" s="187" t="s">
        <v>1817</v>
      </c>
      <c r="J620" s="189" t="s">
        <v>130</v>
      </c>
      <c r="K620" s="463" t="s">
        <v>1141</v>
      </c>
    </row>
    <row r="621" spans="1:11" hidden="1" x14ac:dyDescent="0.25">
      <c r="A621" s="186">
        <v>17</v>
      </c>
      <c r="B621" s="187" t="s">
        <v>1367</v>
      </c>
      <c r="C621" s="187" t="s">
        <v>1818</v>
      </c>
      <c r="D621" s="187" t="s">
        <v>1819</v>
      </c>
      <c r="E621" s="188">
        <v>1</v>
      </c>
      <c r="F621" s="268">
        <v>31500</v>
      </c>
      <c r="G621" s="268">
        <v>31500</v>
      </c>
      <c r="H621" s="189" t="s">
        <v>1816</v>
      </c>
      <c r="I621" s="187" t="s">
        <v>1817</v>
      </c>
      <c r="J621" s="189" t="s">
        <v>130</v>
      </c>
      <c r="K621" s="463" t="s">
        <v>1141</v>
      </c>
    </row>
    <row r="622" spans="1:11" hidden="1" x14ac:dyDescent="0.25">
      <c r="A622" s="186">
        <v>17</v>
      </c>
      <c r="B622" s="187" t="s">
        <v>1082</v>
      </c>
      <c r="C622" s="187" t="s">
        <v>1820</v>
      </c>
      <c r="D622" s="187" t="s">
        <v>1821</v>
      </c>
      <c r="E622" s="188">
        <v>1</v>
      </c>
      <c r="F622" s="268">
        <v>40000</v>
      </c>
      <c r="G622" s="268">
        <v>40000</v>
      </c>
      <c r="H622" s="189" t="s">
        <v>1816</v>
      </c>
      <c r="I622" s="187" t="s">
        <v>1817</v>
      </c>
      <c r="J622" s="189" t="s">
        <v>130</v>
      </c>
      <c r="K622" s="463" t="s">
        <v>1141</v>
      </c>
    </row>
    <row r="623" spans="1:11" hidden="1" x14ac:dyDescent="0.25">
      <c r="A623" s="186">
        <v>17</v>
      </c>
      <c r="B623" s="187" t="s">
        <v>1367</v>
      </c>
      <c r="C623" s="187" t="s">
        <v>1822</v>
      </c>
      <c r="D623" s="187" t="s">
        <v>1823</v>
      </c>
      <c r="E623" s="188">
        <v>1</v>
      </c>
      <c r="F623" s="268">
        <v>44000</v>
      </c>
      <c r="G623" s="268">
        <v>44000</v>
      </c>
      <c r="H623" s="189" t="s">
        <v>1816</v>
      </c>
      <c r="I623" s="187" t="s">
        <v>1817</v>
      </c>
      <c r="J623" s="189" t="s">
        <v>130</v>
      </c>
      <c r="K623" s="463" t="s">
        <v>1141</v>
      </c>
    </row>
    <row r="624" spans="1:11" hidden="1" x14ac:dyDescent="0.25">
      <c r="A624" s="186">
        <v>17</v>
      </c>
      <c r="B624" s="187" t="s">
        <v>1082</v>
      </c>
      <c r="C624" s="187" t="s">
        <v>1824</v>
      </c>
      <c r="D624" s="187" t="s">
        <v>1825</v>
      </c>
      <c r="E624" s="188">
        <v>1</v>
      </c>
      <c r="F624" s="268">
        <v>4000</v>
      </c>
      <c r="G624" s="268">
        <v>4000</v>
      </c>
      <c r="H624" s="189" t="s">
        <v>1816</v>
      </c>
      <c r="I624" s="187" t="s">
        <v>1817</v>
      </c>
      <c r="J624" s="189" t="s">
        <v>130</v>
      </c>
      <c r="K624" s="463" t="s">
        <v>1141</v>
      </c>
    </row>
    <row r="625" spans="1:11" hidden="1" x14ac:dyDescent="0.25">
      <c r="A625" s="186">
        <v>17</v>
      </c>
      <c r="B625" s="187" t="s">
        <v>1082</v>
      </c>
      <c r="C625" s="187" t="s">
        <v>1826</v>
      </c>
      <c r="D625" s="187" t="s">
        <v>1827</v>
      </c>
      <c r="E625" s="188">
        <v>1</v>
      </c>
      <c r="F625" s="268">
        <v>4000</v>
      </c>
      <c r="G625" s="268">
        <v>4000</v>
      </c>
      <c r="H625" s="189" t="s">
        <v>1828</v>
      </c>
      <c r="I625" s="187" t="s">
        <v>1079</v>
      </c>
      <c r="J625" s="189" t="s">
        <v>130</v>
      </c>
      <c r="K625" s="463" t="s">
        <v>1079</v>
      </c>
    </row>
    <row r="626" spans="1:11" hidden="1" x14ac:dyDescent="0.25">
      <c r="A626" s="186">
        <v>17</v>
      </c>
      <c r="B626" s="187" t="s">
        <v>1505</v>
      </c>
      <c r="C626" s="187" t="s">
        <v>1829</v>
      </c>
      <c r="D626" s="187" t="s">
        <v>1830</v>
      </c>
      <c r="E626" s="188">
        <v>1</v>
      </c>
      <c r="F626" s="268">
        <v>8000</v>
      </c>
      <c r="G626" s="268">
        <v>8000</v>
      </c>
      <c r="H626" s="189" t="s">
        <v>391</v>
      </c>
      <c r="I626" s="187" t="s">
        <v>1787</v>
      </c>
      <c r="J626" s="189" t="s">
        <v>130</v>
      </c>
      <c r="K626" s="463" t="s">
        <v>1141</v>
      </c>
    </row>
    <row r="627" spans="1:11" hidden="1" x14ac:dyDescent="0.25">
      <c r="A627" s="186">
        <v>18</v>
      </c>
      <c r="B627" s="187" t="s">
        <v>1505</v>
      </c>
      <c r="C627" s="187" t="s">
        <v>965</v>
      </c>
      <c r="D627" s="187" t="s">
        <v>1831</v>
      </c>
      <c r="E627" s="188">
        <v>1</v>
      </c>
      <c r="F627" s="268">
        <v>30000</v>
      </c>
      <c r="G627" s="268">
        <v>30000</v>
      </c>
      <c r="H627" s="189" t="s">
        <v>1832</v>
      </c>
      <c r="I627" s="187" t="s">
        <v>1833</v>
      </c>
      <c r="J627" s="189" t="s">
        <v>130</v>
      </c>
      <c r="K627" s="463" t="s">
        <v>1141</v>
      </c>
    </row>
    <row r="628" spans="1:11" hidden="1" x14ac:dyDescent="0.25">
      <c r="A628" s="186">
        <v>18</v>
      </c>
      <c r="B628" s="187" t="s">
        <v>91</v>
      </c>
      <c r="C628" s="187" t="s">
        <v>663</v>
      </c>
      <c r="D628" s="187" t="s">
        <v>694</v>
      </c>
      <c r="E628" s="188">
        <v>1</v>
      </c>
      <c r="F628" s="268">
        <v>24000</v>
      </c>
      <c r="G628" s="268">
        <v>24000</v>
      </c>
      <c r="H628" s="189" t="s">
        <v>693</v>
      </c>
      <c r="I628" s="187" t="s">
        <v>1768</v>
      </c>
      <c r="J628" s="189" t="s">
        <v>130</v>
      </c>
      <c r="K628" s="463" t="s">
        <v>1099</v>
      </c>
    </row>
    <row r="629" spans="1:11" hidden="1" x14ac:dyDescent="0.25">
      <c r="A629" s="186">
        <v>18</v>
      </c>
      <c r="B629" s="187" t="s">
        <v>1180</v>
      </c>
      <c r="C629" s="187" t="s">
        <v>1765</v>
      </c>
      <c r="D629" s="187" t="s">
        <v>1806</v>
      </c>
      <c r="E629" s="188">
        <v>1</v>
      </c>
      <c r="F629" s="268">
        <v>30000</v>
      </c>
      <c r="G629" s="268">
        <v>30000</v>
      </c>
      <c r="H629" s="189" t="s">
        <v>1807</v>
      </c>
      <c r="I629" s="187" t="s">
        <v>1808</v>
      </c>
      <c r="J629" s="189" t="s">
        <v>130</v>
      </c>
      <c r="K629" s="463" t="s">
        <v>1105</v>
      </c>
    </row>
    <row r="630" spans="1:11" hidden="1" x14ac:dyDescent="0.25">
      <c r="A630" s="186">
        <v>18</v>
      </c>
      <c r="B630" s="187" t="s">
        <v>1615</v>
      </c>
      <c r="C630" s="187" t="s">
        <v>1764</v>
      </c>
      <c r="D630" s="187" t="s">
        <v>908</v>
      </c>
      <c r="E630" s="188">
        <v>1</v>
      </c>
      <c r="F630" s="268">
        <v>66000</v>
      </c>
      <c r="G630" s="268">
        <v>66000</v>
      </c>
      <c r="H630" s="189" t="s">
        <v>391</v>
      </c>
      <c r="I630" s="187" t="s">
        <v>782</v>
      </c>
      <c r="J630" s="189" t="s">
        <v>130</v>
      </c>
      <c r="K630" s="463" t="s">
        <v>1108</v>
      </c>
    </row>
    <row r="631" spans="1:11" hidden="1" x14ac:dyDescent="0.25">
      <c r="A631" s="186">
        <v>18</v>
      </c>
      <c r="B631" s="187" t="s">
        <v>1615</v>
      </c>
      <c r="C631" s="187" t="s">
        <v>1762</v>
      </c>
      <c r="D631" s="187" t="s">
        <v>904</v>
      </c>
      <c r="E631" s="188">
        <v>1</v>
      </c>
      <c r="F631" s="268">
        <v>66000</v>
      </c>
      <c r="G631" s="268">
        <v>66000</v>
      </c>
      <c r="H631" s="189" t="s">
        <v>391</v>
      </c>
      <c r="I631" s="187" t="s">
        <v>759</v>
      </c>
      <c r="J631" s="189" t="s">
        <v>130</v>
      </c>
      <c r="K631" s="463" t="s">
        <v>1108</v>
      </c>
    </row>
    <row r="632" spans="1:11" hidden="1" x14ac:dyDescent="0.25">
      <c r="A632" s="186">
        <v>18</v>
      </c>
      <c r="B632" s="187" t="s">
        <v>1114</v>
      </c>
      <c r="C632" s="187" t="s">
        <v>1834</v>
      </c>
      <c r="D632" s="187" t="s">
        <v>1835</v>
      </c>
      <c r="E632" s="188">
        <v>1</v>
      </c>
      <c r="F632" s="268">
        <v>70000</v>
      </c>
      <c r="G632" s="268">
        <v>70000</v>
      </c>
      <c r="H632" s="189" t="s">
        <v>1836</v>
      </c>
      <c r="I632" s="187" t="s">
        <v>1837</v>
      </c>
      <c r="J632" s="189" t="s">
        <v>130</v>
      </c>
      <c r="K632" s="463" t="s">
        <v>1838</v>
      </c>
    </row>
    <row r="633" spans="1:11" hidden="1" x14ac:dyDescent="0.25">
      <c r="A633" s="186">
        <v>18</v>
      </c>
      <c r="B633" s="187" t="s">
        <v>1505</v>
      </c>
      <c r="C633" s="187" t="s">
        <v>1839</v>
      </c>
      <c r="D633" s="187" t="s">
        <v>1840</v>
      </c>
      <c r="E633" s="188">
        <v>1</v>
      </c>
      <c r="F633" s="268">
        <v>8000</v>
      </c>
      <c r="G633" s="268">
        <v>8000</v>
      </c>
      <c r="H633" s="189" t="s">
        <v>1841</v>
      </c>
      <c r="I633" s="187" t="s">
        <v>1842</v>
      </c>
      <c r="J633" s="189" t="s">
        <v>130</v>
      </c>
      <c r="K633" s="463" t="s">
        <v>1141</v>
      </c>
    </row>
    <row r="634" spans="1:11" hidden="1" x14ac:dyDescent="0.25">
      <c r="A634" s="186">
        <v>18</v>
      </c>
      <c r="B634" s="187" t="s">
        <v>1082</v>
      </c>
      <c r="C634" s="187" t="s">
        <v>1083</v>
      </c>
      <c r="D634" s="187" t="s">
        <v>1843</v>
      </c>
      <c r="E634" s="188">
        <v>1</v>
      </c>
      <c r="F634" s="268">
        <v>250000</v>
      </c>
      <c r="G634" s="268">
        <v>250000</v>
      </c>
      <c r="H634" s="189" t="s">
        <v>391</v>
      </c>
      <c r="I634" s="187" t="s">
        <v>1844</v>
      </c>
      <c r="J634" s="189" t="s">
        <v>130</v>
      </c>
      <c r="K634" s="463" t="s">
        <v>1141</v>
      </c>
    </row>
    <row r="635" spans="1:11" hidden="1" x14ac:dyDescent="0.25">
      <c r="A635" s="186">
        <v>18</v>
      </c>
      <c r="B635" s="187" t="s">
        <v>1615</v>
      </c>
      <c r="C635" s="187" t="s">
        <v>1788</v>
      </c>
      <c r="D635" s="187" t="s">
        <v>884</v>
      </c>
      <c r="E635" s="188">
        <v>1</v>
      </c>
      <c r="F635" s="268">
        <v>66000</v>
      </c>
      <c r="G635" s="268">
        <v>66000</v>
      </c>
      <c r="H635" s="189" t="s">
        <v>391</v>
      </c>
      <c r="I635" s="187" t="s">
        <v>735</v>
      </c>
      <c r="J635" s="189" t="s">
        <v>130</v>
      </c>
      <c r="K635" s="463" t="s">
        <v>1108</v>
      </c>
    </row>
    <row r="636" spans="1:11" hidden="1" x14ac:dyDescent="0.25">
      <c r="A636" s="315">
        <v>15</v>
      </c>
      <c r="B636" s="316" t="s">
        <v>1592</v>
      </c>
      <c r="C636" s="316" t="s">
        <v>1845</v>
      </c>
      <c r="D636" s="316" t="s">
        <v>1846</v>
      </c>
      <c r="E636" s="317">
        <v>1</v>
      </c>
      <c r="F636" s="318">
        <v>11000</v>
      </c>
      <c r="G636" s="319">
        <v>11000</v>
      </c>
      <c r="H636" s="320" t="s">
        <v>885</v>
      </c>
      <c r="I636" s="316" t="s">
        <v>1078</v>
      </c>
      <c r="J636" s="320" t="s">
        <v>130</v>
      </c>
      <c r="K636" s="463" t="s">
        <v>886</v>
      </c>
    </row>
    <row r="637" spans="1:11" hidden="1" x14ac:dyDescent="0.25">
      <c r="A637" s="315">
        <v>15</v>
      </c>
      <c r="B637" s="316" t="s">
        <v>1592</v>
      </c>
      <c r="C637" s="316" t="s">
        <v>1847</v>
      </c>
      <c r="D637" s="316" t="s">
        <v>1848</v>
      </c>
      <c r="E637" s="317">
        <v>1</v>
      </c>
      <c r="F637" s="318">
        <v>11000</v>
      </c>
      <c r="G637" s="319">
        <v>11000</v>
      </c>
      <c r="H637" s="320" t="s">
        <v>885</v>
      </c>
      <c r="I637" s="316" t="s">
        <v>1078</v>
      </c>
      <c r="J637" s="320" t="s">
        <v>130</v>
      </c>
      <c r="K637" s="463" t="s">
        <v>886</v>
      </c>
    </row>
    <row r="638" spans="1:11" hidden="1" x14ac:dyDescent="0.25">
      <c r="A638" s="315">
        <v>15</v>
      </c>
      <c r="B638" s="316" t="s">
        <v>1592</v>
      </c>
      <c r="C638" s="316" t="s">
        <v>1849</v>
      </c>
      <c r="D638" s="316" t="s">
        <v>1850</v>
      </c>
      <c r="E638" s="317">
        <v>1</v>
      </c>
      <c r="F638" s="318">
        <v>11000</v>
      </c>
      <c r="G638" s="319">
        <v>11000</v>
      </c>
      <c r="H638" s="320" t="s">
        <v>885</v>
      </c>
      <c r="I638" s="316" t="s">
        <v>1078</v>
      </c>
      <c r="J638" s="320" t="s">
        <v>130</v>
      </c>
      <c r="K638" s="463" t="s">
        <v>886</v>
      </c>
    </row>
    <row r="639" spans="1:11" hidden="1" x14ac:dyDescent="0.25">
      <c r="A639" s="315">
        <v>15</v>
      </c>
      <c r="B639" s="316" t="s">
        <v>1592</v>
      </c>
      <c r="C639" s="316" t="s">
        <v>1851</v>
      </c>
      <c r="D639" s="316" t="s">
        <v>1852</v>
      </c>
      <c r="E639" s="317">
        <v>1</v>
      </c>
      <c r="F639" s="318">
        <v>63000</v>
      </c>
      <c r="G639" s="319">
        <v>63000</v>
      </c>
      <c r="H639" s="320" t="s">
        <v>885</v>
      </c>
      <c r="I639" s="316" t="s">
        <v>1078</v>
      </c>
      <c r="J639" s="320" t="s">
        <v>130</v>
      </c>
      <c r="K639" s="463" t="s">
        <v>886</v>
      </c>
    </row>
    <row r="640" spans="1:11" hidden="1" x14ac:dyDescent="0.25">
      <c r="A640" s="315">
        <v>15</v>
      </c>
      <c r="B640" s="316" t="s">
        <v>1592</v>
      </c>
      <c r="C640" s="316" t="s">
        <v>1853</v>
      </c>
      <c r="D640" s="316" t="s">
        <v>1854</v>
      </c>
      <c r="E640" s="317">
        <v>1</v>
      </c>
      <c r="F640" s="318">
        <v>46500</v>
      </c>
      <c r="G640" s="319">
        <v>46500</v>
      </c>
      <c r="H640" s="320" t="s">
        <v>885</v>
      </c>
      <c r="I640" s="316" t="s">
        <v>1078</v>
      </c>
      <c r="J640" s="320" t="s">
        <v>130</v>
      </c>
      <c r="K640" s="463" t="s">
        <v>886</v>
      </c>
    </row>
    <row r="641" spans="1:11" hidden="1" x14ac:dyDescent="0.25">
      <c r="A641" s="315">
        <v>15</v>
      </c>
      <c r="B641" s="316" t="s">
        <v>1592</v>
      </c>
      <c r="C641" s="316" t="s">
        <v>1855</v>
      </c>
      <c r="D641" s="316" t="s">
        <v>1856</v>
      </c>
      <c r="E641" s="317">
        <v>1</v>
      </c>
      <c r="F641" s="318">
        <v>107000</v>
      </c>
      <c r="G641" s="319">
        <v>107000</v>
      </c>
      <c r="H641" s="320" t="s">
        <v>885</v>
      </c>
      <c r="I641" s="316" t="s">
        <v>1078</v>
      </c>
      <c r="J641" s="320" t="s">
        <v>130</v>
      </c>
      <c r="K641" s="463" t="s">
        <v>886</v>
      </c>
    </row>
    <row r="642" spans="1:11" hidden="1" x14ac:dyDescent="0.25">
      <c r="A642" s="315">
        <v>14</v>
      </c>
      <c r="B642" s="316" t="s">
        <v>1615</v>
      </c>
      <c r="C642" s="316" t="s">
        <v>1857</v>
      </c>
      <c r="D642" s="316" t="s">
        <v>1858</v>
      </c>
      <c r="E642" s="317">
        <v>1</v>
      </c>
      <c r="F642" s="318">
        <v>16246091</v>
      </c>
      <c r="G642" s="319">
        <v>16246091</v>
      </c>
      <c r="H642" s="320" t="s">
        <v>867</v>
      </c>
      <c r="I642" s="316" t="s">
        <v>1078</v>
      </c>
      <c r="J642" s="320" t="s">
        <v>130</v>
      </c>
      <c r="K642" s="463" t="s">
        <v>1575</v>
      </c>
    </row>
    <row r="643" spans="1:11" hidden="1" x14ac:dyDescent="0.25">
      <c r="A643" s="315">
        <v>14</v>
      </c>
      <c r="B643" s="316" t="s">
        <v>1615</v>
      </c>
      <c r="C643" s="316" t="s">
        <v>1859</v>
      </c>
      <c r="D643" s="316" t="s">
        <v>1860</v>
      </c>
      <c r="E643" s="317">
        <v>1</v>
      </c>
      <c r="F643" s="318">
        <v>2148094</v>
      </c>
      <c r="G643" s="319">
        <v>2148094</v>
      </c>
      <c r="H643" s="320" t="s">
        <v>867</v>
      </c>
      <c r="I643" s="316" t="s">
        <v>1078</v>
      </c>
      <c r="J643" s="320" t="s">
        <v>130</v>
      </c>
      <c r="K643" s="463" t="s">
        <v>1575</v>
      </c>
    </row>
    <row r="644" spans="1:11" hidden="1" x14ac:dyDescent="0.25">
      <c r="A644" s="315">
        <v>16</v>
      </c>
      <c r="B644" s="316" t="s">
        <v>1077</v>
      </c>
      <c r="C644" s="316" t="s">
        <v>271</v>
      </c>
      <c r="D644" s="316" t="s">
        <v>430</v>
      </c>
      <c r="E644" s="317">
        <v>5</v>
      </c>
      <c r="F644" s="318">
        <v>24000</v>
      </c>
      <c r="G644" s="319">
        <v>120000</v>
      </c>
      <c r="H644" s="320" t="s">
        <v>429</v>
      </c>
      <c r="I644" s="316" t="s">
        <v>1078</v>
      </c>
      <c r="J644" s="320" t="s">
        <v>130</v>
      </c>
      <c r="K644" s="463" t="s">
        <v>1094</v>
      </c>
    </row>
    <row r="645" spans="1:11" hidden="1" x14ac:dyDescent="0.25">
      <c r="A645" s="315">
        <v>16</v>
      </c>
      <c r="B645" s="316" t="s">
        <v>1077</v>
      </c>
      <c r="C645" s="316" t="s">
        <v>267</v>
      </c>
      <c r="D645" s="316" t="s">
        <v>431</v>
      </c>
      <c r="E645" s="317">
        <v>4.9050000000000002</v>
      </c>
      <c r="F645" s="318">
        <v>55000</v>
      </c>
      <c r="G645" s="319">
        <v>269775</v>
      </c>
      <c r="H645" s="320" t="s">
        <v>429</v>
      </c>
      <c r="I645" s="316" t="s">
        <v>1078</v>
      </c>
      <c r="J645" s="320" t="s">
        <v>130</v>
      </c>
      <c r="K645" s="463" t="s">
        <v>1094</v>
      </c>
    </row>
    <row r="646" spans="1:11" hidden="1" x14ac:dyDescent="0.25">
      <c r="A646" s="315">
        <v>17</v>
      </c>
      <c r="B646" s="316" t="s">
        <v>1077</v>
      </c>
      <c r="C646" s="316" t="s">
        <v>214</v>
      </c>
      <c r="D646" s="316" t="s">
        <v>434</v>
      </c>
      <c r="E646" s="317">
        <v>22.71</v>
      </c>
      <c r="F646" s="318">
        <v>25900</v>
      </c>
      <c r="G646" s="319">
        <v>588189</v>
      </c>
      <c r="H646" s="320" t="s">
        <v>433</v>
      </c>
      <c r="I646" s="316" t="s">
        <v>1078</v>
      </c>
      <c r="J646" s="320" t="s">
        <v>130</v>
      </c>
      <c r="K646" s="463" t="s">
        <v>1113</v>
      </c>
    </row>
    <row r="647" spans="1:11" hidden="1" x14ac:dyDescent="0.25">
      <c r="A647" s="315">
        <v>17</v>
      </c>
      <c r="B647" s="316" t="s">
        <v>1077</v>
      </c>
      <c r="C647" s="316" t="s">
        <v>435</v>
      </c>
      <c r="D647" s="316" t="s">
        <v>436</v>
      </c>
      <c r="E647" s="317">
        <v>25.2</v>
      </c>
      <c r="F647" s="318">
        <v>23900</v>
      </c>
      <c r="G647" s="319">
        <v>602280</v>
      </c>
      <c r="H647" s="320" t="s">
        <v>433</v>
      </c>
      <c r="I647" s="316" t="s">
        <v>1078</v>
      </c>
      <c r="J647" s="320" t="s">
        <v>130</v>
      </c>
      <c r="K647" s="463" t="s">
        <v>1113</v>
      </c>
    </row>
    <row r="648" spans="1:11" hidden="1" x14ac:dyDescent="0.25">
      <c r="A648" s="315">
        <v>17</v>
      </c>
      <c r="B648" s="316" t="s">
        <v>1505</v>
      </c>
      <c r="C648" s="316" t="s">
        <v>1861</v>
      </c>
      <c r="D648" s="316" t="s">
        <v>1862</v>
      </c>
      <c r="E648" s="317">
        <v>8</v>
      </c>
      <c r="F648" s="318">
        <v>17500</v>
      </c>
      <c r="G648" s="319">
        <v>140000</v>
      </c>
      <c r="H648" s="320" t="s">
        <v>433</v>
      </c>
      <c r="I648" s="316" t="s">
        <v>1078</v>
      </c>
      <c r="J648" s="320" t="s">
        <v>130</v>
      </c>
      <c r="K648" s="463" t="s">
        <v>1113</v>
      </c>
    </row>
    <row r="649" spans="1:11" hidden="1" x14ac:dyDescent="0.25">
      <c r="A649" s="315">
        <v>17</v>
      </c>
      <c r="B649" s="316" t="s">
        <v>1077</v>
      </c>
      <c r="C649" s="316" t="s">
        <v>437</v>
      </c>
      <c r="D649" s="316" t="s">
        <v>438</v>
      </c>
      <c r="E649" s="317">
        <v>13.55</v>
      </c>
      <c r="F649" s="318">
        <v>44000</v>
      </c>
      <c r="G649" s="319">
        <v>596200</v>
      </c>
      <c r="H649" s="320" t="s">
        <v>433</v>
      </c>
      <c r="I649" s="316" t="s">
        <v>1078</v>
      </c>
      <c r="J649" s="320" t="s">
        <v>130</v>
      </c>
      <c r="K649" s="463" t="s">
        <v>1113</v>
      </c>
    </row>
    <row r="650" spans="1:11" hidden="1" x14ac:dyDescent="0.25">
      <c r="A650" s="315">
        <v>17</v>
      </c>
      <c r="B650" s="316" t="s">
        <v>1077</v>
      </c>
      <c r="C650" s="316" t="s">
        <v>439</v>
      </c>
      <c r="D650" s="316" t="s">
        <v>440</v>
      </c>
      <c r="E650" s="317">
        <v>10.7</v>
      </c>
      <c r="F650" s="318">
        <v>44000</v>
      </c>
      <c r="G650" s="319">
        <v>470800</v>
      </c>
      <c r="H650" s="320" t="s">
        <v>433</v>
      </c>
      <c r="I650" s="316" t="s">
        <v>1078</v>
      </c>
      <c r="J650" s="320" t="s">
        <v>130</v>
      </c>
      <c r="K650" s="463" t="s">
        <v>1113</v>
      </c>
    </row>
    <row r="651" spans="1:11" hidden="1" x14ac:dyDescent="0.25">
      <c r="A651" s="315">
        <v>17</v>
      </c>
      <c r="B651" s="316" t="s">
        <v>1077</v>
      </c>
      <c r="C651" s="316" t="s">
        <v>441</v>
      </c>
      <c r="D651" s="316" t="s">
        <v>442</v>
      </c>
      <c r="E651" s="317">
        <v>70.2</v>
      </c>
      <c r="F651" s="318">
        <v>21900</v>
      </c>
      <c r="G651" s="319">
        <v>1537380</v>
      </c>
      <c r="H651" s="320" t="s">
        <v>433</v>
      </c>
      <c r="I651" s="316" t="s">
        <v>1078</v>
      </c>
      <c r="J651" s="320" t="s">
        <v>130</v>
      </c>
      <c r="K651" s="463" t="s">
        <v>1113</v>
      </c>
    </row>
    <row r="652" spans="1:11" hidden="1" x14ac:dyDescent="0.25">
      <c r="A652" s="315">
        <v>17</v>
      </c>
      <c r="B652" s="316" t="s">
        <v>1077</v>
      </c>
      <c r="C652" s="316" t="s">
        <v>443</v>
      </c>
      <c r="D652" s="316" t="s">
        <v>444</v>
      </c>
      <c r="E652" s="317">
        <v>27.6</v>
      </c>
      <c r="F652" s="318">
        <v>14500</v>
      </c>
      <c r="G652" s="319">
        <v>400200</v>
      </c>
      <c r="H652" s="320" t="s">
        <v>433</v>
      </c>
      <c r="I652" s="316" t="s">
        <v>1078</v>
      </c>
      <c r="J652" s="320" t="s">
        <v>130</v>
      </c>
      <c r="K652" s="463" t="s">
        <v>1113</v>
      </c>
    </row>
    <row r="653" spans="1:11" hidden="1" x14ac:dyDescent="0.25">
      <c r="A653" s="315">
        <v>17</v>
      </c>
      <c r="B653" s="316" t="s">
        <v>1077</v>
      </c>
      <c r="C653" s="316" t="s">
        <v>446</v>
      </c>
      <c r="D653" s="316" t="s">
        <v>447</v>
      </c>
      <c r="E653" s="317">
        <v>43.5</v>
      </c>
      <c r="F653" s="318">
        <v>6500</v>
      </c>
      <c r="G653" s="319">
        <v>282750</v>
      </c>
      <c r="H653" s="320" t="s">
        <v>445</v>
      </c>
      <c r="I653" s="316" t="s">
        <v>1078</v>
      </c>
      <c r="J653" s="320" t="s">
        <v>130</v>
      </c>
      <c r="K653" s="463" t="s">
        <v>1863</v>
      </c>
    </row>
    <row r="654" spans="1:11" hidden="1" x14ac:dyDescent="0.25">
      <c r="A654" s="315">
        <v>17</v>
      </c>
      <c r="B654" s="316" t="s">
        <v>1082</v>
      </c>
      <c r="C654" s="316" t="s">
        <v>1864</v>
      </c>
      <c r="D654" s="316" t="s">
        <v>1865</v>
      </c>
      <c r="E654" s="317">
        <v>2.8</v>
      </c>
      <c r="F654" s="318">
        <v>15000</v>
      </c>
      <c r="G654" s="319">
        <v>42000</v>
      </c>
      <c r="H654" s="320" t="s">
        <v>1866</v>
      </c>
      <c r="I654" s="316" t="s">
        <v>1078</v>
      </c>
      <c r="J654" s="320" t="s">
        <v>130</v>
      </c>
      <c r="K654" s="463" t="s">
        <v>1581</v>
      </c>
    </row>
    <row r="655" spans="1:11" hidden="1" x14ac:dyDescent="0.25">
      <c r="A655" s="315">
        <v>17</v>
      </c>
      <c r="B655" s="316" t="s">
        <v>1082</v>
      </c>
      <c r="C655" s="316" t="s">
        <v>1867</v>
      </c>
      <c r="D655" s="316" t="s">
        <v>1868</v>
      </c>
      <c r="E655" s="317">
        <v>3</v>
      </c>
      <c r="F655" s="318">
        <v>9000</v>
      </c>
      <c r="G655" s="319">
        <v>27000</v>
      </c>
      <c r="H655" s="320" t="s">
        <v>1866</v>
      </c>
      <c r="I655" s="316" t="s">
        <v>1078</v>
      </c>
      <c r="J655" s="320" t="s">
        <v>130</v>
      </c>
      <c r="K655" s="463" t="s">
        <v>1581</v>
      </c>
    </row>
    <row r="656" spans="1:11" hidden="1" x14ac:dyDescent="0.25">
      <c r="A656" s="315">
        <v>17</v>
      </c>
      <c r="B656" s="316" t="s">
        <v>1082</v>
      </c>
      <c r="C656" s="316" t="s">
        <v>1638</v>
      </c>
      <c r="D656" s="316" t="s">
        <v>1869</v>
      </c>
      <c r="E656" s="317">
        <v>1</v>
      </c>
      <c r="F656" s="318">
        <v>10000</v>
      </c>
      <c r="G656" s="319">
        <v>10000</v>
      </c>
      <c r="H656" s="320" t="s">
        <v>1866</v>
      </c>
      <c r="I656" s="316" t="s">
        <v>1078</v>
      </c>
      <c r="J656" s="320" t="s">
        <v>130</v>
      </c>
      <c r="K656" s="463" t="s">
        <v>1581</v>
      </c>
    </row>
    <row r="657" spans="1:11" hidden="1" x14ac:dyDescent="0.25">
      <c r="A657" s="315">
        <v>17</v>
      </c>
      <c r="B657" s="316" t="s">
        <v>1082</v>
      </c>
      <c r="C657" s="316" t="s">
        <v>1727</v>
      </c>
      <c r="D657" s="316" t="s">
        <v>1870</v>
      </c>
      <c r="E657" s="317">
        <v>9.1</v>
      </c>
      <c r="F657" s="318">
        <v>7800</v>
      </c>
      <c r="G657" s="319">
        <v>70980</v>
      </c>
      <c r="H657" s="320" t="s">
        <v>1866</v>
      </c>
      <c r="I657" s="316" t="s">
        <v>1078</v>
      </c>
      <c r="J657" s="320" t="s">
        <v>130</v>
      </c>
      <c r="K657" s="463" t="s">
        <v>1581</v>
      </c>
    </row>
    <row r="658" spans="1:11" hidden="1" x14ac:dyDescent="0.25">
      <c r="A658" s="315">
        <v>17</v>
      </c>
      <c r="B658" s="316" t="s">
        <v>1082</v>
      </c>
      <c r="C658" s="316" t="s">
        <v>1403</v>
      </c>
      <c r="D658" s="316" t="s">
        <v>1871</v>
      </c>
      <c r="E658" s="317">
        <v>11.4</v>
      </c>
      <c r="F658" s="318">
        <v>2000</v>
      </c>
      <c r="G658" s="319">
        <v>22800</v>
      </c>
      <c r="H658" s="320" t="s">
        <v>1866</v>
      </c>
      <c r="I658" s="316" t="s">
        <v>1078</v>
      </c>
      <c r="J658" s="320" t="s">
        <v>130</v>
      </c>
      <c r="K658" s="463" t="s">
        <v>1581</v>
      </c>
    </row>
    <row r="659" spans="1:11" hidden="1" x14ac:dyDescent="0.25">
      <c r="A659" s="315">
        <v>17</v>
      </c>
      <c r="B659" s="316" t="s">
        <v>1082</v>
      </c>
      <c r="C659" s="316" t="s">
        <v>1872</v>
      </c>
      <c r="D659" s="316" t="s">
        <v>1873</v>
      </c>
      <c r="E659" s="317">
        <v>100</v>
      </c>
      <c r="F659" s="318">
        <v>2800</v>
      </c>
      <c r="G659" s="319">
        <v>280000</v>
      </c>
      <c r="H659" s="320" t="s">
        <v>1866</v>
      </c>
      <c r="I659" s="316" t="s">
        <v>1078</v>
      </c>
      <c r="J659" s="320" t="s">
        <v>130</v>
      </c>
      <c r="K659" s="463" t="s">
        <v>1581</v>
      </c>
    </row>
    <row r="660" spans="1:11" hidden="1" x14ac:dyDescent="0.25">
      <c r="A660" s="315">
        <v>17</v>
      </c>
      <c r="B660" s="316" t="s">
        <v>1082</v>
      </c>
      <c r="C660" s="316" t="s">
        <v>1874</v>
      </c>
      <c r="D660" s="316" t="s">
        <v>1875</v>
      </c>
      <c r="E660" s="317">
        <v>1</v>
      </c>
      <c r="F660" s="318">
        <v>60000</v>
      </c>
      <c r="G660" s="319">
        <v>60000</v>
      </c>
      <c r="H660" s="320" t="s">
        <v>1866</v>
      </c>
      <c r="I660" s="316" t="s">
        <v>1078</v>
      </c>
      <c r="J660" s="320" t="s">
        <v>130</v>
      </c>
      <c r="K660" s="463" t="s">
        <v>1581</v>
      </c>
    </row>
    <row r="661" spans="1:11" hidden="1" x14ac:dyDescent="0.25">
      <c r="A661" s="315">
        <v>17</v>
      </c>
      <c r="B661" s="316" t="s">
        <v>1082</v>
      </c>
      <c r="C661" s="316" t="s">
        <v>1876</v>
      </c>
      <c r="D661" s="316" t="s">
        <v>1877</v>
      </c>
      <c r="E661" s="317">
        <v>51.3</v>
      </c>
      <c r="F661" s="318">
        <v>1400</v>
      </c>
      <c r="G661" s="319">
        <v>71820</v>
      </c>
      <c r="H661" s="320" t="s">
        <v>1866</v>
      </c>
      <c r="I661" s="316" t="s">
        <v>1078</v>
      </c>
      <c r="J661" s="320" t="s">
        <v>130</v>
      </c>
      <c r="K661" s="463" t="s">
        <v>1581</v>
      </c>
    </row>
    <row r="662" spans="1:11" hidden="1" x14ac:dyDescent="0.25">
      <c r="A662" s="315">
        <v>17</v>
      </c>
      <c r="B662" s="316" t="s">
        <v>1082</v>
      </c>
      <c r="C662" s="316" t="s">
        <v>1878</v>
      </c>
      <c r="D662" s="316" t="s">
        <v>1879</v>
      </c>
      <c r="E662" s="317">
        <v>1</v>
      </c>
      <c r="F662" s="318">
        <v>130000</v>
      </c>
      <c r="G662" s="319">
        <v>130000</v>
      </c>
      <c r="H662" s="320" t="s">
        <v>1866</v>
      </c>
      <c r="I662" s="316" t="s">
        <v>1078</v>
      </c>
      <c r="J662" s="320" t="s">
        <v>130</v>
      </c>
      <c r="K662" s="463" t="s">
        <v>1581</v>
      </c>
    </row>
    <row r="663" spans="1:11" hidden="1" x14ac:dyDescent="0.25">
      <c r="A663" s="315">
        <v>17</v>
      </c>
      <c r="B663" s="316" t="s">
        <v>1082</v>
      </c>
      <c r="C663" s="316" t="s">
        <v>1880</v>
      </c>
      <c r="D663" s="316" t="s">
        <v>1881</v>
      </c>
      <c r="E663" s="317">
        <v>70</v>
      </c>
      <c r="F663" s="318">
        <v>1400</v>
      </c>
      <c r="G663" s="319">
        <v>98000</v>
      </c>
      <c r="H663" s="320" t="s">
        <v>1866</v>
      </c>
      <c r="I663" s="316" t="s">
        <v>1078</v>
      </c>
      <c r="J663" s="320" t="s">
        <v>130</v>
      </c>
      <c r="K663" s="463" t="s">
        <v>1581</v>
      </c>
    </row>
    <row r="664" spans="1:11" hidden="1" x14ac:dyDescent="0.25">
      <c r="A664" s="315">
        <v>17</v>
      </c>
      <c r="B664" s="316" t="s">
        <v>1082</v>
      </c>
      <c r="C664" s="316" t="s">
        <v>1882</v>
      </c>
      <c r="D664" s="316" t="s">
        <v>1883</v>
      </c>
      <c r="E664" s="317">
        <v>3</v>
      </c>
      <c r="F664" s="318">
        <v>28000</v>
      </c>
      <c r="G664" s="319">
        <v>84000</v>
      </c>
      <c r="H664" s="320" t="s">
        <v>1884</v>
      </c>
      <c r="I664" s="316" t="s">
        <v>1078</v>
      </c>
      <c r="J664" s="320" t="s">
        <v>130</v>
      </c>
      <c r="K664" s="463" t="s">
        <v>1581</v>
      </c>
    </row>
    <row r="665" spans="1:11" hidden="1" x14ac:dyDescent="0.25">
      <c r="A665" s="315">
        <v>17</v>
      </c>
      <c r="B665" s="316" t="s">
        <v>1082</v>
      </c>
      <c r="C665" s="316" t="s">
        <v>1885</v>
      </c>
      <c r="D665" s="316" t="s">
        <v>1886</v>
      </c>
      <c r="E665" s="317">
        <v>17.3</v>
      </c>
      <c r="F665" s="318">
        <v>4000</v>
      </c>
      <c r="G665" s="319">
        <v>69200</v>
      </c>
      <c r="H665" s="320" t="s">
        <v>1884</v>
      </c>
      <c r="I665" s="316" t="s">
        <v>1078</v>
      </c>
      <c r="J665" s="320" t="s">
        <v>130</v>
      </c>
      <c r="K665" s="463" t="s">
        <v>1581</v>
      </c>
    </row>
    <row r="666" spans="1:11" hidden="1" x14ac:dyDescent="0.25">
      <c r="A666" s="315">
        <v>17</v>
      </c>
      <c r="B666" s="316" t="s">
        <v>1082</v>
      </c>
      <c r="C666" s="316" t="s">
        <v>1887</v>
      </c>
      <c r="D666" s="316" t="s">
        <v>1888</v>
      </c>
      <c r="E666" s="317">
        <v>4.2</v>
      </c>
      <c r="F666" s="318">
        <v>3000</v>
      </c>
      <c r="G666" s="319">
        <v>12600</v>
      </c>
      <c r="H666" s="320" t="s">
        <v>1884</v>
      </c>
      <c r="I666" s="316" t="s">
        <v>1078</v>
      </c>
      <c r="J666" s="320" t="s">
        <v>130</v>
      </c>
      <c r="K666" s="463" t="s">
        <v>1581</v>
      </c>
    </row>
    <row r="667" spans="1:11" hidden="1" x14ac:dyDescent="0.25">
      <c r="A667" s="315">
        <v>17</v>
      </c>
      <c r="B667" s="316" t="s">
        <v>1082</v>
      </c>
      <c r="C667" s="316" t="s">
        <v>1876</v>
      </c>
      <c r="D667" s="316" t="s">
        <v>1889</v>
      </c>
      <c r="E667" s="317">
        <v>70.5</v>
      </c>
      <c r="F667" s="318">
        <v>1400</v>
      </c>
      <c r="G667" s="319">
        <v>98700</v>
      </c>
      <c r="H667" s="320" t="s">
        <v>1884</v>
      </c>
      <c r="I667" s="316" t="s">
        <v>1078</v>
      </c>
      <c r="J667" s="320" t="s">
        <v>130</v>
      </c>
      <c r="K667" s="463" t="s">
        <v>1581</v>
      </c>
    </row>
    <row r="668" spans="1:11" hidden="1" x14ac:dyDescent="0.25">
      <c r="A668" s="315">
        <v>17</v>
      </c>
      <c r="B668" s="316" t="s">
        <v>1082</v>
      </c>
      <c r="C668" s="316" t="s">
        <v>1890</v>
      </c>
      <c r="D668" s="316" t="s">
        <v>1891</v>
      </c>
      <c r="E668" s="317">
        <v>15.8</v>
      </c>
      <c r="F668" s="318">
        <v>3500</v>
      </c>
      <c r="G668" s="319">
        <v>55300</v>
      </c>
      <c r="H668" s="320" t="s">
        <v>1884</v>
      </c>
      <c r="I668" s="316" t="s">
        <v>1078</v>
      </c>
      <c r="J668" s="320" t="s">
        <v>130</v>
      </c>
      <c r="K668" s="463" t="s">
        <v>1581</v>
      </c>
    </row>
    <row r="669" spans="1:11" hidden="1" x14ac:dyDescent="0.25">
      <c r="A669" s="315">
        <v>17</v>
      </c>
      <c r="B669" s="316" t="s">
        <v>1082</v>
      </c>
      <c r="C669" s="316" t="s">
        <v>1872</v>
      </c>
      <c r="D669" s="316" t="s">
        <v>1892</v>
      </c>
      <c r="E669" s="317">
        <v>50</v>
      </c>
      <c r="F669" s="318">
        <v>2500</v>
      </c>
      <c r="G669" s="319">
        <v>125000</v>
      </c>
      <c r="H669" s="320" t="s">
        <v>1884</v>
      </c>
      <c r="I669" s="316" t="s">
        <v>1078</v>
      </c>
      <c r="J669" s="320" t="s">
        <v>130</v>
      </c>
      <c r="K669" s="463" t="s">
        <v>1581</v>
      </c>
    </row>
    <row r="670" spans="1:11" hidden="1" x14ac:dyDescent="0.25">
      <c r="A670" s="315">
        <v>17</v>
      </c>
      <c r="B670" s="316" t="s">
        <v>1082</v>
      </c>
      <c r="C670" s="316" t="s">
        <v>1867</v>
      </c>
      <c r="D670" s="316" t="s">
        <v>1893</v>
      </c>
      <c r="E670" s="317">
        <v>3</v>
      </c>
      <c r="F670" s="318">
        <v>9000</v>
      </c>
      <c r="G670" s="319">
        <v>27000</v>
      </c>
      <c r="H670" s="320" t="s">
        <v>1884</v>
      </c>
      <c r="I670" s="316" t="s">
        <v>1078</v>
      </c>
      <c r="J670" s="320" t="s">
        <v>130</v>
      </c>
      <c r="K670" s="463" t="s">
        <v>1581</v>
      </c>
    </row>
    <row r="671" spans="1:11" hidden="1" x14ac:dyDescent="0.25">
      <c r="A671" s="315">
        <v>17</v>
      </c>
      <c r="B671" s="316" t="s">
        <v>1082</v>
      </c>
      <c r="C671" s="316" t="s">
        <v>1389</v>
      </c>
      <c r="D671" s="316" t="s">
        <v>1894</v>
      </c>
      <c r="E671" s="317">
        <v>2</v>
      </c>
      <c r="F671" s="318">
        <v>10000</v>
      </c>
      <c r="G671" s="319">
        <v>20000</v>
      </c>
      <c r="H671" s="320" t="s">
        <v>1884</v>
      </c>
      <c r="I671" s="316" t="s">
        <v>1078</v>
      </c>
      <c r="J671" s="320" t="s">
        <v>130</v>
      </c>
      <c r="K671" s="463" t="s">
        <v>1581</v>
      </c>
    </row>
    <row r="672" spans="1:11" hidden="1" x14ac:dyDescent="0.25">
      <c r="A672" s="315">
        <v>17</v>
      </c>
      <c r="B672" s="316" t="s">
        <v>1082</v>
      </c>
      <c r="C672" s="316" t="s">
        <v>1895</v>
      </c>
      <c r="D672" s="316" t="s">
        <v>1896</v>
      </c>
      <c r="E672" s="317">
        <v>48.4</v>
      </c>
      <c r="F672" s="318">
        <v>1800</v>
      </c>
      <c r="G672" s="319">
        <v>87120</v>
      </c>
      <c r="H672" s="320" t="s">
        <v>1884</v>
      </c>
      <c r="I672" s="316" t="s">
        <v>1078</v>
      </c>
      <c r="J672" s="320" t="s">
        <v>130</v>
      </c>
      <c r="K672" s="463" t="s">
        <v>1581</v>
      </c>
    </row>
    <row r="673" spans="1:11" hidden="1" x14ac:dyDescent="0.25">
      <c r="A673" s="315">
        <v>17</v>
      </c>
      <c r="B673" s="316" t="s">
        <v>1082</v>
      </c>
      <c r="C673" s="316" t="s">
        <v>1897</v>
      </c>
      <c r="D673" s="316" t="s">
        <v>1898</v>
      </c>
      <c r="E673" s="317">
        <v>3.8</v>
      </c>
      <c r="F673" s="318">
        <v>7000</v>
      </c>
      <c r="G673" s="319">
        <v>26600</v>
      </c>
      <c r="H673" s="320" t="s">
        <v>1884</v>
      </c>
      <c r="I673" s="316" t="s">
        <v>1078</v>
      </c>
      <c r="J673" s="320" t="s">
        <v>130</v>
      </c>
      <c r="K673" s="463" t="s">
        <v>1581</v>
      </c>
    </row>
    <row r="674" spans="1:11" hidden="1" x14ac:dyDescent="0.25">
      <c r="A674" s="315">
        <v>17</v>
      </c>
      <c r="B674" s="316" t="s">
        <v>1082</v>
      </c>
      <c r="C674" s="316" t="s">
        <v>1899</v>
      </c>
      <c r="D674" s="316" t="s">
        <v>1900</v>
      </c>
      <c r="E674" s="317">
        <v>3.9</v>
      </c>
      <c r="F674" s="318">
        <v>7000</v>
      </c>
      <c r="G674" s="319">
        <v>27300</v>
      </c>
      <c r="H674" s="320" t="s">
        <v>1884</v>
      </c>
      <c r="I674" s="316" t="s">
        <v>1078</v>
      </c>
      <c r="J674" s="320" t="s">
        <v>130</v>
      </c>
      <c r="K674" s="463" t="s">
        <v>1581</v>
      </c>
    </row>
    <row r="675" spans="1:11" hidden="1" x14ac:dyDescent="0.25">
      <c r="A675" s="315">
        <v>17</v>
      </c>
      <c r="B675" s="316" t="s">
        <v>1082</v>
      </c>
      <c r="C675" s="316" t="s">
        <v>1874</v>
      </c>
      <c r="D675" s="316" t="s">
        <v>1901</v>
      </c>
      <c r="E675" s="317">
        <v>1</v>
      </c>
      <c r="F675" s="318">
        <v>60000</v>
      </c>
      <c r="G675" s="319">
        <v>60000</v>
      </c>
      <c r="H675" s="320" t="s">
        <v>1884</v>
      </c>
      <c r="I675" s="316" t="s">
        <v>1078</v>
      </c>
      <c r="J675" s="320" t="s">
        <v>130</v>
      </c>
      <c r="K675" s="463" t="s">
        <v>1581</v>
      </c>
    </row>
    <row r="676" spans="1:11" hidden="1" x14ac:dyDescent="0.25">
      <c r="A676" s="315">
        <v>17</v>
      </c>
      <c r="B676" s="316" t="s">
        <v>1082</v>
      </c>
      <c r="C676" s="316" t="s">
        <v>1880</v>
      </c>
      <c r="D676" s="316" t="s">
        <v>1902</v>
      </c>
      <c r="E676" s="317">
        <v>61</v>
      </c>
      <c r="F676" s="318">
        <v>1400</v>
      </c>
      <c r="G676" s="319">
        <v>85400</v>
      </c>
      <c r="H676" s="320" t="s">
        <v>1884</v>
      </c>
      <c r="I676" s="316" t="s">
        <v>1078</v>
      </c>
      <c r="J676" s="320" t="s">
        <v>130</v>
      </c>
      <c r="K676" s="463" t="s">
        <v>1581</v>
      </c>
    </row>
    <row r="677" spans="1:11" hidden="1" x14ac:dyDescent="0.25">
      <c r="A677" s="315">
        <v>17</v>
      </c>
      <c r="B677" s="316" t="s">
        <v>1082</v>
      </c>
      <c r="C677" s="316" t="s">
        <v>1878</v>
      </c>
      <c r="D677" s="316" t="s">
        <v>1903</v>
      </c>
      <c r="E677" s="317">
        <v>1</v>
      </c>
      <c r="F677" s="318">
        <v>115000</v>
      </c>
      <c r="G677" s="319">
        <v>115000</v>
      </c>
      <c r="H677" s="320" t="s">
        <v>1884</v>
      </c>
      <c r="I677" s="316" t="s">
        <v>1078</v>
      </c>
      <c r="J677" s="320" t="s">
        <v>130</v>
      </c>
      <c r="K677" s="463" t="s">
        <v>1581</v>
      </c>
    </row>
    <row r="678" spans="1:11" hidden="1" x14ac:dyDescent="0.25">
      <c r="A678" s="315">
        <v>17</v>
      </c>
      <c r="B678" s="316" t="s">
        <v>1082</v>
      </c>
      <c r="C678" s="316" t="s">
        <v>1403</v>
      </c>
      <c r="D678" s="316" t="s">
        <v>1904</v>
      </c>
      <c r="E678" s="317">
        <v>8.1</v>
      </c>
      <c r="F678" s="318">
        <v>2000</v>
      </c>
      <c r="G678" s="319">
        <v>16200</v>
      </c>
      <c r="H678" s="320" t="s">
        <v>1884</v>
      </c>
      <c r="I678" s="316" t="s">
        <v>1078</v>
      </c>
      <c r="J678" s="320" t="s">
        <v>130</v>
      </c>
      <c r="K678" s="463" t="s">
        <v>1581</v>
      </c>
    </row>
    <row r="679" spans="1:11" hidden="1" x14ac:dyDescent="0.25">
      <c r="A679" s="315">
        <v>17</v>
      </c>
      <c r="B679" s="316" t="s">
        <v>1082</v>
      </c>
      <c r="C679" s="316" t="s">
        <v>1642</v>
      </c>
      <c r="D679" s="316" t="s">
        <v>1905</v>
      </c>
      <c r="E679" s="317">
        <v>2</v>
      </c>
      <c r="F679" s="318">
        <v>3000</v>
      </c>
      <c r="G679" s="319">
        <v>6000</v>
      </c>
      <c r="H679" s="320" t="s">
        <v>1884</v>
      </c>
      <c r="I679" s="316" t="s">
        <v>1078</v>
      </c>
      <c r="J679" s="320" t="s">
        <v>130</v>
      </c>
      <c r="K679" s="463" t="s">
        <v>1581</v>
      </c>
    </row>
    <row r="680" spans="1:11" hidden="1" x14ac:dyDescent="0.25">
      <c r="A680" s="315">
        <v>17</v>
      </c>
      <c r="B680" s="316" t="s">
        <v>1082</v>
      </c>
      <c r="C680" s="316" t="s">
        <v>1906</v>
      </c>
      <c r="D680" s="316" t="s">
        <v>1907</v>
      </c>
      <c r="E680" s="317">
        <v>3</v>
      </c>
      <c r="F680" s="318">
        <v>2000</v>
      </c>
      <c r="G680" s="319">
        <v>6000</v>
      </c>
      <c r="H680" s="320" t="s">
        <v>1884</v>
      </c>
      <c r="I680" s="316" t="s">
        <v>1078</v>
      </c>
      <c r="J680" s="320" t="s">
        <v>130</v>
      </c>
      <c r="K680" s="463" t="s">
        <v>1581</v>
      </c>
    </row>
    <row r="681" spans="1:11" hidden="1" x14ac:dyDescent="0.25">
      <c r="A681" s="315">
        <v>17</v>
      </c>
      <c r="B681" s="316" t="s">
        <v>1082</v>
      </c>
      <c r="C681" s="316" t="s">
        <v>1908</v>
      </c>
      <c r="D681" s="316" t="s">
        <v>1909</v>
      </c>
      <c r="E681" s="317">
        <v>3.3</v>
      </c>
      <c r="F681" s="318">
        <v>4500</v>
      </c>
      <c r="G681" s="319">
        <v>14850</v>
      </c>
      <c r="H681" s="320" t="s">
        <v>1884</v>
      </c>
      <c r="I681" s="316" t="s">
        <v>1078</v>
      </c>
      <c r="J681" s="320" t="s">
        <v>130</v>
      </c>
      <c r="K681" s="463" t="s">
        <v>1581</v>
      </c>
    </row>
    <row r="682" spans="1:11" hidden="1" x14ac:dyDescent="0.25">
      <c r="A682" s="315">
        <v>17</v>
      </c>
      <c r="B682" s="316" t="s">
        <v>1082</v>
      </c>
      <c r="C682" s="316" t="s">
        <v>1910</v>
      </c>
      <c r="D682" s="316" t="s">
        <v>1911</v>
      </c>
      <c r="E682" s="317">
        <v>4.2</v>
      </c>
      <c r="F682" s="318">
        <v>5800</v>
      </c>
      <c r="G682" s="319">
        <v>24360</v>
      </c>
      <c r="H682" s="320" t="s">
        <v>1884</v>
      </c>
      <c r="I682" s="316" t="s">
        <v>1078</v>
      </c>
      <c r="J682" s="320" t="s">
        <v>130</v>
      </c>
      <c r="K682" s="463" t="s">
        <v>1581</v>
      </c>
    </row>
    <row r="683" spans="1:11" hidden="1" x14ac:dyDescent="0.25">
      <c r="A683" s="315">
        <v>17</v>
      </c>
      <c r="B683" s="316" t="s">
        <v>1077</v>
      </c>
      <c r="C683" s="316" t="s">
        <v>449</v>
      </c>
      <c r="D683" s="316" t="s">
        <v>450</v>
      </c>
      <c r="E683" s="317">
        <v>5</v>
      </c>
      <c r="F683" s="318">
        <v>21500</v>
      </c>
      <c r="G683" s="319">
        <v>107500</v>
      </c>
      <c r="H683" s="525" t="s">
        <v>448</v>
      </c>
      <c r="I683" s="316" t="s">
        <v>1078</v>
      </c>
      <c r="J683" s="320" t="s">
        <v>130</v>
      </c>
      <c r="K683" s="463" t="s">
        <v>1191</v>
      </c>
    </row>
    <row r="684" spans="1:11" hidden="1" x14ac:dyDescent="0.25">
      <c r="A684" s="321">
        <v>14</v>
      </c>
      <c r="B684" s="322" t="s">
        <v>1082</v>
      </c>
      <c r="C684" s="322" t="s">
        <v>1880</v>
      </c>
      <c r="D684" s="322" t="s">
        <v>1912</v>
      </c>
      <c r="E684" s="323">
        <v>20.6</v>
      </c>
      <c r="F684" s="324">
        <v>1800</v>
      </c>
      <c r="G684" s="325">
        <v>37100</v>
      </c>
      <c r="H684" s="326" t="s">
        <v>810</v>
      </c>
      <c r="I684" s="322" t="s">
        <v>1694</v>
      </c>
      <c r="J684" s="326" t="s">
        <v>130</v>
      </c>
      <c r="K684" s="463" t="s">
        <v>1108</v>
      </c>
    </row>
    <row r="685" spans="1:11" hidden="1" x14ac:dyDescent="0.25">
      <c r="A685" s="321">
        <v>19</v>
      </c>
      <c r="B685" s="322" t="s">
        <v>1615</v>
      </c>
      <c r="C685" s="322" t="s">
        <v>1913</v>
      </c>
      <c r="D685" s="322" t="s">
        <v>1914</v>
      </c>
      <c r="E685" s="323">
        <v>2</v>
      </c>
      <c r="F685" s="324">
        <v>100000</v>
      </c>
      <c r="G685" s="325">
        <v>200000</v>
      </c>
      <c r="H685" s="326" t="s">
        <v>917</v>
      </c>
      <c r="I685" s="322" t="s">
        <v>918</v>
      </c>
      <c r="J685" s="326" t="s">
        <v>130</v>
      </c>
      <c r="K685" s="463" t="s">
        <v>1108</v>
      </c>
    </row>
    <row r="686" spans="1:11" hidden="1" x14ac:dyDescent="0.25">
      <c r="A686" s="321">
        <v>19</v>
      </c>
      <c r="B686" s="322" t="s">
        <v>1082</v>
      </c>
      <c r="C686" s="322" t="s">
        <v>1083</v>
      </c>
      <c r="D686" s="322" t="s">
        <v>1915</v>
      </c>
      <c r="E686" s="323">
        <v>50</v>
      </c>
      <c r="F686" s="324">
        <v>1000</v>
      </c>
      <c r="G686" s="325">
        <v>50000</v>
      </c>
      <c r="H686" s="326" t="s">
        <v>917</v>
      </c>
      <c r="I686" s="322" t="s">
        <v>918</v>
      </c>
      <c r="J686" s="326" t="s">
        <v>130</v>
      </c>
      <c r="K686" s="463" t="s">
        <v>1108</v>
      </c>
    </row>
    <row r="687" spans="1:11" hidden="1" x14ac:dyDescent="0.25">
      <c r="A687" s="327">
        <v>11</v>
      </c>
      <c r="B687" s="328" t="s">
        <v>1615</v>
      </c>
      <c r="C687" s="329" t="s">
        <v>1916</v>
      </c>
      <c r="D687" s="329" t="s">
        <v>1917</v>
      </c>
      <c r="E687" s="330">
        <v>1</v>
      </c>
      <c r="F687" s="331">
        <v>345000</v>
      </c>
      <c r="G687" s="331">
        <v>345000</v>
      </c>
      <c r="H687" s="328" t="s">
        <v>391</v>
      </c>
      <c r="I687" s="328" t="s">
        <v>1918</v>
      </c>
      <c r="J687" s="328" t="s">
        <v>130</v>
      </c>
      <c r="K687" s="463" t="s">
        <v>1109</v>
      </c>
    </row>
    <row r="688" spans="1:11" hidden="1" x14ac:dyDescent="0.25">
      <c r="A688" s="327">
        <v>11</v>
      </c>
      <c r="B688" s="328" t="s">
        <v>1082</v>
      </c>
      <c r="C688" s="329" t="s">
        <v>1673</v>
      </c>
      <c r="D688" s="329" t="s">
        <v>1919</v>
      </c>
      <c r="E688" s="330">
        <v>1</v>
      </c>
      <c r="F688" s="331">
        <v>190000</v>
      </c>
      <c r="G688" s="331">
        <v>190000</v>
      </c>
      <c r="H688" s="328" t="s">
        <v>391</v>
      </c>
      <c r="I688" s="328" t="s">
        <v>1918</v>
      </c>
      <c r="J688" s="328" t="s">
        <v>130</v>
      </c>
      <c r="K688" s="463" t="s">
        <v>1109</v>
      </c>
    </row>
    <row r="689" spans="1:11" hidden="1" x14ac:dyDescent="0.25">
      <c r="A689" s="327">
        <v>12</v>
      </c>
      <c r="B689" s="328" t="s">
        <v>1615</v>
      </c>
      <c r="C689" s="329" t="s">
        <v>1763</v>
      </c>
      <c r="D689" s="329" t="s">
        <v>1920</v>
      </c>
      <c r="E689" s="330">
        <v>1</v>
      </c>
      <c r="F689" s="331">
        <v>66000</v>
      </c>
      <c r="G689" s="331">
        <v>66000</v>
      </c>
      <c r="H689" s="328" t="s">
        <v>391</v>
      </c>
      <c r="I689" s="328" t="s">
        <v>1918</v>
      </c>
      <c r="J689" s="328" t="s">
        <v>130</v>
      </c>
      <c r="K689" s="463" t="s">
        <v>1108</v>
      </c>
    </row>
    <row r="690" spans="1:11" hidden="1" x14ac:dyDescent="0.25">
      <c r="A690" s="327">
        <v>12</v>
      </c>
      <c r="B690" s="328" t="s">
        <v>1615</v>
      </c>
      <c r="C690" s="329" t="s">
        <v>1762</v>
      </c>
      <c r="D690" s="329" t="s">
        <v>1921</v>
      </c>
      <c r="E690" s="330">
        <v>1</v>
      </c>
      <c r="F690" s="331">
        <v>66000</v>
      </c>
      <c r="G690" s="331">
        <v>66000</v>
      </c>
      <c r="H690" s="328" t="s">
        <v>391</v>
      </c>
      <c r="I690" s="328" t="s">
        <v>1918</v>
      </c>
      <c r="J690" s="328" t="s">
        <v>130</v>
      </c>
      <c r="K690" s="463" t="s">
        <v>1108</v>
      </c>
    </row>
    <row r="691" spans="1:11" hidden="1" x14ac:dyDescent="0.25">
      <c r="A691" s="327">
        <v>12</v>
      </c>
      <c r="B691" s="328" t="s">
        <v>1615</v>
      </c>
      <c r="C691" s="329" t="s">
        <v>1764</v>
      </c>
      <c r="D691" s="329" t="s">
        <v>1922</v>
      </c>
      <c r="E691" s="330">
        <v>1</v>
      </c>
      <c r="F691" s="331">
        <v>66000</v>
      </c>
      <c r="G691" s="331">
        <v>66000</v>
      </c>
      <c r="H691" s="328" t="s">
        <v>391</v>
      </c>
      <c r="I691" s="328" t="s">
        <v>1918</v>
      </c>
      <c r="J691" s="328" t="s">
        <v>130</v>
      </c>
      <c r="K691" s="463" t="s">
        <v>1108</v>
      </c>
    </row>
    <row r="692" spans="1:11" hidden="1" x14ac:dyDescent="0.25">
      <c r="A692" s="327">
        <v>12</v>
      </c>
      <c r="B692" s="328" t="s">
        <v>1102</v>
      </c>
      <c r="C692" s="329" t="s">
        <v>1923</v>
      </c>
      <c r="D692" s="329" t="s">
        <v>1924</v>
      </c>
      <c r="E692" s="330">
        <v>1</v>
      </c>
      <c r="F692" s="331">
        <v>750000</v>
      </c>
      <c r="G692" s="331">
        <v>750000</v>
      </c>
      <c r="H692" s="328" t="s">
        <v>391</v>
      </c>
      <c r="I692" s="328" t="s">
        <v>1918</v>
      </c>
      <c r="J692" s="328" t="s">
        <v>130</v>
      </c>
      <c r="K692" s="463" t="s">
        <v>1109</v>
      </c>
    </row>
    <row r="693" spans="1:11" hidden="1" x14ac:dyDescent="0.25">
      <c r="A693" s="327">
        <v>12</v>
      </c>
      <c r="B693" s="328" t="s">
        <v>1652</v>
      </c>
      <c r="C693" s="329" t="s">
        <v>1925</v>
      </c>
      <c r="D693" s="329" t="s">
        <v>844</v>
      </c>
      <c r="E693" s="330">
        <v>1</v>
      </c>
      <c r="F693" s="331">
        <v>241800</v>
      </c>
      <c r="G693" s="331">
        <v>241800</v>
      </c>
      <c r="H693" s="328" t="s">
        <v>391</v>
      </c>
      <c r="I693" s="328" t="s">
        <v>1918</v>
      </c>
      <c r="J693" s="328" t="s">
        <v>130</v>
      </c>
      <c r="K693" s="463" t="s">
        <v>1109</v>
      </c>
    </row>
    <row r="694" spans="1:11" hidden="1" x14ac:dyDescent="0.25">
      <c r="A694" s="327">
        <v>12</v>
      </c>
      <c r="B694" s="328" t="s">
        <v>1077</v>
      </c>
      <c r="C694" s="329" t="s">
        <v>392</v>
      </c>
      <c r="D694" s="329" t="s">
        <v>393</v>
      </c>
      <c r="E694" s="330">
        <v>1</v>
      </c>
      <c r="F694" s="331">
        <v>38200</v>
      </c>
      <c r="G694" s="331">
        <v>38200</v>
      </c>
      <c r="H694" s="328" t="s">
        <v>391</v>
      </c>
      <c r="I694" s="328" t="s">
        <v>1918</v>
      </c>
      <c r="J694" s="328" t="s">
        <v>130</v>
      </c>
      <c r="K694" s="463" t="s">
        <v>1109</v>
      </c>
    </row>
    <row r="695" spans="1:11" hidden="1" x14ac:dyDescent="0.25">
      <c r="A695" s="327">
        <v>12</v>
      </c>
      <c r="B695" s="328" t="s">
        <v>1077</v>
      </c>
      <c r="C695" s="329" t="s">
        <v>394</v>
      </c>
      <c r="D695" s="329" t="s">
        <v>395</v>
      </c>
      <c r="E695" s="330">
        <v>1</v>
      </c>
      <c r="F695" s="331">
        <v>100000</v>
      </c>
      <c r="G695" s="331">
        <v>100000</v>
      </c>
      <c r="H695" s="328" t="s">
        <v>391</v>
      </c>
      <c r="I695" s="328" t="s">
        <v>1918</v>
      </c>
      <c r="J695" s="328" t="s">
        <v>130</v>
      </c>
      <c r="K695" s="463" t="s">
        <v>1109</v>
      </c>
    </row>
    <row r="696" spans="1:11" hidden="1" x14ac:dyDescent="0.25">
      <c r="A696" s="327">
        <v>12</v>
      </c>
      <c r="B696" s="328" t="s">
        <v>1615</v>
      </c>
      <c r="C696" s="329" t="s">
        <v>1788</v>
      </c>
      <c r="D696" s="329" t="s">
        <v>1926</v>
      </c>
      <c r="E696" s="330">
        <v>1</v>
      </c>
      <c r="F696" s="331">
        <v>66000</v>
      </c>
      <c r="G696" s="331">
        <v>66000</v>
      </c>
      <c r="H696" s="328" t="s">
        <v>391</v>
      </c>
      <c r="I696" s="328" t="s">
        <v>1918</v>
      </c>
      <c r="J696" s="328" t="s">
        <v>130</v>
      </c>
      <c r="K696" s="463" t="s">
        <v>1108</v>
      </c>
    </row>
    <row r="697" spans="1:11" hidden="1" x14ac:dyDescent="0.25">
      <c r="A697" s="327">
        <v>12</v>
      </c>
      <c r="B697" s="328" t="s">
        <v>1615</v>
      </c>
      <c r="C697" s="329" t="s">
        <v>1764</v>
      </c>
      <c r="D697" s="329" t="s">
        <v>1927</v>
      </c>
      <c r="E697" s="330">
        <v>1</v>
      </c>
      <c r="F697" s="331">
        <v>66000</v>
      </c>
      <c r="G697" s="331">
        <v>66000</v>
      </c>
      <c r="H697" s="328" t="s">
        <v>391</v>
      </c>
      <c r="I697" s="328" t="s">
        <v>1918</v>
      </c>
      <c r="J697" s="328" t="s">
        <v>130</v>
      </c>
      <c r="K697" s="463" t="s">
        <v>1108</v>
      </c>
    </row>
    <row r="698" spans="1:11" hidden="1" x14ac:dyDescent="0.25">
      <c r="A698" s="327">
        <v>12</v>
      </c>
      <c r="B698" s="328" t="s">
        <v>1180</v>
      </c>
      <c r="C698" s="329" t="s">
        <v>1928</v>
      </c>
      <c r="D698" s="329" t="s">
        <v>849</v>
      </c>
      <c r="E698" s="330">
        <v>1</v>
      </c>
      <c r="F698" s="331">
        <v>40000</v>
      </c>
      <c r="G698" s="331">
        <v>40000</v>
      </c>
      <c r="H698" s="328" t="s">
        <v>391</v>
      </c>
      <c r="I698" s="328" t="s">
        <v>1918</v>
      </c>
      <c r="J698" s="328" t="s">
        <v>130</v>
      </c>
      <c r="K698" s="463" t="s">
        <v>1108</v>
      </c>
    </row>
    <row r="699" spans="1:11" hidden="1" x14ac:dyDescent="0.25">
      <c r="A699" s="327">
        <v>12</v>
      </c>
      <c r="B699" s="328" t="s">
        <v>1180</v>
      </c>
      <c r="C699" s="329" t="s">
        <v>1577</v>
      </c>
      <c r="D699" s="329" t="s">
        <v>850</v>
      </c>
      <c r="E699" s="330">
        <v>1</v>
      </c>
      <c r="F699" s="331">
        <v>30000</v>
      </c>
      <c r="G699" s="331">
        <v>30000</v>
      </c>
      <c r="H699" s="328" t="s">
        <v>391</v>
      </c>
      <c r="I699" s="328" t="s">
        <v>1918</v>
      </c>
      <c r="J699" s="328" t="s">
        <v>130</v>
      </c>
      <c r="K699" s="463" t="s">
        <v>1108</v>
      </c>
    </row>
    <row r="700" spans="1:11" hidden="1" x14ac:dyDescent="0.25">
      <c r="A700" s="327">
        <v>12</v>
      </c>
      <c r="B700" s="328" t="s">
        <v>1180</v>
      </c>
      <c r="C700" s="329" t="s">
        <v>1929</v>
      </c>
      <c r="D700" s="329" t="s">
        <v>852</v>
      </c>
      <c r="E700" s="330">
        <v>1</v>
      </c>
      <c r="F700" s="331">
        <v>27500</v>
      </c>
      <c r="G700" s="331">
        <v>27500</v>
      </c>
      <c r="H700" s="328" t="s">
        <v>391</v>
      </c>
      <c r="I700" s="328" t="s">
        <v>1918</v>
      </c>
      <c r="J700" s="328" t="s">
        <v>130</v>
      </c>
      <c r="K700" s="463" t="s">
        <v>1108</v>
      </c>
    </row>
    <row r="701" spans="1:11" hidden="1" x14ac:dyDescent="0.25">
      <c r="A701" s="327">
        <v>12</v>
      </c>
      <c r="B701" s="328" t="s">
        <v>1180</v>
      </c>
      <c r="C701" s="329" t="s">
        <v>1930</v>
      </c>
      <c r="D701" s="329" t="s">
        <v>854</v>
      </c>
      <c r="E701" s="330">
        <v>1</v>
      </c>
      <c r="F701" s="331">
        <v>50000</v>
      </c>
      <c r="G701" s="331">
        <v>50000</v>
      </c>
      <c r="H701" s="328" t="s">
        <v>391</v>
      </c>
      <c r="I701" s="328" t="s">
        <v>1918</v>
      </c>
      <c r="J701" s="328" t="s">
        <v>130</v>
      </c>
      <c r="K701" s="463" t="s">
        <v>1108</v>
      </c>
    </row>
    <row r="702" spans="1:11" hidden="1" x14ac:dyDescent="0.25">
      <c r="A702" s="327">
        <v>13</v>
      </c>
      <c r="B702" s="328" t="s">
        <v>1615</v>
      </c>
      <c r="C702" s="329" t="s">
        <v>1764</v>
      </c>
      <c r="D702" s="329" t="s">
        <v>1922</v>
      </c>
      <c r="E702" s="330">
        <v>1</v>
      </c>
      <c r="F702" s="331">
        <v>66000</v>
      </c>
      <c r="G702" s="331">
        <v>66000</v>
      </c>
      <c r="H702" s="328" t="s">
        <v>391</v>
      </c>
      <c r="I702" s="328" t="s">
        <v>1918</v>
      </c>
      <c r="J702" s="328" t="s">
        <v>130</v>
      </c>
      <c r="K702" s="463" t="s">
        <v>1108</v>
      </c>
    </row>
    <row r="703" spans="1:11" hidden="1" x14ac:dyDescent="0.25">
      <c r="A703" s="327">
        <v>13</v>
      </c>
      <c r="B703" s="328" t="s">
        <v>1615</v>
      </c>
      <c r="C703" s="329" t="s">
        <v>1763</v>
      </c>
      <c r="D703" s="329" t="s">
        <v>1920</v>
      </c>
      <c r="E703" s="330">
        <v>1</v>
      </c>
      <c r="F703" s="331">
        <v>66000</v>
      </c>
      <c r="G703" s="331">
        <v>66000</v>
      </c>
      <c r="H703" s="328" t="s">
        <v>391</v>
      </c>
      <c r="I703" s="328" t="s">
        <v>1918</v>
      </c>
      <c r="J703" s="328" t="s">
        <v>130</v>
      </c>
      <c r="K703" s="463" t="s">
        <v>1108</v>
      </c>
    </row>
    <row r="704" spans="1:11" hidden="1" x14ac:dyDescent="0.25">
      <c r="A704" s="327">
        <v>13</v>
      </c>
      <c r="B704" s="328" t="s">
        <v>1505</v>
      </c>
      <c r="C704" s="329" t="s">
        <v>965</v>
      </c>
      <c r="D704" s="329" t="s">
        <v>1931</v>
      </c>
      <c r="E704" s="330">
        <v>1</v>
      </c>
      <c r="F704" s="331">
        <v>20000</v>
      </c>
      <c r="G704" s="331">
        <v>20000</v>
      </c>
      <c r="H704" s="328" t="s">
        <v>391</v>
      </c>
      <c r="I704" s="328" t="s">
        <v>1918</v>
      </c>
      <c r="J704" s="328" t="s">
        <v>130</v>
      </c>
      <c r="K704" s="463" t="s">
        <v>1109</v>
      </c>
    </row>
    <row r="705" spans="1:11" hidden="1" x14ac:dyDescent="0.25">
      <c r="A705" s="327">
        <v>13</v>
      </c>
      <c r="B705" s="328" t="s">
        <v>1077</v>
      </c>
      <c r="C705" s="329" t="s">
        <v>192</v>
      </c>
      <c r="D705" s="329" t="s">
        <v>401</v>
      </c>
      <c r="E705" s="330">
        <v>1</v>
      </c>
      <c r="F705" s="331">
        <v>81100</v>
      </c>
      <c r="G705" s="331">
        <v>81100</v>
      </c>
      <c r="H705" s="328" t="s">
        <v>391</v>
      </c>
      <c r="I705" s="328" t="s">
        <v>1918</v>
      </c>
      <c r="J705" s="328" t="s">
        <v>130</v>
      </c>
      <c r="K705" s="463" t="s">
        <v>1109</v>
      </c>
    </row>
    <row r="706" spans="1:11" hidden="1" x14ac:dyDescent="0.25">
      <c r="A706" s="327">
        <v>13</v>
      </c>
      <c r="B706" s="328" t="s">
        <v>1615</v>
      </c>
      <c r="C706" s="329" t="s">
        <v>1932</v>
      </c>
      <c r="D706" s="329" t="s">
        <v>1933</v>
      </c>
      <c r="E706" s="330">
        <v>1</v>
      </c>
      <c r="F706" s="331">
        <v>70000</v>
      </c>
      <c r="G706" s="331">
        <v>70000</v>
      </c>
      <c r="H706" s="328" t="s">
        <v>391</v>
      </c>
      <c r="I706" s="328" t="s">
        <v>1918</v>
      </c>
      <c r="J706" s="328" t="s">
        <v>130</v>
      </c>
      <c r="K706" s="463" t="s">
        <v>1108</v>
      </c>
    </row>
    <row r="707" spans="1:11" hidden="1" x14ac:dyDescent="0.25">
      <c r="A707" s="327">
        <v>13</v>
      </c>
      <c r="B707" s="328" t="s">
        <v>1652</v>
      </c>
      <c r="C707" s="329" t="s">
        <v>1934</v>
      </c>
      <c r="D707" s="329" t="s">
        <v>858</v>
      </c>
      <c r="E707" s="330">
        <v>1</v>
      </c>
      <c r="F707" s="331">
        <v>22500</v>
      </c>
      <c r="G707" s="331">
        <v>22500</v>
      </c>
      <c r="H707" s="328" t="s">
        <v>391</v>
      </c>
      <c r="I707" s="328" t="s">
        <v>1918</v>
      </c>
      <c r="J707" s="328" t="s">
        <v>130</v>
      </c>
      <c r="K707" s="463" t="s">
        <v>1108</v>
      </c>
    </row>
    <row r="708" spans="1:11" hidden="1" x14ac:dyDescent="0.25">
      <c r="A708" s="327">
        <v>13</v>
      </c>
      <c r="B708" s="328" t="s">
        <v>1652</v>
      </c>
      <c r="C708" s="329" t="s">
        <v>1935</v>
      </c>
      <c r="D708" s="329" t="s">
        <v>860</v>
      </c>
      <c r="E708" s="330">
        <v>1</v>
      </c>
      <c r="F708" s="331">
        <v>9000</v>
      </c>
      <c r="G708" s="331">
        <v>9000</v>
      </c>
      <c r="H708" s="328" t="s">
        <v>391</v>
      </c>
      <c r="I708" s="328" t="s">
        <v>1918</v>
      </c>
      <c r="J708" s="328" t="s">
        <v>130</v>
      </c>
      <c r="K708" s="463" t="s">
        <v>1109</v>
      </c>
    </row>
    <row r="709" spans="1:11" hidden="1" x14ac:dyDescent="0.25">
      <c r="A709" s="327">
        <v>13</v>
      </c>
      <c r="B709" s="328" t="s">
        <v>1652</v>
      </c>
      <c r="C709" s="329" t="s">
        <v>1936</v>
      </c>
      <c r="D709" s="329" t="s">
        <v>862</v>
      </c>
      <c r="E709" s="330">
        <v>1</v>
      </c>
      <c r="F709" s="331">
        <v>24500</v>
      </c>
      <c r="G709" s="331">
        <v>24500</v>
      </c>
      <c r="H709" s="328" t="s">
        <v>391</v>
      </c>
      <c r="I709" s="328" t="s">
        <v>1918</v>
      </c>
      <c r="J709" s="328" t="s">
        <v>130</v>
      </c>
      <c r="K709" s="463" t="s">
        <v>1109</v>
      </c>
    </row>
    <row r="710" spans="1:11" hidden="1" x14ac:dyDescent="0.25">
      <c r="A710" s="327">
        <v>13</v>
      </c>
      <c r="B710" s="328" t="s">
        <v>1615</v>
      </c>
      <c r="C710" s="329" t="s">
        <v>1788</v>
      </c>
      <c r="D710" s="329" t="s">
        <v>1937</v>
      </c>
      <c r="E710" s="330">
        <v>1</v>
      </c>
      <c r="F710" s="331">
        <v>66000</v>
      </c>
      <c r="G710" s="331">
        <v>66000</v>
      </c>
      <c r="H710" s="328" t="s">
        <v>391</v>
      </c>
      <c r="I710" s="328" t="s">
        <v>1918</v>
      </c>
      <c r="J710" s="328" t="s">
        <v>130</v>
      </c>
      <c r="K710" s="463" t="s">
        <v>1108</v>
      </c>
    </row>
    <row r="711" spans="1:11" hidden="1" x14ac:dyDescent="0.25">
      <c r="A711" s="327">
        <v>14</v>
      </c>
      <c r="B711" s="328" t="s">
        <v>1615</v>
      </c>
      <c r="C711" s="329" t="s">
        <v>1762</v>
      </c>
      <c r="D711" s="329" t="s">
        <v>1921</v>
      </c>
      <c r="E711" s="330">
        <v>1</v>
      </c>
      <c r="F711" s="331">
        <v>66000</v>
      </c>
      <c r="G711" s="331">
        <v>66000</v>
      </c>
      <c r="H711" s="328" t="s">
        <v>391</v>
      </c>
      <c r="I711" s="328" t="s">
        <v>1918</v>
      </c>
      <c r="J711" s="328" t="s">
        <v>130</v>
      </c>
      <c r="K711" s="463" t="s">
        <v>1108</v>
      </c>
    </row>
    <row r="712" spans="1:11" hidden="1" x14ac:dyDescent="0.25">
      <c r="A712" s="327">
        <v>14</v>
      </c>
      <c r="B712" s="328" t="s">
        <v>1615</v>
      </c>
      <c r="C712" s="329" t="s">
        <v>1764</v>
      </c>
      <c r="D712" s="329" t="s">
        <v>1922</v>
      </c>
      <c r="E712" s="330">
        <v>1</v>
      </c>
      <c r="F712" s="331">
        <v>66000</v>
      </c>
      <c r="G712" s="331">
        <v>66000</v>
      </c>
      <c r="H712" s="328" t="s">
        <v>391</v>
      </c>
      <c r="I712" s="328" t="s">
        <v>1918</v>
      </c>
      <c r="J712" s="328" t="s">
        <v>130</v>
      </c>
      <c r="K712" s="463" t="s">
        <v>1108</v>
      </c>
    </row>
    <row r="713" spans="1:11" hidden="1" x14ac:dyDescent="0.25">
      <c r="A713" s="327">
        <v>14</v>
      </c>
      <c r="B713" s="328" t="s">
        <v>1615</v>
      </c>
      <c r="C713" s="329" t="s">
        <v>1763</v>
      </c>
      <c r="D713" s="329" t="s">
        <v>1920</v>
      </c>
      <c r="E713" s="330">
        <v>1</v>
      </c>
      <c r="F713" s="331">
        <v>66000</v>
      </c>
      <c r="G713" s="331">
        <v>66000</v>
      </c>
      <c r="H713" s="328" t="s">
        <v>391</v>
      </c>
      <c r="I713" s="328" t="s">
        <v>1918</v>
      </c>
      <c r="J713" s="328" t="s">
        <v>130</v>
      </c>
      <c r="K713" s="463" t="s">
        <v>1108</v>
      </c>
    </row>
    <row r="714" spans="1:11" hidden="1" x14ac:dyDescent="0.25">
      <c r="A714" s="327">
        <v>14</v>
      </c>
      <c r="B714" s="328" t="s">
        <v>1180</v>
      </c>
      <c r="C714" s="329" t="s">
        <v>1765</v>
      </c>
      <c r="D714" s="329" t="s">
        <v>1938</v>
      </c>
      <c r="E714" s="330">
        <v>1</v>
      </c>
      <c r="F714" s="331">
        <v>30000</v>
      </c>
      <c r="G714" s="331">
        <v>30000</v>
      </c>
      <c r="H714" s="328" t="s">
        <v>391</v>
      </c>
      <c r="I714" s="328" t="s">
        <v>1918</v>
      </c>
      <c r="J714" s="328" t="s">
        <v>130</v>
      </c>
      <c r="K714" s="463" t="s">
        <v>1105</v>
      </c>
    </row>
    <row r="715" spans="1:11" hidden="1" x14ac:dyDescent="0.25">
      <c r="A715" s="400">
        <v>15</v>
      </c>
      <c r="B715" s="401" t="s">
        <v>1461</v>
      </c>
      <c r="C715" s="401" t="s">
        <v>1939</v>
      </c>
      <c r="D715" s="401" t="s">
        <v>1940</v>
      </c>
      <c r="E715" s="402">
        <v>1</v>
      </c>
      <c r="F715" s="403">
        <v>240000</v>
      </c>
      <c r="G715" s="403">
        <v>240000</v>
      </c>
      <c r="H715" s="404" t="s">
        <v>391</v>
      </c>
      <c r="I715" s="405" t="s">
        <v>1941</v>
      </c>
      <c r="J715" s="406" t="s">
        <v>1942</v>
      </c>
      <c r="K715" s="463" t="s">
        <v>1943</v>
      </c>
    </row>
    <row r="716" spans="1:11" hidden="1" x14ac:dyDescent="0.25">
      <c r="A716" s="400">
        <v>15</v>
      </c>
      <c r="B716" s="401" t="s">
        <v>1114</v>
      </c>
      <c r="C716" s="401" t="s">
        <v>1944</v>
      </c>
      <c r="D716" s="401" t="s">
        <v>1945</v>
      </c>
      <c r="E716" s="402">
        <v>1</v>
      </c>
      <c r="F716" s="403">
        <v>118900</v>
      </c>
      <c r="G716" s="403">
        <v>118900</v>
      </c>
      <c r="H716" s="404" t="s">
        <v>391</v>
      </c>
      <c r="I716" s="405" t="s">
        <v>1946</v>
      </c>
      <c r="J716" s="406" t="s">
        <v>1947</v>
      </c>
      <c r="K716" s="463" t="s">
        <v>1947</v>
      </c>
    </row>
    <row r="717" spans="1:11" hidden="1" x14ac:dyDescent="0.25">
      <c r="A717" s="400">
        <v>15</v>
      </c>
      <c r="B717" s="401" t="s">
        <v>1180</v>
      </c>
      <c r="C717" s="401" t="s">
        <v>1948</v>
      </c>
      <c r="D717" s="401" t="s">
        <v>1949</v>
      </c>
      <c r="E717" s="402">
        <v>1</v>
      </c>
      <c r="F717" s="403">
        <v>20000</v>
      </c>
      <c r="G717" s="403">
        <v>20000</v>
      </c>
      <c r="H717" s="404" t="s">
        <v>391</v>
      </c>
      <c r="I717" s="405" t="s">
        <v>1950</v>
      </c>
      <c r="J717" s="406" t="s">
        <v>1951</v>
      </c>
      <c r="K717" s="463" t="s">
        <v>1105</v>
      </c>
    </row>
    <row r="718" spans="1:11" hidden="1" x14ac:dyDescent="0.25">
      <c r="A718" s="400">
        <v>13</v>
      </c>
      <c r="B718" s="401" t="s">
        <v>1077</v>
      </c>
      <c r="C718" s="401" t="s">
        <v>1952</v>
      </c>
      <c r="D718" s="401" t="s">
        <v>1953</v>
      </c>
      <c r="E718" s="407">
        <v>43.4</v>
      </c>
      <c r="F718" s="403">
        <v>7500</v>
      </c>
      <c r="G718" s="403">
        <v>325500</v>
      </c>
      <c r="H718" s="405" t="s">
        <v>1954</v>
      </c>
      <c r="I718" s="405" t="s">
        <v>1955</v>
      </c>
      <c r="J718" s="406" t="s">
        <v>1956</v>
      </c>
      <c r="K718" s="463" t="s">
        <v>1092</v>
      </c>
    </row>
    <row r="719" spans="1:11" hidden="1" x14ac:dyDescent="0.25">
      <c r="A719" s="400">
        <v>13</v>
      </c>
      <c r="B719" s="401" t="s">
        <v>1077</v>
      </c>
      <c r="C719" s="401" t="s">
        <v>1957</v>
      </c>
      <c r="D719" s="401" t="s">
        <v>1958</v>
      </c>
      <c r="E719" s="407">
        <v>13.6</v>
      </c>
      <c r="F719" s="403">
        <v>18500</v>
      </c>
      <c r="G719" s="403">
        <v>251600</v>
      </c>
      <c r="H719" s="405" t="s">
        <v>1954</v>
      </c>
      <c r="I719" s="405" t="s">
        <v>1955</v>
      </c>
      <c r="J719" s="406" t="s">
        <v>1956</v>
      </c>
      <c r="K719" s="463" t="s">
        <v>1092</v>
      </c>
    </row>
    <row r="720" spans="1:11" hidden="1" x14ac:dyDescent="0.25">
      <c r="A720" s="400">
        <v>13</v>
      </c>
      <c r="B720" s="401" t="s">
        <v>1077</v>
      </c>
      <c r="C720" s="401" t="s">
        <v>1952</v>
      </c>
      <c r="D720" s="401" t="s">
        <v>1959</v>
      </c>
      <c r="E720" s="407">
        <v>14.9</v>
      </c>
      <c r="F720" s="403">
        <v>7500</v>
      </c>
      <c r="G720" s="403">
        <v>111750</v>
      </c>
      <c r="H720" s="405" t="s">
        <v>1960</v>
      </c>
      <c r="I720" s="405" t="s">
        <v>1961</v>
      </c>
      <c r="J720" s="406" t="s">
        <v>1956</v>
      </c>
      <c r="K720" s="463" t="s">
        <v>1092</v>
      </c>
    </row>
    <row r="721" spans="1:11" hidden="1" x14ac:dyDescent="0.25">
      <c r="A721" s="400">
        <v>15</v>
      </c>
      <c r="B721" s="401" t="s">
        <v>1652</v>
      </c>
      <c r="C721" s="401" t="s">
        <v>1962</v>
      </c>
      <c r="D721" s="401" t="s">
        <v>1963</v>
      </c>
      <c r="E721" s="402">
        <v>1</v>
      </c>
      <c r="F721" s="403">
        <v>95800</v>
      </c>
      <c r="G721" s="403">
        <v>95800</v>
      </c>
      <c r="H721" s="404" t="s">
        <v>391</v>
      </c>
      <c r="I721" s="405" t="s">
        <v>1964</v>
      </c>
      <c r="J721" s="406" t="s">
        <v>1965</v>
      </c>
      <c r="K721" s="463" t="s">
        <v>1966</v>
      </c>
    </row>
    <row r="722" spans="1:11" hidden="1" x14ac:dyDescent="0.25">
      <c r="A722" s="400">
        <v>16</v>
      </c>
      <c r="B722" s="401" t="s">
        <v>1077</v>
      </c>
      <c r="C722" s="401" t="s">
        <v>1967</v>
      </c>
      <c r="D722" s="401" t="s">
        <v>1968</v>
      </c>
      <c r="E722" s="402">
        <v>1</v>
      </c>
      <c r="F722" s="403">
        <v>532000</v>
      </c>
      <c r="G722" s="403">
        <v>532000</v>
      </c>
      <c r="H722" s="404" t="s">
        <v>391</v>
      </c>
      <c r="I722" s="405" t="s">
        <v>1969</v>
      </c>
      <c r="J722" s="406" t="s">
        <v>1970</v>
      </c>
      <c r="K722" s="463" t="s">
        <v>1354</v>
      </c>
    </row>
    <row r="723" spans="1:11" hidden="1" x14ac:dyDescent="0.25">
      <c r="A723" s="400">
        <v>16</v>
      </c>
      <c r="B723" s="401" t="s">
        <v>1367</v>
      </c>
      <c r="C723" s="401" t="s">
        <v>1971</v>
      </c>
      <c r="D723" s="401" t="s">
        <v>1972</v>
      </c>
      <c r="E723" s="402">
        <v>1</v>
      </c>
      <c r="F723" s="403">
        <v>185300</v>
      </c>
      <c r="G723" s="403">
        <v>185300</v>
      </c>
      <c r="H723" s="404" t="s">
        <v>391</v>
      </c>
      <c r="I723" s="405" t="s">
        <v>1973</v>
      </c>
      <c r="J723" s="406" t="s">
        <v>1974</v>
      </c>
      <c r="K723" s="463" t="s">
        <v>1975</v>
      </c>
    </row>
    <row r="724" spans="1:11" x14ac:dyDescent="0.25">
      <c r="A724" s="48"/>
      <c r="B724" s="49"/>
      <c r="C724" s="49"/>
      <c r="D724" s="49"/>
      <c r="E724" s="50"/>
      <c r="F724" s="290"/>
      <c r="G724" s="290"/>
      <c r="H724" s="454"/>
      <c r="I724" s="91"/>
    </row>
    <row r="725" spans="1:11" x14ac:dyDescent="0.25">
      <c r="A725" s="48"/>
      <c r="B725" s="49"/>
      <c r="C725" s="49"/>
      <c r="D725" s="49"/>
      <c r="E725" s="50"/>
      <c r="F725" s="290"/>
      <c r="G725" s="290"/>
      <c r="H725" s="454"/>
      <c r="I725" s="91"/>
    </row>
    <row r="726" spans="1:11" x14ac:dyDescent="0.25">
      <c r="A726" s="48"/>
      <c r="B726" s="49"/>
      <c r="C726" s="49"/>
      <c r="D726" s="49"/>
      <c r="E726" s="50"/>
      <c r="F726" s="290"/>
      <c r="G726" s="290"/>
      <c r="H726" s="454"/>
      <c r="I726" s="91"/>
    </row>
    <row r="727" spans="1:11" x14ac:dyDescent="0.25">
      <c r="A727" s="48"/>
      <c r="B727" s="49"/>
      <c r="C727" s="49"/>
      <c r="D727" s="49"/>
      <c r="E727" s="50"/>
      <c r="F727" s="290"/>
      <c r="G727" s="290"/>
      <c r="H727" s="454"/>
      <c r="I727" s="91"/>
    </row>
    <row r="728" spans="1:11" x14ac:dyDescent="0.25">
      <c r="A728" s="48"/>
      <c r="B728" s="49"/>
      <c r="C728" s="49"/>
      <c r="D728" s="49"/>
      <c r="E728" s="50"/>
      <c r="F728" s="290"/>
      <c r="G728" s="290"/>
      <c r="H728" s="454"/>
      <c r="I728" s="91"/>
    </row>
    <row r="729" spans="1:11" x14ac:dyDescent="0.25">
      <c r="A729" s="48"/>
      <c r="B729" s="49"/>
      <c r="C729" s="49"/>
      <c r="D729" s="49"/>
      <c r="E729" s="50"/>
      <c r="F729" s="290"/>
      <c r="G729" s="290"/>
      <c r="H729" s="454"/>
      <c r="I729" s="91"/>
    </row>
    <row r="730" spans="1:11" x14ac:dyDescent="0.25">
      <c r="A730" s="48"/>
      <c r="B730" s="49"/>
      <c r="C730" s="49"/>
      <c r="D730" s="49"/>
      <c r="E730" s="50"/>
      <c r="F730" s="290"/>
      <c r="G730" s="290"/>
      <c r="H730" s="454"/>
      <c r="I730" s="91"/>
    </row>
    <row r="731" spans="1:11" x14ac:dyDescent="0.25">
      <c r="A731" s="48"/>
      <c r="B731" s="49"/>
      <c r="C731" s="49"/>
      <c r="D731" s="49"/>
      <c r="E731" s="50"/>
      <c r="F731" s="290"/>
      <c r="G731" s="290"/>
      <c r="H731" s="454"/>
      <c r="I731" s="91"/>
    </row>
    <row r="732" spans="1:11" x14ac:dyDescent="0.25">
      <c r="A732" s="48"/>
      <c r="B732" s="49"/>
      <c r="C732" s="49"/>
      <c r="D732" s="49"/>
      <c r="E732" s="50"/>
      <c r="F732" s="290"/>
      <c r="G732" s="290"/>
      <c r="H732" s="454"/>
      <c r="I732" s="91"/>
    </row>
    <row r="733" spans="1:11" x14ac:dyDescent="0.25">
      <c r="A733" s="48"/>
      <c r="B733" s="49"/>
      <c r="C733" s="49"/>
      <c r="D733" s="49"/>
      <c r="E733" s="50"/>
      <c r="F733" s="290"/>
      <c r="G733" s="290"/>
      <c r="H733" s="454"/>
      <c r="I733" s="91"/>
    </row>
    <row r="734" spans="1:11" x14ac:dyDescent="0.25">
      <c r="A734" s="48"/>
      <c r="B734" s="49"/>
      <c r="C734" s="49"/>
      <c r="D734" s="49"/>
      <c r="E734" s="50"/>
      <c r="F734" s="290"/>
      <c r="G734" s="290"/>
      <c r="H734" s="454"/>
      <c r="I734" s="91"/>
    </row>
    <row r="735" spans="1:11" x14ac:dyDescent="0.25">
      <c r="A735" s="48"/>
      <c r="B735" s="49"/>
      <c r="C735" s="49"/>
      <c r="D735" s="49"/>
      <c r="E735" s="50"/>
      <c r="F735" s="290"/>
      <c r="G735" s="290"/>
      <c r="H735" s="454"/>
      <c r="I735" s="91"/>
    </row>
    <row r="736" spans="1:11" x14ac:dyDescent="0.25">
      <c r="A736" s="48"/>
      <c r="B736" s="49"/>
      <c r="C736" s="49"/>
      <c r="D736" s="49"/>
      <c r="E736" s="50"/>
      <c r="F736" s="290"/>
      <c r="G736" s="290"/>
      <c r="H736" s="454"/>
      <c r="I736" s="91"/>
    </row>
    <row r="737" spans="1:9" x14ac:dyDescent="0.25">
      <c r="A737" s="48"/>
      <c r="B737" s="49"/>
      <c r="C737" s="49"/>
      <c r="D737" s="49"/>
      <c r="E737" s="50"/>
      <c r="F737" s="290"/>
      <c r="G737" s="290"/>
      <c r="H737" s="454"/>
      <c r="I737" s="91"/>
    </row>
    <row r="738" spans="1:9" x14ac:dyDescent="0.25">
      <c r="A738" s="48"/>
      <c r="B738" s="49"/>
      <c r="C738" s="49"/>
      <c r="D738" s="49"/>
      <c r="E738" s="50"/>
      <c r="F738" s="290"/>
      <c r="G738" s="290"/>
      <c r="H738" s="454"/>
      <c r="I738" s="91"/>
    </row>
    <row r="739" spans="1:9" x14ac:dyDescent="0.25">
      <c r="A739" s="48"/>
      <c r="B739" s="49"/>
      <c r="C739" s="49"/>
      <c r="D739" s="49"/>
      <c r="E739" s="50"/>
      <c r="F739" s="290"/>
      <c r="G739" s="290"/>
      <c r="H739" s="454"/>
      <c r="I739" s="91"/>
    </row>
    <row r="740" spans="1:9" x14ac:dyDescent="0.25">
      <c r="A740" s="48"/>
      <c r="B740" s="49"/>
      <c r="C740" s="49"/>
      <c r="D740" s="49"/>
      <c r="E740" s="50"/>
      <c r="F740" s="290"/>
      <c r="G740" s="290"/>
      <c r="H740" s="454"/>
      <c r="I740" s="91"/>
    </row>
    <row r="741" spans="1:9" x14ac:dyDescent="0.25">
      <c r="A741" s="48"/>
      <c r="B741" s="49"/>
      <c r="C741" s="49"/>
      <c r="D741" s="49"/>
      <c r="E741" s="50"/>
      <c r="F741" s="290"/>
      <c r="G741" s="290"/>
      <c r="H741" s="454"/>
      <c r="I741" s="91"/>
    </row>
    <row r="742" spans="1:9" x14ac:dyDescent="0.25">
      <c r="A742" s="48"/>
      <c r="B742" s="49"/>
      <c r="C742" s="49"/>
      <c r="D742" s="49"/>
      <c r="E742" s="50"/>
      <c r="F742" s="290"/>
      <c r="G742" s="290"/>
      <c r="H742" s="454"/>
      <c r="I742" s="91"/>
    </row>
    <row r="743" spans="1:9" x14ac:dyDescent="0.25">
      <c r="A743" s="48"/>
      <c r="B743" s="49"/>
      <c r="C743" s="49"/>
      <c r="D743" s="49"/>
      <c r="E743" s="50"/>
      <c r="F743" s="290"/>
      <c r="G743" s="290"/>
      <c r="H743" s="454"/>
      <c r="I743" s="91"/>
    </row>
    <row r="744" spans="1:9" x14ac:dyDescent="0.25">
      <c r="A744" s="48"/>
      <c r="B744" s="49"/>
      <c r="C744" s="49"/>
      <c r="D744" s="49"/>
      <c r="E744" s="50"/>
      <c r="F744" s="290"/>
      <c r="G744" s="290"/>
      <c r="H744" s="454"/>
      <c r="I744" s="91"/>
    </row>
    <row r="745" spans="1:9" x14ac:dyDescent="0.25">
      <c r="A745" s="48"/>
      <c r="B745" s="49"/>
      <c r="C745" s="49"/>
      <c r="D745" s="49"/>
      <c r="E745" s="50"/>
      <c r="F745" s="290"/>
      <c r="G745" s="290"/>
      <c r="H745" s="454"/>
      <c r="I745" s="91"/>
    </row>
    <row r="746" spans="1:9" x14ac:dyDescent="0.25">
      <c r="A746" s="48"/>
      <c r="B746" s="49"/>
      <c r="C746" s="49"/>
      <c r="D746" s="49"/>
      <c r="E746" s="50"/>
      <c r="F746" s="290"/>
      <c r="G746" s="290"/>
      <c r="H746" s="454"/>
      <c r="I746" s="91"/>
    </row>
    <row r="747" spans="1:9" x14ac:dyDescent="0.25">
      <c r="A747" s="48"/>
      <c r="B747" s="49"/>
      <c r="C747" s="49"/>
      <c r="D747" s="49"/>
      <c r="E747" s="50"/>
      <c r="F747" s="290"/>
      <c r="G747" s="290"/>
      <c r="H747" s="454"/>
      <c r="I747" s="91"/>
    </row>
    <row r="748" spans="1:9" x14ac:dyDescent="0.25">
      <c r="A748" s="48"/>
      <c r="B748" s="49"/>
      <c r="C748" s="49"/>
      <c r="D748" s="49"/>
      <c r="E748" s="50"/>
      <c r="F748" s="290"/>
      <c r="G748" s="290"/>
      <c r="H748" s="454"/>
      <c r="I748" s="91"/>
    </row>
    <row r="749" spans="1:9" x14ac:dyDescent="0.25">
      <c r="A749" s="48"/>
      <c r="B749" s="49"/>
      <c r="C749" s="49"/>
      <c r="D749" s="49"/>
      <c r="E749" s="50"/>
      <c r="F749" s="290"/>
      <c r="G749" s="290"/>
      <c r="H749" s="454"/>
      <c r="I749" s="91"/>
    </row>
    <row r="750" spans="1:9" x14ac:dyDescent="0.25">
      <c r="A750" s="48"/>
      <c r="B750" s="49"/>
      <c r="C750" s="49"/>
      <c r="D750" s="49"/>
      <c r="E750" s="50"/>
      <c r="F750" s="290"/>
      <c r="G750" s="290"/>
      <c r="H750" s="454"/>
      <c r="I750" s="91"/>
    </row>
    <row r="751" spans="1:9" x14ac:dyDescent="0.25">
      <c r="A751" s="48"/>
      <c r="B751" s="49"/>
      <c r="C751" s="49"/>
      <c r="D751" s="49"/>
      <c r="E751" s="50"/>
      <c r="F751" s="290"/>
      <c r="G751" s="290"/>
      <c r="H751" s="454"/>
      <c r="I751" s="91"/>
    </row>
    <row r="752" spans="1:9" x14ac:dyDescent="0.25">
      <c r="A752" s="48"/>
      <c r="B752" s="49"/>
      <c r="C752" s="49"/>
      <c r="D752" s="49"/>
      <c r="E752" s="50"/>
      <c r="F752" s="290"/>
      <c r="G752" s="290"/>
      <c r="H752" s="454"/>
      <c r="I752" s="91"/>
    </row>
    <row r="753" spans="1:9" x14ac:dyDescent="0.25">
      <c r="A753" s="48"/>
      <c r="B753" s="49"/>
      <c r="C753" s="49"/>
      <c r="D753" s="49"/>
      <c r="E753" s="50"/>
      <c r="F753" s="290"/>
      <c r="G753" s="290"/>
      <c r="H753" s="454"/>
      <c r="I753" s="91"/>
    </row>
    <row r="754" spans="1:9" x14ac:dyDescent="0.25">
      <c r="A754" s="48"/>
      <c r="B754" s="49"/>
      <c r="C754" s="49"/>
      <c r="D754" s="49"/>
      <c r="E754" s="50"/>
      <c r="F754" s="290"/>
      <c r="G754" s="290"/>
      <c r="H754" s="454"/>
      <c r="I754" s="91"/>
    </row>
    <row r="755" spans="1:9" x14ac:dyDescent="0.25">
      <c r="A755" s="48"/>
      <c r="B755" s="49"/>
      <c r="C755" s="49"/>
      <c r="D755" s="49"/>
      <c r="E755" s="50"/>
      <c r="F755" s="290"/>
      <c r="G755" s="290"/>
      <c r="H755" s="454"/>
      <c r="I755" s="91"/>
    </row>
    <row r="756" spans="1:9" x14ac:dyDescent="0.25">
      <c r="A756" s="48"/>
      <c r="B756" s="49"/>
      <c r="C756" s="49"/>
      <c r="D756" s="49"/>
      <c r="E756" s="50"/>
      <c r="F756" s="290"/>
      <c r="G756" s="290"/>
      <c r="H756" s="454"/>
      <c r="I756" s="91"/>
    </row>
    <row r="757" spans="1:9" x14ac:dyDescent="0.25">
      <c r="A757" s="48"/>
      <c r="B757" s="49"/>
      <c r="C757" s="49"/>
      <c r="D757" s="49"/>
      <c r="E757" s="50"/>
      <c r="F757" s="290"/>
      <c r="G757" s="290"/>
      <c r="H757" s="454"/>
      <c r="I757" s="91"/>
    </row>
    <row r="758" spans="1:9" x14ac:dyDescent="0.25">
      <c r="A758" s="48"/>
      <c r="B758" s="49"/>
      <c r="C758" s="49"/>
      <c r="D758" s="49"/>
      <c r="E758" s="50"/>
      <c r="F758" s="290"/>
      <c r="G758" s="290"/>
      <c r="H758" s="454"/>
      <c r="I758" s="91"/>
    </row>
    <row r="759" spans="1:9" x14ac:dyDescent="0.25">
      <c r="A759" s="48"/>
      <c r="B759" s="49"/>
      <c r="C759" s="49"/>
      <c r="D759" s="49"/>
      <c r="E759" s="50"/>
      <c r="F759" s="290"/>
      <c r="G759" s="290"/>
      <c r="H759" s="454"/>
      <c r="I759" s="91"/>
    </row>
    <row r="760" spans="1:9" x14ac:dyDescent="0.25">
      <c r="A760" s="48"/>
      <c r="B760" s="49"/>
      <c r="C760" s="49"/>
      <c r="D760" s="49"/>
      <c r="E760" s="50"/>
      <c r="F760" s="290"/>
      <c r="G760" s="290"/>
      <c r="H760" s="454"/>
      <c r="I760" s="91"/>
    </row>
    <row r="761" spans="1:9" x14ac:dyDescent="0.25">
      <c r="A761" s="48"/>
      <c r="B761" s="49"/>
      <c r="C761" s="49"/>
      <c r="D761" s="49"/>
      <c r="E761" s="50"/>
      <c r="F761" s="290"/>
      <c r="G761" s="290"/>
      <c r="H761" s="454"/>
      <c r="I761" s="91"/>
    </row>
    <row r="762" spans="1:9" x14ac:dyDescent="0.25">
      <c r="A762" s="48"/>
      <c r="B762" s="49"/>
      <c r="C762" s="49"/>
      <c r="D762" s="49"/>
      <c r="E762" s="50"/>
      <c r="F762" s="290"/>
      <c r="G762" s="290"/>
      <c r="H762" s="454"/>
      <c r="I762" s="91"/>
    </row>
    <row r="763" spans="1:9" x14ac:dyDescent="0.25">
      <c r="A763" s="48"/>
      <c r="B763" s="49"/>
      <c r="C763" s="49"/>
      <c r="D763" s="49"/>
      <c r="E763" s="50"/>
      <c r="F763" s="290"/>
      <c r="G763" s="290"/>
      <c r="H763" s="454"/>
      <c r="I763" s="91"/>
    </row>
    <row r="764" spans="1:9" x14ac:dyDescent="0.25">
      <c r="A764" s="48"/>
      <c r="B764" s="49"/>
      <c r="C764" s="49"/>
      <c r="D764" s="49"/>
      <c r="E764" s="50"/>
      <c r="F764" s="290"/>
      <c r="G764" s="290"/>
      <c r="H764" s="454"/>
      <c r="I764" s="91"/>
    </row>
    <row r="765" spans="1:9" x14ac:dyDescent="0.25">
      <c r="A765" s="48"/>
      <c r="B765" s="49"/>
      <c r="C765" s="49"/>
      <c r="D765" s="49"/>
      <c r="E765" s="50"/>
      <c r="F765" s="290"/>
      <c r="G765" s="290"/>
      <c r="H765" s="454"/>
      <c r="I765" s="91"/>
    </row>
    <row r="766" spans="1:9" x14ac:dyDescent="0.25">
      <c r="A766" s="48"/>
      <c r="B766" s="49"/>
      <c r="C766" s="49"/>
      <c r="D766" s="49"/>
      <c r="E766" s="50"/>
      <c r="F766" s="290"/>
      <c r="G766" s="290"/>
      <c r="H766" s="454"/>
      <c r="I766" s="91"/>
    </row>
    <row r="767" spans="1:9" x14ac:dyDescent="0.25">
      <c r="A767" s="48"/>
      <c r="B767" s="49"/>
      <c r="C767" s="49"/>
      <c r="D767" s="49"/>
      <c r="E767" s="50"/>
      <c r="F767" s="290"/>
      <c r="G767" s="290"/>
      <c r="H767" s="454"/>
      <c r="I767" s="91"/>
    </row>
    <row r="768" spans="1:9" x14ac:dyDescent="0.25">
      <c r="A768" s="48"/>
      <c r="B768" s="49"/>
      <c r="C768" s="49"/>
      <c r="D768" s="49"/>
      <c r="E768" s="50"/>
      <c r="F768" s="290"/>
      <c r="G768" s="290"/>
      <c r="H768" s="454"/>
      <c r="I768" s="91"/>
    </row>
    <row r="769" spans="1:9" x14ac:dyDescent="0.25">
      <c r="A769" s="48"/>
      <c r="B769" s="49"/>
      <c r="C769" s="49"/>
      <c r="D769" s="49"/>
      <c r="E769" s="50"/>
      <c r="F769" s="290"/>
      <c r="G769" s="290"/>
      <c r="H769" s="454"/>
      <c r="I769" s="91"/>
    </row>
    <row r="770" spans="1:9" x14ac:dyDescent="0.25">
      <c r="A770" s="48"/>
      <c r="B770" s="49"/>
      <c r="C770" s="49"/>
      <c r="D770" s="49"/>
      <c r="E770" s="50"/>
      <c r="F770" s="290"/>
      <c r="G770" s="290"/>
      <c r="H770" s="454"/>
      <c r="I770" s="91"/>
    </row>
    <row r="771" spans="1:9" x14ac:dyDescent="0.25">
      <c r="A771" s="48"/>
      <c r="B771" s="49"/>
      <c r="C771" s="49"/>
      <c r="D771" s="49"/>
      <c r="E771" s="50"/>
      <c r="F771" s="290"/>
      <c r="G771" s="290"/>
      <c r="H771" s="454"/>
      <c r="I771" s="91"/>
    </row>
    <row r="772" spans="1:9" x14ac:dyDescent="0.25">
      <c r="A772" s="48"/>
      <c r="B772" s="49"/>
      <c r="C772" s="49"/>
      <c r="D772" s="49"/>
      <c r="E772" s="50"/>
      <c r="F772" s="290"/>
      <c r="G772" s="290"/>
      <c r="H772" s="454"/>
      <c r="I772" s="91"/>
    </row>
    <row r="773" spans="1:9" x14ac:dyDescent="0.25">
      <c r="A773" s="48"/>
      <c r="B773" s="49"/>
      <c r="C773" s="49"/>
      <c r="D773" s="49"/>
      <c r="E773" s="50"/>
      <c r="F773" s="290"/>
      <c r="G773" s="290"/>
      <c r="H773" s="454"/>
      <c r="I773" s="91"/>
    </row>
    <row r="774" spans="1:9" x14ac:dyDescent="0.25">
      <c r="A774" s="48"/>
      <c r="B774" s="49"/>
      <c r="C774" s="49"/>
      <c r="D774" s="49"/>
      <c r="E774" s="50"/>
      <c r="F774" s="290"/>
      <c r="G774" s="290"/>
      <c r="H774" s="454"/>
      <c r="I774" s="91"/>
    </row>
    <row r="775" spans="1:9" x14ac:dyDescent="0.25">
      <c r="A775" s="48"/>
      <c r="B775" s="49"/>
      <c r="C775" s="49"/>
      <c r="D775" s="49"/>
      <c r="E775" s="50"/>
      <c r="F775" s="290"/>
      <c r="G775" s="290"/>
      <c r="H775" s="454"/>
      <c r="I775" s="91"/>
    </row>
    <row r="776" spans="1:9" x14ac:dyDescent="0.25">
      <c r="A776" s="48"/>
      <c r="B776" s="49"/>
      <c r="C776" s="49"/>
      <c r="D776" s="49"/>
      <c r="E776" s="50"/>
      <c r="F776" s="290"/>
      <c r="G776" s="290"/>
      <c r="H776" s="454"/>
      <c r="I776" s="91"/>
    </row>
    <row r="777" spans="1:9" x14ac:dyDescent="0.25">
      <c r="A777" s="48"/>
      <c r="B777" s="49"/>
      <c r="C777" s="49"/>
      <c r="D777" s="49"/>
      <c r="E777" s="50"/>
      <c r="F777" s="290"/>
      <c r="G777" s="290"/>
      <c r="H777" s="454"/>
      <c r="I777" s="91"/>
    </row>
    <row r="778" spans="1:9" x14ac:dyDescent="0.25">
      <c r="A778" s="48"/>
      <c r="B778" s="49"/>
      <c r="C778" s="49"/>
      <c r="D778" s="49"/>
      <c r="E778" s="50"/>
      <c r="F778" s="290"/>
      <c r="G778" s="290"/>
      <c r="H778" s="454"/>
      <c r="I778" s="91"/>
    </row>
    <row r="779" spans="1:9" x14ac:dyDescent="0.25">
      <c r="A779" s="48"/>
      <c r="B779" s="49"/>
      <c r="C779" s="49"/>
      <c r="D779" s="49"/>
      <c r="E779" s="50"/>
      <c r="F779" s="290"/>
      <c r="G779" s="290"/>
      <c r="H779" s="454"/>
      <c r="I779" s="91"/>
    </row>
    <row r="780" spans="1:9" x14ac:dyDescent="0.25">
      <c r="A780" s="48"/>
      <c r="B780" s="49"/>
      <c r="C780" s="49"/>
      <c r="D780" s="49"/>
      <c r="E780" s="50"/>
      <c r="F780" s="290"/>
      <c r="G780" s="290"/>
      <c r="H780" s="454"/>
      <c r="I780" s="91"/>
    </row>
    <row r="781" spans="1:9" x14ac:dyDescent="0.25">
      <c r="A781" s="48"/>
      <c r="B781" s="49"/>
      <c r="C781" s="49"/>
      <c r="D781" s="49"/>
      <c r="E781" s="50"/>
      <c r="F781" s="290"/>
      <c r="G781" s="290"/>
      <c r="H781" s="454"/>
      <c r="I781" s="91"/>
    </row>
    <row r="782" spans="1:9" x14ac:dyDescent="0.25">
      <c r="A782" s="48"/>
      <c r="B782" s="49"/>
      <c r="C782" s="49"/>
      <c r="D782" s="49"/>
      <c r="E782" s="50"/>
      <c r="F782" s="290"/>
      <c r="G782" s="290"/>
      <c r="H782" s="454"/>
      <c r="I782" s="91"/>
    </row>
    <row r="783" spans="1:9" x14ac:dyDescent="0.25">
      <c r="A783" s="48"/>
      <c r="B783" s="49"/>
      <c r="C783" s="49"/>
      <c r="D783" s="49"/>
      <c r="E783" s="50"/>
      <c r="F783" s="290"/>
      <c r="G783" s="290"/>
      <c r="H783" s="454"/>
      <c r="I783" s="91"/>
    </row>
    <row r="784" spans="1:9" x14ac:dyDescent="0.25">
      <c r="A784" s="48"/>
      <c r="B784" s="49"/>
      <c r="C784" s="49"/>
      <c r="D784" s="49"/>
      <c r="E784" s="50"/>
      <c r="F784" s="290"/>
      <c r="G784" s="290"/>
      <c r="H784" s="454"/>
      <c r="I784" s="91"/>
    </row>
    <row r="785" spans="1:9" x14ac:dyDescent="0.25">
      <c r="A785" s="48"/>
      <c r="B785" s="49"/>
      <c r="C785" s="49"/>
      <c r="D785" s="49"/>
      <c r="E785" s="50"/>
      <c r="F785" s="290"/>
      <c r="G785" s="290"/>
      <c r="H785" s="454"/>
      <c r="I785" s="91"/>
    </row>
    <row r="786" spans="1:9" x14ac:dyDescent="0.25">
      <c r="A786" s="48"/>
      <c r="B786" s="49"/>
      <c r="C786" s="49"/>
      <c r="D786" s="49"/>
      <c r="E786" s="50"/>
      <c r="F786" s="290"/>
      <c r="G786" s="290"/>
      <c r="H786" s="454"/>
      <c r="I786" s="91"/>
    </row>
    <row r="787" spans="1:9" x14ac:dyDescent="0.25">
      <c r="A787" s="48"/>
      <c r="B787" s="49"/>
      <c r="C787" s="49"/>
      <c r="D787" s="49"/>
      <c r="E787" s="50"/>
      <c r="F787" s="290"/>
      <c r="G787" s="290"/>
      <c r="H787" s="454"/>
      <c r="I787" s="91"/>
    </row>
    <row r="788" spans="1:9" x14ac:dyDescent="0.25">
      <c r="A788" s="48"/>
      <c r="B788" s="49"/>
      <c r="C788" s="49"/>
      <c r="D788" s="49"/>
      <c r="E788" s="50"/>
      <c r="F788" s="290"/>
      <c r="G788" s="290"/>
      <c r="H788" s="454"/>
      <c r="I788" s="91"/>
    </row>
    <row r="789" spans="1:9" x14ac:dyDescent="0.25">
      <c r="A789" s="48"/>
      <c r="B789" s="49"/>
      <c r="C789" s="49"/>
      <c r="D789" s="49"/>
      <c r="E789" s="50"/>
      <c r="F789" s="290"/>
      <c r="G789" s="290"/>
      <c r="H789" s="454"/>
      <c r="I789" s="91"/>
    </row>
    <row r="790" spans="1:9" x14ac:dyDescent="0.25">
      <c r="A790" s="48"/>
      <c r="B790" s="49"/>
      <c r="C790" s="49"/>
      <c r="D790" s="49"/>
      <c r="E790" s="50"/>
      <c r="F790" s="290"/>
      <c r="G790" s="290"/>
      <c r="H790" s="454"/>
      <c r="I790" s="91"/>
    </row>
    <row r="791" spans="1:9" x14ac:dyDescent="0.25">
      <c r="A791" s="48"/>
      <c r="B791" s="49"/>
      <c r="C791" s="49"/>
      <c r="D791" s="49"/>
      <c r="E791" s="50"/>
      <c r="F791" s="290"/>
      <c r="G791" s="290"/>
      <c r="H791" s="454"/>
      <c r="I791" s="91"/>
    </row>
    <row r="792" spans="1:9" x14ac:dyDescent="0.25">
      <c r="A792" s="48"/>
      <c r="B792" s="49"/>
      <c r="C792" s="49"/>
      <c r="D792" s="49"/>
      <c r="E792" s="50"/>
      <c r="F792" s="290"/>
      <c r="G792" s="290"/>
      <c r="H792" s="454"/>
      <c r="I792" s="91"/>
    </row>
    <row r="793" spans="1:9" x14ac:dyDescent="0.25">
      <c r="A793" s="48"/>
      <c r="B793" s="49"/>
      <c r="C793" s="49"/>
      <c r="D793" s="49"/>
      <c r="E793" s="50"/>
      <c r="F793" s="290"/>
      <c r="G793" s="290"/>
      <c r="H793" s="454"/>
      <c r="I793" s="91"/>
    </row>
    <row r="794" spans="1:9" x14ac:dyDescent="0.25">
      <c r="A794" s="48"/>
      <c r="B794" s="49"/>
      <c r="C794" s="49"/>
      <c r="D794" s="49"/>
      <c r="E794" s="50"/>
      <c r="F794" s="290"/>
      <c r="G794" s="290"/>
      <c r="H794" s="454"/>
      <c r="I794" s="91"/>
    </row>
    <row r="795" spans="1:9" x14ac:dyDescent="0.25">
      <c r="A795" s="48"/>
      <c r="B795" s="49"/>
      <c r="C795" s="49"/>
      <c r="D795" s="49"/>
      <c r="E795" s="50"/>
      <c r="F795" s="290"/>
      <c r="G795" s="290"/>
      <c r="H795" s="454"/>
      <c r="I795" s="91"/>
    </row>
    <row r="796" spans="1:9" x14ac:dyDescent="0.25">
      <c r="A796" s="48"/>
      <c r="B796" s="49"/>
      <c r="C796" s="49"/>
      <c r="D796" s="49"/>
      <c r="E796" s="50"/>
      <c r="F796" s="290"/>
      <c r="G796" s="290"/>
      <c r="H796" s="454"/>
      <c r="I796" s="91"/>
    </row>
    <row r="797" spans="1:9" x14ac:dyDescent="0.25">
      <c r="A797" s="48"/>
      <c r="B797" s="49"/>
      <c r="C797" s="49"/>
      <c r="D797" s="49"/>
      <c r="E797" s="50"/>
      <c r="F797" s="290"/>
      <c r="G797" s="290"/>
      <c r="H797" s="454"/>
      <c r="I797" s="91"/>
    </row>
    <row r="798" spans="1:9" x14ac:dyDescent="0.25">
      <c r="A798" s="48"/>
      <c r="B798" s="49"/>
      <c r="C798" s="49"/>
      <c r="D798" s="49"/>
      <c r="E798" s="50"/>
      <c r="F798" s="290"/>
      <c r="G798" s="290"/>
      <c r="H798" s="454"/>
      <c r="I798" s="91"/>
    </row>
    <row r="799" spans="1:9" x14ac:dyDescent="0.25">
      <c r="A799" s="48"/>
      <c r="B799" s="49"/>
      <c r="C799" s="49"/>
      <c r="D799" s="49"/>
      <c r="E799" s="50"/>
      <c r="F799" s="290"/>
      <c r="G799" s="290"/>
      <c r="H799" s="454"/>
      <c r="I799" s="91"/>
    </row>
    <row r="800" spans="1:9" x14ac:dyDescent="0.25">
      <c r="A800" s="48"/>
      <c r="B800" s="49"/>
      <c r="C800" s="49"/>
      <c r="D800" s="49"/>
      <c r="E800" s="50"/>
      <c r="F800" s="290"/>
      <c r="G800" s="290"/>
      <c r="H800" s="454"/>
      <c r="I800" s="91"/>
    </row>
    <row r="801" spans="1:9" x14ac:dyDescent="0.25">
      <c r="A801" s="48"/>
      <c r="B801" s="49"/>
      <c r="C801" s="49"/>
      <c r="D801" s="49"/>
      <c r="E801" s="50"/>
      <c r="F801" s="290"/>
      <c r="G801" s="290"/>
      <c r="H801" s="454"/>
      <c r="I801" s="91"/>
    </row>
    <row r="802" spans="1:9" x14ac:dyDescent="0.25">
      <c r="A802" s="48"/>
      <c r="B802" s="49"/>
      <c r="C802" s="49"/>
      <c r="D802" s="49"/>
      <c r="E802" s="50"/>
      <c r="F802" s="290"/>
      <c r="G802" s="290"/>
      <c r="H802" s="454"/>
      <c r="I802" s="91"/>
    </row>
    <row r="803" spans="1:9" x14ac:dyDescent="0.25">
      <c r="A803" s="48"/>
      <c r="B803" s="49"/>
      <c r="C803" s="49"/>
      <c r="D803" s="49"/>
      <c r="E803" s="50"/>
      <c r="F803" s="290"/>
      <c r="G803" s="290"/>
      <c r="H803" s="454"/>
      <c r="I803" s="91"/>
    </row>
    <row r="804" spans="1:9" x14ac:dyDescent="0.25">
      <c r="A804" s="48"/>
      <c r="B804" s="49"/>
      <c r="C804" s="49"/>
      <c r="D804" s="49"/>
      <c r="E804" s="50"/>
      <c r="F804" s="290"/>
      <c r="G804" s="290"/>
      <c r="H804" s="454"/>
      <c r="I804" s="91"/>
    </row>
    <row r="805" spans="1:9" x14ac:dyDescent="0.25">
      <c r="A805" s="48"/>
      <c r="B805" s="49"/>
      <c r="C805" s="49"/>
      <c r="D805" s="49"/>
      <c r="E805" s="50"/>
      <c r="F805" s="290"/>
      <c r="G805" s="290"/>
      <c r="H805" s="454"/>
      <c r="I805" s="91"/>
    </row>
    <row r="806" spans="1:9" x14ac:dyDescent="0.25">
      <c r="A806" s="48"/>
      <c r="B806" s="49"/>
      <c r="C806" s="49"/>
      <c r="D806" s="49"/>
      <c r="E806" s="50"/>
      <c r="F806" s="290"/>
      <c r="G806" s="290"/>
      <c r="H806" s="454"/>
      <c r="I806" s="91"/>
    </row>
    <row r="807" spans="1:9" x14ac:dyDescent="0.25">
      <c r="A807" s="48"/>
      <c r="B807" s="49"/>
      <c r="C807" s="49"/>
      <c r="D807" s="49"/>
      <c r="E807" s="50"/>
      <c r="F807" s="290"/>
      <c r="G807" s="290"/>
      <c r="H807" s="454"/>
      <c r="I807" s="91"/>
    </row>
    <row r="808" spans="1:9" x14ac:dyDescent="0.25">
      <c r="A808" s="48"/>
      <c r="B808" s="49"/>
      <c r="C808" s="49"/>
      <c r="D808" s="49"/>
      <c r="E808" s="50"/>
      <c r="F808" s="290"/>
      <c r="G808" s="290"/>
      <c r="H808" s="454"/>
      <c r="I808" s="91"/>
    </row>
    <row r="809" spans="1:9" x14ac:dyDescent="0.25">
      <c r="A809" s="48"/>
      <c r="B809" s="49"/>
      <c r="C809" s="49"/>
      <c r="D809" s="49"/>
      <c r="E809" s="50"/>
      <c r="F809" s="290"/>
      <c r="G809" s="290"/>
      <c r="H809" s="454"/>
      <c r="I809" s="91"/>
    </row>
    <row r="810" spans="1:9" x14ac:dyDescent="0.25">
      <c r="A810" s="48"/>
      <c r="B810" s="49"/>
      <c r="C810" s="49"/>
      <c r="D810" s="49"/>
      <c r="E810" s="50"/>
      <c r="F810" s="290"/>
      <c r="G810" s="290"/>
      <c r="H810" s="454"/>
      <c r="I810" s="91"/>
    </row>
    <row r="811" spans="1:9" x14ac:dyDescent="0.25">
      <c r="A811" s="48"/>
      <c r="B811" s="49"/>
      <c r="C811" s="49"/>
      <c r="D811" s="49"/>
      <c r="E811" s="50"/>
      <c r="F811" s="290"/>
      <c r="G811" s="290"/>
      <c r="H811" s="454"/>
      <c r="I811" s="91"/>
    </row>
    <row r="812" spans="1:9" x14ac:dyDescent="0.25">
      <c r="A812" s="48"/>
      <c r="B812" s="49"/>
      <c r="C812" s="49"/>
      <c r="D812" s="49"/>
      <c r="E812" s="50"/>
      <c r="F812" s="290"/>
      <c r="G812" s="290"/>
      <c r="H812" s="454"/>
      <c r="I812" s="91"/>
    </row>
    <row r="813" spans="1:9" x14ac:dyDescent="0.25">
      <c r="A813" s="48"/>
      <c r="B813" s="49"/>
      <c r="C813" s="49"/>
      <c r="D813" s="49"/>
      <c r="E813" s="50"/>
      <c r="F813" s="290"/>
      <c r="G813" s="290"/>
      <c r="H813" s="454"/>
      <c r="I813" s="91"/>
    </row>
    <row r="814" spans="1:9" x14ac:dyDescent="0.25">
      <c r="A814" s="48"/>
      <c r="B814" s="49"/>
      <c r="C814" s="49"/>
      <c r="D814" s="49"/>
      <c r="E814" s="50"/>
      <c r="F814" s="290"/>
      <c r="G814" s="290"/>
      <c r="H814" s="454"/>
      <c r="I814" s="91"/>
    </row>
    <row r="815" spans="1:9" x14ac:dyDescent="0.25">
      <c r="A815" s="48"/>
      <c r="B815" s="49"/>
      <c r="C815" s="49"/>
      <c r="D815" s="49"/>
      <c r="E815" s="50"/>
      <c r="F815" s="290"/>
      <c r="G815" s="290"/>
      <c r="H815" s="454"/>
      <c r="I815" s="91"/>
    </row>
    <row r="816" spans="1:9" x14ac:dyDescent="0.25">
      <c r="A816" s="48"/>
      <c r="B816" s="49"/>
      <c r="C816" s="49"/>
      <c r="D816" s="49"/>
      <c r="E816" s="50"/>
      <c r="F816" s="290"/>
      <c r="G816" s="290"/>
      <c r="H816" s="454"/>
      <c r="I816" s="91"/>
    </row>
    <row r="817" spans="1:9" x14ac:dyDescent="0.25">
      <c r="A817" s="48"/>
      <c r="B817" s="49"/>
      <c r="C817" s="49"/>
      <c r="D817" s="49"/>
      <c r="E817" s="50"/>
      <c r="F817" s="290"/>
      <c r="G817" s="290"/>
      <c r="H817" s="454"/>
      <c r="I817" s="91"/>
    </row>
    <row r="818" spans="1:9" x14ac:dyDescent="0.25">
      <c r="A818" s="48"/>
      <c r="B818" s="49"/>
      <c r="C818" s="49"/>
      <c r="D818" s="49"/>
      <c r="E818" s="50"/>
      <c r="F818" s="290"/>
      <c r="G818" s="290"/>
      <c r="H818" s="454"/>
      <c r="I818" s="91"/>
    </row>
    <row r="819" spans="1:9" x14ac:dyDescent="0.25">
      <c r="A819" s="48"/>
      <c r="B819" s="49"/>
      <c r="C819" s="49"/>
      <c r="D819" s="49"/>
      <c r="E819" s="50"/>
      <c r="F819" s="290"/>
      <c r="G819" s="290"/>
      <c r="H819" s="454"/>
      <c r="I819" s="91"/>
    </row>
    <row r="820" spans="1:9" x14ac:dyDescent="0.25">
      <c r="A820" s="48"/>
      <c r="B820" s="49"/>
      <c r="C820" s="49"/>
      <c r="D820" s="49"/>
      <c r="E820" s="50"/>
      <c r="F820" s="290"/>
      <c r="G820" s="290"/>
      <c r="H820" s="454"/>
      <c r="I820" s="91"/>
    </row>
    <row r="821" spans="1:9" x14ac:dyDescent="0.25">
      <c r="A821" s="48"/>
      <c r="B821" s="49"/>
      <c r="C821" s="49"/>
      <c r="D821" s="49"/>
      <c r="E821" s="50"/>
      <c r="F821" s="290"/>
      <c r="G821" s="290"/>
      <c r="H821" s="454"/>
      <c r="I821" s="91"/>
    </row>
    <row r="822" spans="1:9" x14ac:dyDescent="0.25">
      <c r="A822" s="48"/>
      <c r="B822" s="49"/>
      <c r="C822" s="49"/>
      <c r="D822" s="49"/>
      <c r="E822" s="50"/>
      <c r="F822" s="290"/>
      <c r="G822" s="290"/>
      <c r="H822" s="454"/>
      <c r="I822" s="91"/>
    </row>
    <row r="823" spans="1:9" x14ac:dyDescent="0.25">
      <c r="A823" s="48"/>
      <c r="B823" s="49"/>
      <c r="C823" s="49"/>
      <c r="D823" s="49"/>
      <c r="E823" s="50"/>
      <c r="F823" s="290"/>
      <c r="G823" s="290"/>
      <c r="H823" s="454"/>
      <c r="I823" s="91"/>
    </row>
    <row r="824" spans="1:9" x14ac:dyDescent="0.25">
      <c r="A824" s="48"/>
      <c r="B824" s="49"/>
      <c r="C824" s="49"/>
      <c r="D824" s="49"/>
      <c r="E824" s="50"/>
      <c r="F824" s="290"/>
      <c r="G824" s="290"/>
      <c r="H824" s="454"/>
      <c r="I824" s="91"/>
    </row>
    <row r="825" spans="1:9" x14ac:dyDescent="0.25">
      <c r="A825" s="48"/>
      <c r="B825" s="49"/>
      <c r="C825" s="49"/>
      <c r="D825" s="49"/>
      <c r="E825" s="50"/>
      <c r="F825" s="290"/>
      <c r="G825" s="290"/>
      <c r="H825" s="454"/>
      <c r="I825" s="91"/>
    </row>
    <row r="826" spans="1:9" x14ac:dyDescent="0.25">
      <c r="A826" s="48"/>
      <c r="B826" s="49"/>
      <c r="C826" s="49"/>
      <c r="D826" s="49"/>
      <c r="E826" s="50"/>
      <c r="F826" s="290"/>
      <c r="G826" s="290"/>
      <c r="H826" s="454"/>
      <c r="I826" s="91"/>
    </row>
    <row r="827" spans="1:9" x14ac:dyDescent="0.25">
      <c r="A827" s="48"/>
      <c r="B827" s="49"/>
      <c r="C827" s="49"/>
      <c r="D827" s="49"/>
      <c r="E827" s="50"/>
      <c r="F827" s="290"/>
      <c r="G827" s="290"/>
      <c r="H827" s="454"/>
      <c r="I827" s="91"/>
    </row>
    <row r="828" spans="1:9" x14ac:dyDescent="0.25">
      <c r="A828" s="48"/>
      <c r="B828" s="49"/>
      <c r="C828" s="49"/>
      <c r="D828" s="49"/>
      <c r="E828" s="50"/>
      <c r="F828" s="290"/>
      <c r="G828" s="290"/>
      <c r="H828" s="454"/>
      <c r="I828" s="91"/>
    </row>
    <row r="829" spans="1:9" x14ac:dyDescent="0.25">
      <c r="A829" s="48"/>
      <c r="B829" s="49"/>
      <c r="C829" s="49"/>
      <c r="D829" s="49"/>
      <c r="E829" s="50"/>
      <c r="F829" s="290"/>
      <c r="G829" s="290"/>
      <c r="H829" s="454"/>
      <c r="I829" s="91"/>
    </row>
    <row r="830" spans="1:9" x14ac:dyDescent="0.25">
      <c r="A830" s="48"/>
      <c r="B830" s="49"/>
      <c r="C830" s="49"/>
      <c r="D830" s="49"/>
      <c r="E830" s="50"/>
      <c r="F830" s="290"/>
      <c r="G830" s="290"/>
      <c r="H830" s="454"/>
      <c r="I830" s="91"/>
    </row>
    <row r="831" spans="1:9" x14ac:dyDescent="0.25">
      <c r="A831" s="48"/>
      <c r="B831" s="49"/>
      <c r="C831" s="49"/>
      <c r="D831" s="49"/>
      <c r="E831" s="50"/>
      <c r="F831" s="290"/>
      <c r="G831" s="290"/>
      <c r="H831" s="454"/>
      <c r="I831" s="91"/>
    </row>
    <row r="832" spans="1:9" x14ac:dyDescent="0.25">
      <c r="A832" s="48"/>
      <c r="B832" s="49"/>
      <c r="C832" s="49"/>
      <c r="D832" s="49"/>
      <c r="E832" s="50"/>
      <c r="F832" s="290"/>
      <c r="G832" s="290"/>
      <c r="H832" s="454"/>
      <c r="I832" s="91"/>
    </row>
    <row r="833" spans="1:9" x14ac:dyDescent="0.25">
      <c r="A833" s="48"/>
      <c r="B833" s="49"/>
      <c r="C833" s="49"/>
      <c r="D833" s="49"/>
      <c r="E833" s="50"/>
      <c r="F833" s="290"/>
      <c r="G833" s="290"/>
      <c r="H833" s="454"/>
      <c r="I833" s="91"/>
    </row>
    <row r="834" spans="1:9" x14ac:dyDescent="0.25">
      <c r="A834" s="48"/>
      <c r="B834" s="49"/>
      <c r="C834" s="49"/>
      <c r="D834" s="49"/>
      <c r="E834" s="50"/>
      <c r="F834" s="290"/>
      <c r="G834" s="290"/>
      <c r="H834" s="454"/>
      <c r="I834" s="91"/>
    </row>
    <row r="835" spans="1:9" x14ac:dyDescent="0.25">
      <c r="A835" s="48"/>
      <c r="B835" s="49"/>
      <c r="C835" s="49"/>
      <c r="D835" s="49"/>
      <c r="E835" s="50"/>
      <c r="F835" s="290"/>
      <c r="G835" s="290"/>
      <c r="H835" s="454"/>
      <c r="I835" s="91"/>
    </row>
    <row r="836" spans="1:9" x14ac:dyDescent="0.25">
      <c r="A836" s="48"/>
      <c r="B836" s="49"/>
      <c r="C836" s="49"/>
      <c r="D836" s="49"/>
      <c r="E836" s="50"/>
      <c r="F836" s="290"/>
      <c r="G836" s="290"/>
      <c r="H836" s="454"/>
      <c r="I836" s="91"/>
    </row>
    <row r="837" spans="1:9" x14ac:dyDescent="0.25">
      <c r="A837" s="48"/>
      <c r="B837" s="49"/>
      <c r="C837" s="49"/>
      <c r="D837" s="49"/>
      <c r="E837" s="50"/>
      <c r="F837" s="290"/>
      <c r="G837" s="290"/>
      <c r="H837" s="454"/>
      <c r="I837" s="91"/>
    </row>
    <row r="838" spans="1:9" x14ac:dyDescent="0.25">
      <c r="A838" s="48"/>
      <c r="B838" s="49"/>
      <c r="C838" s="49"/>
      <c r="D838" s="49"/>
      <c r="E838" s="50"/>
      <c r="F838" s="290"/>
      <c r="G838" s="290"/>
      <c r="H838" s="454"/>
      <c r="I838" s="91"/>
    </row>
    <row r="839" spans="1:9" x14ac:dyDescent="0.25">
      <c r="A839" s="48"/>
      <c r="B839" s="49"/>
      <c r="C839" s="49"/>
      <c r="D839" s="49"/>
      <c r="E839" s="50"/>
      <c r="F839" s="290"/>
      <c r="G839" s="290"/>
      <c r="H839" s="454"/>
      <c r="I839" s="91"/>
    </row>
    <row r="840" spans="1:9" x14ac:dyDescent="0.25">
      <c r="A840" s="48"/>
      <c r="B840" s="49"/>
      <c r="C840" s="49"/>
      <c r="D840" s="49"/>
      <c r="E840" s="50"/>
      <c r="F840" s="290"/>
      <c r="G840" s="290"/>
      <c r="H840" s="454"/>
      <c r="I840" s="91"/>
    </row>
    <row r="841" spans="1:9" x14ac:dyDescent="0.25">
      <c r="A841" s="48"/>
      <c r="B841" s="49"/>
      <c r="C841" s="49"/>
      <c r="D841" s="49"/>
      <c r="E841" s="50"/>
      <c r="F841" s="290"/>
      <c r="G841" s="290"/>
      <c r="H841" s="454"/>
      <c r="I841" s="91"/>
    </row>
    <row r="842" spans="1:9" x14ac:dyDescent="0.25">
      <c r="A842" s="48"/>
      <c r="B842" s="49"/>
      <c r="C842" s="49"/>
      <c r="D842" s="49"/>
      <c r="E842" s="50"/>
      <c r="F842" s="290"/>
      <c r="G842" s="290"/>
      <c r="H842" s="454"/>
      <c r="I842" s="91"/>
    </row>
    <row r="843" spans="1:9" x14ac:dyDescent="0.25">
      <c r="A843" s="48"/>
      <c r="B843" s="49"/>
      <c r="C843" s="49"/>
      <c r="D843" s="49"/>
      <c r="E843" s="50"/>
      <c r="F843" s="290"/>
      <c r="G843" s="290"/>
      <c r="H843" s="454"/>
      <c r="I843" s="91"/>
    </row>
    <row r="844" spans="1:9" x14ac:dyDescent="0.25">
      <c r="A844" s="48"/>
      <c r="B844" s="49"/>
      <c r="C844" s="49"/>
      <c r="D844" s="49"/>
      <c r="E844" s="50"/>
      <c r="F844" s="290"/>
      <c r="G844" s="290"/>
      <c r="H844" s="454"/>
      <c r="I844" s="91"/>
    </row>
    <row r="845" spans="1:9" x14ac:dyDescent="0.25">
      <c r="A845" s="48"/>
      <c r="B845" s="49"/>
      <c r="C845" s="49"/>
      <c r="D845" s="49"/>
      <c r="E845" s="50"/>
      <c r="F845" s="290"/>
      <c r="G845" s="290"/>
      <c r="H845" s="454"/>
      <c r="I845" s="91"/>
    </row>
    <row r="846" spans="1:9" x14ac:dyDescent="0.25">
      <c r="A846" s="48"/>
      <c r="B846" s="49"/>
      <c r="C846" s="49"/>
      <c r="D846" s="49"/>
      <c r="E846" s="50"/>
      <c r="F846" s="290"/>
      <c r="G846" s="290"/>
      <c r="H846" s="454"/>
      <c r="I846" s="91"/>
    </row>
    <row r="847" spans="1:9" x14ac:dyDescent="0.25">
      <c r="A847" s="48"/>
      <c r="B847" s="49"/>
      <c r="C847" s="49"/>
      <c r="D847" s="49"/>
      <c r="E847" s="50"/>
      <c r="F847" s="290"/>
      <c r="G847" s="290"/>
      <c r="H847" s="454"/>
      <c r="I847" s="91"/>
    </row>
    <row r="848" spans="1:9" x14ac:dyDescent="0.25">
      <c r="A848" s="48"/>
      <c r="B848" s="49"/>
      <c r="C848" s="49"/>
      <c r="D848" s="49"/>
      <c r="E848" s="50"/>
      <c r="F848" s="290"/>
      <c r="G848" s="290"/>
      <c r="H848" s="454"/>
      <c r="I848" s="91"/>
    </row>
    <row r="849" spans="1:9" x14ac:dyDescent="0.25">
      <c r="A849" s="48"/>
      <c r="B849" s="49"/>
      <c r="C849" s="49"/>
      <c r="D849" s="49"/>
      <c r="E849" s="50"/>
      <c r="F849" s="290"/>
      <c r="G849" s="290"/>
      <c r="H849" s="454"/>
      <c r="I849" s="91"/>
    </row>
    <row r="850" spans="1:9" x14ac:dyDescent="0.25">
      <c r="A850" s="48"/>
      <c r="B850" s="49"/>
      <c r="C850" s="49"/>
      <c r="D850" s="49"/>
      <c r="E850" s="50"/>
      <c r="F850" s="290"/>
      <c r="G850" s="290"/>
      <c r="H850" s="454"/>
      <c r="I850" s="91"/>
    </row>
    <row r="851" spans="1:9" x14ac:dyDescent="0.25">
      <c r="A851" s="48"/>
      <c r="B851" s="49"/>
      <c r="C851" s="49"/>
      <c r="D851" s="49"/>
      <c r="E851" s="50"/>
      <c r="F851" s="290"/>
      <c r="G851" s="290"/>
      <c r="H851" s="454"/>
      <c r="I851" s="91"/>
    </row>
    <row r="852" spans="1:9" x14ac:dyDescent="0.25">
      <c r="A852" s="48"/>
      <c r="B852" s="49"/>
      <c r="C852" s="49"/>
      <c r="D852" s="49"/>
      <c r="E852" s="50"/>
      <c r="F852" s="290"/>
      <c r="G852" s="290"/>
      <c r="H852" s="454"/>
      <c r="I852" s="91"/>
    </row>
    <row r="853" spans="1:9" x14ac:dyDescent="0.25">
      <c r="A853" s="48"/>
      <c r="B853" s="49"/>
      <c r="C853" s="49"/>
      <c r="D853" s="49"/>
      <c r="E853" s="50"/>
      <c r="F853" s="290"/>
      <c r="G853" s="290"/>
      <c r="H853" s="454"/>
      <c r="I853" s="91"/>
    </row>
    <row r="854" spans="1:9" x14ac:dyDescent="0.25">
      <c r="A854" s="48"/>
      <c r="B854" s="49"/>
      <c r="C854" s="49"/>
      <c r="D854" s="49"/>
      <c r="E854" s="50"/>
      <c r="F854" s="290"/>
      <c r="G854" s="290"/>
      <c r="H854" s="454"/>
      <c r="I854" s="91"/>
    </row>
    <row r="855" spans="1:9" x14ac:dyDescent="0.25">
      <c r="A855" s="48"/>
      <c r="B855" s="49"/>
      <c r="C855" s="49"/>
      <c r="D855" s="49"/>
      <c r="E855" s="50"/>
      <c r="F855" s="290"/>
      <c r="G855" s="290"/>
      <c r="H855" s="454"/>
      <c r="I855" s="91"/>
    </row>
    <row r="856" spans="1:9" x14ac:dyDescent="0.25">
      <c r="A856" s="48"/>
      <c r="B856" s="49"/>
      <c r="C856" s="49"/>
      <c r="D856" s="49"/>
      <c r="E856" s="50"/>
      <c r="F856" s="290"/>
      <c r="G856" s="290"/>
      <c r="H856" s="454"/>
      <c r="I856" s="91"/>
    </row>
    <row r="857" spans="1:9" x14ac:dyDescent="0.25">
      <c r="A857" s="48"/>
      <c r="B857" s="49"/>
      <c r="C857" s="49"/>
      <c r="D857" s="49"/>
      <c r="E857" s="50"/>
      <c r="F857" s="290"/>
      <c r="G857" s="290"/>
      <c r="H857" s="454"/>
      <c r="I857" s="91"/>
    </row>
    <row r="858" spans="1:9" x14ac:dyDescent="0.25">
      <c r="A858" s="48"/>
      <c r="B858" s="49"/>
      <c r="C858" s="49"/>
      <c r="D858" s="49"/>
      <c r="E858" s="50"/>
      <c r="F858" s="290"/>
      <c r="G858" s="290"/>
      <c r="H858" s="454"/>
      <c r="I858" s="91"/>
    </row>
    <row r="859" spans="1:9" x14ac:dyDescent="0.25">
      <c r="A859" s="48"/>
      <c r="B859" s="49"/>
      <c r="C859" s="49"/>
      <c r="D859" s="49"/>
      <c r="E859" s="50"/>
      <c r="F859" s="290"/>
      <c r="G859" s="290"/>
      <c r="H859" s="454"/>
      <c r="I859" s="91"/>
    </row>
    <row r="860" spans="1:9" x14ac:dyDescent="0.25">
      <c r="A860" s="48"/>
      <c r="B860" s="49"/>
      <c r="C860" s="49"/>
      <c r="D860" s="49"/>
      <c r="E860" s="50"/>
      <c r="F860" s="290"/>
      <c r="G860" s="290"/>
      <c r="H860" s="454"/>
      <c r="I860" s="91"/>
    </row>
    <row r="861" spans="1:9" x14ac:dyDescent="0.25">
      <c r="A861" s="48"/>
      <c r="B861" s="49"/>
      <c r="C861" s="49"/>
      <c r="D861" s="49"/>
      <c r="E861" s="50"/>
      <c r="F861" s="290"/>
      <c r="G861" s="290"/>
      <c r="H861" s="454"/>
      <c r="I861" s="91"/>
    </row>
    <row r="862" spans="1:9" x14ac:dyDescent="0.25">
      <c r="A862" s="48"/>
      <c r="B862" s="49"/>
      <c r="C862" s="49"/>
      <c r="D862" s="49"/>
      <c r="E862" s="50"/>
      <c r="F862" s="290"/>
      <c r="G862" s="290"/>
      <c r="H862" s="454"/>
      <c r="I862" s="91"/>
    </row>
    <row r="863" spans="1:9" x14ac:dyDescent="0.25">
      <c r="A863" s="48"/>
      <c r="B863" s="49"/>
      <c r="C863" s="49"/>
      <c r="D863" s="49"/>
      <c r="E863" s="50"/>
      <c r="F863" s="290"/>
      <c r="G863" s="290"/>
      <c r="H863" s="454"/>
      <c r="I863" s="91"/>
    </row>
    <row r="864" spans="1:9" x14ac:dyDescent="0.25">
      <c r="A864" s="48"/>
      <c r="B864" s="49"/>
      <c r="C864" s="49"/>
      <c r="D864" s="49"/>
      <c r="E864" s="50"/>
      <c r="F864" s="290"/>
      <c r="G864" s="290"/>
      <c r="H864" s="454"/>
      <c r="I864" s="91"/>
    </row>
    <row r="865" spans="1:9" x14ac:dyDescent="0.25">
      <c r="A865" s="48"/>
      <c r="B865" s="49"/>
      <c r="C865" s="49"/>
      <c r="D865" s="49"/>
      <c r="E865" s="50"/>
      <c r="F865" s="290"/>
      <c r="G865" s="290"/>
      <c r="H865" s="454"/>
      <c r="I865" s="91"/>
    </row>
    <row r="866" spans="1:9" x14ac:dyDescent="0.25">
      <c r="A866" s="48"/>
      <c r="B866" s="49"/>
      <c r="C866" s="49"/>
      <c r="D866" s="49"/>
      <c r="E866" s="50"/>
      <c r="F866" s="290"/>
      <c r="G866" s="290"/>
      <c r="H866" s="454"/>
      <c r="I866" s="91"/>
    </row>
    <row r="867" spans="1:9" x14ac:dyDescent="0.25">
      <c r="A867" s="48"/>
      <c r="B867" s="49"/>
      <c r="C867" s="49"/>
      <c r="D867" s="49"/>
      <c r="E867" s="50"/>
      <c r="F867" s="290"/>
      <c r="G867" s="290"/>
      <c r="H867" s="454"/>
      <c r="I867" s="91"/>
    </row>
    <row r="868" spans="1:9" x14ac:dyDescent="0.25">
      <c r="A868" s="48"/>
      <c r="B868" s="49"/>
      <c r="C868" s="49"/>
      <c r="D868" s="49"/>
      <c r="E868" s="50"/>
      <c r="F868" s="290"/>
      <c r="G868" s="290"/>
      <c r="H868" s="454"/>
      <c r="I868" s="91"/>
    </row>
    <row r="869" spans="1:9" x14ac:dyDescent="0.25">
      <c r="A869" s="48"/>
      <c r="B869" s="49"/>
      <c r="C869" s="49"/>
      <c r="D869" s="49"/>
      <c r="E869" s="50"/>
      <c r="F869" s="290"/>
      <c r="G869" s="290"/>
      <c r="H869" s="454"/>
      <c r="I869" s="91"/>
    </row>
    <row r="870" spans="1:9" x14ac:dyDescent="0.25">
      <c r="A870" s="48"/>
      <c r="B870" s="49"/>
      <c r="C870" s="49"/>
      <c r="D870" s="49"/>
      <c r="E870" s="50"/>
      <c r="F870" s="290"/>
      <c r="G870" s="290"/>
      <c r="H870" s="454"/>
      <c r="I870" s="91"/>
    </row>
    <row r="871" spans="1:9" x14ac:dyDescent="0.25">
      <c r="A871" s="48"/>
      <c r="B871" s="49"/>
      <c r="C871" s="49"/>
      <c r="D871" s="49"/>
      <c r="E871" s="50"/>
      <c r="F871" s="290"/>
      <c r="G871" s="290"/>
      <c r="H871" s="454"/>
      <c r="I871" s="91"/>
    </row>
    <row r="872" spans="1:9" x14ac:dyDescent="0.25">
      <c r="A872" s="48"/>
      <c r="B872" s="49"/>
      <c r="C872" s="49"/>
      <c r="D872" s="49"/>
      <c r="E872" s="50"/>
      <c r="F872" s="290"/>
      <c r="G872" s="290"/>
      <c r="H872" s="454"/>
      <c r="I872" s="91"/>
    </row>
    <row r="873" spans="1:9" x14ac:dyDescent="0.25">
      <c r="A873" s="48"/>
      <c r="B873" s="49"/>
      <c r="C873" s="49"/>
      <c r="D873" s="49"/>
      <c r="E873" s="50"/>
      <c r="F873" s="290"/>
      <c r="G873" s="290"/>
      <c r="H873" s="454"/>
      <c r="I873" s="91"/>
    </row>
    <row r="874" spans="1:9" x14ac:dyDescent="0.25">
      <c r="A874" s="48"/>
      <c r="B874" s="49"/>
      <c r="C874" s="49"/>
      <c r="D874" s="49"/>
      <c r="E874" s="50"/>
      <c r="F874" s="290"/>
      <c r="G874" s="290"/>
      <c r="H874" s="454"/>
      <c r="I874" s="91"/>
    </row>
    <row r="875" spans="1:9" x14ac:dyDescent="0.25">
      <c r="A875" s="48"/>
      <c r="B875" s="49"/>
      <c r="C875" s="49"/>
      <c r="D875" s="49"/>
      <c r="E875" s="50"/>
      <c r="F875" s="290"/>
      <c r="G875" s="290"/>
      <c r="H875" s="454"/>
      <c r="I875" s="91"/>
    </row>
    <row r="876" spans="1:9" x14ac:dyDescent="0.25">
      <c r="A876" s="48"/>
      <c r="B876" s="49"/>
      <c r="C876" s="49"/>
      <c r="D876" s="49"/>
      <c r="E876" s="50"/>
      <c r="F876" s="290"/>
      <c r="G876" s="290"/>
      <c r="H876" s="454"/>
      <c r="I876" s="91"/>
    </row>
    <row r="877" spans="1:9" x14ac:dyDescent="0.25">
      <c r="A877" s="48"/>
      <c r="B877" s="49"/>
      <c r="C877" s="49"/>
      <c r="D877" s="49"/>
      <c r="E877" s="50"/>
      <c r="F877" s="290"/>
      <c r="G877" s="290"/>
      <c r="H877" s="454"/>
      <c r="I877" s="91"/>
    </row>
    <row r="878" spans="1:9" x14ac:dyDescent="0.25">
      <c r="A878" s="48"/>
      <c r="B878" s="49"/>
      <c r="C878" s="49"/>
      <c r="D878" s="49"/>
      <c r="E878" s="50"/>
      <c r="F878" s="290"/>
      <c r="G878" s="290"/>
      <c r="H878" s="454"/>
      <c r="I878" s="91"/>
    </row>
    <row r="879" spans="1:9" x14ac:dyDescent="0.25">
      <c r="A879" s="48"/>
      <c r="B879" s="49"/>
      <c r="C879" s="49"/>
      <c r="D879" s="49"/>
      <c r="E879" s="50"/>
      <c r="F879" s="290"/>
      <c r="G879" s="290"/>
      <c r="H879" s="454"/>
      <c r="I879" s="91"/>
    </row>
    <row r="880" spans="1:9" x14ac:dyDescent="0.25">
      <c r="A880" s="48"/>
      <c r="B880" s="49"/>
      <c r="C880" s="49"/>
      <c r="D880" s="49"/>
      <c r="E880" s="50"/>
      <c r="F880" s="290"/>
      <c r="G880" s="290"/>
      <c r="H880" s="454"/>
      <c r="I880" s="91"/>
    </row>
    <row r="881" spans="1:9" x14ac:dyDescent="0.25">
      <c r="A881" s="48"/>
      <c r="B881" s="49"/>
      <c r="C881" s="49"/>
      <c r="D881" s="49"/>
      <c r="E881" s="50"/>
      <c r="F881" s="290"/>
      <c r="G881" s="290"/>
      <c r="H881" s="454"/>
      <c r="I881" s="91"/>
    </row>
    <row r="882" spans="1:9" x14ac:dyDescent="0.25">
      <c r="A882" s="48"/>
      <c r="B882" s="49"/>
      <c r="C882" s="49"/>
      <c r="D882" s="49"/>
      <c r="E882" s="50"/>
      <c r="F882" s="290"/>
      <c r="G882" s="290"/>
      <c r="H882" s="454"/>
      <c r="I882" s="91"/>
    </row>
    <row r="883" spans="1:9" x14ac:dyDescent="0.25">
      <c r="A883" s="48"/>
      <c r="B883" s="49"/>
      <c r="C883" s="49"/>
      <c r="D883" s="49"/>
      <c r="E883" s="50"/>
      <c r="F883" s="290"/>
      <c r="G883" s="290"/>
      <c r="H883" s="454"/>
      <c r="I883" s="91"/>
    </row>
    <row r="884" spans="1:9" x14ac:dyDescent="0.25">
      <c r="A884" s="48"/>
      <c r="B884" s="49"/>
      <c r="C884" s="49"/>
      <c r="D884" s="49"/>
      <c r="E884" s="50"/>
      <c r="F884" s="290"/>
      <c r="G884" s="290"/>
      <c r="H884" s="454"/>
      <c r="I884" s="91"/>
    </row>
    <row r="885" spans="1:9" x14ac:dyDescent="0.25">
      <c r="A885" s="48"/>
      <c r="B885" s="49"/>
      <c r="C885" s="49"/>
      <c r="D885" s="49"/>
      <c r="E885" s="50"/>
      <c r="F885" s="290"/>
      <c r="G885" s="290"/>
      <c r="H885" s="454"/>
      <c r="I885" s="91"/>
    </row>
    <row r="886" spans="1:9" x14ac:dyDescent="0.25">
      <c r="A886" s="48"/>
      <c r="B886" s="49"/>
      <c r="C886" s="49"/>
      <c r="D886" s="49"/>
      <c r="E886" s="50"/>
      <c r="F886" s="290"/>
      <c r="G886" s="290"/>
      <c r="H886" s="454"/>
      <c r="I886" s="91"/>
    </row>
    <row r="887" spans="1:9" x14ac:dyDescent="0.25">
      <c r="A887" s="48"/>
      <c r="B887" s="49"/>
      <c r="C887" s="49"/>
      <c r="D887" s="49"/>
      <c r="E887" s="50"/>
      <c r="F887" s="290"/>
      <c r="G887" s="290"/>
      <c r="H887" s="454"/>
      <c r="I887" s="91"/>
    </row>
    <row r="888" spans="1:9" x14ac:dyDescent="0.25">
      <c r="A888" s="48"/>
      <c r="B888" s="49"/>
      <c r="C888" s="49"/>
      <c r="D888" s="49"/>
      <c r="E888" s="50"/>
      <c r="F888" s="290"/>
      <c r="G888" s="290"/>
      <c r="H888" s="454"/>
      <c r="I888" s="91"/>
    </row>
    <row r="889" spans="1:9" x14ac:dyDescent="0.25">
      <c r="A889" s="48"/>
      <c r="B889" s="49"/>
      <c r="C889" s="49"/>
      <c r="D889" s="49"/>
      <c r="E889" s="50"/>
      <c r="F889" s="290"/>
      <c r="G889" s="290"/>
      <c r="H889" s="454"/>
      <c r="I889" s="91"/>
    </row>
    <row r="890" spans="1:9" x14ac:dyDescent="0.25">
      <c r="A890" s="48"/>
      <c r="B890" s="49"/>
      <c r="C890" s="49"/>
      <c r="D890" s="49"/>
      <c r="E890" s="50"/>
      <c r="F890" s="290"/>
      <c r="G890" s="290"/>
      <c r="H890" s="454"/>
      <c r="I890" s="91"/>
    </row>
    <row r="891" spans="1:9" x14ac:dyDescent="0.25">
      <c r="A891" s="48"/>
      <c r="B891" s="49"/>
      <c r="C891" s="49"/>
      <c r="D891" s="49"/>
      <c r="E891" s="50"/>
      <c r="F891" s="290"/>
      <c r="G891" s="290"/>
      <c r="H891" s="454"/>
      <c r="I891" s="91"/>
    </row>
    <row r="892" spans="1:9" x14ac:dyDescent="0.25">
      <c r="A892" s="48"/>
      <c r="B892" s="49"/>
      <c r="C892" s="49"/>
      <c r="D892" s="49"/>
      <c r="E892" s="50"/>
      <c r="F892" s="290"/>
      <c r="G892" s="290"/>
      <c r="H892" s="454"/>
      <c r="I892" s="91"/>
    </row>
    <row r="893" spans="1:9" x14ac:dyDescent="0.25">
      <c r="A893" s="48"/>
      <c r="B893" s="49"/>
      <c r="C893" s="49"/>
      <c r="D893" s="49"/>
      <c r="E893" s="50"/>
      <c r="F893" s="290"/>
      <c r="G893" s="290"/>
      <c r="H893" s="454"/>
      <c r="I893" s="91"/>
    </row>
    <row r="894" spans="1:9" x14ac:dyDescent="0.25">
      <c r="A894" s="48"/>
      <c r="B894" s="49"/>
      <c r="C894" s="49"/>
      <c r="D894" s="49"/>
      <c r="E894" s="50"/>
      <c r="F894" s="290"/>
      <c r="G894" s="290"/>
      <c r="H894" s="454"/>
      <c r="I894" s="91"/>
    </row>
    <row r="895" spans="1:9" x14ac:dyDescent="0.25">
      <c r="A895" s="48"/>
      <c r="B895" s="49"/>
      <c r="C895" s="49"/>
      <c r="D895" s="49"/>
      <c r="E895" s="50"/>
      <c r="F895" s="290"/>
      <c r="G895" s="290"/>
      <c r="H895" s="454"/>
      <c r="I895" s="91"/>
    </row>
    <row r="896" spans="1:9" x14ac:dyDescent="0.25">
      <c r="A896" s="48"/>
      <c r="B896" s="49"/>
      <c r="C896" s="49"/>
      <c r="D896" s="49"/>
      <c r="E896" s="50"/>
      <c r="F896" s="290"/>
      <c r="G896" s="290"/>
      <c r="H896" s="454"/>
      <c r="I896" s="91"/>
    </row>
    <row r="897" spans="1:9" x14ac:dyDescent="0.25">
      <c r="A897" s="48"/>
      <c r="B897" s="49"/>
      <c r="C897" s="49"/>
      <c r="D897" s="49"/>
      <c r="E897" s="50"/>
      <c r="F897" s="290"/>
      <c r="G897" s="290"/>
      <c r="H897" s="454"/>
      <c r="I897" s="91"/>
    </row>
    <row r="898" spans="1:9" x14ac:dyDescent="0.25">
      <c r="A898" s="48"/>
      <c r="B898" s="49"/>
      <c r="C898" s="49"/>
      <c r="D898" s="49"/>
      <c r="E898" s="50"/>
      <c r="F898" s="290"/>
      <c r="G898" s="290"/>
      <c r="H898" s="454"/>
      <c r="I898" s="91"/>
    </row>
    <row r="899" spans="1:9" x14ac:dyDescent="0.25">
      <c r="A899" s="48"/>
      <c r="B899" s="49"/>
      <c r="C899" s="49"/>
      <c r="D899" s="49"/>
      <c r="E899" s="50"/>
      <c r="F899" s="290"/>
      <c r="G899" s="290"/>
      <c r="H899" s="454"/>
      <c r="I899" s="91"/>
    </row>
    <row r="900" spans="1:9" x14ac:dyDescent="0.25">
      <c r="A900" s="48"/>
      <c r="B900" s="49"/>
      <c r="C900" s="49"/>
      <c r="D900" s="49"/>
      <c r="E900" s="50"/>
      <c r="F900" s="290"/>
      <c r="G900" s="290"/>
      <c r="H900" s="454"/>
      <c r="I900" s="91"/>
    </row>
    <row r="901" spans="1:9" x14ac:dyDescent="0.25">
      <c r="A901" s="48"/>
      <c r="B901" s="49"/>
      <c r="C901" s="49"/>
      <c r="D901" s="49"/>
      <c r="E901" s="50"/>
      <c r="F901" s="290"/>
      <c r="G901" s="290"/>
      <c r="H901" s="454"/>
      <c r="I901" s="91"/>
    </row>
    <row r="902" spans="1:9" x14ac:dyDescent="0.25">
      <c r="A902" s="48"/>
      <c r="B902" s="49"/>
      <c r="C902" s="49"/>
      <c r="D902" s="49"/>
      <c r="E902" s="50"/>
      <c r="F902" s="290"/>
      <c r="G902" s="290"/>
      <c r="H902" s="454"/>
      <c r="I902" s="91"/>
    </row>
    <row r="903" spans="1:9" x14ac:dyDescent="0.25">
      <c r="A903" s="48"/>
      <c r="B903" s="49"/>
      <c r="C903" s="49"/>
      <c r="D903" s="49"/>
      <c r="E903" s="50"/>
      <c r="F903" s="290"/>
      <c r="G903" s="290"/>
      <c r="H903" s="454"/>
      <c r="I903" s="91"/>
    </row>
    <row r="904" spans="1:9" x14ac:dyDescent="0.25">
      <c r="A904" s="48"/>
      <c r="B904" s="49"/>
      <c r="C904" s="49"/>
      <c r="D904" s="49"/>
      <c r="E904" s="50"/>
      <c r="F904" s="290"/>
      <c r="G904" s="290"/>
      <c r="H904" s="454"/>
      <c r="I904" s="91"/>
    </row>
    <row r="905" spans="1:9" x14ac:dyDescent="0.25">
      <c r="A905" s="48"/>
      <c r="B905" s="49"/>
      <c r="C905" s="49"/>
      <c r="D905" s="49"/>
      <c r="E905" s="50"/>
      <c r="F905" s="290"/>
      <c r="G905" s="290"/>
      <c r="H905" s="454"/>
      <c r="I905" s="91"/>
    </row>
    <row r="906" spans="1:9" x14ac:dyDescent="0.25">
      <c r="A906" s="48"/>
      <c r="B906" s="49"/>
      <c r="C906" s="49"/>
      <c r="D906" s="49"/>
      <c r="E906" s="50"/>
      <c r="F906" s="290"/>
      <c r="G906" s="290"/>
      <c r="H906" s="454"/>
      <c r="I906" s="91"/>
    </row>
    <row r="907" spans="1:9" x14ac:dyDescent="0.25">
      <c r="A907" s="48"/>
      <c r="B907" s="49"/>
      <c r="C907" s="49"/>
      <c r="D907" s="49"/>
      <c r="E907" s="50"/>
      <c r="F907" s="290"/>
      <c r="G907" s="290"/>
      <c r="H907" s="454"/>
      <c r="I907" s="91"/>
    </row>
    <row r="908" spans="1:9" x14ac:dyDescent="0.25">
      <c r="A908" s="48"/>
      <c r="B908" s="49"/>
      <c r="C908" s="49"/>
      <c r="D908" s="49"/>
      <c r="E908" s="50"/>
      <c r="F908" s="290"/>
      <c r="G908" s="290"/>
      <c r="H908" s="454"/>
      <c r="I908" s="91"/>
    </row>
    <row r="909" spans="1:9" x14ac:dyDescent="0.25">
      <c r="A909" s="48"/>
      <c r="B909" s="49"/>
      <c r="C909" s="49"/>
      <c r="D909" s="49"/>
      <c r="E909" s="50"/>
      <c r="F909" s="290"/>
      <c r="G909" s="290"/>
      <c r="H909" s="454"/>
      <c r="I909" s="91"/>
    </row>
    <row r="910" spans="1:9" x14ac:dyDescent="0.25">
      <c r="A910" s="48"/>
      <c r="B910" s="49"/>
      <c r="C910" s="49"/>
      <c r="D910" s="49"/>
      <c r="E910" s="50"/>
      <c r="F910" s="290"/>
      <c r="G910" s="290"/>
      <c r="H910" s="454"/>
      <c r="I910" s="91"/>
    </row>
    <row r="911" spans="1:9" x14ac:dyDescent="0.25">
      <c r="A911" s="48"/>
      <c r="B911" s="49"/>
      <c r="C911" s="49"/>
      <c r="D911" s="49"/>
      <c r="E911" s="50"/>
      <c r="F911" s="290"/>
      <c r="G911" s="290"/>
      <c r="H911" s="454"/>
      <c r="I911" s="91"/>
    </row>
    <row r="912" spans="1:9" x14ac:dyDescent="0.25">
      <c r="A912" s="48"/>
      <c r="B912" s="49"/>
      <c r="C912" s="49"/>
      <c r="D912" s="49"/>
      <c r="E912" s="50"/>
      <c r="F912" s="290"/>
      <c r="G912" s="290"/>
      <c r="H912" s="454"/>
      <c r="I912" s="91"/>
    </row>
    <row r="913" spans="1:9" x14ac:dyDescent="0.25">
      <c r="A913" s="48"/>
      <c r="B913" s="49"/>
      <c r="C913" s="49"/>
      <c r="D913" s="49"/>
      <c r="E913" s="50"/>
      <c r="F913" s="290"/>
      <c r="G913" s="290"/>
      <c r="H913" s="454"/>
      <c r="I913" s="91"/>
    </row>
    <row r="914" spans="1:9" x14ac:dyDescent="0.25">
      <c r="A914" s="48"/>
      <c r="B914" s="49"/>
      <c r="C914" s="49"/>
      <c r="D914" s="49"/>
      <c r="E914" s="50"/>
      <c r="F914" s="290"/>
      <c r="G914" s="290"/>
      <c r="H914" s="454"/>
      <c r="I914" s="91"/>
    </row>
    <row r="915" spans="1:9" x14ac:dyDescent="0.25">
      <c r="A915" s="48"/>
      <c r="B915" s="49"/>
      <c r="C915" s="49"/>
      <c r="D915" s="49"/>
      <c r="E915" s="50"/>
      <c r="F915" s="290"/>
      <c r="G915" s="290"/>
      <c r="H915" s="454"/>
      <c r="I915" s="91"/>
    </row>
    <row r="916" spans="1:9" x14ac:dyDescent="0.25">
      <c r="A916" s="48"/>
      <c r="B916" s="49"/>
      <c r="C916" s="49"/>
      <c r="D916" s="49"/>
      <c r="E916" s="50"/>
      <c r="F916" s="290"/>
      <c r="G916" s="290"/>
      <c r="H916" s="454"/>
      <c r="I916" s="91"/>
    </row>
    <row r="917" spans="1:9" x14ac:dyDescent="0.25">
      <c r="A917" s="48"/>
      <c r="B917" s="49"/>
      <c r="C917" s="49"/>
      <c r="D917" s="49"/>
      <c r="E917" s="50"/>
      <c r="F917" s="290"/>
      <c r="G917" s="290"/>
      <c r="H917" s="454"/>
      <c r="I917" s="91"/>
    </row>
    <row r="918" spans="1:9" x14ac:dyDescent="0.25">
      <c r="A918" s="48"/>
      <c r="B918" s="49"/>
      <c r="C918" s="49"/>
      <c r="D918" s="49"/>
      <c r="E918" s="50"/>
      <c r="F918" s="290"/>
      <c r="G918" s="290"/>
      <c r="H918" s="454"/>
      <c r="I918" s="91"/>
    </row>
    <row r="919" spans="1:9" x14ac:dyDescent="0.25">
      <c r="A919" s="48"/>
      <c r="B919" s="49"/>
      <c r="C919" s="49"/>
      <c r="D919" s="49"/>
      <c r="E919" s="50"/>
      <c r="F919" s="290"/>
      <c r="G919" s="290"/>
      <c r="H919" s="454"/>
      <c r="I919" s="91"/>
    </row>
    <row r="920" spans="1:9" x14ac:dyDescent="0.25">
      <c r="A920" s="48"/>
      <c r="B920" s="49"/>
      <c r="C920" s="49"/>
      <c r="D920" s="49"/>
      <c r="E920" s="50"/>
      <c r="F920" s="290"/>
      <c r="G920" s="290"/>
      <c r="H920" s="454"/>
      <c r="I920" s="91"/>
    </row>
    <row r="921" spans="1:9" x14ac:dyDescent="0.25">
      <c r="A921" s="48"/>
      <c r="B921" s="49"/>
      <c r="C921" s="49"/>
      <c r="D921" s="49"/>
      <c r="E921" s="50"/>
      <c r="F921" s="290"/>
      <c r="G921" s="290"/>
      <c r="H921" s="454"/>
      <c r="I921" s="91"/>
    </row>
    <row r="922" spans="1:9" x14ac:dyDescent="0.25">
      <c r="A922" s="48"/>
      <c r="B922" s="49"/>
      <c r="C922" s="49"/>
      <c r="D922" s="49"/>
      <c r="E922" s="50"/>
      <c r="F922" s="290"/>
      <c r="G922" s="290"/>
      <c r="H922" s="454"/>
      <c r="I922" s="91"/>
    </row>
    <row r="923" spans="1:9" x14ac:dyDescent="0.25">
      <c r="A923" s="48"/>
      <c r="B923" s="49"/>
      <c r="C923" s="49"/>
      <c r="D923" s="49"/>
      <c r="E923" s="50"/>
      <c r="F923" s="290"/>
      <c r="G923" s="290"/>
      <c r="H923" s="454"/>
      <c r="I923" s="91"/>
    </row>
    <row r="924" spans="1:9" x14ac:dyDescent="0.25">
      <c r="A924" s="48"/>
      <c r="B924" s="49"/>
      <c r="C924" s="49"/>
      <c r="D924" s="49"/>
      <c r="E924" s="50"/>
      <c r="F924" s="290"/>
      <c r="G924" s="290"/>
      <c r="H924" s="454"/>
      <c r="I924" s="91"/>
    </row>
    <row r="925" spans="1:9" x14ac:dyDescent="0.25">
      <c r="A925" s="48"/>
      <c r="B925" s="49"/>
      <c r="C925" s="49"/>
      <c r="D925" s="49"/>
      <c r="E925" s="50"/>
      <c r="F925" s="290"/>
      <c r="G925" s="290"/>
      <c r="H925" s="454"/>
      <c r="I925" s="91"/>
    </row>
    <row r="926" spans="1:9" x14ac:dyDescent="0.25">
      <c r="A926" s="48"/>
      <c r="B926" s="49"/>
      <c r="C926" s="49"/>
      <c r="D926" s="49"/>
      <c r="E926" s="50"/>
      <c r="F926" s="290"/>
      <c r="G926" s="290"/>
      <c r="H926" s="454"/>
      <c r="I926" s="91"/>
    </row>
    <row r="927" spans="1:9" x14ac:dyDescent="0.25">
      <c r="A927" s="48"/>
      <c r="B927" s="49"/>
      <c r="C927" s="49"/>
      <c r="D927" s="49"/>
      <c r="E927" s="50"/>
      <c r="F927" s="290"/>
      <c r="G927" s="290"/>
      <c r="H927" s="454"/>
      <c r="I927" s="91"/>
    </row>
    <row r="928" spans="1:9" x14ac:dyDescent="0.25">
      <c r="A928" s="48"/>
      <c r="B928" s="49"/>
      <c r="C928" s="49"/>
      <c r="D928" s="49"/>
      <c r="E928" s="50"/>
      <c r="F928" s="290"/>
      <c r="G928" s="290"/>
      <c r="H928" s="454"/>
      <c r="I928" s="91"/>
    </row>
    <row r="929" spans="1:9" x14ac:dyDescent="0.25">
      <c r="A929" s="48"/>
      <c r="B929" s="49"/>
      <c r="C929" s="49"/>
      <c r="D929" s="49"/>
      <c r="E929" s="50"/>
      <c r="F929" s="290"/>
      <c r="G929" s="290"/>
      <c r="H929" s="454"/>
      <c r="I929" s="91"/>
    </row>
    <row r="930" spans="1:9" x14ac:dyDescent="0.25">
      <c r="A930" s="48"/>
      <c r="B930" s="49"/>
      <c r="C930" s="49"/>
      <c r="D930" s="49"/>
      <c r="E930" s="50"/>
      <c r="F930" s="290"/>
      <c r="G930" s="290"/>
      <c r="H930" s="454"/>
      <c r="I930" s="91"/>
    </row>
    <row r="931" spans="1:9" x14ac:dyDescent="0.25">
      <c r="A931" s="48"/>
      <c r="B931" s="49"/>
      <c r="C931" s="49"/>
      <c r="D931" s="49"/>
      <c r="E931" s="50"/>
      <c r="F931" s="290"/>
      <c r="G931" s="290"/>
      <c r="H931" s="454"/>
      <c r="I931" s="91"/>
    </row>
    <row r="932" spans="1:9" x14ac:dyDescent="0.25">
      <c r="A932" s="48"/>
      <c r="B932" s="49"/>
      <c r="C932" s="49"/>
      <c r="D932" s="49"/>
      <c r="E932" s="50"/>
      <c r="F932" s="290"/>
      <c r="G932" s="290"/>
      <c r="H932" s="454"/>
      <c r="I932" s="91"/>
    </row>
    <row r="933" spans="1:9" x14ac:dyDescent="0.25">
      <c r="A933" s="48"/>
      <c r="B933" s="49"/>
      <c r="C933" s="49"/>
      <c r="D933" s="49"/>
      <c r="E933" s="50"/>
      <c r="F933" s="290"/>
      <c r="G933" s="290"/>
      <c r="H933" s="454"/>
      <c r="I933" s="91"/>
    </row>
    <row r="934" spans="1:9" x14ac:dyDescent="0.25">
      <c r="A934" s="48"/>
      <c r="B934" s="49"/>
      <c r="C934" s="49"/>
      <c r="D934" s="49"/>
      <c r="E934" s="50"/>
      <c r="F934" s="290"/>
      <c r="G934" s="290"/>
      <c r="H934" s="454"/>
      <c r="I934" s="91"/>
    </row>
    <row r="935" spans="1:9" x14ac:dyDescent="0.25">
      <c r="A935" s="48"/>
      <c r="B935" s="49"/>
      <c r="C935" s="49"/>
      <c r="D935" s="49"/>
      <c r="E935" s="50"/>
      <c r="F935" s="290"/>
      <c r="G935" s="290"/>
      <c r="H935" s="454"/>
      <c r="I935" s="91"/>
    </row>
    <row r="936" spans="1:9" x14ac:dyDescent="0.25">
      <c r="A936" s="48"/>
      <c r="B936" s="49"/>
      <c r="C936" s="49"/>
      <c r="D936" s="49"/>
      <c r="E936" s="50"/>
      <c r="F936" s="290"/>
      <c r="G936" s="290"/>
      <c r="H936" s="454"/>
      <c r="I936" s="91"/>
    </row>
    <row r="937" spans="1:9" x14ac:dyDescent="0.25">
      <c r="A937" s="48"/>
      <c r="B937" s="49"/>
      <c r="C937" s="49"/>
      <c r="D937" s="49"/>
      <c r="E937" s="50"/>
      <c r="F937" s="290"/>
      <c r="G937" s="290"/>
      <c r="H937" s="454"/>
      <c r="I937" s="91"/>
    </row>
    <row r="938" spans="1:9" x14ac:dyDescent="0.25">
      <c r="A938" s="48"/>
      <c r="B938" s="49"/>
      <c r="C938" s="49"/>
      <c r="D938" s="49"/>
      <c r="E938" s="50"/>
      <c r="F938" s="290"/>
      <c r="G938" s="290"/>
      <c r="H938" s="454"/>
      <c r="I938" s="91"/>
    </row>
    <row r="939" spans="1:9" x14ac:dyDescent="0.25">
      <c r="A939" s="48"/>
      <c r="B939" s="49"/>
      <c r="C939" s="49"/>
      <c r="D939" s="49"/>
      <c r="E939" s="50"/>
      <c r="F939" s="290"/>
      <c r="G939" s="290"/>
      <c r="H939" s="454"/>
      <c r="I939" s="91"/>
    </row>
    <row r="940" spans="1:9" x14ac:dyDescent="0.25">
      <c r="A940" s="48"/>
      <c r="B940" s="49"/>
      <c r="C940" s="49"/>
      <c r="D940" s="49"/>
      <c r="E940" s="50"/>
      <c r="F940" s="290"/>
      <c r="G940" s="290"/>
      <c r="H940" s="454"/>
      <c r="I940" s="91"/>
    </row>
    <row r="941" spans="1:9" x14ac:dyDescent="0.25">
      <c r="A941" s="48"/>
      <c r="B941" s="49"/>
      <c r="C941" s="49"/>
      <c r="D941" s="49"/>
      <c r="E941" s="50"/>
      <c r="F941" s="290"/>
      <c r="G941" s="290"/>
      <c r="H941" s="454"/>
      <c r="I941" s="91"/>
    </row>
    <row r="942" spans="1:9" x14ac:dyDescent="0.25">
      <c r="A942" s="48"/>
      <c r="B942" s="49"/>
      <c r="C942" s="49"/>
      <c r="D942" s="49"/>
      <c r="E942" s="50"/>
      <c r="F942" s="290"/>
      <c r="G942" s="290"/>
      <c r="H942" s="454"/>
      <c r="I942" s="91"/>
    </row>
    <row r="943" spans="1:9" x14ac:dyDescent="0.25">
      <c r="A943" s="48"/>
      <c r="B943" s="49"/>
      <c r="C943" s="49"/>
      <c r="D943" s="49"/>
      <c r="E943" s="50"/>
      <c r="F943" s="290"/>
      <c r="G943" s="290"/>
      <c r="H943" s="454"/>
      <c r="I943" s="91"/>
    </row>
    <row r="944" spans="1:9" x14ac:dyDescent="0.25">
      <c r="A944" s="48"/>
      <c r="B944" s="49"/>
      <c r="C944" s="49"/>
      <c r="D944" s="49"/>
      <c r="E944" s="50"/>
      <c r="F944" s="290"/>
      <c r="G944" s="290"/>
      <c r="H944" s="454"/>
      <c r="I944" s="91"/>
    </row>
    <row r="945" spans="1:9" x14ac:dyDescent="0.25">
      <c r="A945" s="48"/>
      <c r="B945" s="49"/>
      <c r="C945" s="49"/>
      <c r="D945" s="49"/>
      <c r="E945" s="50"/>
      <c r="F945" s="290"/>
      <c r="G945" s="290"/>
      <c r="H945" s="454"/>
      <c r="I945" s="91"/>
    </row>
    <row r="946" spans="1:9" x14ac:dyDescent="0.25">
      <c r="A946" s="48"/>
      <c r="B946" s="49"/>
      <c r="C946" s="49"/>
      <c r="D946" s="49"/>
      <c r="E946" s="50"/>
      <c r="F946" s="290"/>
      <c r="G946" s="290"/>
      <c r="H946" s="454"/>
      <c r="I946" s="91"/>
    </row>
    <row r="947" spans="1:9" x14ac:dyDescent="0.25">
      <c r="A947" s="48"/>
      <c r="B947" s="49"/>
      <c r="C947" s="49"/>
      <c r="D947" s="49"/>
      <c r="E947" s="50"/>
      <c r="F947" s="290"/>
      <c r="G947" s="290"/>
      <c r="H947" s="454"/>
      <c r="I947" s="91"/>
    </row>
    <row r="948" spans="1:9" x14ac:dyDescent="0.25">
      <c r="A948" s="48"/>
      <c r="B948" s="49"/>
      <c r="C948" s="49"/>
      <c r="D948" s="49"/>
      <c r="E948" s="50"/>
      <c r="F948" s="290"/>
      <c r="G948" s="290"/>
      <c r="H948" s="454"/>
      <c r="I948" s="91"/>
    </row>
    <row r="949" spans="1:9" x14ac:dyDescent="0.25">
      <c r="A949" s="48"/>
      <c r="B949" s="49"/>
      <c r="C949" s="49"/>
      <c r="D949" s="49"/>
      <c r="E949" s="50"/>
      <c r="F949" s="290"/>
      <c r="G949" s="290"/>
      <c r="H949" s="454"/>
      <c r="I949" s="91"/>
    </row>
    <row r="950" spans="1:9" x14ac:dyDescent="0.25">
      <c r="A950" s="48"/>
      <c r="B950" s="49"/>
      <c r="C950" s="49"/>
      <c r="D950" s="49"/>
      <c r="E950" s="50"/>
      <c r="F950" s="290"/>
      <c r="G950" s="290"/>
      <c r="H950" s="454"/>
      <c r="I950" s="91"/>
    </row>
    <row r="951" spans="1:9" x14ac:dyDescent="0.25">
      <c r="A951" s="48"/>
      <c r="B951" s="49"/>
      <c r="C951" s="49"/>
      <c r="D951" s="49"/>
      <c r="E951" s="50"/>
      <c r="F951" s="290"/>
      <c r="G951" s="290"/>
      <c r="H951" s="454"/>
      <c r="I951" s="91"/>
    </row>
    <row r="952" spans="1:9" x14ac:dyDescent="0.25">
      <c r="A952" s="48"/>
      <c r="B952" s="49"/>
      <c r="C952" s="49"/>
      <c r="D952" s="49"/>
      <c r="E952" s="50"/>
      <c r="F952" s="290"/>
      <c r="G952" s="290"/>
      <c r="H952" s="454"/>
      <c r="I952" s="91"/>
    </row>
    <row r="953" spans="1:9" x14ac:dyDescent="0.25">
      <c r="A953" s="48"/>
      <c r="B953" s="49"/>
      <c r="C953" s="49"/>
      <c r="D953" s="49"/>
      <c r="E953" s="50"/>
      <c r="F953" s="290"/>
      <c r="G953" s="290"/>
      <c r="H953" s="454"/>
      <c r="I953" s="91"/>
    </row>
    <row r="954" spans="1:9" x14ac:dyDescent="0.25">
      <c r="A954" s="48"/>
      <c r="B954" s="49"/>
      <c r="C954" s="49"/>
      <c r="D954" s="49"/>
      <c r="E954" s="50"/>
      <c r="F954" s="290"/>
      <c r="G954" s="290"/>
      <c r="H954" s="454"/>
      <c r="I954" s="91"/>
    </row>
    <row r="955" spans="1:9" x14ac:dyDescent="0.25">
      <c r="A955" s="48"/>
      <c r="B955" s="49"/>
      <c r="C955" s="49"/>
      <c r="D955" s="49"/>
      <c r="E955" s="50"/>
      <c r="F955" s="290"/>
      <c r="G955" s="290"/>
      <c r="H955" s="454"/>
      <c r="I955" s="91"/>
    </row>
    <row r="956" spans="1:9" x14ac:dyDescent="0.25">
      <c r="A956" s="48"/>
      <c r="B956" s="49"/>
      <c r="C956" s="49"/>
      <c r="D956" s="49"/>
      <c r="E956" s="50"/>
      <c r="F956" s="290"/>
      <c r="G956" s="290"/>
      <c r="H956" s="454"/>
      <c r="I956" s="91"/>
    </row>
    <row r="957" spans="1:9" x14ac:dyDescent="0.25">
      <c r="A957" s="48"/>
      <c r="B957" s="49"/>
      <c r="C957" s="49"/>
      <c r="D957" s="49"/>
      <c r="E957" s="50"/>
      <c r="F957" s="290"/>
      <c r="G957" s="290"/>
      <c r="H957" s="454"/>
      <c r="I957" s="91"/>
    </row>
    <row r="958" spans="1:9" x14ac:dyDescent="0.25">
      <c r="A958" s="48"/>
      <c r="B958" s="49"/>
      <c r="C958" s="49"/>
      <c r="D958" s="49"/>
      <c r="E958" s="50"/>
      <c r="F958" s="290"/>
      <c r="G958" s="290"/>
      <c r="H958" s="454"/>
      <c r="I958" s="91"/>
    </row>
    <row r="959" spans="1:9" x14ac:dyDescent="0.25">
      <c r="A959" s="48"/>
      <c r="B959" s="49"/>
      <c r="C959" s="49"/>
      <c r="D959" s="49"/>
      <c r="E959" s="50"/>
      <c r="F959" s="290"/>
      <c r="G959" s="290"/>
      <c r="H959" s="454"/>
      <c r="I959" s="91"/>
    </row>
    <row r="960" spans="1:9" x14ac:dyDescent="0.25">
      <c r="A960" s="48"/>
      <c r="B960" s="49"/>
      <c r="C960" s="49"/>
      <c r="D960" s="49"/>
      <c r="E960" s="50"/>
      <c r="F960" s="290"/>
      <c r="G960" s="290"/>
      <c r="H960" s="454"/>
      <c r="I960" s="91"/>
    </row>
    <row r="961" spans="1:9" x14ac:dyDescent="0.25">
      <c r="A961" s="48"/>
      <c r="B961" s="49"/>
      <c r="C961" s="49"/>
      <c r="D961" s="49"/>
      <c r="E961" s="50"/>
      <c r="F961" s="290"/>
      <c r="G961" s="290"/>
      <c r="H961" s="454"/>
      <c r="I961" s="91"/>
    </row>
    <row r="962" spans="1:9" x14ac:dyDescent="0.25">
      <c r="A962" s="48"/>
      <c r="B962" s="49"/>
      <c r="C962" s="49"/>
      <c r="D962" s="49"/>
      <c r="E962" s="50"/>
      <c r="F962" s="290"/>
      <c r="G962" s="290"/>
      <c r="H962" s="454"/>
      <c r="I962" s="91"/>
    </row>
    <row r="963" spans="1:9" x14ac:dyDescent="0.25">
      <c r="A963" s="48"/>
      <c r="B963" s="49"/>
      <c r="C963" s="49"/>
      <c r="D963" s="49"/>
      <c r="E963" s="50"/>
      <c r="F963" s="290"/>
      <c r="G963" s="290"/>
      <c r="H963" s="454"/>
      <c r="I963" s="91"/>
    </row>
    <row r="964" spans="1:9" x14ac:dyDescent="0.25">
      <c r="A964" s="48"/>
      <c r="B964" s="49"/>
      <c r="C964" s="49"/>
      <c r="D964" s="49"/>
      <c r="E964" s="50"/>
      <c r="F964" s="290"/>
      <c r="G964" s="290"/>
      <c r="H964" s="454"/>
      <c r="I964" s="91"/>
    </row>
    <row r="965" spans="1:9" x14ac:dyDescent="0.25">
      <c r="A965" s="48"/>
      <c r="B965" s="49"/>
      <c r="C965" s="49"/>
      <c r="D965" s="49"/>
      <c r="E965" s="50"/>
      <c r="F965" s="290"/>
      <c r="G965" s="290"/>
      <c r="H965" s="454"/>
      <c r="I965" s="91"/>
    </row>
    <row r="966" spans="1:9" x14ac:dyDescent="0.25">
      <c r="A966" s="48"/>
      <c r="B966" s="49"/>
      <c r="C966" s="49"/>
      <c r="D966" s="49"/>
      <c r="E966" s="50"/>
      <c r="F966" s="290"/>
      <c r="G966" s="290"/>
      <c r="H966" s="454"/>
      <c r="I966" s="91"/>
    </row>
    <row r="967" spans="1:9" x14ac:dyDescent="0.25">
      <c r="A967" s="48"/>
      <c r="B967" s="49"/>
      <c r="C967" s="49"/>
      <c r="D967" s="49"/>
      <c r="E967" s="50"/>
      <c r="F967" s="290"/>
      <c r="G967" s="290"/>
      <c r="H967" s="454"/>
      <c r="I967" s="91"/>
    </row>
    <row r="968" spans="1:9" x14ac:dyDescent="0.25">
      <c r="A968" s="48"/>
      <c r="B968" s="49"/>
      <c r="C968" s="49"/>
      <c r="D968" s="49"/>
      <c r="E968" s="50"/>
      <c r="F968" s="290"/>
      <c r="G968" s="290"/>
      <c r="H968" s="454"/>
      <c r="I968" s="91"/>
    </row>
    <row r="969" spans="1:9" x14ac:dyDescent="0.25">
      <c r="A969" s="48"/>
      <c r="B969" s="49"/>
      <c r="C969" s="49"/>
      <c r="D969" s="49"/>
      <c r="E969" s="50"/>
      <c r="F969" s="290"/>
      <c r="G969" s="290"/>
      <c r="H969" s="454"/>
      <c r="I969" s="91"/>
    </row>
    <row r="970" spans="1:9" x14ac:dyDescent="0.25">
      <c r="A970" s="48"/>
      <c r="B970" s="49"/>
      <c r="C970" s="49"/>
      <c r="D970" s="49"/>
      <c r="E970" s="50"/>
      <c r="F970" s="290"/>
      <c r="G970" s="290"/>
      <c r="H970" s="454"/>
      <c r="I970" s="91"/>
    </row>
    <row r="971" spans="1:9" x14ac:dyDescent="0.25">
      <c r="A971" s="48"/>
      <c r="B971" s="49"/>
      <c r="C971" s="49"/>
      <c r="D971" s="49"/>
      <c r="E971" s="50"/>
      <c r="F971" s="290"/>
      <c r="G971" s="290"/>
      <c r="H971" s="454"/>
      <c r="I971" s="91"/>
    </row>
    <row r="972" spans="1:9" x14ac:dyDescent="0.25">
      <c r="A972" s="48"/>
      <c r="B972" s="49"/>
      <c r="C972" s="49"/>
      <c r="D972" s="49"/>
      <c r="E972" s="50"/>
      <c r="F972" s="290"/>
      <c r="G972" s="290"/>
      <c r="H972" s="454"/>
      <c r="I972" s="91"/>
    </row>
    <row r="973" spans="1:9" x14ac:dyDescent="0.25">
      <c r="A973" s="48"/>
      <c r="B973" s="49"/>
      <c r="C973" s="49"/>
      <c r="D973" s="49"/>
      <c r="E973" s="50"/>
      <c r="F973" s="290"/>
      <c r="G973" s="290"/>
      <c r="H973" s="454"/>
      <c r="I973" s="91"/>
    </row>
    <row r="974" spans="1:9" x14ac:dyDescent="0.25">
      <c r="A974" s="48"/>
      <c r="B974" s="49"/>
      <c r="C974" s="49"/>
      <c r="D974" s="49"/>
      <c r="E974" s="50"/>
      <c r="F974" s="290"/>
      <c r="G974" s="290"/>
      <c r="H974" s="454"/>
      <c r="I974" s="91"/>
    </row>
    <row r="975" spans="1:9" x14ac:dyDescent="0.25">
      <c r="A975" s="48"/>
      <c r="B975" s="49"/>
      <c r="C975" s="49"/>
      <c r="D975" s="49"/>
      <c r="E975" s="50"/>
      <c r="F975" s="290"/>
      <c r="G975" s="290"/>
      <c r="H975" s="454"/>
      <c r="I975" s="91"/>
    </row>
    <row r="976" spans="1:9" x14ac:dyDescent="0.25">
      <c r="A976" s="48"/>
      <c r="B976" s="49"/>
      <c r="C976" s="49"/>
      <c r="D976" s="49"/>
      <c r="E976" s="50"/>
      <c r="F976" s="290"/>
      <c r="G976" s="290"/>
      <c r="H976" s="454"/>
      <c r="I976" s="91"/>
    </row>
    <row r="977" spans="1:9" x14ac:dyDescent="0.25">
      <c r="A977" s="48"/>
      <c r="B977" s="49"/>
      <c r="C977" s="49"/>
      <c r="D977" s="49"/>
      <c r="E977" s="50"/>
      <c r="F977" s="290"/>
      <c r="G977" s="290"/>
      <c r="H977" s="454"/>
      <c r="I977" s="91"/>
    </row>
    <row r="978" spans="1:9" x14ac:dyDescent="0.25">
      <c r="A978" s="48"/>
      <c r="B978" s="49"/>
      <c r="C978" s="49"/>
      <c r="D978" s="49"/>
      <c r="E978" s="50"/>
      <c r="F978" s="290"/>
      <c r="G978" s="290"/>
      <c r="H978" s="454"/>
      <c r="I978" s="91"/>
    </row>
    <row r="979" spans="1:9" x14ac:dyDescent="0.25">
      <c r="A979" s="48"/>
      <c r="B979" s="49"/>
      <c r="C979" s="49"/>
      <c r="D979" s="49"/>
      <c r="E979" s="50"/>
      <c r="F979" s="290"/>
      <c r="G979" s="290"/>
      <c r="H979" s="454"/>
      <c r="I979" s="91"/>
    </row>
    <row r="980" spans="1:9" x14ac:dyDescent="0.25">
      <c r="A980" s="48"/>
      <c r="B980" s="49"/>
      <c r="C980" s="49"/>
      <c r="D980" s="49"/>
      <c r="E980" s="50"/>
      <c r="F980" s="290"/>
      <c r="G980" s="290"/>
      <c r="H980" s="454"/>
      <c r="I980" s="91"/>
    </row>
    <row r="981" spans="1:9" x14ac:dyDescent="0.25">
      <c r="A981" s="48"/>
      <c r="B981" s="49"/>
      <c r="C981" s="49"/>
      <c r="D981" s="49"/>
      <c r="E981" s="50"/>
      <c r="F981" s="290"/>
      <c r="G981" s="290"/>
      <c r="H981" s="454"/>
      <c r="I981" s="91"/>
    </row>
    <row r="982" spans="1:9" x14ac:dyDescent="0.25">
      <c r="A982" s="48"/>
      <c r="B982" s="49"/>
      <c r="C982" s="49"/>
      <c r="D982" s="49"/>
      <c r="E982" s="50"/>
      <c r="F982" s="290"/>
      <c r="G982" s="290"/>
      <c r="H982" s="454"/>
      <c r="I982" s="91"/>
    </row>
    <row r="983" spans="1:9" x14ac:dyDescent="0.25">
      <c r="A983" s="48"/>
      <c r="B983" s="49"/>
      <c r="C983" s="49"/>
      <c r="D983" s="49"/>
      <c r="E983" s="50"/>
      <c r="F983" s="290"/>
      <c r="G983" s="290"/>
      <c r="H983" s="454"/>
      <c r="I983" s="91"/>
    </row>
    <row r="984" spans="1:9" x14ac:dyDescent="0.25">
      <c r="A984" s="48"/>
      <c r="B984" s="49"/>
      <c r="C984" s="49"/>
      <c r="D984" s="49"/>
      <c r="E984" s="50"/>
      <c r="F984" s="290"/>
      <c r="G984" s="290"/>
      <c r="H984" s="454"/>
      <c r="I984" s="91"/>
    </row>
    <row r="985" spans="1:9" x14ac:dyDescent="0.25">
      <c r="A985" s="48"/>
      <c r="B985" s="49"/>
      <c r="C985" s="49"/>
      <c r="D985" s="49"/>
      <c r="E985" s="50"/>
      <c r="F985" s="290"/>
      <c r="G985" s="290"/>
      <c r="H985" s="454"/>
      <c r="I985" s="91"/>
    </row>
    <row r="986" spans="1:9" x14ac:dyDescent="0.25">
      <c r="A986" s="48"/>
      <c r="B986" s="49"/>
      <c r="C986" s="49"/>
      <c r="D986" s="49"/>
      <c r="E986" s="50"/>
      <c r="F986" s="290"/>
      <c r="G986" s="290"/>
      <c r="H986" s="454"/>
      <c r="I986" s="91"/>
    </row>
    <row r="987" spans="1:9" x14ac:dyDescent="0.25">
      <c r="A987" s="48"/>
      <c r="B987" s="49"/>
      <c r="C987" s="49"/>
      <c r="D987" s="49"/>
      <c r="E987" s="50"/>
      <c r="F987" s="290"/>
      <c r="G987" s="290"/>
      <c r="H987" s="454"/>
      <c r="I987" s="91"/>
    </row>
    <row r="988" spans="1:9" x14ac:dyDescent="0.25">
      <c r="A988" s="48"/>
      <c r="B988" s="49"/>
      <c r="C988" s="49"/>
      <c r="D988" s="49"/>
      <c r="E988" s="50"/>
      <c r="F988" s="290"/>
      <c r="G988" s="290"/>
      <c r="H988" s="454"/>
      <c r="I988" s="91"/>
    </row>
    <row r="989" spans="1:9" x14ac:dyDescent="0.25">
      <c r="A989" s="48"/>
      <c r="B989" s="49"/>
      <c r="C989" s="49"/>
      <c r="D989" s="49"/>
      <c r="E989" s="50"/>
      <c r="F989" s="290"/>
      <c r="G989" s="290"/>
      <c r="H989" s="454"/>
      <c r="I989" s="91"/>
    </row>
    <row r="990" spans="1:9" x14ac:dyDescent="0.25">
      <c r="A990" s="48"/>
      <c r="B990" s="49"/>
      <c r="C990" s="49"/>
      <c r="D990" s="49"/>
      <c r="E990" s="50"/>
      <c r="F990" s="290"/>
      <c r="G990" s="290"/>
      <c r="H990" s="454"/>
      <c r="I990" s="91"/>
    </row>
    <row r="991" spans="1:9" x14ac:dyDescent="0.25">
      <c r="A991" s="48"/>
      <c r="B991" s="49"/>
      <c r="C991" s="49"/>
      <c r="D991" s="49"/>
      <c r="E991" s="50"/>
      <c r="F991" s="290"/>
      <c r="G991" s="290"/>
      <c r="H991" s="454"/>
      <c r="I991" s="91"/>
    </row>
    <row r="992" spans="1:9" x14ac:dyDescent="0.25">
      <c r="A992" s="48"/>
      <c r="B992" s="49"/>
      <c r="C992" s="49"/>
      <c r="D992" s="49"/>
      <c r="E992" s="50"/>
      <c r="F992" s="290"/>
      <c r="G992" s="290"/>
      <c r="H992" s="454"/>
      <c r="I992" s="91"/>
    </row>
    <row r="993" spans="1:9" x14ac:dyDescent="0.25">
      <c r="A993" s="48"/>
      <c r="B993" s="49"/>
      <c r="C993" s="49"/>
      <c r="D993" s="49"/>
      <c r="E993" s="50"/>
      <c r="F993" s="290"/>
      <c r="G993" s="290"/>
      <c r="H993" s="454"/>
      <c r="I993" s="91"/>
    </row>
    <row r="994" spans="1:9" x14ac:dyDescent="0.25">
      <c r="A994" s="48"/>
      <c r="B994" s="49"/>
      <c r="C994" s="49"/>
      <c r="D994" s="49"/>
      <c r="E994" s="50"/>
      <c r="F994" s="290"/>
      <c r="G994" s="290"/>
      <c r="H994" s="454"/>
      <c r="I994" s="91"/>
    </row>
    <row r="995" spans="1:9" x14ac:dyDescent="0.25">
      <c r="A995" s="48"/>
      <c r="B995" s="49"/>
      <c r="C995" s="49"/>
      <c r="D995" s="49"/>
      <c r="E995" s="50"/>
      <c r="F995" s="290"/>
      <c r="G995" s="290"/>
      <c r="H995" s="454"/>
      <c r="I995" s="91"/>
    </row>
    <row r="996" spans="1:9" x14ac:dyDescent="0.25">
      <c r="A996" s="48"/>
      <c r="B996" s="49"/>
      <c r="C996" s="49"/>
      <c r="D996" s="49"/>
      <c r="E996" s="50"/>
      <c r="F996" s="290"/>
      <c r="G996" s="290"/>
      <c r="H996" s="454"/>
      <c r="I996" s="91"/>
    </row>
    <row r="997" spans="1:9" x14ac:dyDescent="0.25">
      <c r="A997" s="48"/>
      <c r="B997" s="49"/>
      <c r="C997" s="49"/>
      <c r="D997" s="49"/>
      <c r="E997" s="50"/>
      <c r="F997" s="290"/>
      <c r="G997" s="290"/>
      <c r="H997" s="454"/>
      <c r="I997" s="91"/>
    </row>
    <row r="998" spans="1:9" x14ac:dyDescent="0.25">
      <c r="A998" s="48"/>
      <c r="B998" s="49"/>
      <c r="C998" s="49"/>
      <c r="D998" s="49"/>
      <c r="E998" s="50"/>
      <c r="F998" s="290"/>
      <c r="G998" s="290"/>
      <c r="H998" s="454"/>
      <c r="I998" s="91"/>
    </row>
    <row r="999" spans="1:9" x14ac:dyDescent="0.25">
      <c r="A999" s="48"/>
      <c r="B999" s="49"/>
      <c r="C999" s="49"/>
      <c r="D999" s="49"/>
      <c r="E999" s="50"/>
      <c r="F999" s="290"/>
      <c r="G999" s="290"/>
      <c r="H999" s="454"/>
      <c r="I999" s="91"/>
    </row>
    <row r="1000" spans="1:9" x14ac:dyDescent="0.25">
      <c r="A1000" s="48"/>
      <c r="B1000" s="49"/>
      <c r="C1000" s="49"/>
      <c r="D1000" s="49"/>
      <c r="E1000" s="50"/>
      <c r="F1000" s="290"/>
      <c r="G1000" s="290"/>
      <c r="H1000" s="454"/>
      <c r="I1000" s="91"/>
    </row>
    <row r="1001" spans="1:9" x14ac:dyDescent="0.25">
      <c r="A1001" s="48"/>
      <c r="B1001" s="49"/>
      <c r="C1001" s="49"/>
      <c r="D1001" s="49"/>
      <c r="E1001" s="50"/>
      <c r="F1001" s="290"/>
      <c r="G1001" s="290"/>
      <c r="H1001" s="454"/>
      <c r="I1001" s="91"/>
    </row>
  </sheetData>
  <autoFilter ref="A1:K723" xr:uid="{00000000-0001-0000-0600-000000000000}">
    <filterColumn colId="0">
      <filters>
        <filter val="17"/>
      </filters>
    </filterColumn>
    <filterColumn colId="1">
      <filters>
        <filter val="Nómina"/>
        <filter val="Transporte"/>
      </filters>
    </filterColumn>
  </autoFilter>
  <dataValidations count="1">
    <dataValidation type="list" errorTitle="Categoría Inválida" error="Por favor seleccione una categoría válida de la lista." promptTitle="Categoría de Gasto/Costo" prompt="Seleccione una categoría:" sqref="B3:B1001" xr:uid="{00000000-0002-0000-0600-000000000000}">
      <formula1>"Carnes,Servicios,Desechables,Verduras,Grano,Bebidas"</formula1>
    </dataValidation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8"/>
  <sheetViews>
    <sheetView workbookViewId="0">
      <selection activeCell="C17" sqref="C17"/>
    </sheetView>
  </sheetViews>
  <sheetFormatPr baseColWidth="10" defaultRowHeight="15" x14ac:dyDescent="0.25"/>
  <cols>
    <col min="1" max="1" width="18.42578125" style="454" bestFit="1" customWidth="1"/>
    <col min="2" max="2" width="13.7109375" style="451" bestFit="1" customWidth="1"/>
    <col min="3" max="3" width="23.5703125" style="478" customWidth="1"/>
    <col min="4" max="4" width="11.42578125" style="451" customWidth="1"/>
  </cols>
  <sheetData>
    <row r="1" spans="1:4" s="476" customFormat="1" x14ac:dyDescent="0.25">
      <c r="A1" s="593" t="s">
        <v>1976</v>
      </c>
      <c r="B1" s="594"/>
      <c r="C1" s="594"/>
      <c r="D1" s="594"/>
    </row>
    <row r="2" spans="1:4" x14ac:dyDescent="0.25">
      <c r="A2" s="454" t="s">
        <v>1977</v>
      </c>
      <c r="B2" s="451" t="s">
        <v>1978</v>
      </c>
      <c r="C2" s="478" t="s">
        <v>1979</v>
      </c>
    </row>
    <row r="3" spans="1:4" s="476" customFormat="1" x14ac:dyDescent="0.25">
      <c r="A3" s="457" t="s">
        <v>1980</v>
      </c>
      <c r="B3" s="459">
        <v>46262</v>
      </c>
      <c r="C3" s="478">
        <v>7834972</v>
      </c>
      <c r="D3" s="458" t="s">
        <v>1981</v>
      </c>
    </row>
    <row r="4" spans="1:4" x14ac:dyDescent="0.25">
      <c r="A4" s="449" t="s">
        <v>209</v>
      </c>
      <c r="B4" s="452">
        <v>1</v>
      </c>
      <c r="C4" s="479">
        <v>2546555</v>
      </c>
      <c r="D4" s="452" t="s">
        <v>1981</v>
      </c>
    </row>
    <row r="5" spans="1:4" x14ac:dyDescent="0.25">
      <c r="A5" s="449" t="s">
        <v>218</v>
      </c>
      <c r="B5" s="452">
        <v>1</v>
      </c>
      <c r="C5" s="479">
        <v>1978665</v>
      </c>
      <c r="D5" s="452" t="s">
        <v>1981</v>
      </c>
    </row>
    <row r="6" spans="1:4" x14ac:dyDescent="0.25">
      <c r="A6" s="449" t="s">
        <v>274</v>
      </c>
      <c r="B6" s="452">
        <v>5</v>
      </c>
      <c r="C6" s="479">
        <v>7583980</v>
      </c>
      <c r="D6" s="452" t="s">
        <v>1981</v>
      </c>
    </row>
    <row r="7" spans="1:4" x14ac:dyDescent="0.25">
      <c r="A7" s="448" t="s">
        <v>301</v>
      </c>
      <c r="B7" s="451">
        <v>7</v>
      </c>
      <c r="C7" s="478">
        <v>1528617</v>
      </c>
    </row>
    <row r="8" spans="1:4" x14ac:dyDescent="0.25">
      <c r="A8" s="448" t="s">
        <v>325</v>
      </c>
      <c r="B8" s="451">
        <v>9</v>
      </c>
      <c r="C8" s="478">
        <v>4065132</v>
      </c>
    </row>
    <row r="9" spans="1:4" x14ac:dyDescent="0.25">
      <c r="A9" s="448" t="s">
        <v>433</v>
      </c>
      <c r="B9" s="451">
        <v>17</v>
      </c>
      <c r="C9" s="478">
        <v>4335049</v>
      </c>
    </row>
    <row r="10" spans="1:4" x14ac:dyDescent="0.25">
      <c r="A10" s="455" t="s">
        <v>372</v>
      </c>
      <c r="B10" s="451">
        <v>12</v>
      </c>
      <c r="C10" s="478">
        <v>6083354</v>
      </c>
    </row>
    <row r="11" spans="1:4" x14ac:dyDescent="0.25">
      <c r="A11" s="456" t="s">
        <v>407</v>
      </c>
      <c r="B11" s="451">
        <v>14</v>
      </c>
      <c r="C11" s="478">
        <v>660028.80000000005</v>
      </c>
    </row>
    <row r="12" spans="1:4" s="476" customFormat="1" x14ac:dyDescent="0.25">
      <c r="A12" s="460" t="s">
        <v>1982</v>
      </c>
      <c r="B12" s="458">
        <v>19</v>
      </c>
      <c r="C12" s="478">
        <v>4708833</v>
      </c>
      <c r="D12" s="458"/>
    </row>
    <row r="13" spans="1:4" x14ac:dyDescent="0.25">
      <c r="A13" s="448"/>
    </row>
    <row r="14" spans="1:4" x14ac:dyDescent="0.25">
      <c r="B14" s="453" t="s">
        <v>1979</v>
      </c>
      <c r="C14" s="480">
        <v>41325185.799999997</v>
      </c>
    </row>
    <row r="15" spans="1:4" x14ac:dyDescent="0.25">
      <c r="B15" s="451" t="s">
        <v>1983</v>
      </c>
      <c r="C15" s="478">
        <v>19944172</v>
      </c>
    </row>
    <row r="16" spans="1:4" x14ac:dyDescent="0.25">
      <c r="B16" s="451" t="s">
        <v>1984</v>
      </c>
      <c r="C16" s="478">
        <v>21381013.800000001</v>
      </c>
    </row>
    <row r="18" spans="3:3" x14ac:dyDescent="0.25">
      <c r="C18" s="451"/>
    </row>
    <row r="19" spans="3:3" x14ac:dyDescent="0.25">
      <c r="C19" s="451"/>
    </row>
    <row r="20" spans="3:3" x14ac:dyDescent="0.25">
      <c r="C20" s="451"/>
    </row>
    <row r="21" spans="3:3" x14ac:dyDescent="0.25">
      <c r="C21" s="451"/>
    </row>
    <row r="22" spans="3:3" x14ac:dyDescent="0.25">
      <c r="C22" s="451"/>
    </row>
    <row r="23" spans="3:3" x14ac:dyDescent="0.25">
      <c r="C23" s="451"/>
    </row>
    <row r="24" spans="3:3" x14ac:dyDescent="0.25">
      <c r="C24" s="451"/>
    </row>
    <row r="25" spans="3:3" x14ac:dyDescent="0.25">
      <c r="C25" s="451"/>
    </row>
    <row r="26" spans="3:3" x14ac:dyDescent="0.25">
      <c r="C26" s="451"/>
    </row>
    <row r="27" spans="3:3" x14ac:dyDescent="0.25">
      <c r="C27" s="451"/>
    </row>
    <row r="28" spans="3:3" x14ac:dyDescent="0.25">
      <c r="C28" s="451"/>
    </row>
    <row r="29" spans="3:3" x14ac:dyDescent="0.25">
      <c r="C29" s="451"/>
    </row>
    <row r="30" spans="3:3" x14ac:dyDescent="0.25">
      <c r="C30" s="451"/>
    </row>
    <row r="31" spans="3:3" x14ac:dyDescent="0.25">
      <c r="C31" s="451"/>
    </row>
    <row r="32" spans="3:3" x14ac:dyDescent="0.25">
      <c r="C32" s="451"/>
    </row>
    <row r="33" spans="3:3" x14ac:dyDescent="0.25">
      <c r="C33" s="451"/>
    </row>
    <row r="34" spans="3:3" x14ac:dyDescent="0.25">
      <c r="C34" s="451"/>
    </row>
    <row r="35" spans="3:3" x14ac:dyDescent="0.25">
      <c r="C35" s="451"/>
    </row>
    <row r="36" spans="3:3" x14ac:dyDescent="0.25">
      <c r="C36" s="451"/>
    </row>
    <row r="37" spans="3:3" x14ac:dyDescent="0.25">
      <c r="C37" s="451"/>
    </row>
    <row r="38" spans="3:3" x14ac:dyDescent="0.25">
      <c r="C38" s="451"/>
    </row>
    <row r="39" spans="3:3" x14ac:dyDescent="0.25">
      <c r="C39" s="451"/>
    </row>
    <row r="40" spans="3:3" x14ac:dyDescent="0.25">
      <c r="C40" s="451"/>
    </row>
    <row r="41" spans="3:3" x14ac:dyDescent="0.25">
      <c r="C41" s="451"/>
    </row>
    <row r="42" spans="3:3" x14ac:dyDescent="0.25">
      <c r="C42" s="451"/>
    </row>
    <row r="43" spans="3:3" x14ac:dyDescent="0.25">
      <c r="C43" s="451"/>
    </row>
    <row r="44" spans="3:3" x14ac:dyDescent="0.25">
      <c r="C44" s="451"/>
    </row>
    <row r="45" spans="3:3" x14ac:dyDescent="0.25">
      <c r="C45" s="451"/>
    </row>
    <row r="46" spans="3:3" x14ac:dyDescent="0.25">
      <c r="C46" s="451"/>
    </row>
    <row r="47" spans="3:3" x14ac:dyDescent="0.25">
      <c r="C47" s="451"/>
    </row>
    <row r="48" spans="3:3" x14ac:dyDescent="0.25">
      <c r="C48" s="451"/>
    </row>
  </sheetData>
  <mergeCells count="1">
    <mergeCell ref="A1:D1"/>
  </mergeCells>
  <conditionalFormatting sqref="A2:A9 A49:A1048576">
    <cfRule type="duplicateValues" dxfId="1" priority="2"/>
  </conditionalFormatting>
  <conditionalFormatting sqref="A1:A10 A49:A1048576">
    <cfRule type="duplicateValues" dxfId="0" priority="1"/>
  </conditionalFormatting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98"/>
  <sheetViews>
    <sheetView tabSelected="1" topLeftCell="A49" workbookViewId="0">
      <selection activeCell="F61" sqref="F61"/>
    </sheetView>
  </sheetViews>
  <sheetFormatPr baseColWidth="10" defaultColWidth="9.140625" defaultRowHeight="15" x14ac:dyDescent="0.25"/>
  <cols>
    <col min="1" max="1" width="3" style="471" customWidth="1"/>
    <col min="2" max="2" width="5" style="471" customWidth="1"/>
    <col min="3" max="3" width="36.5703125" style="471" customWidth="1"/>
    <col min="4" max="4" width="10" style="471" customWidth="1"/>
    <col min="5" max="5" width="26.85546875" style="471" customWidth="1"/>
    <col min="6" max="6" width="28" style="471" customWidth="1"/>
    <col min="7" max="7" width="16" style="471" customWidth="1"/>
    <col min="8" max="8" width="24" style="471" customWidth="1"/>
    <col min="9" max="9" width="16" style="471" customWidth="1"/>
    <col min="10" max="10" width="14" style="471" customWidth="1"/>
    <col min="11" max="11" width="15" style="471" customWidth="1"/>
    <col min="12" max="12" width="20" style="471" customWidth="1"/>
    <col min="13" max="13" width="50" style="471" customWidth="1"/>
  </cols>
  <sheetData>
    <row r="1" spans="1:13" x14ac:dyDescent="0.25">
      <c r="A1" s="408"/>
      <c r="B1" s="408"/>
      <c r="C1" s="408"/>
      <c r="D1" s="408"/>
      <c r="E1" s="408"/>
      <c r="F1" s="408"/>
      <c r="G1" s="408"/>
      <c r="H1" s="408"/>
      <c r="I1" s="408"/>
      <c r="J1" s="408"/>
    </row>
    <row r="2" spans="1:13" ht="27.95" customHeight="1" x14ac:dyDescent="0.25">
      <c r="A2" s="408"/>
      <c r="B2" s="614" t="s">
        <v>1985</v>
      </c>
      <c r="C2" s="545"/>
      <c r="D2" s="545"/>
      <c r="E2" s="545"/>
      <c r="F2" s="545"/>
      <c r="G2" s="545"/>
      <c r="H2" s="545"/>
      <c r="I2" s="545"/>
      <c r="J2" s="545"/>
      <c r="K2" s="545"/>
      <c r="L2" s="545"/>
      <c r="M2" s="545"/>
    </row>
    <row r="3" spans="1:13" ht="18" customHeight="1" x14ac:dyDescent="0.25">
      <c r="A3" s="408"/>
      <c r="B3" s="595" t="s">
        <v>1986</v>
      </c>
      <c r="C3" s="545"/>
      <c r="D3" s="545"/>
      <c r="E3" s="545"/>
      <c r="F3" s="545"/>
      <c r="G3" s="545"/>
      <c r="H3" s="545"/>
      <c r="I3" s="545"/>
      <c r="J3" s="545"/>
      <c r="K3" s="545"/>
      <c r="L3" s="545"/>
      <c r="M3" s="545"/>
    </row>
    <row r="4" spans="1:13" x14ac:dyDescent="0.25">
      <c r="A4" s="408"/>
      <c r="B4" s="408"/>
      <c r="C4" s="408"/>
      <c r="D4" s="408"/>
      <c r="E4" s="408"/>
      <c r="F4" s="408"/>
      <c r="G4" s="408"/>
      <c r="H4" s="408"/>
      <c r="I4" s="408"/>
      <c r="J4" s="408"/>
    </row>
    <row r="5" spans="1:13" ht="15.95" customHeight="1" x14ac:dyDescent="0.25">
      <c r="A5" s="408"/>
      <c r="B5" s="606" t="s">
        <v>1987</v>
      </c>
      <c r="C5" s="551"/>
      <c r="D5" s="606" t="s">
        <v>1988</v>
      </c>
      <c r="E5" s="551"/>
      <c r="F5" s="606" t="s">
        <v>1095</v>
      </c>
      <c r="G5" s="551"/>
      <c r="H5" s="606" t="s">
        <v>1989</v>
      </c>
      <c r="I5" s="551"/>
      <c r="J5" s="606" t="s">
        <v>1990</v>
      </c>
      <c r="K5" s="551"/>
      <c r="L5" s="606" t="s">
        <v>1991</v>
      </c>
      <c r="M5" s="551"/>
    </row>
    <row r="6" spans="1:13" ht="24" customHeight="1" x14ac:dyDescent="0.25">
      <c r="A6" s="408"/>
      <c r="B6" s="599">
        <v>60724569</v>
      </c>
      <c r="C6" s="551"/>
      <c r="D6" s="599">
        <v>11352550</v>
      </c>
      <c r="E6" s="551"/>
      <c r="F6" s="599">
        <v>12243950</v>
      </c>
      <c r="G6" s="551"/>
      <c r="H6" s="599">
        <v>84321069</v>
      </c>
      <c r="I6" s="551"/>
      <c r="J6" s="599">
        <v>170285612.61000001</v>
      </c>
      <c r="K6" s="551"/>
      <c r="L6" s="608" t="s">
        <v>1992</v>
      </c>
      <c r="M6" s="551"/>
    </row>
    <row r="7" spans="1:13" ht="15" customHeight="1" x14ac:dyDescent="0.25">
      <c r="A7" s="408"/>
      <c r="B7" s="605" t="s">
        <v>1993</v>
      </c>
      <c r="C7" s="551"/>
      <c r="D7" s="605" t="s">
        <v>1994</v>
      </c>
      <c r="E7" s="551"/>
      <c r="F7" s="605" t="s">
        <v>1995</v>
      </c>
      <c r="G7" s="551"/>
      <c r="H7" s="605" t="s">
        <v>1996</v>
      </c>
      <c r="I7" s="551"/>
      <c r="J7" s="605" t="s">
        <v>1997</v>
      </c>
      <c r="K7" s="551"/>
      <c r="L7" s="605" t="s">
        <v>1998</v>
      </c>
      <c r="M7" s="551"/>
    </row>
    <row r="8" spans="1:13" x14ac:dyDescent="0.25">
      <c r="A8" s="408"/>
      <c r="B8" s="408"/>
      <c r="C8" s="408"/>
      <c r="D8" s="408"/>
      <c r="E8" s="408"/>
      <c r="F8" s="408"/>
      <c r="G8" s="408"/>
      <c r="H8" s="408"/>
      <c r="I8" s="408"/>
      <c r="J8" s="408"/>
    </row>
    <row r="9" spans="1:13" ht="21.95" customHeight="1" x14ac:dyDescent="0.25">
      <c r="A9" s="408"/>
      <c r="B9" s="609" t="s">
        <v>1999</v>
      </c>
      <c r="C9" s="545"/>
      <c r="D9" s="545"/>
      <c r="E9" s="545"/>
      <c r="F9" s="545"/>
      <c r="G9" s="545"/>
      <c r="H9" s="545"/>
      <c r="I9" s="545"/>
      <c r="J9" s="545"/>
      <c r="K9" s="545"/>
      <c r="L9" s="545"/>
      <c r="M9" s="545"/>
    </row>
    <row r="10" spans="1:13" ht="24" customHeight="1" x14ac:dyDescent="0.25">
      <c r="A10" s="408"/>
      <c r="B10" s="409" t="s">
        <v>2000</v>
      </c>
      <c r="C10" s="409" t="s">
        <v>2001</v>
      </c>
      <c r="D10" s="409" t="s">
        <v>2002</v>
      </c>
      <c r="E10" s="409" t="s">
        <v>48</v>
      </c>
      <c r="F10" s="409" t="s">
        <v>2003</v>
      </c>
      <c r="G10" s="409" t="s">
        <v>2004</v>
      </c>
      <c r="H10" s="409" t="s">
        <v>2005</v>
      </c>
      <c r="I10" s="409" t="s">
        <v>2006</v>
      </c>
      <c r="J10" s="409" t="s">
        <v>2007</v>
      </c>
      <c r="K10" s="409" t="s">
        <v>2008</v>
      </c>
      <c r="L10" s="409" t="s">
        <v>2009</v>
      </c>
      <c r="M10" s="409" t="s">
        <v>2010</v>
      </c>
    </row>
    <row r="11" spans="1:13" ht="18.95" customHeight="1" x14ac:dyDescent="0.25">
      <c r="A11" s="408"/>
      <c r="B11" s="468">
        <v>1</v>
      </c>
      <c r="C11" s="468" t="s">
        <v>2011</v>
      </c>
      <c r="D11" s="410">
        <v>1</v>
      </c>
      <c r="E11" s="468">
        <v>11</v>
      </c>
      <c r="F11" s="411" t="s">
        <v>2012</v>
      </c>
      <c r="G11" s="467">
        <v>5241000</v>
      </c>
      <c r="H11" s="412" t="s">
        <v>2013</v>
      </c>
      <c r="I11" s="467">
        <v>5241000</v>
      </c>
      <c r="J11" s="439">
        <v>0</v>
      </c>
      <c r="K11" s="468" t="s">
        <v>2014</v>
      </c>
      <c r="L11" s="468" t="s">
        <v>1562</v>
      </c>
      <c r="M11" s="465" t="s">
        <v>2015</v>
      </c>
    </row>
    <row r="12" spans="1:13" ht="18.95" customHeight="1" x14ac:dyDescent="0.25">
      <c r="A12" s="408"/>
      <c r="B12" s="413">
        <v>2</v>
      </c>
      <c r="C12" s="413" t="s">
        <v>2011</v>
      </c>
      <c r="D12" s="414">
        <v>2</v>
      </c>
      <c r="E12" s="413">
        <v>11</v>
      </c>
      <c r="F12" s="415" t="s">
        <v>2016</v>
      </c>
      <c r="G12" s="416">
        <v>728000</v>
      </c>
      <c r="H12" s="417" t="s">
        <v>2017</v>
      </c>
      <c r="I12" s="416">
        <v>728000</v>
      </c>
      <c r="J12" s="440">
        <v>0</v>
      </c>
      <c r="K12" s="413" t="s">
        <v>2018</v>
      </c>
      <c r="L12" s="413" t="s">
        <v>391</v>
      </c>
      <c r="M12" s="418" t="s">
        <v>2019</v>
      </c>
    </row>
    <row r="13" spans="1:13" ht="18.95" customHeight="1" x14ac:dyDescent="0.25">
      <c r="A13" s="408"/>
      <c r="B13" s="468">
        <v>3</v>
      </c>
      <c r="C13" s="468" t="s">
        <v>2011</v>
      </c>
      <c r="D13" s="410">
        <v>3</v>
      </c>
      <c r="E13" s="468">
        <v>11</v>
      </c>
      <c r="F13" s="411" t="s">
        <v>1572</v>
      </c>
      <c r="G13" s="467">
        <v>19944200</v>
      </c>
      <c r="H13" s="419" t="s">
        <v>2017</v>
      </c>
      <c r="I13" s="467">
        <v>19944200</v>
      </c>
      <c r="J13" s="439">
        <v>0</v>
      </c>
      <c r="K13" s="468" t="s">
        <v>2020</v>
      </c>
      <c r="L13" s="468" t="s">
        <v>391</v>
      </c>
      <c r="M13" s="465" t="s">
        <v>2021</v>
      </c>
    </row>
    <row r="14" spans="1:13" ht="18.95" customHeight="1" x14ac:dyDescent="0.25">
      <c r="A14" s="408"/>
      <c r="B14" s="413">
        <v>4</v>
      </c>
      <c r="C14" s="413" t="s">
        <v>2011</v>
      </c>
      <c r="D14" s="414">
        <v>4</v>
      </c>
      <c r="E14" s="413">
        <v>11</v>
      </c>
      <c r="F14" s="415" t="s">
        <v>820</v>
      </c>
      <c r="G14" s="416">
        <v>16523800</v>
      </c>
      <c r="H14" s="420" t="s">
        <v>2022</v>
      </c>
      <c r="I14" s="416">
        <v>16523800</v>
      </c>
      <c r="J14" s="440">
        <v>0</v>
      </c>
      <c r="K14" s="413" t="s">
        <v>2023</v>
      </c>
      <c r="L14" s="413" t="s">
        <v>819</v>
      </c>
      <c r="M14" s="418" t="s">
        <v>2024</v>
      </c>
    </row>
    <row r="15" spans="1:13" ht="18.95" customHeight="1" x14ac:dyDescent="0.25">
      <c r="A15" s="408"/>
      <c r="B15" s="468">
        <v>5</v>
      </c>
      <c r="C15" s="468" t="s">
        <v>2011</v>
      </c>
      <c r="D15" s="410">
        <v>5</v>
      </c>
      <c r="E15" s="468">
        <v>11</v>
      </c>
      <c r="F15" s="411" t="s">
        <v>1578</v>
      </c>
      <c r="G15" s="467">
        <v>2288950</v>
      </c>
      <c r="H15" s="419" t="s">
        <v>2017</v>
      </c>
      <c r="I15" s="467">
        <v>2288950</v>
      </c>
      <c r="J15" s="439">
        <v>0</v>
      </c>
      <c r="K15" s="468" t="s">
        <v>2025</v>
      </c>
      <c r="L15" s="468" t="s">
        <v>391</v>
      </c>
      <c r="M15" s="465" t="s">
        <v>2026</v>
      </c>
    </row>
    <row r="16" spans="1:13" ht="18.95" customHeight="1" x14ac:dyDescent="0.25">
      <c r="A16" s="408"/>
      <c r="B16" s="413">
        <v>6</v>
      </c>
      <c r="C16" s="413" t="s">
        <v>2011</v>
      </c>
      <c r="D16" s="414">
        <v>6</v>
      </c>
      <c r="E16" s="413">
        <v>11</v>
      </c>
      <c r="F16" s="415" t="s">
        <v>2027</v>
      </c>
      <c r="G16" s="416">
        <v>254200</v>
      </c>
      <c r="H16" s="420" t="s">
        <v>2013</v>
      </c>
      <c r="I16" s="416">
        <v>254200</v>
      </c>
      <c r="J16" s="440">
        <v>0</v>
      </c>
      <c r="K16" s="413" t="s">
        <v>2028</v>
      </c>
      <c r="L16" s="413" t="s">
        <v>2029</v>
      </c>
      <c r="M16" s="418" t="s">
        <v>2030</v>
      </c>
    </row>
    <row r="17" spans="1:13" ht="18.95" customHeight="1" x14ac:dyDescent="0.25">
      <c r="A17" s="408"/>
      <c r="B17" s="468">
        <v>7</v>
      </c>
      <c r="C17" s="468" t="s">
        <v>2011</v>
      </c>
      <c r="D17" s="410">
        <v>7</v>
      </c>
      <c r="E17" s="468">
        <v>11</v>
      </c>
      <c r="F17" s="411" t="s">
        <v>2031</v>
      </c>
      <c r="G17" s="467">
        <v>227500</v>
      </c>
      <c r="H17" s="412" t="s">
        <v>2013</v>
      </c>
      <c r="I17" s="467">
        <v>227500</v>
      </c>
      <c r="J17" s="439">
        <v>0</v>
      </c>
      <c r="K17" s="468" t="s">
        <v>2032</v>
      </c>
      <c r="L17" s="468" t="s">
        <v>2033</v>
      </c>
      <c r="M17" s="465" t="s">
        <v>2034</v>
      </c>
    </row>
    <row r="18" spans="1:13" ht="18.95" customHeight="1" x14ac:dyDescent="0.25">
      <c r="A18" s="408"/>
      <c r="B18" s="413">
        <v>8</v>
      </c>
      <c r="C18" s="413" t="s">
        <v>2011</v>
      </c>
      <c r="D18" s="414">
        <v>8</v>
      </c>
      <c r="E18" s="413">
        <v>11</v>
      </c>
      <c r="F18" s="415" t="s">
        <v>1673</v>
      </c>
      <c r="G18" s="416">
        <v>200000</v>
      </c>
      <c r="H18" s="421" t="s">
        <v>2035</v>
      </c>
      <c r="I18" s="416">
        <v>204000</v>
      </c>
      <c r="J18" s="440">
        <v>-4000</v>
      </c>
      <c r="K18" s="413" t="s">
        <v>2036</v>
      </c>
      <c r="L18" s="413" t="s">
        <v>2037</v>
      </c>
      <c r="M18" s="418" t="s">
        <v>2038</v>
      </c>
    </row>
    <row r="19" spans="1:13" ht="18.95" customHeight="1" x14ac:dyDescent="0.25">
      <c r="A19" s="408"/>
      <c r="B19" s="468">
        <v>9</v>
      </c>
      <c r="C19" s="468" t="s">
        <v>2011</v>
      </c>
      <c r="D19" s="410">
        <v>9</v>
      </c>
      <c r="E19" s="468">
        <v>11</v>
      </c>
      <c r="F19" s="411" t="s">
        <v>1673</v>
      </c>
      <c r="G19" s="467">
        <v>200000</v>
      </c>
      <c r="H19" s="419" t="s">
        <v>2017</v>
      </c>
      <c r="I19" s="467">
        <v>200000</v>
      </c>
      <c r="J19" s="439">
        <v>0</v>
      </c>
      <c r="K19" s="468" t="s">
        <v>2039</v>
      </c>
      <c r="L19" s="468" t="s">
        <v>391</v>
      </c>
      <c r="M19" s="465" t="s">
        <v>2040</v>
      </c>
    </row>
    <row r="20" spans="1:13" ht="18.95" customHeight="1" x14ac:dyDescent="0.25">
      <c r="A20" s="408"/>
      <c r="B20" s="413">
        <v>10</v>
      </c>
      <c r="C20" s="413" t="s">
        <v>2011</v>
      </c>
      <c r="D20" s="414">
        <v>10</v>
      </c>
      <c r="E20" s="413">
        <v>11</v>
      </c>
      <c r="F20" s="415" t="s">
        <v>2041</v>
      </c>
      <c r="G20" s="416">
        <v>443900</v>
      </c>
      <c r="H20" s="420" t="s">
        <v>2013</v>
      </c>
      <c r="I20" s="416">
        <v>443900</v>
      </c>
      <c r="J20" s="440">
        <v>0</v>
      </c>
      <c r="K20" s="413" t="s">
        <v>2042</v>
      </c>
      <c r="L20" s="413" t="s">
        <v>391</v>
      </c>
      <c r="M20" s="418" t="s">
        <v>2043</v>
      </c>
    </row>
    <row r="21" spans="1:13" ht="18.95" customHeight="1" x14ac:dyDescent="0.25">
      <c r="A21" s="408"/>
      <c r="B21" s="468">
        <v>11</v>
      </c>
      <c r="C21" s="468" t="s">
        <v>2011</v>
      </c>
      <c r="D21" s="410">
        <v>11</v>
      </c>
      <c r="E21" s="468">
        <v>11</v>
      </c>
      <c r="F21" s="411" t="s">
        <v>2044</v>
      </c>
      <c r="G21" s="467">
        <v>198500</v>
      </c>
      <c r="H21" s="412" t="s">
        <v>2013</v>
      </c>
      <c r="I21" s="467">
        <v>198500</v>
      </c>
      <c r="J21" s="439">
        <v>0</v>
      </c>
      <c r="K21" s="468" t="s">
        <v>2045</v>
      </c>
      <c r="L21" s="468" t="s">
        <v>2046</v>
      </c>
      <c r="M21" s="465" t="s">
        <v>2047</v>
      </c>
    </row>
    <row r="22" spans="1:13" ht="18.95" customHeight="1" x14ac:dyDescent="0.25">
      <c r="A22" s="408"/>
      <c r="B22" s="413">
        <v>12</v>
      </c>
      <c r="C22" s="413" t="s">
        <v>2011</v>
      </c>
      <c r="D22" s="414">
        <v>12</v>
      </c>
      <c r="E22" s="413">
        <v>11</v>
      </c>
      <c r="F22" s="415" t="s">
        <v>392</v>
      </c>
      <c r="G22" s="416">
        <v>238000</v>
      </c>
      <c r="H22" s="420" t="s">
        <v>2013</v>
      </c>
      <c r="I22" s="416">
        <v>238000</v>
      </c>
      <c r="J22" s="440">
        <v>0</v>
      </c>
      <c r="K22" s="413" t="s">
        <v>2048</v>
      </c>
      <c r="L22" s="413" t="s">
        <v>2046</v>
      </c>
      <c r="M22" s="418" t="s">
        <v>2049</v>
      </c>
    </row>
    <row r="23" spans="1:13" ht="18.95" customHeight="1" x14ac:dyDescent="0.25">
      <c r="A23" s="408"/>
      <c r="B23" s="468">
        <v>13</v>
      </c>
      <c r="C23" s="468" t="s">
        <v>2011</v>
      </c>
      <c r="D23" s="410">
        <v>13</v>
      </c>
      <c r="E23" s="468">
        <v>11</v>
      </c>
      <c r="F23" s="411" t="s">
        <v>2050</v>
      </c>
      <c r="G23" s="467">
        <v>91950</v>
      </c>
      <c r="H23" s="412" t="s">
        <v>2013</v>
      </c>
      <c r="I23" s="467">
        <v>91950</v>
      </c>
      <c r="J23" s="439">
        <v>0</v>
      </c>
      <c r="K23" s="468" t="s">
        <v>2051</v>
      </c>
      <c r="L23" s="468" t="s">
        <v>2046</v>
      </c>
      <c r="M23" s="465" t="s">
        <v>2052</v>
      </c>
    </row>
    <row r="24" spans="1:13" ht="18.95" customHeight="1" x14ac:dyDescent="0.25">
      <c r="A24" s="408"/>
      <c r="B24" s="413">
        <v>14</v>
      </c>
      <c r="C24" s="413" t="s">
        <v>2011</v>
      </c>
      <c r="D24" s="414">
        <v>14</v>
      </c>
      <c r="E24" s="413">
        <v>11</v>
      </c>
      <c r="F24" s="415" t="s">
        <v>2053</v>
      </c>
      <c r="G24" s="416">
        <v>43269</v>
      </c>
      <c r="H24" s="420" t="s">
        <v>2013</v>
      </c>
      <c r="I24" s="416">
        <v>43269</v>
      </c>
      <c r="J24" s="440">
        <v>0</v>
      </c>
      <c r="K24" s="413" t="s">
        <v>2054</v>
      </c>
      <c r="L24" s="413" t="s">
        <v>2055</v>
      </c>
      <c r="M24" s="418" t="s">
        <v>2056</v>
      </c>
    </row>
    <row r="25" spans="1:13" ht="18.95" customHeight="1" x14ac:dyDescent="0.25">
      <c r="A25" s="408"/>
      <c r="B25" s="468">
        <v>15</v>
      </c>
      <c r="C25" s="468" t="s">
        <v>2011</v>
      </c>
      <c r="D25" s="410">
        <v>15</v>
      </c>
      <c r="E25" s="468">
        <v>11</v>
      </c>
      <c r="F25" s="411" t="s">
        <v>2057</v>
      </c>
      <c r="G25" s="467">
        <v>8850</v>
      </c>
      <c r="H25" s="412" t="s">
        <v>2013</v>
      </c>
      <c r="I25" s="467">
        <v>8850</v>
      </c>
      <c r="J25" s="439">
        <v>0</v>
      </c>
      <c r="K25" s="468" t="s">
        <v>2058</v>
      </c>
      <c r="L25" s="468" t="s">
        <v>2055</v>
      </c>
      <c r="M25" s="465" t="s">
        <v>2059</v>
      </c>
    </row>
    <row r="26" spans="1:13" ht="18.95" customHeight="1" x14ac:dyDescent="0.25">
      <c r="A26" s="408"/>
      <c r="B26" s="413">
        <v>16</v>
      </c>
      <c r="C26" s="413" t="s">
        <v>2011</v>
      </c>
      <c r="D26" s="414">
        <v>16</v>
      </c>
      <c r="E26" s="413">
        <v>11</v>
      </c>
      <c r="F26" s="415" t="s">
        <v>360</v>
      </c>
      <c r="G26" s="416">
        <v>364000</v>
      </c>
      <c r="H26" s="417" t="s">
        <v>2017</v>
      </c>
      <c r="I26" s="416">
        <v>364000</v>
      </c>
      <c r="J26" s="440">
        <v>0</v>
      </c>
      <c r="K26" s="413" t="s">
        <v>2060</v>
      </c>
      <c r="L26" s="413" t="s">
        <v>391</v>
      </c>
      <c r="M26" s="418" t="s">
        <v>2061</v>
      </c>
    </row>
    <row r="27" spans="1:13" ht="18.95" customHeight="1" x14ac:dyDescent="0.25">
      <c r="A27" s="408"/>
      <c r="B27" s="468">
        <v>17</v>
      </c>
      <c r="C27" s="468" t="s">
        <v>2011</v>
      </c>
      <c r="D27" s="410">
        <v>17</v>
      </c>
      <c r="E27" s="468">
        <v>11</v>
      </c>
      <c r="F27" s="411" t="s">
        <v>1195</v>
      </c>
      <c r="G27" s="467">
        <v>738000</v>
      </c>
      <c r="H27" s="412" t="s">
        <v>2013</v>
      </c>
      <c r="I27" s="467">
        <v>738000</v>
      </c>
      <c r="J27" s="439">
        <v>0</v>
      </c>
      <c r="K27" s="468" t="s">
        <v>2062</v>
      </c>
      <c r="L27" s="468" t="s">
        <v>2046</v>
      </c>
      <c r="M27" s="465" t="s">
        <v>2063</v>
      </c>
    </row>
    <row r="28" spans="1:13" ht="18.95" customHeight="1" x14ac:dyDescent="0.25">
      <c r="A28" s="408"/>
      <c r="B28" s="413">
        <v>18</v>
      </c>
      <c r="C28" s="413" t="s">
        <v>2011</v>
      </c>
      <c r="D28" s="414">
        <v>18</v>
      </c>
      <c r="E28" s="413">
        <v>11</v>
      </c>
      <c r="F28" s="415" t="s">
        <v>360</v>
      </c>
      <c r="G28" s="416">
        <v>364000</v>
      </c>
      <c r="H28" s="417" t="s">
        <v>2017</v>
      </c>
      <c r="I28" s="416">
        <v>364000</v>
      </c>
      <c r="J28" s="440">
        <v>0</v>
      </c>
      <c r="K28" s="413" t="s">
        <v>2064</v>
      </c>
      <c r="L28" s="413" t="s">
        <v>391</v>
      </c>
      <c r="M28" s="418" t="s">
        <v>2065</v>
      </c>
    </row>
    <row r="29" spans="1:13" ht="18.95" customHeight="1" x14ac:dyDescent="0.25">
      <c r="A29" s="408"/>
      <c r="B29" s="468">
        <v>19</v>
      </c>
      <c r="C29" s="468" t="s">
        <v>2011</v>
      </c>
      <c r="D29" s="410">
        <v>19</v>
      </c>
      <c r="E29" s="468">
        <v>11</v>
      </c>
      <c r="F29" s="411" t="s">
        <v>361</v>
      </c>
      <c r="G29" s="467">
        <v>1124100</v>
      </c>
      <c r="H29" s="419" t="s">
        <v>2017</v>
      </c>
      <c r="I29" s="467">
        <v>1124100</v>
      </c>
      <c r="J29" s="439">
        <v>0</v>
      </c>
      <c r="K29" s="468" t="s">
        <v>2066</v>
      </c>
      <c r="L29" s="468" t="s">
        <v>391</v>
      </c>
      <c r="M29" s="465" t="s">
        <v>2067</v>
      </c>
    </row>
    <row r="30" spans="1:13" ht="18.95" customHeight="1" x14ac:dyDescent="0.25">
      <c r="A30" s="408"/>
      <c r="B30" s="413">
        <v>20</v>
      </c>
      <c r="C30" s="413" t="s">
        <v>2011</v>
      </c>
      <c r="D30" s="414">
        <v>20</v>
      </c>
      <c r="E30" s="413">
        <v>11</v>
      </c>
      <c r="F30" s="415" t="s">
        <v>2068</v>
      </c>
      <c r="G30" s="416">
        <v>19000</v>
      </c>
      <c r="H30" s="420" t="s">
        <v>2013</v>
      </c>
      <c r="I30" s="416">
        <v>19000</v>
      </c>
      <c r="J30" s="440">
        <v>0</v>
      </c>
      <c r="K30" s="413" t="s">
        <v>2069</v>
      </c>
      <c r="L30" s="413" t="s">
        <v>2070</v>
      </c>
      <c r="M30" s="418" t="s">
        <v>2071</v>
      </c>
    </row>
    <row r="31" spans="1:13" ht="18.95" customHeight="1" x14ac:dyDescent="0.25">
      <c r="A31" s="408"/>
      <c r="B31" s="468">
        <v>21</v>
      </c>
      <c r="C31" s="468" t="s">
        <v>2011</v>
      </c>
      <c r="D31" s="410">
        <v>21</v>
      </c>
      <c r="E31" s="468">
        <v>11</v>
      </c>
      <c r="F31" s="411" t="s">
        <v>2072</v>
      </c>
      <c r="G31" s="467">
        <v>336000</v>
      </c>
      <c r="H31" s="412" t="s">
        <v>2013</v>
      </c>
      <c r="I31" s="467">
        <v>336000</v>
      </c>
      <c r="J31" s="439">
        <v>0</v>
      </c>
      <c r="K31" s="468" t="s">
        <v>2073</v>
      </c>
      <c r="L31" s="468" t="s">
        <v>2070</v>
      </c>
      <c r="M31" s="465" t="s">
        <v>2074</v>
      </c>
    </row>
    <row r="32" spans="1:13" ht="18.95" customHeight="1" x14ac:dyDescent="0.25">
      <c r="A32" s="408"/>
      <c r="B32" s="413">
        <v>22</v>
      </c>
      <c r="C32" s="413" t="s">
        <v>2011</v>
      </c>
      <c r="D32" s="414">
        <v>22</v>
      </c>
      <c r="E32" s="413">
        <v>11</v>
      </c>
      <c r="F32" s="415" t="s">
        <v>2075</v>
      </c>
      <c r="G32" s="416">
        <v>422400</v>
      </c>
      <c r="H32" s="420" t="s">
        <v>2013</v>
      </c>
      <c r="I32" s="416">
        <v>422400</v>
      </c>
      <c r="J32" s="440">
        <v>0</v>
      </c>
      <c r="K32" s="413" t="s">
        <v>2076</v>
      </c>
      <c r="L32" s="413" t="s">
        <v>391</v>
      </c>
      <c r="M32" s="418" t="s">
        <v>2077</v>
      </c>
    </row>
    <row r="33" spans="1:13" ht="18.95" customHeight="1" x14ac:dyDescent="0.25">
      <c r="A33" s="408"/>
      <c r="B33" s="468">
        <v>23</v>
      </c>
      <c r="C33" s="468" t="s">
        <v>2011</v>
      </c>
      <c r="D33" s="410">
        <v>23</v>
      </c>
      <c r="E33" s="468">
        <v>11</v>
      </c>
      <c r="F33" s="411" t="s">
        <v>2078</v>
      </c>
      <c r="G33" s="467">
        <v>58000</v>
      </c>
      <c r="H33" s="412" t="s">
        <v>2013</v>
      </c>
      <c r="I33" s="467">
        <v>58000</v>
      </c>
      <c r="J33" s="439">
        <v>0</v>
      </c>
      <c r="K33" s="468" t="s">
        <v>2079</v>
      </c>
      <c r="L33" s="468" t="s">
        <v>2070</v>
      </c>
      <c r="M33" s="465" t="s">
        <v>2080</v>
      </c>
    </row>
    <row r="34" spans="1:13" ht="18.95" customHeight="1" x14ac:dyDescent="0.25">
      <c r="A34" s="408"/>
      <c r="B34" s="413">
        <v>24</v>
      </c>
      <c r="C34" s="413" t="s">
        <v>2011</v>
      </c>
      <c r="D34" s="414">
        <v>24</v>
      </c>
      <c r="E34" s="413">
        <v>11</v>
      </c>
      <c r="F34" s="415" t="s">
        <v>2081</v>
      </c>
      <c r="G34" s="416">
        <v>10000</v>
      </c>
      <c r="H34" s="420" t="s">
        <v>2013</v>
      </c>
      <c r="I34" s="416">
        <v>10000</v>
      </c>
      <c r="J34" s="440">
        <v>0</v>
      </c>
      <c r="K34" s="413" t="s">
        <v>2082</v>
      </c>
      <c r="L34" s="413" t="s">
        <v>2070</v>
      </c>
      <c r="M34" s="418" t="s">
        <v>2083</v>
      </c>
    </row>
    <row r="35" spans="1:13" ht="18.95" customHeight="1" x14ac:dyDescent="0.25">
      <c r="A35" s="408"/>
      <c r="B35" s="468">
        <v>25</v>
      </c>
      <c r="C35" s="468" t="s">
        <v>2011</v>
      </c>
      <c r="D35" s="410">
        <v>25</v>
      </c>
      <c r="E35" s="468">
        <v>11</v>
      </c>
      <c r="F35" s="411" t="s">
        <v>1577</v>
      </c>
      <c r="G35" s="467">
        <v>15000</v>
      </c>
      <c r="H35" s="419" t="s">
        <v>2017</v>
      </c>
      <c r="I35" s="467">
        <v>15000</v>
      </c>
      <c r="J35" s="439">
        <v>0</v>
      </c>
      <c r="K35" s="468" t="s">
        <v>2084</v>
      </c>
      <c r="L35" s="468" t="s">
        <v>391</v>
      </c>
      <c r="M35" s="465" t="s">
        <v>2085</v>
      </c>
    </row>
    <row r="36" spans="1:13" ht="18.95" customHeight="1" x14ac:dyDescent="0.25">
      <c r="A36" s="408"/>
      <c r="B36" s="413">
        <v>26</v>
      </c>
      <c r="C36" s="413" t="s">
        <v>2011</v>
      </c>
      <c r="D36" s="414">
        <v>26</v>
      </c>
      <c r="E36" s="413">
        <v>11</v>
      </c>
      <c r="F36" s="415" t="s">
        <v>2086</v>
      </c>
      <c r="G36" s="416">
        <v>17000</v>
      </c>
      <c r="H36" s="420" t="s">
        <v>2013</v>
      </c>
      <c r="I36" s="416">
        <v>17000</v>
      </c>
      <c r="J36" s="440">
        <v>0</v>
      </c>
      <c r="K36" s="413" t="s">
        <v>2087</v>
      </c>
      <c r="L36" s="413" t="s">
        <v>2070</v>
      </c>
      <c r="M36" s="418" t="s">
        <v>2088</v>
      </c>
    </row>
    <row r="37" spans="1:13" ht="18.95" customHeight="1" x14ac:dyDescent="0.25">
      <c r="A37" s="408"/>
      <c r="B37" s="468">
        <v>27</v>
      </c>
      <c r="C37" s="468" t="s">
        <v>2011</v>
      </c>
      <c r="D37" s="410">
        <v>27</v>
      </c>
      <c r="E37" s="468">
        <v>11</v>
      </c>
      <c r="F37" s="411" t="s">
        <v>1180</v>
      </c>
      <c r="G37" s="467">
        <v>20000</v>
      </c>
      <c r="H37" s="412" t="s">
        <v>2013</v>
      </c>
      <c r="I37" s="467">
        <v>20000</v>
      </c>
      <c r="J37" s="439">
        <v>0</v>
      </c>
      <c r="K37" s="468" t="s">
        <v>2089</v>
      </c>
      <c r="L37" s="468" t="s">
        <v>2070</v>
      </c>
      <c r="M37" s="465" t="s">
        <v>2090</v>
      </c>
    </row>
    <row r="38" spans="1:13" ht="18.95" customHeight="1" x14ac:dyDescent="0.25">
      <c r="A38" s="408"/>
      <c r="B38" s="413">
        <v>28</v>
      </c>
      <c r="C38" s="413" t="s">
        <v>2011</v>
      </c>
      <c r="D38" s="414">
        <v>28</v>
      </c>
      <c r="E38" s="413">
        <v>11</v>
      </c>
      <c r="F38" s="415" t="s">
        <v>2091</v>
      </c>
      <c r="G38" s="416">
        <v>279350</v>
      </c>
      <c r="H38" s="420" t="s">
        <v>2013</v>
      </c>
      <c r="I38" s="416">
        <v>279350</v>
      </c>
      <c r="J38" s="440">
        <v>0</v>
      </c>
      <c r="K38" s="413" t="s">
        <v>2092</v>
      </c>
      <c r="L38" s="413" t="s">
        <v>2093</v>
      </c>
      <c r="M38" s="418" t="s">
        <v>2094</v>
      </c>
    </row>
    <row r="39" spans="1:13" ht="18.95" customHeight="1" x14ac:dyDescent="0.25">
      <c r="A39" s="408"/>
      <c r="B39" s="468">
        <v>29</v>
      </c>
      <c r="C39" s="468" t="s">
        <v>2011</v>
      </c>
      <c r="D39" s="410">
        <v>29</v>
      </c>
      <c r="E39" s="468">
        <v>11</v>
      </c>
      <c r="F39" s="411" t="s">
        <v>2091</v>
      </c>
      <c r="G39" s="467">
        <v>434750</v>
      </c>
      <c r="H39" s="412" t="s">
        <v>2013</v>
      </c>
      <c r="I39" s="467">
        <v>434750</v>
      </c>
      <c r="J39" s="439">
        <v>0</v>
      </c>
      <c r="K39" s="468" t="s">
        <v>2095</v>
      </c>
      <c r="L39" s="468" t="s">
        <v>2093</v>
      </c>
      <c r="M39" s="465" t="s">
        <v>2096</v>
      </c>
    </row>
    <row r="40" spans="1:13" ht="18.95" customHeight="1" x14ac:dyDescent="0.25">
      <c r="A40" s="408"/>
      <c r="B40" s="413">
        <v>30</v>
      </c>
      <c r="C40" s="413" t="s">
        <v>2011</v>
      </c>
      <c r="D40" s="414">
        <v>30</v>
      </c>
      <c r="E40" s="413">
        <v>11</v>
      </c>
      <c r="F40" s="415" t="s">
        <v>2091</v>
      </c>
      <c r="G40" s="416">
        <v>260250</v>
      </c>
      <c r="H40" s="420" t="s">
        <v>2013</v>
      </c>
      <c r="I40" s="416">
        <v>260250</v>
      </c>
      <c r="J40" s="440">
        <v>0</v>
      </c>
      <c r="K40" s="413" t="s">
        <v>2097</v>
      </c>
      <c r="L40" s="413" t="s">
        <v>2093</v>
      </c>
      <c r="M40" s="418" t="s">
        <v>2098</v>
      </c>
    </row>
    <row r="41" spans="1:13" ht="18.95" customHeight="1" x14ac:dyDescent="0.25">
      <c r="A41" s="408"/>
      <c r="B41" s="468">
        <v>31</v>
      </c>
      <c r="C41" s="468" t="s">
        <v>2011</v>
      </c>
      <c r="D41" s="410">
        <v>31</v>
      </c>
      <c r="E41" s="468">
        <v>11</v>
      </c>
      <c r="F41" s="411" t="s">
        <v>1570</v>
      </c>
      <c r="G41" s="467">
        <v>1200000</v>
      </c>
      <c r="H41" s="419" t="s">
        <v>2017</v>
      </c>
      <c r="I41" s="467">
        <v>1200000</v>
      </c>
      <c r="J41" s="439">
        <v>0</v>
      </c>
      <c r="K41" s="468" t="s">
        <v>2099</v>
      </c>
      <c r="L41" s="468" t="s">
        <v>391</v>
      </c>
      <c r="M41" s="465" t="s">
        <v>2100</v>
      </c>
    </row>
    <row r="42" spans="1:13" ht="18.95" customHeight="1" x14ac:dyDescent="0.25">
      <c r="A42" s="408"/>
      <c r="B42" s="413">
        <v>32</v>
      </c>
      <c r="C42" s="413" t="s">
        <v>2011</v>
      </c>
      <c r="D42" s="414">
        <v>32</v>
      </c>
      <c r="E42" s="413">
        <v>11</v>
      </c>
      <c r="F42" s="415" t="s">
        <v>1195</v>
      </c>
      <c r="G42" s="416">
        <v>1076000</v>
      </c>
      <c r="H42" s="417" t="s">
        <v>2017</v>
      </c>
      <c r="I42" s="416">
        <v>1076000</v>
      </c>
      <c r="J42" s="440">
        <v>0</v>
      </c>
      <c r="K42" s="413" t="s">
        <v>2101</v>
      </c>
      <c r="L42" s="413" t="s">
        <v>391</v>
      </c>
      <c r="M42" s="418" t="s">
        <v>2102</v>
      </c>
    </row>
    <row r="43" spans="1:13" ht="18.95" customHeight="1" x14ac:dyDescent="0.25">
      <c r="A43" s="408"/>
      <c r="B43" s="468">
        <v>33</v>
      </c>
      <c r="C43" s="468" t="s">
        <v>2011</v>
      </c>
      <c r="D43" s="410">
        <v>33</v>
      </c>
      <c r="E43" s="468">
        <v>11</v>
      </c>
      <c r="F43" s="411" t="s">
        <v>2103</v>
      </c>
      <c r="G43" s="467">
        <v>429800</v>
      </c>
      <c r="H43" s="422" t="s">
        <v>2104</v>
      </c>
      <c r="I43" s="467">
        <v>438415</v>
      </c>
      <c r="J43" s="439">
        <v>-8615</v>
      </c>
      <c r="K43" s="468" t="s">
        <v>2105</v>
      </c>
      <c r="L43" s="468" t="s">
        <v>2106</v>
      </c>
      <c r="M43" s="465" t="s">
        <v>2107</v>
      </c>
    </row>
    <row r="44" spans="1:13" ht="18.95" customHeight="1" x14ac:dyDescent="0.25">
      <c r="A44" s="408"/>
      <c r="B44" s="413">
        <v>34</v>
      </c>
      <c r="C44" s="413" t="s">
        <v>2011</v>
      </c>
      <c r="D44" s="414">
        <v>34</v>
      </c>
      <c r="E44" s="413">
        <v>11</v>
      </c>
      <c r="F44" s="415" t="s">
        <v>2108</v>
      </c>
      <c r="G44" s="416">
        <v>649800</v>
      </c>
      <c r="H44" s="420" t="s">
        <v>2013</v>
      </c>
      <c r="I44" s="416">
        <v>649800</v>
      </c>
      <c r="J44" s="440">
        <v>0</v>
      </c>
      <c r="K44" s="413" t="s">
        <v>2109</v>
      </c>
      <c r="L44" s="413" t="s">
        <v>2110</v>
      </c>
      <c r="M44" s="418" t="s">
        <v>2111</v>
      </c>
    </row>
    <row r="45" spans="1:13" ht="18.95" customHeight="1" x14ac:dyDescent="0.25">
      <c r="A45" s="408"/>
      <c r="B45" s="468">
        <v>35</v>
      </c>
      <c r="C45" s="468" t="s">
        <v>2011</v>
      </c>
      <c r="D45" s="410">
        <v>35</v>
      </c>
      <c r="E45" s="468">
        <v>11</v>
      </c>
      <c r="F45" s="411" t="s">
        <v>1576</v>
      </c>
      <c r="G45" s="467">
        <v>200000</v>
      </c>
      <c r="H45" s="419" t="s">
        <v>2017</v>
      </c>
      <c r="I45" s="467">
        <v>200000</v>
      </c>
      <c r="J45" s="439">
        <v>0</v>
      </c>
      <c r="K45" s="468" t="s">
        <v>2112</v>
      </c>
      <c r="L45" s="468" t="s">
        <v>391</v>
      </c>
      <c r="M45" s="465" t="s">
        <v>2113</v>
      </c>
    </row>
    <row r="46" spans="1:13" ht="18.95" customHeight="1" x14ac:dyDescent="0.25">
      <c r="A46" s="408"/>
      <c r="B46" s="413">
        <v>36</v>
      </c>
      <c r="C46" s="413" t="s">
        <v>2011</v>
      </c>
      <c r="D46" s="414">
        <v>36</v>
      </c>
      <c r="E46" s="413">
        <v>11</v>
      </c>
      <c r="F46" s="415" t="s">
        <v>2114</v>
      </c>
      <c r="G46" s="416">
        <v>432000</v>
      </c>
      <c r="H46" s="417" t="s">
        <v>2017</v>
      </c>
      <c r="I46" s="416">
        <v>432000</v>
      </c>
      <c r="J46" s="440">
        <v>0</v>
      </c>
      <c r="K46" s="413" t="s">
        <v>2115</v>
      </c>
      <c r="L46" s="413" t="s">
        <v>391</v>
      </c>
      <c r="M46" s="418" t="s">
        <v>2116</v>
      </c>
    </row>
    <row r="47" spans="1:13" s="112" customFormat="1" ht="18.95" customHeight="1" x14ac:dyDescent="0.25">
      <c r="A47" s="408"/>
      <c r="B47" s="468">
        <v>37</v>
      </c>
      <c r="C47" s="468" t="s">
        <v>2011</v>
      </c>
      <c r="D47" s="410">
        <v>37</v>
      </c>
      <c r="E47" s="423">
        <v>15</v>
      </c>
      <c r="F47" s="411" t="s">
        <v>2117</v>
      </c>
      <c r="G47" s="467">
        <v>4910200</v>
      </c>
      <c r="H47" s="424" t="s">
        <v>2118</v>
      </c>
      <c r="I47" s="425">
        <v>4920175</v>
      </c>
      <c r="J47" s="441">
        <v>-9975</v>
      </c>
      <c r="K47" s="468" t="s">
        <v>2119</v>
      </c>
      <c r="L47" s="468" t="s">
        <v>2120</v>
      </c>
      <c r="M47" s="465" t="s">
        <v>2121</v>
      </c>
    </row>
    <row r="48" spans="1:13" s="112" customFormat="1" ht="18.95" customHeight="1" x14ac:dyDescent="0.25">
      <c r="A48" s="408"/>
      <c r="B48" s="413">
        <v>38</v>
      </c>
      <c r="C48" s="413" t="s">
        <v>2011</v>
      </c>
      <c r="D48" s="414">
        <v>38</v>
      </c>
      <c r="E48" s="426">
        <v>15</v>
      </c>
      <c r="F48" s="415" t="s">
        <v>2122</v>
      </c>
      <c r="G48" s="416">
        <v>240000</v>
      </c>
      <c r="H48" s="427" t="s">
        <v>2123</v>
      </c>
      <c r="I48" s="428">
        <v>240000</v>
      </c>
      <c r="J48" s="442">
        <v>0</v>
      </c>
      <c r="K48" s="413" t="s">
        <v>2124</v>
      </c>
      <c r="L48" s="413" t="s">
        <v>2125</v>
      </c>
      <c r="M48" s="418" t="s">
        <v>2126</v>
      </c>
    </row>
    <row r="49" spans="1:13" ht="18.95" customHeight="1" thickBot="1" x14ac:dyDescent="0.3">
      <c r="A49" s="408"/>
      <c r="B49" s="468">
        <v>39</v>
      </c>
      <c r="C49" s="468" t="s">
        <v>2011</v>
      </c>
      <c r="D49" s="410">
        <v>39</v>
      </c>
      <c r="E49" s="468">
        <v>15</v>
      </c>
      <c r="F49" s="411" t="s">
        <v>2127</v>
      </c>
      <c r="G49" s="467">
        <v>118900</v>
      </c>
      <c r="H49" s="429" t="s">
        <v>2123</v>
      </c>
      <c r="I49" s="467">
        <v>118900</v>
      </c>
      <c r="J49" s="439">
        <v>0</v>
      </c>
      <c r="K49" s="468" t="s">
        <v>2128</v>
      </c>
      <c r="L49" s="468" t="s">
        <v>2125</v>
      </c>
      <c r="M49" s="465" t="s">
        <v>2129</v>
      </c>
    </row>
    <row r="50" spans="1:13" ht="18.95" customHeight="1" thickTop="1" x14ac:dyDescent="0.25">
      <c r="A50" s="408"/>
      <c r="B50" s="413">
        <v>40</v>
      </c>
      <c r="C50" s="413" t="s">
        <v>2011</v>
      </c>
      <c r="D50" s="414">
        <v>40</v>
      </c>
      <c r="E50" s="413">
        <v>15</v>
      </c>
      <c r="F50" s="418" t="s">
        <v>2130</v>
      </c>
      <c r="G50" s="416">
        <v>373900</v>
      </c>
      <c r="H50" s="417" t="s">
        <v>2131</v>
      </c>
      <c r="I50" s="416">
        <v>376852</v>
      </c>
      <c r="J50" s="440">
        <v>-2952</v>
      </c>
      <c r="K50" s="413" t="s">
        <v>2132</v>
      </c>
      <c r="L50" s="413" t="s">
        <v>2133</v>
      </c>
      <c r="M50" s="418" t="s">
        <v>2134</v>
      </c>
    </row>
    <row r="51" spans="1:13" ht="18.95" customHeight="1" x14ac:dyDescent="0.25">
      <c r="A51" s="408"/>
      <c r="B51" s="468">
        <v>41</v>
      </c>
      <c r="C51" s="468" t="s">
        <v>2135</v>
      </c>
      <c r="D51" s="410">
        <v>1</v>
      </c>
      <c r="E51" s="410">
        <v>15</v>
      </c>
      <c r="F51" s="465" t="s">
        <v>2136</v>
      </c>
      <c r="G51" s="467">
        <v>20000</v>
      </c>
      <c r="H51" s="429" t="s">
        <v>2123</v>
      </c>
      <c r="I51" s="467">
        <v>20000</v>
      </c>
      <c r="J51" s="439">
        <v>0</v>
      </c>
      <c r="K51" s="468" t="s">
        <v>2137</v>
      </c>
      <c r="L51" s="468" t="s">
        <v>2138</v>
      </c>
      <c r="M51" s="465" t="s">
        <v>2139</v>
      </c>
    </row>
    <row r="52" spans="1:13" ht="18.95" customHeight="1" x14ac:dyDescent="0.25">
      <c r="A52" s="408"/>
      <c r="B52" s="413">
        <v>42</v>
      </c>
      <c r="C52" s="413" t="s">
        <v>2135</v>
      </c>
      <c r="D52" s="481">
        <v>2</v>
      </c>
      <c r="E52" s="413">
        <v>15</v>
      </c>
      <c r="F52" s="418" t="s">
        <v>2140</v>
      </c>
      <c r="G52" s="416">
        <v>800000</v>
      </c>
      <c r="H52" s="420" t="s">
        <v>2141</v>
      </c>
      <c r="I52" s="416">
        <v>800000</v>
      </c>
      <c r="J52" s="440">
        <v>0</v>
      </c>
      <c r="K52" s="413" t="s">
        <v>2142</v>
      </c>
      <c r="L52" s="413" t="s">
        <v>810</v>
      </c>
      <c r="M52" s="418" t="s">
        <v>2143</v>
      </c>
    </row>
    <row r="53" spans="1:13" ht="18.95" customHeight="1" x14ac:dyDescent="0.25">
      <c r="A53" s="408"/>
      <c r="B53" s="468">
        <v>43</v>
      </c>
      <c r="C53" s="468" t="s">
        <v>2135</v>
      </c>
      <c r="D53" s="482">
        <v>3</v>
      </c>
      <c r="E53" s="468">
        <v>15</v>
      </c>
      <c r="F53" s="465" t="s">
        <v>1195</v>
      </c>
      <c r="G53" s="467">
        <v>1130000</v>
      </c>
      <c r="H53" s="412" t="s">
        <v>2144</v>
      </c>
      <c r="I53" s="467">
        <v>1130000</v>
      </c>
      <c r="J53" s="439">
        <v>0</v>
      </c>
      <c r="K53" s="468" t="s">
        <v>2145</v>
      </c>
      <c r="L53" s="468" t="s">
        <v>1663</v>
      </c>
      <c r="M53" s="465" t="s">
        <v>2146</v>
      </c>
    </row>
    <row r="54" spans="1:13" ht="18.95" customHeight="1" x14ac:dyDescent="0.25">
      <c r="B54" s="413">
        <v>44</v>
      </c>
      <c r="C54" s="413" t="s">
        <v>2135</v>
      </c>
      <c r="D54" s="413">
        <v>4</v>
      </c>
      <c r="E54" s="413">
        <v>15</v>
      </c>
      <c r="F54" s="418" t="s">
        <v>2147</v>
      </c>
      <c r="G54" s="416">
        <v>355900</v>
      </c>
      <c r="H54" s="420" t="s">
        <v>2022</v>
      </c>
      <c r="I54" s="416">
        <v>355875</v>
      </c>
      <c r="J54" s="440">
        <v>25</v>
      </c>
      <c r="K54" s="413" t="s">
        <v>2148</v>
      </c>
      <c r="L54" s="413" t="s">
        <v>410</v>
      </c>
      <c r="M54" s="418" t="s">
        <v>2149</v>
      </c>
    </row>
    <row r="55" spans="1:13" ht="18.95" customHeight="1" x14ac:dyDescent="0.25">
      <c r="B55" s="468">
        <v>45</v>
      </c>
      <c r="C55" s="468" t="s">
        <v>2135</v>
      </c>
      <c r="D55" s="468">
        <v>5</v>
      </c>
      <c r="E55" s="468">
        <v>15</v>
      </c>
      <c r="F55" s="465" t="s">
        <v>2147</v>
      </c>
      <c r="G55" s="467">
        <v>265200</v>
      </c>
      <c r="H55" s="412" t="s">
        <v>2022</v>
      </c>
      <c r="I55" s="467">
        <v>265200</v>
      </c>
      <c r="J55" s="439">
        <v>0</v>
      </c>
      <c r="K55" s="468" t="s">
        <v>2150</v>
      </c>
      <c r="L55" s="468" t="s">
        <v>2151</v>
      </c>
      <c r="M55" s="465" t="s">
        <v>2152</v>
      </c>
    </row>
    <row r="56" spans="1:13" ht="18.95" customHeight="1" x14ac:dyDescent="0.25">
      <c r="B56" s="413">
        <v>46</v>
      </c>
      <c r="C56" s="413" t="s">
        <v>2135</v>
      </c>
      <c r="D56" s="413">
        <v>6</v>
      </c>
      <c r="E56" s="413">
        <v>15</v>
      </c>
      <c r="F56" s="418" t="s">
        <v>2153</v>
      </c>
      <c r="G56" s="416">
        <v>316350</v>
      </c>
      <c r="H56" s="420" t="s">
        <v>2022</v>
      </c>
      <c r="I56" s="416">
        <v>316350</v>
      </c>
      <c r="J56" s="440">
        <v>0</v>
      </c>
      <c r="K56" s="413" t="s">
        <v>2154</v>
      </c>
      <c r="L56" s="413" t="s">
        <v>2155</v>
      </c>
      <c r="M56" s="418" t="s">
        <v>2156</v>
      </c>
    </row>
    <row r="57" spans="1:13" ht="18.95" customHeight="1" x14ac:dyDescent="0.25">
      <c r="B57" s="468">
        <v>47</v>
      </c>
      <c r="C57" s="468" t="s">
        <v>2135</v>
      </c>
      <c r="D57" s="468">
        <v>7</v>
      </c>
      <c r="E57" s="468">
        <v>15</v>
      </c>
      <c r="F57" s="465" t="s">
        <v>2157</v>
      </c>
      <c r="G57" s="467">
        <v>260850</v>
      </c>
      <c r="H57" s="412" t="s">
        <v>2158</v>
      </c>
      <c r="I57" s="467">
        <v>260850</v>
      </c>
      <c r="J57" s="439">
        <v>0</v>
      </c>
      <c r="K57" s="468" t="s">
        <v>2159</v>
      </c>
      <c r="L57" s="468" t="s">
        <v>2160</v>
      </c>
      <c r="M57" s="465" t="s">
        <v>2161</v>
      </c>
    </row>
    <row r="58" spans="1:13" ht="18.95" customHeight="1" x14ac:dyDescent="0.25">
      <c r="B58" s="413">
        <v>48</v>
      </c>
      <c r="C58" s="413" t="s">
        <v>2135</v>
      </c>
      <c r="D58" s="413">
        <v>8</v>
      </c>
      <c r="E58" s="413">
        <v>15</v>
      </c>
      <c r="F58" s="418" t="s">
        <v>2162</v>
      </c>
      <c r="G58" s="416">
        <v>577100</v>
      </c>
      <c r="H58" s="430" t="s">
        <v>2163</v>
      </c>
      <c r="I58" s="416">
        <v>577100</v>
      </c>
      <c r="J58" s="440">
        <v>0</v>
      </c>
      <c r="K58" s="413" t="s">
        <v>2164</v>
      </c>
      <c r="L58" s="413" t="s">
        <v>2165</v>
      </c>
      <c r="M58" s="418" t="s">
        <v>2166</v>
      </c>
    </row>
    <row r="59" spans="1:13" ht="18.95" customHeight="1" x14ac:dyDescent="0.25">
      <c r="B59" s="468">
        <v>49</v>
      </c>
      <c r="C59" s="468" t="s">
        <v>2135</v>
      </c>
      <c r="D59" s="468">
        <v>9</v>
      </c>
      <c r="E59" s="468">
        <v>15</v>
      </c>
      <c r="F59" s="465" t="s">
        <v>2167</v>
      </c>
      <c r="G59" s="467">
        <v>654750</v>
      </c>
      <c r="H59" s="412" t="s">
        <v>2158</v>
      </c>
      <c r="I59" s="467">
        <v>654750</v>
      </c>
      <c r="J59" s="439">
        <v>0</v>
      </c>
      <c r="K59" s="468" t="s">
        <v>2168</v>
      </c>
      <c r="L59" s="468" t="s">
        <v>2169</v>
      </c>
      <c r="M59" s="465" t="s">
        <v>2170</v>
      </c>
    </row>
    <row r="60" spans="1:13" ht="18.95" customHeight="1" x14ac:dyDescent="0.25">
      <c r="B60" s="413">
        <v>50</v>
      </c>
      <c r="C60" s="413" t="s">
        <v>2135</v>
      </c>
      <c r="D60" s="413">
        <v>10</v>
      </c>
      <c r="E60" s="413">
        <v>15</v>
      </c>
      <c r="F60" s="418" t="s">
        <v>2171</v>
      </c>
      <c r="G60" s="416">
        <v>523550</v>
      </c>
      <c r="H60" s="420" t="s">
        <v>2022</v>
      </c>
      <c r="I60" s="416">
        <v>523550</v>
      </c>
      <c r="J60" s="440">
        <v>0</v>
      </c>
      <c r="K60" s="413" t="s">
        <v>2172</v>
      </c>
      <c r="L60" s="413" t="s">
        <v>2173</v>
      </c>
      <c r="M60" s="418" t="s">
        <v>2174</v>
      </c>
    </row>
    <row r="61" spans="1:13" ht="18.95" customHeight="1" x14ac:dyDescent="0.25">
      <c r="B61" s="468">
        <v>51</v>
      </c>
      <c r="C61" s="468" t="s">
        <v>2135</v>
      </c>
      <c r="D61" s="468">
        <v>11</v>
      </c>
      <c r="E61" s="468">
        <v>15</v>
      </c>
      <c r="F61" s="465" t="s">
        <v>2175</v>
      </c>
      <c r="G61" s="467">
        <v>111750</v>
      </c>
      <c r="H61" s="429" t="s">
        <v>2163</v>
      </c>
      <c r="I61" s="467">
        <v>111750</v>
      </c>
      <c r="J61" s="439">
        <v>0</v>
      </c>
      <c r="K61" s="468" t="s">
        <v>2176</v>
      </c>
      <c r="L61" s="468" t="s">
        <v>2177</v>
      </c>
      <c r="M61" s="465" t="s">
        <v>2178</v>
      </c>
    </row>
    <row r="62" spans="1:13" ht="18.95" customHeight="1" x14ac:dyDescent="0.25">
      <c r="B62" s="413">
        <v>52</v>
      </c>
      <c r="C62" s="413" t="s">
        <v>2135</v>
      </c>
      <c r="D62" s="413">
        <v>12</v>
      </c>
      <c r="E62" s="413">
        <v>15</v>
      </c>
      <c r="F62" s="418" t="s">
        <v>2179</v>
      </c>
      <c r="G62" s="416">
        <v>106200</v>
      </c>
      <c r="H62" s="420" t="s">
        <v>2022</v>
      </c>
      <c r="I62" s="416">
        <v>106180</v>
      </c>
      <c r="J62" s="440">
        <v>20</v>
      </c>
      <c r="K62" s="413" t="s">
        <v>2180</v>
      </c>
      <c r="L62" s="413" t="s">
        <v>2181</v>
      </c>
      <c r="M62" s="418" t="s">
        <v>2182</v>
      </c>
    </row>
    <row r="63" spans="1:13" ht="18.95" customHeight="1" x14ac:dyDescent="0.25">
      <c r="B63" s="468">
        <v>53</v>
      </c>
      <c r="C63" s="468" t="s">
        <v>2135</v>
      </c>
      <c r="D63" s="468">
        <v>13</v>
      </c>
      <c r="E63" s="468">
        <v>15</v>
      </c>
      <c r="F63" s="465" t="s">
        <v>1962</v>
      </c>
      <c r="G63" s="467">
        <v>95800</v>
      </c>
      <c r="H63" s="429" t="s">
        <v>2123</v>
      </c>
      <c r="I63" s="467">
        <v>95800</v>
      </c>
      <c r="J63" s="439">
        <v>0</v>
      </c>
      <c r="K63" s="468" t="s">
        <v>2183</v>
      </c>
      <c r="L63" s="468" t="s">
        <v>2138</v>
      </c>
      <c r="M63" s="465" t="s">
        <v>2184</v>
      </c>
    </row>
    <row r="64" spans="1:13" ht="18.95" customHeight="1" x14ac:dyDescent="0.25">
      <c r="B64" s="413">
        <v>54</v>
      </c>
      <c r="C64" s="413" t="s">
        <v>2135</v>
      </c>
      <c r="D64" s="413">
        <v>14</v>
      </c>
      <c r="E64" s="413">
        <v>15</v>
      </c>
      <c r="F64" s="418" t="s">
        <v>2185</v>
      </c>
      <c r="G64" s="416">
        <v>114950</v>
      </c>
      <c r="H64" s="420" t="s">
        <v>2022</v>
      </c>
      <c r="I64" s="416">
        <v>114950</v>
      </c>
      <c r="J64" s="440">
        <v>0</v>
      </c>
      <c r="K64" s="413" t="s">
        <v>2099</v>
      </c>
      <c r="L64" s="413" t="s">
        <v>1508</v>
      </c>
      <c r="M64" s="418" t="s">
        <v>2186</v>
      </c>
    </row>
    <row r="65" spans="2:13" ht="18.95" customHeight="1" x14ac:dyDescent="0.25">
      <c r="B65" s="468">
        <v>55</v>
      </c>
      <c r="C65" s="468" t="s">
        <v>2135</v>
      </c>
      <c r="D65" s="468">
        <v>15</v>
      </c>
      <c r="E65" s="468">
        <v>16</v>
      </c>
      <c r="F65" s="465" t="s">
        <v>1967</v>
      </c>
      <c r="G65" s="467">
        <v>532000</v>
      </c>
      <c r="H65" s="429" t="s">
        <v>2123</v>
      </c>
      <c r="I65" s="467">
        <v>532000</v>
      </c>
      <c r="J65" s="439">
        <v>0</v>
      </c>
      <c r="K65" s="468" t="s">
        <v>2187</v>
      </c>
      <c r="L65" s="468" t="s">
        <v>2138</v>
      </c>
      <c r="M65" s="465" t="s">
        <v>2188</v>
      </c>
    </row>
    <row r="66" spans="2:13" ht="18.95" customHeight="1" x14ac:dyDescent="0.25">
      <c r="B66" s="413">
        <v>56</v>
      </c>
      <c r="C66" s="413" t="s">
        <v>2135</v>
      </c>
      <c r="D66" s="413">
        <v>16</v>
      </c>
      <c r="E66" s="413">
        <v>16</v>
      </c>
      <c r="F66" s="418" t="s">
        <v>2189</v>
      </c>
      <c r="G66" s="416">
        <v>1000000</v>
      </c>
      <c r="H66" s="431" t="s">
        <v>2190</v>
      </c>
      <c r="I66" s="416">
        <v>1000000</v>
      </c>
      <c r="J66" s="440">
        <v>0</v>
      </c>
      <c r="K66" s="413" t="s">
        <v>2191</v>
      </c>
      <c r="L66" s="413" t="s">
        <v>2192</v>
      </c>
      <c r="M66" s="418" t="s">
        <v>2193</v>
      </c>
    </row>
    <row r="67" spans="2:13" ht="18.95" customHeight="1" x14ac:dyDescent="0.25">
      <c r="B67" s="468">
        <v>57</v>
      </c>
      <c r="C67" s="468" t="s">
        <v>2135</v>
      </c>
      <c r="D67" s="468">
        <v>17</v>
      </c>
      <c r="E67" s="468">
        <v>16</v>
      </c>
      <c r="F67" s="465" t="s">
        <v>1974</v>
      </c>
      <c r="G67" s="467">
        <v>185300</v>
      </c>
      <c r="H67" s="429" t="s">
        <v>2123</v>
      </c>
      <c r="I67" s="467">
        <v>185300</v>
      </c>
      <c r="J67" s="439">
        <v>0</v>
      </c>
      <c r="K67" s="468" t="s">
        <v>2194</v>
      </c>
      <c r="L67" s="468" t="s">
        <v>2138</v>
      </c>
      <c r="M67" s="465" t="s">
        <v>2195</v>
      </c>
    </row>
    <row r="68" spans="2:13" ht="18.95" customHeight="1" x14ac:dyDescent="0.25">
      <c r="B68" s="413">
        <v>58</v>
      </c>
      <c r="C68" s="413" t="s">
        <v>2135</v>
      </c>
      <c r="D68" s="413">
        <v>18</v>
      </c>
      <c r="E68" s="413">
        <v>16</v>
      </c>
      <c r="F68" s="418" t="s">
        <v>2196</v>
      </c>
      <c r="G68" s="416">
        <v>4302850</v>
      </c>
      <c r="H68" s="420" t="s">
        <v>2197</v>
      </c>
      <c r="I68" s="416">
        <v>4302852</v>
      </c>
      <c r="J68" s="440">
        <v>-2</v>
      </c>
      <c r="K68" s="413" t="s">
        <v>2198</v>
      </c>
      <c r="L68" s="413" t="s">
        <v>871</v>
      </c>
      <c r="M68" s="418" t="s">
        <v>2199</v>
      </c>
    </row>
    <row r="69" spans="2:13" ht="20.100000000000001" customHeight="1" x14ac:dyDescent="0.25">
      <c r="B69" s="604" t="s">
        <v>2200</v>
      </c>
      <c r="C69" s="555"/>
      <c r="D69" s="555"/>
      <c r="E69" s="555"/>
      <c r="F69" s="551"/>
      <c r="G69" s="432">
        <v>60724569</v>
      </c>
      <c r="H69" s="433" t="s">
        <v>2201</v>
      </c>
      <c r="I69" s="432">
        <v>60750111</v>
      </c>
      <c r="J69" s="443">
        <v>-25542</v>
      </c>
      <c r="K69" s="470" t="s">
        <v>44</v>
      </c>
      <c r="L69" s="470" t="s">
        <v>44</v>
      </c>
      <c r="M69" s="470" t="s">
        <v>2202</v>
      </c>
    </row>
    <row r="70" spans="2:13" ht="20.100000000000001" customHeight="1" x14ac:dyDescent="0.25">
      <c r="B70" s="604" t="s">
        <v>2203</v>
      </c>
      <c r="C70" s="555"/>
      <c r="D70" s="555"/>
      <c r="E70" s="555"/>
      <c r="F70" s="551"/>
      <c r="G70" s="432">
        <v>11352550</v>
      </c>
      <c r="H70" s="433" t="s">
        <v>2204</v>
      </c>
      <c r="I70" s="432">
        <v>11352507</v>
      </c>
      <c r="J70" s="443">
        <v>43</v>
      </c>
      <c r="K70" s="470" t="s">
        <v>44</v>
      </c>
      <c r="L70" s="470" t="s">
        <v>44</v>
      </c>
      <c r="M70" s="470" t="s">
        <v>2205</v>
      </c>
    </row>
    <row r="71" spans="2:13" ht="21.95" customHeight="1" x14ac:dyDescent="0.25">
      <c r="B71" s="615" t="s">
        <v>2206</v>
      </c>
      <c r="C71" s="611"/>
      <c r="D71" s="611"/>
      <c r="E71" s="611"/>
      <c r="F71" s="612"/>
      <c r="G71" s="434">
        <v>72077119</v>
      </c>
      <c r="H71" s="435" t="s">
        <v>2207</v>
      </c>
      <c r="I71" s="434">
        <v>72102618</v>
      </c>
      <c r="J71" s="444">
        <v>-25499</v>
      </c>
      <c r="K71" s="466" t="s">
        <v>44</v>
      </c>
      <c r="L71" s="466" t="s">
        <v>44</v>
      </c>
      <c r="M71" s="466" t="s">
        <v>2208</v>
      </c>
    </row>
    <row r="73" spans="2:13" ht="21.95" customHeight="1" x14ac:dyDescent="0.25">
      <c r="B73" s="609" t="s">
        <v>2209</v>
      </c>
      <c r="C73" s="545"/>
      <c r="D73" s="545"/>
      <c r="E73" s="545"/>
      <c r="F73" s="545"/>
      <c r="G73" s="545"/>
      <c r="H73" s="545"/>
      <c r="I73" s="545"/>
      <c r="J73" s="545"/>
      <c r="K73" s="545"/>
      <c r="L73" s="545"/>
      <c r="M73" s="545"/>
    </row>
    <row r="74" spans="2:13" ht="21.95" customHeight="1" x14ac:dyDescent="0.25">
      <c r="B74" s="601" t="s">
        <v>2210</v>
      </c>
      <c r="C74" s="602"/>
      <c r="D74" s="602"/>
      <c r="E74" s="602"/>
      <c r="F74" s="603"/>
      <c r="G74" s="601" t="s">
        <v>2211</v>
      </c>
      <c r="H74" s="603"/>
      <c r="I74" s="601" t="s">
        <v>2212</v>
      </c>
      <c r="J74" s="603"/>
      <c r="K74" s="601" t="s">
        <v>2213</v>
      </c>
      <c r="L74" s="602"/>
      <c r="M74" s="603"/>
    </row>
    <row r="75" spans="2:13" ht="20.100000000000001" customHeight="1" x14ac:dyDescent="0.25">
      <c r="B75" s="597" t="s">
        <v>2214</v>
      </c>
      <c r="C75" s="555"/>
      <c r="D75" s="555"/>
      <c r="E75" s="555"/>
      <c r="F75" s="551"/>
      <c r="G75" s="600">
        <v>72077119</v>
      </c>
      <c r="H75" s="551"/>
      <c r="I75" s="596" t="s">
        <v>2215</v>
      </c>
      <c r="J75" s="551"/>
      <c r="K75" s="597" t="s">
        <v>2216</v>
      </c>
      <c r="L75" s="555"/>
      <c r="M75" s="551"/>
    </row>
    <row r="76" spans="2:13" ht="20.100000000000001" customHeight="1" x14ac:dyDescent="0.25">
      <c r="B76" s="597" t="s">
        <v>2217</v>
      </c>
      <c r="C76" s="555"/>
      <c r="D76" s="555"/>
      <c r="E76" s="555"/>
      <c r="F76" s="551"/>
      <c r="G76" s="600">
        <v>12243950</v>
      </c>
      <c r="H76" s="551"/>
      <c r="I76" s="596" t="s">
        <v>2218</v>
      </c>
      <c r="J76" s="551"/>
      <c r="K76" s="597" t="s">
        <v>2219</v>
      </c>
      <c r="L76" s="555"/>
      <c r="M76" s="551"/>
    </row>
    <row r="77" spans="2:13" ht="20.100000000000001" customHeight="1" x14ac:dyDescent="0.25">
      <c r="B77" s="598" t="s">
        <v>2220</v>
      </c>
      <c r="C77" s="555"/>
      <c r="D77" s="555"/>
      <c r="E77" s="555"/>
      <c r="F77" s="551"/>
      <c r="G77" s="607">
        <v>84321069</v>
      </c>
      <c r="H77" s="551"/>
      <c r="I77" s="613" t="s">
        <v>2221</v>
      </c>
      <c r="J77" s="551"/>
      <c r="K77" s="598" t="s">
        <v>2222</v>
      </c>
      <c r="L77" s="555"/>
      <c r="M77" s="551"/>
    </row>
    <row r="78" spans="2:13" ht="20.100000000000001" customHeight="1" x14ac:dyDescent="0.25">
      <c r="B78" s="597" t="s">
        <v>2223</v>
      </c>
      <c r="C78" s="555"/>
      <c r="D78" s="555"/>
      <c r="E78" s="555"/>
      <c r="F78" s="551"/>
      <c r="G78" s="600">
        <v>170285612.61000001</v>
      </c>
      <c r="H78" s="551"/>
      <c r="I78" s="596" t="s">
        <v>2224</v>
      </c>
      <c r="J78" s="551"/>
      <c r="K78" s="597" t="s">
        <v>2225</v>
      </c>
      <c r="L78" s="555"/>
      <c r="M78" s="551"/>
    </row>
    <row r="79" spans="2:13" ht="20.100000000000001" customHeight="1" x14ac:dyDescent="0.25">
      <c r="B79" s="597" t="s">
        <v>2226</v>
      </c>
      <c r="C79" s="555"/>
      <c r="D79" s="555"/>
      <c r="E79" s="555"/>
      <c r="F79" s="551"/>
      <c r="G79" s="600">
        <v>-84321069</v>
      </c>
      <c r="H79" s="551"/>
      <c r="I79" s="596" t="s">
        <v>2227</v>
      </c>
      <c r="J79" s="551"/>
      <c r="K79" s="597" t="s">
        <v>2228</v>
      </c>
      <c r="L79" s="555"/>
      <c r="M79" s="551"/>
    </row>
    <row r="80" spans="2:13" ht="20.100000000000001" customHeight="1" x14ac:dyDescent="0.25">
      <c r="B80" s="598" t="s">
        <v>2229</v>
      </c>
      <c r="C80" s="555"/>
      <c r="D80" s="555"/>
      <c r="E80" s="555"/>
      <c r="F80" s="551"/>
      <c r="G80" s="607">
        <v>85964543.610000014</v>
      </c>
      <c r="H80" s="551"/>
      <c r="I80" s="613" t="s">
        <v>2230</v>
      </c>
      <c r="J80" s="551"/>
      <c r="K80" s="598" t="s">
        <v>2231</v>
      </c>
      <c r="L80" s="555"/>
      <c r="M80" s="551"/>
    </row>
    <row r="82" spans="2:13" ht="21.95" customHeight="1" x14ac:dyDescent="0.25">
      <c r="B82" s="609" t="s">
        <v>2232</v>
      </c>
      <c r="C82" s="545"/>
      <c r="D82" s="545"/>
      <c r="E82" s="545"/>
      <c r="F82" s="545"/>
      <c r="G82" s="545"/>
      <c r="H82" s="545"/>
      <c r="I82" s="545"/>
      <c r="J82" s="545"/>
      <c r="K82" s="545"/>
      <c r="L82" s="545"/>
      <c r="M82" s="545"/>
    </row>
    <row r="83" spans="2:13" ht="21.95" customHeight="1" x14ac:dyDescent="0.25">
      <c r="B83" s="601" t="s">
        <v>2233</v>
      </c>
      <c r="C83" s="602"/>
      <c r="D83" s="603"/>
      <c r="E83" s="469" t="s">
        <v>2234</v>
      </c>
      <c r="F83" s="601" t="s">
        <v>2235</v>
      </c>
      <c r="G83" s="603"/>
      <c r="H83" s="469" t="s">
        <v>713</v>
      </c>
      <c r="I83" s="601" t="s">
        <v>2236</v>
      </c>
      <c r="J83" s="602"/>
      <c r="K83" s="603"/>
      <c r="L83" s="601" t="s">
        <v>2237</v>
      </c>
      <c r="M83" s="603"/>
    </row>
    <row r="84" spans="2:13" ht="18.95" customHeight="1" x14ac:dyDescent="0.25">
      <c r="B84" s="597" t="s">
        <v>1077</v>
      </c>
      <c r="C84" s="555"/>
      <c r="D84" s="551"/>
      <c r="E84" s="468">
        <v>112</v>
      </c>
      <c r="F84" s="600">
        <v>43616226</v>
      </c>
      <c r="G84" s="551"/>
      <c r="H84" s="436">
        <v>0.41362918161515821</v>
      </c>
      <c r="I84" s="597" t="s">
        <v>2238</v>
      </c>
      <c r="J84" s="555"/>
      <c r="K84" s="551"/>
      <c r="L84" s="597" t="s">
        <v>2239</v>
      </c>
      <c r="M84" s="551"/>
    </row>
    <row r="85" spans="2:13" ht="18.95" customHeight="1" x14ac:dyDescent="0.25">
      <c r="B85" s="597" t="s">
        <v>2240</v>
      </c>
      <c r="C85" s="555"/>
      <c r="D85" s="551"/>
      <c r="E85" s="468">
        <v>35</v>
      </c>
      <c r="F85" s="600">
        <v>24987237</v>
      </c>
      <c r="G85" s="551"/>
      <c r="H85" s="436">
        <v>0.23696342712306201</v>
      </c>
      <c r="I85" s="597" t="s">
        <v>2241</v>
      </c>
      <c r="J85" s="555"/>
      <c r="K85" s="551"/>
      <c r="L85" s="597" t="s">
        <v>2242</v>
      </c>
      <c r="M85" s="551"/>
    </row>
    <row r="86" spans="2:13" ht="18.95" customHeight="1" x14ac:dyDescent="0.25">
      <c r="B86" s="597" t="s">
        <v>2243</v>
      </c>
      <c r="C86" s="555"/>
      <c r="D86" s="551"/>
      <c r="E86" s="468">
        <v>114</v>
      </c>
      <c r="F86" s="600">
        <v>7021245</v>
      </c>
      <c r="G86" s="551"/>
      <c r="H86" s="436">
        <v>6.6585124152408817E-2</v>
      </c>
      <c r="I86" s="597" t="s">
        <v>2244</v>
      </c>
      <c r="J86" s="555"/>
      <c r="K86" s="551"/>
      <c r="L86" s="597" t="s">
        <v>2245</v>
      </c>
      <c r="M86" s="551"/>
    </row>
    <row r="87" spans="2:13" ht="18.95" customHeight="1" x14ac:dyDescent="0.25">
      <c r="B87" s="597" t="s">
        <v>1114</v>
      </c>
      <c r="C87" s="555"/>
      <c r="D87" s="551"/>
      <c r="E87" s="468">
        <v>4</v>
      </c>
      <c r="F87" s="600">
        <v>1193345</v>
      </c>
      <c r="G87" s="551"/>
      <c r="H87" s="436">
        <v>1.1316942363021989E-2</v>
      </c>
      <c r="I87" s="597" t="s">
        <v>2246</v>
      </c>
      <c r="J87" s="555"/>
      <c r="K87" s="551"/>
      <c r="L87" s="597" t="s">
        <v>2247</v>
      </c>
      <c r="M87" s="551"/>
    </row>
    <row r="88" spans="2:13" ht="18.95" customHeight="1" x14ac:dyDescent="0.25">
      <c r="B88" s="597" t="s">
        <v>91</v>
      </c>
      <c r="C88" s="555"/>
      <c r="D88" s="551"/>
      <c r="E88" s="468">
        <v>95</v>
      </c>
      <c r="F88" s="600">
        <v>5929256</v>
      </c>
      <c r="G88" s="551"/>
      <c r="H88" s="436">
        <v>5.6229379104619608E-2</v>
      </c>
      <c r="I88" s="597" t="s">
        <v>2248</v>
      </c>
      <c r="J88" s="555"/>
      <c r="K88" s="551"/>
      <c r="L88" s="597" t="s">
        <v>2249</v>
      </c>
      <c r="M88" s="551"/>
    </row>
    <row r="89" spans="2:13" ht="18.95" customHeight="1" x14ac:dyDescent="0.25">
      <c r="B89" s="597" t="s">
        <v>949</v>
      </c>
      <c r="C89" s="555"/>
      <c r="D89" s="551"/>
      <c r="E89" s="468">
        <v>115</v>
      </c>
      <c r="F89" s="600">
        <v>5402726</v>
      </c>
      <c r="G89" s="551"/>
      <c r="H89" s="436">
        <v>5.1236095802303878E-2</v>
      </c>
      <c r="I89" s="597" t="s">
        <v>2250</v>
      </c>
      <c r="J89" s="555"/>
      <c r="K89" s="551"/>
      <c r="L89" s="597" t="s">
        <v>2251</v>
      </c>
      <c r="M89" s="551"/>
    </row>
    <row r="90" spans="2:13" ht="18.95" customHeight="1" x14ac:dyDescent="0.25">
      <c r="B90" s="597" t="s">
        <v>2252</v>
      </c>
      <c r="C90" s="555"/>
      <c r="D90" s="551"/>
      <c r="E90" s="468">
        <v>51</v>
      </c>
      <c r="F90" s="600">
        <v>5259582</v>
      </c>
      <c r="G90" s="551"/>
      <c r="H90" s="436">
        <v>4.9878607064669393E-2</v>
      </c>
      <c r="I90" s="597" t="s">
        <v>2253</v>
      </c>
      <c r="J90" s="555"/>
      <c r="K90" s="551"/>
      <c r="L90" s="597" t="s">
        <v>2254</v>
      </c>
      <c r="M90" s="551"/>
    </row>
    <row r="91" spans="2:13" ht="18.95" customHeight="1" x14ac:dyDescent="0.25">
      <c r="B91" s="597" t="s">
        <v>1461</v>
      </c>
      <c r="C91" s="555"/>
      <c r="D91" s="551"/>
      <c r="E91" s="468">
        <v>8</v>
      </c>
      <c r="F91" s="600">
        <v>3655999</v>
      </c>
      <c r="G91" s="551"/>
      <c r="H91" s="436">
        <v>3.4671222456427953E-2</v>
      </c>
      <c r="I91" s="597" t="s">
        <v>2255</v>
      </c>
      <c r="J91" s="555"/>
      <c r="K91" s="551"/>
      <c r="L91" s="597" t="s">
        <v>2256</v>
      </c>
      <c r="M91" s="551"/>
    </row>
    <row r="92" spans="2:13" ht="18.95" customHeight="1" x14ac:dyDescent="0.25">
      <c r="B92" s="597" t="s">
        <v>2257</v>
      </c>
      <c r="C92" s="555"/>
      <c r="D92" s="551"/>
      <c r="E92" s="468">
        <v>50</v>
      </c>
      <c r="F92" s="600">
        <v>4021790</v>
      </c>
      <c r="G92" s="551"/>
      <c r="H92" s="436">
        <v>3.8140156975709619E-2</v>
      </c>
      <c r="I92" s="597" t="s">
        <v>2258</v>
      </c>
      <c r="J92" s="555"/>
      <c r="K92" s="551"/>
      <c r="L92" s="597" t="s">
        <v>2259</v>
      </c>
      <c r="M92" s="551"/>
    </row>
    <row r="93" spans="2:13" ht="18.95" customHeight="1" x14ac:dyDescent="0.25">
      <c r="B93" s="597" t="s">
        <v>1592</v>
      </c>
      <c r="C93" s="555"/>
      <c r="D93" s="551"/>
      <c r="E93" s="468">
        <v>11</v>
      </c>
      <c r="F93" s="600">
        <v>1552000</v>
      </c>
      <c r="G93" s="551"/>
      <c r="H93" s="436">
        <v>1.471820349304696E-2</v>
      </c>
      <c r="I93" s="597" t="s">
        <v>2260</v>
      </c>
      <c r="J93" s="555"/>
      <c r="K93" s="551"/>
      <c r="L93" s="597" t="s">
        <v>2261</v>
      </c>
      <c r="M93" s="551"/>
    </row>
    <row r="94" spans="2:13" ht="18.95" customHeight="1" x14ac:dyDescent="0.25">
      <c r="B94" s="597" t="s">
        <v>2262</v>
      </c>
      <c r="C94" s="555"/>
      <c r="D94" s="551"/>
      <c r="E94" s="468">
        <v>13</v>
      </c>
      <c r="F94" s="600">
        <v>1308300</v>
      </c>
      <c r="G94" s="551"/>
      <c r="H94" s="436">
        <v>1.2407104143011169E-2</v>
      </c>
      <c r="I94" s="597" t="s">
        <v>2263</v>
      </c>
      <c r="J94" s="555"/>
      <c r="K94" s="551"/>
      <c r="L94" s="597" t="s">
        <v>2264</v>
      </c>
      <c r="M94" s="551"/>
    </row>
    <row r="95" spans="2:13" ht="18.95" customHeight="1" x14ac:dyDescent="0.25">
      <c r="B95" s="597" t="s">
        <v>2265</v>
      </c>
      <c r="C95" s="555"/>
      <c r="D95" s="551"/>
      <c r="E95" s="468">
        <v>23</v>
      </c>
      <c r="F95" s="600">
        <v>1101646</v>
      </c>
      <c r="G95" s="551"/>
      <c r="H95" s="436">
        <v>1.0447326034343561E-2</v>
      </c>
      <c r="I95" s="597" t="s">
        <v>2266</v>
      </c>
      <c r="J95" s="555"/>
      <c r="K95" s="551"/>
      <c r="L95" s="597" t="s">
        <v>2267</v>
      </c>
      <c r="M95" s="551"/>
    </row>
    <row r="96" spans="2:13" ht="18.95" customHeight="1" x14ac:dyDescent="0.25">
      <c r="B96" s="597" t="s">
        <v>753</v>
      </c>
      <c r="C96" s="555"/>
      <c r="D96" s="551"/>
      <c r="E96" s="468">
        <v>11</v>
      </c>
      <c r="F96" s="600">
        <v>384200</v>
      </c>
      <c r="G96" s="551"/>
      <c r="H96" s="436">
        <v>3.643514034812269E-3</v>
      </c>
      <c r="I96" s="597" t="s">
        <v>2268</v>
      </c>
      <c r="J96" s="555"/>
      <c r="K96" s="551"/>
      <c r="L96" s="597" t="s">
        <v>2269</v>
      </c>
      <c r="M96" s="551"/>
    </row>
    <row r="97" spans="2:13" ht="18.95" customHeight="1" x14ac:dyDescent="0.25">
      <c r="B97" s="597" t="s">
        <v>2270</v>
      </c>
      <c r="C97" s="555"/>
      <c r="D97" s="551"/>
      <c r="E97" s="468">
        <v>2</v>
      </c>
      <c r="F97" s="600">
        <v>14100</v>
      </c>
      <c r="G97" s="551"/>
      <c r="H97" s="436">
        <v>1.3371563740461481E-4</v>
      </c>
      <c r="I97" s="597" t="s">
        <v>2271</v>
      </c>
      <c r="J97" s="555"/>
      <c r="K97" s="551"/>
      <c r="L97" s="597" t="s">
        <v>2272</v>
      </c>
      <c r="M97" s="551"/>
    </row>
    <row r="98" spans="2:13" ht="21.95" customHeight="1" x14ac:dyDescent="0.25">
      <c r="B98" s="610" t="s">
        <v>2273</v>
      </c>
      <c r="C98" s="611"/>
      <c r="D98" s="612"/>
      <c r="E98" s="437">
        <v>644</v>
      </c>
      <c r="F98" s="616">
        <v>105447652</v>
      </c>
      <c r="G98" s="612"/>
      <c r="H98" s="438">
        <v>1</v>
      </c>
      <c r="I98" s="610" t="s">
        <v>2274</v>
      </c>
      <c r="J98" s="611"/>
      <c r="K98" s="612"/>
      <c r="L98" s="610" t="s">
        <v>2275</v>
      </c>
      <c r="M98" s="612"/>
    </row>
  </sheetData>
  <autoFilter ref="B10:J53" xr:uid="{00000000-0009-0000-0000-000008000000}"/>
  <mergeCells count="118">
    <mergeCell ref="B2:M2"/>
    <mergeCell ref="L91:M91"/>
    <mergeCell ref="I97:K97"/>
    <mergeCell ref="I87:K87"/>
    <mergeCell ref="B71:F71"/>
    <mergeCell ref="F84:G84"/>
    <mergeCell ref="I96:K96"/>
    <mergeCell ref="D6:E6"/>
    <mergeCell ref="I98:K98"/>
    <mergeCell ref="I76:J76"/>
    <mergeCell ref="F86:G86"/>
    <mergeCell ref="B84:D84"/>
    <mergeCell ref="B92:D92"/>
    <mergeCell ref="L5:M5"/>
    <mergeCell ref="I88:K88"/>
    <mergeCell ref="D7:E7"/>
    <mergeCell ref="B94:D94"/>
    <mergeCell ref="K74:M74"/>
    <mergeCell ref="F96:G96"/>
    <mergeCell ref="F98:G98"/>
    <mergeCell ref="B80:F80"/>
    <mergeCell ref="B96:D96"/>
    <mergeCell ref="G75:H75"/>
    <mergeCell ref="F88:G88"/>
    <mergeCell ref="B98:D98"/>
    <mergeCell ref="G77:H77"/>
    <mergeCell ref="L7:M7"/>
    <mergeCell ref="I77:J77"/>
    <mergeCell ref="L98:M98"/>
    <mergeCell ref="I80:J80"/>
    <mergeCell ref="B88:D88"/>
    <mergeCell ref="F6:G6"/>
    <mergeCell ref="B82:M82"/>
    <mergeCell ref="I92:K92"/>
    <mergeCell ref="B70:F70"/>
    <mergeCell ref="F83:G83"/>
    <mergeCell ref="L93:M93"/>
    <mergeCell ref="B7:C7"/>
    <mergeCell ref="K75:M75"/>
    <mergeCell ref="I93:K93"/>
    <mergeCell ref="F89:G89"/>
    <mergeCell ref="B87:D87"/>
    <mergeCell ref="B73:M73"/>
    <mergeCell ref="F7:G7"/>
    <mergeCell ref="K77:M77"/>
    <mergeCell ref="L89:M89"/>
    <mergeCell ref="G78:H78"/>
    <mergeCell ref="L88:M88"/>
    <mergeCell ref="B6:C6"/>
    <mergeCell ref="L6:M6"/>
    <mergeCell ref="G76:H76"/>
    <mergeCell ref="B76:F76"/>
    <mergeCell ref="H5:I5"/>
    <mergeCell ref="I91:K91"/>
    <mergeCell ref="I74:J74"/>
    <mergeCell ref="K76:M76"/>
    <mergeCell ref="I85:K85"/>
    <mergeCell ref="B75:F75"/>
    <mergeCell ref="F87:G87"/>
    <mergeCell ref="B9:M9"/>
    <mergeCell ref="B83:D83"/>
    <mergeCell ref="F94:G94"/>
    <mergeCell ref="L83:M83"/>
    <mergeCell ref="L92:M92"/>
    <mergeCell ref="B85:D85"/>
    <mergeCell ref="L85:M85"/>
    <mergeCell ref="L94:M94"/>
    <mergeCell ref="L84:M84"/>
    <mergeCell ref="I90:K90"/>
    <mergeCell ref="B74:F74"/>
    <mergeCell ref="I95:K95"/>
    <mergeCell ref="K80:M80"/>
    <mergeCell ref="I89:K89"/>
    <mergeCell ref="F92:G92"/>
    <mergeCell ref="B5:C5"/>
    <mergeCell ref="B93:D93"/>
    <mergeCell ref="D5:E5"/>
    <mergeCell ref="K79:M79"/>
    <mergeCell ref="B86:D86"/>
    <mergeCell ref="L86:M86"/>
    <mergeCell ref="L95:M95"/>
    <mergeCell ref="J5:K5"/>
    <mergeCell ref="I94:K94"/>
    <mergeCell ref="F91:G91"/>
    <mergeCell ref="I84:K84"/>
    <mergeCell ref="K78:M78"/>
    <mergeCell ref="G80:H80"/>
    <mergeCell ref="F93:G93"/>
    <mergeCell ref="B91:D91"/>
    <mergeCell ref="G79:H79"/>
    <mergeCell ref="I86:K86"/>
    <mergeCell ref="I79:J79"/>
    <mergeCell ref="F5:G5"/>
    <mergeCell ref="F85:G85"/>
    <mergeCell ref="B3:M3"/>
    <mergeCell ref="I78:J78"/>
    <mergeCell ref="B79:F79"/>
    <mergeCell ref="L97:M97"/>
    <mergeCell ref="B77:F77"/>
    <mergeCell ref="L87:M87"/>
    <mergeCell ref="H6:I6"/>
    <mergeCell ref="F95:G95"/>
    <mergeCell ref="J6:K6"/>
    <mergeCell ref="I83:K83"/>
    <mergeCell ref="I75:J75"/>
    <mergeCell ref="F97:G97"/>
    <mergeCell ref="B95:D95"/>
    <mergeCell ref="G74:H74"/>
    <mergeCell ref="B89:D89"/>
    <mergeCell ref="B69:F69"/>
    <mergeCell ref="B78:F78"/>
    <mergeCell ref="H7:I7"/>
    <mergeCell ref="F90:G90"/>
    <mergeCell ref="J7:K7"/>
    <mergeCell ref="B97:D97"/>
    <mergeCell ref="B90:D90"/>
    <mergeCell ref="L96:M96"/>
    <mergeCell ref="L90:M9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L255"/>
  <sheetViews>
    <sheetView topLeftCell="A152" zoomScale="130" zoomScaleNormal="130" workbookViewId="0">
      <selection activeCell="H165" sqref="H165:H166"/>
    </sheetView>
  </sheetViews>
  <sheetFormatPr baseColWidth="10" defaultColWidth="9.140625" defaultRowHeight="15" x14ac:dyDescent="0.25"/>
  <cols>
    <col min="1" max="1" width="3" style="471" customWidth="1"/>
    <col min="2" max="2" width="12" style="471" customWidth="1"/>
    <col min="3" max="3" width="20" style="471" customWidth="1"/>
    <col min="4" max="4" width="26" style="471" customWidth="1"/>
    <col min="5" max="5" width="17.42578125" style="471" customWidth="1"/>
    <col min="6" max="6" width="19.7109375" style="477" customWidth="1"/>
    <col min="7" max="7" width="22.42578125" style="471" bestFit="1" customWidth="1"/>
    <col min="8" max="9" width="17.42578125" style="471" bestFit="1" customWidth="1"/>
    <col min="10" max="10" width="41.85546875" style="471" bestFit="1" customWidth="1"/>
    <col min="11" max="11" width="17.85546875" style="471" bestFit="1" customWidth="1"/>
    <col min="12" max="12" width="80.28515625" style="471" bestFit="1" customWidth="1"/>
  </cols>
  <sheetData>
    <row r="2" spans="2:12" ht="27.95" customHeight="1" x14ac:dyDescent="0.25">
      <c r="B2" s="617" t="s">
        <v>2276</v>
      </c>
      <c r="C2" s="545"/>
      <c r="D2" s="545"/>
      <c r="E2" s="545"/>
      <c r="F2" s="618"/>
      <c r="G2" s="545"/>
      <c r="H2" s="545"/>
      <c r="I2" s="545"/>
      <c r="J2" s="545"/>
      <c r="K2" s="545"/>
      <c r="L2" s="545"/>
    </row>
    <row r="3" spans="2:12" ht="20.100000000000001" customHeight="1" x14ac:dyDescent="0.25">
      <c r="B3" s="627" t="s">
        <v>2277</v>
      </c>
      <c r="C3" s="545"/>
      <c r="D3" s="545"/>
      <c r="E3" s="545"/>
      <c r="F3" s="618"/>
      <c r="G3" s="545"/>
      <c r="H3" s="545"/>
      <c r="I3" s="545"/>
      <c r="J3" s="545"/>
      <c r="K3" s="545"/>
      <c r="L3" s="545"/>
    </row>
    <row r="5" spans="2:12" ht="15.95" customHeight="1" x14ac:dyDescent="0.25">
      <c r="B5" s="624" t="s">
        <v>2278</v>
      </c>
      <c r="C5" s="620"/>
      <c r="D5" s="624" t="s">
        <v>2279</v>
      </c>
      <c r="E5" s="620"/>
      <c r="F5" s="77"/>
      <c r="G5" s="624" t="s">
        <v>2280</v>
      </c>
      <c r="H5" s="620"/>
      <c r="I5" s="624" t="s">
        <v>2281</v>
      </c>
      <c r="J5" s="620"/>
      <c r="K5" s="624" t="s">
        <v>2282</v>
      </c>
      <c r="L5" s="620"/>
    </row>
    <row r="6" spans="2:12" ht="21.95" customHeight="1" x14ac:dyDescent="0.25">
      <c r="B6" s="619">
        <v>25175286</v>
      </c>
      <c r="C6" s="620"/>
      <c r="D6" s="619">
        <v>2208436</v>
      </c>
      <c r="E6" s="620"/>
      <c r="F6" s="77"/>
      <c r="G6" s="619">
        <v>868000</v>
      </c>
      <c r="H6" s="620"/>
      <c r="I6" s="619">
        <v>2905950</v>
      </c>
      <c r="J6" s="620"/>
      <c r="K6" s="626">
        <v>69</v>
      </c>
      <c r="L6" s="620"/>
    </row>
    <row r="7" spans="2:12" ht="15" customHeight="1" x14ac:dyDescent="0.25">
      <c r="B7" s="623" t="s">
        <v>2283</v>
      </c>
      <c r="C7" s="620"/>
      <c r="D7" s="623" t="s">
        <v>2284</v>
      </c>
      <c r="E7" s="620"/>
      <c r="F7" s="77"/>
      <c r="G7" s="623" t="s">
        <v>2285</v>
      </c>
      <c r="H7" s="620"/>
      <c r="I7" s="623" t="s">
        <v>2286</v>
      </c>
      <c r="J7" s="620"/>
      <c r="K7" s="623" t="s">
        <v>2287</v>
      </c>
      <c r="L7" s="620"/>
    </row>
    <row r="9" spans="2:12" ht="21.95" customHeight="1" x14ac:dyDescent="0.25">
      <c r="B9" s="625" t="s">
        <v>2288</v>
      </c>
      <c r="C9" s="545"/>
      <c r="D9" s="545"/>
      <c r="E9" s="545"/>
      <c r="F9" s="618"/>
      <c r="G9" s="545"/>
      <c r="H9" s="545"/>
      <c r="I9" s="545"/>
      <c r="J9" s="545"/>
      <c r="K9" s="545"/>
      <c r="L9" s="545"/>
    </row>
    <row r="10" spans="2:12" ht="24" customHeight="1" x14ac:dyDescent="0.25">
      <c r="B10" s="62" t="s">
        <v>2289</v>
      </c>
      <c r="C10" s="63" t="s">
        <v>2290</v>
      </c>
      <c r="D10" s="63" t="s">
        <v>2291</v>
      </c>
      <c r="E10" s="64" t="s">
        <v>2292</v>
      </c>
      <c r="F10" s="63"/>
      <c r="G10" s="63" t="s">
        <v>2293</v>
      </c>
      <c r="H10" s="62" t="s">
        <v>2294</v>
      </c>
      <c r="I10" s="62" t="s">
        <v>2295</v>
      </c>
      <c r="J10" s="63" t="s">
        <v>2296</v>
      </c>
      <c r="K10" s="64" t="s">
        <v>2297</v>
      </c>
      <c r="L10" s="63" t="s">
        <v>2298</v>
      </c>
    </row>
    <row r="11" spans="2:12" ht="20.100000000000001" customHeight="1" x14ac:dyDescent="0.25">
      <c r="B11" s="65" t="s">
        <v>2299</v>
      </c>
      <c r="C11" s="66" t="s">
        <v>2300</v>
      </c>
      <c r="D11" s="66" t="s">
        <v>2301</v>
      </c>
      <c r="E11" s="299">
        <v>10000</v>
      </c>
      <c r="F11" s="297" t="s">
        <v>1359</v>
      </c>
      <c r="G11" s="66" t="s">
        <v>1461</v>
      </c>
      <c r="H11" s="67" t="s">
        <v>2302</v>
      </c>
      <c r="I11" s="65" t="s">
        <v>44</v>
      </c>
      <c r="J11" s="66" t="s">
        <v>2303</v>
      </c>
      <c r="K11" s="68" t="s">
        <v>44</v>
      </c>
      <c r="L11" s="66" t="s">
        <v>2304</v>
      </c>
    </row>
    <row r="12" spans="2:12" ht="20.100000000000001" customHeight="1" x14ac:dyDescent="0.25">
      <c r="B12" s="69" t="s">
        <v>2299</v>
      </c>
      <c r="C12" s="70" t="s">
        <v>2300</v>
      </c>
      <c r="D12" s="70" t="s">
        <v>2305</v>
      </c>
      <c r="E12" s="298">
        <v>37100</v>
      </c>
      <c r="F12" s="297" t="s">
        <v>1360</v>
      </c>
      <c r="G12" s="70" t="s">
        <v>2306</v>
      </c>
      <c r="H12" s="67" t="s">
        <v>2302</v>
      </c>
      <c r="I12" s="69" t="s">
        <v>44</v>
      </c>
      <c r="J12" s="70" t="s">
        <v>2303</v>
      </c>
      <c r="K12" s="71" t="s">
        <v>44</v>
      </c>
      <c r="L12" s="70" t="s">
        <v>2307</v>
      </c>
    </row>
    <row r="13" spans="2:12" ht="20.100000000000001" customHeight="1" x14ac:dyDescent="0.25">
      <c r="B13" s="65" t="s">
        <v>2299</v>
      </c>
      <c r="C13" s="66" t="s">
        <v>2300</v>
      </c>
      <c r="D13" s="66" t="s">
        <v>1788</v>
      </c>
      <c r="E13" s="299">
        <v>66000</v>
      </c>
      <c r="F13" s="297" t="s">
        <v>737</v>
      </c>
      <c r="G13" s="66" t="s">
        <v>2308</v>
      </c>
      <c r="H13" s="72" t="s">
        <v>2309</v>
      </c>
      <c r="I13" s="65" t="s">
        <v>44</v>
      </c>
      <c r="J13" s="66" t="s">
        <v>2310</v>
      </c>
      <c r="K13" s="68" t="s">
        <v>44</v>
      </c>
      <c r="L13" s="66" t="s">
        <v>2311</v>
      </c>
    </row>
    <row r="14" spans="2:12" ht="20.100000000000001" customHeight="1" x14ac:dyDescent="0.25">
      <c r="B14" s="69" t="s">
        <v>2299</v>
      </c>
      <c r="C14" s="70" t="s">
        <v>2300</v>
      </c>
      <c r="D14" s="70" t="s">
        <v>2312</v>
      </c>
      <c r="E14" s="298">
        <v>4000</v>
      </c>
      <c r="F14" s="297" t="s">
        <v>1361</v>
      </c>
      <c r="G14" s="70" t="s">
        <v>2313</v>
      </c>
      <c r="H14" s="72" t="s">
        <v>2314</v>
      </c>
      <c r="I14" s="69" t="s">
        <v>44</v>
      </c>
      <c r="J14" s="70" t="s">
        <v>2315</v>
      </c>
      <c r="K14" s="71" t="s">
        <v>44</v>
      </c>
      <c r="L14" s="70" t="s">
        <v>2316</v>
      </c>
    </row>
    <row r="15" spans="2:12" ht="20.100000000000001" customHeight="1" x14ac:dyDescent="0.25">
      <c r="B15" s="65" t="s">
        <v>2299</v>
      </c>
      <c r="C15" s="66" t="s">
        <v>2300</v>
      </c>
      <c r="D15" s="66" t="s">
        <v>2317</v>
      </c>
      <c r="E15" s="299">
        <v>15000</v>
      </c>
      <c r="F15" s="297" t="s">
        <v>752</v>
      </c>
      <c r="G15" s="66" t="s">
        <v>753</v>
      </c>
      <c r="H15" s="67" t="s">
        <v>2302</v>
      </c>
      <c r="I15" s="65" t="s">
        <v>44</v>
      </c>
      <c r="J15" s="66" t="s">
        <v>2303</v>
      </c>
      <c r="K15" s="68" t="s">
        <v>44</v>
      </c>
      <c r="L15" s="66" t="s">
        <v>2318</v>
      </c>
    </row>
    <row r="16" spans="2:12" ht="20.100000000000001" customHeight="1" x14ac:dyDescent="0.25">
      <c r="B16" s="69" t="s">
        <v>2299</v>
      </c>
      <c r="C16" s="70" t="s">
        <v>2300</v>
      </c>
      <c r="D16" s="70" t="s">
        <v>2319</v>
      </c>
      <c r="E16" s="298">
        <v>85000</v>
      </c>
      <c r="F16" s="297" t="s">
        <v>746</v>
      </c>
      <c r="G16" s="70" t="s">
        <v>2320</v>
      </c>
      <c r="H16" s="67" t="s">
        <v>2302</v>
      </c>
      <c r="I16" s="69" t="s">
        <v>44</v>
      </c>
      <c r="J16" s="70" t="s">
        <v>2303</v>
      </c>
      <c r="K16" s="71" t="s">
        <v>44</v>
      </c>
      <c r="L16" s="70" t="s">
        <v>2321</v>
      </c>
    </row>
    <row r="17" spans="2:12" ht="20.100000000000001" customHeight="1" x14ac:dyDescent="0.25">
      <c r="B17" s="65" t="s">
        <v>2322</v>
      </c>
      <c r="C17" s="66" t="s">
        <v>2323</v>
      </c>
      <c r="D17" s="66" t="s">
        <v>2324</v>
      </c>
      <c r="E17" s="299">
        <v>132000</v>
      </c>
      <c r="F17" s="297" t="s">
        <v>1447</v>
      </c>
      <c r="G17" s="66" t="s">
        <v>2308</v>
      </c>
      <c r="H17" s="72" t="s">
        <v>2309</v>
      </c>
      <c r="I17" s="65" t="s">
        <v>44</v>
      </c>
      <c r="J17" s="66" t="s">
        <v>2310</v>
      </c>
      <c r="K17" s="68" t="s">
        <v>44</v>
      </c>
      <c r="L17" s="66" t="s">
        <v>2325</v>
      </c>
    </row>
    <row r="18" spans="2:12" ht="20.100000000000001" customHeight="1" x14ac:dyDescent="0.25">
      <c r="B18" s="69" t="s">
        <v>2322</v>
      </c>
      <c r="C18" s="70" t="s">
        <v>2323</v>
      </c>
      <c r="D18" s="70" t="s">
        <v>2326</v>
      </c>
      <c r="E18" s="298">
        <v>66000</v>
      </c>
      <c r="F18" s="297" t="s">
        <v>1445</v>
      </c>
      <c r="G18" s="70" t="s">
        <v>2308</v>
      </c>
      <c r="H18" s="72" t="s">
        <v>2309</v>
      </c>
      <c r="I18" s="69" t="s">
        <v>44</v>
      </c>
      <c r="J18" s="70" t="s">
        <v>2310</v>
      </c>
      <c r="K18" s="71" t="s">
        <v>44</v>
      </c>
      <c r="L18" s="70" t="s">
        <v>2327</v>
      </c>
    </row>
    <row r="19" spans="2:12" ht="20.100000000000001" customHeight="1" x14ac:dyDescent="0.25">
      <c r="B19" s="65" t="s">
        <v>2322</v>
      </c>
      <c r="C19" s="66" t="s">
        <v>2323</v>
      </c>
      <c r="D19" s="66" t="s">
        <v>763</v>
      </c>
      <c r="E19" s="299">
        <v>66000</v>
      </c>
      <c r="F19" s="297" t="s">
        <v>1446</v>
      </c>
      <c r="G19" s="66" t="s">
        <v>2308</v>
      </c>
      <c r="H19" s="72" t="s">
        <v>2309</v>
      </c>
      <c r="I19" s="65" t="s">
        <v>44</v>
      </c>
      <c r="J19" s="66" t="s">
        <v>2310</v>
      </c>
      <c r="K19" s="68" t="s">
        <v>44</v>
      </c>
      <c r="L19" s="66" t="s">
        <v>2327</v>
      </c>
    </row>
    <row r="20" spans="2:12" ht="20.100000000000001" customHeight="1" x14ac:dyDescent="0.25">
      <c r="B20" s="69" t="s">
        <v>2322</v>
      </c>
      <c r="C20" s="70" t="s">
        <v>2323</v>
      </c>
      <c r="D20" s="70" t="s">
        <v>663</v>
      </c>
      <c r="E20" s="298">
        <v>10000</v>
      </c>
      <c r="F20" s="297" t="s">
        <v>2328</v>
      </c>
      <c r="G20" s="70" t="s">
        <v>2329</v>
      </c>
      <c r="H20" s="73" t="s">
        <v>2330</v>
      </c>
      <c r="I20" s="69" t="s">
        <v>2331</v>
      </c>
      <c r="J20" s="70" t="s">
        <v>2332</v>
      </c>
      <c r="K20" s="298">
        <v>10000</v>
      </c>
      <c r="L20" s="70" t="s">
        <v>2333</v>
      </c>
    </row>
    <row r="21" spans="2:12" ht="20.100000000000001" customHeight="1" x14ac:dyDescent="0.25">
      <c r="B21" s="65" t="s">
        <v>2322</v>
      </c>
      <c r="C21" s="66" t="s">
        <v>2323</v>
      </c>
      <c r="D21" s="66" t="s">
        <v>1103</v>
      </c>
      <c r="E21" s="299">
        <v>30000</v>
      </c>
      <c r="F21" s="297" t="s">
        <v>2334</v>
      </c>
      <c r="G21" s="66" t="s">
        <v>2335</v>
      </c>
      <c r="H21" s="73" t="s">
        <v>2330</v>
      </c>
      <c r="I21" s="65" t="s">
        <v>2336</v>
      </c>
      <c r="J21" s="66" t="s">
        <v>2337</v>
      </c>
      <c r="K21" s="299">
        <v>30000</v>
      </c>
      <c r="L21" s="66" t="s">
        <v>2338</v>
      </c>
    </row>
    <row r="22" spans="2:12" ht="20.100000000000001" customHeight="1" x14ac:dyDescent="0.25">
      <c r="B22" s="69" t="s">
        <v>2322</v>
      </c>
      <c r="C22" s="70" t="s">
        <v>2323</v>
      </c>
      <c r="D22" s="70" t="s">
        <v>2339</v>
      </c>
      <c r="E22" s="298">
        <v>35100</v>
      </c>
      <c r="F22" s="297" t="s">
        <v>1455</v>
      </c>
      <c r="G22" s="70" t="s">
        <v>2270</v>
      </c>
      <c r="H22" s="67" t="s">
        <v>2302</v>
      </c>
      <c r="I22" s="69" t="s">
        <v>44</v>
      </c>
      <c r="J22" s="70" t="s">
        <v>2303</v>
      </c>
      <c r="K22" s="71" t="s">
        <v>44</v>
      </c>
      <c r="L22" s="70" t="s">
        <v>2340</v>
      </c>
    </row>
    <row r="23" spans="2:12" ht="20.100000000000001" customHeight="1" x14ac:dyDescent="0.25">
      <c r="B23" s="65" t="s">
        <v>2322</v>
      </c>
      <c r="C23" s="66" t="s">
        <v>2323</v>
      </c>
      <c r="D23" s="66" t="s">
        <v>1395</v>
      </c>
      <c r="E23" s="299">
        <v>66000</v>
      </c>
      <c r="F23" s="297" t="s">
        <v>1457</v>
      </c>
      <c r="G23" s="66" t="s">
        <v>25</v>
      </c>
      <c r="H23" s="74" t="s">
        <v>2341</v>
      </c>
      <c r="I23" s="65" t="s">
        <v>2342</v>
      </c>
      <c r="J23" s="66" t="s">
        <v>2343</v>
      </c>
      <c r="K23" s="299">
        <v>85400</v>
      </c>
      <c r="L23" s="66" t="s">
        <v>2344</v>
      </c>
    </row>
    <row r="24" spans="2:12" ht="20.100000000000001" customHeight="1" x14ac:dyDescent="0.25">
      <c r="B24" s="69" t="s">
        <v>2322</v>
      </c>
      <c r="C24" s="70" t="s">
        <v>2323</v>
      </c>
      <c r="D24" s="70" t="s">
        <v>1440</v>
      </c>
      <c r="E24" s="298">
        <v>147000</v>
      </c>
      <c r="F24" s="297" t="s">
        <v>2345</v>
      </c>
      <c r="G24" s="70" t="s">
        <v>2346</v>
      </c>
      <c r="H24" s="73" t="s">
        <v>2330</v>
      </c>
      <c r="I24" s="69" t="s">
        <v>2347</v>
      </c>
      <c r="J24" s="70" t="s">
        <v>2348</v>
      </c>
      <c r="K24" s="298">
        <v>147000</v>
      </c>
      <c r="L24" s="70" t="s">
        <v>2349</v>
      </c>
    </row>
    <row r="25" spans="2:12" ht="20.100000000000001" customHeight="1" x14ac:dyDescent="0.25">
      <c r="B25" s="65" t="s">
        <v>2322</v>
      </c>
      <c r="C25" s="66" t="s">
        <v>2323</v>
      </c>
      <c r="D25" s="66" t="s">
        <v>2350</v>
      </c>
      <c r="E25" s="299">
        <v>14000</v>
      </c>
      <c r="F25" s="297" t="s">
        <v>2351</v>
      </c>
      <c r="G25" s="66" t="s">
        <v>2352</v>
      </c>
      <c r="H25" s="73" t="s">
        <v>2330</v>
      </c>
      <c r="I25" s="65" t="s">
        <v>2353</v>
      </c>
      <c r="J25" s="66" t="s">
        <v>2354</v>
      </c>
      <c r="K25" s="299">
        <v>14000</v>
      </c>
      <c r="L25" s="66" t="s">
        <v>2355</v>
      </c>
    </row>
    <row r="26" spans="2:12" ht="20.100000000000001" customHeight="1" x14ac:dyDescent="0.25">
      <c r="B26" s="69" t="s">
        <v>2322</v>
      </c>
      <c r="C26" s="70" t="s">
        <v>2323</v>
      </c>
      <c r="D26" s="70" t="s">
        <v>2356</v>
      </c>
      <c r="E26" s="298">
        <v>78500</v>
      </c>
      <c r="F26" s="297" t="s">
        <v>1458</v>
      </c>
      <c r="G26" s="70" t="s">
        <v>25</v>
      </c>
      <c r="H26" s="74" t="s">
        <v>2341</v>
      </c>
      <c r="I26" s="69" t="s">
        <v>2357</v>
      </c>
      <c r="J26" s="70" t="s">
        <v>2358</v>
      </c>
      <c r="K26" s="298">
        <v>74200</v>
      </c>
      <c r="L26" s="70" t="s">
        <v>2359</v>
      </c>
    </row>
    <row r="27" spans="2:12" ht="20.100000000000001" customHeight="1" x14ac:dyDescent="0.25">
      <c r="B27" s="65" t="s">
        <v>2322</v>
      </c>
      <c r="C27" s="66" t="s">
        <v>2323</v>
      </c>
      <c r="D27" s="66" t="s">
        <v>2360</v>
      </c>
      <c r="E27" s="299">
        <v>90000</v>
      </c>
      <c r="F27" s="297" t="s">
        <v>1450</v>
      </c>
      <c r="G27" s="66" t="s">
        <v>2361</v>
      </c>
      <c r="H27" s="67" t="s">
        <v>2302</v>
      </c>
      <c r="I27" s="65" t="s">
        <v>44</v>
      </c>
      <c r="J27" s="66" t="s">
        <v>2303</v>
      </c>
      <c r="K27" s="68" t="s">
        <v>44</v>
      </c>
      <c r="L27" s="66" t="s">
        <v>2362</v>
      </c>
    </row>
    <row r="28" spans="2:12" ht="20.100000000000001" customHeight="1" x14ac:dyDescent="0.25">
      <c r="B28" s="69" t="s">
        <v>2322</v>
      </c>
      <c r="C28" s="70" t="s">
        <v>2323</v>
      </c>
      <c r="D28" s="70" t="s">
        <v>1658</v>
      </c>
      <c r="E28" s="298">
        <v>81000</v>
      </c>
      <c r="F28" s="297" t="s">
        <v>1451</v>
      </c>
      <c r="G28" s="70" t="s">
        <v>2363</v>
      </c>
      <c r="H28" s="67" t="s">
        <v>2302</v>
      </c>
      <c r="I28" s="69" t="s">
        <v>44</v>
      </c>
      <c r="J28" s="70" t="s">
        <v>2303</v>
      </c>
      <c r="K28" s="71" t="s">
        <v>44</v>
      </c>
      <c r="L28" s="70" t="s">
        <v>2364</v>
      </c>
    </row>
    <row r="29" spans="2:12" ht="20.100000000000001" customHeight="1" x14ac:dyDescent="0.25">
      <c r="B29" s="65" t="s">
        <v>2322</v>
      </c>
      <c r="C29" s="66" t="s">
        <v>2323</v>
      </c>
      <c r="D29" s="66" t="s">
        <v>2365</v>
      </c>
      <c r="E29" s="299">
        <v>5555</v>
      </c>
      <c r="F29" s="297" t="s">
        <v>2366</v>
      </c>
      <c r="G29" s="66" t="s">
        <v>2367</v>
      </c>
      <c r="H29" s="73" t="s">
        <v>2368</v>
      </c>
      <c r="I29" s="65" t="s">
        <v>2369</v>
      </c>
      <c r="J29" s="66" t="s">
        <v>2370</v>
      </c>
      <c r="K29" s="299">
        <v>5555</v>
      </c>
      <c r="L29" s="66" t="s">
        <v>2371</v>
      </c>
    </row>
    <row r="30" spans="2:12" ht="20.100000000000001" customHeight="1" x14ac:dyDescent="0.25">
      <c r="B30" s="69" t="s">
        <v>2322</v>
      </c>
      <c r="C30" s="70" t="s">
        <v>2323</v>
      </c>
      <c r="D30" s="70" t="s">
        <v>2372</v>
      </c>
      <c r="E30" s="298">
        <v>90125</v>
      </c>
      <c r="F30" s="297" t="s">
        <v>2373</v>
      </c>
      <c r="G30" s="70" t="s">
        <v>2346</v>
      </c>
      <c r="H30" s="73" t="s">
        <v>2368</v>
      </c>
      <c r="I30" s="69" t="s">
        <v>2374</v>
      </c>
      <c r="J30" s="70" t="s">
        <v>2375</v>
      </c>
      <c r="K30" s="298">
        <v>90125</v>
      </c>
      <c r="L30" s="70" t="s">
        <v>2376</v>
      </c>
    </row>
    <row r="31" spans="2:12" ht="20.100000000000001" customHeight="1" x14ac:dyDescent="0.25">
      <c r="B31" s="65" t="s">
        <v>2322</v>
      </c>
      <c r="C31" s="66" t="s">
        <v>2323</v>
      </c>
      <c r="D31" s="66" t="s">
        <v>2377</v>
      </c>
      <c r="E31" s="299">
        <v>61606</v>
      </c>
      <c r="F31" s="297" t="s">
        <v>2378</v>
      </c>
      <c r="G31" s="66" t="s">
        <v>1077</v>
      </c>
      <c r="H31" s="73" t="s">
        <v>2368</v>
      </c>
      <c r="I31" s="65" t="s">
        <v>2379</v>
      </c>
      <c r="J31" s="66" t="s">
        <v>2380</v>
      </c>
      <c r="K31" s="299">
        <v>61606</v>
      </c>
      <c r="L31" s="66" t="s">
        <v>2381</v>
      </c>
    </row>
    <row r="32" spans="2:12" ht="20.100000000000001" customHeight="1" x14ac:dyDescent="0.25">
      <c r="B32" s="69" t="s">
        <v>2322</v>
      </c>
      <c r="C32" s="70" t="s">
        <v>2323</v>
      </c>
      <c r="D32" s="70" t="s">
        <v>2382</v>
      </c>
      <c r="E32" s="298">
        <v>13500</v>
      </c>
      <c r="F32" s="297" t="s">
        <v>1448</v>
      </c>
      <c r="G32" s="70" t="s">
        <v>2383</v>
      </c>
      <c r="H32" s="67" t="s">
        <v>2302</v>
      </c>
      <c r="I32" s="69" t="s">
        <v>44</v>
      </c>
      <c r="J32" s="70" t="s">
        <v>2303</v>
      </c>
      <c r="K32" s="71" t="s">
        <v>44</v>
      </c>
      <c r="L32" s="70" t="s">
        <v>2384</v>
      </c>
    </row>
    <row r="33" spans="2:12" ht="20.100000000000001" customHeight="1" x14ac:dyDescent="0.25">
      <c r="B33" s="65" t="s">
        <v>2322</v>
      </c>
      <c r="C33" s="66" t="s">
        <v>2323</v>
      </c>
      <c r="D33" s="66" t="s">
        <v>2385</v>
      </c>
      <c r="E33" s="299">
        <v>130000</v>
      </c>
      <c r="F33" s="297" t="s">
        <v>1454</v>
      </c>
      <c r="G33" s="66" t="s">
        <v>2386</v>
      </c>
      <c r="H33" s="67" t="s">
        <v>2302</v>
      </c>
      <c r="I33" s="65" t="s">
        <v>44</v>
      </c>
      <c r="J33" s="66" t="s">
        <v>2303</v>
      </c>
      <c r="K33" s="68" t="s">
        <v>44</v>
      </c>
      <c r="L33" s="66" t="s">
        <v>2387</v>
      </c>
    </row>
    <row r="34" spans="2:12" ht="20.100000000000001" customHeight="1" x14ac:dyDescent="0.25">
      <c r="B34" s="69" t="s">
        <v>2388</v>
      </c>
      <c r="C34" s="70" t="s">
        <v>2389</v>
      </c>
      <c r="D34" s="70" t="s">
        <v>2390</v>
      </c>
      <c r="E34" s="298">
        <v>5000</v>
      </c>
      <c r="F34" s="297" t="s">
        <v>1452</v>
      </c>
      <c r="G34" s="70" t="s">
        <v>1082</v>
      </c>
      <c r="H34" s="67" t="s">
        <v>2302</v>
      </c>
      <c r="I34" s="69" t="s">
        <v>44</v>
      </c>
      <c r="J34" s="70" t="s">
        <v>2303</v>
      </c>
      <c r="K34" s="71" t="s">
        <v>44</v>
      </c>
      <c r="L34" s="70" t="s">
        <v>2391</v>
      </c>
    </row>
    <row r="35" spans="2:12" ht="20.100000000000001" customHeight="1" x14ac:dyDescent="0.25">
      <c r="B35" s="65" t="s">
        <v>2388</v>
      </c>
      <c r="C35" s="66" t="s">
        <v>2389</v>
      </c>
      <c r="D35" s="66" t="s">
        <v>2392</v>
      </c>
      <c r="E35" s="299">
        <v>20000</v>
      </c>
      <c r="F35" s="297" t="s">
        <v>1456</v>
      </c>
      <c r="G35" s="66" t="s">
        <v>1461</v>
      </c>
      <c r="H35" s="67" t="s">
        <v>2302</v>
      </c>
      <c r="I35" s="65" t="s">
        <v>44</v>
      </c>
      <c r="J35" s="66" t="s">
        <v>2303</v>
      </c>
      <c r="K35" s="68" t="s">
        <v>44</v>
      </c>
      <c r="L35" s="66" t="s">
        <v>2393</v>
      </c>
    </row>
    <row r="36" spans="2:12" ht="20.100000000000001" customHeight="1" x14ac:dyDescent="0.25">
      <c r="B36" s="69" t="s">
        <v>2388</v>
      </c>
      <c r="C36" s="70" t="s">
        <v>2389</v>
      </c>
      <c r="D36" s="70" t="s">
        <v>2394</v>
      </c>
      <c r="E36" s="298">
        <v>86600</v>
      </c>
      <c r="F36" s="297" t="s">
        <v>1453</v>
      </c>
      <c r="G36" s="70" t="s">
        <v>2346</v>
      </c>
      <c r="H36" s="67" t="s">
        <v>2302</v>
      </c>
      <c r="I36" s="69" t="s">
        <v>44</v>
      </c>
      <c r="J36" s="70" t="s">
        <v>2303</v>
      </c>
      <c r="K36" s="71" t="s">
        <v>44</v>
      </c>
      <c r="L36" s="70" t="s">
        <v>2395</v>
      </c>
    </row>
    <row r="37" spans="2:12" ht="20.100000000000001" customHeight="1" x14ac:dyDescent="0.25">
      <c r="B37" s="65" t="s">
        <v>2388</v>
      </c>
      <c r="C37" s="66" t="s">
        <v>2389</v>
      </c>
      <c r="D37" s="66" t="s">
        <v>2396</v>
      </c>
      <c r="E37" s="299">
        <v>20000</v>
      </c>
      <c r="F37" s="297" t="s">
        <v>1449</v>
      </c>
      <c r="G37" s="66" t="s">
        <v>2313</v>
      </c>
      <c r="H37" s="72" t="s">
        <v>2314</v>
      </c>
      <c r="I37" s="65" t="s">
        <v>44</v>
      </c>
      <c r="J37" s="66" t="s">
        <v>2315</v>
      </c>
      <c r="K37" s="68" t="s">
        <v>44</v>
      </c>
      <c r="L37" s="66" t="s">
        <v>2397</v>
      </c>
    </row>
    <row r="38" spans="2:12" ht="20.100000000000001" customHeight="1" x14ac:dyDescent="0.25">
      <c r="B38" s="69" t="s">
        <v>2388</v>
      </c>
      <c r="C38" s="70" t="s">
        <v>2389</v>
      </c>
      <c r="D38" s="70" t="s">
        <v>2398</v>
      </c>
      <c r="E38" s="298">
        <v>72200</v>
      </c>
      <c r="F38" s="297" t="s">
        <v>320</v>
      </c>
      <c r="G38" s="70" t="s">
        <v>2399</v>
      </c>
      <c r="H38" s="67" t="s">
        <v>2302</v>
      </c>
      <c r="I38" s="69" t="s">
        <v>44</v>
      </c>
      <c r="J38" s="70" t="s">
        <v>2303</v>
      </c>
      <c r="K38" s="71" t="s">
        <v>44</v>
      </c>
      <c r="L38" s="70" t="s">
        <v>2400</v>
      </c>
    </row>
    <row r="39" spans="2:12" ht="20.100000000000001" customHeight="1" x14ac:dyDescent="0.25">
      <c r="B39" s="65" t="s">
        <v>2388</v>
      </c>
      <c r="C39" s="66" t="s">
        <v>2389</v>
      </c>
      <c r="D39" s="66" t="s">
        <v>1788</v>
      </c>
      <c r="E39" s="299">
        <v>66000</v>
      </c>
      <c r="F39" s="297" t="s">
        <v>766</v>
      </c>
      <c r="G39" s="66" t="s">
        <v>2308</v>
      </c>
      <c r="H39" s="72" t="s">
        <v>2309</v>
      </c>
      <c r="I39" s="65" t="s">
        <v>44</v>
      </c>
      <c r="J39" s="66" t="s">
        <v>2310</v>
      </c>
      <c r="K39" s="68" t="s">
        <v>44</v>
      </c>
      <c r="L39" s="66" t="s">
        <v>2327</v>
      </c>
    </row>
    <row r="40" spans="2:12" ht="20.100000000000001" customHeight="1" x14ac:dyDescent="0.25">
      <c r="B40" s="69" t="s">
        <v>2401</v>
      </c>
      <c r="C40" s="70" t="s">
        <v>2323</v>
      </c>
      <c r="D40" s="70" t="s">
        <v>2326</v>
      </c>
      <c r="E40" s="298">
        <v>66000</v>
      </c>
      <c r="F40" s="297" t="s">
        <v>1445</v>
      </c>
      <c r="G40" s="70" t="s">
        <v>2308</v>
      </c>
      <c r="H40" s="72" t="s">
        <v>2309</v>
      </c>
      <c r="I40" s="69" t="s">
        <v>44</v>
      </c>
      <c r="J40" s="70" t="s">
        <v>2310</v>
      </c>
      <c r="K40" s="71" t="s">
        <v>44</v>
      </c>
      <c r="L40" s="70" t="s">
        <v>2327</v>
      </c>
    </row>
    <row r="41" spans="2:12" ht="20.100000000000001" customHeight="1" x14ac:dyDescent="0.25">
      <c r="B41" s="65" t="s">
        <v>2401</v>
      </c>
      <c r="C41" s="66" t="s">
        <v>2323</v>
      </c>
      <c r="D41" s="66" t="s">
        <v>2402</v>
      </c>
      <c r="E41" s="299">
        <v>66000</v>
      </c>
      <c r="F41" s="297" t="s">
        <v>1493</v>
      </c>
      <c r="G41" s="66" t="s">
        <v>2308</v>
      </c>
      <c r="H41" s="72" t="s">
        <v>2309</v>
      </c>
      <c r="I41" s="65" t="s">
        <v>44</v>
      </c>
      <c r="J41" s="66" t="s">
        <v>2310</v>
      </c>
      <c r="K41" s="68" t="s">
        <v>44</v>
      </c>
      <c r="L41" s="66" t="s">
        <v>2327</v>
      </c>
    </row>
    <row r="42" spans="2:12" ht="20.100000000000001" customHeight="1" x14ac:dyDescent="0.25">
      <c r="B42" s="69" t="s">
        <v>2401</v>
      </c>
      <c r="C42" s="70" t="s">
        <v>2323</v>
      </c>
      <c r="D42" s="70" t="s">
        <v>663</v>
      </c>
      <c r="E42" s="298">
        <v>19000</v>
      </c>
      <c r="F42" s="297" t="s">
        <v>2328</v>
      </c>
      <c r="G42" s="70" t="s">
        <v>2329</v>
      </c>
      <c r="H42" s="73" t="s">
        <v>2330</v>
      </c>
      <c r="I42" s="69" t="s">
        <v>2403</v>
      </c>
      <c r="J42" s="70" t="s">
        <v>2404</v>
      </c>
      <c r="K42" s="298">
        <v>19000</v>
      </c>
      <c r="L42" s="70" t="s">
        <v>2405</v>
      </c>
    </row>
    <row r="43" spans="2:12" ht="20.100000000000001" customHeight="1" x14ac:dyDescent="0.25">
      <c r="B43" s="65" t="s">
        <v>2401</v>
      </c>
      <c r="C43" s="66" t="s">
        <v>2323</v>
      </c>
      <c r="D43" s="66" t="s">
        <v>2406</v>
      </c>
      <c r="E43" s="299">
        <v>31000</v>
      </c>
      <c r="F43" s="297" t="s">
        <v>1495</v>
      </c>
      <c r="G43" s="66" t="s">
        <v>1082</v>
      </c>
      <c r="H43" s="67" t="s">
        <v>2302</v>
      </c>
      <c r="I43" s="65" t="s">
        <v>44</v>
      </c>
      <c r="J43" s="66" t="s">
        <v>2303</v>
      </c>
      <c r="K43" s="68" t="s">
        <v>44</v>
      </c>
      <c r="L43" s="66" t="s">
        <v>2407</v>
      </c>
    </row>
    <row r="44" spans="2:12" ht="20.100000000000001" customHeight="1" x14ac:dyDescent="0.25">
      <c r="B44" s="69" t="s">
        <v>2401</v>
      </c>
      <c r="C44" s="70" t="s">
        <v>2323</v>
      </c>
      <c r="D44" s="70" t="s">
        <v>2408</v>
      </c>
      <c r="E44" s="298">
        <v>76500</v>
      </c>
      <c r="F44" s="297" t="s">
        <v>342</v>
      </c>
      <c r="G44" s="70" t="s">
        <v>2409</v>
      </c>
      <c r="H44" s="67" t="s">
        <v>2302</v>
      </c>
      <c r="I44" s="69" t="s">
        <v>44</v>
      </c>
      <c r="J44" s="70" t="s">
        <v>2303</v>
      </c>
      <c r="K44" s="71" t="s">
        <v>44</v>
      </c>
      <c r="L44" s="70" t="s">
        <v>2410</v>
      </c>
    </row>
    <row r="45" spans="2:12" ht="20.100000000000001" customHeight="1" x14ac:dyDescent="0.25">
      <c r="B45" s="65" t="s">
        <v>2401</v>
      </c>
      <c r="C45" s="66" t="s">
        <v>2323</v>
      </c>
      <c r="D45" s="66" t="s">
        <v>2411</v>
      </c>
      <c r="E45" s="299">
        <v>40000</v>
      </c>
      <c r="F45" s="297" t="s">
        <v>1494</v>
      </c>
      <c r="G45" s="66" t="s">
        <v>2412</v>
      </c>
      <c r="H45" s="67" t="s">
        <v>2302</v>
      </c>
      <c r="I45" s="65" t="s">
        <v>44</v>
      </c>
      <c r="J45" s="66" t="s">
        <v>2303</v>
      </c>
      <c r="K45" s="68" t="s">
        <v>44</v>
      </c>
      <c r="L45" s="66" t="s">
        <v>2413</v>
      </c>
    </row>
    <row r="46" spans="2:12" ht="20.100000000000001" customHeight="1" x14ac:dyDescent="0.25">
      <c r="B46" s="69" t="s">
        <v>2401</v>
      </c>
      <c r="C46" s="70" t="s">
        <v>2323</v>
      </c>
      <c r="D46" s="70" t="s">
        <v>1103</v>
      </c>
      <c r="E46" s="298">
        <v>30000</v>
      </c>
      <c r="F46" s="297" t="s">
        <v>2334</v>
      </c>
      <c r="G46" s="70" t="s">
        <v>2335</v>
      </c>
      <c r="H46" s="73" t="s">
        <v>2330</v>
      </c>
      <c r="I46" s="69" t="s">
        <v>2414</v>
      </c>
      <c r="J46" s="70" t="s">
        <v>2415</v>
      </c>
      <c r="K46" s="298">
        <v>30000</v>
      </c>
      <c r="L46" s="70" t="s">
        <v>2416</v>
      </c>
    </row>
    <row r="47" spans="2:12" ht="20.100000000000001" customHeight="1" x14ac:dyDescent="0.25">
      <c r="B47" s="65" t="s">
        <v>2401</v>
      </c>
      <c r="C47" s="66" t="s">
        <v>2323</v>
      </c>
      <c r="D47" s="66" t="s">
        <v>965</v>
      </c>
      <c r="E47" s="299">
        <v>25000</v>
      </c>
      <c r="F47" s="297" t="s">
        <v>2417</v>
      </c>
      <c r="G47" s="66" t="s">
        <v>2418</v>
      </c>
      <c r="H47" s="73" t="s">
        <v>2330</v>
      </c>
      <c r="I47" s="65" t="s">
        <v>2419</v>
      </c>
      <c r="J47" s="66" t="s">
        <v>2420</v>
      </c>
      <c r="K47" s="299">
        <v>25000</v>
      </c>
      <c r="L47" s="66" t="s">
        <v>2421</v>
      </c>
    </row>
    <row r="48" spans="2:12" ht="20.100000000000001" customHeight="1" x14ac:dyDescent="0.25">
      <c r="B48" s="69" t="s">
        <v>2422</v>
      </c>
      <c r="C48" s="70" t="s">
        <v>2423</v>
      </c>
      <c r="D48" s="70" t="s">
        <v>1307</v>
      </c>
      <c r="E48" s="298">
        <v>47300</v>
      </c>
      <c r="F48" s="297" t="s">
        <v>2424</v>
      </c>
      <c r="G48" s="70" t="s">
        <v>2425</v>
      </c>
      <c r="H48" s="73" t="s">
        <v>2330</v>
      </c>
      <c r="I48" s="69" t="s">
        <v>2426</v>
      </c>
      <c r="J48" s="70" t="s">
        <v>2427</v>
      </c>
      <c r="K48" s="298">
        <v>47250</v>
      </c>
      <c r="L48" s="70" t="s">
        <v>2428</v>
      </c>
    </row>
    <row r="49" spans="2:12" ht="20.100000000000001" customHeight="1" x14ac:dyDescent="0.25">
      <c r="B49" s="65" t="s">
        <v>2422</v>
      </c>
      <c r="C49" s="66" t="s">
        <v>2423</v>
      </c>
      <c r="D49" s="66" t="s">
        <v>1490</v>
      </c>
      <c r="E49" s="299">
        <v>76900</v>
      </c>
      <c r="F49" s="297" t="s">
        <v>2429</v>
      </c>
      <c r="G49" s="66" t="s">
        <v>2430</v>
      </c>
      <c r="H49" s="73" t="s">
        <v>2330</v>
      </c>
      <c r="I49" s="65" t="s">
        <v>2431</v>
      </c>
      <c r="J49" s="66" t="s">
        <v>2432</v>
      </c>
      <c r="K49" s="299">
        <v>76860</v>
      </c>
      <c r="L49" s="66" t="s">
        <v>2433</v>
      </c>
    </row>
    <row r="50" spans="2:12" ht="20.100000000000001" customHeight="1" x14ac:dyDescent="0.25">
      <c r="B50" s="69" t="s">
        <v>2422</v>
      </c>
      <c r="C50" s="70" t="s">
        <v>2423</v>
      </c>
      <c r="D50" s="70" t="s">
        <v>2434</v>
      </c>
      <c r="E50" s="298">
        <v>4500</v>
      </c>
      <c r="F50" s="297" t="s">
        <v>2435</v>
      </c>
      <c r="G50" s="70" t="s">
        <v>2436</v>
      </c>
      <c r="H50" s="73" t="s">
        <v>2368</v>
      </c>
      <c r="I50" s="69" t="s">
        <v>2437</v>
      </c>
      <c r="J50" s="70" t="s">
        <v>2438</v>
      </c>
      <c r="K50" s="298">
        <v>4500</v>
      </c>
      <c r="L50" s="70" t="s">
        <v>2439</v>
      </c>
    </row>
    <row r="51" spans="2:12" ht="20.100000000000001" customHeight="1" x14ac:dyDescent="0.25">
      <c r="B51" s="65" t="s">
        <v>2422</v>
      </c>
      <c r="C51" s="66" t="s">
        <v>2423</v>
      </c>
      <c r="D51" s="66" t="s">
        <v>2440</v>
      </c>
      <c r="E51" s="299">
        <v>130000</v>
      </c>
      <c r="F51" s="297" t="s">
        <v>1496</v>
      </c>
      <c r="G51" s="66" t="s">
        <v>2441</v>
      </c>
      <c r="H51" s="67" t="s">
        <v>2302</v>
      </c>
      <c r="I51" s="65" t="s">
        <v>44</v>
      </c>
      <c r="J51" s="66" t="s">
        <v>2303</v>
      </c>
      <c r="K51" s="68" t="s">
        <v>44</v>
      </c>
      <c r="L51" s="66" t="s">
        <v>2442</v>
      </c>
    </row>
    <row r="52" spans="2:12" ht="20.100000000000001" customHeight="1" x14ac:dyDescent="0.25">
      <c r="B52" s="69" t="s">
        <v>2422</v>
      </c>
      <c r="C52" s="70" t="s">
        <v>2423</v>
      </c>
      <c r="D52" s="70" t="s">
        <v>1923</v>
      </c>
      <c r="E52" s="298">
        <v>500000</v>
      </c>
      <c r="F52" s="297" t="s">
        <v>789</v>
      </c>
      <c r="G52" s="70" t="s">
        <v>2443</v>
      </c>
      <c r="H52" s="72" t="s">
        <v>2444</v>
      </c>
      <c r="I52" s="69" t="s">
        <v>44</v>
      </c>
      <c r="J52" s="70" t="s">
        <v>2445</v>
      </c>
      <c r="K52" s="71" t="s">
        <v>44</v>
      </c>
      <c r="L52" s="70" t="s">
        <v>2446</v>
      </c>
    </row>
    <row r="53" spans="2:12" ht="20.100000000000001" customHeight="1" x14ac:dyDescent="0.25">
      <c r="B53" s="65" t="s">
        <v>2422</v>
      </c>
      <c r="C53" s="66" t="s">
        <v>2423</v>
      </c>
      <c r="D53" s="66" t="s">
        <v>1788</v>
      </c>
      <c r="E53" s="299">
        <v>66000</v>
      </c>
      <c r="F53" s="297" t="s">
        <v>786</v>
      </c>
      <c r="G53" s="66" t="s">
        <v>2308</v>
      </c>
      <c r="H53" s="72" t="s">
        <v>2309</v>
      </c>
      <c r="I53" s="65" t="s">
        <v>44</v>
      </c>
      <c r="J53" s="66" t="s">
        <v>2310</v>
      </c>
      <c r="K53" s="68" t="s">
        <v>44</v>
      </c>
      <c r="L53" s="66" t="s">
        <v>2327</v>
      </c>
    </row>
    <row r="54" spans="2:12" ht="20.100000000000001" customHeight="1" x14ac:dyDescent="0.25">
      <c r="B54" s="69" t="s">
        <v>2447</v>
      </c>
      <c r="C54" s="70" t="s">
        <v>2323</v>
      </c>
      <c r="D54" s="70" t="s">
        <v>2326</v>
      </c>
      <c r="E54" s="298">
        <v>66000</v>
      </c>
      <c r="F54" s="297" t="s">
        <v>1445</v>
      </c>
      <c r="G54" s="70" t="s">
        <v>2308</v>
      </c>
      <c r="H54" s="72" t="s">
        <v>2309</v>
      </c>
      <c r="I54" s="69" t="s">
        <v>44</v>
      </c>
      <c r="J54" s="70" t="s">
        <v>2310</v>
      </c>
      <c r="K54" s="71" t="s">
        <v>44</v>
      </c>
      <c r="L54" s="70" t="s">
        <v>2327</v>
      </c>
    </row>
    <row r="55" spans="2:12" ht="20.100000000000001" customHeight="1" x14ac:dyDescent="0.25">
      <c r="B55" s="65" t="s">
        <v>2447</v>
      </c>
      <c r="C55" s="66" t="s">
        <v>2323</v>
      </c>
      <c r="D55" s="66" t="s">
        <v>2402</v>
      </c>
      <c r="E55" s="299">
        <v>66000</v>
      </c>
      <c r="F55" s="297" t="s">
        <v>1493</v>
      </c>
      <c r="G55" s="66" t="s">
        <v>2308</v>
      </c>
      <c r="H55" s="72" t="s">
        <v>2309</v>
      </c>
      <c r="I55" s="65" t="s">
        <v>44</v>
      </c>
      <c r="J55" s="66" t="s">
        <v>2310</v>
      </c>
      <c r="K55" s="68" t="s">
        <v>44</v>
      </c>
      <c r="L55" s="66" t="s">
        <v>2327</v>
      </c>
    </row>
    <row r="56" spans="2:12" ht="20.100000000000001" customHeight="1" x14ac:dyDescent="0.25">
      <c r="B56" s="69" t="s">
        <v>2447</v>
      </c>
      <c r="C56" s="70" t="s">
        <v>2323</v>
      </c>
      <c r="D56" s="70" t="s">
        <v>663</v>
      </c>
      <c r="E56" s="298">
        <v>34000</v>
      </c>
      <c r="F56" s="297" t="s">
        <v>2328</v>
      </c>
      <c r="G56" s="70" t="s">
        <v>2329</v>
      </c>
      <c r="H56" s="73" t="s">
        <v>2330</v>
      </c>
      <c r="I56" s="69" t="s">
        <v>2448</v>
      </c>
      <c r="J56" s="70" t="s">
        <v>2449</v>
      </c>
      <c r="K56" s="298">
        <v>34000</v>
      </c>
      <c r="L56" s="70" t="s">
        <v>2450</v>
      </c>
    </row>
    <row r="57" spans="2:12" ht="20.100000000000001" customHeight="1" x14ac:dyDescent="0.25">
      <c r="B57" s="65" t="s">
        <v>2447</v>
      </c>
      <c r="C57" s="66" t="s">
        <v>2323</v>
      </c>
      <c r="D57" s="66" t="s">
        <v>965</v>
      </c>
      <c r="E57" s="299">
        <v>20000</v>
      </c>
      <c r="F57" s="297" t="s">
        <v>2417</v>
      </c>
      <c r="G57" s="66" t="s">
        <v>2418</v>
      </c>
      <c r="H57" s="73" t="s">
        <v>2330</v>
      </c>
      <c r="I57" s="65" t="s">
        <v>2451</v>
      </c>
      <c r="J57" s="66" t="s">
        <v>2452</v>
      </c>
      <c r="K57" s="299">
        <v>20000</v>
      </c>
      <c r="L57" s="66" t="s">
        <v>2453</v>
      </c>
    </row>
    <row r="58" spans="2:12" ht="20.100000000000001" customHeight="1" x14ac:dyDescent="0.25">
      <c r="B58" s="69" t="s">
        <v>2447</v>
      </c>
      <c r="C58" s="70" t="s">
        <v>2323</v>
      </c>
      <c r="D58" s="70" t="s">
        <v>1103</v>
      </c>
      <c r="E58" s="298">
        <v>30000</v>
      </c>
      <c r="F58" s="297" t="s">
        <v>2334</v>
      </c>
      <c r="G58" s="70" t="s">
        <v>2335</v>
      </c>
      <c r="H58" s="73" t="s">
        <v>2330</v>
      </c>
      <c r="I58" s="69" t="s">
        <v>2454</v>
      </c>
      <c r="J58" s="70" t="s">
        <v>2455</v>
      </c>
      <c r="K58" s="298">
        <v>30000</v>
      </c>
      <c r="L58" s="70" t="s">
        <v>2456</v>
      </c>
    </row>
    <row r="59" spans="2:12" ht="20.100000000000001" customHeight="1" x14ac:dyDescent="0.25">
      <c r="B59" s="65" t="s">
        <v>2447</v>
      </c>
      <c r="C59" s="66" t="s">
        <v>2323</v>
      </c>
      <c r="D59" s="66" t="s">
        <v>2457</v>
      </c>
      <c r="E59" s="299">
        <v>75350</v>
      </c>
      <c r="F59" s="297" t="s">
        <v>1543</v>
      </c>
      <c r="G59" s="66" t="s">
        <v>2425</v>
      </c>
      <c r="H59" s="74" t="s">
        <v>2341</v>
      </c>
      <c r="I59" s="65" t="s">
        <v>2458</v>
      </c>
      <c r="J59" s="66" t="s">
        <v>2459</v>
      </c>
      <c r="K59" s="299">
        <v>66400</v>
      </c>
      <c r="L59" s="66" t="s">
        <v>2460</v>
      </c>
    </row>
    <row r="60" spans="2:12" ht="20.100000000000001" customHeight="1" x14ac:dyDescent="0.25">
      <c r="B60" s="69" t="s">
        <v>2447</v>
      </c>
      <c r="C60" s="70" t="s">
        <v>2323</v>
      </c>
      <c r="D60" s="70" t="s">
        <v>2461</v>
      </c>
      <c r="E60" s="298">
        <v>352450</v>
      </c>
      <c r="F60" s="297" t="s">
        <v>2462</v>
      </c>
      <c r="G60" s="70" t="s">
        <v>2441</v>
      </c>
      <c r="H60" s="73" t="s">
        <v>2368</v>
      </c>
      <c r="I60" s="69" t="s">
        <v>2463</v>
      </c>
      <c r="J60" s="70" t="s">
        <v>2464</v>
      </c>
      <c r="K60" s="298">
        <v>352450</v>
      </c>
      <c r="L60" s="70" t="s">
        <v>2465</v>
      </c>
    </row>
    <row r="61" spans="2:12" ht="20.100000000000001" customHeight="1" x14ac:dyDescent="0.25">
      <c r="B61" s="65" t="s">
        <v>2447</v>
      </c>
      <c r="C61" s="66" t="s">
        <v>2323</v>
      </c>
      <c r="D61" s="66" t="s">
        <v>2466</v>
      </c>
      <c r="E61" s="299">
        <v>614300</v>
      </c>
      <c r="F61" s="297" t="s">
        <v>2467</v>
      </c>
      <c r="G61" s="66" t="s">
        <v>2468</v>
      </c>
      <c r="H61" s="73" t="s">
        <v>2469</v>
      </c>
      <c r="I61" s="65" t="s">
        <v>2470</v>
      </c>
      <c r="J61" s="66" t="s">
        <v>2471</v>
      </c>
      <c r="K61" s="299">
        <v>621140</v>
      </c>
      <c r="L61" s="66" t="s">
        <v>2472</v>
      </c>
    </row>
    <row r="62" spans="2:12" ht="20.100000000000001" customHeight="1" x14ac:dyDescent="0.25">
      <c r="B62" s="69" t="s">
        <v>2473</v>
      </c>
      <c r="C62" s="70" t="s">
        <v>2389</v>
      </c>
      <c r="D62" s="70" t="s">
        <v>2474</v>
      </c>
      <c r="E62" s="298">
        <v>70000</v>
      </c>
      <c r="F62" s="297" t="s">
        <v>806</v>
      </c>
      <c r="G62" s="70" t="s">
        <v>2475</v>
      </c>
      <c r="H62" s="72" t="s">
        <v>2309</v>
      </c>
      <c r="I62" s="69" t="s">
        <v>44</v>
      </c>
      <c r="J62" s="70" t="s">
        <v>2310</v>
      </c>
      <c r="K62" s="71" t="s">
        <v>44</v>
      </c>
      <c r="L62" s="70" t="s">
        <v>2476</v>
      </c>
    </row>
    <row r="63" spans="2:12" ht="20.100000000000001" customHeight="1" x14ac:dyDescent="0.25">
      <c r="B63" s="65" t="s">
        <v>2473</v>
      </c>
      <c r="C63" s="66" t="s">
        <v>2389</v>
      </c>
      <c r="D63" s="66" t="s">
        <v>1788</v>
      </c>
      <c r="E63" s="299">
        <v>66000</v>
      </c>
      <c r="F63" s="297" t="s">
        <v>766</v>
      </c>
      <c r="G63" s="66" t="s">
        <v>2308</v>
      </c>
      <c r="H63" s="74" t="s">
        <v>2341</v>
      </c>
      <c r="I63" s="65" t="s">
        <v>2477</v>
      </c>
      <c r="J63" s="66" t="s">
        <v>2478</v>
      </c>
      <c r="K63" s="299">
        <v>58000</v>
      </c>
      <c r="L63" s="66" t="s">
        <v>2479</v>
      </c>
    </row>
    <row r="64" spans="2:12" ht="20.100000000000001" customHeight="1" x14ac:dyDescent="0.25">
      <c r="B64" s="69" t="s">
        <v>2473</v>
      </c>
      <c r="C64" s="70" t="s">
        <v>2389</v>
      </c>
      <c r="D64" s="70" t="s">
        <v>2480</v>
      </c>
      <c r="E64" s="298">
        <v>109000</v>
      </c>
      <c r="F64" s="297" t="s">
        <v>2481</v>
      </c>
      <c r="G64" s="70" t="s">
        <v>2482</v>
      </c>
      <c r="H64" s="73" t="s">
        <v>2330</v>
      </c>
      <c r="I64" s="69" t="s">
        <v>2483</v>
      </c>
      <c r="J64" s="70" t="s">
        <v>2484</v>
      </c>
      <c r="K64" s="298">
        <v>108950</v>
      </c>
      <c r="L64" s="70" t="s">
        <v>2485</v>
      </c>
    </row>
    <row r="65" spans="2:12" ht="20.100000000000001" customHeight="1" x14ac:dyDescent="0.25">
      <c r="B65" s="65" t="s">
        <v>2473</v>
      </c>
      <c r="C65" s="66" t="s">
        <v>2389</v>
      </c>
      <c r="D65" s="66" t="s">
        <v>2486</v>
      </c>
      <c r="E65" s="299">
        <v>28000</v>
      </c>
      <c r="F65" s="297" t="s">
        <v>808</v>
      </c>
      <c r="G65" s="66" t="s">
        <v>753</v>
      </c>
      <c r="H65" s="67" t="s">
        <v>2302</v>
      </c>
      <c r="I65" s="65" t="s">
        <v>44</v>
      </c>
      <c r="J65" s="66" t="s">
        <v>2303</v>
      </c>
      <c r="K65" s="68" t="s">
        <v>44</v>
      </c>
      <c r="L65" s="66" t="s">
        <v>2487</v>
      </c>
    </row>
    <row r="66" spans="2:12" ht="20.100000000000001" customHeight="1" x14ac:dyDescent="0.25">
      <c r="B66" s="69" t="s">
        <v>2473</v>
      </c>
      <c r="C66" s="70" t="s">
        <v>2389</v>
      </c>
      <c r="D66" s="70" t="s">
        <v>1930</v>
      </c>
      <c r="E66" s="298">
        <v>50000</v>
      </c>
      <c r="F66" s="297" t="s">
        <v>2488</v>
      </c>
      <c r="G66" s="70" t="s">
        <v>753</v>
      </c>
      <c r="H66" s="73" t="s">
        <v>2330</v>
      </c>
      <c r="I66" s="69" t="s">
        <v>2489</v>
      </c>
      <c r="J66" s="70" t="s">
        <v>2490</v>
      </c>
      <c r="K66" s="298">
        <v>50000</v>
      </c>
      <c r="L66" s="70" t="s">
        <v>2491</v>
      </c>
    </row>
    <row r="67" spans="2:12" ht="20.100000000000001" customHeight="1" x14ac:dyDescent="0.25">
      <c r="B67" s="65" t="s">
        <v>2473</v>
      </c>
      <c r="C67" s="66" t="s">
        <v>2389</v>
      </c>
      <c r="D67" s="66" t="s">
        <v>2492</v>
      </c>
      <c r="E67" s="299">
        <v>75000</v>
      </c>
      <c r="F67" s="297" t="s">
        <v>2493</v>
      </c>
      <c r="G67" s="66" t="s">
        <v>2494</v>
      </c>
      <c r="H67" s="73" t="s">
        <v>2330</v>
      </c>
      <c r="I67" s="65" t="s">
        <v>2495</v>
      </c>
      <c r="J67" s="66" t="s">
        <v>2496</v>
      </c>
      <c r="K67" s="299">
        <v>75000</v>
      </c>
      <c r="L67" s="66" t="s">
        <v>2497</v>
      </c>
    </row>
    <row r="68" spans="2:12" ht="20.100000000000001" customHeight="1" x14ac:dyDescent="0.25">
      <c r="B68" s="69" t="s">
        <v>2473</v>
      </c>
      <c r="C68" s="70" t="s">
        <v>2389</v>
      </c>
      <c r="D68" s="70" t="s">
        <v>2498</v>
      </c>
      <c r="E68" s="298">
        <v>329500</v>
      </c>
      <c r="F68" s="297" t="s">
        <v>617</v>
      </c>
      <c r="G68" s="70" t="s">
        <v>2468</v>
      </c>
      <c r="H68" s="67" t="s">
        <v>2302</v>
      </c>
      <c r="I68" s="69" t="s">
        <v>44</v>
      </c>
      <c r="J68" s="70" t="s">
        <v>2303</v>
      </c>
      <c r="K68" s="71" t="s">
        <v>44</v>
      </c>
      <c r="L68" s="70" t="s">
        <v>2499</v>
      </c>
    </row>
    <row r="69" spans="2:12" ht="20.100000000000001" customHeight="1" x14ac:dyDescent="0.25">
      <c r="B69" s="65" t="s">
        <v>2500</v>
      </c>
      <c r="C69" s="66" t="s">
        <v>2501</v>
      </c>
      <c r="D69" s="66" t="s">
        <v>2326</v>
      </c>
      <c r="E69" s="299">
        <v>66000</v>
      </c>
      <c r="F69" s="297" t="s">
        <v>1583</v>
      </c>
      <c r="G69" s="66" t="s">
        <v>2308</v>
      </c>
      <c r="H69" s="72" t="s">
        <v>2309</v>
      </c>
      <c r="I69" s="65" t="s">
        <v>44</v>
      </c>
      <c r="J69" s="66" t="s">
        <v>2310</v>
      </c>
      <c r="K69" s="68" t="s">
        <v>44</v>
      </c>
      <c r="L69" s="66" t="s">
        <v>2327</v>
      </c>
    </row>
    <row r="70" spans="2:12" ht="20.100000000000001" customHeight="1" x14ac:dyDescent="0.25">
      <c r="B70" s="69" t="s">
        <v>2500</v>
      </c>
      <c r="C70" s="70" t="s">
        <v>2501</v>
      </c>
      <c r="D70" s="70" t="s">
        <v>2402</v>
      </c>
      <c r="E70" s="298">
        <v>66000</v>
      </c>
      <c r="F70" s="297" t="s">
        <v>1584</v>
      </c>
      <c r="G70" s="70" t="s">
        <v>2308</v>
      </c>
      <c r="H70" s="72" t="s">
        <v>2309</v>
      </c>
      <c r="I70" s="69" t="s">
        <v>44</v>
      </c>
      <c r="J70" s="70" t="s">
        <v>2310</v>
      </c>
      <c r="K70" s="71" t="s">
        <v>44</v>
      </c>
      <c r="L70" s="70" t="s">
        <v>2327</v>
      </c>
    </row>
    <row r="71" spans="2:12" ht="20.100000000000001" customHeight="1" x14ac:dyDescent="0.25">
      <c r="B71" s="65" t="s">
        <v>2500</v>
      </c>
      <c r="C71" s="66" t="s">
        <v>2501</v>
      </c>
      <c r="D71" s="66" t="s">
        <v>769</v>
      </c>
      <c r="E71" s="299">
        <v>66000</v>
      </c>
      <c r="F71" s="297" t="s">
        <v>1585</v>
      </c>
      <c r="G71" s="66" t="s">
        <v>2308</v>
      </c>
      <c r="H71" s="72" t="s">
        <v>2309</v>
      </c>
      <c r="I71" s="65" t="s">
        <v>44</v>
      </c>
      <c r="J71" s="66" t="s">
        <v>2310</v>
      </c>
      <c r="K71" s="68" t="s">
        <v>44</v>
      </c>
      <c r="L71" s="66" t="s">
        <v>2327</v>
      </c>
    </row>
    <row r="72" spans="2:12" ht="20.100000000000001" customHeight="1" x14ac:dyDescent="0.25">
      <c r="B72" s="69" t="s">
        <v>2500</v>
      </c>
      <c r="C72" s="70" t="s">
        <v>2501</v>
      </c>
      <c r="D72" s="70" t="s">
        <v>663</v>
      </c>
      <c r="E72" s="298">
        <v>29000</v>
      </c>
      <c r="F72" s="297" t="s">
        <v>1589</v>
      </c>
      <c r="G72" s="70" t="s">
        <v>2329</v>
      </c>
      <c r="H72" s="67" t="s">
        <v>2302</v>
      </c>
      <c r="I72" s="69" t="s">
        <v>44</v>
      </c>
      <c r="J72" s="70" t="s">
        <v>2303</v>
      </c>
      <c r="K72" s="71" t="s">
        <v>44</v>
      </c>
      <c r="L72" s="70" t="s">
        <v>2502</v>
      </c>
    </row>
    <row r="73" spans="2:12" ht="20.100000000000001" customHeight="1" x14ac:dyDescent="0.25">
      <c r="B73" s="65" t="s">
        <v>2500</v>
      </c>
      <c r="C73" s="66" t="s">
        <v>2501</v>
      </c>
      <c r="D73" s="66" t="s">
        <v>1103</v>
      </c>
      <c r="E73" s="299">
        <v>30000</v>
      </c>
      <c r="F73" s="297" t="s">
        <v>1586</v>
      </c>
      <c r="G73" s="66" t="s">
        <v>2335</v>
      </c>
      <c r="H73" s="67" t="s">
        <v>2302</v>
      </c>
      <c r="I73" s="65" t="s">
        <v>44</v>
      </c>
      <c r="J73" s="66" t="s">
        <v>2303</v>
      </c>
      <c r="K73" s="68" t="s">
        <v>44</v>
      </c>
      <c r="L73" s="66" t="s">
        <v>2503</v>
      </c>
    </row>
    <row r="74" spans="2:12" ht="20.100000000000001" customHeight="1" x14ac:dyDescent="0.25">
      <c r="B74" s="69" t="s">
        <v>2500</v>
      </c>
      <c r="C74" s="70" t="s">
        <v>2501</v>
      </c>
      <c r="D74" s="70" t="s">
        <v>2504</v>
      </c>
      <c r="E74" s="298">
        <v>300000</v>
      </c>
      <c r="F74" s="297" t="s">
        <v>1587</v>
      </c>
      <c r="G74" s="70" t="s">
        <v>2505</v>
      </c>
      <c r="H74" s="75" t="s">
        <v>2506</v>
      </c>
      <c r="I74" s="69" t="s">
        <v>44</v>
      </c>
      <c r="J74" s="70" t="s">
        <v>2507</v>
      </c>
      <c r="K74" s="71" t="s">
        <v>44</v>
      </c>
      <c r="L74" s="70" t="s">
        <v>2508</v>
      </c>
    </row>
    <row r="75" spans="2:12" ht="20.100000000000001" customHeight="1" x14ac:dyDescent="0.25">
      <c r="B75" s="65" t="s">
        <v>2500</v>
      </c>
      <c r="C75" s="66" t="s">
        <v>2501</v>
      </c>
      <c r="D75" s="66" t="s">
        <v>2509</v>
      </c>
      <c r="E75" s="299">
        <v>85000</v>
      </c>
      <c r="F75" s="297" t="s">
        <v>1588</v>
      </c>
      <c r="G75" s="66" t="s">
        <v>2510</v>
      </c>
      <c r="H75" s="67" t="s">
        <v>2302</v>
      </c>
      <c r="I75" s="65" t="s">
        <v>44</v>
      </c>
      <c r="J75" s="66" t="s">
        <v>2303</v>
      </c>
      <c r="K75" s="68" t="s">
        <v>44</v>
      </c>
      <c r="L75" s="66" t="s">
        <v>2511</v>
      </c>
    </row>
    <row r="76" spans="2:12" ht="20.100000000000001" customHeight="1" x14ac:dyDescent="0.25">
      <c r="B76" s="69" t="s">
        <v>2500</v>
      </c>
      <c r="C76" s="70" t="s">
        <v>2501</v>
      </c>
      <c r="D76" s="70" t="s">
        <v>1139</v>
      </c>
      <c r="E76" s="298">
        <v>77300</v>
      </c>
      <c r="F76" s="297" t="s">
        <v>1590</v>
      </c>
      <c r="G76" s="70" t="s">
        <v>2512</v>
      </c>
      <c r="H76" s="67" t="s">
        <v>2302</v>
      </c>
      <c r="I76" s="69" t="s">
        <v>44</v>
      </c>
      <c r="J76" s="70" t="s">
        <v>2303</v>
      </c>
      <c r="K76" s="71" t="s">
        <v>44</v>
      </c>
      <c r="L76" s="70" t="s">
        <v>2513</v>
      </c>
    </row>
    <row r="77" spans="2:12" ht="20.100000000000001" customHeight="1" x14ac:dyDescent="0.25">
      <c r="B77" s="65" t="s">
        <v>2500</v>
      </c>
      <c r="C77" s="66" t="s">
        <v>2501</v>
      </c>
      <c r="D77" s="66" t="s">
        <v>2457</v>
      </c>
      <c r="E77" s="299">
        <v>46500</v>
      </c>
      <c r="F77" s="297" t="s">
        <v>1591</v>
      </c>
      <c r="G77" s="66" t="s">
        <v>2425</v>
      </c>
      <c r="H77" s="67" t="s">
        <v>2302</v>
      </c>
      <c r="I77" s="65" t="s">
        <v>44</v>
      </c>
      <c r="J77" s="66" t="s">
        <v>2303</v>
      </c>
      <c r="K77" s="68" t="s">
        <v>44</v>
      </c>
      <c r="L77" s="66" t="s">
        <v>2514</v>
      </c>
    </row>
    <row r="78" spans="2:12" ht="20.100000000000001" customHeight="1" x14ac:dyDescent="0.25">
      <c r="B78" s="69" t="s">
        <v>2500</v>
      </c>
      <c r="C78" s="70" t="s">
        <v>2501</v>
      </c>
      <c r="D78" s="70" t="s">
        <v>2515</v>
      </c>
      <c r="E78" s="298">
        <v>377500</v>
      </c>
      <c r="F78" s="297" t="s">
        <v>363</v>
      </c>
      <c r="G78" s="70" t="s">
        <v>2516</v>
      </c>
      <c r="H78" s="67" t="s">
        <v>2302</v>
      </c>
      <c r="I78" s="69" t="s">
        <v>44</v>
      </c>
      <c r="J78" s="70" t="s">
        <v>2303</v>
      </c>
      <c r="K78" s="71" t="s">
        <v>44</v>
      </c>
      <c r="L78" s="70" t="s">
        <v>2517</v>
      </c>
    </row>
    <row r="79" spans="2:12" ht="20.100000000000001" customHeight="1" x14ac:dyDescent="0.25">
      <c r="B79" s="65" t="s">
        <v>2500</v>
      </c>
      <c r="C79" s="66" t="s">
        <v>2501</v>
      </c>
      <c r="D79" s="66" t="s">
        <v>2518</v>
      </c>
      <c r="E79" s="299">
        <v>72000</v>
      </c>
      <c r="F79" s="297" t="s">
        <v>2519</v>
      </c>
      <c r="G79" s="66" t="s">
        <v>2520</v>
      </c>
      <c r="H79" s="73" t="s">
        <v>2330</v>
      </c>
      <c r="I79" s="65" t="s">
        <v>2521</v>
      </c>
      <c r="J79" s="66" t="s">
        <v>2522</v>
      </c>
      <c r="K79" s="299">
        <v>72000</v>
      </c>
      <c r="L79" s="66" t="s">
        <v>2523</v>
      </c>
    </row>
    <row r="80" spans="2:12" ht="21.95" customHeight="1" x14ac:dyDescent="0.25">
      <c r="B80" s="76" t="s">
        <v>1979</v>
      </c>
      <c r="C80" s="76" t="s">
        <v>44</v>
      </c>
      <c r="D80" s="76" t="s">
        <v>2524</v>
      </c>
      <c r="E80" s="304">
        <v>5982386</v>
      </c>
      <c r="F80" s="305"/>
      <c r="G80" s="76" t="s">
        <v>2525</v>
      </c>
      <c r="H80" s="76" t="s">
        <v>2526</v>
      </c>
      <c r="I80" s="76" t="s">
        <v>44</v>
      </c>
      <c r="J80" s="76" t="s">
        <v>2527</v>
      </c>
      <c r="K80" s="304">
        <v>2208436</v>
      </c>
      <c r="L80" s="76" t="s">
        <v>2528</v>
      </c>
    </row>
    <row r="83" spans="2:12" ht="21.95" customHeight="1" x14ac:dyDescent="0.25">
      <c r="B83" s="625" t="s">
        <v>2529</v>
      </c>
      <c r="C83" s="545"/>
      <c r="D83" s="545"/>
      <c r="E83" s="545"/>
      <c r="F83" s="618"/>
      <c r="G83" s="545"/>
      <c r="H83" s="545"/>
      <c r="I83" s="545"/>
      <c r="J83" s="545"/>
      <c r="K83" s="545"/>
      <c r="L83" s="545"/>
    </row>
    <row r="84" spans="2:12" ht="24" customHeight="1" x14ac:dyDescent="0.25">
      <c r="B84" s="62" t="s">
        <v>2289</v>
      </c>
      <c r="C84" s="63" t="s">
        <v>2530</v>
      </c>
      <c r="D84" s="64" t="s">
        <v>2531</v>
      </c>
      <c r="E84" s="64" t="s">
        <v>2532</v>
      </c>
      <c r="F84" s="63"/>
      <c r="G84" s="64" t="s">
        <v>2533</v>
      </c>
      <c r="H84" s="64" t="s">
        <v>2534</v>
      </c>
      <c r="I84" s="64" t="s">
        <v>2535</v>
      </c>
      <c r="J84" s="64" t="s">
        <v>2536</v>
      </c>
      <c r="K84" s="64" t="s">
        <v>2537</v>
      </c>
      <c r="L84" s="63" t="s">
        <v>2538</v>
      </c>
    </row>
    <row r="85" spans="2:12" ht="20.100000000000001" customHeight="1" x14ac:dyDescent="0.25">
      <c r="B85" s="65" t="s">
        <v>2299</v>
      </c>
      <c r="C85" s="66" t="s">
        <v>2300</v>
      </c>
      <c r="D85" s="299">
        <v>401500</v>
      </c>
      <c r="E85" s="299">
        <v>99000</v>
      </c>
      <c r="F85" s="297"/>
      <c r="G85" s="299">
        <v>1139400</v>
      </c>
      <c r="H85" s="299">
        <v>1751000</v>
      </c>
      <c r="I85" s="299">
        <v>217100</v>
      </c>
      <c r="J85" s="299">
        <v>1756800</v>
      </c>
      <c r="K85" s="306">
        <v>-5800</v>
      </c>
      <c r="L85" s="66" t="s">
        <v>2539</v>
      </c>
    </row>
    <row r="86" spans="2:12" ht="20.100000000000001" customHeight="1" x14ac:dyDescent="0.25">
      <c r="B86" s="69" t="s">
        <v>2322</v>
      </c>
      <c r="C86" s="70" t="s">
        <v>2323</v>
      </c>
      <c r="D86" s="298">
        <v>1716400</v>
      </c>
      <c r="E86" s="298">
        <v>0</v>
      </c>
      <c r="F86" s="307"/>
      <c r="G86" s="298">
        <v>646000</v>
      </c>
      <c r="H86" s="298">
        <v>3478786</v>
      </c>
      <c r="I86" s="298">
        <v>1116386</v>
      </c>
      <c r="J86" s="298">
        <v>3481800</v>
      </c>
      <c r="K86" s="308">
        <v>-3014</v>
      </c>
      <c r="L86" s="70" t="s">
        <v>2540</v>
      </c>
    </row>
    <row r="87" spans="2:12" ht="20.100000000000001" customHeight="1" x14ac:dyDescent="0.25">
      <c r="B87" s="65" t="s">
        <v>2388</v>
      </c>
      <c r="C87" s="66" t="s">
        <v>2389</v>
      </c>
      <c r="D87" s="299">
        <v>894400</v>
      </c>
      <c r="E87" s="299">
        <v>169500</v>
      </c>
      <c r="F87" s="297"/>
      <c r="G87" s="299">
        <v>1580000</v>
      </c>
      <c r="H87" s="299">
        <v>2919100</v>
      </c>
      <c r="I87" s="299">
        <v>269800</v>
      </c>
      <c r="J87" s="299">
        <v>2919800</v>
      </c>
      <c r="K87" s="308">
        <v>-700</v>
      </c>
      <c r="L87" s="66" t="s">
        <v>2541</v>
      </c>
    </row>
    <row r="88" spans="2:12" ht="20.100000000000001" customHeight="1" x14ac:dyDescent="0.25">
      <c r="B88" s="69" t="s">
        <v>2401</v>
      </c>
      <c r="C88" s="70" t="s">
        <v>2323</v>
      </c>
      <c r="D88" s="298">
        <v>1459600</v>
      </c>
      <c r="E88" s="298">
        <v>31000</v>
      </c>
      <c r="F88" s="307"/>
      <c r="G88" s="298">
        <v>789100</v>
      </c>
      <c r="H88" s="298">
        <v>3735100</v>
      </c>
      <c r="I88" s="298">
        <v>328500</v>
      </c>
      <c r="J88" s="298">
        <v>3732300</v>
      </c>
      <c r="K88" s="308">
        <v>2800</v>
      </c>
      <c r="L88" s="70" t="s">
        <v>2542</v>
      </c>
    </row>
    <row r="89" spans="2:12" ht="20.100000000000001" customHeight="1" x14ac:dyDescent="0.25">
      <c r="B89" s="65" t="s">
        <v>2422</v>
      </c>
      <c r="C89" s="66" t="s">
        <v>2423</v>
      </c>
      <c r="D89" s="299">
        <v>979700</v>
      </c>
      <c r="E89" s="299">
        <v>114000</v>
      </c>
      <c r="F89" s="297"/>
      <c r="G89" s="299">
        <v>997200</v>
      </c>
      <c r="H89" s="299">
        <v>2909600</v>
      </c>
      <c r="I89" s="299">
        <v>824700</v>
      </c>
      <c r="J89" s="299">
        <v>2897600</v>
      </c>
      <c r="K89" s="306">
        <v>12000</v>
      </c>
      <c r="L89" s="66" t="s">
        <v>2543</v>
      </c>
    </row>
    <row r="90" spans="2:12" ht="20.100000000000001" customHeight="1" x14ac:dyDescent="0.25">
      <c r="B90" s="69" t="s">
        <v>2447</v>
      </c>
      <c r="C90" s="70" t="s">
        <v>2323</v>
      </c>
      <c r="D90" s="298">
        <v>1520700</v>
      </c>
      <c r="E90" s="298">
        <v>0</v>
      </c>
      <c r="F90" s="307"/>
      <c r="G90" s="298">
        <v>837000</v>
      </c>
      <c r="H90" s="298">
        <v>3615200</v>
      </c>
      <c r="I90" s="298">
        <v>1258100</v>
      </c>
      <c r="J90" s="298">
        <v>3618900</v>
      </c>
      <c r="K90" s="308">
        <v>-3700</v>
      </c>
      <c r="L90" s="70" t="s">
        <v>2544</v>
      </c>
    </row>
    <row r="91" spans="2:12" ht="20.100000000000001" customHeight="1" x14ac:dyDescent="0.25">
      <c r="B91" s="65" t="s">
        <v>2473</v>
      </c>
      <c r="C91" s="66" t="s">
        <v>2389</v>
      </c>
      <c r="D91" s="299">
        <v>1076900</v>
      </c>
      <c r="E91" s="299">
        <v>201000</v>
      </c>
      <c r="F91" s="297"/>
      <c r="G91" s="299">
        <v>816500</v>
      </c>
      <c r="H91" s="299">
        <v>2992200</v>
      </c>
      <c r="I91" s="299">
        <v>677500</v>
      </c>
      <c r="J91" s="299">
        <v>2991300</v>
      </c>
      <c r="K91" s="308">
        <v>900</v>
      </c>
      <c r="L91" s="66" t="s">
        <v>2545</v>
      </c>
    </row>
    <row r="92" spans="2:12" ht="20.100000000000001" customHeight="1" x14ac:dyDescent="0.25">
      <c r="B92" s="69" t="s">
        <v>2500</v>
      </c>
      <c r="C92" s="70" t="s">
        <v>2501</v>
      </c>
      <c r="D92" s="298">
        <v>2027100</v>
      </c>
      <c r="E92" s="298">
        <v>70900</v>
      </c>
      <c r="F92" s="307"/>
      <c r="G92" s="298">
        <v>833000</v>
      </c>
      <c r="H92" s="298">
        <v>3774300</v>
      </c>
      <c r="I92" s="298">
        <v>822300</v>
      </c>
      <c r="J92" s="298">
        <v>3775700</v>
      </c>
      <c r="K92" s="308">
        <v>-1400</v>
      </c>
      <c r="L92" s="70" t="s">
        <v>2546</v>
      </c>
    </row>
    <row r="93" spans="2:12" ht="21.95" customHeight="1" x14ac:dyDescent="0.25">
      <c r="B93" s="76" t="s">
        <v>1979</v>
      </c>
      <c r="C93" s="76" t="s">
        <v>2547</v>
      </c>
      <c r="D93" s="304">
        <v>10076300</v>
      </c>
      <c r="E93" s="304">
        <v>685400</v>
      </c>
      <c r="F93" s="305"/>
      <c r="G93" s="304">
        <v>7638200</v>
      </c>
      <c r="H93" s="304">
        <v>25175286</v>
      </c>
      <c r="I93" s="304">
        <v>5514386</v>
      </c>
      <c r="J93" s="304">
        <v>25174200</v>
      </c>
      <c r="K93" s="304">
        <v>1086</v>
      </c>
      <c r="L93" s="76" t="s">
        <v>2548</v>
      </c>
    </row>
    <row r="96" spans="2:12" ht="21.95" customHeight="1" x14ac:dyDescent="0.25">
      <c r="B96" s="625" t="s">
        <v>2549</v>
      </c>
      <c r="C96" s="545"/>
      <c r="D96" s="545"/>
      <c r="E96" s="545"/>
      <c r="F96" s="618"/>
      <c r="G96" s="545"/>
      <c r="H96" s="545"/>
      <c r="I96" s="545"/>
      <c r="J96" s="545"/>
      <c r="K96" s="545"/>
      <c r="L96" s="545"/>
    </row>
    <row r="97" spans="2:12" ht="42" customHeight="1" x14ac:dyDescent="0.25">
      <c r="B97" s="629" t="s">
        <v>2550</v>
      </c>
      <c r="C97" s="620"/>
      <c r="D97" s="621" t="s">
        <v>2551</v>
      </c>
      <c r="E97" s="622"/>
      <c r="F97" s="622"/>
      <c r="G97" s="622"/>
      <c r="H97" s="622"/>
      <c r="I97" s="622"/>
      <c r="J97" s="622"/>
      <c r="K97" s="622"/>
      <c r="L97" s="620"/>
    </row>
    <row r="98" spans="2:12" ht="42" customHeight="1" x14ac:dyDescent="0.25">
      <c r="B98" s="629" t="s">
        <v>2552</v>
      </c>
      <c r="C98" s="620"/>
      <c r="D98" s="621" t="s">
        <v>2553</v>
      </c>
      <c r="E98" s="622"/>
      <c r="F98" s="622"/>
      <c r="G98" s="622"/>
      <c r="H98" s="622"/>
      <c r="I98" s="622"/>
      <c r="J98" s="622"/>
      <c r="K98" s="622"/>
      <c r="L98" s="620"/>
    </row>
    <row r="99" spans="2:12" ht="42" customHeight="1" x14ac:dyDescent="0.25">
      <c r="B99" s="629" t="s">
        <v>2554</v>
      </c>
      <c r="C99" s="620"/>
      <c r="D99" s="621" t="s">
        <v>2555</v>
      </c>
      <c r="E99" s="622"/>
      <c r="F99" s="622"/>
      <c r="G99" s="622"/>
      <c r="H99" s="622"/>
      <c r="I99" s="622"/>
      <c r="J99" s="622"/>
      <c r="K99" s="622"/>
      <c r="L99" s="620"/>
    </row>
    <row r="100" spans="2:12" ht="42" customHeight="1" x14ac:dyDescent="0.25">
      <c r="B100" s="629" t="s">
        <v>2556</v>
      </c>
      <c r="C100" s="620"/>
      <c r="D100" s="621" t="s">
        <v>2557</v>
      </c>
      <c r="E100" s="622"/>
      <c r="F100" s="622"/>
      <c r="G100" s="622"/>
      <c r="H100" s="622"/>
      <c r="I100" s="622"/>
      <c r="J100" s="622"/>
      <c r="K100" s="622"/>
      <c r="L100" s="620"/>
    </row>
    <row r="103" spans="2:12" ht="15.75" customHeight="1" x14ac:dyDescent="0.25">
      <c r="B103" s="191" t="s">
        <v>2558</v>
      </c>
    </row>
    <row r="104" spans="2:12" x14ac:dyDescent="0.25">
      <c r="B104" s="192" t="s">
        <v>2289</v>
      </c>
      <c r="C104" s="192" t="s">
        <v>2290</v>
      </c>
      <c r="D104" s="192" t="s">
        <v>2291</v>
      </c>
      <c r="E104" s="192" t="s">
        <v>2292</v>
      </c>
      <c r="F104" s="192" t="s">
        <v>110</v>
      </c>
      <c r="G104" s="192" t="s">
        <v>2294</v>
      </c>
      <c r="H104" s="192" t="s">
        <v>2559</v>
      </c>
      <c r="I104" s="192" t="s">
        <v>2560</v>
      </c>
    </row>
    <row r="105" spans="2:12" x14ac:dyDescent="0.25">
      <c r="B105" s="193" t="s">
        <v>2561</v>
      </c>
      <c r="C105" s="193" t="s">
        <v>2562</v>
      </c>
      <c r="D105" s="194" t="s">
        <v>2563</v>
      </c>
      <c r="E105" s="309">
        <v>66000</v>
      </c>
      <c r="F105" s="193" t="s">
        <v>1615</v>
      </c>
      <c r="G105" s="193" t="s">
        <v>2309</v>
      </c>
      <c r="H105" s="194" t="s">
        <v>1918</v>
      </c>
      <c r="I105" s="194" t="s">
        <v>2564</v>
      </c>
    </row>
    <row r="106" spans="2:12" x14ac:dyDescent="0.25">
      <c r="B106" s="193" t="s">
        <v>2561</v>
      </c>
      <c r="C106" s="193" t="s">
        <v>2562</v>
      </c>
      <c r="D106" s="194" t="s">
        <v>2565</v>
      </c>
      <c r="E106" s="309">
        <v>66000</v>
      </c>
      <c r="F106" s="193" t="s">
        <v>1615</v>
      </c>
      <c r="G106" s="193" t="s">
        <v>2309</v>
      </c>
      <c r="H106" s="194" t="s">
        <v>1918</v>
      </c>
      <c r="I106" s="194" t="s">
        <v>2564</v>
      </c>
    </row>
    <row r="107" spans="2:12" x14ac:dyDescent="0.25">
      <c r="B107" s="193" t="s">
        <v>2561</v>
      </c>
      <c r="C107" s="193" t="s">
        <v>2562</v>
      </c>
      <c r="D107" s="194" t="s">
        <v>2566</v>
      </c>
      <c r="E107" s="309">
        <v>66000</v>
      </c>
      <c r="F107" s="193" t="s">
        <v>1615</v>
      </c>
      <c r="G107" s="193" t="s">
        <v>2309</v>
      </c>
      <c r="H107" s="194" t="s">
        <v>1918</v>
      </c>
      <c r="I107" s="194" t="s">
        <v>2564</v>
      </c>
    </row>
    <row r="108" spans="2:12" x14ac:dyDescent="0.25">
      <c r="B108" s="193" t="s">
        <v>2561</v>
      </c>
      <c r="C108" s="193" t="s">
        <v>2562</v>
      </c>
      <c r="D108" s="194" t="s">
        <v>2567</v>
      </c>
      <c r="E108" s="309">
        <v>30000</v>
      </c>
      <c r="F108" s="193" t="s">
        <v>1180</v>
      </c>
      <c r="G108" s="193" t="s">
        <v>2568</v>
      </c>
      <c r="H108" s="194" t="s">
        <v>1918</v>
      </c>
      <c r="I108" s="194" t="s">
        <v>2569</v>
      </c>
    </row>
    <row r="109" spans="2:12" x14ac:dyDescent="0.25">
      <c r="B109" s="193" t="s">
        <v>2561</v>
      </c>
      <c r="C109" s="193" t="s">
        <v>2562</v>
      </c>
      <c r="D109" s="194" t="s">
        <v>2570</v>
      </c>
      <c r="E109" s="309">
        <v>5000</v>
      </c>
      <c r="F109" s="193" t="s">
        <v>1652</v>
      </c>
      <c r="G109" s="193" t="s">
        <v>2314</v>
      </c>
      <c r="H109" s="194" t="s">
        <v>2571</v>
      </c>
      <c r="I109" s="194" t="s">
        <v>2572</v>
      </c>
    </row>
    <row r="110" spans="2:12" x14ac:dyDescent="0.25">
      <c r="B110" s="193" t="s">
        <v>2561</v>
      </c>
      <c r="C110" s="193" t="s">
        <v>2562</v>
      </c>
      <c r="D110" s="194" t="s">
        <v>2573</v>
      </c>
      <c r="E110" s="309">
        <v>19000</v>
      </c>
      <c r="F110" s="193" t="s">
        <v>91</v>
      </c>
      <c r="G110" s="193" t="s">
        <v>2568</v>
      </c>
      <c r="H110" s="194" t="s">
        <v>1918</v>
      </c>
      <c r="I110" s="194" t="s">
        <v>2569</v>
      </c>
    </row>
    <row r="111" spans="2:12" x14ac:dyDescent="0.25">
      <c r="B111" s="193" t="s">
        <v>2561</v>
      </c>
      <c r="C111" s="193" t="s">
        <v>2562</v>
      </c>
      <c r="D111" s="194" t="s">
        <v>2574</v>
      </c>
      <c r="E111" s="309">
        <v>14200</v>
      </c>
      <c r="F111" s="193" t="s">
        <v>91</v>
      </c>
      <c r="G111" s="193" t="s">
        <v>2568</v>
      </c>
      <c r="H111" s="194" t="s">
        <v>1918</v>
      </c>
      <c r="I111" s="194" t="s">
        <v>2569</v>
      </c>
    </row>
    <row r="112" spans="2:12" x14ac:dyDescent="0.25">
      <c r="B112" s="193" t="s">
        <v>2561</v>
      </c>
      <c r="C112" s="193" t="s">
        <v>2562</v>
      </c>
      <c r="D112" s="194" t="s">
        <v>2575</v>
      </c>
      <c r="E112" s="309">
        <v>110000</v>
      </c>
      <c r="F112" s="193" t="s">
        <v>1461</v>
      </c>
      <c r="G112" s="193" t="s">
        <v>2568</v>
      </c>
      <c r="H112" s="194" t="s">
        <v>1918</v>
      </c>
      <c r="I112" s="194" t="s">
        <v>2569</v>
      </c>
    </row>
    <row r="113" spans="2:9" x14ac:dyDescent="0.25">
      <c r="B113" s="193" t="s">
        <v>2576</v>
      </c>
      <c r="C113" s="193" t="s">
        <v>2562</v>
      </c>
      <c r="D113" s="194" t="s">
        <v>2577</v>
      </c>
      <c r="E113" s="309">
        <v>3500</v>
      </c>
      <c r="F113" s="193" t="s">
        <v>1592</v>
      </c>
      <c r="G113" s="193" t="s">
        <v>2568</v>
      </c>
      <c r="H113" s="194" t="s">
        <v>1918</v>
      </c>
      <c r="I113" s="194" t="s">
        <v>2569</v>
      </c>
    </row>
    <row r="114" spans="2:9" x14ac:dyDescent="0.25">
      <c r="B114" s="193" t="s">
        <v>2576</v>
      </c>
      <c r="C114" s="193" t="s">
        <v>2562</v>
      </c>
      <c r="D114" s="194" t="s">
        <v>2578</v>
      </c>
      <c r="E114" s="309">
        <v>144700</v>
      </c>
      <c r="F114" s="193" t="s">
        <v>1077</v>
      </c>
      <c r="G114" s="193" t="s">
        <v>2568</v>
      </c>
      <c r="H114" s="194" t="s">
        <v>1918</v>
      </c>
      <c r="I114" s="194" t="s">
        <v>2569</v>
      </c>
    </row>
    <row r="115" spans="2:9" x14ac:dyDescent="0.25">
      <c r="B115" s="193" t="s">
        <v>2576</v>
      </c>
      <c r="C115" s="193" t="s">
        <v>2562</v>
      </c>
      <c r="D115" s="194" t="s">
        <v>2579</v>
      </c>
      <c r="E115" s="309">
        <v>16550</v>
      </c>
      <c r="F115" s="193" t="s">
        <v>1505</v>
      </c>
      <c r="G115" s="193" t="s">
        <v>2568</v>
      </c>
      <c r="H115" s="194" t="s">
        <v>1918</v>
      </c>
      <c r="I115" s="194" t="s">
        <v>2569</v>
      </c>
    </row>
    <row r="116" spans="2:9" x14ac:dyDescent="0.25">
      <c r="B116" s="193" t="s">
        <v>2576</v>
      </c>
      <c r="C116" s="193" t="s">
        <v>2562</v>
      </c>
      <c r="D116" s="194" t="s">
        <v>2580</v>
      </c>
      <c r="E116" s="309">
        <v>14000</v>
      </c>
      <c r="F116" s="193" t="s">
        <v>1367</v>
      </c>
      <c r="G116" s="193" t="s">
        <v>2568</v>
      </c>
      <c r="H116" s="194" t="s">
        <v>1918</v>
      </c>
      <c r="I116" s="194" t="s">
        <v>2569</v>
      </c>
    </row>
    <row r="117" spans="2:9" x14ac:dyDescent="0.25">
      <c r="B117" s="193" t="s">
        <v>2576</v>
      </c>
      <c r="C117" s="193" t="s">
        <v>2562</v>
      </c>
      <c r="D117" s="194" t="s">
        <v>2581</v>
      </c>
      <c r="E117" s="309">
        <v>11100</v>
      </c>
      <c r="F117" s="193" t="s">
        <v>1510</v>
      </c>
      <c r="G117" s="193" t="s">
        <v>2568</v>
      </c>
      <c r="H117" s="194" t="s">
        <v>1918</v>
      </c>
      <c r="I117" s="194" t="s">
        <v>2569</v>
      </c>
    </row>
    <row r="118" spans="2:9" x14ac:dyDescent="0.25">
      <c r="B118" s="193" t="s">
        <v>2576</v>
      </c>
      <c r="C118" s="193" t="s">
        <v>2562</v>
      </c>
      <c r="D118" s="194" t="s">
        <v>2582</v>
      </c>
      <c r="E118" s="309">
        <v>90000</v>
      </c>
      <c r="F118" s="193" t="s">
        <v>1077</v>
      </c>
      <c r="G118" s="193" t="s">
        <v>2568</v>
      </c>
      <c r="H118" s="194" t="s">
        <v>1918</v>
      </c>
      <c r="I118" s="194" t="s">
        <v>2569</v>
      </c>
    </row>
    <row r="119" spans="2:9" x14ac:dyDescent="0.25">
      <c r="B119" s="193" t="s">
        <v>2576</v>
      </c>
      <c r="C119" s="193" t="s">
        <v>2562</v>
      </c>
      <c r="D119" s="194" t="s">
        <v>2583</v>
      </c>
      <c r="E119" s="309">
        <v>66000</v>
      </c>
      <c r="F119" s="193" t="s">
        <v>1615</v>
      </c>
      <c r="G119" s="193" t="s">
        <v>2309</v>
      </c>
      <c r="H119" s="194" t="s">
        <v>1918</v>
      </c>
      <c r="I119" s="194" t="s">
        <v>2564</v>
      </c>
    </row>
    <row r="120" spans="2:9" x14ac:dyDescent="0.25">
      <c r="B120" s="193" t="s">
        <v>2584</v>
      </c>
      <c r="C120" s="193" t="s">
        <v>2562</v>
      </c>
      <c r="D120" s="194" t="s">
        <v>2563</v>
      </c>
      <c r="E120" s="309">
        <v>66000</v>
      </c>
      <c r="F120" s="193" t="s">
        <v>1615</v>
      </c>
      <c r="G120" s="193" t="s">
        <v>2309</v>
      </c>
      <c r="H120" s="194" t="s">
        <v>1918</v>
      </c>
      <c r="I120" s="194" t="s">
        <v>2564</v>
      </c>
    </row>
    <row r="121" spans="2:9" x14ac:dyDescent="0.25">
      <c r="B121" s="193" t="s">
        <v>2584</v>
      </c>
      <c r="C121" s="193" t="s">
        <v>2562</v>
      </c>
      <c r="D121" s="194" t="s">
        <v>2585</v>
      </c>
      <c r="E121" s="309">
        <v>30000</v>
      </c>
      <c r="F121" s="193" t="s">
        <v>1505</v>
      </c>
      <c r="G121" s="193" t="s">
        <v>2568</v>
      </c>
      <c r="H121" s="194" t="s">
        <v>1918</v>
      </c>
      <c r="I121" s="194" t="s">
        <v>2586</v>
      </c>
    </row>
    <row r="122" spans="2:9" x14ac:dyDescent="0.25">
      <c r="B122" s="193" t="s">
        <v>2584</v>
      </c>
      <c r="C122" s="193" t="s">
        <v>2562</v>
      </c>
      <c r="D122" s="194" t="s">
        <v>2587</v>
      </c>
      <c r="E122" s="309">
        <v>34000</v>
      </c>
      <c r="F122" s="193" t="s">
        <v>91</v>
      </c>
      <c r="G122" s="193" t="s">
        <v>2568</v>
      </c>
      <c r="H122" s="194" t="s">
        <v>1918</v>
      </c>
      <c r="I122" s="194" t="s">
        <v>2569</v>
      </c>
    </row>
    <row r="123" spans="2:9" x14ac:dyDescent="0.25">
      <c r="B123" s="193" t="s">
        <v>2584</v>
      </c>
      <c r="C123" s="193" t="s">
        <v>2562</v>
      </c>
      <c r="D123" s="194" t="s">
        <v>2567</v>
      </c>
      <c r="E123" s="309">
        <v>30000</v>
      </c>
      <c r="F123" s="193" t="s">
        <v>1180</v>
      </c>
      <c r="G123" s="193" t="s">
        <v>2588</v>
      </c>
      <c r="H123" s="194" t="s">
        <v>2589</v>
      </c>
      <c r="I123" s="194" t="s">
        <v>2590</v>
      </c>
    </row>
    <row r="124" spans="2:9" x14ac:dyDescent="0.25">
      <c r="B124" s="193" t="s">
        <v>2584</v>
      </c>
      <c r="C124" s="193" t="s">
        <v>2562</v>
      </c>
      <c r="D124" s="194" t="s">
        <v>2591</v>
      </c>
      <c r="E124" s="309">
        <v>76700</v>
      </c>
      <c r="F124" s="193" t="s">
        <v>1082</v>
      </c>
      <c r="G124" s="193" t="s">
        <v>2568</v>
      </c>
      <c r="H124" s="194" t="s">
        <v>1918</v>
      </c>
      <c r="I124" s="194" t="s">
        <v>2569</v>
      </c>
    </row>
    <row r="125" spans="2:9" x14ac:dyDescent="0.25">
      <c r="B125" s="193" t="s">
        <v>2584</v>
      </c>
      <c r="C125" s="193" t="s">
        <v>2562</v>
      </c>
      <c r="D125" s="194" t="s">
        <v>2592</v>
      </c>
      <c r="E125" s="309">
        <v>330000</v>
      </c>
      <c r="F125" s="193" t="s">
        <v>1077</v>
      </c>
      <c r="G125" s="193" t="s">
        <v>2469</v>
      </c>
      <c r="H125" s="194" t="s">
        <v>2593</v>
      </c>
      <c r="I125" s="194" t="s">
        <v>2594</v>
      </c>
    </row>
    <row r="126" spans="2:9" x14ac:dyDescent="0.25">
      <c r="B126" s="193" t="s">
        <v>2584</v>
      </c>
      <c r="C126" s="193" t="s">
        <v>2562</v>
      </c>
      <c r="D126" s="194" t="s">
        <v>2595</v>
      </c>
      <c r="E126" s="309">
        <v>69000</v>
      </c>
      <c r="F126" s="193" t="s">
        <v>1592</v>
      </c>
      <c r="G126" s="193" t="s">
        <v>2568</v>
      </c>
      <c r="H126" s="194" t="s">
        <v>1918</v>
      </c>
      <c r="I126" s="194" t="s">
        <v>2569</v>
      </c>
    </row>
    <row r="127" spans="2:9" x14ac:dyDescent="0.25">
      <c r="B127" s="193" t="s">
        <v>2584</v>
      </c>
      <c r="C127" s="193" t="s">
        <v>2562</v>
      </c>
      <c r="D127" s="194" t="s">
        <v>2596</v>
      </c>
      <c r="E127" s="309">
        <v>109400</v>
      </c>
      <c r="F127" s="193" t="s">
        <v>1461</v>
      </c>
      <c r="G127" s="193" t="s">
        <v>2568</v>
      </c>
      <c r="H127" s="194" t="s">
        <v>1918</v>
      </c>
      <c r="I127" s="194" t="s">
        <v>2569</v>
      </c>
    </row>
    <row r="128" spans="2:9" x14ac:dyDescent="0.25">
      <c r="B128" s="193" t="s">
        <v>2584</v>
      </c>
      <c r="C128" s="193" t="s">
        <v>2562</v>
      </c>
      <c r="D128" s="194" t="s">
        <v>2597</v>
      </c>
      <c r="E128" s="309">
        <v>338400</v>
      </c>
      <c r="F128" s="193" t="s">
        <v>91</v>
      </c>
      <c r="G128" s="193" t="s">
        <v>2469</v>
      </c>
      <c r="H128" s="194" t="s">
        <v>2598</v>
      </c>
      <c r="I128" s="194" t="s">
        <v>2599</v>
      </c>
    </row>
    <row r="129" spans="2:9" x14ac:dyDescent="0.25">
      <c r="B129" s="193" t="s">
        <v>2600</v>
      </c>
      <c r="C129" s="193" t="s">
        <v>2562</v>
      </c>
      <c r="D129" s="194" t="s">
        <v>2601</v>
      </c>
      <c r="E129" s="309">
        <v>3800</v>
      </c>
      <c r="F129" s="193" t="s">
        <v>1652</v>
      </c>
      <c r="G129" s="193" t="s">
        <v>2314</v>
      </c>
      <c r="H129" s="194" t="s">
        <v>2571</v>
      </c>
      <c r="I129" s="194" t="s">
        <v>2602</v>
      </c>
    </row>
    <row r="130" spans="2:9" x14ac:dyDescent="0.25">
      <c r="B130" s="193" t="s">
        <v>2600</v>
      </c>
      <c r="C130" s="193" t="s">
        <v>2562</v>
      </c>
      <c r="D130" s="194" t="s">
        <v>2583</v>
      </c>
      <c r="E130" s="309">
        <v>66000</v>
      </c>
      <c r="F130" s="193" t="s">
        <v>1615</v>
      </c>
      <c r="G130" s="193" t="s">
        <v>2309</v>
      </c>
      <c r="H130" s="194" t="s">
        <v>1918</v>
      </c>
      <c r="I130" s="194" t="s">
        <v>2564</v>
      </c>
    </row>
    <row r="131" spans="2:9" x14ac:dyDescent="0.25">
      <c r="B131" s="193" t="s">
        <v>2600</v>
      </c>
      <c r="C131" s="193" t="s">
        <v>2562</v>
      </c>
      <c r="D131" s="194" t="s">
        <v>2603</v>
      </c>
      <c r="E131" s="309">
        <v>6900</v>
      </c>
      <c r="F131" s="193" t="s">
        <v>1461</v>
      </c>
      <c r="G131" s="193" t="s">
        <v>2568</v>
      </c>
      <c r="H131" s="194" t="s">
        <v>1918</v>
      </c>
      <c r="I131" s="194" t="s">
        <v>2569</v>
      </c>
    </row>
    <row r="132" spans="2:9" x14ac:dyDescent="0.25">
      <c r="B132" s="193" t="s">
        <v>2600</v>
      </c>
      <c r="C132" s="193" t="s">
        <v>2562</v>
      </c>
      <c r="D132" s="194" t="s">
        <v>2604</v>
      </c>
      <c r="E132" s="309">
        <v>70900</v>
      </c>
      <c r="F132" s="193" t="s">
        <v>1077</v>
      </c>
      <c r="G132" s="193" t="s">
        <v>2568</v>
      </c>
      <c r="H132" s="194" t="s">
        <v>1918</v>
      </c>
      <c r="I132" s="194" t="s">
        <v>2569</v>
      </c>
    </row>
    <row r="133" spans="2:9" x14ac:dyDescent="0.25">
      <c r="B133" s="193" t="s">
        <v>2605</v>
      </c>
      <c r="C133" s="193" t="s">
        <v>2562</v>
      </c>
      <c r="D133" s="194" t="s">
        <v>2566</v>
      </c>
      <c r="E133" s="309">
        <v>66000</v>
      </c>
      <c r="F133" s="193" t="s">
        <v>1615</v>
      </c>
      <c r="G133" s="193" t="s">
        <v>2309</v>
      </c>
      <c r="H133" s="194" t="s">
        <v>1918</v>
      </c>
      <c r="I133" s="194" t="s">
        <v>2564</v>
      </c>
    </row>
    <row r="134" spans="2:9" x14ac:dyDescent="0.25">
      <c r="B134" s="193" t="s">
        <v>2605</v>
      </c>
      <c r="C134" s="193" t="s">
        <v>2562</v>
      </c>
      <c r="D134" s="194" t="s">
        <v>2606</v>
      </c>
      <c r="E134" s="309">
        <v>29000</v>
      </c>
      <c r="F134" s="193" t="s">
        <v>91</v>
      </c>
      <c r="G134" s="193" t="s">
        <v>2568</v>
      </c>
      <c r="H134" s="194" t="s">
        <v>1918</v>
      </c>
      <c r="I134" s="194" t="s">
        <v>2569</v>
      </c>
    </row>
    <row r="135" spans="2:9" x14ac:dyDescent="0.25">
      <c r="B135" s="193" t="s">
        <v>2605</v>
      </c>
      <c r="C135" s="193" t="s">
        <v>2562</v>
      </c>
      <c r="D135" s="194" t="s">
        <v>2567</v>
      </c>
      <c r="E135" s="309">
        <v>30000</v>
      </c>
      <c r="F135" s="193" t="s">
        <v>1180</v>
      </c>
      <c r="G135" s="193" t="s">
        <v>2568</v>
      </c>
      <c r="H135" s="194" t="s">
        <v>1918</v>
      </c>
      <c r="I135" s="194" t="s">
        <v>2569</v>
      </c>
    </row>
    <row r="136" spans="2:9" x14ac:dyDescent="0.25">
      <c r="B136" s="193" t="s">
        <v>2605</v>
      </c>
      <c r="C136" s="193" t="s">
        <v>2562</v>
      </c>
      <c r="D136" s="194" t="s">
        <v>2607</v>
      </c>
      <c r="E136" s="309">
        <v>220000</v>
      </c>
      <c r="F136" s="193" t="s">
        <v>91</v>
      </c>
      <c r="G136" s="193" t="s">
        <v>2469</v>
      </c>
      <c r="H136" s="194" t="s">
        <v>2608</v>
      </c>
      <c r="I136" s="194" t="s">
        <v>2609</v>
      </c>
    </row>
    <row r="137" spans="2:9" x14ac:dyDescent="0.25">
      <c r="B137" s="193" t="s">
        <v>2610</v>
      </c>
      <c r="C137" s="193" t="s">
        <v>2562</v>
      </c>
      <c r="D137" s="194" t="s">
        <v>2583</v>
      </c>
      <c r="E137" s="309">
        <v>66000</v>
      </c>
      <c r="F137" s="193" t="s">
        <v>1615</v>
      </c>
      <c r="G137" s="193" t="s">
        <v>2309</v>
      </c>
      <c r="H137" s="194" t="s">
        <v>1918</v>
      </c>
      <c r="I137" s="194" t="s">
        <v>2564</v>
      </c>
    </row>
    <row r="138" spans="2:9" x14ac:dyDescent="0.25">
      <c r="B138" s="193" t="s">
        <v>2610</v>
      </c>
      <c r="C138" s="193" t="s">
        <v>2562</v>
      </c>
      <c r="D138" s="194" t="s">
        <v>2611</v>
      </c>
      <c r="E138" s="309">
        <v>37700</v>
      </c>
      <c r="F138" s="193" t="s">
        <v>1615</v>
      </c>
      <c r="G138" s="193" t="s">
        <v>2309</v>
      </c>
      <c r="H138" s="194" t="s">
        <v>1918</v>
      </c>
      <c r="I138" s="194" t="s">
        <v>2564</v>
      </c>
    </row>
    <row r="139" spans="2:9" x14ac:dyDescent="0.25">
      <c r="B139" s="193" t="s">
        <v>2610</v>
      </c>
      <c r="C139" s="193" t="s">
        <v>2562</v>
      </c>
      <c r="D139" s="194" t="s">
        <v>2612</v>
      </c>
      <c r="E139" s="309">
        <v>70000</v>
      </c>
      <c r="F139" s="193" t="s">
        <v>1615</v>
      </c>
      <c r="G139" s="193" t="s">
        <v>2309</v>
      </c>
      <c r="H139" s="194" t="s">
        <v>1918</v>
      </c>
      <c r="I139" s="194" t="s">
        <v>2564</v>
      </c>
    </row>
    <row r="140" spans="2:9" x14ac:dyDescent="0.25">
      <c r="B140" s="193" t="s">
        <v>2610</v>
      </c>
      <c r="C140" s="193" t="s">
        <v>2562</v>
      </c>
      <c r="D140" s="194" t="s">
        <v>2613</v>
      </c>
      <c r="E140" s="309">
        <v>75000</v>
      </c>
      <c r="F140" s="193" t="s">
        <v>1367</v>
      </c>
      <c r="G140" s="193" t="s">
        <v>2568</v>
      </c>
      <c r="H140" s="194" t="s">
        <v>1918</v>
      </c>
      <c r="I140" s="194" t="s">
        <v>2569</v>
      </c>
    </row>
    <row r="141" spans="2:9" x14ac:dyDescent="0.25">
      <c r="B141" s="193" t="s">
        <v>2610</v>
      </c>
      <c r="C141" s="193" t="s">
        <v>2562</v>
      </c>
      <c r="D141" s="194" t="s">
        <v>2614</v>
      </c>
      <c r="E141" s="309">
        <v>31500</v>
      </c>
      <c r="F141" s="193" t="s">
        <v>1367</v>
      </c>
      <c r="G141" s="193" t="s">
        <v>2568</v>
      </c>
      <c r="H141" s="194" t="s">
        <v>1918</v>
      </c>
      <c r="I141" s="194" t="s">
        <v>2569</v>
      </c>
    </row>
    <row r="142" spans="2:9" x14ac:dyDescent="0.25">
      <c r="B142" s="193" t="s">
        <v>2610</v>
      </c>
      <c r="C142" s="193" t="s">
        <v>2562</v>
      </c>
      <c r="D142" s="194" t="s">
        <v>2615</v>
      </c>
      <c r="E142" s="309">
        <v>40000</v>
      </c>
      <c r="F142" s="193" t="s">
        <v>1082</v>
      </c>
      <c r="G142" s="193" t="s">
        <v>2568</v>
      </c>
      <c r="H142" s="194" t="s">
        <v>1918</v>
      </c>
      <c r="I142" s="194" t="s">
        <v>2569</v>
      </c>
    </row>
    <row r="143" spans="2:9" x14ac:dyDescent="0.25">
      <c r="B143" s="193" t="s">
        <v>2610</v>
      </c>
      <c r="C143" s="193" t="s">
        <v>2562</v>
      </c>
      <c r="D143" s="194" t="s">
        <v>2616</v>
      </c>
      <c r="E143" s="309">
        <v>44000</v>
      </c>
      <c r="F143" s="193" t="s">
        <v>1367</v>
      </c>
      <c r="G143" s="193" t="s">
        <v>2568</v>
      </c>
      <c r="H143" s="194" t="s">
        <v>1918</v>
      </c>
      <c r="I143" s="194" t="s">
        <v>2569</v>
      </c>
    </row>
    <row r="144" spans="2:9" x14ac:dyDescent="0.25">
      <c r="B144" s="193" t="s">
        <v>2610</v>
      </c>
      <c r="C144" s="193" t="s">
        <v>2562</v>
      </c>
      <c r="D144" s="194" t="s">
        <v>2617</v>
      </c>
      <c r="E144" s="309">
        <v>4000</v>
      </c>
      <c r="F144" s="193" t="s">
        <v>1082</v>
      </c>
      <c r="G144" s="193" t="s">
        <v>2568</v>
      </c>
      <c r="H144" s="194" t="s">
        <v>1918</v>
      </c>
      <c r="I144" s="194" t="s">
        <v>2569</v>
      </c>
    </row>
    <row r="145" spans="2:9" x14ac:dyDescent="0.25">
      <c r="B145" s="193" t="s">
        <v>2610</v>
      </c>
      <c r="C145" s="193" t="s">
        <v>2562</v>
      </c>
      <c r="D145" s="194" t="s">
        <v>2618</v>
      </c>
      <c r="E145" s="309">
        <v>4000</v>
      </c>
      <c r="F145" s="193" t="s">
        <v>1082</v>
      </c>
      <c r="G145" s="193" t="s">
        <v>2568</v>
      </c>
      <c r="H145" s="194" t="s">
        <v>1918</v>
      </c>
      <c r="I145" s="194" t="s">
        <v>2569</v>
      </c>
    </row>
    <row r="146" spans="2:9" x14ac:dyDescent="0.25">
      <c r="B146" s="193" t="s">
        <v>2610</v>
      </c>
      <c r="C146" s="193" t="s">
        <v>2562</v>
      </c>
      <c r="D146" s="194" t="s">
        <v>2619</v>
      </c>
      <c r="E146" s="309">
        <v>8000</v>
      </c>
      <c r="F146" s="193" t="s">
        <v>1505</v>
      </c>
      <c r="G146" s="193" t="s">
        <v>2568</v>
      </c>
      <c r="H146" s="194" t="s">
        <v>1918</v>
      </c>
      <c r="I146" s="194" t="s">
        <v>2569</v>
      </c>
    </row>
    <row r="147" spans="2:9" x14ac:dyDescent="0.25">
      <c r="B147" s="193" t="s">
        <v>2620</v>
      </c>
      <c r="C147" s="193" t="s">
        <v>2562</v>
      </c>
      <c r="D147" s="194" t="s">
        <v>2621</v>
      </c>
      <c r="E147" s="309">
        <v>30000</v>
      </c>
      <c r="F147" s="193" t="s">
        <v>1505</v>
      </c>
      <c r="G147" s="193" t="s">
        <v>2568</v>
      </c>
      <c r="H147" s="194" t="s">
        <v>1918</v>
      </c>
      <c r="I147" s="194" t="s">
        <v>2569</v>
      </c>
    </row>
    <row r="148" spans="2:9" x14ac:dyDescent="0.25">
      <c r="B148" s="193" t="s">
        <v>2620</v>
      </c>
      <c r="C148" s="193" t="s">
        <v>2562</v>
      </c>
      <c r="D148" s="194" t="s">
        <v>2622</v>
      </c>
      <c r="E148" s="309">
        <v>24000</v>
      </c>
      <c r="F148" s="193" t="s">
        <v>91</v>
      </c>
      <c r="G148" s="193" t="s">
        <v>2568</v>
      </c>
      <c r="H148" s="194" t="s">
        <v>1918</v>
      </c>
      <c r="I148" s="194" t="s">
        <v>2569</v>
      </c>
    </row>
    <row r="149" spans="2:9" x14ac:dyDescent="0.25">
      <c r="B149" s="193" t="s">
        <v>2620</v>
      </c>
      <c r="C149" s="193" t="s">
        <v>2562</v>
      </c>
      <c r="D149" s="194" t="s">
        <v>2623</v>
      </c>
      <c r="E149" s="309">
        <v>30000</v>
      </c>
      <c r="F149" s="193" t="s">
        <v>1180</v>
      </c>
      <c r="G149" s="193" t="s">
        <v>2568</v>
      </c>
      <c r="H149" s="194" t="s">
        <v>1918</v>
      </c>
      <c r="I149" s="194" t="s">
        <v>2569</v>
      </c>
    </row>
    <row r="150" spans="2:9" x14ac:dyDescent="0.25">
      <c r="B150" s="193" t="s">
        <v>2620</v>
      </c>
      <c r="C150" s="193" t="s">
        <v>2562</v>
      </c>
      <c r="D150" s="194" t="s">
        <v>2624</v>
      </c>
      <c r="E150" s="309">
        <v>66000</v>
      </c>
      <c r="F150" s="193" t="s">
        <v>1615</v>
      </c>
      <c r="G150" s="193" t="s">
        <v>2309</v>
      </c>
      <c r="H150" s="194" t="s">
        <v>1918</v>
      </c>
      <c r="I150" s="194" t="s">
        <v>2564</v>
      </c>
    </row>
    <row r="151" spans="2:9" x14ac:dyDescent="0.25">
      <c r="B151" s="193" t="s">
        <v>2620</v>
      </c>
      <c r="C151" s="193" t="s">
        <v>2562</v>
      </c>
      <c r="D151" s="194" t="s">
        <v>2625</v>
      </c>
      <c r="E151" s="309">
        <v>66000</v>
      </c>
      <c r="F151" s="193" t="s">
        <v>1615</v>
      </c>
      <c r="G151" s="193" t="s">
        <v>2309</v>
      </c>
      <c r="H151" s="194" t="s">
        <v>1918</v>
      </c>
      <c r="I151" s="194" t="s">
        <v>2564</v>
      </c>
    </row>
    <row r="152" spans="2:9" x14ac:dyDescent="0.25">
      <c r="B152" s="193" t="s">
        <v>2620</v>
      </c>
      <c r="C152" s="193" t="s">
        <v>2562</v>
      </c>
      <c r="D152" s="194" t="s">
        <v>2626</v>
      </c>
      <c r="E152" s="309">
        <v>70000</v>
      </c>
      <c r="F152" s="193" t="s">
        <v>1114</v>
      </c>
      <c r="G152" s="193" t="s">
        <v>2568</v>
      </c>
      <c r="H152" s="194" t="s">
        <v>1918</v>
      </c>
      <c r="I152" s="194" t="s">
        <v>2569</v>
      </c>
    </row>
    <row r="153" spans="2:9" x14ac:dyDescent="0.25">
      <c r="B153" s="193" t="s">
        <v>2620</v>
      </c>
      <c r="C153" s="193" t="s">
        <v>2562</v>
      </c>
      <c r="D153" s="194" t="s">
        <v>2627</v>
      </c>
      <c r="E153" s="309">
        <v>8000</v>
      </c>
      <c r="F153" s="193" t="s">
        <v>1505</v>
      </c>
      <c r="G153" s="193" t="s">
        <v>2568</v>
      </c>
      <c r="H153" s="194" t="s">
        <v>1918</v>
      </c>
      <c r="I153" s="194" t="s">
        <v>2569</v>
      </c>
    </row>
    <row r="154" spans="2:9" x14ac:dyDescent="0.25">
      <c r="B154" s="193" t="s">
        <v>2628</v>
      </c>
      <c r="C154" s="193" t="s">
        <v>2562</v>
      </c>
      <c r="D154" s="194" t="s">
        <v>2629</v>
      </c>
      <c r="E154" s="309">
        <v>524200</v>
      </c>
      <c r="F154" s="193" t="s">
        <v>91</v>
      </c>
      <c r="G154" s="193" t="s">
        <v>2469</v>
      </c>
      <c r="H154" s="194" t="s">
        <v>2630</v>
      </c>
      <c r="I154" s="194" t="s">
        <v>2631</v>
      </c>
    </row>
    <row r="155" spans="2:9" x14ac:dyDescent="0.25">
      <c r="B155" s="193" t="s">
        <v>2628</v>
      </c>
      <c r="C155" s="193" t="s">
        <v>2562</v>
      </c>
      <c r="D155" s="194" t="s">
        <v>2632</v>
      </c>
      <c r="E155" s="309">
        <v>250000</v>
      </c>
      <c r="F155" s="193" t="s">
        <v>1082</v>
      </c>
      <c r="G155" s="193" t="s">
        <v>2568</v>
      </c>
      <c r="H155" s="194" t="s">
        <v>1918</v>
      </c>
      <c r="I155" s="194" t="s">
        <v>2569</v>
      </c>
    </row>
    <row r="156" spans="2:9" x14ac:dyDescent="0.25">
      <c r="B156" s="193" t="s">
        <v>2628</v>
      </c>
      <c r="C156" s="193" t="s">
        <v>2562</v>
      </c>
      <c r="D156" s="194" t="s">
        <v>2633</v>
      </c>
      <c r="E156" s="309">
        <v>378000</v>
      </c>
      <c r="F156" s="193" t="s">
        <v>1077</v>
      </c>
      <c r="G156" s="193" t="s">
        <v>2469</v>
      </c>
      <c r="H156" s="194" t="s">
        <v>2634</v>
      </c>
      <c r="I156" s="194" t="s">
        <v>2635</v>
      </c>
    </row>
    <row r="157" spans="2:9" x14ac:dyDescent="0.25">
      <c r="B157" s="193" t="s">
        <v>2628</v>
      </c>
      <c r="C157" s="193" t="s">
        <v>2562</v>
      </c>
      <c r="D157" s="194" t="s">
        <v>2636</v>
      </c>
      <c r="E157" s="309">
        <v>66000</v>
      </c>
      <c r="F157" s="193" t="s">
        <v>1615</v>
      </c>
      <c r="G157" s="193" t="s">
        <v>2309</v>
      </c>
      <c r="H157" s="194" t="s">
        <v>1918</v>
      </c>
      <c r="I157" s="194" t="s">
        <v>2564</v>
      </c>
    </row>
    <row r="158" spans="2:9" x14ac:dyDescent="0.25">
      <c r="B158" s="195" t="s">
        <v>2637</v>
      </c>
      <c r="C158" s="196"/>
      <c r="D158" s="196"/>
      <c r="E158" s="310">
        <v>4190550</v>
      </c>
      <c r="F158" s="196"/>
      <c r="G158" s="195" t="s">
        <v>2526</v>
      </c>
      <c r="H158" s="196"/>
      <c r="I158" s="196"/>
    </row>
    <row r="161" spans="2:10" ht="16.5" customHeight="1" x14ac:dyDescent="0.25">
      <c r="B161" s="630" t="s">
        <v>2638</v>
      </c>
      <c r="C161" s="545"/>
      <c r="D161" s="545"/>
      <c r="E161" s="545"/>
      <c r="F161" s="618"/>
      <c r="G161" s="545"/>
      <c r="H161" s="545"/>
      <c r="I161" s="545"/>
      <c r="J161" s="545"/>
    </row>
    <row r="163" spans="2:10" x14ac:dyDescent="0.25">
      <c r="B163" s="332" t="s">
        <v>2639</v>
      </c>
    </row>
    <row r="164" spans="2:10" x14ac:dyDescent="0.25">
      <c r="B164" s="333" t="s">
        <v>2289</v>
      </c>
      <c r="C164" s="333" t="s">
        <v>2640</v>
      </c>
      <c r="D164" s="333" t="s">
        <v>2531</v>
      </c>
      <c r="E164" s="333" t="s">
        <v>2532</v>
      </c>
      <c r="F164" s="333" t="s">
        <v>2641</v>
      </c>
      <c r="G164" s="333" t="s">
        <v>2642</v>
      </c>
      <c r="H164" s="333" t="s">
        <v>2643</v>
      </c>
      <c r="I164" s="333" t="s">
        <v>2007</v>
      </c>
      <c r="J164" s="333" t="s">
        <v>2644</v>
      </c>
    </row>
    <row r="165" spans="2:10" x14ac:dyDescent="0.25">
      <c r="B165" s="334" t="s">
        <v>2645</v>
      </c>
      <c r="C165" s="335" t="s">
        <v>2646</v>
      </c>
      <c r="D165" s="336">
        <v>2027100</v>
      </c>
      <c r="E165" s="336">
        <v>70900</v>
      </c>
      <c r="F165" s="336">
        <v>833000</v>
      </c>
      <c r="G165" s="336">
        <v>3774300</v>
      </c>
      <c r="H165" s="538">
        <v>3775700</v>
      </c>
      <c r="I165" s="336">
        <v>-1400</v>
      </c>
      <c r="J165" s="335" t="s">
        <v>2647</v>
      </c>
    </row>
    <row r="166" spans="2:10" x14ac:dyDescent="0.25">
      <c r="B166" s="337" t="s">
        <v>2648</v>
      </c>
      <c r="C166" s="338" t="s">
        <v>2300</v>
      </c>
      <c r="D166" s="339">
        <v>846000</v>
      </c>
      <c r="E166" s="339">
        <v>56000</v>
      </c>
      <c r="F166" s="339">
        <v>2000</v>
      </c>
      <c r="G166" s="339">
        <v>2127600</v>
      </c>
      <c r="H166" s="539">
        <v>2135500</v>
      </c>
      <c r="I166" s="339">
        <v>-7900</v>
      </c>
      <c r="J166" s="338" t="s">
        <v>2649</v>
      </c>
    </row>
    <row r="167" spans="2:10" x14ac:dyDescent="0.25">
      <c r="B167" s="334" t="s">
        <v>2650</v>
      </c>
      <c r="C167" s="335" t="s">
        <v>2323</v>
      </c>
      <c r="D167" s="336">
        <v>2827200</v>
      </c>
      <c r="E167" s="336">
        <v>94500</v>
      </c>
      <c r="F167" s="336">
        <v>892000</v>
      </c>
      <c r="G167" s="336">
        <v>5360500</v>
      </c>
      <c r="H167" s="336">
        <v>5362200</v>
      </c>
      <c r="I167" s="336">
        <v>-1700</v>
      </c>
      <c r="J167" s="335" t="s">
        <v>2651</v>
      </c>
    </row>
    <row r="168" spans="2:10" x14ac:dyDescent="0.25">
      <c r="B168" s="337" t="s">
        <v>2652</v>
      </c>
      <c r="C168" s="338" t="s">
        <v>2423</v>
      </c>
      <c r="D168" s="339">
        <v>2242700</v>
      </c>
      <c r="E168" s="339">
        <v>323000</v>
      </c>
      <c r="F168" s="339">
        <v>1736000</v>
      </c>
      <c r="G168" s="339">
        <v>4727600</v>
      </c>
      <c r="H168" s="339">
        <v>4727200</v>
      </c>
      <c r="I168" s="339">
        <v>400</v>
      </c>
      <c r="J168" s="338" t="s">
        <v>2653</v>
      </c>
    </row>
    <row r="169" spans="2:10" x14ac:dyDescent="0.25">
      <c r="B169" s="334" t="s">
        <v>2654</v>
      </c>
      <c r="C169" s="335" t="s">
        <v>2323</v>
      </c>
      <c r="D169" s="336">
        <v>4872900</v>
      </c>
      <c r="E169" s="336">
        <v>303800</v>
      </c>
      <c r="F169" s="336">
        <v>3499000</v>
      </c>
      <c r="G169" s="336">
        <v>9057900</v>
      </c>
      <c r="H169" s="336">
        <v>9058400</v>
      </c>
      <c r="I169" s="336">
        <v>-500</v>
      </c>
      <c r="J169" s="335" t="s">
        <v>2655</v>
      </c>
    </row>
    <row r="170" spans="2:10" x14ac:dyDescent="0.25">
      <c r="B170" s="337" t="s">
        <v>2656</v>
      </c>
      <c r="C170" s="338" t="s">
        <v>2657</v>
      </c>
      <c r="D170" s="339">
        <v>4031200</v>
      </c>
      <c r="E170" s="339">
        <v>167000</v>
      </c>
      <c r="F170" s="339">
        <v>3239000</v>
      </c>
      <c r="G170" s="339">
        <v>8027400</v>
      </c>
      <c r="H170" s="339">
        <v>7974200</v>
      </c>
      <c r="I170" s="339">
        <v>53200</v>
      </c>
      <c r="J170" s="338" t="s">
        <v>2658</v>
      </c>
    </row>
    <row r="171" spans="2:10" x14ac:dyDescent="0.25">
      <c r="B171" s="334" t="s">
        <v>2659</v>
      </c>
      <c r="C171" s="335" t="s">
        <v>2660</v>
      </c>
      <c r="D171" s="336">
        <v>1773900</v>
      </c>
      <c r="E171" s="336">
        <v>0</v>
      </c>
      <c r="F171" s="336">
        <v>804000</v>
      </c>
      <c r="G171" s="336">
        <v>2972900</v>
      </c>
      <c r="H171" s="336">
        <v>3023700</v>
      </c>
      <c r="I171" s="336">
        <v>-50800</v>
      </c>
      <c r="J171" s="335" t="s">
        <v>2661</v>
      </c>
    </row>
    <row r="172" spans="2:10" x14ac:dyDescent="0.25">
      <c r="B172" s="337" t="s">
        <v>2662</v>
      </c>
      <c r="C172" s="338" t="s">
        <v>2657</v>
      </c>
      <c r="D172" s="339">
        <v>412500</v>
      </c>
      <c r="E172" s="339">
        <v>275600</v>
      </c>
      <c r="F172" s="339">
        <v>830000</v>
      </c>
      <c r="G172" s="339">
        <v>1644600</v>
      </c>
      <c r="H172" s="339">
        <v>1645400</v>
      </c>
      <c r="I172" s="339">
        <v>-800</v>
      </c>
      <c r="J172" s="338" t="s">
        <v>2663</v>
      </c>
    </row>
    <row r="173" spans="2:10" x14ac:dyDescent="0.25">
      <c r="B173" s="340" t="s">
        <v>2664</v>
      </c>
      <c r="C173" s="341" t="s">
        <v>2665</v>
      </c>
      <c r="D173" s="342">
        <v>19033500</v>
      </c>
      <c r="E173" s="342">
        <v>1290800</v>
      </c>
      <c r="F173" s="342">
        <v>11835000</v>
      </c>
      <c r="G173" s="342">
        <v>37692800</v>
      </c>
      <c r="H173" s="342">
        <v>37702300</v>
      </c>
      <c r="I173" s="342">
        <v>-9500</v>
      </c>
      <c r="J173" s="340" t="s">
        <v>2666</v>
      </c>
    </row>
    <row r="176" spans="2:10" x14ac:dyDescent="0.25">
      <c r="B176" s="332" t="s">
        <v>2667</v>
      </c>
    </row>
    <row r="177" spans="2:9" x14ac:dyDescent="0.25">
      <c r="B177" s="333" t="s">
        <v>2289</v>
      </c>
      <c r="C177" s="333" t="s">
        <v>2290</v>
      </c>
      <c r="D177" s="333" t="s">
        <v>2291</v>
      </c>
      <c r="E177" s="333" t="s">
        <v>2292</v>
      </c>
      <c r="F177" s="333" t="s">
        <v>110</v>
      </c>
      <c r="G177" s="333" t="s">
        <v>2294</v>
      </c>
      <c r="H177" s="333" t="s">
        <v>2559</v>
      </c>
      <c r="I177" s="333" t="s">
        <v>2560</v>
      </c>
    </row>
    <row r="178" spans="2:9" x14ac:dyDescent="0.25">
      <c r="B178" s="337" t="s">
        <v>2645</v>
      </c>
      <c r="C178" s="338" t="s">
        <v>2501</v>
      </c>
      <c r="D178" s="338" t="s">
        <v>2668</v>
      </c>
      <c r="E178" s="339">
        <v>66000</v>
      </c>
      <c r="F178" s="337" t="s">
        <v>1615</v>
      </c>
      <c r="G178" s="337" t="s">
        <v>2588</v>
      </c>
      <c r="H178" s="338" t="s">
        <v>2669</v>
      </c>
      <c r="I178" s="338" t="s">
        <v>2670</v>
      </c>
    </row>
    <row r="179" spans="2:9" x14ac:dyDescent="0.25">
      <c r="B179" s="334" t="s">
        <v>2645</v>
      </c>
      <c r="C179" s="335" t="s">
        <v>2501</v>
      </c>
      <c r="D179" s="335" t="s">
        <v>2671</v>
      </c>
      <c r="E179" s="336">
        <v>66000</v>
      </c>
      <c r="F179" s="334" t="s">
        <v>1615</v>
      </c>
      <c r="G179" s="334" t="s">
        <v>2588</v>
      </c>
      <c r="H179" s="335" t="s">
        <v>2672</v>
      </c>
      <c r="I179" s="335" t="s">
        <v>2670</v>
      </c>
    </row>
    <row r="180" spans="2:9" x14ac:dyDescent="0.25">
      <c r="B180" s="337" t="s">
        <v>2645</v>
      </c>
      <c r="C180" s="338" t="s">
        <v>2501</v>
      </c>
      <c r="D180" s="338" t="s">
        <v>2673</v>
      </c>
      <c r="E180" s="339">
        <v>66000</v>
      </c>
      <c r="F180" s="337" t="s">
        <v>1615</v>
      </c>
      <c r="G180" s="337" t="s">
        <v>2588</v>
      </c>
      <c r="H180" s="338" t="s">
        <v>2674</v>
      </c>
      <c r="I180" s="338" t="s">
        <v>2670</v>
      </c>
    </row>
    <row r="181" spans="2:9" x14ac:dyDescent="0.25">
      <c r="B181" s="334" t="s">
        <v>2645</v>
      </c>
      <c r="C181" s="335" t="s">
        <v>2501</v>
      </c>
      <c r="D181" s="335" t="s">
        <v>2675</v>
      </c>
      <c r="E181" s="336">
        <v>29000</v>
      </c>
      <c r="F181" s="334" t="s">
        <v>949</v>
      </c>
      <c r="G181" s="334" t="s">
        <v>2588</v>
      </c>
      <c r="H181" s="335" t="s">
        <v>2676</v>
      </c>
      <c r="I181" s="335" t="s">
        <v>2677</v>
      </c>
    </row>
    <row r="182" spans="2:9" x14ac:dyDescent="0.25">
      <c r="B182" s="337" t="s">
        <v>2645</v>
      </c>
      <c r="C182" s="338" t="s">
        <v>2501</v>
      </c>
      <c r="D182" s="338" t="s">
        <v>2678</v>
      </c>
      <c r="E182" s="339">
        <v>30000</v>
      </c>
      <c r="F182" s="337" t="s">
        <v>1180</v>
      </c>
      <c r="G182" s="337" t="s">
        <v>2588</v>
      </c>
      <c r="H182" s="338" t="s">
        <v>2679</v>
      </c>
      <c r="I182" s="338" t="s">
        <v>2680</v>
      </c>
    </row>
    <row r="183" spans="2:9" x14ac:dyDescent="0.25">
      <c r="B183" s="334" t="s">
        <v>2645</v>
      </c>
      <c r="C183" s="335" t="s">
        <v>2501</v>
      </c>
      <c r="D183" s="335" t="s">
        <v>2681</v>
      </c>
      <c r="E183" s="336">
        <v>85000</v>
      </c>
      <c r="F183" s="334" t="s">
        <v>1461</v>
      </c>
      <c r="G183" s="334" t="s">
        <v>2588</v>
      </c>
      <c r="H183" s="335" t="s">
        <v>2682</v>
      </c>
      <c r="I183" s="335" t="s">
        <v>2683</v>
      </c>
    </row>
    <row r="184" spans="2:9" x14ac:dyDescent="0.25">
      <c r="B184" s="337" t="s">
        <v>2645</v>
      </c>
      <c r="C184" s="338" t="s">
        <v>2501</v>
      </c>
      <c r="D184" s="338" t="s">
        <v>2684</v>
      </c>
      <c r="E184" s="339">
        <v>77300</v>
      </c>
      <c r="F184" s="337" t="s">
        <v>1505</v>
      </c>
      <c r="G184" s="337" t="s">
        <v>2588</v>
      </c>
      <c r="H184" s="338" t="s">
        <v>2685</v>
      </c>
      <c r="I184" s="338" t="s">
        <v>2686</v>
      </c>
    </row>
    <row r="185" spans="2:9" x14ac:dyDescent="0.25">
      <c r="B185" s="334" t="s">
        <v>2645</v>
      </c>
      <c r="C185" s="335" t="s">
        <v>2501</v>
      </c>
      <c r="D185" s="335" t="s">
        <v>2687</v>
      </c>
      <c r="E185" s="336">
        <v>46500</v>
      </c>
      <c r="F185" s="334" t="s">
        <v>1505</v>
      </c>
      <c r="G185" s="334" t="s">
        <v>2588</v>
      </c>
      <c r="H185" s="335" t="s">
        <v>2688</v>
      </c>
      <c r="I185" s="335" t="s">
        <v>2689</v>
      </c>
    </row>
    <row r="186" spans="2:9" x14ac:dyDescent="0.25">
      <c r="B186" s="337" t="s">
        <v>2645</v>
      </c>
      <c r="C186" s="338" t="s">
        <v>2501</v>
      </c>
      <c r="D186" s="338" t="s">
        <v>2690</v>
      </c>
      <c r="E186" s="339">
        <v>377500</v>
      </c>
      <c r="F186" s="337" t="s">
        <v>1077</v>
      </c>
      <c r="G186" s="337" t="s">
        <v>2469</v>
      </c>
      <c r="H186" s="338" t="s">
        <v>2691</v>
      </c>
      <c r="I186" s="338" t="s">
        <v>2692</v>
      </c>
    </row>
    <row r="187" spans="2:9" x14ac:dyDescent="0.25">
      <c r="B187" s="334" t="s">
        <v>2648</v>
      </c>
      <c r="C187" s="335" t="s">
        <v>2300</v>
      </c>
      <c r="D187" s="335" t="s">
        <v>2693</v>
      </c>
      <c r="E187" s="336">
        <v>40000</v>
      </c>
      <c r="F187" s="334" t="s">
        <v>1180</v>
      </c>
      <c r="G187" s="334" t="s">
        <v>2588</v>
      </c>
      <c r="H187" s="335" t="s">
        <v>2694</v>
      </c>
      <c r="I187" s="335" t="s">
        <v>2695</v>
      </c>
    </row>
    <row r="188" spans="2:9" x14ac:dyDescent="0.25">
      <c r="B188" s="337" t="s">
        <v>2648</v>
      </c>
      <c r="C188" s="338" t="s">
        <v>2300</v>
      </c>
      <c r="D188" s="338" t="s">
        <v>2696</v>
      </c>
      <c r="E188" s="339">
        <v>26700</v>
      </c>
      <c r="F188" s="337" t="s">
        <v>1180</v>
      </c>
      <c r="G188" s="337" t="s">
        <v>2588</v>
      </c>
      <c r="H188" s="338" t="s">
        <v>2697</v>
      </c>
      <c r="I188" s="338" t="s">
        <v>2695</v>
      </c>
    </row>
    <row r="189" spans="2:9" x14ac:dyDescent="0.25">
      <c r="B189" s="334" t="s">
        <v>2648</v>
      </c>
      <c r="C189" s="335" t="s">
        <v>2300</v>
      </c>
      <c r="D189" s="335" t="s">
        <v>2698</v>
      </c>
      <c r="E189" s="336">
        <v>50000</v>
      </c>
      <c r="F189" s="334" t="s">
        <v>1180</v>
      </c>
      <c r="G189" s="334" t="s">
        <v>2588</v>
      </c>
      <c r="H189" s="335" t="s">
        <v>2699</v>
      </c>
      <c r="I189" s="335" t="s">
        <v>2695</v>
      </c>
    </row>
    <row r="190" spans="2:9" x14ac:dyDescent="0.25">
      <c r="B190" s="337" t="s">
        <v>2648</v>
      </c>
      <c r="C190" s="338" t="s">
        <v>2300</v>
      </c>
      <c r="D190" s="338" t="s">
        <v>2700</v>
      </c>
      <c r="E190" s="339">
        <v>20000</v>
      </c>
      <c r="F190" s="337" t="s">
        <v>1180</v>
      </c>
      <c r="G190" s="337" t="s">
        <v>2588</v>
      </c>
      <c r="H190" s="338" t="s">
        <v>2701</v>
      </c>
      <c r="I190" s="338" t="s">
        <v>2695</v>
      </c>
    </row>
    <row r="191" spans="2:9" x14ac:dyDescent="0.25">
      <c r="B191" s="334" t="s">
        <v>2648</v>
      </c>
      <c r="C191" s="335" t="s">
        <v>2300</v>
      </c>
      <c r="D191" s="335" t="s">
        <v>2702</v>
      </c>
      <c r="E191" s="336">
        <v>345000</v>
      </c>
      <c r="F191" s="334" t="s">
        <v>1615</v>
      </c>
      <c r="G191" s="334" t="s">
        <v>2703</v>
      </c>
      <c r="H191" s="335" t="s">
        <v>2704</v>
      </c>
      <c r="I191" s="335" t="s">
        <v>2705</v>
      </c>
    </row>
    <row r="192" spans="2:9" x14ac:dyDescent="0.25">
      <c r="B192" s="337" t="s">
        <v>2648</v>
      </c>
      <c r="C192" s="338" t="s">
        <v>2300</v>
      </c>
      <c r="D192" s="338" t="s">
        <v>2706</v>
      </c>
      <c r="E192" s="339">
        <v>130550</v>
      </c>
      <c r="F192" s="337" t="s">
        <v>1505</v>
      </c>
      <c r="G192" s="337" t="s">
        <v>2469</v>
      </c>
      <c r="H192" s="338" t="s">
        <v>2707</v>
      </c>
      <c r="I192" s="338" t="s">
        <v>2708</v>
      </c>
    </row>
    <row r="193" spans="2:9" x14ac:dyDescent="0.25">
      <c r="B193" s="334" t="s">
        <v>2648</v>
      </c>
      <c r="C193" s="335" t="s">
        <v>2300</v>
      </c>
      <c r="D193" s="335" t="s">
        <v>2709</v>
      </c>
      <c r="E193" s="336">
        <v>35900</v>
      </c>
      <c r="F193" s="334" t="s">
        <v>1505</v>
      </c>
      <c r="G193" s="334" t="s">
        <v>2469</v>
      </c>
      <c r="H193" s="335" t="s">
        <v>2710</v>
      </c>
      <c r="I193" s="335" t="s">
        <v>2711</v>
      </c>
    </row>
    <row r="194" spans="2:9" x14ac:dyDescent="0.25">
      <c r="B194" s="337" t="s">
        <v>2648</v>
      </c>
      <c r="C194" s="338" t="s">
        <v>2300</v>
      </c>
      <c r="D194" s="338" t="s">
        <v>2712</v>
      </c>
      <c r="E194" s="339">
        <v>330000</v>
      </c>
      <c r="F194" s="337" t="s">
        <v>1077</v>
      </c>
      <c r="G194" s="337" t="s">
        <v>2469</v>
      </c>
      <c r="H194" s="338" t="s">
        <v>2713</v>
      </c>
      <c r="I194" s="338" t="s">
        <v>2714</v>
      </c>
    </row>
    <row r="195" spans="2:9" x14ac:dyDescent="0.25">
      <c r="B195" s="334" t="s">
        <v>2648</v>
      </c>
      <c r="C195" s="335" t="s">
        <v>2300</v>
      </c>
      <c r="D195" s="335" t="s">
        <v>2715</v>
      </c>
      <c r="E195" s="336">
        <v>190000</v>
      </c>
      <c r="F195" s="334" t="s">
        <v>1082</v>
      </c>
      <c r="G195" s="334" t="s">
        <v>2703</v>
      </c>
      <c r="H195" s="335" t="s">
        <v>2716</v>
      </c>
      <c r="I195" s="335" t="s">
        <v>2717</v>
      </c>
    </row>
    <row r="196" spans="2:9" x14ac:dyDescent="0.25">
      <c r="B196" s="337" t="s">
        <v>2648</v>
      </c>
      <c r="C196" s="338" t="s">
        <v>2300</v>
      </c>
      <c r="D196" s="338" t="s">
        <v>2718</v>
      </c>
      <c r="E196" s="339">
        <v>66000</v>
      </c>
      <c r="F196" s="337" t="s">
        <v>1615</v>
      </c>
      <c r="G196" s="337" t="s">
        <v>2588</v>
      </c>
      <c r="H196" s="338" t="s">
        <v>2719</v>
      </c>
      <c r="I196" s="338" t="s">
        <v>2670</v>
      </c>
    </row>
    <row r="197" spans="2:9" x14ac:dyDescent="0.25">
      <c r="B197" s="334" t="s">
        <v>2648</v>
      </c>
      <c r="C197" s="335" t="s">
        <v>2300</v>
      </c>
      <c r="D197" s="335" t="s">
        <v>2720</v>
      </c>
      <c r="E197" s="336">
        <v>49500</v>
      </c>
      <c r="F197" s="334" t="s">
        <v>1615</v>
      </c>
      <c r="G197" s="334" t="s">
        <v>2588</v>
      </c>
      <c r="H197" s="335" t="s">
        <v>2721</v>
      </c>
      <c r="I197" s="335" t="s">
        <v>2722</v>
      </c>
    </row>
    <row r="198" spans="2:9" x14ac:dyDescent="0.25">
      <c r="B198" s="337" t="s">
        <v>2650</v>
      </c>
      <c r="C198" s="338" t="s">
        <v>2323</v>
      </c>
      <c r="D198" s="338" t="s">
        <v>2673</v>
      </c>
      <c r="E198" s="339">
        <v>66000</v>
      </c>
      <c r="F198" s="337" t="s">
        <v>1615</v>
      </c>
      <c r="G198" s="337" t="s">
        <v>2703</v>
      </c>
      <c r="H198" s="338" t="s">
        <v>2723</v>
      </c>
      <c r="I198" s="338" t="s">
        <v>2724</v>
      </c>
    </row>
    <row r="199" spans="2:9" x14ac:dyDescent="0.25">
      <c r="B199" s="334" t="s">
        <v>2650</v>
      </c>
      <c r="C199" s="335" t="s">
        <v>2323</v>
      </c>
      <c r="D199" s="335" t="s">
        <v>2668</v>
      </c>
      <c r="E199" s="336">
        <v>66000</v>
      </c>
      <c r="F199" s="334" t="s">
        <v>1615</v>
      </c>
      <c r="G199" s="334" t="s">
        <v>2703</v>
      </c>
      <c r="H199" s="335" t="s">
        <v>2725</v>
      </c>
      <c r="I199" s="335" t="s">
        <v>2724</v>
      </c>
    </row>
    <row r="200" spans="2:9" x14ac:dyDescent="0.25">
      <c r="B200" s="337" t="s">
        <v>2650</v>
      </c>
      <c r="C200" s="338" t="s">
        <v>2323</v>
      </c>
      <c r="D200" s="338" t="s">
        <v>2671</v>
      </c>
      <c r="E200" s="339">
        <v>66000</v>
      </c>
      <c r="F200" s="337" t="s">
        <v>1615</v>
      </c>
      <c r="G200" s="337" t="s">
        <v>2703</v>
      </c>
      <c r="H200" s="338" t="s">
        <v>2726</v>
      </c>
      <c r="I200" s="338" t="s">
        <v>2724</v>
      </c>
    </row>
    <row r="201" spans="2:9" x14ac:dyDescent="0.25">
      <c r="B201" s="334" t="s">
        <v>2650</v>
      </c>
      <c r="C201" s="335" t="s">
        <v>2323</v>
      </c>
      <c r="D201" s="335" t="s">
        <v>2727</v>
      </c>
      <c r="E201" s="336">
        <v>750000</v>
      </c>
      <c r="F201" s="334" t="s">
        <v>1102</v>
      </c>
      <c r="G201" s="334" t="s">
        <v>2703</v>
      </c>
      <c r="H201" s="335" t="s">
        <v>2728</v>
      </c>
      <c r="I201" s="335" t="s">
        <v>2729</v>
      </c>
    </row>
    <row r="202" spans="2:9" x14ac:dyDescent="0.25">
      <c r="B202" s="337" t="s">
        <v>2650</v>
      </c>
      <c r="C202" s="338" t="s">
        <v>2323</v>
      </c>
      <c r="D202" s="338" t="s">
        <v>2730</v>
      </c>
      <c r="E202" s="339">
        <v>241800</v>
      </c>
      <c r="F202" s="337" t="s">
        <v>1652</v>
      </c>
      <c r="G202" s="337" t="s">
        <v>2703</v>
      </c>
      <c r="H202" s="338" t="s">
        <v>2731</v>
      </c>
      <c r="I202" s="338" t="s">
        <v>2732</v>
      </c>
    </row>
    <row r="203" spans="2:9" x14ac:dyDescent="0.25">
      <c r="B203" s="334" t="s">
        <v>2650</v>
      </c>
      <c r="C203" s="335" t="s">
        <v>2323</v>
      </c>
      <c r="D203" s="335" t="s">
        <v>2733</v>
      </c>
      <c r="E203" s="336">
        <v>138000</v>
      </c>
      <c r="F203" s="334" t="s">
        <v>1505</v>
      </c>
      <c r="G203" s="334" t="s">
        <v>2469</v>
      </c>
      <c r="H203" s="335" t="s">
        <v>2734</v>
      </c>
      <c r="I203" s="335" t="s">
        <v>2735</v>
      </c>
    </row>
    <row r="204" spans="2:9" x14ac:dyDescent="0.25">
      <c r="B204" s="337" t="s">
        <v>2650</v>
      </c>
      <c r="C204" s="338" t="s">
        <v>2323</v>
      </c>
      <c r="D204" s="338" t="s">
        <v>2736</v>
      </c>
      <c r="E204" s="339">
        <v>180000</v>
      </c>
      <c r="F204" s="337" t="s">
        <v>1367</v>
      </c>
      <c r="G204" s="337" t="s">
        <v>2469</v>
      </c>
      <c r="H204" s="338" t="s">
        <v>2737</v>
      </c>
      <c r="I204" s="338" t="s">
        <v>2738</v>
      </c>
    </row>
    <row r="205" spans="2:9" x14ac:dyDescent="0.25">
      <c r="B205" s="334" t="s">
        <v>2650</v>
      </c>
      <c r="C205" s="335" t="s">
        <v>2323</v>
      </c>
      <c r="D205" s="335" t="s">
        <v>2739</v>
      </c>
      <c r="E205" s="336">
        <v>34000</v>
      </c>
      <c r="F205" s="334" t="s">
        <v>1367</v>
      </c>
      <c r="G205" s="334" t="s">
        <v>2469</v>
      </c>
      <c r="H205" s="335" t="s">
        <v>2740</v>
      </c>
      <c r="I205" s="335" t="s">
        <v>2741</v>
      </c>
    </row>
    <row r="206" spans="2:9" x14ac:dyDescent="0.25">
      <c r="B206" s="337" t="s">
        <v>2650</v>
      </c>
      <c r="C206" s="338" t="s">
        <v>2323</v>
      </c>
      <c r="D206" s="338" t="s">
        <v>2742</v>
      </c>
      <c r="E206" s="339">
        <v>38200</v>
      </c>
      <c r="F206" s="337" t="s">
        <v>1077</v>
      </c>
      <c r="G206" s="337" t="s">
        <v>2703</v>
      </c>
      <c r="H206" s="338" t="s">
        <v>2743</v>
      </c>
      <c r="I206" s="338" t="s">
        <v>2744</v>
      </c>
    </row>
    <row r="207" spans="2:9" x14ac:dyDescent="0.25">
      <c r="B207" s="334" t="s">
        <v>2650</v>
      </c>
      <c r="C207" s="335" t="s">
        <v>2323</v>
      </c>
      <c r="D207" s="335" t="s">
        <v>2745</v>
      </c>
      <c r="E207" s="336">
        <v>83000</v>
      </c>
      <c r="F207" s="334" t="s">
        <v>91</v>
      </c>
      <c r="G207" s="334" t="s">
        <v>2469</v>
      </c>
      <c r="H207" s="335" t="s">
        <v>2746</v>
      </c>
      <c r="I207" s="335" t="s">
        <v>2747</v>
      </c>
    </row>
    <row r="208" spans="2:9" x14ac:dyDescent="0.25">
      <c r="B208" s="337" t="s">
        <v>2650</v>
      </c>
      <c r="C208" s="338" t="s">
        <v>2323</v>
      </c>
      <c r="D208" s="338" t="s">
        <v>2748</v>
      </c>
      <c r="E208" s="339">
        <v>90000</v>
      </c>
      <c r="F208" s="337" t="s">
        <v>1082</v>
      </c>
      <c r="G208" s="337" t="s">
        <v>2469</v>
      </c>
      <c r="H208" s="338" t="s">
        <v>2749</v>
      </c>
      <c r="I208" s="338" t="s">
        <v>2750</v>
      </c>
    </row>
    <row r="209" spans="2:9" x14ac:dyDescent="0.25">
      <c r="B209" s="334" t="s">
        <v>2650</v>
      </c>
      <c r="C209" s="335" t="s">
        <v>2323</v>
      </c>
      <c r="D209" s="335" t="s">
        <v>2751</v>
      </c>
      <c r="E209" s="336">
        <v>100000</v>
      </c>
      <c r="F209" s="334" t="s">
        <v>1077</v>
      </c>
      <c r="G209" s="334" t="s">
        <v>2703</v>
      </c>
      <c r="H209" s="335" t="s">
        <v>2752</v>
      </c>
      <c r="I209" s="335" t="s">
        <v>2753</v>
      </c>
    </row>
    <row r="210" spans="2:9" x14ac:dyDescent="0.25">
      <c r="B210" s="337" t="s">
        <v>2652</v>
      </c>
      <c r="C210" s="338" t="s">
        <v>2423</v>
      </c>
      <c r="D210" s="338" t="s">
        <v>2718</v>
      </c>
      <c r="E210" s="339">
        <v>66000</v>
      </c>
      <c r="F210" s="337" t="s">
        <v>1615</v>
      </c>
      <c r="G210" s="337" t="s">
        <v>2703</v>
      </c>
      <c r="H210" s="338" t="s">
        <v>2754</v>
      </c>
      <c r="I210" s="338" t="s">
        <v>2755</v>
      </c>
    </row>
    <row r="211" spans="2:9" x14ac:dyDescent="0.25">
      <c r="B211" s="334" t="s">
        <v>2652</v>
      </c>
      <c r="C211" s="335" t="s">
        <v>2423</v>
      </c>
      <c r="D211" s="335" t="s">
        <v>2671</v>
      </c>
      <c r="E211" s="336">
        <v>66000</v>
      </c>
      <c r="F211" s="334" t="s">
        <v>1615</v>
      </c>
      <c r="G211" s="334" t="s">
        <v>2703</v>
      </c>
      <c r="H211" s="335" t="s">
        <v>2756</v>
      </c>
      <c r="I211" s="335" t="s">
        <v>2757</v>
      </c>
    </row>
    <row r="212" spans="2:9" x14ac:dyDescent="0.25">
      <c r="B212" s="337" t="s">
        <v>2652</v>
      </c>
      <c r="C212" s="338" t="s">
        <v>2423</v>
      </c>
      <c r="D212" s="338" t="s">
        <v>2693</v>
      </c>
      <c r="E212" s="339">
        <v>40000</v>
      </c>
      <c r="F212" s="337" t="s">
        <v>1180</v>
      </c>
      <c r="G212" s="337" t="s">
        <v>2703</v>
      </c>
      <c r="H212" s="338" t="s">
        <v>2758</v>
      </c>
      <c r="I212" s="338" t="s">
        <v>2759</v>
      </c>
    </row>
    <row r="213" spans="2:9" x14ac:dyDescent="0.25">
      <c r="B213" s="334" t="s">
        <v>2652</v>
      </c>
      <c r="C213" s="335" t="s">
        <v>2423</v>
      </c>
      <c r="D213" s="335" t="s">
        <v>2760</v>
      </c>
      <c r="E213" s="336">
        <v>30000</v>
      </c>
      <c r="F213" s="334" t="s">
        <v>1180</v>
      </c>
      <c r="G213" s="334" t="s">
        <v>2703</v>
      </c>
      <c r="H213" s="335" t="s">
        <v>2761</v>
      </c>
      <c r="I213" s="335" t="s">
        <v>2762</v>
      </c>
    </row>
    <row r="214" spans="2:9" x14ac:dyDescent="0.25">
      <c r="B214" s="337" t="s">
        <v>2652</v>
      </c>
      <c r="C214" s="338" t="s">
        <v>2423</v>
      </c>
      <c r="D214" s="338" t="s">
        <v>2763</v>
      </c>
      <c r="E214" s="339">
        <v>27500</v>
      </c>
      <c r="F214" s="337" t="s">
        <v>1180</v>
      </c>
      <c r="G214" s="337" t="s">
        <v>2703</v>
      </c>
      <c r="H214" s="338" t="s">
        <v>2764</v>
      </c>
      <c r="I214" s="338" t="s">
        <v>2765</v>
      </c>
    </row>
    <row r="215" spans="2:9" x14ac:dyDescent="0.25">
      <c r="B215" s="334" t="s">
        <v>2652</v>
      </c>
      <c r="C215" s="335" t="s">
        <v>2423</v>
      </c>
      <c r="D215" s="335" t="s">
        <v>2698</v>
      </c>
      <c r="E215" s="336">
        <v>50000</v>
      </c>
      <c r="F215" s="334" t="s">
        <v>1180</v>
      </c>
      <c r="G215" s="334" t="s">
        <v>2703</v>
      </c>
      <c r="H215" s="335" t="s">
        <v>2766</v>
      </c>
      <c r="I215" s="335" t="s">
        <v>2767</v>
      </c>
    </row>
    <row r="216" spans="2:9" x14ac:dyDescent="0.25">
      <c r="B216" s="337" t="s">
        <v>2652</v>
      </c>
      <c r="C216" s="338" t="s">
        <v>2423</v>
      </c>
      <c r="D216" s="338" t="s">
        <v>2768</v>
      </c>
      <c r="E216" s="339">
        <v>147000</v>
      </c>
      <c r="F216" s="337" t="s">
        <v>1367</v>
      </c>
      <c r="G216" s="337" t="s">
        <v>2469</v>
      </c>
      <c r="H216" s="338" t="s">
        <v>2769</v>
      </c>
      <c r="I216" s="338" t="s">
        <v>2770</v>
      </c>
    </row>
    <row r="217" spans="2:9" x14ac:dyDescent="0.25">
      <c r="B217" s="334" t="s">
        <v>2654</v>
      </c>
      <c r="C217" s="335" t="s">
        <v>2323</v>
      </c>
      <c r="D217" s="335" t="s">
        <v>2671</v>
      </c>
      <c r="E217" s="336">
        <v>66000</v>
      </c>
      <c r="F217" s="334" t="s">
        <v>1615</v>
      </c>
      <c r="G217" s="334" t="s">
        <v>2703</v>
      </c>
      <c r="H217" s="335" t="s">
        <v>2771</v>
      </c>
      <c r="I217" s="335" t="s">
        <v>2724</v>
      </c>
    </row>
    <row r="218" spans="2:9" x14ac:dyDescent="0.25">
      <c r="B218" s="337" t="s">
        <v>2654</v>
      </c>
      <c r="C218" s="338" t="s">
        <v>2323</v>
      </c>
      <c r="D218" s="338" t="s">
        <v>2673</v>
      </c>
      <c r="E218" s="339">
        <v>66000</v>
      </c>
      <c r="F218" s="337" t="s">
        <v>1615</v>
      </c>
      <c r="G218" s="337" t="s">
        <v>2703</v>
      </c>
      <c r="H218" s="338" t="s">
        <v>2772</v>
      </c>
      <c r="I218" s="338" t="s">
        <v>2724</v>
      </c>
    </row>
    <row r="219" spans="2:9" x14ac:dyDescent="0.25">
      <c r="B219" s="334" t="s">
        <v>2654</v>
      </c>
      <c r="C219" s="335" t="s">
        <v>2323</v>
      </c>
      <c r="D219" s="335" t="s">
        <v>2773</v>
      </c>
      <c r="E219" s="336">
        <v>68000</v>
      </c>
      <c r="F219" s="334" t="s">
        <v>1077</v>
      </c>
      <c r="G219" s="334" t="s">
        <v>2469</v>
      </c>
      <c r="H219" s="335" t="s">
        <v>2774</v>
      </c>
      <c r="I219" s="335" t="s">
        <v>2775</v>
      </c>
    </row>
    <row r="220" spans="2:9" x14ac:dyDescent="0.25">
      <c r="B220" s="337" t="s">
        <v>2654</v>
      </c>
      <c r="C220" s="338" t="s">
        <v>2323</v>
      </c>
      <c r="D220" s="338" t="s">
        <v>2776</v>
      </c>
      <c r="E220" s="339">
        <v>105000</v>
      </c>
      <c r="F220" s="337" t="s">
        <v>1082</v>
      </c>
      <c r="G220" s="337" t="s">
        <v>2469</v>
      </c>
      <c r="H220" s="338" t="s">
        <v>2777</v>
      </c>
      <c r="I220" s="338" t="s">
        <v>2778</v>
      </c>
    </row>
    <row r="221" spans="2:9" x14ac:dyDescent="0.25">
      <c r="B221" s="334" t="s">
        <v>2654</v>
      </c>
      <c r="C221" s="335" t="s">
        <v>2323</v>
      </c>
      <c r="D221" s="335" t="s">
        <v>2779</v>
      </c>
      <c r="E221" s="336">
        <v>28000</v>
      </c>
      <c r="F221" s="334" t="s">
        <v>1077</v>
      </c>
      <c r="G221" s="334" t="s">
        <v>2469</v>
      </c>
      <c r="H221" s="335" t="s">
        <v>2780</v>
      </c>
      <c r="I221" s="335" t="s">
        <v>2781</v>
      </c>
    </row>
    <row r="222" spans="2:9" x14ac:dyDescent="0.25">
      <c r="B222" s="337" t="s">
        <v>2654</v>
      </c>
      <c r="C222" s="338" t="s">
        <v>2323</v>
      </c>
      <c r="D222" s="338" t="s">
        <v>2782</v>
      </c>
      <c r="E222" s="339">
        <v>3000</v>
      </c>
      <c r="F222" s="337" t="s">
        <v>1082</v>
      </c>
      <c r="G222" s="337" t="s">
        <v>2469</v>
      </c>
      <c r="H222" s="338" t="s">
        <v>2783</v>
      </c>
      <c r="I222" s="338" t="s">
        <v>2784</v>
      </c>
    </row>
    <row r="223" spans="2:9" x14ac:dyDescent="0.25">
      <c r="B223" s="334" t="s">
        <v>2654</v>
      </c>
      <c r="C223" s="335" t="s">
        <v>2323</v>
      </c>
      <c r="D223" s="335" t="s">
        <v>2785</v>
      </c>
      <c r="E223" s="336">
        <v>6200</v>
      </c>
      <c r="F223" s="334" t="s">
        <v>1505</v>
      </c>
      <c r="G223" s="334" t="s">
        <v>2469</v>
      </c>
      <c r="H223" s="335" t="s">
        <v>2786</v>
      </c>
      <c r="I223" s="335" t="s">
        <v>2787</v>
      </c>
    </row>
    <row r="224" spans="2:9" x14ac:dyDescent="0.25">
      <c r="B224" s="337" t="s">
        <v>2654</v>
      </c>
      <c r="C224" s="338" t="s">
        <v>2323</v>
      </c>
      <c r="D224" s="338" t="s">
        <v>2788</v>
      </c>
      <c r="E224" s="339">
        <v>20000</v>
      </c>
      <c r="F224" s="337" t="s">
        <v>1367</v>
      </c>
      <c r="G224" s="337" t="s">
        <v>2469</v>
      </c>
      <c r="H224" s="338" t="s">
        <v>2789</v>
      </c>
      <c r="I224" s="338" t="s">
        <v>2790</v>
      </c>
    </row>
    <row r="225" spans="2:9" x14ac:dyDescent="0.25">
      <c r="B225" s="334" t="s">
        <v>2654</v>
      </c>
      <c r="C225" s="335" t="s">
        <v>2323</v>
      </c>
      <c r="D225" s="335" t="s">
        <v>2791</v>
      </c>
      <c r="E225" s="336">
        <v>20000</v>
      </c>
      <c r="F225" s="334" t="s">
        <v>1505</v>
      </c>
      <c r="G225" s="334" t="s">
        <v>2703</v>
      </c>
      <c r="H225" s="335" t="s">
        <v>2792</v>
      </c>
      <c r="I225" s="335" t="s">
        <v>2793</v>
      </c>
    </row>
    <row r="226" spans="2:9" x14ac:dyDescent="0.25">
      <c r="B226" s="337" t="s">
        <v>2656</v>
      </c>
      <c r="C226" s="338" t="s">
        <v>2657</v>
      </c>
      <c r="D226" s="338" t="s">
        <v>2794</v>
      </c>
      <c r="E226" s="339">
        <v>319100</v>
      </c>
      <c r="F226" s="337" t="s">
        <v>91</v>
      </c>
      <c r="G226" s="337" t="s">
        <v>2469</v>
      </c>
      <c r="H226" s="338" t="s">
        <v>2795</v>
      </c>
      <c r="I226" s="338" t="s">
        <v>2796</v>
      </c>
    </row>
    <row r="227" spans="2:9" x14ac:dyDescent="0.25">
      <c r="B227" s="334" t="s">
        <v>2656</v>
      </c>
      <c r="C227" s="335" t="s">
        <v>2657</v>
      </c>
      <c r="D227" s="335" t="s">
        <v>2797</v>
      </c>
      <c r="E227" s="336">
        <v>81100</v>
      </c>
      <c r="F227" s="334" t="s">
        <v>1077</v>
      </c>
      <c r="G227" s="334" t="s">
        <v>2703</v>
      </c>
      <c r="H227" s="335" t="s">
        <v>2798</v>
      </c>
      <c r="I227" s="335" t="s">
        <v>2799</v>
      </c>
    </row>
    <row r="228" spans="2:9" x14ac:dyDescent="0.25">
      <c r="B228" s="337" t="s">
        <v>2656</v>
      </c>
      <c r="C228" s="338" t="s">
        <v>2657</v>
      </c>
      <c r="D228" s="338" t="s">
        <v>2800</v>
      </c>
      <c r="E228" s="339">
        <v>70000</v>
      </c>
      <c r="F228" s="337" t="s">
        <v>1615</v>
      </c>
      <c r="G228" s="337" t="s">
        <v>2703</v>
      </c>
      <c r="H228" s="338" t="s">
        <v>2801</v>
      </c>
      <c r="I228" s="338" t="s">
        <v>2757</v>
      </c>
    </row>
    <row r="229" spans="2:9" x14ac:dyDescent="0.25">
      <c r="B229" s="334" t="s">
        <v>2656</v>
      </c>
      <c r="C229" s="335" t="s">
        <v>2657</v>
      </c>
      <c r="D229" s="335" t="s">
        <v>2802</v>
      </c>
      <c r="E229" s="336">
        <v>22500</v>
      </c>
      <c r="F229" s="334" t="s">
        <v>1652</v>
      </c>
      <c r="G229" s="334" t="s">
        <v>2703</v>
      </c>
      <c r="H229" s="335" t="s">
        <v>2803</v>
      </c>
      <c r="I229" s="335" t="s">
        <v>2804</v>
      </c>
    </row>
    <row r="230" spans="2:9" x14ac:dyDescent="0.25">
      <c r="B230" s="337" t="s">
        <v>2656</v>
      </c>
      <c r="C230" s="338" t="s">
        <v>2657</v>
      </c>
      <c r="D230" s="338" t="s">
        <v>2805</v>
      </c>
      <c r="E230" s="339">
        <v>9000</v>
      </c>
      <c r="F230" s="337" t="s">
        <v>1652</v>
      </c>
      <c r="G230" s="337" t="s">
        <v>2703</v>
      </c>
      <c r="H230" s="338" t="s">
        <v>2806</v>
      </c>
      <c r="I230" s="338" t="s">
        <v>2807</v>
      </c>
    </row>
    <row r="231" spans="2:9" x14ac:dyDescent="0.25">
      <c r="B231" s="334" t="s">
        <v>2656</v>
      </c>
      <c r="C231" s="335" t="s">
        <v>2657</v>
      </c>
      <c r="D231" s="335" t="s">
        <v>2808</v>
      </c>
      <c r="E231" s="336">
        <v>24500</v>
      </c>
      <c r="F231" s="334" t="s">
        <v>1652</v>
      </c>
      <c r="G231" s="334" t="s">
        <v>2703</v>
      </c>
      <c r="H231" s="335" t="s">
        <v>2809</v>
      </c>
      <c r="I231" s="335" t="s">
        <v>2810</v>
      </c>
    </row>
    <row r="232" spans="2:9" x14ac:dyDescent="0.25">
      <c r="B232" s="337" t="s">
        <v>2656</v>
      </c>
      <c r="C232" s="338" t="s">
        <v>2657</v>
      </c>
      <c r="D232" s="338" t="s">
        <v>2811</v>
      </c>
      <c r="E232" s="339">
        <v>66000</v>
      </c>
      <c r="F232" s="337" t="s">
        <v>1615</v>
      </c>
      <c r="G232" s="337" t="s">
        <v>2703</v>
      </c>
      <c r="H232" s="338" t="s">
        <v>2812</v>
      </c>
      <c r="I232" s="338" t="s">
        <v>2755</v>
      </c>
    </row>
    <row r="233" spans="2:9" x14ac:dyDescent="0.25">
      <c r="B233" s="334" t="s">
        <v>2659</v>
      </c>
      <c r="C233" s="335" t="s">
        <v>2660</v>
      </c>
      <c r="D233" s="335" t="s">
        <v>2668</v>
      </c>
      <c r="E233" s="336">
        <v>66000</v>
      </c>
      <c r="F233" s="334" t="s">
        <v>1615</v>
      </c>
      <c r="G233" s="334" t="s">
        <v>2703</v>
      </c>
      <c r="H233" s="335" t="s">
        <v>2813</v>
      </c>
      <c r="I233" s="335" t="s">
        <v>2724</v>
      </c>
    </row>
    <row r="234" spans="2:9" x14ac:dyDescent="0.25">
      <c r="B234" s="337" t="s">
        <v>2659</v>
      </c>
      <c r="C234" s="338" t="s">
        <v>2660</v>
      </c>
      <c r="D234" s="338" t="s">
        <v>2671</v>
      </c>
      <c r="E234" s="339">
        <v>66000</v>
      </c>
      <c r="F234" s="337" t="s">
        <v>1615</v>
      </c>
      <c r="G234" s="337" t="s">
        <v>2703</v>
      </c>
      <c r="H234" s="338" t="s">
        <v>2814</v>
      </c>
      <c r="I234" s="338" t="s">
        <v>2724</v>
      </c>
    </row>
    <row r="235" spans="2:9" x14ac:dyDescent="0.25">
      <c r="B235" s="334" t="s">
        <v>2659</v>
      </c>
      <c r="C235" s="335" t="s">
        <v>2660</v>
      </c>
      <c r="D235" s="335" t="s">
        <v>2673</v>
      </c>
      <c r="E235" s="336">
        <v>66000</v>
      </c>
      <c r="F235" s="334" t="s">
        <v>1615</v>
      </c>
      <c r="G235" s="334" t="s">
        <v>2703</v>
      </c>
      <c r="H235" s="335" t="s">
        <v>2815</v>
      </c>
      <c r="I235" s="335" t="s">
        <v>2724</v>
      </c>
    </row>
    <row r="236" spans="2:9" x14ac:dyDescent="0.25">
      <c r="B236" s="337" t="s">
        <v>2659</v>
      </c>
      <c r="C236" s="338" t="s">
        <v>2660</v>
      </c>
      <c r="D236" s="338" t="s">
        <v>2816</v>
      </c>
      <c r="E236" s="339">
        <v>138000</v>
      </c>
      <c r="F236" s="337" t="s">
        <v>1367</v>
      </c>
      <c r="G236" s="337" t="s">
        <v>2469</v>
      </c>
      <c r="H236" s="338" t="s">
        <v>2817</v>
      </c>
      <c r="I236" s="338" t="s">
        <v>2818</v>
      </c>
    </row>
    <row r="237" spans="2:9" x14ac:dyDescent="0.25">
      <c r="B237" s="334" t="s">
        <v>2659</v>
      </c>
      <c r="C237" s="335" t="s">
        <v>2660</v>
      </c>
      <c r="D237" s="335" t="s">
        <v>2678</v>
      </c>
      <c r="E237" s="336">
        <v>30000</v>
      </c>
      <c r="F237" s="334" t="s">
        <v>1180</v>
      </c>
      <c r="G237" s="334" t="s">
        <v>2703</v>
      </c>
      <c r="H237" s="335" t="s">
        <v>2819</v>
      </c>
      <c r="I237" s="335" t="s">
        <v>2820</v>
      </c>
    </row>
    <row r="238" spans="2:9" x14ac:dyDescent="0.25">
      <c r="B238" s="337" t="s">
        <v>2659</v>
      </c>
      <c r="C238" s="338" t="s">
        <v>2660</v>
      </c>
      <c r="D238" s="338" t="s">
        <v>2675</v>
      </c>
      <c r="E238" s="339">
        <v>29000</v>
      </c>
      <c r="F238" s="337" t="s">
        <v>1367</v>
      </c>
      <c r="G238" s="337" t="s">
        <v>2469</v>
      </c>
      <c r="H238" s="338" t="s">
        <v>2821</v>
      </c>
      <c r="I238" s="338" t="s">
        <v>2822</v>
      </c>
    </row>
    <row r="239" spans="2:9" x14ac:dyDescent="0.25">
      <c r="B239" s="334" t="s">
        <v>2662</v>
      </c>
      <c r="C239" s="335" t="s">
        <v>2657</v>
      </c>
      <c r="D239" s="335" t="s">
        <v>2823</v>
      </c>
      <c r="E239" s="336">
        <v>126500</v>
      </c>
      <c r="F239" s="334" t="s">
        <v>91</v>
      </c>
      <c r="G239" s="334" t="s">
        <v>2469</v>
      </c>
      <c r="H239" s="335" t="s">
        <v>2824</v>
      </c>
      <c r="I239" s="335" t="s">
        <v>2825</v>
      </c>
    </row>
    <row r="240" spans="2:9" x14ac:dyDescent="0.25">
      <c r="B240" s="340" t="s">
        <v>2826</v>
      </c>
      <c r="C240" s="341" t="s">
        <v>2827</v>
      </c>
      <c r="D240" s="343"/>
      <c r="E240" s="342">
        <v>5902350</v>
      </c>
      <c r="F240" s="343"/>
      <c r="G240" s="341" t="s">
        <v>2526</v>
      </c>
      <c r="H240" s="340" t="s">
        <v>2828</v>
      </c>
      <c r="I240" s="340" t="s">
        <v>2829</v>
      </c>
    </row>
    <row r="243" spans="2:10" ht="16.5" customHeight="1" x14ac:dyDescent="0.25">
      <c r="B243" s="628" t="s">
        <v>2830</v>
      </c>
      <c r="C243" s="545"/>
      <c r="D243" s="545"/>
      <c r="E243" s="545"/>
      <c r="F243" s="618"/>
      <c r="G243" s="545"/>
      <c r="H243" s="545"/>
      <c r="I243" s="545"/>
      <c r="J243" s="545"/>
    </row>
    <row r="245" spans="2:10" x14ac:dyDescent="0.25">
      <c r="B245" s="389" t="s">
        <v>2831</v>
      </c>
      <c r="H245" s="520">
        <f>H247+H248</f>
        <v>6579000</v>
      </c>
    </row>
    <row r="246" spans="2:10" x14ac:dyDescent="0.25">
      <c r="B246" s="390" t="s">
        <v>2289</v>
      </c>
      <c r="C246" s="390" t="s">
        <v>2640</v>
      </c>
      <c r="D246" s="390" t="s">
        <v>2531</v>
      </c>
      <c r="E246" s="390" t="s">
        <v>2532</v>
      </c>
      <c r="F246" s="390" t="s">
        <v>2641</v>
      </c>
      <c r="G246" s="390" t="s">
        <v>2642</v>
      </c>
      <c r="H246" s="390" t="s">
        <v>2643</v>
      </c>
      <c r="I246" s="390" t="s">
        <v>2007</v>
      </c>
      <c r="J246" s="390" t="s">
        <v>2644</v>
      </c>
    </row>
    <row r="247" spans="2:10" x14ac:dyDescent="0.25">
      <c r="B247" s="518" t="s">
        <v>2561</v>
      </c>
      <c r="C247" s="392" t="s">
        <v>2323</v>
      </c>
      <c r="D247" s="393">
        <v>2035300</v>
      </c>
      <c r="E247" s="393">
        <v>148200</v>
      </c>
      <c r="F247" s="393">
        <v>2027000</v>
      </c>
      <c r="G247" s="393">
        <v>4476700</v>
      </c>
      <c r="H247" s="393">
        <v>4476800</v>
      </c>
      <c r="I247" s="393">
        <v>-100</v>
      </c>
      <c r="J247" s="392" t="s">
        <v>2832</v>
      </c>
    </row>
    <row r="248" spans="2:10" x14ac:dyDescent="0.25">
      <c r="B248" s="519" t="s">
        <v>2576</v>
      </c>
      <c r="C248" s="395" t="s">
        <v>2300</v>
      </c>
      <c r="D248" s="396">
        <v>950400</v>
      </c>
      <c r="E248" s="396">
        <v>346000</v>
      </c>
      <c r="F248" s="396">
        <v>460900</v>
      </c>
      <c r="G248" s="396">
        <v>2102550</v>
      </c>
      <c r="H248" s="396">
        <v>2102200</v>
      </c>
      <c r="I248" s="396">
        <v>350</v>
      </c>
      <c r="J248" s="395" t="s">
        <v>2833</v>
      </c>
    </row>
    <row r="249" spans="2:10" x14ac:dyDescent="0.25">
      <c r="B249" s="391" t="s">
        <v>2584</v>
      </c>
      <c r="C249" s="392" t="s">
        <v>2323</v>
      </c>
      <c r="D249" s="393">
        <v>1342900</v>
      </c>
      <c r="E249" s="393">
        <v>95000</v>
      </c>
      <c r="F249" s="393">
        <v>238400</v>
      </c>
      <c r="G249" s="393">
        <v>2754800</v>
      </c>
      <c r="H249" s="393">
        <v>2754800</v>
      </c>
      <c r="I249" s="393">
        <v>0</v>
      </c>
      <c r="J249" s="392" t="s">
        <v>2834</v>
      </c>
    </row>
    <row r="250" spans="2:10" x14ac:dyDescent="0.25">
      <c r="B250" s="394" t="s">
        <v>2600</v>
      </c>
      <c r="C250" s="395" t="s">
        <v>2389</v>
      </c>
      <c r="D250" s="396">
        <v>856500</v>
      </c>
      <c r="E250" s="396">
        <v>104500</v>
      </c>
      <c r="F250" s="396">
        <v>1161000</v>
      </c>
      <c r="G250" s="396">
        <v>2269600</v>
      </c>
      <c r="H250" s="396">
        <v>2270100</v>
      </c>
      <c r="I250" s="396">
        <v>-500</v>
      </c>
      <c r="J250" s="395" t="s">
        <v>2835</v>
      </c>
    </row>
    <row r="251" spans="2:10" x14ac:dyDescent="0.25">
      <c r="B251" s="391" t="s">
        <v>2605</v>
      </c>
      <c r="C251" s="392" t="s">
        <v>2323</v>
      </c>
      <c r="D251" s="393">
        <v>1378700</v>
      </c>
      <c r="E251" s="393">
        <v>73500</v>
      </c>
      <c r="F251" s="393">
        <v>2215000</v>
      </c>
      <c r="G251" s="393">
        <v>4012200</v>
      </c>
      <c r="H251" s="393">
        <v>4010950</v>
      </c>
      <c r="I251" s="393">
        <v>1250</v>
      </c>
      <c r="J251" s="392" t="s">
        <v>2836</v>
      </c>
    </row>
    <row r="252" spans="2:10" x14ac:dyDescent="0.25">
      <c r="B252" s="394" t="s">
        <v>2610</v>
      </c>
      <c r="C252" s="395" t="s">
        <v>2300</v>
      </c>
      <c r="D252" s="396">
        <v>972000</v>
      </c>
      <c r="E252" s="396">
        <v>388500</v>
      </c>
      <c r="F252" s="396">
        <v>641200</v>
      </c>
      <c r="G252" s="396">
        <v>2381900</v>
      </c>
      <c r="H252" s="396">
        <v>2378500</v>
      </c>
      <c r="I252" s="396">
        <v>3400</v>
      </c>
      <c r="J252" s="395" t="s">
        <v>2837</v>
      </c>
    </row>
    <row r="253" spans="2:10" x14ac:dyDescent="0.25">
      <c r="B253" s="391" t="s">
        <v>2620</v>
      </c>
      <c r="C253" s="392" t="s">
        <v>2323</v>
      </c>
      <c r="D253" s="393">
        <v>2507600</v>
      </c>
      <c r="E253" s="393">
        <v>20000</v>
      </c>
      <c r="F253" s="393">
        <v>1427000</v>
      </c>
      <c r="G253" s="393">
        <v>4248600</v>
      </c>
      <c r="H253" s="393">
        <v>4248100</v>
      </c>
      <c r="I253" s="393">
        <v>500</v>
      </c>
      <c r="J253" s="392" t="s">
        <v>2838</v>
      </c>
    </row>
    <row r="254" spans="2:10" x14ac:dyDescent="0.25">
      <c r="B254" s="394" t="s">
        <v>2628</v>
      </c>
      <c r="C254" s="395" t="s">
        <v>2423</v>
      </c>
      <c r="D254" s="396">
        <v>537600</v>
      </c>
      <c r="E254" s="396">
        <v>56000</v>
      </c>
      <c r="F254" s="396">
        <v>55000</v>
      </c>
      <c r="G254" s="396">
        <v>1866800</v>
      </c>
      <c r="H254" s="396">
        <v>1866800</v>
      </c>
      <c r="I254" s="396">
        <v>0</v>
      </c>
      <c r="J254" s="395" t="s">
        <v>2839</v>
      </c>
    </row>
    <row r="255" spans="2:10" x14ac:dyDescent="0.25">
      <c r="B255" s="397" t="s">
        <v>2664</v>
      </c>
      <c r="C255" s="398" t="s">
        <v>2840</v>
      </c>
      <c r="D255" s="399">
        <v>10581000</v>
      </c>
      <c r="E255" s="399">
        <v>1231700</v>
      </c>
      <c r="F255" s="399">
        <v>8225500</v>
      </c>
      <c r="G255" s="399">
        <v>24113150</v>
      </c>
      <c r="H255" s="399">
        <v>24108250</v>
      </c>
      <c r="I255" s="399">
        <v>4900</v>
      </c>
      <c r="J255" s="397" t="s">
        <v>2841</v>
      </c>
    </row>
  </sheetData>
  <autoFilter ref="B10:L80" xr:uid="{00000000-0009-0000-0000-000009000000}"/>
  <mergeCells count="30">
    <mergeCell ref="D6:E6"/>
    <mergeCell ref="B243:J243"/>
    <mergeCell ref="B96:L96"/>
    <mergeCell ref="G7:H7"/>
    <mergeCell ref="I7:J7"/>
    <mergeCell ref="B98:C98"/>
    <mergeCell ref="B99:C99"/>
    <mergeCell ref="D100:L100"/>
    <mergeCell ref="D99:L99"/>
    <mergeCell ref="B161:J161"/>
    <mergeCell ref="B97:C97"/>
    <mergeCell ref="B100:C100"/>
    <mergeCell ref="B7:C7"/>
    <mergeCell ref="D97:L97"/>
    <mergeCell ref="B2:L2"/>
    <mergeCell ref="G6:H6"/>
    <mergeCell ref="D98:L98"/>
    <mergeCell ref="D7:E7"/>
    <mergeCell ref="G5:H5"/>
    <mergeCell ref="I5:J5"/>
    <mergeCell ref="B9:L9"/>
    <mergeCell ref="B83:L83"/>
    <mergeCell ref="B6:C6"/>
    <mergeCell ref="K7:L7"/>
    <mergeCell ref="B5:C5"/>
    <mergeCell ref="D5:E5"/>
    <mergeCell ref="K6:L6"/>
    <mergeCell ref="I6:J6"/>
    <mergeCell ref="B3:L3"/>
    <mergeCell ref="K5:L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C136"/>
  <sheetViews>
    <sheetView workbookViewId="0">
      <selection activeCell="A109" sqref="A109:A136"/>
    </sheetView>
  </sheetViews>
  <sheetFormatPr baseColWidth="10" defaultRowHeight="15" x14ac:dyDescent="0.25"/>
  <cols>
    <col min="1" max="1" width="35.85546875" style="471" bestFit="1" customWidth="1"/>
    <col min="3" max="3" width="19.28515625" style="483" bestFit="1" customWidth="1"/>
  </cols>
  <sheetData>
    <row r="1" spans="1:3" x14ac:dyDescent="0.25">
      <c r="A1" s="80" t="s">
        <v>185</v>
      </c>
      <c r="B1" t="s">
        <v>2842</v>
      </c>
      <c r="C1" s="483" t="s">
        <v>2843</v>
      </c>
    </row>
    <row r="2" spans="1:3" hidden="1" x14ac:dyDescent="0.25">
      <c r="A2" s="44" t="s">
        <v>191</v>
      </c>
      <c r="B2">
        <v>1</v>
      </c>
      <c r="C2" s="483">
        <v>82465</v>
      </c>
    </row>
    <row r="3" spans="1:3" hidden="1" x14ac:dyDescent="0.25">
      <c r="A3" s="44" t="s">
        <v>1085</v>
      </c>
      <c r="B3">
        <v>1</v>
      </c>
      <c r="C3" s="483">
        <v>54400</v>
      </c>
    </row>
    <row r="4" spans="1:3" hidden="1" x14ac:dyDescent="0.25">
      <c r="A4" s="44" t="s">
        <v>1089</v>
      </c>
      <c r="B4">
        <v>1</v>
      </c>
      <c r="C4" s="483">
        <v>15000</v>
      </c>
    </row>
    <row r="5" spans="1:3" hidden="1" x14ac:dyDescent="0.25">
      <c r="A5" s="44" t="s">
        <v>194</v>
      </c>
      <c r="B5">
        <v>1</v>
      </c>
      <c r="C5" s="483">
        <v>330000</v>
      </c>
    </row>
    <row r="6" spans="1:3" hidden="1" x14ac:dyDescent="0.25">
      <c r="A6" s="44" t="s">
        <v>197</v>
      </c>
      <c r="B6">
        <v>1</v>
      </c>
      <c r="C6" s="483">
        <v>364080</v>
      </c>
    </row>
    <row r="7" spans="1:3" hidden="1" x14ac:dyDescent="0.25">
      <c r="A7" s="44" t="s">
        <v>202</v>
      </c>
      <c r="B7">
        <v>1</v>
      </c>
      <c r="C7" s="483">
        <v>899430</v>
      </c>
    </row>
    <row r="8" spans="1:3" hidden="1" x14ac:dyDescent="0.25">
      <c r="A8" s="88" t="s">
        <v>1095</v>
      </c>
      <c r="B8">
        <v>1</v>
      </c>
      <c r="C8" s="483">
        <v>12243950</v>
      </c>
    </row>
    <row r="9" spans="1:3" hidden="1" x14ac:dyDescent="0.25">
      <c r="A9" s="44" t="s">
        <v>1098</v>
      </c>
      <c r="B9">
        <v>1</v>
      </c>
      <c r="C9" s="483">
        <v>34000</v>
      </c>
    </row>
    <row r="10" spans="1:3" hidden="1" x14ac:dyDescent="0.25">
      <c r="A10" s="44" t="s">
        <v>207</v>
      </c>
      <c r="B10">
        <v>1</v>
      </c>
      <c r="C10" s="483">
        <v>152000</v>
      </c>
    </row>
    <row r="11" spans="1:3" hidden="1" x14ac:dyDescent="0.25">
      <c r="A11" s="44" t="s">
        <v>476</v>
      </c>
      <c r="B11">
        <v>1</v>
      </c>
      <c r="C11" s="483">
        <v>411700</v>
      </c>
    </row>
    <row r="12" spans="1:3" x14ac:dyDescent="0.25">
      <c r="A12" s="44" t="s">
        <v>209</v>
      </c>
      <c r="B12">
        <v>1</v>
      </c>
      <c r="C12" s="483">
        <v>2546555</v>
      </c>
    </row>
    <row r="13" spans="1:3" x14ac:dyDescent="0.25">
      <c r="A13" s="44" t="s">
        <v>218</v>
      </c>
      <c r="B13">
        <v>1</v>
      </c>
      <c r="C13" s="483">
        <v>1978665</v>
      </c>
    </row>
    <row r="14" spans="1:3" hidden="1" x14ac:dyDescent="0.25">
      <c r="A14" s="44" t="s">
        <v>228</v>
      </c>
      <c r="B14">
        <v>2</v>
      </c>
      <c r="C14" s="483">
        <v>162100</v>
      </c>
    </row>
    <row r="15" spans="1:3" hidden="1" x14ac:dyDescent="0.25">
      <c r="A15" s="44" t="s">
        <v>1148</v>
      </c>
      <c r="B15">
        <v>2</v>
      </c>
      <c r="C15" s="483">
        <v>19000</v>
      </c>
    </row>
    <row r="16" spans="1:3" hidden="1" x14ac:dyDescent="0.25">
      <c r="A16" s="44" t="s">
        <v>1146</v>
      </c>
      <c r="B16">
        <v>2</v>
      </c>
      <c r="C16" s="483">
        <v>155000</v>
      </c>
    </row>
    <row r="17" spans="1:3" hidden="1" x14ac:dyDescent="0.25">
      <c r="A17" s="44" t="s">
        <v>1143</v>
      </c>
      <c r="B17">
        <v>2</v>
      </c>
      <c r="C17" s="483">
        <v>29000</v>
      </c>
    </row>
    <row r="18" spans="1:3" hidden="1" x14ac:dyDescent="0.25">
      <c r="A18" s="44" t="s">
        <v>225</v>
      </c>
      <c r="B18">
        <v>2</v>
      </c>
      <c r="C18" s="483">
        <v>438415</v>
      </c>
    </row>
    <row r="19" spans="1:3" hidden="1" x14ac:dyDescent="0.25">
      <c r="A19" s="44" t="s">
        <v>222</v>
      </c>
      <c r="B19">
        <v>2</v>
      </c>
      <c r="C19" s="483">
        <v>260250</v>
      </c>
    </row>
    <row r="20" spans="1:3" hidden="1" x14ac:dyDescent="0.25">
      <c r="A20" s="44" t="s">
        <v>1130</v>
      </c>
      <c r="B20">
        <v>2</v>
      </c>
      <c r="C20" s="483">
        <v>107500</v>
      </c>
    </row>
    <row r="21" spans="1:3" hidden="1" x14ac:dyDescent="0.25">
      <c r="A21" s="44" t="s">
        <v>1126</v>
      </c>
      <c r="B21">
        <v>2</v>
      </c>
      <c r="C21" s="483">
        <v>22500</v>
      </c>
    </row>
    <row r="22" spans="1:3" hidden="1" x14ac:dyDescent="0.25">
      <c r="A22" s="44" t="s">
        <v>1122</v>
      </c>
      <c r="B22">
        <v>2</v>
      </c>
      <c r="C22" s="483">
        <v>9920</v>
      </c>
    </row>
    <row r="23" spans="1:3" hidden="1" x14ac:dyDescent="0.25">
      <c r="A23" s="44" t="s">
        <v>1120</v>
      </c>
      <c r="B23">
        <v>2</v>
      </c>
      <c r="C23" s="483">
        <v>16320</v>
      </c>
    </row>
    <row r="24" spans="1:3" hidden="1" x14ac:dyDescent="0.25">
      <c r="A24" s="44" t="s">
        <v>486</v>
      </c>
      <c r="B24">
        <v>2</v>
      </c>
      <c r="C24" s="483">
        <v>165346</v>
      </c>
    </row>
    <row r="25" spans="1:3" hidden="1" x14ac:dyDescent="0.25">
      <c r="A25" s="44" t="s">
        <v>245</v>
      </c>
      <c r="B25">
        <v>3</v>
      </c>
      <c r="C25" s="483">
        <v>4500</v>
      </c>
    </row>
    <row r="26" spans="1:3" hidden="1" x14ac:dyDescent="0.25">
      <c r="A26" s="44" t="s">
        <v>1205</v>
      </c>
      <c r="B26">
        <v>3</v>
      </c>
      <c r="C26" s="483">
        <v>19000</v>
      </c>
    </row>
    <row r="27" spans="1:3" hidden="1" x14ac:dyDescent="0.25">
      <c r="A27" s="44" t="s">
        <v>1200</v>
      </c>
      <c r="B27">
        <v>3</v>
      </c>
      <c r="C27" s="483">
        <v>312000</v>
      </c>
    </row>
    <row r="28" spans="1:3" hidden="1" x14ac:dyDescent="0.25">
      <c r="A28" s="44" t="s">
        <v>1194</v>
      </c>
      <c r="B28">
        <v>3</v>
      </c>
      <c r="C28" s="483">
        <v>19000</v>
      </c>
    </row>
    <row r="29" spans="1:3" hidden="1" x14ac:dyDescent="0.25">
      <c r="A29" s="44" t="s">
        <v>241</v>
      </c>
      <c r="B29">
        <v>3</v>
      </c>
      <c r="C29" s="483">
        <v>91950</v>
      </c>
    </row>
    <row r="30" spans="1:3" hidden="1" x14ac:dyDescent="0.25">
      <c r="A30" s="44" t="s">
        <v>237</v>
      </c>
      <c r="B30">
        <v>3</v>
      </c>
      <c r="C30" s="483">
        <v>820000</v>
      </c>
    </row>
    <row r="31" spans="1:3" hidden="1" x14ac:dyDescent="0.25">
      <c r="A31" s="44" t="s">
        <v>232</v>
      </c>
      <c r="B31">
        <v>3</v>
      </c>
      <c r="C31" s="483">
        <v>150600</v>
      </c>
    </row>
    <row r="32" spans="1:3" hidden="1" x14ac:dyDescent="0.25">
      <c r="A32" s="44" t="s">
        <v>1190</v>
      </c>
      <c r="B32">
        <v>3</v>
      </c>
      <c r="C32" s="483">
        <v>104000</v>
      </c>
    </row>
    <row r="33" spans="1:3" hidden="1" x14ac:dyDescent="0.25">
      <c r="A33" s="44" t="s">
        <v>505</v>
      </c>
      <c r="B33">
        <v>3</v>
      </c>
      <c r="C33" s="483">
        <v>342640</v>
      </c>
    </row>
    <row r="34" spans="1:3" hidden="1" x14ac:dyDescent="0.25">
      <c r="A34" s="44" t="s">
        <v>494</v>
      </c>
      <c r="B34">
        <v>3</v>
      </c>
      <c r="C34" s="483">
        <v>524500</v>
      </c>
    </row>
    <row r="35" spans="1:3" hidden="1" x14ac:dyDescent="0.25">
      <c r="A35" s="44" t="s">
        <v>1186</v>
      </c>
      <c r="B35">
        <v>3</v>
      </c>
      <c r="C35" s="483">
        <v>339650</v>
      </c>
    </row>
    <row r="36" spans="1:3" hidden="1" x14ac:dyDescent="0.25">
      <c r="A36" s="44" t="s">
        <v>1183</v>
      </c>
      <c r="B36">
        <v>3</v>
      </c>
      <c r="C36" s="483">
        <v>738000</v>
      </c>
    </row>
    <row r="37" spans="1:3" hidden="1" x14ac:dyDescent="0.25">
      <c r="A37" s="44" t="s">
        <v>1159</v>
      </c>
      <c r="B37">
        <v>3</v>
      </c>
      <c r="C37" s="483">
        <v>213500</v>
      </c>
    </row>
    <row r="38" spans="1:3" hidden="1" x14ac:dyDescent="0.25">
      <c r="A38" s="44" t="s">
        <v>1157</v>
      </c>
      <c r="B38">
        <v>3</v>
      </c>
      <c r="C38" s="483">
        <v>18600</v>
      </c>
    </row>
    <row r="39" spans="1:3" hidden="1" x14ac:dyDescent="0.25">
      <c r="A39" s="44" t="s">
        <v>1155</v>
      </c>
      <c r="B39">
        <v>3</v>
      </c>
      <c r="C39" s="483">
        <v>238000</v>
      </c>
    </row>
    <row r="40" spans="1:3" hidden="1" x14ac:dyDescent="0.25">
      <c r="A40" s="44" t="s">
        <v>261</v>
      </c>
      <c r="B40">
        <v>4</v>
      </c>
      <c r="C40" s="483">
        <v>29000</v>
      </c>
    </row>
    <row r="41" spans="1:3" hidden="1" x14ac:dyDescent="0.25">
      <c r="A41" s="44" t="s">
        <v>1309</v>
      </c>
      <c r="B41">
        <v>4</v>
      </c>
      <c r="C41" s="483">
        <v>1781350</v>
      </c>
    </row>
    <row r="42" spans="1:3" hidden="1" x14ac:dyDescent="0.25">
      <c r="A42" s="44" t="s">
        <v>1306</v>
      </c>
      <c r="B42">
        <v>4</v>
      </c>
      <c r="C42" s="483">
        <v>293500</v>
      </c>
    </row>
    <row r="43" spans="1:3" hidden="1" x14ac:dyDescent="0.25">
      <c r="A43" s="44" t="s">
        <v>258</v>
      </c>
      <c r="B43">
        <v>4</v>
      </c>
      <c r="C43" s="483">
        <v>516750</v>
      </c>
    </row>
    <row r="44" spans="1:3" hidden="1" x14ac:dyDescent="0.25">
      <c r="A44" s="44" t="s">
        <v>256</v>
      </c>
      <c r="B44">
        <v>4</v>
      </c>
      <c r="C44" s="483">
        <v>434750</v>
      </c>
    </row>
    <row r="45" spans="1:3" hidden="1" x14ac:dyDescent="0.25">
      <c r="A45" s="44" t="s">
        <v>253</v>
      </c>
      <c r="B45">
        <v>4</v>
      </c>
      <c r="C45" s="483">
        <v>100000</v>
      </c>
    </row>
    <row r="46" spans="1:3" hidden="1" x14ac:dyDescent="0.25">
      <c r="A46" s="44" t="s">
        <v>1297</v>
      </c>
      <c r="B46">
        <v>4</v>
      </c>
      <c r="C46" s="483">
        <v>15000</v>
      </c>
    </row>
    <row r="47" spans="1:3" hidden="1" x14ac:dyDescent="0.25">
      <c r="A47" s="44" t="s">
        <v>1211</v>
      </c>
      <c r="B47">
        <v>4</v>
      </c>
      <c r="C47" s="483">
        <v>8850</v>
      </c>
    </row>
    <row r="48" spans="1:3" hidden="1" x14ac:dyDescent="0.25">
      <c r="A48" s="44" t="s">
        <v>1207</v>
      </c>
      <c r="B48">
        <v>4</v>
      </c>
      <c r="C48" s="483">
        <v>43269</v>
      </c>
    </row>
    <row r="49" spans="1:3" hidden="1" x14ac:dyDescent="0.25">
      <c r="A49" s="44" t="s">
        <v>1326</v>
      </c>
      <c r="B49">
        <v>5</v>
      </c>
      <c r="C49" s="483">
        <v>7583980</v>
      </c>
    </row>
    <row r="50" spans="1:3" hidden="1" x14ac:dyDescent="0.25">
      <c r="A50" s="44" t="s">
        <v>1323</v>
      </c>
      <c r="B50">
        <v>5</v>
      </c>
      <c r="C50" s="483">
        <v>172500</v>
      </c>
    </row>
    <row r="51" spans="1:3" hidden="1" x14ac:dyDescent="0.25">
      <c r="A51" s="44" t="s">
        <v>1321</v>
      </c>
      <c r="B51">
        <v>5</v>
      </c>
      <c r="C51" s="483">
        <v>34000</v>
      </c>
    </row>
    <row r="52" spans="1:3" hidden="1" x14ac:dyDescent="0.25">
      <c r="A52" s="44" t="s">
        <v>1317</v>
      </c>
      <c r="B52">
        <v>5</v>
      </c>
      <c r="C52" s="483">
        <v>29000</v>
      </c>
    </row>
    <row r="53" spans="1:3" hidden="1" x14ac:dyDescent="0.25">
      <c r="A53" s="44" t="s">
        <v>1314</v>
      </c>
      <c r="B53">
        <v>5</v>
      </c>
      <c r="C53" s="483">
        <v>36000</v>
      </c>
    </row>
    <row r="54" spans="1:3" hidden="1" x14ac:dyDescent="0.25">
      <c r="A54" s="44" t="s">
        <v>1312</v>
      </c>
      <c r="B54">
        <v>5</v>
      </c>
      <c r="C54" s="483">
        <v>75000</v>
      </c>
    </row>
    <row r="55" spans="1:3" x14ac:dyDescent="0.25">
      <c r="A55" s="44" t="s">
        <v>274</v>
      </c>
      <c r="B55">
        <v>5</v>
      </c>
      <c r="C55" s="483">
        <v>254200</v>
      </c>
    </row>
    <row r="56" spans="1:3" hidden="1" x14ac:dyDescent="0.25">
      <c r="A56" s="44" t="s">
        <v>1340</v>
      </c>
      <c r="B56">
        <v>6</v>
      </c>
      <c r="C56" s="483">
        <v>39000</v>
      </c>
    </row>
    <row r="57" spans="1:3" hidden="1" x14ac:dyDescent="0.25">
      <c r="A57" s="44" t="s">
        <v>1336</v>
      </c>
      <c r="B57">
        <v>6</v>
      </c>
      <c r="C57" s="483">
        <v>485000</v>
      </c>
    </row>
    <row r="58" spans="1:3" hidden="1" x14ac:dyDescent="0.25">
      <c r="A58" s="44" t="s">
        <v>306</v>
      </c>
      <c r="B58">
        <v>7</v>
      </c>
      <c r="C58" s="483">
        <v>649800</v>
      </c>
    </row>
    <row r="59" spans="1:3" hidden="1" x14ac:dyDescent="0.25">
      <c r="A59" s="44" t="s">
        <v>1364</v>
      </c>
      <c r="B59">
        <v>7</v>
      </c>
      <c r="C59" s="483">
        <v>19000</v>
      </c>
    </row>
    <row r="60" spans="1:3" hidden="1" x14ac:dyDescent="0.25">
      <c r="A60" s="81" t="s">
        <v>319</v>
      </c>
      <c r="B60">
        <v>7</v>
      </c>
      <c r="C60" s="483">
        <v>10000</v>
      </c>
    </row>
    <row r="61" spans="1:3" hidden="1" x14ac:dyDescent="0.25">
      <c r="A61" s="84" t="s">
        <v>1358</v>
      </c>
      <c r="B61">
        <v>7</v>
      </c>
      <c r="C61" s="483">
        <v>61606.04</v>
      </c>
    </row>
    <row r="62" spans="1:3" hidden="1" x14ac:dyDescent="0.25">
      <c r="A62" s="44" t="s">
        <v>301</v>
      </c>
      <c r="B62">
        <v>7</v>
      </c>
      <c r="C62" s="483">
        <v>443900</v>
      </c>
    </row>
    <row r="63" spans="1:3" hidden="1" x14ac:dyDescent="0.25">
      <c r="A63" s="44" t="s">
        <v>730</v>
      </c>
      <c r="B63">
        <v>7</v>
      </c>
      <c r="C63" s="483">
        <v>130000</v>
      </c>
    </row>
    <row r="64" spans="1:3" hidden="1" x14ac:dyDescent="0.25">
      <c r="A64" s="44" t="s">
        <v>299</v>
      </c>
      <c r="B64">
        <v>7</v>
      </c>
      <c r="C64" s="483">
        <v>104000</v>
      </c>
    </row>
    <row r="65" spans="1:3" hidden="1" x14ac:dyDescent="0.25">
      <c r="A65" s="44" t="s">
        <v>296</v>
      </c>
      <c r="B65">
        <v>7</v>
      </c>
      <c r="C65" s="483">
        <v>1528617</v>
      </c>
    </row>
    <row r="66" spans="1:3" hidden="1" x14ac:dyDescent="0.25">
      <c r="A66" s="44" t="s">
        <v>292</v>
      </c>
      <c r="B66">
        <v>7</v>
      </c>
      <c r="C66" s="483">
        <v>994000</v>
      </c>
    </row>
    <row r="67" spans="1:3" hidden="1" x14ac:dyDescent="0.25">
      <c r="A67" s="44" t="s">
        <v>1352</v>
      </c>
      <c r="B67">
        <v>7</v>
      </c>
      <c r="C67" s="483">
        <v>3070650</v>
      </c>
    </row>
    <row r="68" spans="1:3" hidden="1" x14ac:dyDescent="0.25">
      <c r="A68" s="44" t="s">
        <v>1350</v>
      </c>
      <c r="B68">
        <v>7</v>
      </c>
      <c r="C68" s="483">
        <v>5555</v>
      </c>
    </row>
    <row r="69" spans="1:3" hidden="1" x14ac:dyDescent="0.25">
      <c r="A69" s="44" t="s">
        <v>1347</v>
      </c>
      <c r="B69">
        <v>7</v>
      </c>
      <c r="C69" s="483">
        <v>90125</v>
      </c>
    </row>
    <row r="70" spans="1:3" hidden="1" x14ac:dyDescent="0.25">
      <c r="A70" s="44" t="s">
        <v>1460</v>
      </c>
      <c r="B70">
        <v>8</v>
      </c>
      <c r="C70" s="483">
        <v>10000</v>
      </c>
    </row>
    <row r="71" spans="1:3" hidden="1" x14ac:dyDescent="0.25">
      <c r="A71" s="44" t="s">
        <v>2844</v>
      </c>
      <c r="B71" t="e">
        <v>#N/A</v>
      </c>
      <c r="C71" s="483">
        <v>1035990</v>
      </c>
    </row>
    <row r="72" spans="1:3" hidden="1" x14ac:dyDescent="0.25">
      <c r="A72" s="44" t="s">
        <v>1442</v>
      </c>
      <c r="B72">
        <v>8</v>
      </c>
      <c r="C72" s="483">
        <v>953150</v>
      </c>
    </row>
    <row r="73" spans="1:3" hidden="1" x14ac:dyDescent="0.25">
      <c r="A73" s="44" t="s">
        <v>311</v>
      </c>
      <c r="B73">
        <v>8</v>
      </c>
      <c r="C73" s="483">
        <v>372600</v>
      </c>
    </row>
    <row r="74" spans="1:3" hidden="1" x14ac:dyDescent="0.25">
      <c r="A74" s="44" t="s">
        <v>1406</v>
      </c>
      <c r="B74">
        <v>8</v>
      </c>
      <c r="C74" s="483">
        <v>161000</v>
      </c>
    </row>
    <row r="75" spans="1:3" hidden="1" x14ac:dyDescent="0.25">
      <c r="A75" s="44" t="s">
        <v>1373</v>
      </c>
      <c r="B75">
        <v>8</v>
      </c>
      <c r="C75" s="483">
        <v>0</v>
      </c>
    </row>
    <row r="76" spans="1:3" hidden="1" x14ac:dyDescent="0.25">
      <c r="A76" s="44" t="s">
        <v>1370</v>
      </c>
      <c r="B76">
        <v>8</v>
      </c>
      <c r="C76" s="483">
        <v>227500</v>
      </c>
    </row>
    <row r="77" spans="1:3" hidden="1" x14ac:dyDescent="0.25">
      <c r="A77" s="44" t="s">
        <v>1498</v>
      </c>
      <c r="B77">
        <v>9</v>
      </c>
      <c r="C77" s="483">
        <v>4065132</v>
      </c>
    </row>
    <row r="78" spans="1:3" hidden="1" x14ac:dyDescent="0.25">
      <c r="A78" s="44" t="s">
        <v>340</v>
      </c>
      <c r="B78">
        <v>9</v>
      </c>
      <c r="C78" s="483">
        <v>2362400</v>
      </c>
    </row>
    <row r="79" spans="1:3" hidden="1" x14ac:dyDescent="0.25">
      <c r="A79" s="44" t="s">
        <v>2845</v>
      </c>
      <c r="B79" t="e">
        <v>#N/A</v>
      </c>
      <c r="C79" s="483">
        <v>426900</v>
      </c>
    </row>
    <row r="80" spans="1:3" hidden="1" x14ac:dyDescent="0.25">
      <c r="A80" s="44" t="s">
        <v>1492</v>
      </c>
      <c r="B80">
        <v>9</v>
      </c>
      <c r="C80" s="483">
        <v>577100</v>
      </c>
    </row>
    <row r="81" spans="1:3" hidden="1" x14ac:dyDescent="0.25">
      <c r="A81" s="44" t="s">
        <v>1489</v>
      </c>
      <c r="B81">
        <v>9</v>
      </c>
      <c r="C81" s="483">
        <v>55000</v>
      </c>
    </row>
    <row r="82" spans="1:3" hidden="1" x14ac:dyDescent="0.25">
      <c r="A82" s="44" t="s">
        <v>563</v>
      </c>
      <c r="B82">
        <v>9</v>
      </c>
      <c r="C82" s="483">
        <v>621099.99999999988</v>
      </c>
    </row>
    <row r="83" spans="1:3" hidden="1" x14ac:dyDescent="0.25">
      <c r="A83" s="44" t="s">
        <v>1485</v>
      </c>
      <c r="B83">
        <v>9</v>
      </c>
      <c r="C83" s="483">
        <v>47250</v>
      </c>
    </row>
    <row r="84" spans="1:3" hidden="1" x14ac:dyDescent="0.25">
      <c r="A84" s="44" t="s">
        <v>335</v>
      </c>
      <c r="B84">
        <v>9</v>
      </c>
      <c r="C84" s="483">
        <v>76860</v>
      </c>
    </row>
    <row r="85" spans="1:3" hidden="1" x14ac:dyDescent="0.25">
      <c r="A85" s="44" t="s">
        <v>333</v>
      </c>
      <c r="B85">
        <v>9</v>
      </c>
      <c r="C85" s="483">
        <v>0</v>
      </c>
    </row>
    <row r="86" spans="1:3" hidden="1" x14ac:dyDescent="0.25">
      <c r="A86" s="44" t="s">
        <v>560</v>
      </c>
      <c r="B86">
        <v>9</v>
      </c>
      <c r="C86" s="483">
        <v>330000</v>
      </c>
    </row>
    <row r="87" spans="1:3" x14ac:dyDescent="0.25">
      <c r="A87" s="44" t="s">
        <v>325</v>
      </c>
      <c r="B87">
        <v>9</v>
      </c>
      <c r="C87" s="483">
        <v>352450</v>
      </c>
    </row>
    <row r="88" spans="1:3" hidden="1" x14ac:dyDescent="0.25">
      <c r="A88" s="44" t="s">
        <v>1559</v>
      </c>
      <c r="B88">
        <v>10</v>
      </c>
      <c r="C88" s="483">
        <v>34000</v>
      </c>
    </row>
    <row r="89" spans="1:3" hidden="1" x14ac:dyDescent="0.25">
      <c r="A89" s="44" t="s">
        <v>2846</v>
      </c>
      <c r="B89" t="e">
        <v>#N/A</v>
      </c>
      <c r="C89" s="483">
        <v>19000</v>
      </c>
    </row>
    <row r="90" spans="1:3" hidden="1" x14ac:dyDescent="0.25">
      <c r="A90" s="44" t="s">
        <v>350</v>
      </c>
      <c r="B90">
        <v>10</v>
      </c>
      <c r="C90" s="483">
        <v>654750</v>
      </c>
    </row>
    <row r="91" spans="1:3" hidden="1" x14ac:dyDescent="0.25">
      <c r="A91" s="44" t="s">
        <v>1554</v>
      </c>
      <c r="B91">
        <v>10</v>
      </c>
      <c r="C91" s="483">
        <v>20000</v>
      </c>
    </row>
    <row r="92" spans="1:3" hidden="1" x14ac:dyDescent="0.25">
      <c r="A92" s="44" t="s">
        <v>1546</v>
      </c>
      <c r="B92">
        <v>10</v>
      </c>
      <c r="C92" s="483">
        <v>336000</v>
      </c>
    </row>
    <row r="93" spans="1:3" hidden="1" x14ac:dyDescent="0.25">
      <c r="A93" s="44" t="s">
        <v>1541</v>
      </c>
      <c r="B93">
        <v>10</v>
      </c>
      <c r="C93" s="483">
        <v>58000</v>
      </c>
    </row>
    <row r="94" spans="1:3" hidden="1" x14ac:dyDescent="0.25">
      <c r="A94" s="44" t="s">
        <v>801</v>
      </c>
      <c r="B94">
        <v>10</v>
      </c>
      <c r="C94" s="483">
        <v>10000</v>
      </c>
    </row>
    <row r="95" spans="1:3" hidden="1" x14ac:dyDescent="0.25">
      <c r="A95" s="44" t="s">
        <v>1538</v>
      </c>
      <c r="B95">
        <v>10</v>
      </c>
      <c r="C95" s="483">
        <v>30000</v>
      </c>
    </row>
    <row r="96" spans="1:3" hidden="1" x14ac:dyDescent="0.25">
      <c r="A96" s="44" t="s">
        <v>1536</v>
      </c>
      <c r="B96">
        <v>10</v>
      </c>
      <c r="C96" s="483">
        <v>20000</v>
      </c>
    </row>
    <row r="97" spans="1:3" hidden="1" x14ac:dyDescent="0.25">
      <c r="A97" s="44" t="s">
        <v>798</v>
      </c>
      <c r="B97">
        <v>10</v>
      </c>
      <c r="C97" s="483">
        <v>50000</v>
      </c>
    </row>
    <row r="98" spans="1:3" hidden="1" x14ac:dyDescent="0.25">
      <c r="A98" s="44" t="s">
        <v>795</v>
      </c>
      <c r="B98">
        <v>10</v>
      </c>
      <c r="C98" s="483">
        <v>108950</v>
      </c>
    </row>
    <row r="99" spans="1:3" hidden="1" x14ac:dyDescent="0.25">
      <c r="A99" s="44" t="s">
        <v>346</v>
      </c>
      <c r="B99">
        <v>10</v>
      </c>
      <c r="C99" s="483">
        <v>184000</v>
      </c>
    </row>
    <row r="100" spans="1:3" hidden="1" x14ac:dyDescent="0.25">
      <c r="A100" s="44" t="s">
        <v>792</v>
      </c>
      <c r="B100">
        <v>10</v>
      </c>
      <c r="C100" s="483">
        <v>17000</v>
      </c>
    </row>
    <row r="101" spans="1:3" hidden="1" x14ac:dyDescent="0.25">
      <c r="A101" s="44" t="s">
        <v>344</v>
      </c>
      <c r="B101">
        <v>10</v>
      </c>
      <c r="C101" s="483">
        <v>75350</v>
      </c>
    </row>
    <row r="102" spans="1:3" hidden="1" x14ac:dyDescent="0.25">
      <c r="A102" s="44" t="s">
        <v>1520</v>
      </c>
      <c r="B102">
        <v>10</v>
      </c>
      <c r="C102" s="483">
        <v>0</v>
      </c>
    </row>
    <row r="103" spans="1:3" hidden="1" x14ac:dyDescent="0.25">
      <c r="A103" s="44" t="s">
        <v>1515</v>
      </c>
      <c r="B103">
        <v>10</v>
      </c>
      <c r="C103" s="483">
        <v>75000</v>
      </c>
    </row>
    <row r="104" spans="1:3" hidden="1" x14ac:dyDescent="0.25">
      <c r="A104" s="93" t="s">
        <v>359</v>
      </c>
      <c r="B104">
        <v>11</v>
      </c>
      <c r="C104" s="483">
        <v>5241000</v>
      </c>
    </row>
    <row r="105" spans="1:3" hidden="1" x14ac:dyDescent="0.25">
      <c r="A105" s="44" t="s">
        <v>810</v>
      </c>
      <c r="B105">
        <v>11</v>
      </c>
      <c r="C105" s="483">
        <v>72000</v>
      </c>
    </row>
    <row r="106" spans="1:3" hidden="1" x14ac:dyDescent="0.25">
      <c r="A106" s="44" t="s">
        <v>1566</v>
      </c>
      <c r="B106">
        <v>11</v>
      </c>
      <c r="C106" s="483">
        <v>1525700</v>
      </c>
    </row>
    <row r="107" spans="1:3" hidden="1" x14ac:dyDescent="0.25">
      <c r="A107" s="44" t="s">
        <v>1562</v>
      </c>
      <c r="B107">
        <v>11</v>
      </c>
      <c r="C107" s="483">
        <v>25647300</v>
      </c>
    </row>
    <row r="108" spans="1:3" x14ac:dyDescent="0.25">
      <c r="A108" s="94"/>
    </row>
    <row r="109" spans="1:3" x14ac:dyDescent="0.25">
      <c r="A109" s="445" t="s">
        <v>209</v>
      </c>
    </row>
    <row r="110" spans="1:3" x14ac:dyDescent="0.25">
      <c r="A110" s="445" t="s">
        <v>209</v>
      </c>
    </row>
    <row r="111" spans="1:3" x14ac:dyDescent="0.25">
      <c r="A111" s="445" t="s">
        <v>209</v>
      </c>
    </row>
    <row r="112" spans="1:3" x14ac:dyDescent="0.25">
      <c r="A112" s="445" t="s">
        <v>209</v>
      </c>
    </row>
    <row r="113" spans="1:1" x14ac:dyDescent="0.25">
      <c r="A113" s="445" t="s">
        <v>218</v>
      </c>
    </row>
    <row r="114" spans="1:1" x14ac:dyDescent="0.25">
      <c r="A114" s="445" t="s">
        <v>274</v>
      </c>
    </row>
    <row r="115" spans="1:1" x14ac:dyDescent="0.25">
      <c r="A115" s="445" t="s">
        <v>274</v>
      </c>
    </row>
    <row r="116" spans="1:1" x14ac:dyDescent="0.25">
      <c r="A116" s="445" t="s">
        <v>274</v>
      </c>
    </row>
    <row r="117" spans="1:1" x14ac:dyDescent="0.25">
      <c r="A117" s="445" t="s">
        <v>274</v>
      </c>
    </row>
    <row r="118" spans="1:1" x14ac:dyDescent="0.25">
      <c r="A118" s="445" t="s">
        <v>274</v>
      </c>
    </row>
    <row r="119" spans="1:1" x14ac:dyDescent="0.25">
      <c r="A119" s="445" t="s">
        <v>274</v>
      </c>
    </row>
    <row r="120" spans="1:1" x14ac:dyDescent="0.25">
      <c r="A120" s="445" t="s">
        <v>274</v>
      </c>
    </row>
    <row r="121" spans="1:1" x14ac:dyDescent="0.25">
      <c r="A121" s="445" t="s">
        <v>274</v>
      </c>
    </row>
    <row r="122" spans="1:1" x14ac:dyDescent="0.25">
      <c r="A122" s="445" t="s">
        <v>301</v>
      </c>
    </row>
    <row r="123" spans="1:1" x14ac:dyDescent="0.25">
      <c r="A123" s="445" t="s">
        <v>301</v>
      </c>
    </row>
    <row r="124" spans="1:1" x14ac:dyDescent="0.25">
      <c r="A124" s="445" t="s">
        <v>301</v>
      </c>
    </row>
    <row r="125" spans="1:1" x14ac:dyDescent="0.25">
      <c r="A125" s="446" t="s">
        <v>325</v>
      </c>
    </row>
    <row r="126" spans="1:1" x14ac:dyDescent="0.25">
      <c r="A126" s="446" t="s">
        <v>325</v>
      </c>
    </row>
    <row r="127" spans="1:1" x14ac:dyDescent="0.25">
      <c r="A127" s="446" t="s">
        <v>325</v>
      </c>
    </row>
    <row r="128" spans="1:1" x14ac:dyDescent="0.25">
      <c r="A128" s="446" t="s">
        <v>325</v>
      </c>
    </row>
    <row r="129" spans="1:1" x14ac:dyDescent="0.25">
      <c r="A129" s="446" t="s">
        <v>325</v>
      </c>
    </row>
    <row r="130" spans="1:1" x14ac:dyDescent="0.25">
      <c r="A130" s="446" t="s">
        <v>325</v>
      </c>
    </row>
    <row r="131" spans="1:1" x14ac:dyDescent="0.25">
      <c r="A131" s="320" t="s">
        <v>433</v>
      </c>
    </row>
    <row r="132" spans="1:1" x14ac:dyDescent="0.25">
      <c r="A132" s="320" t="s">
        <v>433</v>
      </c>
    </row>
    <row r="133" spans="1:1" x14ac:dyDescent="0.25">
      <c r="A133" s="320" t="s">
        <v>433</v>
      </c>
    </row>
    <row r="134" spans="1:1" x14ac:dyDescent="0.25">
      <c r="A134" s="320" t="s">
        <v>433</v>
      </c>
    </row>
    <row r="135" spans="1:1" x14ac:dyDescent="0.25">
      <c r="A135" s="320" t="s">
        <v>433</v>
      </c>
    </row>
    <row r="136" spans="1:1" x14ac:dyDescent="0.25">
      <c r="A136" s="320" t="s">
        <v>433</v>
      </c>
    </row>
  </sheetData>
  <autoFilter ref="A1:C107" xr:uid="{00000000-0009-0000-0000-00000A000000}">
    <filterColumn colId="0">
      <filters>
        <filter val="YP24140"/>
        <filter val="YP24152"/>
        <filter val="YP24244"/>
        <filter val="YP24314"/>
      </filters>
    </filterColumn>
    <sortState xmlns:xlrd2="http://schemas.microsoft.com/office/spreadsheetml/2017/richdata2" ref="A2:C107">
      <sortCondition ref="B1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539"/>
  <sheetViews>
    <sheetView topLeftCell="A322" zoomScaleNormal="100" workbookViewId="0">
      <selection activeCell="I352" sqref="I352"/>
    </sheetView>
  </sheetViews>
  <sheetFormatPr baseColWidth="10" defaultColWidth="9.140625" defaultRowHeight="15" x14ac:dyDescent="0.25"/>
  <cols>
    <col min="1" max="1" width="3" style="471" customWidth="1"/>
    <col min="2" max="2" width="24" style="471" customWidth="1"/>
    <col min="3" max="3" width="36.42578125" style="471" bestFit="1" customWidth="1"/>
    <col min="4" max="4" width="18" style="471" customWidth="1"/>
    <col min="5" max="5" width="16" style="471" customWidth="1"/>
    <col min="6" max="6" width="15.5703125" style="471" bestFit="1" customWidth="1"/>
    <col min="7" max="7" width="24" style="471" customWidth="1"/>
    <col min="8" max="8" width="14" style="471" customWidth="1"/>
    <col min="9" max="9" width="18" style="471" customWidth="1"/>
    <col min="10" max="10" width="16" style="471" customWidth="1"/>
    <col min="11" max="11" width="4" style="471" customWidth="1"/>
    <col min="12" max="12" width="9.140625" style="529"/>
  </cols>
  <sheetData>
    <row r="1" spans="1:11" x14ac:dyDescent="0.25">
      <c r="A1" s="484"/>
      <c r="B1" s="484"/>
      <c r="C1" s="484"/>
      <c r="D1" s="484"/>
      <c r="E1" s="484"/>
      <c r="F1" s="484"/>
      <c r="G1" s="484"/>
      <c r="H1" s="484"/>
      <c r="I1" s="484"/>
      <c r="J1" s="484"/>
    </row>
    <row r="2" spans="1:11" ht="27.95" customHeight="1" x14ac:dyDescent="0.25">
      <c r="A2" s="484"/>
      <c r="B2" s="631" t="s">
        <v>3067</v>
      </c>
      <c r="C2" s="632"/>
      <c r="D2" s="632"/>
      <c r="E2" s="632"/>
      <c r="F2" s="632"/>
      <c r="G2" s="632"/>
      <c r="H2" s="632"/>
      <c r="I2" s="632"/>
      <c r="J2" s="632"/>
      <c r="K2" s="632"/>
    </row>
    <row r="3" spans="1:11" ht="18" customHeight="1" x14ac:dyDescent="0.25">
      <c r="A3" s="484"/>
      <c r="B3" s="640" t="s">
        <v>3068</v>
      </c>
      <c r="C3" s="641"/>
      <c r="D3" s="641"/>
      <c r="E3" s="641"/>
      <c r="F3" s="641"/>
      <c r="G3" s="641"/>
      <c r="H3" s="641"/>
      <c r="I3" s="641"/>
      <c r="J3" s="641"/>
      <c r="K3" s="641"/>
    </row>
    <row r="4" spans="1:11" x14ac:dyDescent="0.25">
      <c r="A4" s="484"/>
      <c r="B4" s="484"/>
      <c r="C4" s="484"/>
      <c r="D4" s="484"/>
      <c r="E4" s="484"/>
      <c r="F4" s="484"/>
      <c r="G4" s="484"/>
      <c r="H4" s="484"/>
      <c r="I4" s="484"/>
      <c r="J4" s="484"/>
    </row>
    <row r="5" spans="1:11" ht="15.95" customHeight="1" x14ac:dyDescent="0.25">
      <c r="A5" s="484"/>
      <c r="B5" s="639" t="s">
        <v>3069</v>
      </c>
      <c r="C5" s="636"/>
      <c r="D5" s="639" t="s">
        <v>3070</v>
      </c>
      <c r="E5" s="636"/>
      <c r="F5" s="639" t="s">
        <v>3071</v>
      </c>
      <c r="G5" s="636"/>
      <c r="H5" s="639" t="s">
        <v>3072</v>
      </c>
      <c r="I5" s="636"/>
      <c r="J5" s="639" t="s">
        <v>3073</v>
      </c>
      <c r="K5" s="636"/>
    </row>
    <row r="6" spans="1:11" ht="24" customHeight="1" x14ac:dyDescent="0.25">
      <c r="A6" s="484"/>
      <c r="B6" s="635">
        <f>F54</f>
        <v>161849227.60999998</v>
      </c>
      <c r="C6" s="636"/>
      <c r="D6" s="635">
        <f>G54</f>
        <v>97138050.74000001</v>
      </c>
      <c r="E6" s="636"/>
      <c r="F6" s="635">
        <f>H54</f>
        <v>64711176.869999997</v>
      </c>
      <c r="G6" s="636"/>
      <c r="H6" s="643">
        <f>I54</f>
        <v>0.60017617738694884</v>
      </c>
      <c r="I6" s="636"/>
      <c r="J6" s="644">
        <f>COUNTA(C11:C53)</f>
        <v>43</v>
      </c>
      <c r="K6" s="636"/>
    </row>
    <row r="7" spans="1:11" ht="15" customHeight="1" x14ac:dyDescent="0.25">
      <c r="A7" s="484"/>
      <c r="B7" s="642" t="s">
        <v>3074</v>
      </c>
      <c r="C7" s="636"/>
      <c r="D7" s="642" t="s">
        <v>3075</v>
      </c>
      <c r="E7" s="636"/>
      <c r="F7" s="642" t="s">
        <v>3076</v>
      </c>
      <c r="G7" s="636"/>
      <c r="H7" s="642" t="s">
        <v>3077</v>
      </c>
      <c r="I7" s="636"/>
      <c r="J7" s="642" t="s">
        <v>3078</v>
      </c>
      <c r="K7" s="636"/>
    </row>
    <row r="8" spans="1:11" x14ac:dyDescent="0.25">
      <c r="A8" s="484"/>
      <c r="B8" s="484"/>
      <c r="C8" s="484"/>
      <c r="D8" s="484"/>
      <c r="E8" s="484"/>
      <c r="F8" s="484"/>
      <c r="G8" s="484"/>
      <c r="H8" s="484"/>
      <c r="I8" s="484"/>
      <c r="J8" s="484"/>
    </row>
    <row r="9" spans="1:11" ht="21.95" customHeight="1" x14ac:dyDescent="0.25">
      <c r="A9" s="484"/>
      <c r="B9" s="637" t="s">
        <v>3079</v>
      </c>
      <c r="C9" s="638"/>
      <c r="D9" s="638"/>
      <c r="E9" s="638"/>
      <c r="F9" s="638"/>
      <c r="G9" s="638"/>
      <c r="H9" s="638"/>
      <c r="I9" s="638"/>
      <c r="J9" s="638"/>
      <c r="K9" s="638"/>
    </row>
    <row r="10" spans="1:11" ht="24" customHeight="1" x14ac:dyDescent="0.25">
      <c r="A10" s="484"/>
      <c r="B10" s="485" t="s">
        <v>2000</v>
      </c>
      <c r="C10" s="485" t="s">
        <v>1076</v>
      </c>
      <c r="D10" s="485" t="s">
        <v>3080</v>
      </c>
      <c r="E10" s="485" t="s">
        <v>3081</v>
      </c>
      <c r="F10" s="485" t="s">
        <v>3082</v>
      </c>
      <c r="G10" s="485" t="s">
        <v>3083</v>
      </c>
      <c r="H10" s="485" t="s">
        <v>3084</v>
      </c>
      <c r="I10" s="485" t="s">
        <v>3085</v>
      </c>
      <c r="J10" s="485" t="s">
        <v>3086</v>
      </c>
    </row>
    <row r="11" spans="1:11" ht="18.95" customHeight="1" x14ac:dyDescent="0.25">
      <c r="A11" s="484"/>
      <c r="B11" s="486">
        <v>1</v>
      </c>
      <c r="C11" s="487" t="s">
        <v>1113</v>
      </c>
      <c r="D11" s="486" t="s">
        <v>1077</v>
      </c>
      <c r="E11" s="486">
        <v>10</v>
      </c>
      <c r="F11" s="488">
        <v>41325185.799999997</v>
      </c>
      <c r="G11" s="488">
        <v>19944172</v>
      </c>
      <c r="H11" s="488">
        <f t="shared" ref="H11:H53" si="0">F11-G11</f>
        <v>21381013.799999997</v>
      </c>
      <c r="I11" s="489">
        <f t="shared" ref="I11:I53" si="1">IF(F11&gt;0, G11/F11, 0)</f>
        <v>0.48261542238486443</v>
      </c>
      <c r="J11" s="490" t="s">
        <v>3087</v>
      </c>
    </row>
    <row r="12" spans="1:11" ht="18.95" customHeight="1" x14ac:dyDescent="0.25">
      <c r="A12" s="484"/>
      <c r="B12" s="491">
        <v>2</v>
      </c>
      <c r="C12" s="492" t="s">
        <v>1575</v>
      </c>
      <c r="D12" s="491" t="s">
        <v>3088</v>
      </c>
      <c r="E12" s="491">
        <v>2</v>
      </c>
      <c r="F12" s="493">
        <v>34917985</v>
      </c>
      <c r="G12" s="493">
        <v>16523800</v>
      </c>
      <c r="H12" s="493">
        <f t="shared" si="0"/>
        <v>18394185</v>
      </c>
      <c r="I12" s="494">
        <f t="shared" si="1"/>
        <v>0.47321745513093039</v>
      </c>
      <c r="J12" s="495" t="s">
        <v>3087</v>
      </c>
    </row>
    <row r="13" spans="1:11" ht="18.95" customHeight="1" x14ac:dyDescent="0.25">
      <c r="A13" s="484"/>
      <c r="B13" s="486">
        <v>3</v>
      </c>
      <c r="C13" s="487" t="s">
        <v>1141</v>
      </c>
      <c r="D13" s="486" t="s">
        <v>1787</v>
      </c>
      <c r="E13" s="486">
        <v>93</v>
      </c>
      <c r="F13" s="488">
        <v>14891286.74</v>
      </c>
      <c r="G13" s="488">
        <v>14891286.74</v>
      </c>
      <c r="H13" s="488">
        <f t="shared" si="0"/>
        <v>0</v>
      </c>
      <c r="I13" s="489">
        <f t="shared" si="1"/>
        <v>1</v>
      </c>
      <c r="J13" s="496" t="s">
        <v>3089</v>
      </c>
    </row>
    <row r="14" spans="1:11" ht="18.95" customHeight="1" x14ac:dyDescent="0.25">
      <c r="A14" s="484"/>
      <c r="B14" s="491">
        <v>4</v>
      </c>
      <c r="C14" s="492" t="s">
        <v>1212</v>
      </c>
      <c r="D14" s="491" t="s">
        <v>949</v>
      </c>
      <c r="E14" s="491">
        <v>4</v>
      </c>
      <c r="F14" s="493">
        <v>5280900</v>
      </c>
      <c r="G14" s="493">
        <v>0</v>
      </c>
      <c r="H14" s="493">
        <f t="shared" si="0"/>
        <v>5280900</v>
      </c>
      <c r="I14" s="494">
        <f t="shared" si="1"/>
        <v>0</v>
      </c>
      <c r="J14" s="497" t="s">
        <v>1984</v>
      </c>
    </row>
    <row r="15" spans="1:11" ht="18.95" customHeight="1" x14ac:dyDescent="0.25">
      <c r="A15" s="484"/>
      <c r="B15" s="486">
        <v>5</v>
      </c>
      <c r="C15" s="487" t="s">
        <v>1563</v>
      </c>
      <c r="D15" s="486" t="s">
        <v>3090</v>
      </c>
      <c r="E15" s="486">
        <v>1</v>
      </c>
      <c r="F15" s="488">
        <v>5241000</v>
      </c>
      <c r="G15" s="488">
        <v>5241000</v>
      </c>
      <c r="H15" s="488">
        <f t="shared" si="0"/>
        <v>0</v>
      </c>
      <c r="I15" s="489">
        <f t="shared" si="1"/>
        <v>1</v>
      </c>
      <c r="J15" s="496" t="s">
        <v>3089</v>
      </c>
    </row>
    <row r="16" spans="1:11" ht="18.95" customHeight="1" x14ac:dyDescent="0.25">
      <c r="A16" s="484"/>
      <c r="B16" s="491">
        <v>6</v>
      </c>
      <c r="C16" s="492" t="s">
        <v>1191</v>
      </c>
      <c r="D16" s="491" t="s">
        <v>1787</v>
      </c>
      <c r="E16" s="491">
        <v>12</v>
      </c>
      <c r="F16" s="493">
        <v>5184221</v>
      </c>
      <c r="G16" s="493">
        <v>0</v>
      </c>
      <c r="H16" s="493">
        <f t="shared" si="0"/>
        <v>5184221</v>
      </c>
      <c r="I16" s="494">
        <f t="shared" si="1"/>
        <v>0</v>
      </c>
      <c r="J16" s="497" t="s">
        <v>1984</v>
      </c>
    </row>
    <row r="17" spans="1:10" ht="18.95" customHeight="1" x14ac:dyDescent="0.25">
      <c r="A17" s="484"/>
      <c r="B17" s="486">
        <v>7</v>
      </c>
      <c r="C17" s="487" t="s">
        <v>1742</v>
      </c>
      <c r="D17" s="486" t="s">
        <v>1114</v>
      </c>
      <c r="E17" s="486">
        <v>1</v>
      </c>
      <c r="F17" s="488">
        <v>4920175</v>
      </c>
      <c r="G17" s="488">
        <v>4920175</v>
      </c>
      <c r="H17" s="488">
        <f t="shared" si="0"/>
        <v>0</v>
      </c>
      <c r="I17" s="489">
        <f t="shared" si="1"/>
        <v>1</v>
      </c>
      <c r="J17" s="496" t="s">
        <v>3089</v>
      </c>
    </row>
    <row r="18" spans="1:10" ht="18.95" customHeight="1" x14ac:dyDescent="0.25">
      <c r="A18" s="484"/>
      <c r="B18" s="491">
        <v>8</v>
      </c>
      <c r="C18" s="492" t="s">
        <v>1108</v>
      </c>
      <c r="D18" s="491" t="s">
        <v>3088</v>
      </c>
      <c r="E18" s="491">
        <v>62</v>
      </c>
      <c r="F18" s="493">
        <v>4823800</v>
      </c>
      <c r="G18" s="493">
        <v>4823800</v>
      </c>
      <c r="H18" s="493">
        <f t="shared" si="0"/>
        <v>0</v>
      </c>
      <c r="I18" s="494">
        <f t="shared" si="1"/>
        <v>1</v>
      </c>
      <c r="J18" s="498" t="s">
        <v>3089</v>
      </c>
    </row>
    <row r="19" spans="1:10" ht="18.95" customHeight="1" x14ac:dyDescent="0.25">
      <c r="A19" s="484"/>
      <c r="B19" s="486">
        <v>9</v>
      </c>
      <c r="C19" s="487" t="s">
        <v>1754</v>
      </c>
      <c r="D19" s="486" t="s">
        <v>3088</v>
      </c>
      <c r="E19" s="486">
        <v>1</v>
      </c>
      <c r="F19" s="488">
        <v>4302852</v>
      </c>
      <c r="G19" s="488">
        <v>4302852</v>
      </c>
      <c r="H19" s="488">
        <f t="shared" si="0"/>
        <v>0</v>
      </c>
      <c r="I19" s="489">
        <f t="shared" si="1"/>
        <v>1</v>
      </c>
      <c r="J19" s="496" t="s">
        <v>3089</v>
      </c>
    </row>
    <row r="20" spans="1:10" ht="18.95" customHeight="1" x14ac:dyDescent="0.25">
      <c r="A20" s="484"/>
      <c r="B20" s="491">
        <v>10</v>
      </c>
      <c r="C20" s="492" t="s">
        <v>1092</v>
      </c>
      <c r="D20" s="491" t="s">
        <v>1077</v>
      </c>
      <c r="E20" s="491">
        <v>10</v>
      </c>
      <c r="F20" s="493">
        <v>4192280</v>
      </c>
      <c r="G20" s="493">
        <v>4192280</v>
      </c>
      <c r="H20" s="493">
        <f t="shared" si="0"/>
        <v>0</v>
      </c>
      <c r="I20" s="494">
        <f t="shared" si="1"/>
        <v>1</v>
      </c>
      <c r="J20" s="498" t="s">
        <v>3089</v>
      </c>
    </row>
    <row r="21" spans="1:10" ht="18.95" customHeight="1" x14ac:dyDescent="0.25">
      <c r="A21" s="484"/>
      <c r="B21" s="486">
        <v>11</v>
      </c>
      <c r="C21" s="487" t="s">
        <v>1581</v>
      </c>
      <c r="D21" s="486" t="s">
        <v>1082</v>
      </c>
      <c r="E21" s="486">
        <v>3</v>
      </c>
      <c r="F21" s="488">
        <v>4062180</v>
      </c>
      <c r="G21" s="488">
        <v>2288950</v>
      </c>
      <c r="H21" s="488">
        <f t="shared" si="0"/>
        <v>1773230</v>
      </c>
      <c r="I21" s="489">
        <f t="shared" si="1"/>
        <v>0.56347823090064941</v>
      </c>
      <c r="J21" s="490" t="s">
        <v>3087</v>
      </c>
    </row>
    <row r="22" spans="1:10" ht="18.95" customHeight="1" x14ac:dyDescent="0.25">
      <c r="A22" s="484"/>
      <c r="B22" s="491">
        <v>12</v>
      </c>
      <c r="C22" s="492" t="s">
        <v>1195</v>
      </c>
      <c r="D22" s="491" t="s">
        <v>1505</v>
      </c>
      <c r="E22" s="491">
        <v>4</v>
      </c>
      <c r="F22" s="493">
        <v>4020000</v>
      </c>
      <c r="G22" s="493">
        <v>4020000</v>
      </c>
      <c r="H22" s="493">
        <f t="shared" si="0"/>
        <v>0</v>
      </c>
      <c r="I22" s="494">
        <f t="shared" si="1"/>
        <v>1</v>
      </c>
      <c r="J22" s="498" t="s">
        <v>3089</v>
      </c>
    </row>
    <row r="23" spans="1:10" ht="18.95" customHeight="1" x14ac:dyDescent="0.25">
      <c r="A23" s="484"/>
      <c r="B23" s="486">
        <v>13</v>
      </c>
      <c r="C23" s="487" t="s">
        <v>1109</v>
      </c>
      <c r="D23" s="486" t="s">
        <v>1114</v>
      </c>
      <c r="E23" s="486">
        <v>21</v>
      </c>
      <c r="F23" s="488">
        <v>3643100</v>
      </c>
      <c r="G23" s="488">
        <v>3643100</v>
      </c>
      <c r="H23" s="488">
        <f t="shared" si="0"/>
        <v>0</v>
      </c>
      <c r="I23" s="489">
        <f t="shared" si="1"/>
        <v>1</v>
      </c>
      <c r="J23" s="496" t="s">
        <v>3089</v>
      </c>
    </row>
    <row r="24" spans="1:10" ht="18.95" customHeight="1" x14ac:dyDescent="0.25">
      <c r="A24" s="484"/>
      <c r="B24" s="491">
        <v>14</v>
      </c>
      <c r="C24" s="492" t="s">
        <v>1690</v>
      </c>
      <c r="D24" s="491" t="s">
        <v>1461</v>
      </c>
      <c r="E24" s="491">
        <v>3</v>
      </c>
      <c r="F24" s="493">
        <v>3510000</v>
      </c>
      <c r="G24" s="493">
        <v>1000000</v>
      </c>
      <c r="H24" s="493">
        <f t="shared" si="0"/>
        <v>2510000</v>
      </c>
      <c r="I24" s="494">
        <f t="shared" si="1"/>
        <v>0.28490028490028491</v>
      </c>
      <c r="J24" s="495" t="s">
        <v>3087</v>
      </c>
    </row>
    <row r="25" spans="1:10" ht="18.95" customHeight="1" x14ac:dyDescent="0.25">
      <c r="A25" s="484"/>
      <c r="B25" s="486">
        <v>15</v>
      </c>
      <c r="C25" s="487" t="s">
        <v>1094</v>
      </c>
      <c r="D25" s="486" t="s">
        <v>1077</v>
      </c>
      <c r="E25" s="486">
        <v>4</v>
      </c>
      <c r="F25" s="488">
        <v>2790740</v>
      </c>
      <c r="G25" s="488">
        <v>0</v>
      </c>
      <c r="H25" s="488">
        <f t="shared" si="0"/>
        <v>2790740</v>
      </c>
      <c r="I25" s="489">
        <f t="shared" si="1"/>
        <v>0</v>
      </c>
      <c r="J25" s="499" t="s">
        <v>1984</v>
      </c>
    </row>
    <row r="26" spans="1:10" ht="18.95" customHeight="1" x14ac:dyDescent="0.25">
      <c r="A26" s="484"/>
      <c r="B26" s="491">
        <v>16</v>
      </c>
      <c r="C26" s="492" t="s">
        <v>1348</v>
      </c>
      <c r="D26" s="491" t="s">
        <v>1787</v>
      </c>
      <c r="E26" s="491">
        <v>2</v>
      </c>
      <c r="F26" s="493">
        <v>2222443</v>
      </c>
      <c r="G26" s="493">
        <v>2222443</v>
      </c>
      <c r="H26" s="493">
        <f t="shared" si="0"/>
        <v>0</v>
      </c>
      <c r="I26" s="494">
        <f t="shared" si="1"/>
        <v>1</v>
      </c>
      <c r="J26" s="498" t="s">
        <v>3089</v>
      </c>
    </row>
    <row r="27" spans="1:10" ht="18.95" customHeight="1" x14ac:dyDescent="0.25">
      <c r="A27" s="484"/>
      <c r="B27" s="486">
        <v>17</v>
      </c>
      <c r="C27" s="487" t="s">
        <v>815</v>
      </c>
      <c r="D27" s="486" t="s">
        <v>3088</v>
      </c>
      <c r="E27" s="486">
        <v>2</v>
      </c>
      <c r="F27" s="488">
        <v>2100000</v>
      </c>
      <c r="G27" s="488">
        <v>2100000</v>
      </c>
      <c r="H27" s="488">
        <f t="shared" si="0"/>
        <v>0</v>
      </c>
      <c r="I27" s="489">
        <f t="shared" si="1"/>
        <v>1</v>
      </c>
      <c r="J27" s="496" t="s">
        <v>3089</v>
      </c>
    </row>
    <row r="28" spans="1:10" ht="18.95" customHeight="1" x14ac:dyDescent="0.25">
      <c r="A28" s="484"/>
      <c r="B28" s="491">
        <v>18</v>
      </c>
      <c r="C28" s="492" t="s">
        <v>1188</v>
      </c>
      <c r="D28" s="491" t="s">
        <v>91</v>
      </c>
      <c r="E28" s="491">
        <v>6</v>
      </c>
      <c r="F28" s="493">
        <v>1616382</v>
      </c>
      <c r="G28" s="493">
        <v>0</v>
      </c>
      <c r="H28" s="493">
        <f t="shared" si="0"/>
        <v>1616382</v>
      </c>
      <c r="I28" s="494">
        <f t="shared" si="1"/>
        <v>0</v>
      </c>
      <c r="J28" s="497" t="s">
        <v>1984</v>
      </c>
    </row>
    <row r="29" spans="1:10" ht="18.95" customHeight="1" x14ac:dyDescent="0.25">
      <c r="A29" s="484"/>
      <c r="B29" s="486">
        <v>19</v>
      </c>
      <c r="C29" s="487" t="s">
        <v>1354</v>
      </c>
      <c r="D29" s="486" t="s">
        <v>1787</v>
      </c>
      <c r="E29" s="486">
        <v>3</v>
      </c>
      <c r="F29" s="488">
        <v>1398300</v>
      </c>
      <c r="G29" s="488">
        <v>1398300</v>
      </c>
      <c r="H29" s="488">
        <f t="shared" si="0"/>
        <v>0</v>
      </c>
      <c r="I29" s="489">
        <f t="shared" si="1"/>
        <v>1</v>
      </c>
      <c r="J29" s="496" t="s">
        <v>3089</v>
      </c>
    </row>
    <row r="30" spans="1:10" ht="18.95" customHeight="1" x14ac:dyDescent="0.25">
      <c r="A30" s="484"/>
      <c r="B30" s="491">
        <v>20</v>
      </c>
      <c r="C30" s="492" t="s">
        <v>1303</v>
      </c>
      <c r="D30" s="491" t="s">
        <v>1077</v>
      </c>
      <c r="E30" s="491">
        <v>3</v>
      </c>
      <c r="F30" s="493">
        <v>1137825</v>
      </c>
      <c r="G30" s="493">
        <v>1137825</v>
      </c>
      <c r="H30" s="493">
        <f t="shared" si="0"/>
        <v>0</v>
      </c>
      <c r="I30" s="494">
        <f t="shared" si="1"/>
        <v>1</v>
      </c>
      <c r="J30" s="498" t="s">
        <v>3089</v>
      </c>
    </row>
    <row r="31" spans="1:10" ht="18.95" customHeight="1" x14ac:dyDescent="0.25">
      <c r="A31" s="484"/>
      <c r="B31" s="486">
        <v>21</v>
      </c>
      <c r="C31" s="487" t="s">
        <v>1110</v>
      </c>
      <c r="D31" s="486" t="s">
        <v>91</v>
      </c>
      <c r="E31" s="486">
        <v>3</v>
      </c>
      <c r="F31" s="488">
        <v>1098000</v>
      </c>
      <c r="G31" s="488">
        <v>0</v>
      </c>
      <c r="H31" s="488">
        <f t="shared" si="0"/>
        <v>1098000</v>
      </c>
      <c r="I31" s="489">
        <f t="shared" si="1"/>
        <v>0</v>
      </c>
      <c r="J31" s="499" t="s">
        <v>1984</v>
      </c>
    </row>
    <row r="32" spans="1:10" ht="18.95" customHeight="1" x14ac:dyDescent="0.25">
      <c r="A32" s="484"/>
      <c r="B32" s="491">
        <v>22</v>
      </c>
      <c r="C32" s="492" t="s">
        <v>1118</v>
      </c>
      <c r="D32" s="491" t="s">
        <v>1114</v>
      </c>
      <c r="E32" s="491">
        <v>2</v>
      </c>
      <c r="F32" s="493">
        <v>1027525</v>
      </c>
      <c r="G32" s="493">
        <v>1027525</v>
      </c>
      <c r="H32" s="493">
        <f t="shared" si="0"/>
        <v>0</v>
      </c>
      <c r="I32" s="494">
        <f t="shared" si="1"/>
        <v>1</v>
      </c>
      <c r="J32" s="498" t="s">
        <v>3089</v>
      </c>
    </row>
    <row r="33" spans="1:10" ht="18.95" customHeight="1" x14ac:dyDescent="0.25">
      <c r="A33" s="484"/>
      <c r="B33" s="486">
        <v>23</v>
      </c>
      <c r="C33" s="487" t="s">
        <v>1487</v>
      </c>
      <c r="D33" s="486" t="s">
        <v>1082</v>
      </c>
      <c r="E33" s="486">
        <v>2</v>
      </c>
      <c r="F33" s="488">
        <v>1007604.07</v>
      </c>
      <c r="G33" s="488">
        <v>0</v>
      </c>
      <c r="H33" s="488">
        <f t="shared" si="0"/>
        <v>1007604.07</v>
      </c>
      <c r="I33" s="489">
        <f t="shared" si="1"/>
        <v>0</v>
      </c>
      <c r="J33" s="499" t="s">
        <v>1984</v>
      </c>
    </row>
    <row r="34" spans="1:10" ht="18.95" customHeight="1" x14ac:dyDescent="0.25">
      <c r="A34" s="484"/>
      <c r="B34" s="491">
        <v>24</v>
      </c>
      <c r="C34" s="492" t="s">
        <v>1079</v>
      </c>
      <c r="D34" s="491" t="s">
        <v>1505</v>
      </c>
      <c r="E34" s="491">
        <v>19</v>
      </c>
      <c r="F34" s="493">
        <v>826280</v>
      </c>
      <c r="G34" s="493">
        <v>826280</v>
      </c>
      <c r="H34" s="493">
        <f t="shared" si="0"/>
        <v>0</v>
      </c>
      <c r="I34" s="494">
        <f t="shared" si="1"/>
        <v>1</v>
      </c>
      <c r="J34" s="498" t="s">
        <v>3089</v>
      </c>
    </row>
    <row r="35" spans="1:10" ht="18.95" customHeight="1" x14ac:dyDescent="0.25">
      <c r="A35" s="484"/>
      <c r="B35" s="486">
        <v>25</v>
      </c>
      <c r="C35" s="487" t="s">
        <v>1131</v>
      </c>
      <c r="D35" s="486" t="s">
        <v>1505</v>
      </c>
      <c r="E35" s="486">
        <v>2</v>
      </c>
      <c r="F35" s="488">
        <v>772651</v>
      </c>
      <c r="G35" s="488">
        <v>0</v>
      </c>
      <c r="H35" s="488">
        <f t="shared" si="0"/>
        <v>772651</v>
      </c>
      <c r="I35" s="489">
        <f t="shared" si="1"/>
        <v>0</v>
      </c>
      <c r="J35" s="499" t="s">
        <v>1984</v>
      </c>
    </row>
    <row r="36" spans="1:10" ht="18.95" customHeight="1" x14ac:dyDescent="0.25">
      <c r="A36" s="484"/>
      <c r="B36" s="491">
        <v>26</v>
      </c>
      <c r="C36" s="492" t="s">
        <v>1704</v>
      </c>
      <c r="D36" s="491" t="s">
        <v>1077</v>
      </c>
      <c r="E36" s="491">
        <v>1</v>
      </c>
      <c r="F36" s="493">
        <v>728000</v>
      </c>
      <c r="G36" s="493">
        <v>0</v>
      </c>
      <c r="H36" s="493">
        <f t="shared" si="0"/>
        <v>728000</v>
      </c>
      <c r="I36" s="494">
        <f t="shared" si="1"/>
        <v>0</v>
      </c>
      <c r="J36" s="497" t="s">
        <v>1984</v>
      </c>
    </row>
    <row r="37" spans="1:10" ht="18.95" customHeight="1" x14ac:dyDescent="0.25">
      <c r="A37" s="484"/>
      <c r="B37" s="486">
        <v>27</v>
      </c>
      <c r="C37" s="487" t="s">
        <v>1099</v>
      </c>
      <c r="D37" s="486" t="s">
        <v>91</v>
      </c>
      <c r="E37" s="486">
        <v>29</v>
      </c>
      <c r="F37" s="488">
        <v>726000</v>
      </c>
      <c r="G37" s="488">
        <v>0</v>
      </c>
      <c r="H37" s="488">
        <f t="shared" si="0"/>
        <v>726000</v>
      </c>
      <c r="I37" s="489">
        <f t="shared" si="1"/>
        <v>0</v>
      </c>
      <c r="J37" s="499" t="s">
        <v>1984</v>
      </c>
    </row>
    <row r="38" spans="1:10" ht="18.95" customHeight="1" x14ac:dyDescent="0.25">
      <c r="A38" s="484"/>
      <c r="B38" s="491">
        <v>28</v>
      </c>
      <c r="C38" s="492" t="s">
        <v>1090</v>
      </c>
      <c r="D38" s="491" t="s">
        <v>1787</v>
      </c>
      <c r="E38" s="491">
        <v>12</v>
      </c>
      <c r="F38" s="493">
        <v>675000</v>
      </c>
      <c r="G38" s="493">
        <v>675000</v>
      </c>
      <c r="H38" s="493">
        <f t="shared" si="0"/>
        <v>0</v>
      </c>
      <c r="I38" s="494">
        <f t="shared" si="1"/>
        <v>1</v>
      </c>
      <c r="J38" s="498" t="s">
        <v>3089</v>
      </c>
    </row>
    <row r="39" spans="1:10" ht="18.95" customHeight="1" x14ac:dyDescent="0.25">
      <c r="A39" s="484"/>
      <c r="B39" s="486">
        <v>29</v>
      </c>
      <c r="C39" s="487" t="s">
        <v>1091</v>
      </c>
      <c r="D39" s="486" t="s">
        <v>1077</v>
      </c>
      <c r="E39" s="486">
        <v>2</v>
      </c>
      <c r="F39" s="488">
        <v>660000</v>
      </c>
      <c r="G39" s="488">
        <v>0</v>
      </c>
      <c r="H39" s="488">
        <f t="shared" si="0"/>
        <v>660000</v>
      </c>
      <c r="I39" s="489">
        <f t="shared" si="1"/>
        <v>0</v>
      </c>
      <c r="J39" s="499" t="s">
        <v>1984</v>
      </c>
    </row>
    <row r="40" spans="1:10" ht="18.95" customHeight="1" x14ac:dyDescent="0.25">
      <c r="A40" s="484"/>
      <c r="B40" s="491">
        <v>30</v>
      </c>
      <c r="C40" s="492" t="s">
        <v>1105</v>
      </c>
      <c r="D40" s="491" t="s">
        <v>1787</v>
      </c>
      <c r="E40" s="491">
        <v>17</v>
      </c>
      <c r="F40" s="493">
        <v>490000</v>
      </c>
      <c r="G40" s="493">
        <v>490000</v>
      </c>
      <c r="H40" s="493">
        <f t="shared" si="0"/>
        <v>0</v>
      </c>
      <c r="I40" s="494">
        <f t="shared" si="1"/>
        <v>1</v>
      </c>
      <c r="J40" s="498" t="s">
        <v>3089</v>
      </c>
    </row>
    <row r="41" spans="1:10" ht="18.95" customHeight="1" x14ac:dyDescent="0.25">
      <c r="A41" s="484"/>
      <c r="B41" s="486">
        <v>31</v>
      </c>
      <c r="C41" s="487" t="s">
        <v>1737</v>
      </c>
      <c r="D41" s="486" t="s">
        <v>1787</v>
      </c>
      <c r="E41" s="486">
        <v>1</v>
      </c>
      <c r="F41" s="488">
        <v>376852</v>
      </c>
      <c r="G41" s="488">
        <v>376852</v>
      </c>
      <c r="H41" s="488">
        <f t="shared" si="0"/>
        <v>0</v>
      </c>
      <c r="I41" s="489">
        <f t="shared" si="1"/>
        <v>1</v>
      </c>
      <c r="J41" s="496" t="s">
        <v>3089</v>
      </c>
    </row>
    <row r="42" spans="1:10" ht="18.95" customHeight="1" x14ac:dyDescent="0.25">
      <c r="A42" s="484"/>
      <c r="B42" s="491">
        <v>32</v>
      </c>
      <c r="C42" s="492" t="s">
        <v>1187</v>
      </c>
      <c r="D42" s="491" t="s">
        <v>1505</v>
      </c>
      <c r="E42" s="491">
        <v>5</v>
      </c>
      <c r="F42" s="493">
        <v>336110</v>
      </c>
      <c r="G42" s="493">
        <v>336110</v>
      </c>
      <c r="H42" s="493">
        <f t="shared" si="0"/>
        <v>0</v>
      </c>
      <c r="I42" s="494">
        <f t="shared" si="1"/>
        <v>1</v>
      </c>
      <c r="J42" s="498" t="s">
        <v>3089</v>
      </c>
    </row>
    <row r="43" spans="1:10" ht="18.95" customHeight="1" x14ac:dyDescent="0.25">
      <c r="A43" s="484"/>
      <c r="B43" s="486">
        <v>33</v>
      </c>
      <c r="C43" s="487" t="s">
        <v>1863</v>
      </c>
      <c r="D43" s="486" t="s">
        <v>1077</v>
      </c>
      <c r="E43" s="486">
        <v>1</v>
      </c>
      <c r="F43" s="488">
        <v>282750</v>
      </c>
      <c r="G43" s="488">
        <v>0</v>
      </c>
      <c r="H43" s="488">
        <f t="shared" si="0"/>
        <v>282750</v>
      </c>
      <c r="I43" s="489">
        <f t="shared" si="1"/>
        <v>0</v>
      </c>
      <c r="J43" s="499" t="s">
        <v>1984</v>
      </c>
    </row>
    <row r="44" spans="1:10" ht="18.95" customHeight="1" x14ac:dyDescent="0.25">
      <c r="A44" s="484"/>
      <c r="B44" s="491">
        <v>34</v>
      </c>
      <c r="C44" s="492" t="s">
        <v>886</v>
      </c>
      <c r="D44" s="491" t="s">
        <v>1787</v>
      </c>
      <c r="E44" s="491">
        <v>1</v>
      </c>
      <c r="F44" s="493">
        <v>249500</v>
      </c>
      <c r="G44" s="493">
        <v>0</v>
      </c>
      <c r="H44" s="493">
        <f t="shared" si="0"/>
        <v>249500</v>
      </c>
      <c r="I44" s="494">
        <f t="shared" si="1"/>
        <v>0</v>
      </c>
      <c r="J44" s="497" t="s">
        <v>1984</v>
      </c>
    </row>
    <row r="45" spans="1:10" ht="18.95" customHeight="1" x14ac:dyDescent="0.25">
      <c r="A45" s="484"/>
      <c r="B45" s="486">
        <v>35</v>
      </c>
      <c r="C45" s="487" t="s">
        <v>1943</v>
      </c>
      <c r="D45" s="486" t="s">
        <v>1461</v>
      </c>
      <c r="E45" s="486">
        <v>1</v>
      </c>
      <c r="F45" s="488">
        <v>240000</v>
      </c>
      <c r="G45" s="488">
        <v>240000</v>
      </c>
      <c r="H45" s="488">
        <f t="shared" si="0"/>
        <v>0</v>
      </c>
      <c r="I45" s="489">
        <f t="shared" si="1"/>
        <v>1</v>
      </c>
      <c r="J45" s="496" t="s">
        <v>3089</v>
      </c>
    </row>
    <row r="46" spans="1:10" ht="18.95" customHeight="1" x14ac:dyDescent="0.25">
      <c r="A46" s="484"/>
      <c r="B46" s="491">
        <v>36</v>
      </c>
      <c r="C46" s="492" t="s">
        <v>1975</v>
      </c>
      <c r="D46" s="491" t="s">
        <v>1787</v>
      </c>
      <c r="E46" s="491">
        <v>1</v>
      </c>
      <c r="F46" s="493">
        <v>185300</v>
      </c>
      <c r="G46" s="493">
        <v>185300</v>
      </c>
      <c r="H46" s="493">
        <f t="shared" si="0"/>
        <v>0</v>
      </c>
      <c r="I46" s="494">
        <f t="shared" si="1"/>
        <v>1</v>
      </c>
      <c r="J46" s="498" t="s">
        <v>3089</v>
      </c>
    </row>
    <row r="47" spans="1:10" ht="18.95" customHeight="1" x14ac:dyDescent="0.25">
      <c r="A47" s="484"/>
      <c r="B47" s="486">
        <v>37</v>
      </c>
      <c r="C47" s="487" t="s">
        <v>1947</v>
      </c>
      <c r="D47" s="486" t="s">
        <v>1787</v>
      </c>
      <c r="E47" s="486">
        <v>1</v>
      </c>
      <c r="F47" s="488">
        <v>118900</v>
      </c>
      <c r="G47" s="488">
        <v>118900</v>
      </c>
      <c r="H47" s="488">
        <f t="shared" si="0"/>
        <v>0</v>
      </c>
      <c r="I47" s="489">
        <f t="shared" si="1"/>
        <v>1</v>
      </c>
      <c r="J47" s="496" t="s">
        <v>3089</v>
      </c>
    </row>
    <row r="48" spans="1:10" ht="18.95" customHeight="1" x14ac:dyDescent="0.25">
      <c r="A48" s="484"/>
      <c r="B48" s="491">
        <v>38</v>
      </c>
      <c r="C48" s="492" t="s">
        <v>1304</v>
      </c>
      <c r="D48" s="491" t="s">
        <v>1787</v>
      </c>
      <c r="E48" s="491">
        <v>2</v>
      </c>
      <c r="F48" s="493">
        <v>114000</v>
      </c>
      <c r="G48" s="493">
        <v>0</v>
      </c>
      <c r="H48" s="493">
        <f t="shared" si="0"/>
        <v>114000</v>
      </c>
      <c r="I48" s="494">
        <f t="shared" si="1"/>
        <v>0</v>
      </c>
      <c r="J48" s="497" t="s">
        <v>1984</v>
      </c>
    </row>
    <row r="49" spans="1:11" ht="18.95" customHeight="1" x14ac:dyDescent="0.25">
      <c r="A49" s="484"/>
      <c r="B49" s="486">
        <v>39</v>
      </c>
      <c r="C49" s="487" t="s">
        <v>1799</v>
      </c>
      <c r="D49" s="486" t="s">
        <v>1461</v>
      </c>
      <c r="E49" s="486">
        <v>1</v>
      </c>
      <c r="F49" s="488">
        <v>109400</v>
      </c>
      <c r="G49" s="488">
        <v>109400</v>
      </c>
      <c r="H49" s="488">
        <f t="shared" si="0"/>
        <v>0</v>
      </c>
      <c r="I49" s="489">
        <f t="shared" si="1"/>
        <v>1</v>
      </c>
      <c r="J49" s="496" t="s">
        <v>3089</v>
      </c>
    </row>
    <row r="50" spans="1:11" ht="18.95" customHeight="1" x14ac:dyDescent="0.25">
      <c r="A50" s="484"/>
      <c r="B50" s="491">
        <v>40</v>
      </c>
      <c r="C50" s="492" t="s">
        <v>1966</v>
      </c>
      <c r="D50" s="491" t="s">
        <v>1787</v>
      </c>
      <c r="E50" s="491">
        <v>1</v>
      </c>
      <c r="F50" s="493">
        <v>95800</v>
      </c>
      <c r="G50" s="493">
        <v>95800</v>
      </c>
      <c r="H50" s="493">
        <f t="shared" si="0"/>
        <v>0</v>
      </c>
      <c r="I50" s="494">
        <f t="shared" si="1"/>
        <v>1</v>
      </c>
      <c r="J50" s="498" t="s">
        <v>3089</v>
      </c>
    </row>
    <row r="51" spans="1:11" ht="18.95" customHeight="1" x14ac:dyDescent="0.25">
      <c r="A51" s="484"/>
      <c r="B51" s="486">
        <v>41</v>
      </c>
      <c r="C51" s="487" t="s">
        <v>1567</v>
      </c>
      <c r="D51" s="486" t="s">
        <v>1787</v>
      </c>
      <c r="E51" s="486">
        <v>1</v>
      </c>
      <c r="F51" s="488">
        <v>72000</v>
      </c>
      <c r="G51" s="488">
        <v>0</v>
      </c>
      <c r="H51" s="488">
        <f t="shared" si="0"/>
        <v>72000</v>
      </c>
      <c r="I51" s="489">
        <f t="shared" si="1"/>
        <v>0</v>
      </c>
      <c r="J51" s="499" t="s">
        <v>1984</v>
      </c>
    </row>
    <row r="52" spans="1:11" ht="18.95" customHeight="1" x14ac:dyDescent="0.25">
      <c r="A52" s="484"/>
      <c r="B52" s="491">
        <v>42</v>
      </c>
      <c r="C52" s="492" t="s">
        <v>1838</v>
      </c>
      <c r="D52" s="491" t="s">
        <v>1114</v>
      </c>
      <c r="E52" s="491">
        <v>1</v>
      </c>
      <c r="F52" s="493">
        <v>70000</v>
      </c>
      <c r="G52" s="493">
        <v>0</v>
      </c>
      <c r="H52" s="493">
        <f t="shared" si="0"/>
        <v>70000</v>
      </c>
      <c r="I52" s="494">
        <f t="shared" si="1"/>
        <v>0</v>
      </c>
      <c r="J52" s="497" t="s">
        <v>1984</v>
      </c>
    </row>
    <row r="53" spans="1:11" ht="18.95" customHeight="1" x14ac:dyDescent="0.25">
      <c r="A53" s="484"/>
      <c r="B53" s="486">
        <v>43</v>
      </c>
      <c r="C53" s="487" t="s">
        <v>1805</v>
      </c>
      <c r="D53" s="486" t="s">
        <v>1461</v>
      </c>
      <c r="E53" s="486">
        <v>1</v>
      </c>
      <c r="F53" s="488">
        <v>6900</v>
      </c>
      <c r="G53" s="488">
        <v>6900</v>
      </c>
      <c r="H53" s="488">
        <f t="shared" si="0"/>
        <v>0</v>
      </c>
      <c r="I53" s="489">
        <f t="shared" si="1"/>
        <v>1</v>
      </c>
      <c r="J53" s="496" t="s">
        <v>3089</v>
      </c>
    </row>
    <row r="54" spans="1:11" ht="21.95" customHeight="1" x14ac:dyDescent="0.25">
      <c r="A54" s="484"/>
      <c r="B54" s="645" t="s">
        <v>3091</v>
      </c>
      <c r="C54" s="646"/>
      <c r="D54" s="646"/>
      <c r="E54" s="500">
        <f>SUM(E11:E53)</f>
        <v>354</v>
      </c>
      <c r="F54" s="501">
        <f>SUM(F11:F53)</f>
        <v>161849227.60999998</v>
      </c>
      <c r="G54" s="501">
        <f>SUM(G11:G53)</f>
        <v>97138050.74000001</v>
      </c>
      <c r="H54" s="501">
        <f>SUM(H11:H53)</f>
        <v>64711176.869999997</v>
      </c>
      <c r="I54" s="502">
        <f>G54/F54</f>
        <v>0.60017617738694884</v>
      </c>
      <c r="J54" s="500" t="s">
        <v>3092</v>
      </c>
    </row>
    <row r="55" spans="1:11" x14ac:dyDescent="0.25">
      <c r="A55" s="484"/>
      <c r="B55" s="484"/>
      <c r="C55" s="484"/>
      <c r="D55" s="484"/>
      <c r="E55" s="484"/>
      <c r="F55" s="484"/>
      <c r="G55" s="484"/>
      <c r="H55" s="484"/>
      <c r="I55" s="484"/>
      <c r="J55" s="484"/>
    </row>
    <row r="56" spans="1:11" x14ac:dyDescent="0.25">
      <c r="A56" s="484"/>
      <c r="B56" s="484"/>
      <c r="C56" s="484"/>
      <c r="D56" s="484"/>
      <c r="E56" s="484"/>
      <c r="F56" s="484"/>
      <c r="G56" s="484"/>
      <c r="H56" s="484"/>
      <c r="I56" s="484"/>
      <c r="J56" s="484"/>
    </row>
    <row r="57" spans="1:11" ht="21.95" customHeight="1" x14ac:dyDescent="0.25">
      <c r="A57" s="484"/>
      <c r="B57" s="637" t="s">
        <v>3093</v>
      </c>
      <c r="C57" s="638"/>
      <c r="D57" s="638"/>
      <c r="E57" s="638"/>
      <c r="F57" s="638"/>
      <c r="G57" s="638"/>
      <c r="H57" s="638"/>
      <c r="I57" s="638"/>
      <c r="J57" s="638"/>
      <c r="K57" s="638"/>
    </row>
    <row r="58" spans="1:11" x14ac:dyDescent="0.25">
      <c r="A58" s="484"/>
      <c r="B58" s="484"/>
      <c r="C58" s="484"/>
      <c r="D58" s="484"/>
      <c r="E58" s="484"/>
      <c r="F58" s="484"/>
      <c r="G58" s="484"/>
      <c r="H58" s="484"/>
      <c r="I58" s="484"/>
      <c r="J58" s="484"/>
    </row>
    <row r="59" spans="1:11" x14ac:dyDescent="0.25">
      <c r="A59" s="484"/>
      <c r="B59" s="633" t="s">
        <v>3094</v>
      </c>
      <c r="C59" s="634"/>
      <c r="D59" s="634"/>
      <c r="E59" s="634"/>
      <c r="F59" s="484"/>
      <c r="G59" s="633" t="s">
        <v>3095</v>
      </c>
      <c r="H59" s="634"/>
      <c r="I59" s="634"/>
      <c r="J59" s="634"/>
    </row>
    <row r="60" spans="1:11" x14ac:dyDescent="0.25">
      <c r="A60" s="484"/>
      <c r="B60" s="503" t="s">
        <v>1977</v>
      </c>
      <c r="C60" s="503" t="s">
        <v>1978</v>
      </c>
      <c r="D60" s="503" t="s">
        <v>1979</v>
      </c>
      <c r="E60" s="503" t="s">
        <v>3096</v>
      </c>
      <c r="F60" s="484"/>
      <c r="G60" s="503" t="s">
        <v>1977</v>
      </c>
      <c r="H60" s="503" t="s">
        <v>1978</v>
      </c>
      <c r="I60" s="503" t="s">
        <v>1979</v>
      </c>
      <c r="J60" s="503" t="s">
        <v>3096</v>
      </c>
    </row>
    <row r="61" spans="1:11" x14ac:dyDescent="0.25">
      <c r="A61" s="484"/>
      <c r="B61" s="504" t="s">
        <v>1980</v>
      </c>
      <c r="C61" s="504" t="s">
        <v>3097</v>
      </c>
      <c r="D61" s="505">
        <v>7834972</v>
      </c>
      <c r="E61" s="504" t="s">
        <v>1981</v>
      </c>
      <c r="F61" s="484"/>
      <c r="G61" s="504" t="s">
        <v>819</v>
      </c>
      <c r="H61" s="504" t="s">
        <v>104</v>
      </c>
      <c r="I61" s="505">
        <v>16523800</v>
      </c>
      <c r="J61" s="504" t="s">
        <v>1981</v>
      </c>
    </row>
    <row r="62" spans="1:11" x14ac:dyDescent="0.25">
      <c r="A62" s="484"/>
      <c r="B62" s="504" t="s">
        <v>209</v>
      </c>
      <c r="C62" s="504" t="s">
        <v>86</v>
      </c>
      <c r="D62" s="505">
        <v>2546555</v>
      </c>
      <c r="E62" s="504" t="s">
        <v>1981</v>
      </c>
      <c r="F62" s="484"/>
      <c r="G62" s="486" t="s">
        <v>867</v>
      </c>
      <c r="H62" s="486" t="s">
        <v>115</v>
      </c>
      <c r="I62" s="488">
        <v>18394185</v>
      </c>
      <c r="J62" s="486" t="s">
        <v>1984</v>
      </c>
    </row>
    <row r="63" spans="1:11" x14ac:dyDescent="0.25">
      <c r="A63" s="484"/>
      <c r="B63" s="504" t="s">
        <v>218</v>
      </c>
      <c r="C63" s="504" t="s">
        <v>86</v>
      </c>
      <c r="D63" s="505">
        <v>1978665</v>
      </c>
      <c r="E63" s="504" t="s">
        <v>1981</v>
      </c>
      <c r="F63" s="484"/>
      <c r="G63" s="484"/>
      <c r="H63" s="484"/>
      <c r="I63" s="484"/>
      <c r="J63" s="484"/>
    </row>
    <row r="64" spans="1:11" x14ac:dyDescent="0.25">
      <c r="A64" s="484"/>
      <c r="B64" s="504" t="s">
        <v>274</v>
      </c>
      <c r="C64" s="504" t="s">
        <v>94</v>
      </c>
      <c r="D64" s="505">
        <v>7583980</v>
      </c>
      <c r="E64" s="504" t="s">
        <v>1981</v>
      </c>
      <c r="F64" s="484"/>
      <c r="G64" s="506" t="s">
        <v>1979</v>
      </c>
      <c r="H64" s="507"/>
      <c r="I64" s="508">
        <f>SUM(I61:I62)</f>
        <v>34917985</v>
      </c>
      <c r="J64" s="507"/>
    </row>
    <row r="65" spans="1:10" x14ac:dyDescent="0.25">
      <c r="A65" s="484"/>
      <c r="B65" s="486" t="s">
        <v>301</v>
      </c>
      <c r="C65" s="486" t="s">
        <v>98</v>
      </c>
      <c r="D65" s="488">
        <v>1528617</v>
      </c>
      <c r="E65" s="486" t="s">
        <v>1984</v>
      </c>
      <c r="F65" s="484"/>
      <c r="G65" s="509" t="s">
        <v>1983</v>
      </c>
      <c r="H65" s="510"/>
      <c r="I65" s="511">
        <f>SUMIF(J61:J62, "CANCELADA", I61:I62)</f>
        <v>16523800</v>
      </c>
      <c r="J65" s="510"/>
    </row>
    <row r="66" spans="1:10" x14ac:dyDescent="0.25">
      <c r="A66" s="484"/>
      <c r="B66" s="486" t="s">
        <v>325</v>
      </c>
      <c r="C66" s="486" t="s">
        <v>102</v>
      </c>
      <c r="D66" s="488">
        <v>4065132</v>
      </c>
      <c r="E66" s="486" t="s">
        <v>1984</v>
      </c>
      <c r="F66" s="484"/>
      <c r="G66" s="509" t="s">
        <v>1984</v>
      </c>
      <c r="H66" s="510"/>
      <c r="I66" s="511">
        <f>I64-I65</f>
        <v>18394185</v>
      </c>
      <c r="J66" s="510"/>
    </row>
    <row r="67" spans="1:10" x14ac:dyDescent="0.25">
      <c r="A67" s="484"/>
      <c r="B67" s="486" t="s">
        <v>433</v>
      </c>
      <c r="C67" s="486" t="s">
        <v>124</v>
      </c>
      <c r="D67" s="488">
        <v>4335049</v>
      </c>
      <c r="E67" s="486" t="s">
        <v>1984</v>
      </c>
      <c r="F67" s="484"/>
      <c r="G67" s="484"/>
      <c r="H67" s="484"/>
      <c r="I67" s="484"/>
      <c r="J67" s="484"/>
    </row>
    <row r="68" spans="1:10" x14ac:dyDescent="0.25">
      <c r="A68" s="484"/>
      <c r="B68" s="486" t="s">
        <v>372</v>
      </c>
      <c r="C68" s="486" t="s">
        <v>106</v>
      </c>
      <c r="D68" s="488">
        <v>6083354</v>
      </c>
      <c r="E68" s="486" t="s">
        <v>1984</v>
      </c>
      <c r="F68" s="484"/>
      <c r="G68" s="484"/>
      <c r="H68" s="484"/>
      <c r="I68" s="484"/>
      <c r="J68" s="484"/>
    </row>
    <row r="69" spans="1:10" x14ac:dyDescent="0.25">
      <c r="A69" s="484"/>
      <c r="B69" s="486" t="s">
        <v>407</v>
      </c>
      <c r="C69" s="486" t="s">
        <v>115</v>
      </c>
      <c r="D69" s="512">
        <v>660028.80000000005</v>
      </c>
      <c r="E69" s="486" t="s">
        <v>1984</v>
      </c>
      <c r="F69" s="484"/>
      <c r="G69" s="484"/>
      <c r="H69" s="484"/>
      <c r="I69" s="484"/>
      <c r="J69" s="484"/>
    </row>
    <row r="70" spans="1:10" x14ac:dyDescent="0.25">
      <c r="A70" s="484"/>
      <c r="B70" s="486" t="s">
        <v>1982</v>
      </c>
      <c r="C70" s="486" t="s">
        <v>130</v>
      </c>
      <c r="D70" s="488">
        <v>4708833</v>
      </c>
      <c r="E70" s="486" t="s">
        <v>1984</v>
      </c>
      <c r="F70" s="484"/>
      <c r="G70" s="484"/>
      <c r="H70" s="484"/>
      <c r="I70" s="484"/>
      <c r="J70" s="484"/>
    </row>
    <row r="71" spans="1:10" x14ac:dyDescent="0.25">
      <c r="A71" s="484"/>
      <c r="B71" s="484"/>
      <c r="C71" s="484"/>
      <c r="D71" s="484"/>
      <c r="E71" s="484"/>
      <c r="F71" s="484"/>
      <c r="G71" s="484"/>
      <c r="H71" s="484"/>
      <c r="I71" s="484"/>
      <c r="J71" s="484"/>
    </row>
    <row r="72" spans="1:10" x14ac:dyDescent="0.25">
      <c r="A72" s="484"/>
      <c r="B72" s="506" t="s">
        <v>1979</v>
      </c>
      <c r="C72" s="507"/>
      <c r="D72" s="508">
        <f>SUM(D61:D70)</f>
        <v>41325185.799999997</v>
      </c>
      <c r="E72" s="507"/>
      <c r="F72" s="484"/>
      <c r="G72" s="484"/>
      <c r="H72" s="484"/>
      <c r="I72" s="484"/>
      <c r="J72" s="484"/>
    </row>
    <row r="73" spans="1:10" x14ac:dyDescent="0.25">
      <c r="A73" s="484"/>
      <c r="B73" s="509" t="s">
        <v>1983</v>
      </c>
      <c r="C73" s="510"/>
      <c r="D73" s="511">
        <f>SUMIF(E61:E70, "CANCELADA", D61:D70)</f>
        <v>19944172</v>
      </c>
      <c r="E73" s="510"/>
      <c r="F73" s="484"/>
      <c r="G73" s="484"/>
      <c r="H73" s="484"/>
      <c r="I73" s="484"/>
      <c r="J73" s="484"/>
    </row>
    <row r="74" spans="1:10" x14ac:dyDescent="0.25">
      <c r="A74" s="484"/>
      <c r="B74" s="509" t="s">
        <v>1984</v>
      </c>
      <c r="C74" s="510"/>
      <c r="D74" s="511">
        <f>D72-D73</f>
        <v>21381013.799999997</v>
      </c>
      <c r="E74" s="510"/>
      <c r="F74" s="484"/>
      <c r="G74" s="484"/>
      <c r="H74" s="484"/>
      <c r="I74" s="484"/>
      <c r="J74" s="484"/>
    </row>
    <row r="75" spans="1:10" x14ac:dyDescent="0.25">
      <c r="A75" s="484"/>
      <c r="B75" s="484"/>
      <c r="C75" s="484"/>
      <c r="D75" s="484"/>
      <c r="E75" s="484"/>
      <c r="F75" s="484"/>
      <c r="G75" s="484"/>
      <c r="H75" s="484"/>
      <c r="I75" s="484"/>
      <c r="J75" s="484"/>
    </row>
    <row r="76" spans="1:10" x14ac:dyDescent="0.25">
      <c r="A76" s="484"/>
      <c r="B76" s="484"/>
      <c r="C76" s="484"/>
      <c r="D76" s="484"/>
      <c r="E76" s="484"/>
      <c r="F76" s="484"/>
      <c r="G76" s="484"/>
      <c r="H76" s="484"/>
      <c r="I76" s="484"/>
      <c r="J76" s="484"/>
    </row>
    <row r="77" spans="1:10" x14ac:dyDescent="0.25">
      <c r="A77" s="484"/>
      <c r="B77" s="633" t="s">
        <v>3098</v>
      </c>
      <c r="C77" s="634"/>
      <c r="D77" s="634"/>
      <c r="E77" s="634"/>
      <c r="F77" s="484"/>
      <c r="G77" s="633" t="s">
        <v>3099</v>
      </c>
      <c r="H77" s="634"/>
      <c r="I77" s="634"/>
      <c r="J77" s="634"/>
    </row>
    <row r="78" spans="1:10" x14ac:dyDescent="0.25">
      <c r="A78" s="484"/>
      <c r="B78" s="503" t="s">
        <v>1977</v>
      </c>
      <c r="C78" s="503" t="s">
        <v>1978</v>
      </c>
      <c r="D78" s="503" t="s">
        <v>1979</v>
      </c>
      <c r="E78" s="503" t="s">
        <v>3096</v>
      </c>
      <c r="F78" s="484"/>
      <c r="G78" s="503" t="s">
        <v>1977</v>
      </c>
      <c r="H78" s="503" t="s">
        <v>1978</v>
      </c>
      <c r="I78" s="503" t="s">
        <v>1979</v>
      </c>
      <c r="J78" s="503" t="s">
        <v>3096</v>
      </c>
    </row>
    <row r="79" spans="1:10" x14ac:dyDescent="0.25">
      <c r="A79" s="484"/>
      <c r="B79" s="504" t="s">
        <v>225</v>
      </c>
      <c r="C79" s="504" t="s">
        <v>88</v>
      </c>
      <c r="D79" s="505">
        <v>107500</v>
      </c>
      <c r="E79" s="504" t="s">
        <v>1981</v>
      </c>
      <c r="F79" s="484"/>
      <c r="G79" s="486" t="s">
        <v>1211</v>
      </c>
      <c r="H79" s="486" t="s">
        <v>92</v>
      </c>
      <c r="I79" s="488">
        <v>1781350</v>
      </c>
      <c r="J79" s="486" t="s">
        <v>1984</v>
      </c>
    </row>
    <row r="80" spans="1:10" x14ac:dyDescent="0.25">
      <c r="A80" s="484"/>
      <c r="B80" s="504" t="s">
        <v>1155</v>
      </c>
      <c r="C80" s="504" t="s">
        <v>90</v>
      </c>
      <c r="D80" s="505">
        <v>4500</v>
      </c>
      <c r="E80" s="504" t="s">
        <v>1981</v>
      </c>
      <c r="F80" s="484"/>
      <c r="G80" s="486" t="s">
        <v>1406</v>
      </c>
      <c r="H80" s="486" t="s">
        <v>100</v>
      </c>
      <c r="I80" s="488">
        <v>953150</v>
      </c>
      <c r="J80" s="486" t="s">
        <v>1984</v>
      </c>
    </row>
    <row r="81" spans="1:10" x14ac:dyDescent="0.25">
      <c r="A81" s="484"/>
      <c r="B81" s="504" t="s">
        <v>1190</v>
      </c>
      <c r="C81" s="504" t="s">
        <v>90</v>
      </c>
      <c r="D81" s="505">
        <v>104000</v>
      </c>
      <c r="E81" s="504" t="s">
        <v>1981</v>
      </c>
      <c r="F81" s="484"/>
      <c r="G81" s="486" t="s">
        <v>560</v>
      </c>
      <c r="H81" s="486" t="s">
        <v>102</v>
      </c>
      <c r="I81" s="488">
        <v>2362400</v>
      </c>
      <c r="J81" s="486" t="s">
        <v>1984</v>
      </c>
    </row>
    <row r="82" spans="1:10" x14ac:dyDescent="0.25">
      <c r="A82" s="484"/>
      <c r="B82" s="504" t="s">
        <v>1200</v>
      </c>
      <c r="C82" s="504" t="s">
        <v>90</v>
      </c>
      <c r="D82" s="505">
        <v>198500</v>
      </c>
      <c r="E82" s="504" t="s">
        <v>1981</v>
      </c>
      <c r="F82" s="484"/>
      <c r="G82" s="486" t="s">
        <v>1546</v>
      </c>
      <c r="H82" s="486" t="s">
        <v>103</v>
      </c>
      <c r="I82" s="488">
        <v>184000</v>
      </c>
      <c r="J82" s="486" t="s">
        <v>1984</v>
      </c>
    </row>
    <row r="83" spans="1:10" x14ac:dyDescent="0.25">
      <c r="A83" s="484"/>
      <c r="B83" s="504" t="s">
        <v>245</v>
      </c>
      <c r="C83" s="504" t="s">
        <v>90</v>
      </c>
      <c r="D83" s="505">
        <v>238000</v>
      </c>
      <c r="E83" s="504" t="s">
        <v>1981</v>
      </c>
      <c r="F83" s="484"/>
      <c r="G83" s="484"/>
      <c r="H83" s="484"/>
      <c r="I83" s="513"/>
      <c r="J83" s="484"/>
    </row>
    <row r="84" spans="1:10" x14ac:dyDescent="0.25">
      <c r="A84" s="484"/>
      <c r="B84" s="504" t="s">
        <v>249</v>
      </c>
      <c r="C84" s="504" t="s">
        <v>90</v>
      </c>
      <c r="D84" s="505">
        <v>364000</v>
      </c>
      <c r="E84" s="504" t="s">
        <v>1981</v>
      </c>
      <c r="F84" s="484"/>
      <c r="G84" s="506" t="s">
        <v>1979</v>
      </c>
      <c r="H84" s="507"/>
      <c r="I84" s="508">
        <f>SUM(I79:I82)</f>
        <v>5280900</v>
      </c>
      <c r="J84" s="507"/>
    </row>
    <row r="85" spans="1:10" x14ac:dyDescent="0.25">
      <c r="A85" s="484"/>
      <c r="B85" s="504" t="s">
        <v>511</v>
      </c>
      <c r="C85" s="504" t="s">
        <v>92</v>
      </c>
      <c r="D85" s="505">
        <v>121975</v>
      </c>
      <c r="E85" s="504" t="s">
        <v>1981</v>
      </c>
      <c r="F85" s="484"/>
      <c r="G85" s="509" t="s">
        <v>1983</v>
      </c>
      <c r="H85" s="510"/>
      <c r="I85" s="511">
        <f>SUMIF(J79:J82, "CANCELADA", I79:I82)</f>
        <v>0</v>
      </c>
      <c r="J85" s="510"/>
    </row>
    <row r="86" spans="1:10" x14ac:dyDescent="0.25">
      <c r="A86" s="484"/>
      <c r="B86" s="504" t="s">
        <v>1321</v>
      </c>
      <c r="C86" s="504" t="s">
        <v>94</v>
      </c>
      <c r="D86" s="505">
        <v>36000</v>
      </c>
      <c r="E86" s="504" t="s">
        <v>1981</v>
      </c>
      <c r="F86" s="484"/>
      <c r="G86" s="509" t="s">
        <v>1984</v>
      </c>
      <c r="H86" s="510"/>
      <c r="I86" s="511">
        <f>I84-I85</f>
        <v>5280900</v>
      </c>
      <c r="J86" s="510"/>
    </row>
    <row r="87" spans="1:10" x14ac:dyDescent="0.25">
      <c r="A87" s="484"/>
      <c r="B87" s="504" t="s">
        <v>1326</v>
      </c>
      <c r="C87" s="504" t="s">
        <v>94</v>
      </c>
      <c r="D87" s="505">
        <v>254200</v>
      </c>
      <c r="E87" s="504" t="s">
        <v>1981</v>
      </c>
      <c r="F87" s="484"/>
      <c r="G87" s="484"/>
      <c r="H87" s="484"/>
      <c r="I87" s="484"/>
      <c r="J87" s="484"/>
    </row>
    <row r="88" spans="1:10" x14ac:dyDescent="0.25">
      <c r="A88" s="484"/>
      <c r="B88" s="504" t="s">
        <v>290</v>
      </c>
      <c r="C88" s="504" t="s">
        <v>94</v>
      </c>
      <c r="D88" s="505">
        <v>364000</v>
      </c>
      <c r="E88" s="504" t="s">
        <v>1981</v>
      </c>
      <c r="F88" s="484"/>
      <c r="G88" s="484"/>
      <c r="H88" s="484"/>
      <c r="I88" s="484"/>
      <c r="J88" s="484"/>
    </row>
    <row r="89" spans="1:10" x14ac:dyDescent="0.25">
      <c r="A89" s="484"/>
      <c r="B89" s="504" t="s">
        <v>292</v>
      </c>
      <c r="C89" s="504" t="s">
        <v>98</v>
      </c>
      <c r="D89" s="514">
        <v>61606.04</v>
      </c>
      <c r="E89" s="504" t="s">
        <v>1981</v>
      </c>
      <c r="F89" s="484"/>
      <c r="G89" s="484"/>
      <c r="H89" s="484"/>
      <c r="I89" s="484"/>
      <c r="J89" s="484"/>
    </row>
    <row r="90" spans="1:10" x14ac:dyDescent="0.25">
      <c r="A90" s="484"/>
      <c r="B90" s="504" t="s">
        <v>299</v>
      </c>
      <c r="C90" s="504" t="s">
        <v>98</v>
      </c>
      <c r="D90" s="505">
        <v>130000</v>
      </c>
      <c r="E90" s="504" t="s">
        <v>1981</v>
      </c>
      <c r="F90" s="484"/>
      <c r="G90" s="484"/>
      <c r="H90" s="484"/>
      <c r="I90" s="484"/>
      <c r="J90" s="484"/>
    </row>
    <row r="91" spans="1:10" x14ac:dyDescent="0.25">
      <c r="A91" s="484"/>
      <c r="B91" s="504" t="s">
        <v>3100</v>
      </c>
      <c r="C91" s="504" t="s">
        <v>100</v>
      </c>
      <c r="D91" s="505">
        <v>66000</v>
      </c>
      <c r="E91" s="504" t="s">
        <v>1981</v>
      </c>
      <c r="F91" s="484"/>
      <c r="G91" s="484"/>
      <c r="H91" s="484"/>
      <c r="I91" s="515"/>
      <c r="J91" s="484"/>
    </row>
    <row r="92" spans="1:10" x14ac:dyDescent="0.25">
      <c r="A92" s="484"/>
      <c r="B92" s="504" t="s">
        <v>3101</v>
      </c>
      <c r="C92" s="504" t="s">
        <v>100</v>
      </c>
      <c r="D92" s="505">
        <v>72200</v>
      </c>
      <c r="E92" s="504" t="s">
        <v>1981</v>
      </c>
      <c r="F92" s="484"/>
      <c r="G92" s="484"/>
      <c r="H92" s="484"/>
      <c r="I92" s="484"/>
      <c r="J92" s="484"/>
    </row>
    <row r="93" spans="1:10" x14ac:dyDescent="0.25">
      <c r="A93" s="484"/>
      <c r="B93" s="504" t="s">
        <v>3102</v>
      </c>
      <c r="C93" s="504" t="s">
        <v>100</v>
      </c>
      <c r="D93" s="505">
        <v>13500</v>
      </c>
      <c r="E93" s="504" t="s">
        <v>1981</v>
      </c>
      <c r="F93" s="484"/>
      <c r="G93" s="484"/>
      <c r="H93" s="484"/>
      <c r="I93" s="513"/>
      <c r="J93" s="484"/>
    </row>
    <row r="94" spans="1:10" x14ac:dyDescent="0.25">
      <c r="A94" s="484"/>
      <c r="B94" s="504" t="s">
        <v>3103</v>
      </c>
      <c r="C94" s="504" t="s">
        <v>100</v>
      </c>
      <c r="D94" s="505">
        <v>20000</v>
      </c>
      <c r="E94" s="504" t="s">
        <v>1981</v>
      </c>
      <c r="F94" s="484"/>
      <c r="G94" s="484"/>
      <c r="H94" s="484"/>
      <c r="I94" s="513"/>
      <c r="J94" s="484"/>
    </row>
    <row r="95" spans="1:10" x14ac:dyDescent="0.25">
      <c r="A95" s="484"/>
      <c r="B95" s="504" t="s">
        <v>3104</v>
      </c>
      <c r="C95" s="504" t="s">
        <v>100</v>
      </c>
      <c r="D95" s="505">
        <v>90000</v>
      </c>
      <c r="E95" s="504" t="s">
        <v>1981</v>
      </c>
      <c r="F95" s="484"/>
      <c r="G95" s="484"/>
      <c r="H95" s="484"/>
      <c r="I95" s="513"/>
      <c r="J95" s="484"/>
    </row>
    <row r="96" spans="1:10" x14ac:dyDescent="0.25">
      <c r="A96" s="484"/>
      <c r="B96" s="504" t="s">
        <v>3105</v>
      </c>
      <c r="C96" s="504" t="s">
        <v>100</v>
      </c>
      <c r="D96" s="505">
        <v>81000</v>
      </c>
      <c r="E96" s="504" t="s">
        <v>1981</v>
      </c>
      <c r="F96" s="484"/>
      <c r="G96" s="484"/>
      <c r="H96" s="484"/>
      <c r="I96" s="484"/>
      <c r="J96" s="484"/>
    </row>
    <row r="97" spans="1:10" x14ac:dyDescent="0.25">
      <c r="A97" s="484"/>
      <c r="B97" s="504" t="s">
        <v>3106</v>
      </c>
      <c r="C97" s="504" t="s">
        <v>100</v>
      </c>
      <c r="D97" s="505">
        <v>5000</v>
      </c>
      <c r="E97" s="504" t="s">
        <v>1981</v>
      </c>
      <c r="F97" s="484"/>
      <c r="G97" s="484"/>
      <c r="H97" s="484"/>
      <c r="I97" s="484"/>
      <c r="J97" s="484"/>
    </row>
    <row r="98" spans="1:10" x14ac:dyDescent="0.25">
      <c r="A98" s="484"/>
      <c r="B98" s="504" t="s">
        <v>3107</v>
      </c>
      <c r="C98" s="504" t="s">
        <v>100</v>
      </c>
      <c r="D98" s="505">
        <v>86600</v>
      </c>
      <c r="E98" s="504" t="s">
        <v>1981</v>
      </c>
      <c r="F98" s="484"/>
      <c r="G98" s="484"/>
      <c r="H98" s="484"/>
      <c r="I98" s="484"/>
      <c r="J98" s="484"/>
    </row>
    <row r="99" spans="1:10" x14ac:dyDescent="0.25">
      <c r="A99" s="484"/>
      <c r="B99" s="504" t="s">
        <v>3108</v>
      </c>
      <c r="C99" s="504" t="s">
        <v>100</v>
      </c>
      <c r="D99" s="505">
        <v>130000</v>
      </c>
      <c r="E99" s="504" t="s">
        <v>1981</v>
      </c>
      <c r="F99" s="484"/>
      <c r="G99" s="484"/>
      <c r="H99" s="484"/>
      <c r="I99" s="484"/>
      <c r="J99" s="484"/>
    </row>
    <row r="100" spans="1:10" x14ac:dyDescent="0.25">
      <c r="A100" s="484"/>
      <c r="B100" s="504" t="s">
        <v>3109</v>
      </c>
      <c r="C100" s="504" t="s">
        <v>100</v>
      </c>
      <c r="D100" s="505">
        <v>35100</v>
      </c>
      <c r="E100" s="504" t="s">
        <v>1981</v>
      </c>
      <c r="F100" s="484"/>
      <c r="G100" s="484"/>
      <c r="H100" s="484"/>
      <c r="I100" s="515"/>
      <c r="J100" s="484"/>
    </row>
    <row r="101" spans="1:10" x14ac:dyDescent="0.25">
      <c r="A101" s="484"/>
      <c r="B101" s="504" t="s">
        <v>3110</v>
      </c>
      <c r="C101" s="504" t="s">
        <v>100</v>
      </c>
      <c r="D101" s="505">
        <v>66000</v>
      </c>
      <c r="E101" s="504" t="s">
        <v>1981</v>
      </c>
      <c r="F101" s="484"/>
      <c r="G101" s="484"/>
      <c r="H101" s="484"/>
      <c r="I101" s="515"/>
      <c r="J101" s="484"/>
    </row>
    <row r="102" spans="1:10" x14ac:dyDescent="0.25">
      <c r="A102" s="484"/>
      <c r="B102" s="504" t="s">
        <v>3111</v>
      </c>
      <c r="C102" s="504" t="s">
        <v>100</v>
      </c>
      <c r="D102" s="505">
        <v>78500</v>
      </c>
      <c r="E102" s="504" t="s">
        <v>1981</v>
      </c>
      <c r="F102" s="484"/>
      <c r="G102" s="484"/>
      <c r="H102" s="484"/>
      <c r="I102" s="515"/>
      <c r="J102" s="484"/>
    </row>
    <row r="103" spans="1:10" x14ac:dyDescent="0.25">
      <c r="A103" s="484"/>
      <c r="B103" s="504" t="s">
        <v>1460</v>
      </c>
      <c r="C103" s="504" t="s">
        <v>100</v>
      </c>
      <c r="D103" s="505">
        <v>227500</v>
      </c>
      <c r="E103" s="504" t="s">
        <v>1981</v>
      </c>
      <c r="F103" s="484"/>
      <c r="G103" s="484"/>
      <c r="H103" s="484"/>
      <c r="I103" s="515"/>
      <c r="J103" s="484"/>
    </row>
    <row r="104" spans="1:10" x14ac:dyDescent="0.25">
      <c r="A104" s="484"/>
      <c r="B104" s="504" t="s">
        <v>1464</v>
      </c>
      <c r="C104" s="504" t="s">
        <v>100</v>
      </c>
      <c r="D104" s="514">
        <v>184698.71</v>
      </c>
      <c r="E104" s="504" t="s">
        <v>1981</v>
      </c>
      <c r="F104" s="484"/>
      <c r="G104" s="484"/>
      <c r="H104" s="484"/>
      <c r="I104" s="515"/>
      <c r="J104" s="484"/>
    </row>
    <row r="105" spans="1:10" x14ac:dyDescent="0.25">
      <c r="A105" s="484"/>
      <c r="B105" s="504" t="s">
        <v>1716</v>
      </c>
      <c r="C105" s="504" t="s">
        <v>100</v>
      </c>
      <c r="D105" s="505">
        <v>29512</v>
      </c>
      <c r="E105" s="504" t="s">
        <v>1981</v>
      </c>
      <c r="F105" s="484"/>
      <c r="G105" s="484"/>
      <c r="H105" s="484"/>
      <c r="I105" s="515"/>
      <c r="J105" s="484"/>
    </row>
    <row r="106" spans="1:10" x14ac:dyDescent="0.25">
      <c r="A106" s="484"/>
      <c r="B106" s="504" t="s">
        <v>333</v>
      </c>
      <c r="C106" s="504" t="s">
        <v>102</v>
      </c>
      <c r="D106" s="505">
        <v>4500</v>
      </c>
      <c r="E106" s="504" t="s">
        <v>1981</v>
      </c>
      <c r="F106" s="484"/>
      <c r="G106" s="484"/>
      <c r="H106" s="484"/>
      <c r="I106" s="515"/>
      <c r="J106" s="484"/>
    </row>
    <row r="107" spans="1:10" x14ac:dyDescent="0.25">
      <c r="A107" s="484"/>
      <c r="B107" s="504" t="s">
        <v>340</v>
      </c>
      <c r="C107" s="504" t="s">
        <v>102</v>
      </c>
      <c r="D107" s="505">
        <v>330000</v>
      </c>
      <c r="E107" s="504" t="s">
        <v>1981</v>
      </c>
      <c r="F107" s="484"/>
      <c r="G107" s="484"/>
      <c r="H107" s="484"/>
      <c r="I107" s="515"/>
      <c r="J107" s="484"/>
    </row>
    <row r="108" spans="1:10" x14ac:dyDescent="0.25">
      <c r="A108" s="484"/>
      <c r="B108" s="504" t="s">
        <v>3112</v>
      </c>
      <c r="C108" s="504" t="s">
        <v>102</v>
      </c>
      <c r="D108" s="505">
        <v>76500</v>
      </c>
      <c r="E108" s="504" t="s">
        <v>1981</v>
      </c>
      <c r="F108" s="484"/>
      <c r="G108" s="484"/>
      <c r="H108" s="484"/>
      <c r="I108" s="515"/>
      <c r="J108" s="484"/>
    </row>
    <row r="109" spans="1:10" x14ac:dyDescent="0.25">
      <c r="A109" s="484"/>
      <c r="B109" s="504" t="s">
        <v>3113</v>
      </c>
      <c r="C109" s="504" t="s">
        <v>102</v>
      </c>
      <c r="D109" s="505">
        <v>500000</v>
      </c>
      <c r="E109" s="504" t="s">
        <v>1981</v>
      </c>
      <c r="F109" s="484"/>
      <c r="G109" s="484"/>
      <c r="H109" s="484"/>
      <c r="I109" s="515"/>
      <c r="J109" s="484"/>
    </row>
    <row r="110" spans="1:10" x14ac:dyDescent="0.25">
      <c r="A110" s="484"/>
      <c r="B110" s="504" t="s">
        <v>3114</v>
      </c>
      <c r="C110" s="504" t="s">
        <v>102</v>
      </c>
      <c r="D110" s="505">
        <v>40000</v>
      </c>
      <c r="E110" s="504" t="s">
        <v>1981</v>
      </c>
      <c r="F110" s="484"/>
      <c r="G110" s="484"/>
      <c r="H110" s="484"/>
      <c r="I110" s="484"/>
      <c r="J110" s="484"/>
    </row>
    <row r="111" spans="1:10" x14ac:dyDescent="0.25">
      <c r="A111" s="484"/>
      <c r="B111" s="504" t="s">
        <v>3115</v>
      </c>
      <c r="C111" s="504" t="s">
        <v>102</v>
      </c>
      <c r="D111" s="505">
        <v>31000</v>
      </c>
      <c r="E111" s="504" t="s">
        <v>1981</v>
      </c>
      <c r="F111" s="484"/>
      <c r="G111" s="484"/>
      <c r="H111" s="484"/>
      <c r="I111" s="513"/>
      <c r="J111" s="484"/>
    </row>
    <row r="112" spans="1:10" x14ac:dyDescent="0.25">
      <c r="A112" s="484"/>
      <c r="B112" s="504" t="s">
        <v>3116</v>
      </c>
      <c r="C112" s="504" t="s">
        <v>102</v>
      </c>
      <c r="D112" s="505">
        <v>130000</v>
      </c>
      <c r="E112" s="504" t="s">
        <v>1981</v>
      </c>
      <c r="F112" s="484"/>
      <c r="G112" s="484"/>
      <c r="H112" s="484"/>
      <c r="I112" s="513"/>
      <c r="J112" s="484"/>
    </row>
    <row r="113" spans="1:10" x14ac:dyDescent="0.25">
      <c r="A113" s="484"/>
      <c r="B113" s="504" t="s">
        <v>1498</v>
      </c>
      <c r="C113" s="504" t="s">
        <v>102</v>
      </c>
      <c r="D113" s="505">
        <v>352450</v>
      </c>
      <c r="E113" s="504" t="s">
        <v>1981</v>
      </c>
      <c r="F113" s="484"/>
      <c r="G113" s="484"/>
      <c r="H113" s="484"/>
      <c r="I113" s="513"/>
      <c r="J113" s="484"/>
    </row>
    <row r="114" spans="1:10" x14ac:dyDescent="0.25">
      <c r="A114" s="484"/>
      <c r="B114" s="504" t="s">
        <v>1508</v>
      </c>
      <c r="C114" s="504" t="s">
        <v>102</v>
      </c>
      <c r="D114" s="505">
        <v>114950</v>
      </c>
      <c r="E114" s="504" t="s">
        <v>1981</v>
      </c>
      <c r="F114" s="484"/>
      <c r="G114" s="484"/>
      <c r="H114" s="484"/>
      <c r="I114" s="484"/>
      <c r="J114" s="484"/>
    </row>
    <row r="115" spans="1:10" x14ac:dyDescent="0.25">
      <c r="A115" s="484"/>
      <c r="B115" s="504" t="s">
        <v>3117</v>
      </c>
      <c r="C115" s="504" t="s">
        <v>102</v>
      </c>
      <c r="D115" s="505">
        <v>3000</v>
      </c>
      <c r="E115" s="504" t="s">
        <v>1981</v>
      </c>
      <c r="F115" s="484"/>
      <c r="G115" s="484"/>
      <c r="H115" s="484"/>
      <c r="I115" s="484"/>
      <c r="J115" s="484"/>
    </row>
    <row r="116" spans="1:10" x14ac:dyDescent="0.25">
      <c r="A116" s="484"/>
      <c r="B116" s="504" t="s">
        <v>593</v>
      </c>
      <c r="C116" s="504" t="s">
        <v>102</v>
      </c>
      <c r="D116" s="505">
        <v>130000</v>
      </c>
      <c r="E116" s="504" t="s">
        <v>1981</v>
      </c>
      <c r="F116" s="484"/>
      <c r="G116" s="484"/>
      <c r="H116" s="484"/>
      <c r="I116" s="484"/>
      <c r="J116" s="484"/>
    </row>
    <row r="117" spans="1:10" x14ac:dyDescent="0.25">
      <c r="A117" s="484"/>
      <c r="B117" s="504" t="s">
        <v>1520</v>
      </c>
      <c r="C117" s="504" t="s">
        <v>103</v>
      </c>
      <c r="D117" s="505">
        <v>19000</v>
      </c>
      <c r="E117" s="504" t="s">
        <v>1981</v>
      </c>
      <c r="F117" s="484"/>
      <c r="G117" s="484"/>
      <c r="H117" s="484"/>
      <c r="I117" s="484"/>
      <c r="J117" s="484"/>
    </row>
    <row r="118" spans="1:10" x14ac:dyDescent="0.25">
      <c r="A118" s="484"/>
      <c r="B118" s="504" t="s">
        <v>3118</v>
      </c>
      <c r="C118" s="504" t="s">
        <v>103</v>
      </c>
      <c r="D118" s="505">
        <v>28000</v>
      </c>
      <c r="E118" s="504" t="s">
        <v>1981</v>
      </c>
      <c r="F118" s="484"/>
      <c r="G118" s="484"/>
      <c r="H118" s="484"/>
      <c r="I118" s="484"/>
      <c r="J118" s="484"/>
    </row>
    <row r="119" spans="1:10" x14ac:dyDescent="0.25">
      <c r="A119" s="484"/>
      <c r="B119" s="504" t="s">
        <v>3119</v>
      </c>
      <c r="C119" s="504" t="s">
        <v>103</v>
      </c>
      <c r="D119" s="505">
        <v>75350</v>
      </c>
      <c r="E119" s="504" t="s">
        <v>1981</v>
      </c>
      <c r="F119" s="484"/>
      <c r="G119" s="484"/>
      <c r="H119" s="484"/>
      <c r="I119" s="484"/>
      <c r="J119" s="484"/>
    </row>
    <row r="120" spans="1:10" x14ac:dyDescent="0.25">
      <c r="A120" s="484"/>
      <c r="B120" s="504" t="s">
        <v>1559</v>
      </c>
      <c r="C120" s="504" t="s">
        <v>103</v>
      </c>
      <c r="D120" s="505">
        <v>75000</v>
      </c>
      <c r="E120" s="504" t="s">
        <v>1981</v>
      </c>
      <c r="F120" s="484"/>
      <c r="G120" s="484"/>
      <c r="H120" s="484"/>
      <c r="I120" s="484"/>
      <c r="J120" s="484"/>
    </row>
    <row r="121" spans="1:10" x14ac:dyDescent="0.25">
      <c r="A121" s="484"/>
      <c r="B121" s="504" t="s">
        <v>618</v>
      </c>
      <c r="C121" s="504" t="s">
        <v>103</v>
      </c>
      <c r="D121" s="505">
        <v>10504</v>
      </c>
      <c r="E121" s="504" t="s">
        <v>1981</v>
      </c>
      <c r="F121" s="484"/>
      <c r="G121" s="484"/>
      <c r="H121" s="484"/>
      <c r="I121" s="484"/>
      <c r="J121" s="484"/>
    </row>
    <row r="122" spans="1:10" x14ac:dyDescent="0.25">
      <c r="A122" s="484"/>
      <c r="B122" s="504" t="s">
        <v>621</v>
      </c>
      <c r="C122" s="504" t="s">
        <v>103</v>
      </c>
      <c r="D122" s="505">
        <v>12000</v>
      </c>
      <c r="E122" s="504" t="s">
        <v>1981</v>
      </c>
      <c r="F122" s="484"/>
      <c r="G122" s="484"/>
      <c r="H122" s="484"/>
      <c r="I122" s="484"/>
      <c r="J122" s="484"/>
    </row>
    <row r="123" spans="1:10" x14ac:dyDescent="0.25">
      <c r="A123" s="484"/>
      <c r="B123" s="504" t="s">
        <v>627</v>
      </c>
      <c r="C123" s="504" t="s">
        <v>103</v>
      </c>
      <c r="D123" s="505">
        <v>37815</v>
      </c>
      <c r="E123" s="504" t="s">
        <v>1981</v>
      </c>
      <c r="F123" s="484"/>
      <c r="G123" s="484"/>
      <c r="H123" s="484"/>
      <c r="I123" s="484"/>
      <c r="J123" s="484"/>
    </row>
    <row r="124" spans="1:10" x14ac:dyDescent="0.25">
      <c r="A124" s="484"/>
      <c r="B124" s="504" t="s">
        <v>630</v>
      </c>
      <c r="C124" s="504" t="s">
        <v>103</v>
      </c>
      <c r="D124" s="505">
        <v>264500</v>
      </c>
      <c r="E124" s="504" t="s">
        <v>1981</v>
      </c>
      <c r="F124" s="484"/>
      <c r="G124" s="484"/>
      <c r="H124" s="484"/>
      <c r="I124" s="484"/>
      <c r="J124" s="484"/>
    </row>
    <row r="125" spans="1:10" x14ac:dyDescent="0.25">
      <c r="A125" s="484"/>
      <c r="B125" s="504" t="s">
        <v>633</v>
      </c>
      <c r="C125" s="504" t="s">
        <v>103</v>
      </c>
      <c r="D125" s="505">
        <v>65000</v>
      </c>
      <c r="E125" s="504" t="s">
        <v>1981</v>
      </c>
      <c r="F125" s="484"/>
      <c r="G125" s="484"/>
      <c r="H125" s="484"/>
      <c r="I125" s="484"/>
      <c r="J125" s="484"/>
    </row>
    <row r="126" spans="1:10" x14ac:dyDescent="0.25">
      <c r="A126" s="484"/>
      <c r="B126" s="504" t="s">
        <v>639</v>
      </c>
      <c r="C126" s="504" t="s">
        <v>103</v>
      </c>
      <c r="D126" s="505">
        <v>146370</v>
      </c>
      <c r="E126" s="504" t="s">
        <v>1981</v>
      </c>
      <c r="F126" s="484"/>
      <c r="G126" s="484"/>
      <c r="H126" s="484"/>
      <c r="I126" s="484"/>
      <c r="J126" s="484"/>
    </row>
    <row r="127" spans="1:10" x14ac:dyDescent="0.25">
      <c r="A127" s="484"/>
      <c r="B127" s="504" t="s">
        <v>810</v>
      </c>
      <c r="C127" s="504" t="s">
        <v>104</v>
      </c>
      <c r="D127" s="505">
        <v>1149000</v>
      </c>
      <c r="E127" s="504" t="s">
        <v>1981</v>
      </c>
      <c r="F127" s="484"/>
      <c r="G127" s="484"/>
      <c r="H127" s="484"/>
      <c r="I127" s="484"/>
      <c r="J127" s="484"/>
    </row>
    <row r="128" spans="1:10" x14ac:dyDescent="0.25">
      <c r="A128" s="484"/>
      <c r="B128" s="504" t="s">
        <v>3120</v>
      </c>
      <c r="C128" s="504" t="s">
        <v>104</v>
      </c>
      <c r="D128" s="505">
        <v>432000</v>
      </c>
      <c r="E128" s="504" t="s">
        <v>1981</v>
      </c>
      <c r="F128" s="484"/>
      <c r="G128" s="484"/>
      <c r="H128" s="484"/>
      <c r="I128" s="484"/>
      <c r="J128" s="484"/>
    </row>
    <row r="129" spans="1:10" x14ac:dyDescent="0.25">
      <c r="A129" s="484"/>
      <c r="B129" s="504" t="s">
        <v>3121</v>
      </c>
      <c r="C129" s="504" t="s">
        <v>104</v>
      </c>
      <c r="D129" s="505">
        <v>200000</v>
      </c>
      <c r="E129" s="504" t="s">
        <v>1981</v>
      </c>
      <c r="F129" s="484"/>
      <c r="G129" s="484"/>
      <c r="H129" s="484"/>
      <c r="I129" s="484"/>
      <c r="J129" s="484"/>
    </row>
    <row r="130" spans="1:10" x14ac:dyDescent="0.25">
      <c r="A130" s="484"/>
      <c r="B130" s="504" t="s">
        <v>3122</v>
      </c>
      <c r="C130" s="504" t="s">
        <v>104</v>
      </c>
      <c r="D130" s="505">
        <v>1456000</v>
      </c>
      <c r="E130" s="504" t="s">
        <v>1981</v>
      </c>
      <c r="F130" s="484"/>
      <c r="G130" s="484"/>
      <c r="H130" s="484"/>
      <c r="I130" s="484"/>
      <c r="J130" s="484"/>
    </row>
    <row r="131" spans="1:10" x14ac:dyDescent="0.25">
      <c r="A131" s="484"/>
      <c r="B131" s="504" t="s">
        <v>3123</v>
      </c>
      <c r="C131" s="504" t="s">
        <v>104</v>
      </c>
      <c r="D131" s="505">
        <v>1124100</v>
      </c>
      <c r="E131" s="504" t="s">
        <v>1981</v>
      </c>
      <c r="F131" s="484"/>
      <c r="G131" s="484"/>
      <c r="H131" s="484"/>
      <c r="I131" s="484"/>
      <c r="J131" s="484"/>
    </row>
    <row r="132" spans="1:10" x14ac:dyDescent="0.25">
      <c r="A132" s="484"/>
      <c r="B132" s="504" t="s">
        <v>3124</v>
      </c>
      <c r="C132" s="504" t="s">
        <v>104</v>
      </c>
      <c r="D132" s="505">
        <v>200000</v>
      </c>
      <c r="E132" s="504" t="s">
        <v>1981</v>
      </c>
      <c r="F132" s="484"/>
      <c r="G132" s="484"/>
      <c r="H132" s="484"/>
      <c r="I132" s="484"/>
      <c r="J132" s="484"/>
    </row>
    <row r="133" spans="1:10" x14ac:dyDescent="0.25">
      <c r="A133" s="484"/>
      <c r="B133" s="504" t="s">
        <v>3125</v>
      </c>
      <c r="C133" s="504" t="s">
        <v>104</v>
      </c>
      <c r="D133" s="505">
        <v>85000</v>
      </c>
      <c r="E133" s="504" t="s">
        <v>1981</v>
      </c>
      <c r="F133" s="484"/>
      <c r="G133" s="484"/>
      <c r="H133" s="484"/>
      <c r="I133" s="484"/>
      <c r="J133" s="484"/>
    </row>
    <row r="134" spans="1:10" x14ac:dyDescent="0.25">
      <c r="A134" s="484"/>
      <c r="B134" s="504" t="s">
        <v>364</v>
      </c>
      <c r="C134" s="504" t="s">
        <v>104</v>
      </c>
      <c r="D134" s="505">
        <v>77000</v>
      </c>
      <c r="E134" s="504" t="s">
        <v>1981</v>
      </c>
      <c r="F134" s="484"/>
      <c r="G134" s="484"/>
      <c r="H134" s="484"/>
      <c r="I134" s="484"/>
      <c r="J134" s="484"/>
    </row>
    <row r="135" spans="1:10" x14ac:dyDescent="0.25">
      <c r="A135" s="484"/>
      <c r="B135" s="504" t="s">
        <v>3126</v>
      </c>
      <c r="C135" s="504" t="s">
        <v>104</v>
      </c>
      <c r="D135" s="505">
        <v>49500</v>
      </c>
      <c r="E135" s="504" t="s">
        <v>1981</v>
      </c>
      <c r="F135" s="484"/>
      <c r="G135" s="484"/>
      <c r="H135" s="484"/>
      <c r="I135" s="484"/>
      <c r="J135" s="484"/>
    </row>
    <row r="136" spans="1:10" x14ac:dyDescent="0.25">
      <c r="A136" s="484"/>
      <c r="B136" s="504" t="s">
        <v>3127</v>
      </c>
      <c r="C136" s="504" t="s">
        <v>104</v>
      </c>
      <c r="D136" s="505">
        <v>136700</v>
      </c>
      <c r="E136" s="504" t="s">
        <v>1981</v>
      </c>
      <c r="F136" s="484"/>
      <c r="G136" s="484"/>
      <c r="H136" s="484"/>
      <c r="I136" s="484"/>
      <c r="J136" s="484"/>
    </row>
    <row r="137" spans="1:10" x14ac:dyDescent="0.25">
      <c r="A137" s="484"/>
      <c r="B137" s="504" t="s">
        <v>1620</v>
      </c>
      <c r="C137" s="504" t="s">
        <v>104</v>
      </c>
      <c r="D137" s="505">
        <v>130546</v>
      </c>
      <c r="E137" s="504" t="s">
        <v>1981</v>
      </c>
      <c r="F137" s="484"/>
      <c r="G137" s="484"/>
      <c r="H137" s="484"/>
      <c r="I137" s="484"/>
      <c r="J137" s="484"/>
    </row>
    <row r="138" spans="1:10" x14ac:dyDescent="0.25">
      <c r="A138" s="484"/>
      <c r="B138" s="504" t="s">
        <v>3128</v>
      </c>
      <c r="C138" s="504" t="s">
        <v>104</v>
      </c>
      <c r="D138" s="505">
        <v>29900</v>
      </c>
      <c r="E138" s="504" t="s">
        <v>1981</v>
      </c>
      <c r="F138" s="484"/>
      <c r="G138" s="484"/>
      <c r="H138" s="484"/>
      <c r="I138" s="484"/>
      <c r="J138" s="484"/>
    </row>
    <row r="139" spans="1:10" x14ac:dyDescent="0.25">
      <c r="A139" s="484"/>
      <c r="B139" s="504" t="s">
        <v>3129</v>
      </c>
      <c r="C139" s="504" t="s">
        <v>104</v>
      </c>
      <c r="D139" s="505">
        <v>6000</v>
      </c>
      <c r="E139" s="504" t="s">
        <v>1981</v>
      </c>
      <c r="F139" s="484"/>
      <c r="G139" s="484"/>
      <c r="H139" s="484"/>
      <c r="I139" s="484"/>
      <c r="J139" s="484"/>
    </row>
    <row r="140" spans="1:10" x14ac:dyDescent="0.25">
      <c r="A140" s="484"/>
      <c r="B140" s="504" t="s">
        <v>1634</v>
      </c>
      <c r="C140" s="504" t="s">
        <v>106</v>
      </c>
      <c r="D140" s="505">
        <v>603770</v>
      </c>
      <c r="E140" s="504" t="s">
        <v>1981</v>
      </c>
      <c r="F140" s="484"/>
      <c r="G140" s="484"/>
      <c r="H140" s="484"/>
      <c r="I140" s="484"/>
      <c r="J140" s="484"/>
    </row>
    <row r="141" spans="1:10" x14ac:dyDescent="0.25">
      <c r="A141" s="484"/>
      <c r="B141" s="504" t="s">
        <v>3130</v>
      </c>
      <c r="C141" s="504" t="s">
        <v>106</v>
      </c>
      <c r="D141" s="505">
        <v>147000</v>
      </c>
      <c r="E141" s="504" t="s">
        <v>1981</v>
      </c>
      <c r="F141" s="484"/>
      <c r="G141" s="484"/>
      <c r="H141" s="484"/>
      <c r="I141" s="484"/>
      <c r="J141" s="484"/>
    </row>
    <row r="142" spans="1:10" x14ac:dyDescent="0.25">
      <c r="A142" s="484"/>
      <c r="B142" s="504" t="s">
        <v>1657</v>
      </c>
      <c r="C142" s="504" t="s">
        <v>106</v>
      </c>
      <c r="D142" s="505">
        <v>137940</v>
      </c>
      <c r="E142" s="504" t="s">
        <v>1981</v>
      </c>
      <c r="F142" s="484"/>
      <c r="G142" s="484"/>
      <c r="H142" s="484"/>
      <c r="I142" s="484"/>
      <c r="J142" s="484"/>
    </row>
    <row r="143" spans="1:10" x14ac:dyDescent="0.25">
      <c r="A143" s="484"/>
      <c r="B143" s="504" t="s">
        <v>3131</v>
      </c>
      <c r="C143" s="504" t="s">
        <v>106</v>
      </c>
      <c r="D143" s="505">
        <v>90000</v>
      </c>
      <c r="E143" s="504" t="s">
        <v>1981</v>
      </c>
      <c r="F143" s="484"/>
      <c r="G143" s="484"/>
      <c r="H143" s="484"/>
      <c r="I143" s="484"/>
      <c r="J143" s="484"/>
    </row>
    <row r="144" spans="1:10" x14ac:dyDescent="0.25">
      <c r="A144" s="484"/>
      <c r="B144" s="504" t="s">
        <v>386</v>
      </c>
      <c r="C144" s="504" t="s">
        <v>106</v>
      </c>
      <c r="D144" s="505">
        <v>332000</v>
      </c>
      <c r="E144" s="504" t="s">
        <v>1981</v>
      </c>
      <c r="F144" s="484"/>
      <c r="G144" s="484"/>
      <c r="H144" s="484"/>
      <c r="I144" s="484"/>
      <c r="J144" s="484"/>
    </row>
    <row r="145" spans="1:10" x14ac:dyDescent="0.25">
      <c r="A145" s="484"/>
      <c r="B145" s="504" t="s">
        <v>645</v>
      </c>
      <c r="C145" s="504" t="s">
        <v>106</v>
      </c>
      <c r="D145" s="505">
        <v>83000</v>
      </c>
      <c r="E145" s="504" t="s">
        <v>1981</v>
      </c>
      <c r="F145" s="484"/>
      <c r="G145" s="484"/>
      <c r="H145" s="484"/>
      <c r="I145" s="484"/>
      <c r="J145" s="484"/>
    </row>
    <row r="146" spans="1:10" x14ac:dyDescent="0.25">
      <c r="A146" s="484"/>
      <c r="B146" s="504" t="s">
        <v>652</v>
      </c>
      <c r="C146" s="504" t="s">
        <v>112</v>
      </c>
      <c r="D146" s="505">
        <v>64000</v>
      </c>
      <c r="E146" s="504" t="s">
        <v>1981</v>
      </c>
      <c r="F146" s="484"/>
      <c r="G146" s="484"/>
      <c r="H146" s="484"/>
      <c r="I146" s="484"/>
      <c r="J146" s="484"/>
    </row>
    <row r="147" spans="1:10" x14ac:dyDescent="0.25">
      <c r="A147" s="484"/>
      <c r="B147" s="504" t="s">
        <v>3132</v>
      </c>
      <c r="C147" s="504" t="s">
        <v>112</v>
      </c>
      <c r="D147" s="505">
        <v>105000</v>
      </c>
      <c r="E147" s="504" t="s">
        <v>1981</v>
      </c>
      <c r="F147" s="484"/>
      <c r="G147" s="484"/>
      <c r="H147" s="484"/>
      <c r="I147" s="484"/>
      <c r="J147" s="484"/>
    </row>
    <row r="148" spans="1:10" x14ac:dyDescent="0.25">
      <c r="A148" s="484"/>
      <c r="B148" s="504" t="s">
        <v>3133</v>
      </c>
      <c r="C148" s="504" t="s">
        <v>112</v>
      </c>
      <c r="D148" s="514">
        <v>68000.03</v>
      </c>
      <c r="E148" s="504" t="s">
        <v>1981</v>
      </c>
      <c r="F148" s="484"/>
      <c r="G148" s="484"/>
      <c r="H148" s="484"/>
      <c r="I148" s="484"/>
      <c r="J148" s="484"/>
    </row>
    <row r="149" spans="1:10" x14ac:dyDescent="0.25">
      <c r="A149" s="484"/>
      <c r="B149" s="504" t="s">
        <v>3134</v>
      </c>
      <c r="C149" s="504" t="s">
        <v>112</v>
      </c>
      <c r="D149" s="514">
        <v>28199.99</v>
      </c>
      <c r="E149" s="504" t="s">
        <v>1981</v>
      </c>
      <c r="F149" s="484"/>
      <c r="G149" s="484"/>
      <c r="H149" s="484"/>
      <c r="I149" s="484"/>
      <c r="J149" s="484"/>
    </row>
    <row r="150" spans="1:10" x14ac:dyDescent="0.25">
      <c r="A150" s="484"/>
      <c r="B150" s="504" t="s">
        <v>3135</v>
      </c>
      <c r="C150" s="504" t="s">
        <v>112</v>
      </c>
      <c r="D150" s="505">
        <v>3000</v>
      </c>
      <c r="E150" s="504" t="s">
        <v>1981</v>
      </c>
      <c r="F150" s="484"/>
      <c r="G150" s="484"/>
      <c r="H150" s="484"/>
      <c r="I150" s="484"/>
      <c r="J150" s="484"/>
    </row>
    <row r="151" spans="1:10" x14ac:dyDescent="0.25">
      <c r="A151" s="484"/>
      <c r="B151" s="504" t="s">
        <v>3136</v>
      </c>
      <c r="C151" s="504" t="s">
        <v>112</v>
      </c>
      <c r="D151" s="505">
        <v>6200</v>
      </c>
      <c r="E151" s="504" t="s">
        <v>1981</v>
      </c>
      <c r="F151" s="484"/>
      <c r="G151" s="484"/>
      <c r="H151" s="484"/>
      <c r="I151" s="484"/>
      <c r="J151" s="484"/>
    </row>
    <row r="152" spans="1:10" x14ac:dyDescent="0.25">
      <c r="A152" s="484"/>
      <c r="B152" s="504" t="s">
        <v>3137</v>
      </c>
      <c r="C152" s="504" t="s">
        <v>115</v>
      </c>
      <c r="D152" s="505">
        <v>37080</v>
      </c>
      <c r="E152" s="504" t="s">
        <v>1981</v>
      </c>
      <c r="F152" s="484"/>
      <c r="G152" s="484"/>
      <c r="H152" s="484"/>
      <c r="I152" s="484"/>
      <c r="J152" s="484"/>
    </row>
    <row r="153" spans="1:10" x14ac:dyDescent="0.25">
      <c r="A153" s="484"/>
      <c r="B153" s="504" t="s">
        <v>1682</v>
      </c>
      <c r="C153" s="504" t="s">
        <v>115</v>
      </c>
      <c r="D153" s="514">
        <v>137999.97</v>
      </c>
      <c r="E153" s="504" t="s">
        <v>1981</v>
      </c>
      <c r="F153" s="484"/>
      <c r="G153" s="484"/>
      <c r="H153" s="484"/>
      <c r="I153" s="484"/>
      <c r="J153" s="484"/>
    </row>
    <row r="154" spans="1:10" x14ac:dyDescent="0.25">
      <c r="A154" s="484"/>
      <c r="B154" s="504" t="s">
        <v>1685</v>
      </c>
      <c r="C154" s="504" t="s">
        <v>115</v>
      </c>
      <c r="D154" s="505">
        <v>300000</v>
      </c>
      <c r="E154" s="504" t="s">
        <v>1981</v>
      </c>
      <c r="F154" s="484"/>
      <c r="G154" s="484"/>
      <c r="H154" s="484"/>
      <c r="I154" s="484"/>
      <c r="J154" s="484"/>
    </row>
    <row r="155" spans="1:10" x14ac:dyDescent="0.25">
      <c r="A155" s="484"/>
      <c r="B155" s="504" t="s">
        <v>1696</v>
      </c>
      <c r="C155" s="504" t="s">
        <v>118</v>
      </c>
      <c r="D155" s="505">
        <v>95820</v>
      </c>
      <c r="E155" s="504" t="s">
        <v>1981</v>
      </c>
      <c r="F155" s="484"/>
      <c r="G155" s="484"/>
      <c r="H155" s="484"/>
      <c r="I155" s="484"/>
      <c r="J155" s="484"/>
    </row>
    <row r="156" spans="1:10" x14ac:dyDescent="0.25">
      <c r="A156" s="484"/>
      <c r="B156" s="504" t="s">
        <v>3138</v>
      </c>
      <c r="C156" s="504" t="s">
        <v>118</v>
      </c>
      <c r="D156" s="505">
        <v>5000</v>
      </c>
      <c r="E156" s="504" t="s">
        <v>1981</v>
      </c>
      <c r="F156" s="484"/>
      <c r="G156" s="484"/>
      <c r="H156" s="484"/>
      <c r="I156" s="484"/>
      <c r="J156" s="484"/>
    </row>
    <row r="157" spans="1:10" x14ac:dyDescent="0.25">
      <c r="A157" s="484"/>
      <c r="B157" s="504" t="s">
        <v>1775</v>
      </c>
      <c r="C157" s="504" t="s">
        <v>118</v>
      </c>
      <c r="D157" s="505">
        <v>3500</v>
      </c>
      <c r="E157" s="504" t="s">
        <v>1981</v>
      </c>
      <c r="F157" s="484"/>
      <c r="G157" s="484"/>
      <c r="H157" s="484"/>
      <c r="I157" s="484"/>
      <c r="J157" s="484"/>
    </row>
    <row r="158" spans="1:10" x14ac:dyDescent="0.25">
      <c r="A158" s="484"/>
      <c r="B158" s="504" t="s">
        <v>419</v>
      </c>
      <c r="C158" s="504" t="s">
        <v>118</v>
      </c>
      <c r="D158" s="505">
        <v>144700</v>
      </c>
      <c r="E158" s="504" t="s">
        <v>1981</v>
      </c>
      <c r="F158" s="484"/>
      <c r="G158" s="484"/>
      <c r="H158" s="484"/>
      <c r="I158" s="484"/>
      <c r="J158" s="484"/>
    </row>
    <row r="159" spans="1:10" x14ac:dyDescent="0.25">
      <c r="A159" s="484"/>
      <c r="B159" s="504" t="s">
        <v>3139</v>
      </c>
      <c r="C159" s="504" t="s">
        <v>118</v>
      </c>
      <c r="D159" s="505">
        <v>90000</v>
      </c>
      <c r="E159" s="504" t="s">
        <v>1981</v>
      </c>
      <c r="F159" s="484"/>
      <c r="G159" s="484"/>
      <c r="H159" s="484"/>
      <c r="I159" s="484"/>
      <c r="J159" s="484"/>
    </row>
    <row r="160" spans="1:10" x14ac:dyDescent="0.25">
      <c r="A160" s="484"/>
      <c r="B160" s="504" t="s">
        <v>3140</v>
      </c>
      <c r="C160" s="504" t="s">
        <v>121</v>
      </c>
      <c r="D160" s="505">
        <v>100000</v>
      </c>
      <c r="E160" s="504" t="s">
        <v>1981</v>
      </c>
      <c r="F160" s="484"/>
      <c r="G160" s="484"/>
      <c r="H160" s="484"/>
      <c r="I160" s="484"/>
      <c r="J160" s="484"/>
    </row>
    <row r="161" spans="1:10" x14ac:dyDescent="0.25">
      <c r="A161" s="484"/>
      <c r="B161" s="504" t="s">
        <v>3141</v>
      </c>
      <c r="C161" s="504" t="s">
        <v>121</v>
      </c>
      <c r="D161" s="505">
        <v>800000</v>
      </c>
      <c r="E161" s="504" t="s">
        <v>1981</v>
      </c>
      <c r="F161" s="484"/>
      <c r="G161" s="484"/>
      <c r="H161" s="484"/>
      <c r="I161" s="484"/>
      <c r="J161" s="484"/>
    </row>
    <row r="162" spans="1:10" x14ac:dyDescent="0.25">
      <c r="A162" s="484"/>
      <c r="B162" s="504" t="s">
        <v>3142</v>
      </c>
      <c r="C162" s="504" t="s">
        <v>121</v>
      </c>
      <c r="D162" s="505">
        <v>147500</v>
      </c>
      <c r="E162" s="504" t="s">
        <v>1981</v>
      </c>
      <c r="F162" s="484"/>
      <c r="G162" s="484"/>
      <c r="H162" s="484"/>
      <c r="I162" s="484"/>
      <c r="J162" s="484"/>
    </row>
    <row r="163" spans="1:10" x14ac:dyDescent="0.25">
      <c r="A163" s="484"/>
      <c r="B163" s="504" t="s">
        <v>3143</v>
      </c>
      <c r="C163" s="504" t="s">
        <v>121</v>
      </c>
      <c r="D163" s="505">
        <v>30000</v>
      </c>
      <c r="E163" s="504" t="s">
        <v>1981</v>
      </c>
      <c r="F163" s="484"/>
      <c r="G163" s="484"/>
      <c r="H163" s="484"/>
      <c r="I163" s="484"/>
      <c r="J163" s="484"/>
    </row>
    <row r="164" spans="1:10" x14ac:dyDescent="0.25">
      <c r="A164" s="484"/>
      <c r="B164" s="504" t="s">
        <v>3144</v>
      </c>
      <c r="C164" s="504" t="s">
        <v>121</v>
      </c>
      <c r="D164" s="505">
        <v>76700</v>
      </c>
      <c r="E164" s="504" t="s">
        <v>1981</v>
      </c>
      <c r="F164" s="484"/>
      <c r="G164" s="484"/>
      <c r="H164" s="484"/>
      <c r="I164" s="484"/>
      <c r="J164" s="484"/>
    </row>
    <row r="165" spans="1:10" x14ac:dyDescent="0.25">
      <c r="A165" s="484"/>
      <c r="B165" s="504" t="s">
        <v>1793</v>
      </c>
      <c r="C165" s="504" t="s">
        <v>121</v>
      </c>
      <c r="D165" s="505">
        <v>69000</v>
      </c>
      <c r="E165" s="504" t="s">
        <v>1981</v>
      </c>
      <c r="F165" s="484"/>
      <c r="G165" s="484"/>
      <c r="H165" s="484"/>
      <c r="I165" s="484"/>
      <c r="J165" s="484"/>
    </row>
    <row r="166" spans="1:10" x14ac:dyDescent="0.25">
      <c r="A166" s="484"/>
      <c r="B166" s="504" t="s">
        <v>3145</v>
      </c>
      <c r="C166" s="504" t="s">
        <v>121</v>
      </c>
      <c r="D166" s="505">
        <v>3800</v>
      </c>
      <c r="E166" s="504" t="s">
        <v>1981</v>
      </c>
      <c r="F166" s="484"/>
      <c r="G166" s="484"/>
      <c r="H166" s="484"/>
      <c r="I166" s="484"/>
      <c r="J166" s="484"/>
    </row>
    <row r="167" spans="1:10" x14ac:dyDescent="0.25">
      <c r="A167" s="484"/>
      <c r="B167" s="504" t="s">
        <v>1816</v>
      </c>
      <c r="C167" s="504" t="s">
        <v>124</v>
      </c>
      <c r="D167" s="505">
        <v>194500</v>
      </c>
      <c r="E167" s="504" t="s">
        <v>1981</v>
      </c>
      <c r="F167" s="484"/>
      <c r="G167" s="484"/>
      <c r="H167" s="484"/>
      <c r="I167" s="484"/>
      <c r="J167" s="484"/>
    </row>
    <row r="168" spans="1:10" x14ac:dyDescent="0.25">
      <c r="A168" s="484"/>
      <c r="B168" s="504" t="s">
        <v>3146</v>
      </c>
      <c r="C168" s="504" t="s">
        <v>124</v>
      </c>
      <c r="D168" s="505">
        <v>8000</v>
      </c>
      <c r="E168" s="504" t="s">
        <v>1981</v>
      </c>
      <c r="F168" s="484"/>
      <c r="G168" s="484"/>
      <c r="H168" s="484"/>
      <c r="I168" s="484"/>
      <c r="J168" s="484"/>
    </row>
    <row r="169" spans="1:10" x14ac:dyDescent="0.25">
      <c r="A169" s="484"/>
      <c r="B169" s="504" t="s">
        <v>1832</v>
      </c>
      <c r="C169" s="504" t="s">
        <v>127</v>
      </c>
      <c r="D169" s="505">
        <v>30000</v>
      </c>
      <c r="E169" s="504" t="s">
        <v>1981</v>
      </c>
      <c r="F169" s="484"/>
      <c r="G169" s="484"/>
      <c r="H169" s="484"/>
      <c r="I169" s="484"/>
      <c r="J169" s="484"/>
    </row>
    <row r="170" spans="1:10" x14ac:dyDescent="0.25">
      <c r="A170" s="484"/>
      <c r="B170" s="504" t="s">
        <v>1841</v>
      </c>
      <c r="C170" s="504" t="s">
        <v>127</v>
      </c>
      <c r="D170" s="505">
        <v>8000</v>
      </c>
      <c r="E170" s="504" t="s">
        <v>1981</v>
      </c>
      <c r="F170" s="484"/>
      <c r="G170" s="484"/>
      <c r="H170" s="484"/>
      <c r="I170" s="484"/>
      <c r="J170" s="484"/>
    </row>
    <row r="171" spans="1:10" x14ac:dyDescent="0.25">
      <c r="A171" s="484"/>
      <c r="B171" s="504" t="s">
        <v>3147</v>
      </c>
      <c r="C171" s="504" t="s">
        <v>127</v>
      </c>
      <c r="D171" s="505">
        <v>250000</v>
      </c>
      <c r="E171" s="504" t="s">
        <v>1981</v>
      </c>
      <c r="F171" s="484"/>
      <c r="G171" s="484"/>
      <c r="H171" s="484"/>
      <c r="I171" s="484"/>
      <c r="J171" s="484"/>
    </row>
    <row r="172" spans="1:10" x14ac:dyDescent="0.25">
      <c r="A172" s="484"/>
      <c r="B172" s="484"/>
      <c r="C172" s="484"/>
      <c r="D172" s="515"/>
      <c r="E172" s="484"/>
      <c r="F172" s="484"/>
      <c r="G172" s="484"/>
      <c r="H172" s="484"/>
      <c r="I172" s="484"/>
      <c r="J172" s="484"/>
    </row>
    <row r="173" spans="1:10" x14ac:dyDescent="0.25">
      <c r="A173" s="484"/>
      <c r="B173" s="506" t="s">
        <v>1979</v>
      </c>
      <c r="C173" s="507"/>
      <c r="D173" s="508">
        <f>SUM(D79:D171)</f>
        <v>14891286.74</v>
      </c>
      <c r="E173" s="507"/>
      <c r="F173" s="484"/>
      <c r="G173" s="484"/>
      <c r="H173" s="484"/>
      <c r="I173" s="484"/>
      <c r="J173" s="484"/>
    </row>
    <row r="174" spans="1:10" x14ac:dyDescent="0.25">
      <c r="A174" s="484"/>
      <c r="B174" s="509" t="s">
        <v>1983</v>
      </c>
      <c r="C174" s="510"/>
      <c r="D174" s="511">
        <f>SUMIF(E79:E171, "CANCELADA", D79:D171)</f>
        <v>14891286.74</v>
      </c>
      <c r="E174" s="510"/>
      <c r="F174" s="484"/>
      <c r="G174" s="484"/>
      <c r="H174" s="484"/>
      <c r="I174" s="484"/>
      <c r="J174" s="484"/>
    </row>
    <row r="175" spans="1:10" x14ac:dyDescent="0.25">
      <c r="A175" s="484"/>
      <c r="B175" s="509" t="s">
        <v>1984</v>
      </c>
      <c r="C175" s="510"/>
      <c r="D175" s="511">
        <f>D173-D174</f>
        <v>0</v>
      </c>
      <c r="E175" s="510"/>
      <c r="F175" s="484"/>
      <c r="G175" s="484"/>
      <c r="H175" s="484"/>
      <c r="I175" s="484"/>
      <c r="J175" s="484"/>
    </row>
    <row r="176" spans="1:10" x14ac:dyDescent="0.25">
      <c r="A176" s="484"/>
      <c r="B176" s="484"/>
      <c r="C176" s="484"/>
      <c r="D176" s="515"/>
      <c r="E176" s="484"/>
      <c r="F176" s="484"/>
      <c r="G176" s="484"/>
      <c r="H176" s="484"/>
      <c r="I176" s="484"/>
      <c r="J176" s="484"/>
    </row>
    <row r="177" spans="1:10" x14ac:dyDescent="0.25">
      <c r="A177" s="484"/>
      <c r="B177" s="484"/>
      <c r="C177" s="484"/>
      <c r="D177" s="515"/>
      <c r="E177" s="484"/>
      <c r="F177" s="484"/>
      <c r="G177" s="484"/>
      <c r="H177" s="484"/>
      <c r="I177" s="484"/>
      <c r="J177" s="484"/>
    </row>
    <row r="178" spans="1:10" x14ac:dyDescent="0.25">
      <c r="A178" s="484"/>
      <c r="B178" s="633" t="s">
        <v>3148</v>
      </c>
      <c r="C178" s="634"/>
      <c r="D178" s="634"/>
      <c r="E178" s="634"/>
      <c r="F178" s="484"/>
      <c r="G178" s="633" t="s">
        <v>3149</v>
      </c>
      <c r="H178" s="634"/>
      <c r="I178" s="634"/>
      <c r="J178" s="634"/>
    </row>
    <row r="179" spans="1:10" x14ac:dyDescent="0.25">
      <c r="A179" s="484"/>
      <c r="B179" s="503" t="s">
        <v>1977</v>
      </c>
      <c r="C179" s="503" t="s">
        <v>1978</v>
      </c>
      <c r="D179" s="516" t="s">
        <v>1979</v>
      </c>
      <c r="E179" s="503" t="s">
        <v>3096</v>
      </c>
      <c r="F179" s="484"/>
      <c r="G179" s="503" t="s">
        <v>1977</v>
      </c>
      <c r="H179" s="503" t="s">
        <v>1978</v>
      </c>
      <c r="I179" s="503" t="s">
        <v>1979</v>
      </c>
      <c r="J179" s="503" t="s">
        <v>3096</v>
      </c>
    </row>
    <row r="180" spans="1:10" x14ac:dyDescent="0.25">
      <c r="A180" s="484"/>
      <c r="B180" s="504" t="s">
        <v>1562</v>
      </c>
      <c r="C180" s="504" t="s">
        <v>104</v>
      </c>
      <c r="D180" s="505">
        <v>5241000</v>
      </c>
      <c r="E180" s="504" t="s">
        <v>1981</v>
      </c>
      <c r="F180" s="484"/>
      <c r="G180" s="486" t="s">
        <v>232</v>
      </c>
      <c r="H180" s="486" t="s">
        <v>90</v>
      </c>
      <c r="I180" s="488">
        <v>342640</v>
      </c>
      <c r="J180" s="486" t="s">
        <v>1984</v>
      </c>
    </row>
    <row r="181" spans="1:10" x14ac:dyDescent="0.25">
      <c r="A181" s="484"/>
      <c r="B181" s="484"/>
      <c r="C181" s="484"/>
      <c r="D181" s="515"/>
      <c r="E181" s="484"/>
      <c r="F181" s="484"/>
      <c r="G181" s="486" t="s">
        <v>237</v>
      </c>
      <c r="H181" s="486" t="s">
        <v>90</v>
      </c>
      <c r="I181" s="488">
        <v>524500</v>
      </c>
      <c r="J181" s="486" t="s">
        <v>1984</v>
      </c>
    </row>
    <row r="182" spans="1:10" x14ac:dyDescent="0.25">
      <c r="A182" s="484"/>
      <c r="B182" s="506" t="s">
        <v>1979</v>
      </c>
      <c r="C182" s="507"/>
      <c r="D182" s="508">
        <f>SUM(D180:D180)</f>
        <v>5241000</v>
      </c>
      <c r="E182" s="507"/>
      <c r="F182" s="484"/>
      <c r="G182" s="486" t="s">
        <v>241</v>
      </c>
      <c r="H182" s="486" t="s">
        <v>90</v>
      </c>
      <c r="I182" s="488">
        <v>339650</v>
      </c>
      <c r="J182" s="486" t="s">
        <v>1984</v>
      </c>
    </row>
    <row r="183" spans="1:10" x14ac:dyDescent="0.25">
      <c r="A183" s="484"/>
      <c r="B183" s="509" t="s">
        <v>1983</v>
      </c>
      <c r="C183" s="510"/>
      <c r="D183" s="511">
        <f>SUMIF(E180:E180, "CANCELADA", D180:D180)</f>
        <v>5241000</v>
      </c>
      <c r="E183" s="510"/>
      <c r="F183" s="484"/>
      <c r="G183" s="486" t="s">
        <v>316</v>
      </c>
      <c r="H183" s="486" t="s">
        <v>100</v>
      </c>
      <c r="I183" s="488">
        <v>225550</v>
      </c>
      <c r="J183" s="486" t="s">
        <v>1984</v>
      </c>
    </row>
    <row r="184" spans="1:10" x14ac:dyDescent="0.25">
      <c r="A184" s="484"/>
      <c r="B184" s="509" t="s">
        <v>1984</v>
      </c>
      <c r="C184" s="510"/>
      <c r="D184" s="511">
        <f>D182-D183</f>
        <v>0</v>
      </c>
      <c r="E184" s="510"/>
      <c r="F184" s="484"/>
      <c r="G184" s="486" t="s">
        <v>338</v>
      </c>
      <c r="H184" s="486" t="s">
        <v>102</v>
      </c>
      <c r="I184" s="488">
        <v>516150</v>
      </c>
      <c r="J184" s="486" t="s">
        <v>1984</v>
      </c>
    </row>
    <row r="185" spans="1:10" x14ac:dyDescent="0.25">
      <c r="A185" s="484"/>
      <c r="B185" s="484"/>
      <c r="C185" s="484"/>
      <c r="D185" s="515"/>
      <c r="E185" s="484"/>
      <c r="F185" s="484"/>
      <c r="G185" s="486"/>
      <c r="H185" s="486"/>
      <c r="I185" s="488"/>
      <c r="J185" s="486"/>
    </row>
    <row r="186" spans="1:10" x14ac:dyDescent="0.25">
      <c r="A186" s="484"/>
      <c r="B186" s="484"/>
      <c r="C186" s="484"/>
      <c r="D186" s="515"/>
      <c r="E186" s="484"/>
      <c r="F186" s="484"/>
      <c r="G186" s="486" t="s">
        <v>352</v>
      </c>
      <c r="H186" s="486" t="s">
        <v>103</v>
      </c>
      <c r="I186" s="488">
        <v>563645</v>
      </c>
      <c r="J186" s="486" t="s">
        <v>1984</v>
      </c>
    </row>
    <row r="187" spans="1:10" x14ac:dyDescent="0.25">
      <c r="A187" s="484"/>
      <c r="B187" s="484"/>
      <c r="C187" s="484"/>
      <c r="D187" s="515"/>
      <c r="E187" s="484"/>
      <c r="F187" s="484"/>
      <c r="G187" s="486" t="s">
        <v>355</v>
      </c>
      <c r="H187" s="486" t="s">
        <v>103</v>
      </c>
      <c r="I187" s="488">
        <v>136950</v>
      </c>
      <c r="J187" s="486" t="s">
        <v>1984</v>
      </c>
    </row>
    <row r="188" spans="1:10" x14ac:dyDescent="0.25">
      <c r="A188" s="484"/>
      <c r="B188" s="484"/>
      <c r="C188" s="484"/>
      <c r="D188" s="515"/>
      <c r="E188" s="484"/>
      <c r="F188" s="484"/>
      <c r="G188" s="486" t="s">
        <v>381</v>
      </c>
      <c r="H188" s="486" t="s">
        <v>106</v>
      </c>
      <c r="I188" s="488">
        <v>187476</v>
      </c>
      <c r="J188" s="486" t="s">
        <v>1984</v>
      </c>
    </row>
    <row r="189" spans="1:10" x14ac:dyDescent="0.25">
      <c r="A189" s="484"/>
      <c r="B189" s="484"/>
      <c r="C189" s="484"/>
      <c r="D189" s="515"/>
      <c r="E189" s="484"/>
      <c r="F189" s="484"/>
      <c r="G189" s="486" t="s">
        <v>384</v>
      </c>
      <c r="H189" s="486" t="s">
        <v>106</v>
      </c>
      <c r="I189" s="488">
        <v>1278990</v>
      </c>
      <c r="J189" s="486" t="s">
        <v>1984</v>
      </c>
    </row>
    <row r="190" spans="1:10" x14ac:dyDescent="0.25">
      <c r="A190" s="484"/>
      <c r="B190" s="484"/>
      <c r="C190" s="484"/>
      <c r="D190" s="515"/>
      <c r="E190" s="484"/>
      <c r="F190" s="484"/>
      <c r="G190" s="486" t="s">
        <v>403</v>
      </c>
      <c r="H190" s="486" t="s">
        <v>115</v>
      </c>
      <c r="I190" s="488">
        <v>547400</v>
      </c>
      <c r="J190" s="486" t="s">
        <v>1984</v>
      </c>
    </row>
    <row r="191" spans="1:10" x14ac:dyDescent="0.25">
      <c r="A191" s="484"/>
      <c r="B191" s="484"/>
      <c r="C191" s="484"/>
      <c r="D191" s="515"/>
      <c r="E191" s="484"/>
      <c r="F191" s="484"/>
      <c r="G191" s="486" t="s">
        <v>448</v>
      </c>
      <c r="H191" s="486" t="s">
        <v>124</v>
      </c>
      <c r="I191" s="488">
        <v>107500</v>
      </c>
      <c r="J191" s="486" t="s">
        <v>1984</v>
      </c>
    </row>
    <row r="192" spans="1:10" x14ac:dyDescent="0.25">
      <c r="A192" s="484"/>
      <c r="B192" s="484"/>
      <c r="C192" s="484"/>
      <c r="D192" s="515"/>
      <c r="E192" s="484"/>
      <c r="F192" s="484"/>
      <c r="G192" s="484"/>
      <c r="H192" s="484"/>
      <c r="I192" s="484"/>
      <c r="J192" s="484"/>
    </row>
    <row r="193" spans="1:10" x14ac:dyDescent="0.25">
      <c r="A193" s="484"/>
      <c r="B193" s="484"/>
      <c r="C193" s="484"/>
      <c r="D193" s="484"/>
      <c r="E193" s="484"/>
      <c r="F193" s="484"/>
      <c r="G193" s="506" t="s">
        <v>1979</v>
      </c>
      <c r="H193" s="507"/>
      <c r="I193" s="508">
        <f>SUM(I180:I191)</f>
        <v>4770451</v>
      </c>
      <c r="J193" s="507"/>
    </row>
    <row r="194" spans="1:10" x14ac:dyDescent="0.25">
      <c r="A194" s="484"/>
      <c r="B194" s="484"/>
      <c r="C194" s="484"/>
      <c r="D194" s="513"/>
      <c r="E194" s="484"/>
      <c r="F194" s="484"/>
      <c r="G194" s="509" t="s">
        <v>1983</v>
      </c>
      <c r="H194" s="510"/>
      <c r="I194" s="511">
        <f>SUMIF(J180:J191, "CANCELADA", I180:I191)</f>
        <v>0</v>
      </c>
      <c r="J194" s="510"/>
    </row>
    <row r="195" spans="1:10" x14ac:dyDescent="0.25">
      <c r="A195" s="484"/>
      <c r="B195" s="484"/>
      <c r="C195" s="484"/>
      <c r="D195" s="513"/>
      <c r="E195" s="484"/>
      <c r="F195" s="484"/>
      <c r="G195" s="509" t="s">
        <v>1984</v>
      </c>
      <c r="H195" s="510"/>
      <c r="I195" s="511">
        <f>I193-I194</f>
        <v>4770451</v>
      </c>
      <c r="J195" s="510"/>
    </row>
    <row r="196" spans="1:10" x14ac:dyDescent="0.25">
      <c r="A196" s="484"/>
      <c r="B196" s="484"/>
      <c r="C196" s="484"/>
      <c r="D196" s="513"/>
      <c r="E196" s="484"/>
      <c r="F196" s="484"/>
      <c r="G196" s="484"/>
      <c r="H196" s="484"/>
      <c r="I196" s="484"/>
      <c r="J196" s="484"/>
    </row>
    <row r="197" spans="1:10" x14ac:dyDescent="0.25">
      <c r="A197" s="484"/>
      <c r="B197" s="484"/>
      <c r="C197" s="484"/>
      <c r="D197" s="484"/>
      <c r="E197" s="484"/>
      <c r="F197" s="484"/>
      <c r="G197" s="484"/>
      <c r="H197" s="484"/>
      <c r="I197" s="484"/>
      <c r="J197" s="484"/>
    </row>
    <row r="198" spans="1:10" x14ac:dyDescent="0.25">
      <c r="A198" s="484"/>
      <c r="B198" s="633" t="s">
        <v>3150</v>
      </c>
      <c r="C198" s="634"/>
      <c r="D198" s="634"/>
      <c r="E198" s="634"/>
      <c r="F198" s="484"/>
      <c r="G198" s="633" t="s">
        <v>3151</v>
      </c>
      <c r="H198" s="634"/>
      <c r="I198" s="634"/>
      <c r="J198" s="634"/>
    </row>
    <row r="199" spans="1:10" x14ac:dyDescent="0.25">
      <c r="A199" s="484"/>
      <c r="B199" s="503" t="s">
        <v>1977</v>
      </c>
      <c r="C199" s="503" t="s">
        <v>1978</v>
      </c>
      <c r="D199" s="503" t="s">
        <v>1979</v>
      </c>
      <c r="E199" s="503" t="s">
        <v>3096</v>
      </c>
      <c r="F199" s="484"/>
      <c r="G199" s="503" t="s">
        <v>1977</v>
      </c>
      <c r="H199" s="503" t="s">
        <v>1978</v>
      </c>
      <c r="I199" s="503" t="s">
        <v>1979</v>
      </c>
      <c r="J199" s="503" t="s">
        <v>3096</v>
      </c>
    </row>
    <row r="200" spans="1:10" x14ac:dyDescent="0.25">
      <c r="A200" s="484"/>
      <c r="B200" s="504" t="s">
        <v>1740</v>
      </c>
      <c r="C200" s="504" t="s">
        <v>118</v>
      </c>
      <c r="D200" s="505">
        <v>4920175</v>
      </c>
      <c r="E200" s="504" t="s">
        <v>1981</v>
      </c>
      <c r="F200" s="484"/>
      <c r="G200" s="504" t="s">
        <v>207</v>
      </c>
      <c r="H200" s="504" t="s">
        <v>86</v>
      </c>
      <c r="I200" s="505">
        <v>100000</v>
      </c>
      <c r="J200" s="504" t="s">
        <v>1981</v>
      </c>
    </row>
    <row r="201" spans="1:10" x14ac:dyDescent="0.25">
      <c r="A201" s="484"/>
      <c r="B201" s="484"/>
      <c r="C201" s="484"/>
      <c r="D201" s="515"/>
      <c r="E201" s="484"/>
      <c r="F201" s="484"/>
      <c r="G201" s="504" t="s">
        <v>3152</v>
      </c>
      <c r="H201" s="504" t="s">
        <v>98</v>
      </c>
      <c r="I201" s="505">
        <v>66000</v>
      </c>
      <c r="J201" s="504" t="s">
        <v>1981</v>
      </c>
    </row>
    <row r="202" spans="1:10" x14ac:dyDescent="0.25">
      <c r="A202" s="484"/>
      <c r="B202" s="506" t="s">
        <v>1979</v>
      </c>
      <c r="C202" s="507"/>
      <c r="D202" s="508">
        <f>SUM(D200:D200)</f>
        <v>4920175</v>
      </c>
      <c r="E202" s="507"/>
      <c r="F202" s="484"/>
      <c r="G202" s="504" t="s">
        <v>3153</v>
      </c>
      <c r="H202" s="504" t="s">
        <v>98</v>
      </c>
      <c r="I202" s="505">
        <v>10000</v>
      </c>
      <c r="J202" s="504" t="s">
        <v>1981</v>
      </c>
    </row>
    <row r="203" spans="1:10" x14ac:dyDescent="0.25">
      <c r="A203" s="484"/>
      <c r="B203" s="509" t="s">
        <v>1983</v>
      </c>
      <c r="C203" s="510"/>
      <c r="D203" s="511">
        <f>SUMIF(E200:E200, "CANCELADA", D200:D200)</f>
        <v>4920175</v>
      </c>
      <c r="E203" s="510"/>
      <c r="F203" s="484"/>
      <c r="G203" s="504" t="s">
        <v>3154</v>
      </c>
      <c r="H203" s="504" t="s">
        <v>98</v>
      </c>
      <c r="I203" s="505">
        <v>37100</v>
      </c>
      <c r="J203" s="504" t="s">
        <v>1981</v>
      </c>
    </row>
    <row r="204" spans="1:10" x14ac:dyDescent="0.25">
      <c r="A204" s="484"/>
      <c r="B204" s="509" t="s">
        <v>1984</v>
      </c>
      <c r="C204" s="510"/>
      <c r="D204" s="511">
        <f>D202-D203</f>
        <v>0</v>
      </c>
      <c r="E204" s="510"/>
      <c r="F204" s="484"/>
      <c r="G204" s="504" t="s">
        <v>3155</v>
      </c>
      <c r="H204" s="504" t="s">
        <v>98</v>
      </c>
      <c r="I204" s="505">
        <v>4000</v>
      </c>
      <c r="J204" s="504" t="s">
        <v>1981</v>
      </c>
    </row>
    <row r="205" spans="1:10" x14ac:dyDescent="0.25">
      <c r="A205" s="484"/>
      <c r="B205" s="484"/>
      <c r="C205" s="484"/>
      <c r="D205" s="515"/>
      <c r="E205" s="484"/>
      <c r="F205" s="484"/>
      <c r="G205" s="504" t="s">
        <v>3156</v>
      </c>
      <c r="H205" s="504" t="s">
        <v>98</v>
      </c>
      <c r="I205" s="505">
        <v>85000</v>
      </c>
      <c r="J205" s="504" t="s">
        <v>1981</v>
      </c>
    </row>
    <row r="206" spans="1:10" x14ac:dyDescent="0.25">
      <c r="A206" s="484"/>
      <c r="B206" s="484"/>
      <c r="C206" s="484"/>
      <c r="D206" s="515"/>
      <c r="E206" s="484"/>
      <c r="F206" s="484"/>
      <c r="G206" s="504" t="s">
        <v>3157</v>
      </c>
      <c r="H206" s="504" t="s">
        <v>98</v>
      </c>
      <c r="I206" s="505">
        <v>15000</v>
      </c>
      <c r="J206" s="504" t="s">
        <v>1981</v>
      </c>
    </row>
    <row r="207" spans="1:10" x14ac:dyDescent="0.25">
      <c r="A207" s="484"/>
      <c r="B207" s="484"/>
      <c r="C207" s="484"/>
      <c r="D207" s="515"/>
      <c r="E207" s="484"/>
      <c r="F207" s="484"/>
      <c r="G207" s="504" t="s">
        <v>3158</v>
      </c>
      <c r="H207" s="504" t="s">
        <v>100</v>
      </c>
      <c r="I207" s="505">
        <v>66000</v>
      </c>
      <c r="J207" s="504" t="s">
        <v>1981</v>
      </c>
    </row>
    <row r="208" spans="1:10" x14ac:dyDescent="0.25">
      <c r="A208" s="484"/>
      <c r="B208" s="484"/>
      <c r="C208" s="484"/>
      <c r="D208" s="515"/>
      <c r="E208" s="484"/>
      <c r="F208" s="484"/>
      <c r="G208" s="504" t="s">
        <v>3159</v>
      </c>
      <c r="H208" s="504" t="s">
        <v>100</v>
      </c>
      <c r="I208" s="505">
        <v>66000</v>
      </c>
      <c r="J208" s="504" t="s">
        <v>1981</v>
      </c>
    </row>
    <row r="209" spans="1:10" x14ac:dyDescent="0.25">
      <c r="A209" s="484"/>
      <c r="B209" s="484"/>
      <c r="C209" s="484"/>
      <c r="D209" s="515"/>
      <c r="E209" s="484"/>
      <c r="F209" s="484"/>
      <c r="G209" s="504" t="s">
        <v>3160</v>
      </c>
      <c r="H209" s="504" t="s">
        <v>100</v>
      </c>
      <c r="I209" s="505">
        <v>132000</v>
      </c>
      <c r="J209" s="504" t="s">
        <v>1981</v>
      </c>
    </row>
    <row r="210" spans="1:10" x14ac:dyDescent="0.25">
      <c r="A210" s="484"/>
      <c r="B210" s="484"/>
      <c r="C210" s="484"/>
      <c r="D210" s="515"/>
      <c r="E210" s="484"/>
      <c r="F210" s="484"/>
      <c r="G210" s="504" t="s">
        <v>3161</v>
      </c>
      <c r="H210" s="504" t="s">
        <v>102</v>
      </c>
      <c r="I210" s="505">
        <v>66000</v>
      </c>
      <c r="J210" s="504" t="s">
        <v>1981</v>
      </c>
    </row>
    <row r="211" spans="1:10" x14ac:dyDescent="0.25">
      <c r="A211" s="484"/>
      <c r="B211" s="484"/>
      <c r="C211" s="484"/>
      <c r="D211" s="515"/>
      <c r="E211" s="484"/>
      <c r="F211" s="484"/>
      <c r="G211" s="504" t="s">
        <v>3162</v>
      </c>
      <c r="H211" s="504" t="s">
        <v>102</v>
      </c>
      <c r="I211" s="505">
        <v>66000</v>
      </c>
      <c r="J211" s="504" t="s">
        <v>1981</v>
      </c>
    </row>
    <row r="212" spans="1:10" x14ac:dyDescent="0.25">
      <c r="A212" s="484"/>
      <c r="B212" s="484"/>
      <c r="C212" s="484"/>
      <c r="D212" s="515"/>
      <c r="E212" s="484"/>
      <c r="F212" s="484"/>
      <c r="G212" s="504" t="s">
        <v>3163</v>
      </c>
      <c r="H212" s="504" t="s">
        <v>102</v>
      </c>
      <c r="I212" s="505">
        <v>66000</v>
      </c>
      <c r="J212" s="504" t="s">
        <v>1981</v>
      </c>
    </row>
    <row r="213" spans="1:10" x14ac:dyDescent="0.25">
      <c r="A213" s="484"/>
      <c r="B213" s="484"/>
      <c r="C213" s="484"/>
      <c r="D213" s="484"/>
      <c r="E213" s="484"/>
      <c r="F213" s="484"/>
      <c r="G213" s="504" t="s">
        <v>792</v>
      </c>
      <c r="H213" s="504" t="s">
        <v>103</v>
      </c>
      <c r="I213" s="505">
        <v>20000</v>
      </c>
      <c r="J213" s="504" t="s">
        <v>1981</v>
      </c>
    </row>
    <row r="214" spans="1:10" x14ac:dyDescent="0.25">
      <c r="A214" s="484"/>
      <c r="B214" s="484"/>
      <c r="C214" s="484"/>
      <c r="D214" s="513"/>
      <c r="E214" s="484"/>
      <c r="F214" s="484"/>
      <c r="G214" s="504" t="s">
        <v>795</v>
      </c>
      <c r="H214" s="504" t="s">
        <v>103</v>
      </c>
      <c r="I214" s="505">
        <v>58000</v>
      </c>
      <c r="J214" s="504" t="s">
        <v>1981</v>
      </c>
    </row>
    <row r="215" spans="1:10" x14ac:dyDescent="0.25">
      <c r="A215" s="484"/>
      <c r="B215" s="484"/>
      <c r="C215" s="484"/>
      <c r="D215" s="513"/>
      <c r="E215" s="484"/>
      <c r="F215" s="484"/>
      <c r="G215" s="504" t="s">
        <v>3164</v>
      </c>
      <c r="H215" s="504" t="s">
        <v>103</v>
      </c>
      <c r="I215" s="505">
        <v>66000</v>
      </c>
      <c r="J215" s="504" t="s">
        <v>1981</v>
      </c>
    </row>
    <row r="216" spans="1:10" x14ac:dyDescent="0.25">
      <c r="A216" s="484"/>
      <c r="B216" s="484"/>
      <c r="C216" s="484"/>
      <c r="D216" s="513"/>
      <c r="E216" s="484"/>
      <c r="F216" s="484"/>
      <c r="G216" s="504" t="s">
        <v>3165</v>
      </c>
      <c r="H216" s="504" t="s">
        <v>103</v>
      </c>
      <c r="I216" s="505">
        <v>66000</v>
      </c>
      <c r="J216" s="504" t="s">
        <v>1981</v>
      </c>
    </row>
    <row r="217" spans="1:10" x14ac:dyDescent="0.25">
      <c r="A217" s="484"/>
      <c r="B217" s="484"/>
      <c r="C217" s="484"/>
      <c r="D217" s="484"/>
      <c r="E217" s="484"/>
      <c r="F217" s="484"/>
      <c r="G217" s="504" t="s">
        <v>3166</v>
      </c>
      <c r="H217" s="504" t="s">
        <v>103</v>
      </c>
      <c r="I217" s="505">
        <v>70000</v>
      </c>
      <c r="J217" s="504" t="s">
        <v>1981</v>
      </c>
    </row>
    <row r="218" spans="1:10" x14ac:dyDescent="0.25">
      <c r="A218" s="484"/>
      <c r="B218" s="484"/>
      <c r="C218" s="484"/>
      <c r="D218" s="484"/>
      <c r="E218" s="484"/>
      <c r="F218" s="484"/>
      <c r="G218" s="504" t="s">
        <v>3167</v>
      </c>
      <c r="H218" s="504" t="s">
        <v>103</v>
      </c>
      <c r="I218" s="505">
        <v>66000</v>
      </c>
      <c r="J218" s="504" t="s">
        <v>1981</v>
      </c>
    </row>
    <row r="219" spans="1:10" x14ac:dyDescent="0.25">
      <c r="A219" s="484"/>
      <c r="B219" s="484"/>
      <c r="C219" s="484"/>
      <c r="D219" s="484"/>
      <c r="E219" s="484"/>
      <c r="F219" s="484"/>
      <c r="G219" s="504" t="s">
        <v>3168</v>
      </c>
      <c r="H219" s="504" t="s">
        <v>104</v>
      </c>
      <c r="I219" s="505">
        <v>15000</v>
      </c>
      <c r="J219" s="504" t="s">
        <v>1981</v>
      </c>
    </row>
    <row r="220" spans="1:10" x14ac:dyDescent="0.25">
      <c r="A220" s="484"/>
      <c r="B220" s="484"/>
      <c r="C220" s="484"/>
      <c r="D220" s="484"/>
      <c r="E220" s="484"/>
      <c r="F220" s="484"/>
      <c r="G220" s="504" t="s">
        <v>3169</v>
      </c>
      <c r="H220" s="504" t="s">
        <v>104</v>
      </c>
      <c r="I220" s="505">
        <v>66000</v>
      </c>
      <c r="J220" s="504" t="s">
        <v>1981</v>
      </c>
    </row>
    <row r="221" spans="1:10" x14ac:dyDescent="0.25">
      <c r="A221" s="484"/>
      <c r="B221" s="484"/>
      <c r="C221" s="484"/>
      <c r="D221" s="484"/>
      <c r="E221" s="484"/>
      <c r="F221" s="484"/>
      <c r="G221" s="504" t="s">
        <v>3170</v>
      </c>
      <c r="H221" s="504" t="s">
        <v>104</v>
      </c>
      <c r="I221" s="505">
        <v>66000</v>
      </c>
      <c r="J221" s="504" t="s">
        <v>1981</v>
      </c>
    </row>
    <row r="222" spans="1:10" x14ac:dyDescent="0.25">
      <c r="A222" s="484"/>
      <c r="B222" s="484"/>
      <c r="C222" s="484"/>
      <c r="D222" s="484"/>
      <c r="E222" s="484"/>
      <c r="F222" s="484"/>
      <c r="G222" s="504" t="s">
        <v>3171</v>
      </c>
      <c r="H222" s="504" t="s">
        <v>104</v>
      </c>
      <c r="I222" s="505">
        <v>66000</v>
      </c>
      <c r="J222" s="504" t="s">
        <v>1981</v>
      </c>
    </row>
    <row r="223" spans="1:10" x14ac:dyDescent="0.25">
      <c r="A223" s="484"/>
      <c r="B223" s="484"/>
      <c r="C223" s="484"/>
      <c r="D223" s="484"/>
      <c r="E223" s="484"/>
      <c r="F223" s="484"/>
      <c r="G223" s="504" t="s">
        <v>3172</v>
      </c>
      <c r="H223" s="504" t="s">
        <v>104</v>
      </c>
      <c r="I223" s="505">
        <v>377500</v>
      </c>
      <c r="J223" s="504" t="s">
        <v>1981</v>
      </c>
    </row>
    <row r="224" spans="1:10" x14ac:dyDescent="0.25">
      <c r="A224" s="484"/>
      <c r="B224" s="484"/>
      <c r="C224" s="484"/>
      <c r="D224" s="484"/>
      <c r="E224" s="484"/>
      <c r="F224" s="484"/>
      <c r="G224" s="504" t="s">
        <v>3173</v>
      </c>
      <c r="H224" s="504" t="s">
        <v>104</v>
      </c>
      <c r="I224" s="505">
        <v>300000</v>
      </c>
      <c r="J224" s="504" t="s">
        <v>1981</v>
      </c>
    </row>
    <row r="225" spans="1:10" x14ac:dyDescent="0.25">
      <c r="A225" s="484"/>
      <c r="B225" s="484"/>
      <c r="C225" s="484"/>
      <c r="D225" s="484"/>
      <c r="E225" s="484"/>
      <c r="F225" s="484"/>
      <c r="G225" s="504" t="s">
        <v>3174</v>
      </c>
      <c r="H225" s="504" t="s">
        <v>104</v>
      </c>
      <c r="I225" s="505">
        <v>85000</v>
      </c>
      <c r="J225" s="504" t="s">
        <v>1981</v>
      </c>
    </row>
    <row r="226" spans="1:10" x14ac:dyDescent="0.25">
      <c r="A226" s="484"/>
      <c r="B226" s="484"/>
      <c r="C226" s="484"/>
      <c r="D226" s="484"/>
      <c r="E226" s="484"/>
      <c r="F226" s="484"/>
      <c r="G226" s="504" t="s">
        <v>3175</v>
      </c>
      <c r="H226" s="504" t="s">
        <v>104</v>
      </c>
      <c r="I226" s="505">
        <v>29000</v>
      </c>
      <c r="J226" s="504" t="s">
        <v>1981</v>
      </c>
    </row>
    <row r="227" spans="1:10" x14ac:dyDescent="0.25">
      <c r="A227" s="484"/>
      <c r="B227" s="484"/>
      <c r="C227" s="484"/>
      <c r="D227" s="484"/>
      <c r="E227" s="484"/>
      <c r="F227" s="484"/>
      <c r="G227" s="504" t="s">
        <v>3176</v>
      </c>
      <c r="H227" s="504" t="s">
        <v>104</v>
      </c>
      <c r="I227" s="505">
        <v>77300</v>
      </c>
      <c r="J227" s="504" t="s">
        <v>1981</v>
      </c>
    </row>
    <row r="228" spans="1:10" x14ac:dyDescent="0.25">
      <c r="A228" s="484"/>
      <c r="B228" s="484"/>
      <c r="C228" s="484"/>
      <c r="D228" s="484"/>
      <c r="E228" s="484"/>
      <c r="F228" s="484"/>
      <c r="G228" s="504" t="s">
        <v>3177</v>
      </c>
      <c r="H228" s="504" t="s">
        <v>104</v>
      </c>
      <c r="I228" s="505">
        <v>46500</v>
      </c>
      <c r="J228" s="504" t="s">
        <v>1981</v>
      </c>
    </row>
    <row r="229" spans="1:10" x14ac:dyDescent="0.25">
      <c r="A229" s="484"/>
      <c r="B229" s="484"/>
      <c r="C229" s="484"/>
      <c r="D229" s="484"/>
      <c r="E229" s="484"/>
      <c r="F229" s="484"/>
      <c r="G229" s="504" t="s">
        <v>3178</v>
      </c>
      <c r="H229" s="504" t="s">
        <v>104</v>
      </c>
      <c r="I229" s="505">
        <v>66000</v>
      </c>
      <c r="J229" s="504" t="s">
        <v>1981</v>
      </c>
    </row>
    <row r="230" spans="1:10" x14ac:dyDescent="0.25">
      <c r="A230" s="484"/>
      <c r="B230" s="484"/>
      <c r="C230" s="484"/>
      <c r="D230" s="515"/>
      <c r="E230" s="484"/>
      <c r="F230" s="484"/>
      <c r="G230" s="504" t="s">
        <v>3179</v>
      </c>
      <c r="H230" s="504" t="s">
        <v>106</v>
      </c>
      <c r="I230" s="505">
        <v>66000</v>
      </c>
      <c r="J230" s="504" t="s">
        <v>1981</v>
      </c>
    </row>
    <row r="231" spans="1:10" x14ac:dyDescent="0.25">
      <c r="A231" s="484"/>
      <c r="B231" s="484"/>
      <c r="C231" s="484"/>
      <c r="D231" s="515"/>
      <c r="E231" s="484"/>
      <c r="F231" s="484"/>
      <c r="G231" s="504" t="s">
        <v>3180</v>
      </c>
      <c r="H231" s="504" t="s">
        <v>106</v>
      </c>
      <c r="I231" s="505">
        <v>66000</v>
      </c>
      <c r="J231" s="504" t="s">
        <v>1981</v>
      </c>
    </row>
    <row r="232" spans="1:10" x14ac:dyDescent="0.25">
      <c r="A232" s="484"/>
      <c r="B232" s="484"/>
      <c r="C232" s="484"/>
      <c r="D232" s="515"/>
      <c r="E232" s="484"/>
      <c r="F232" s="484"/>
      <c r="G232" s="504" t="s">
        <v>3181</v>
      </c>
      <c r="H232" s="504" t="s">
        <v>106</v>
      </c>
      <c r="I232" s="505">
        <v>132000</v>
      </c>
      <c r="J232" s="504" t="s">
        <v>1981</v>
      </c>
    </row>
    <row r="233" spans="1:10" x14ac:dyDescent="0.25">
      <c r="A233" s="484"/>
      <c r="B233" s="484"/>
      <c r="C233" s="484"/>
      <c r="D233" s="484"/>
      <c r="E233" s="484"/>
      <c r="F233" s="484"/>
      <c r="G233" s="504" t="s">
        <v>3182</v>
      </c>
      <c r="H233" s="504" t="s">
        <v>106</v>
      </c>
      <c r="I233" s="505">
        <v>66000</v>
      </c>
      <c r="J233" s="504" t="s">
        <v>1981</v>
      </c>
    </row>
    <row r="234" spans="1:10" x14ac:dyDescent="0.25">
      <c r="A234" s="484"/>
      <c r="B234" s="484"/>
      <c r="C234" s="484"/>
      <c r="D234" s="513"/>
      <c r="E234" s="484"/>
      <c r="F234" s="484"/>
      <c r="G234" s="504" t="s">
        <v>3183</v>
      </c>
      <c r="H234" s="504" t="s">
        <v>106</v>
      </c>
      <c r="I234" s="505">
        <v>40000</v>
      </c>
      <c r="J234" s="504" t="s">
        <v>1981</v>
      </c>
    </row>
    <row r="235" spans="1:10" x14ac:dyDescent="0.25">
      <c r="A235" s="484"/>
      <c r="B235" s="484"/>
      <c r="C235" s="484"/>
      <c r="D235" s="513"/>
      <c r="E235" s="484"/>
      <c r="F235" s="484"/>
      <c r="G235" s="504" t="s">
        <v>3184</v>
      </c>
      <c r="H235" s="504" t="s">
        <v>106</v>
      </c>
      <c r="I235" s="505">
        <v>30000</v>
      </c>
      <c r="J235" s="504" t="s">
        <v>1981</v>
      </c>
    </row>
    <row r="236" spans="1:10" x14ac:dyDescent="0.25">
      <c r="A236" s="484"/>
      <c r="B236" s="484"/>
      <c r="C236" s="484"/>
      <c r="D236" s="513"/>
      <c r="E236" s="484"/>
      <c r="F236" s="484"/>
      <c r="G236" s="504" t="s">
        <v>3185</v>
      </c>
      <c r="H236" s="504" t="s">
        <v>106</v>
      </c>
      <c r="I236" s="505">
        <v>27500</v>
      </c>
      <c r="J236" s="504" t="s">
        <v>1981</v>
      </c>
    </row>
    <row r="237" spans="1:10" x14ac:dyDescent="0.25">
      <c r="A237" s="484"/>
      <c r="B237" s="484"/>
      <c r="C237" s="484"/>
      <c r="D237" s="484"/>
      <c r="E237" s="484"/>
      <c r="F237" s="484"/>
      <c r="G237" s="504" t="s">
        <v>3186</v>
      </c>
      <c r="H237" s="504" t="s">
        <v>106</v>
      </c>
      <c r="I237" s="505">
        <v>50000</v>
      </c>
      <c r="J237" s="504" t="s">
        <v>1981</v>
      </c>
    </row>
    <row r="238" spans="1:10" x14ac:dyDescent="0.25">
      <c r="A238" s="484"/>
      <c r="B238" s="484"/>
      <c r="C238" s="484"/>
      <c r="D238" s="484"/>
      <c r="E238" s="484"/>
      <c r="F238" s="484"/>
      <c r="G238" s="504" t="s">
        <v>3187</v>
      </c>
      <c r="H238" s="504" t="s">
        <v>112</v>
      </c>
      <c r="I238" s="505">
        <v>66000</v>
      </c>
      <c r="J238" s="504" t="s">
        <v>1981</v>
      </c>
    </row>
    <row r="239" spans="1:10" x14ac:dyDescent="0.25">
      <c r="A239" s="484"/>
      <c r="B239" s="484"/>
      <c r="C239" s="484"/>
      <c r="D239" s="484"/>
      <c r="E239" s="484"/>
      <c r="F239" s="484"/>
      <c r="G239" s="504" t="s">
        <v>3188</v>
      </c>
      <c r="H239" s="504" t="s">
        <v>112</v>
      </c>
      <c r="I239" s="505">
        <v>66000</v>
      </c>
      <c r="J239" s="504" t="s">
        <v>1981</v>
      </c>
    </row>
    <row r="240" spans="1:10" x14ac:dyDescent="0.25">
      <c r="A240" s="484"/>
      <c r="B240" s="484"/>
      <c r="C240" s="484"/>
      <c r="D240" s="484"/>
      <c r="E240" s="484"/>
      <c r="F240" s="484"/>
      <c r="G240" s="504" t="s">
        <v>3189</v>
      </c>
      <c r="H240" s="504" t="s">
        <v>112</v>
      </c>
      <c r="I240" s="505">
        <v>70000</v>
      </c>
      <c r="J240" s="504" t="s">
        <v>1981</v>
      </c>
    </row>
    <row r="241" spans="1:10" x14ac:dyDescent="0.25">
      <c r="A241" s="484"/>
      <c r="B241" s="484"/>
      <c r="C241" s="484"/>
      <c r="D241" s="484"/>
      <c r="E241" s="484"/>
      <c r="F241" s="484"/>
      <c r="G241" s="504" t="s">
        <v>3190</v>
      </c>
      <c r="H241" s="504" t="s">
        <v>112</v>
      </c>
      <c r="I241" s="505">
        <v>22500</v>
      </c>
      <c r="J241" s="504" t="s">
        <v>1981</v>
      </c>
    </row>
    <row r="242" spans="1:10" x14ac:dyDescent="0.25">
      <c r="A242" s="484"/>
      <c r="B242" s="484"/>
      <c r="C242" s="484"/>
      <c r="D242" s="484"/>
      <c r="E242" s="484"/>
      <c r="F242" s="484"/>
      <c r="G242" s="504" t="s">
        <v>3191</v>
      </c>
      <c r="H242" s="504" t="s">
        <v>112</v>
      </c>
      <c r="I242" s="505">
        <v>66000</v>
      </c>
      <c r="J242" s="504" t="s">
        <v>1981</v>
      </c>
    </row>
    <row r="243" spans="1:10" x14ac:dyDescent="0.25">
      <c r="A243" s="484"/>
      <c r="B243" s="484"/>
      <c r="C243" s="484"/>
      <c r="D243" s="484"/>
      <c r="E243" s="484"/>
      <c r="F243" s="484"/>
      <c r="G243" s="504" t="s">
        <v>810</v>
      </c>
      <c r="H243" s="504" t="s">
        <v>115</v>
      </c>
      <c r="I243" s="505">
        <v>76700</v>
      </c>
      <c r="J243" s="504" t="s">
        <v>1981</v>
      </c>
    </row>
    <row r="244" spans="1:10" x14ac:dyDescent="0.25">
      <c r="A244" s="484"/>
      <c r="B244" s="484"/>
      <c r="C244" s="484"/>
      <c r="D244" s="484"/>
      <c r="E244" s="484"/>
      <c r="F244" s="484"/>
      <c r="G244" s="504" t="s">
        <v>3192</v>
      </c>
      <c r="H244" s="504" t="s">
        <v>115</v>
      </c>
      <c r="I244" s="505">
        <v>66000</v>
      </c>
      <c r="J244" s="504" t="s">
        <v>1981</v>
      </c>
    </row>
    <row r="245" spans="1:10" x14ac:dyDescent="0.25">
      <c r="A245" s="484"/>
      <c r="B245" s="484"/>
      <c r="C245" s="484"/>
      <c r="D245" s="484"/>
      <c r="E245" s="484"/>
      <c r="F245" s="484"/>
      <c r="G245" s="504" t="s">
        <v>3193</v>
      </c>
      <c r="H245" s="504" t="s">
        <v>115</v>
      </c>
      <c r="I245" s="505">
        <v>66000</v>
      </c>
      <c r="J245" s="504" t="s">
        <v>1981</v>
      </c>
    </row>
    <row r="246" spans="1:10" x14ac:dyDescent="0.25">
      <c r="A246" s="484"/>
      <c r="B246" s="484"/>
      <c r="C246" s="484"/>
      <c r="D246" s="484"/>
      <c r="E246" s="484"/>
      <c r="F246" s="484"/>
      <c r="G246" s="504" t="s">
        <v>3194</v>
      </c>
      <c r="H246" s="504" t="s">
        <v>115</v>
      </c>
      <c r="I246" s="505">
        <v>66000</v>
      </c>
      <c r="J246" s="504" t="s">
        <v>1981</v>
      </c>
    </row>
    <row r="247" spans="1:10" x14ac:dyDescent="0.25">
      <c r="A247" s="484"/>
      <c r="B247" s="484"/>
      <c r="C247" s="484"/>
      <c r="D247" s="484"/>
      <c r="E247" s="484"/>
      <c r="F247" s="484"/>
      <c r="G247" s="504" t="s">
        <v>3195</v>
      </c>
      <c r="H247" s="504" t="s">
        <v>118</v>
      </c>
      <c r="I247" s="505">
        <v>66000</v>
      </c>
      <c r="J247" s="504" t="s">
        <v>1981</v>
      </c>
    </row>
    <row r="248" spans="1:10" x14ac:dyDescent="0.25">
      <c r="A248" s="484"/>
      <c r="B248" s="484"/>
      <c r="C248" s="484"/>
      <c r="D248" s="484"/>
      <c r="E248" s="484"/>
      <c r="F248" s="484"/>
      <c r="G248" s="504" t="s">
        <v>3196</v>
      </c>
      <c r="H248" s="504" t="s">
        <v>118</v>
      </c>
      <c r="I248" s="505">
        <v>66000</v>
      </c>
      <c r="J248" s="504" t="s">
        <v>1981</v>
      </c>
    </row>
    <row r="249" spans="1:10" x14ac:dyDescent="0.25">
      <c r="A249" s="484"/>
      <c r="B249" s="484"/>
      <c r="C249" s="484"/>
      <c r="D249" s="484"/>
      <c r="E249" s="484"/>
      <c r="F249" s="484"/>
      <c r="G249" s="504" t="s">
        <v>3197</v>
      </c>
      <c r="H249" s="504" t="s">
        <v>118</v>
      </c>
      <c r="I249" s="505">
        <v>66000</v>
      </c>
      <c r="J249" s="504" t="s">
        <v>1981</v>
      </c>
    </row>
    <row r="250" spans="1:10" x14ac:dyDescent="0.25">
      <c r="A250" s="484"/>
      <c r="B250" s="484"/>
      <c r="C250" s="484"/>
      <c r="D250" s="484"/>
      <c r="E250" s="484"/>
      <c r="F250" s="484"/>
      <c r="G250" s="504" t="s">
        <v>3198</v>
      </c>
      <c r="H250" s="504" t="s">
        <v>118</v>
      </c>
      <c r="I250" s="505">
        <v>66000</v>
      </c>
      <c r="J250" s="504" t="s">
        <v>1981</v>
      </c>
    </row>
    <row r="251" spans="1:10" x14ac:dyDescent="0.25">
      <c r="A251" s="484"/>
      <c r="B251" s="484"/>
      <c r="C251" s="484"/>
      <c r="D251" s="484"/>
      <c r="E251" s="484"/>
      <c r="F251" s="484"/>
      <c r="G251" s="504" t="s">
        <v>3199</v>
      </c>
      <c r="H251" s="504" t="s">
        <v>121</v>
      </c>
      <c r="I251" s="505">
        <v>66000</v>
      </c>
      <c r="J251" s="504" t="s">
        <v>1981</v>
      </c>
    </row>
    <row r="252" spans="1:10" x14ac:dyDescent="0.25">
      <c r="A252" s="484"/>
      <c r="B252" s="484"/>
      <c r="C252" s="484"/>
      <c r="D252" s="484"/>
      <c r="E252" s="484"/>
      <c r="F252" s="484"/>
      <c r="G252" s="504" t="s">
        <v>3200</v>
      </c>
      <c r="H252" s="504" t="s">
        <v>121</v>
      </c>
      <c r="I252" s="505">
        <v>66000</v>
      </c>
      <c r="J252" s="504" t="s">
        <v>1981</v>
      </c>
    </row>
    <row r="253" spans="1:10" x14ac:dyDescent="0.25">
      <c r="A253" s="484"/>
      <c r="B253" s="484"/>
      <c r="C253" s="484"/>
      <c r="D253" s="484"/>
      <c r="E253" s="484"/>
      <c r="F253" s="484"/>
      <c r="G253" s="504" t="s">
        <v>3201</v>
      </c>
      <c r="H253" s="504" t="s">
        <v>124</v>
      </c>
      <c r="I253" s="505">
        <v>66000</v>
      </c>
      <c r="J253" s="504" t="s">
        <v>1981</v>
      </c>
    </row>
    <row r="254" spans="1:10" x14ac:dyDescent="0.25">
      <c r="A254" s="484"/>
      <c r="B254" s="484"/>
      <c r="C254" s="484"/>
      <c r="D254" s="484"/>
      <c r="E254" s="484"/>
      <c r="F254" s="484"/>
      <c r="G254" s="504" t="s">
        <v>3202</v>
      </c>
      <c r="H254" s="504" t="s">
        <v>124</v>
      </c>
      <c r="I254" s="505">
        <v>66000</v>
      </c>
      <c r="J254" s="504" t="s">
        <v>1981</v>
      </c>
    </row>
    <row r="255" spans="1:10" x14ac:dyDescent="0.25">
      <c r="A255" s="484"/>
      <c r="B255" s="484"/>
      <c r="C255" s="484"/>
      <c r="D255" s="484"/>
      <c r="E255" s="484"/>
      <c r="F255" s="484"/>
      <c r="G255" s="504" t="s">
        <v>909</v>
      </c>
      <c r="H255" s="504" t="s">
        <v>124</v>
      </c>
      <c r="I255" s="505">
        <v>37700</v>
      </c>
      <c r="J255" s="504" t="s">
        <v>1981</v>
      </c>
    </row>
    <row r="256" spans="1:10" x14ac:dyDescent="0.25">
      <c r="A256" s="484"/>
      <c r="B256" s="484"/>
      <c r="C256" s="484"/>
      <c r="D256" s="484"/>
      <c r="E256" s="484"/>
      <c r="F256" s="484"/>
      <c r="G256" s="504" t="s">
        <v>3203</v>
      </c>
      <c r="H256" s="504" t="s">
        <v>124</v>
      </c>
      <c r="I256" s="505">
        <v>70000</v>
      </c>
      <c r="J256" s="504" t="s">
        <v>1981</v>
      </c>
    </row>
    <row r="257" spans="1:10" x14ac:dyDescent="0.25">
      <c r="A257" s="484"/>
      <c r="B257" s="484"/>
      <c r="C257" s="484"/>
      <c r="D257" s="484"/>
      <c r="E257" s="484"/>
      <c r="F257" s="484"/>
      <c r="G257" s="504" t="s">
        <v>452</v>
      </c>
      <c r="H257" s="504" t="s">
        <v>127</v>
      </c>
      <c r="I257" s="505">
        <v>378000</v>
      </c>
      <c r="J257" s="504" t="s">
        <v>1981</v>
      </c>
    </row>
    <row r="258" spans="1:10" x14ac:dyDescent="0.25">
      <c r="A258" s="484"/>
      <c r="B258" s="484"/>
      <c r="C258" s="484"/>
      <c r="D258" s="484"/>
      <c r="E258" s="484"/>
      <c r="F258" s="484"/>
      <c r="G258" s="504" t="s">
        <v>3204</v>
      </c>
      <c r="H258" s="504" t="s">
        <v>127</v>
      </c>
      <c r="I258" s="505">
        <v>66000</v>
      </c>
      <c r="J258" s="504" t="s">
        <v>1981</v>
      </c>
    </row>
    <row r="259" spans="1:10" x14ac:dyDescent="0.25">
      <c r="A259" s="484"/>
      <c r="B259" s="484"/>
      <c r="C259" s="484"/>
      <c r="D259" s="484"/>
      <c r="E259" s="484"/>
      <c r="F259" s="484"/>
      <c r="G259" s="504" t="s">
        <v>3205</v>
      </c>
      <c r="H259" s="504" t="s">
        <v>127</v>
      </c>
      <c r="I259" s="505">
        <v>66000</v>
      </c>
      <c r="J259" s="504" t="s">
        <v>1981</v>
      </c>
    </row>
    <row r="260" spans="1:10" x14ac:dyDescent="0.25">
      <c r="A260" s="484"/>
      <c r="B260" s="484"/>
      <c r="C260" s="484"/>
      <c r="D260" s="484"/>
      <c r="E260" s="484"/>
      <c r="F260" s="484"/>
      <c r="G260" s="504" t="s">
        <v>3206</v>
      </c>
      <c r="H260" s="504" t="s">
        <v>127</v>
      </c>
      <c r="I260" s="505">
        <v>66000</v>
      </c>
      <c r="J260" s="504" t="s">
        <v>1981</v>
      </c>
    </row>
    <row r="261" spans="1:10" x14ac:dyDescent="0.25">
      <c r="A261" s="484"/>
      <c r="B261" s="484"/>
      <c r="C261" s="484"/>
      <c r="D261" s="484"/>
      <c r="E261" s="484"/>
      <c r="F261" s="484"/>
      <c r="G261" s="504" t="s">
        <v>917</v>
      </c>
      <c r="H261" s="504" t="s">
        <v>130</v>
      </c>
      <c r="I261" s="505">
        <v>250000</v>
      </c>
      <c r="J261" s="504" t="s">
        <v>1981</v>
      </c>
    </row>
    <row r="262" spans="1:10" x14ac:dyDescent="0.25">
      <c r="A262" s="484"/>
      <c r="B262" s="484"/>
      <c r="C262" s="484"/>
      <c r="D262" s="484"/>
      <c r="E262" s="484"/>
      <c r="F262" s="484"/>
      <c r="G262" s="484"/>
      <c r="H262" s="484"/>
      <c r="I262" s="515"/>
      <c r="J262" s="484"/>
    </row>
    <row r="263" spans="1:10" x14ac:dyDescent="0.25">
      <c r="A263" s="484"/>
      <c r="B263" s="484"/>
      <c r="C263" s="484"/>
      <c r="D263" s="484"/>
      <c r="E263" s="484"/>
      <c r="F263" s="484"/>
      <c r="G263" s="506" t="s">
        <v>1979</v>
      </c>
      <c r="H263" s="507"/>
      <c r="I263" s="508">
        <f>SUM(I200:I261)</f>
        <v>4823800</v>
      </c>
      <c r="J263" s="507"/>
    </row>
    <row r="264" spans="1:10" x14ac:dyDescent="0.25">
      <c r="A264" s="484"/>
      <c r="B264" s="484"/>
      <c r="C264" s="484"/>
      <c r="D264" s="484"/>
      <c r="E264" s="484"/>
      <c r="F264" s="484"/>
      <c r="G264" s="509" t="s">
        <v>1983</v>
      </c>
      <c r="H264" s="510"/>
      <c r="I264" s="511">
        <f>SUMIF(J200:J261, "CANCELADA", I200:I261)</f>
        <v>4823800</v>
      </c>
      <c r="J264" s="510"/>
    </row>
    <row r="265" spans="1:10" x14ac:dyDescent="0.25">
      <c r="A265" s="484"/>
      <c r="B265" s="484"/>
      <c r="C265" s="484"/>
      <c r="D265" s="484"/>
      <c r="E265" s="484"/>
      <c r="F265" s="484"/>
      <c r="G265" s="509" t="s">
        <v>1984</v>
      </c>
      <c r="H265" s="510"/>
      <c r="I265" s="511">
        <f>I263-I264</f>
        <v>0</v>
      </c>
      <c r="J265" s="510"/>
    </row>
    <row r="266" spans="1:10" x14ac:dyDescent="0.25">
      <c r="A266" s="484"/>
      <c r="B266" s="484"/>
      <c r="C266" s="484"/>
      <c r="D266" s="484"/>
      <c r="E266" s="484"/>
      <c r="F266" s="484"/>
      <c r="G266" s="484"/>
      <c r="H266" s="484"/>
      <c r="I266" s="515"/>
      <c r="J266" s="484"/>
    </row>
    <row r="267" spans="1:10" x14ac:dyDescent="0.25">
      <c r="A267" s="484"/>
      <c r="B267" s="484"/>
      <c r="C267" s="484"/>
      <c r="D267" s="484"/>
      <c r="E267" s="484"/>
      <c r="F267" s="484"/>
      <c r="G267" s="484"/>
      <c r="H267" s="484"/>
      <c r="I267" s="515"/>
      <c r="J267" s="484"/>
    </row>
    <row r="268" spans="1:10" x14ac:dyDescent="0.25">
      <c r="A268" s="484"/>
      <c r="B268" s="633" t="s">
        <v>3207</v>
      </c>
      <c r="C268" s="634"/>
      <c r="D268" s="634"/>
      <c r="E268" s="634"/>
      <c r="F268" s="484"/>
      <c r="G268" s="633" t="s">
        <v>3208</v>
      </c>
      <c r="H268" s="634"/>
      <c r="I268" s="634"/>
      <c r="J268" s="634"/>
    </row>
    <row r="269" spans="1:10" x14ac:dyDescent="0.25">
      <c r="A269" s="484"/>
      <c r="B269" s="503" t="s">
        <v>1977</v>
      </c>
      <c r="C269" s="503" t="s">
        <v>1978</v>
      </c>
      <c r="D269" s="503" t="s">
        <v>1979</v>
      </c>
      <c r="E269" s="503" t="s">
        <v>3096</v>
      </c>
      <c r="F269" s="484"/>
      <c r="G269" s="503" t="s">
        <v>1977</v>
      </c>
      <c r="H269" s="503" t="s">
        <v>1978</v>
      </c>
      <c r="I269" s="516" t="s">
        <v>1979</v>
      </c>
      <c r="J269" s="503" t="s">
        <v>3096</v>
      </c>
    </row>
    <row r="270" spans="1:10" x14ac:dyDescent="0.25">
      <c r="A270" s="484"/>
      <c r="B270" s="504" t="s">
        <v>871</v>
      </c>
      <c r="C270" s="504" t="s">
        <v>118</v>
      </c>
      <c r="D270" s="505">
        <v>4302852</v>
      </c>
      <c r="E270" s="504" t="s">
        <v>1981</v>
      </c>
      <c r="F270" s="484"/>
      <c r="G270" s="504" t="s">
        <v>197</v>
      </c>
      <c r="H270" s="504" t="s">
        <v>86</v>
      </c>
      <c r="I270" s="528">
        <v>364080</v>
      </c>
      <c r="J270" s="504" t="s">
        <v>1981</v>
      </c>
    </row>
    <row r="271" spans="1:10" x14ac:dyDescent="0.25">
      <c r="A271" s="484"/>
      <c r="B271" s="484"/>
      <c r="C271" s="484"/>
      <c r="D271" s="515"/>
      <c r="E271" s="484"/>
      <c r="F271" s="484"/>
      <c r="G271" s="504" t="s">
        <v>222</v>
      </c>
      <c r="H271" s="504" t="s">
        <v>88</v>
      </c>
      <c r="I271" s="528">
        <v>260250</v>
      </c>
      <c r="J271" s="504" t="s">
        <v>1981</v>
      </c>
    </row>
    <row r="272" spans="1:10" x14ac:dyDescent="0.25">
      <c r="A272" s="484"/>
      <c r="B272" s="506" t="s">
        <v>1979</v>
      </c>
      <c r="C272" s="507"/>
      <c r="D272" s="508">
        <f>SUM(D270:D270)</f>
        <v>4302852</v>
      </c>
      <c r="E272" s="507"/>
      <c r="F272" s="484"/>
      <c r="G272" s="504" t="s">
        <v>256</v>
      </c>
      <c r="H272" s="504" t="s">
        <v>92</v>
      </c>
      <c r="I272" s="528">
        <v>434750</v>
      </c>
      <c r="J272" s="504" t="s">
        <v>1981</v>
      </c>
    </row>
    <row r="273" spans="1:15" x14ac:dyDescent="0.25">
      <c r="A273" s="484"/>
      <c r="B273" s="509" t="s">
        <v>1983</v>
      </c>
      <c r="C273" s="510"/>
      <c r="D273" s="511">
        <f>SUMIF(E270:E270, "CANCELADA", D270:D270)</f>
        <v>4302852</v>
      </c>
      <c r="E273" s="510"/>
      <c r="F273" s="484"/>
      <c r="G273" s="536">
        <v>925</v>
      </c>
      <c r="H273" s="536" t="s">
        <v>100</v>
      </c>
      <c r="I273" s="528">
        <v>372600</v>
      </c>
      <c r="J273" s="536" t="s">
        <v>1981</v>
      </c>
    </row>
    <row r="274" spans="1:15" x14ac:dyDescent="0.25">
      <c r="A274" s="484"/>
      <c r="B274" s="509" t="s">
        <v>1984</v>
      </c>
      <c r="C274" s="510"/>
      <c r="D274" s="511">
        <f>D272-D273</f>
        <v>0</v>
      </c>
      <c r="E274" s="510"/>
      <c r="F274" s="484"/>
      <c r="L274" s="531" t="s">
        <v>335</v>
      </c>
      <c r="M274" s="504" t="s">
        <v>102</v>
      </c>
      <c r="N274" s="505">
        <v>577100</v>
      </c>
      <c r="O274" s="504" t="s">
        <v>1981</v>
      </c>
    </row>
    <row r="275" spans="1:15" x14ac:dyDescent="0.25">
      <c r="A275" s="484"/>
      <c r="B275" s="484"/>
      <c r="C275" s="484"/>
      <c r="D275" s="513"/>
      <c r="E275" s="484"/>
      <c r="F275" s="484"/>
      <c r="G275" s="504">
        <v>927</v>
      </c>
      <c r="H275" s="504" t="s">
        <v>103</v>
      </c>
      <c r="I275" s="528">
        <v>654750</v>
      </c>
      <c r="J275" s="504" t="s">
        <v>1981</v>
      </c>
    </row>
    <row r="276" spans="1:15" x14ac:dyDescent="0.25">
      <c r="A276" s="484"/>
      <c r="B276" s="484"/>
      <c r="C276" s="484"/>
      <c r="D276" s="513"/>
      <c r="E276" s="484"/>
      <c r="F276" s="484"/>
      <c r="G276" s="504" t="s">
        <v>1954</v>
      </c>
      <c r="H276" s="504" t="s">
        <v>112</v>
      </c>
      <c r="I276" s="528">
        <v>577100</v>
      </c>
      <c r="J276" s="504" t="s">
        <v>1981</v>
      </c>
    </row>
    <row r="277" spans="1:15" x14ac:dyDescent="0.25">
      <c r="A277" s="484"/>
      <c r="B277" s="484"/>
      <c r="C277" s="484"/>
      <c r="D277" s="484"/>
      <c r="E277" s="484"/>
      <c r="F277" s="484"/>
      <c r="L277" s="530" t="s">
        <v>1960</v>
      </c>
      <c r="M277" s="504" t="s">
        <v>112</v>
      </c>
      <c r="N277" s="505">
        <v>111750</v>
      </c>
      <c r="O277" s="504" t="s">
        <v>1981</v>
      </c>
    </row>
    <row r="278" spans="1:15" x14ac:dyDescent="0.25">
      <c r="A278" s="484"/>
      <c r="B278" s="484"/>
      <c r="C278" s="484"/>
      <c r="D278" s="484"/>
      <c r="E278" s="484"/>
      <c r="F278" s="484"/>
      <c r="G278" s="504" t="s">
        <v>413</v>
      </c>
      <c r="H278" s="504" t="s">
        <v>115</v>
      </c>
      <c r="I278" s="528">
        <v>316350</v>
      </c>
      <c r="J278" s="504" t="s">
        <v>1981</v>
      </c>
    </row>
    <row r="279" spans="1:15" x14ac:dyDescent="0.25">
      <c r="A279" s="484"/>
      <c r="B279" s="484"/>
      <c r="C279" s="484"/>
      <c r="D279" s="484"/>
      <c r="E279" s="484"/>
      <c r="F279" s="484"/>
      <c r="G279" s="504" t="s">
        <v>416</v>
      </c>
      <c r="H279" s="504" t="s">
        <v>115</v>
      </c>
      <c r="I279" s="528">
        <v>523550</v>
      </c>
      <c r="J279" s="504" t="s">
        <v>1981</v>
      </c>
    </row>
    <row r="280" spans="1:15" x14ac:dyDescent="0.25">
      <c r="A280" s="484"/>
      <c r="B280" s="484"/>
      <c r="C280" s="484"/>
      <c r="D280" s="484"/>
      <c r="E280" s="484"/>
      <c r="F280" s="484"/>
      <c r="G280" s="484"/>
      <c r="H280" s="484"/>
      <c r="I280" s="515"/>
      <c r="J280" s="484"/>
    </row>
    <row r="281" spans="1:15" x14ac:dyDescent="0.25">
      <c r="A281" s="484"/>
      <c r="B281" s="484"/>
      <c r="C281" s="484"/>
      <c r="D281" s="515"/>
      <c r="E281" s="484"/>
      <c r="F281" s="484"/>
      <c r="G281" s="506" t="s">
        <v>1979</v>
      </c>
      <c r="H281" s="507"/>
      <c r="I281" s="508">
        <f>SUM(I270:I279)</f>
        <v>3503430</v>
      </c>
      <c r="J281" s="507"/>
    </row>
    <row r="282" spans="1:15" x14ac:dyDescent="0.25">
      <c r="A282" s="484"/>
      <c r="B282" s="484"/>
      <c r="C282" s="484"/>
      <c r="D282" s="515"/>
      <c r="E282" s="484"/>
      <c r="F282" s="484"/>
      <c r="G282" s="509" t="s">
        <v>1983</v>
      </c>
      <c r="H282" s="510"/>
      <c r="I282" s="511">
        <f>SUMIF(J270:J279, "CANCELADA", I270:I279)</f>
        <v>3503430</v>
      </c>
      <c r="J282" s="510"/>
    </row>
    <row r="283" spans="1:15" x14ac:dyDescent="0.25">
      <c r="A283" s="484"/>
      <c r="B283" s="484"/>
      <c r="C283" s="484"/>
      <c r="D283" s="515"/>
      <c r="E283" s="484"/>
      <c r="F283" s="484"/>
      <c r="G283" s="509" t="s">
        <v>1984</v>
      </c>
      <c r="H283" s="510"/>
      <c r="I283" s="511">
        <f>I281-I282</f>
        <v>0</v>
      </c>
      <c r="J283" s="510"/>
    </row>
    <row r="284" spans="1:15" x14ac:dyDescent="0.25">
      <c r="A284" s="484"/>
      <c r="B284" s="484"/>
      <c r="C284" s="484"/>
      <c r="D284" s="515"/>
      <c r="E284" s="484"/>
      <c r="F284" s="484"/>
      <c r="G284" s="484"/>
      <c r="H284" s="484"/>
      <c r="I284" s="515"/>
      <c r="J284" s="484"/>
    </row>
    <row r="285" spans="1:15" x14ac:dyDescent="0.25">
      <c r="A285" s="484"/>
      <c r="B285" s="484"/>
      <c r="C285" s="484"/>
      <c r="D285" s="515"/>
      <c r="E285" s="484"/>
      <c r="F285" s="484"/>
      <c r="G285" s="484"/>
      <c r="H285" s="484"/>
      <c r="I285" s="513"/>
      <c r="J285" s="484"/>
    </row>
    <row r="286" spans="1:15" x14ac:dyDescent="0.25">
      <c r="A286" s="484"/>
      <c r="B286" s="633" t="s">
        <v>3209</v>
      </c>
      <c r="C286" s="634"/>
      <c r="D286" s="634"/>
      <c r="E286" s="634"/>
      <c r="F286" s="484"/>
      <c r="G286" s="633" t="s">
        <v>3210</v>
      </c>
      <c r="H286" s="634"/>
      <c r="I286" s="634"/>
      <c r="J286" s="634"/>
    </row>
    <row r="287" spans="1:15" x14ac:dyDescent="0.25">
      <c r="A287" s="484"/>
      <c r="B287" s="503" t="s">
        <v>1977</v>
      </c>
      <c r="C287" s="503" t="s">
        <v>1978</v>
      </c>
      <c r="D287" s="516" t="s">
        <v>1979</v>
      </c>
      <c r="E287" s="503" t="s">
        <v>3096</v>
      </c>
      <c r="F287" s="484"/>
      <c r="G287" s="503" t="s">
        <v>1977</v>
      </c>
      <c r="H287" s="503" t="s">
        <v>1978</v>
      </c>
      <c r="I287" s="517" t="s">
        <v>1979</v>
      </c>
      <c r="J287" s="503" t="s">
        <v>3096</v>
      </c>
    </row>
    <row r="288" spans="1:15" x14ac:dyDescent="0.25">
      <c r="A288" s="484"/>
      <c r="B288" s="504" t="s">
        <v>1580</v>
      </c>
      <c r="C288" s="504" t="s">
        <v>104</v>
      </c>
      <c r="D288" s="505">
        <v>2288950</v>
      </c>
      <c r="E288" s="504" t="s">
        <v>1981</v>
      </c>
      <c r="F288" s="484"/>
      <c r="G288" s="504" t="s">
        <v>1194</v>
      </c>
      <c r="H288" s="504" t="s">
        <v>90</v>
      </c>
      <c r="I288" s="505">
        <v>738000</v>
      </c>
      <c r="J288" s="504" t="s">
        <v>1981</v>
      </c>
    </row>
    <row r="289" spans="1:10" x14ac:dyDescent="0.25">
      <c r="A289" s="484"/>
      <c r="B289" s="486" t="s">
        <v>1866</v>
      </c>
      <c r="C289" s="486" t="s">
        <v>124</v>
      </c>
      <c r="D289" s="488">
        <v>812600</v>
      </c>
      <c r="E289" s="486" t="s">
        <v>1984</v>
      </c>
      <c r="F289" s="484"/>
      <c r="G289" s="504" t="s">
        <v>1707</v>
      </c>
      <c r="H289" s="504" t="s">
        <v>102</v>
      </c>
      <c r="I289" s="505">
        <v>1076000</v>
      </c>
      <c r="J289" s="504" t="s">
        <v>1981</v>
      </c>
    </row>
    <row r="290" spans="1:10" x14ac:dyDescent="0.25">
      <c r="A290" s="484"/>
      <c r="B290" s="486" t="s">
        <v>1884</v>
      </c>
      <c r="C290" s="486" t="s">
        <v>124</v>
      </c>
      <c r="D290" s="488">
        <v>960630</v>
      </c>
      <c r="E290" s="486" t="s">
        <v>1984</v>
      </c>
      <c r="F290" s="484"/>
      <c r="G290" s="504" t="s">
        <v>3211</v>
      </c>
      <c r="H290" s="504" t="s">
        <v>104</v>
      </c>
      <c r="I290" s="505">
        <v>1076000</v>
      </c>
      <c r="J290" s="504" t="s">
        <v>1981</v>
      </c>
    </row>
    <row r="291" spans="1:10" x14ac:dyDescent="0.25">
      <c r="A291" s="484"/>
      <c r="B291" s="484"/>
      <c r="C291" s="484"/>
      <c r="D291" s="484"/>
      <c r="E291" s="484"/>
      <c r="F291" s="484"/>
      <c r="G291" s="504" t="s">
        <v>1663</v>
      </c>
      <c r="H291" s="504" t="s">
        <v>106</v>
      </c>
      <c r="I291" s="505">
        <v>1130000</v>
      </c>
      <c r="J291" s="504" t="s">
        <v>1981</v>
      </c>
    </row>
    <row r="292" spans="1:10" x14ac:dyDescent="0.25">
      <c r="A292" s="484"/>
      <c r="B292" s="506" t="s">
        <v>1979</v>
      </c>
      <c r="C292" s="507"/>
      <c r="D292" s="508">
        <f>SUM(D288:D290)</f>
        <v>4062180</v>
      </c>
      <c r="E292" s="507"/>
      <c r="F292" s="484"/>
      <c r="G292" s="484"/>
      <c r="H292" s="484"/>
      <c r="I292" s="484"/>
      <c r="J292" s="484"/>
    </row>
    <row r="293" spans="1:10" x14ac:dyDescent="0.25">
      <c r="A293" s="484"/>
      <c r="B293" s="509" t="s">
        <v>1983</v>
      </c>
      <c r="C293" s="510"/>
      <c r="D293" s="511">
        <f>SUMIF(E288:E290, "CANCELADA", D288:D290)</f>
        <v>2288950</v>
      </c>
      <c r="E293" s="510"/>
      <c r="F293" s="484"/>
      <c r="G293" s="506" t="s">
        <v>1979</v>
      </c>
      <c r="H293" s="507"/>
      <c r="I293" s="508">
        <f>SUM(I288:I291)</f>
        <v>4020000</v>
      </c>
      <c r="J293" s="507"/>
    </row>
    <row r="294" spans="1:10" x14ac:dyDescent="0.25">
      <c r="A294" s="484"/>
      <c r="B294" s="509" t="s">
        <v>1984</v>
      </c>
      <c r="C294" s="510"/>
      <c r="D294" s="511">
        <f>D292-D293</f>
        <v>1773230</v>
      </c>
      <c r="E294" s="510"/>
      <c r="F294" s="484"/>
      <c r="G294" s="509" t="s">
        <v>1983</v>
      </c>
      <c r="H294" s="510"/>
      <c r="I294" s="511">
        <f>SUMIF(J288:J291, "CANCELADA", I288:I291)</f>
        <v>4020000</v>
      </c>
      <c r="J294" s="510"/>
    </row>
    <row r="295" spans="1:10" x14ac:dyDescent="0.25">
      <c r="A295" s="484"/>
      <c r="B295" s="484"/>
      <c r="C295" s="484"/>
      <c r="D295" s="484"/>
      <c r="E295" s="484"/>
      <c r="F295" s="484"/>
      <c r="G295" s="509" t="s">
        <v>1984</v>
      </c>
      <c r="H295" s="510"/>
      <c r="I295" s="511">
        <f>I293-I294</f>
        <v>0</v>
      </c>
      <c r="J295" s="510"/>
    </row>
    <row r="296" spans="1:10" x14ac:dyDescent="0.25">
      <c r="A296" s="484"/>
      <c r="B296" s="484"/>
      <c r="C296" s="484"/>
      <c r="D296" s="484"/>
      <c r="E296" s="484"/>
      <c r="F296" s="484"/>
      <c r="G296" s="484"/>
      <c r="H296" s="484"/>
      <c r="I296" s="484"/>
      <c r="J296" s="484"/>
    </row>
    <row r="297" spans="1:10" x14ac:dyDescent="0.25">
      <c r="A297" s="484"/>
      <c r="B297" s="484"/>
      <c r="C297" s="484"/>
      <c r="D297" s="484"/>
      <c r="E297" s="484"/>
      <c r="F297" s="484"/>
      <c r="G297" s="484"/>
      <c r="H297" s="484"/>
      <c r="I297" s="484"/>
      <c r="J297" s="484"/>
    </row>
    <row r="298" spans="1:10" x14ac:dyDescent="0.25">
      <c r="A298" s="484"/>
      <c r="B298" s="633" t="s">
        <v>3212</v>
      </c>
      <c r="C298" s="634"/>
      <c r="D298" s="634"/>
      <c r="E298" s="634"/>
      <c r="F298" s="484"/>
      <c r="G298" s="633" t="s">
        <v>3213</v>
      </c>
      <c r="H298" s="634"/>
      <c r="I298" s="634"/>
      <c r="J298" s="634"/>
    </row>
    <row r="299" spans="1:10" x14ac:dyDescent="0.25">
      <c r="A299" s="484"/>
      <c r="B299" s="503" t="s">
        <v>1977</v>
      </c>
      <c r="C299" s="503" t="s">
        <v>1978</v>
      </c>
      <c r="D299" s="516" t="s">
        <v>1979</v>
      </c>
      <c r="E299" s="503" t="s">
        <v>3096</v>
      </c>
      <c r="F299" s="484"/>
      <c r="G299" s="503" t="s">
        <v>1977</v>
      </c>
      <c r="H299" s="503" t="s">
        <v>1978</v>
      </c>
      <c r="I299" s="516" t="s">
        <v>1979</v>
      </c>
      <c r="J299" s="503" t="s">
        <v>3096</v>
      </c>
    </row>
    <row r="300" spans="1:10" x14ac:dyDescent="0.25">
      <c r="A300" s="484"/>
      <c r="B300" s="504" t="s">
        <v>207</v>
      </c>
      <c r="C300" s="504" t="s">
        <v>86</v>
      </c>
      <c r="D300" s="505">
        <v>22000</v>
      </c>
      <c r="E300" s="504" t="s">
        <v>1981</v>
      </c>
      <c r="F300" s="484"/>
      <c r="G300" s="504" t="s">
        <v>3214</v>
      </c>
      <c r="H300" s="504" t="s">
        <v>118</v>
      </c>
      <c r="I300" s="505">
        <v>1000000</v>
      </c>
      <c r="J300" s="504" t="s">
        <v>1981</v>
      </c>
    </row>
    <row r="301" spans="1:10" x14ac:dyDescent="0.25">
      <c r="A301" s="484"/>
      <c r="B301" s="504" t="s">
        <v>1122</v>
      </c>
      <c r="C301" s="504" t="s">
        <v>88</v>
      </c>
      <c r="D301" s="505">
        <v>125000</v>
      </c>
      <c r="E301" s="504" t="s">
        <v>1981</v>
      </c>
      <c r="F301" s="484"/>
      <c r="G301" s="486" t="s">
        <v>3215</v>
      </c>
      <c r="H301" s="486" t="s">
        <v>118</v>
      </c>
      <c r="I301" s="488">
        <v>2400000</v>
      </c>
      <c r="J301" s="486" t="s">
        <v>1984</v>
      </c>
    </row>
    <row r="302" spans="1:10" x14ac:dyDescent="0.25">
      <c r="A302" s="484"/>
      <c r="B302" s="504" t="s">
        <v>1159</v>
      </c>
      <c r="C302" s="504" t="s">
        <v>90</v>
      </c>
      <c r="D302" s="505">
        <v>282000</v>
      </c>
      <c r="E302" s="504" t="s">
        <v>1981</v>
      </c>
      <c r="F302" s="484"/>
      <c r="G302" s="486" t="s">
        <v>3216</v>
      </c>
      <c r="H302" s="486" t="s">
        <v>118</v>
      </c>
      <c r="I302" s="488">
        <v>110000</v>
      </c>
      <c r="J302" s="486" t="s">
        <v>1984</v>
      </c>
    </row>
    <row r="303" spans="1:10" x14ac:dyDescent="0.25">
      <c r="A303" s="484"/>
      <c r="B303" s="504" t="s">
        <v>1297</v>
      </c>
      <c r="C303" s="504" t="s">
        <v>92</v>
      </c>
      <c r="D303" s="505">
        <v>263500</v>
      </c>
      <c r="E303" s="504" t="s">
        <v>1981</v>
      </c>
      <c r="F303" s="484"/>
      <c r="G303" s="484"/>
      <c r="H303" s="484"/>
      <c r="I303" s="515"/>
      <c r="J303" s="484"/>
    </row>
    <row r="304" spans="1:10" x14ac:dyDescent="0.25">
      <c r="A304" s="484"/>
      <c r="B304" s="504" t="s">
        <v>1340</v>
      </c>
      <c r="C304" s="504" t="s">
        <v>96</v>
      </c>
      <c r="D304" s="505">
        <v>485000</v>
      </c>
      <c r="E304" s="504" t="s">
        <v>1981</v>
      </c>
      <c r="F304" s="484"/>
      <c r="G304" s="506" t="s">
        <v>1979</v>
      </c>
      <c r="H304" s="507"/>
      <c r="I304" s="508">
        <f>SUM(I300:I302)</f>
        <v>3510000</v>
      </c>
      <c r="J304" s="507"/>
    </row>
    <row r="305" spans="1:10" x14ac:dyDescent="0.25">
      <c r="A305" s="484"/>
      <c r="B305" s="504" t="s">
        <v>730</v>
      </c>
      <c r="C305" s="504" t="s">
        <v>98</v>
      </c>
      <c r="D305" s="505">
        <v>74000</v>
      </c>
      <c r="E305" s="504" t="s">
        <v>1981</v>
      </c>
      <c r="F305" s="484"/>
      <c r="G305" s="509" t="s">
        <v>1983</v>
      </c>
      <c r="H305" s="510"/>
      <c r="I305" s="511">
        <f>SUMIF(J300:J302, "CANCELADA", I300:I302)</f>
        <v>1000000</v>
      </c>
      <c r="J305" s="510"/>
    </row>
    <row r="306" spans="1:10" x14ac:dyDescent="0.25">
      <c r="A306" s="484"/>
      <c r="B306" s="504" t="s">
        <v>1442</v>
      </c>
      <c r="C306" s="504" t="s">
        <v>100</v>
      </c>
      <c r="D306" s="505">
        <v>161000</v>
      </c>
      <c r="E306" s="504" t="s">
        <v>1981</v>
      </c>
      <c r="F306" s="484"/>
      <c r="G306" s="509" t="s">
        <v>1984</v>
      </c>
      <c r="H306" s="510"/>
      <c r="I306" s="511">
        <f>I304-I305</f>
        <v>2510000</v>
      </c>
      <c r="J306" s="510"/>
    </row>
    <row r="307" spans="1:10" x14ac:dyDescent="0.25">
      <c r="A307" s="484"/>
      <c r="B307" s="504" t="s">
        <v>1485</v>
      </c>
      <c r="C307" s="504" t="s">
        <v>102</v>
      </c>
      <c r="D307" s="505">
        <v>25000</v>
      </c>
      <c r="E307" s="504" t="s">
        <v>1981</v>
      </c>
      <c r="F307" s="484"/>
      <c r="G307" s="484"/>
      <c r="H307" s="484"/>
      <c r="I307" s="515"/>
      <c r="J307" s="484"/>
    </row>
    <row r="308" spans="1:10" x14ac:dyDescent="0.25">
      <c r="A308" s="484"/>
      <c r="B308" s="504" t="s">
        <v>346</v>
      </c>
      <c r="C308" s="504" t="s">
        <v>103</v>
      </c>
      <c r="D308" s="505">
        <v>336000</v>
      </c>
      <c r="E308" s="504" t="s">
        <v>1981</v>
      </c>
      <c r="F308" s="484"/>
      <c r="G308" s="484"/>
      <c r="H308" s="484"/>
      <c r="I308" s="515"/>
      <c r="J308" s="484"/>
    </row>
    <row r="309" spans="1:10" x14ac:dyDescent="0.25">
      <c r="A309" s="484"/>
      <c r="B309" s="504" t="s">
        <v>1538</v>
      </c>
      <c r="C309" s="504" t="s">
        <v>103</v>
      </c>
      <c r="D309" s="505">
        <v>20000</v>
      </c>
      <c r="E309" s="504" t="s">
        <v>1981</v>
      </c>
      <c r="F309" s="484"/>
      <c r="G309" s="484"/>
      <c r="H309" s="484"/>
      <c r="I309" s="515"/>
      <c r="J309" s="484"/>
    </row>
    <row r="310" spans="1:10" x14ac:dyDescent="0.25">
      <c r="A310" s="484"/>
      <c r="B310" s="504" t="s">
        <v>801</v>
      </c>
      <c r="C310" s="504" t="s">
        <v>103</v>
      </c>
      <c r="D310" s="505">
        <v>50000</v>
      </c>
      <c r="E310" s="504" t="s">
        <v>1981</v>
      </c>
      <c r="F310" s="484"/>
      <c r="G310" s="484"/>
      <c r="H310" s="484"/>
      <c r="I310" s="515"/>
      <c r="J310" s="484"/>
    </row>
    <row r="311" spans="1:10" x14ac:dyDescent="0.25">
      <c r="A311" s="484"/>
      <c r="B311" s="504" t="s">
        <v>3217</v>
      </c>
      <c r="C311" s="504" t="s">
        <v>104</v>
      </c>
      <c r="D311" s="505">
        <v>345000</v>
      </c>
      <c r="E311" s="504" t="s">
        <v>1981</v>
      </c>
      <c r="F311" s="484"/>
      <c r="G311" s="484"/>
      <c r="H311" s="484"/>
      <c r="I311" s="515"/>
      <c r="J311" s="484"/>
    </row>
    <row r="312" spans="1:10" x14ac:dyDescent="0.25">
      <c r="A312" s="484"/>
      <c r="B312" s="504" t="s">
        <v>3218</v>
      </c>
      <c r="C312" s="504" t="s">
        <v>104</v>
      </c>
      <c r="D312" s="505">
        <v>190000</v>
      </c>
      <c r="E312" s="504" t="s">
        <v>1981</v>
      </c>
      <c r="F312" s="484"/>
      <c r="G312" s="484"/>
      <c r="H312" s="484"/>
      <c r="I312" s="515"/>
      <c r="J312" s="484"/>
    </row>
    <row r="313" spans="1:10" x14ac:dyDescent="0.25">
      <c r="A313" s="484"/>
      <c r="B313" s="504" t="s">
        <v>3219</v>
      </c>
      <c r="C313" s="504" t="s">
        <v>106</v>
      </c>
      <c r="D313" s="505">
        <v>750000</v>
      </c>
      <c r="E313" s="504" t="s">
        <v>1981</v>
      </c>
      <c r="F313" s="484"/>
      <c r="G313" s="484"/>
      <c r="H313" s="484"/>
      <c r="I313" s="515"/>
      <c r="J313" s="484"/>
    </row>
    <row r="314" spans="1:10" x14ac:dyDescent="0.25">
      <c r="A314" s="484"/>
      <c r="B314" s="504" t="s">
        <v>3220</v>
      </c>
      <c r="C314" s="504" t="s">
        <v>106</v>
      </c>
      <c r="D314" s="505">
        <v>241800</v>
      </c>
      <c r="E314" s="504" t="s">
        <v>1981</v>
      </c>
      <c r="F314" s="484"/>
      <c r="G314" s="484"/>
      <c r="H314" s="484"/>
      <c r="I314" s="515"/>
      <c r="J314" s="484"/>
    </row>
    <row r="315" spans="1:10" x14ac:dyDescent="0.25">
      <c r="A315" s="484"/>
      <c r="B315" s="504" t="s">
        <v>3221</v>
      </c>
      <c r="C315" s="504" t="s">
        <v>106</v>
      </c>
      <c r="D315" s="505">
        <v>38200</v>
      </c>
      <c r="E315" s="504" t="s">
        <v>1981</v>
      </c>
      <c r="F315" s="484"/>
      <c r="G315" s="484"/>
      <c r="H315" s="484"/>
      <c r="I315" s="515"/>
      <c r="J315" s="484"/>
    </row>
    <row r="316" spans="1:10" x14ac:dyDescent="0.25">
      <c r="A316" s="484"/>
      <c r="B316" s="504" t="s">
        <v>3222</v>
      </c>
      <c r="C316" s="504" t="s">
        <v>106</v>
      </c>
      <c r="D316" s="505">
        <v>100000</v>
      </c>
      <c r="E316" s="504" t="s">
        <v>1981</v>
      </c>
      <c r="F316" s="484"/>
      <c r="G316" s="484"/>
      <c r="H316" s="484"/>
      <c r="I316" s="515"/>
      <c r="J316" s="484"/>
    </row>
    <row r="317" spans="1:10" x14ac:dyDescent="0.25">
      <c r="A317" s="484"/>
      <c r="B317" s="504" t="s">
        <v>3223</v>
      </c>
      <c r="C317" s="504" t="s">
        <v>112</v>
      </c>
      <c r="D317" s="505">
        <v>20000</v>
      </c>
      <c r="E317" s="504" t="s">
        <v>1981</v>
      </c>
      <c r="F317" s="484"/>
      <c r="G317" s="484"/>
      <c r="H317" s="484"/>
      <c r="I317" s="515"/>
      <c r="J317" s="484"/>
    </row>
    <row r="318" spans="1:10" x14ac:dyDescent="0.25">
      <c r="A318" s="484"/>
      <c r="B318" s="504" t="s">
        <v>3224</v>
      </c>
      <c r="C318" s="504" t="s">
        <v>112</v>
      </c>
      <c r="D318" s="505">
        <v>81100</v>
      </c>
      <c r="E318" s="504" t="s">
        <v>1981</v>
      </c>
      <c r="F318" s="484"/>
      <c r="G318" s="484"/>
      <c r="H318" s="484"/>
      <c r="I318" s="515"/>
      <c r="J318" s="484"/>
    </row>
    <row r="319" spans="1:10" x14ac:dyDescent="0.25">
      <c r="A319" s="484"/>
      <c r="B319" s="504" t="s">
        <v>3225</v>
      </c>
      <c r="C319" s="504" t="s">
        <v>112</v>
      </c>
      <c r="D319" s="505">
        <v>9000</v>
      </c>
      <c r="E319" s="504" t="s">
        <v>1981</v>
      </c>
      <c r="F319" s="484"/>
      <c r="G319" s="484"/>
      <c r="H319" s="484"/>
      <c r="I319" s="515"/>
      <c r="J319" s="484"/>
    </row>
    <row r="320" spans="1:10" x14ac:dyDescent="0.25">
      <c r="A320" s="484"/>
      <c r="B320" s="504" t="s">
        <v>3226</v>
      </c>
      <c r="C320" s="504" t="s">
        <v>112</v>
      </c>
      <c r="D320" s="505">
        <v>24500</v>
      </c>
      <c r="E320" s="504" t="s">
        <v>1981</v>
      </c>
      <c r="F320" s="484"/>
      <c r="G320" s="484"/>
      <c r="H320" s="484"/>
      <c r="I320" s="513"/>
      <c r="J320" s="484"/>
    </row>
    <row r="321" spans="1:10" x14ac:dyDescent="0.25">
      <c r="A321" s="484"/>
      <c r="B321" s="484"/>
      <c r="C321" s="484"/>
      <c r="D321" s="484"/>
      <c r="E321" s="484"/>
      <c r="F321" s="484"/>
      <c r="G321" s="484"/>
      <c r="H321" s="484"/>
      <c r="I321" s="513"/>
      <c r="J321" s="484"/>
    </row>
    <row r="322" spans="1:10" x14ac:dyDescent="0.25">
      <c r="A322" s="484"/>
      <c r="B322" s="506" t="s">
        <v>1979</v>
      </c>
      <c r="C322" s="507"/>
      <c r="D322" s="508">
        <f>SUM(D300:D320)</f>
        <v>3643100</v>
      </c>
      <c r="E322" s="507"/>
      <c r="F322" s="484"/>
      <c r="G322" s="484"/>
      <c r="H322" s="484"/>
      <c r="I322" s="513"/>
      <c r="J322" s="484"/>
    </row>
    <row r="323" spans="1:10" x14ac:dyDescent="0.25">
      <c r="A323" s="484"/>
      <c r="B323" s="509" t="s">
        <v>1983</v>
      </c>
      <c r="C323" s="510"/>
      <c r="D323" s="511">
        <f>SUMIF(E300:E320, "CANCELADA", D300:D320)</f>
        <v>3643100</v>
      </c>
      <c r="E323" s="510"/>
      <c r="F323" s="484"/>
      <c r="G323" s="484"/>
      <c r="H323" s="484"/>
      <c r="I323" s="513"/>
      <c r="J323" s="484"/>
    </row>
    <row r="324" spans="1:10" x14ac:dyDescent="0.25">
      <c r="A324" s="484"/>
      <c r="B324" s="509" t="s">
        <v>1984</v>
      </c>
      <c r="C324" s="510"/>
      <c r="D324" s="511">
        <f>D322-D323</f>
        <v>0</v>
      </c>
      <c r="E324" s="510"/>
      <c r="F324" s="484"/>
      <c r="G324" s="484"/>
      <c r="H324" s="484"/>
      <c r="I324" s="484"/>
      <c r="J324" s="484"/>
    </row>
    <row r="325" spans="1:10" x14ac:dyDescent="0.25">
      <c r="A325" s="484"/>
      <c r="B325" s="484"/>
      <c r="C325" s="484"/>
      <c r="D325" s="515"/>
      <c r="E325" s="484"/>
      <c r="F325" s="484"/>
      <c r="G325" s="484"/>
      <c r="H325" s="484"/>
      <c r="I325" s="515"/>
      <c r="J325" s="484"/>
    </row>
    <row r="326" spans="1:10" x14ac:dyDescent="0.25">
      <c r="A326" s="484"/>
      <c r="B326" s="484"/>
      <c r="C326" s="484"/>
      <c r="D326" s="484"/>
      <c r="E326" s="484"/>
      <c r="F326" s="484"/>
      <c r="G326" s="484"/>
      <c r="H326" s="484"/>
      <c r="I326" s="484"/>
      <c r="J326" s="484"/>
    </row>
    <row r="327" spans="1:10" x14ac:dyDescent="0.25">
      <c r="A327" s="484"/>
      <c r="B327" s="633" t="s">
        <v>3227</v>
      </c>
      <c r="C327" s="634"/>
      <c r="D327" s="634"/>
      <c r="E327" s="634"/>
      <c r="F327" s="484"/>
      <c r="G327" s="633" t="s">
        <v>3228</v>
      </c>
      <c r="H327" s="634"/>
      <c r="I327" s="634"/>
      <c r="J327" s="634"/>
    </row>
    <row r="328" spans="1:10" x14ac:dyDescent="0.25">
      <c r="A328" s="484"/>
      <c r="B328" s="503" t="s">
        <v>1977</v>
      </c>
      <c r="C328" s="503" t="s">
        <v>1978</v>
      </c>
      <c r="D328" s="516" t="s">
        <v>1979</v>
      </c>
      <c r="E328" s="503" t="s">
        <v>3096</v>
      </c>
      <c r="F328" s="484"/>
      <c r="G328" s="503" t="s">
        <v>1977</v>
      </c>
      <c r="H328" s="503" t="s">
        <v>1978</v>
      </c>
      <c r="I328" s="516" t="s">
        <v>1979</v>
      </c>
      <c r="J328" s="503" t="s">
        <v>3096</v>
      </c>
    </row>
    <row r="329" spans="1:10" x14ac:dyDescent="0.25">
      <c r="A329" s="484"/>
      <c r="B329" s="486" t="s">
        <v>202</v>
      </c>
      <c r="C329" s="486" t="s">
        <v>86</v>
      </c>
      <c r="D329" s="488">
        <v>899430</v>
      </c>
      <c r="E329" s="486" t="s">
        <v>1984</v>
      </c>
      <c r="F329" s="484"/>
      <c r="G329" s="504" t="s">
        <v>1347</v>
      </c>
      <c r="H329" s="504" t="s">
        <v>98</v>
      </c>
      <c r="I329" s="505">
        <v>649800</v>
      </c>
      <c r="J329" s="504" t="s">
        <v>1981</v>
      </c>
    </row>
    <row r="330" spans="1:10" x14ac:dyDescent="0.25">
      <c r="A330" s="484"/>
      <c r="B330" s="486" t="s">
        <v>264</v>
      </c>
      <c r="C330" s="486" t="s">
        <v>92</v>
      </c>
      <c r="D330" s="488">
        <v>1124075</v>
      </c>
      <c r="E330" s="486" t="s">
        <v>1984</v>
      </c>
      <c r="F330" s="484"/>
      <c r="G330" s="504" t="s">
        <v>596</v>
      </c>
      <c r="H330" s="504" t="s">
        <v>102</v>
      </c>
      <c r="I330" s="505">
        <v>1572643</v>
      </c>
      <c r="J330" s="504" t="s">
        <v>1981</v>
      </c>
    </row>
    <row r="331" spans="1:10" x14ac:dyDescent="0.25">
      <c r="A331" s="484"/>
      <c r="B331" s="486" t="s">
        <v>368</v>
      </c>
      <c r="C331" s="486" t="s">
        <v>104</v>
      </c>
      <c r="D331" s="488">
        <v>377460</v>
      </c>
      <c r="E331" s="486" t="s">
        <v>1984</v>
      </c>
      <c r="F331" s="484"/>
      <c r="G331" s="484"/>
      <c r="H331" s="484"/>
      <c r="I331" s="513"/>
      <c r="J331" s="484"/>
    </row>
    <row r="332" spans="1:10" x14ac:dyDescent="0.25">
      <c r="A332" s="484"/>
      <c r="B332" s="486" t="s">
        <v>429</v>
      </c>
      <c r="C332" s="486" t="s">
        <v>121</v>
      </c>
      <c r="D332" s="488">
        <v>389775</v>
      </c>
      <c r="E332" s="486" t="s">
        <v>1984</v>
      </c>
      <c r="F332" s="484"/>
      <c r="G332" s="506" t="s">
        <v>1979</v>
      </c>
      <c r="H332" s="507"/>
      <c r="I332" s="508">
        <f>SUM(I329:I330)</f>
        <v>2222443</v>
      </c>
      <c r="J332" s="507"/>
    </row>
    <row r="333" spans="1:10" x14ac:dyDescent="0.25">
      <c r="A333" s="484"/>
      <c r="B333" s="484"/>
      <c r="C333" s="484"/>
      <c r="D333" s="513"/>
      <c r="E333" s="484"/>
      <c r="F333" s="484"/>
      <c r="G333" s="509" t="s">
        <v>1983</v>
      </c>
      <c r="H333" s="510"/>
      <c r="I333" s="511">
        <f>SUMIF(J329:J330, "CANCELADA", I329:I330)</f>
        <v>2222443</v>
      </c>
      <c r="J333" s="510"/>
    </row>
    <row r="334" spans="1:10" x14ac:dyDescent="0.25">
      <c r="A334" s="484"/>
      <c r="B334" s="506" t="s">
        <v>1979</v>
      </c>
      <c r="C334" s="507"/>
      <c r="D334" s="508">
        <f>SUM(D329:D332)</f>
        <v>2790740</v>
      </c>
      <c r="E334" s="507"/>
      <c r="F334" s="484"/>
      <c r="G334" s="509" t="s">
        <v>1984</v>
      </c>
      <c r="H334" s="510"/>
      <c r="I334" s="511">
        <f>I332-I333</f>
        <v>0</v>
      </c>
      <c r="J334" s="510"/>
    </row>
    <row r="335" spans="1:10" x14ac:dyDescent="0.25">
      <c r="A335" s="484"/>
      <c r="B335" s="509" t="s">
        <v>1983</v>
      </c>
      <c r="C335" s="510"/>
      <c r="D335" s="511">
        <f>SUMIF(E329:E332, "CANCELADA", D329:D332)</f>
        <v>0</v>
      </c>
      <c r="E335" s="510"/>
      <c r="F335" s="484"/>
      <c r="G335" s="484"/>
      <c r="H335" s="484"/>
      <c r="I335" s="484"/>
      <c r="J335" s="484"/>
    </row>
    <row r="336" spans="1:10" x14ac:dyDescent="0.25">
      <c r="A336" s="484"/>
      <c r="B336" s="509" t="s">
        <v>1984</v>
      </c>
      <c r="C336" s="510"/>
      <c r="D336" s="511">
        <f>D334-D335</f>
        <v>2790740</v>
      </c>
      <c r="E336" s="510"/>
      <c r="F336" s="484"/>
      <c r="G336" s="484"/>
      <c r="H336" s="484"/>
      <c r="I336" s="515"/>
      <c r="J336" s="484"/>
    </row>
    <row r="337" spans="1:10" x14ac:dyDescent="0.25">
      <c r="A337" s="484"/>
      <c r="B337" s="484"/>
      <c r="C337" s="484"/>
      <c r="D337" s="515"/>
      <c r="E337" s="484"/>
      <c r="F337" s="484"/>
      <c r="G337" s="484"/>
      <c r="H337" s="484"/>
      <c r="I337" s="515"/>
      <c r="J337" s="484"/>
    </row>
    <row r="338" spans="1:10" x14ac:dyDescent="0.25">
      <c r="A338" s="484"/>
      <c r="B338" s="484"/>
      <c r="C338" s="484"/>
      <c r="D338" s="484"/>
      <c r="E338" s="484"/>
      <c r="F338" s="484"/>
      <c r="G338" s="484"/>
      <c r="H338" s="484"/>
      <c r="I338" s="484"/>
      <c r="J338" s="484"/>
    </row>
    <row r="339" spans="1:10" x14ac:dyDescent="0.25">
      <c r="A339" s="484"/>
      <c r="B339" s="633" t="s">
        <v>3229</v>
      </c>
      <c r="C339" s="634"/>
      <c r="D339" s="634"/>
      <c r="E339" s="634"/>
      <c r="F339" s="484"/>
      <c r="G339" s="633" t="s">
        <v>3230</v>
      </c>
      <c r="H339" s="634"/>
      <c r="I339" s="634"/>
      <c r="J339" s="634"/>
    </row>
    <row r="340" spans="1:10" x14ac:dyDescent="0.25">
      <c r="A340" s="484"/>
      <c r="B340" s="503" t="s">
        <v>1977</v>
      </c>
      <c r="C340" s="503" t="s">
        <v>1978</v>
      </c>
      <c r="D340" s="516" t="s">
        <v>1979</v>
      </c>
      <c r="E340" s="503" t="s">
        <v>3096</v>
      </c>
      <c r="F340" s="484"/>
      <c r="G340" s="503" t="s">
        <v>1977</v>
      </c>
      <c r="H340" s="503" t="s">
        <v>1978</v>
      </c>
      <c r="I340" s="516" t="s">
        <v>1979</v>
      </c>
      <c r="J340" s="503" t="s">
        <v>3096</v>
      </c>
    </row>
    <row r="341" spans="1:10" x14ac:dyDescent="0.25">
      <c r="A341" s="484"/>
      <c r="B341" s="504" t="s">
        <v>3231</v>
      </c>
      <c r="C341" s="504" t="s">
        <v>104</v>
      </c>
      <c r="D341" s="505">
        <v>1200000</v>
      </c>
      <c r="E341" s="504" t="s">
        <v>1981</v>
      </c>
      <c r="F341" s="484"/>
      <c r="G341" s="486" t="s">
        <v>494</v>
      </c>
      <c r="H341" s="486" t="s">
        <v>90</v>
      </c>
      <c r="I341" s="488">
        <v>820000</v>
      </c>
      <c r="J341" s="486" t="s">
        <v>1984</v>
      </c>
    </row>
    <row r="342" spans="1:10" x14ac:dyDescent="0.25">
      <c r="A342" s="484"/>
      <c r="B342" s="504" t="s">
        <v>1594</v>
      </c>
      <c r="C342" s="504" t="s">
        <v>104</v>
      </c>
      <c r="D342" s="505">
        <v>900000</v>
      </c>
      <c r="E342" s="504" t="s">
        <v>1981</v>
      </c>
      <c r="F342" s="484"/>
      <c r="G342" s="486" t="s">
        <v>505</v>
      </c>
      <c r="H342" s="486" t="s">
        <v>90</v>
      </c>
      <c r="I342" s="488">
        <v>150600</v>
      </c>
      <c r="J342" s="486" t="s">
        <v>1984</v>
      </c>
    </row>
    <row r="343" spans="1:10" x14ac:dyDescent="0.25">
      <c r="A343" s="484"/>
      <c r="B343" s="484"/>
      <c r="C343" s="484"/>
      <c r="D343" s="513"/>
      <c r="E343" s="484"/>
      <c r="F343" s="484"/>
      <c r="G343" s="486" t="s">
        <v>3232</v>
      </c>
      <c r="H343" s="486" t="s">
        <v>103</v>
      </c>
      <c r="I343" s="488">
        <v>329500</v>
      </c>
      <c r="J343" s="486" t="s">
        <v>1984</v>
      </c>
    </row>
    <row r="344" spans="1:10" x14ac:dyDescent="0.25">
      <c r="A344" s="484"/>
      <c r="B344" s="506" t="s">
        <v>1979</v>
      </c>
      <c r="C344" s="507"/>
      <c r="D344" s="508">
        <f>SUM(D341:D342)</f>
        <v>2100000</v>
      </c>
      <c r="E344" s="507"/>
      <c r="F344" s="484"/>
      <c r="G344" s="486" t="s">
        <v>624</v>
      </c>
      <c r="H344" s="486" t="s">
        <v>103</v>
      </c>
      <c r="I344" s="488">
        <v>33782</v>
      </c>
      <c r="J344" s="486" t="s">
        <v>1984</v>
      </c>
    </row>
    <row r="345" spans="1:10" x14ac:dyDescent="0.25">
      <c r="A345" s="484"/>
      <c r="B345" s="509" t="s">
        <v>1983</v>
      </c>
      <c r="C345" s="510"/>
      <c r="D345" s="511">
        <f>SUMIF(E341:E342, "CANCELADA", D341:D342)</f>
        <v>2100000</v>
      </c>
      <c r="E345" s="510"/>
      <c r="F345" s="484"/>
      <c r="G345" s="486" t="s">
        <v>655</v>
      </c>
      <c r="H345" s="486" t="s">
        <v>112</v>
      </c>
      <c r="I345" s="488">
        <v>62500</v>
      </c>
      <c r="J345" s="486" t="s">
        <v>1984</v>
      </c>
    </row>
    <row r="346" spans="1:10" x14ac:dyDescent="0.25">
      <c r="A346" s="484"/>
      <c r="B346" s="509" t="s">
        <v>1984</v>
      </c>
      <c r="C346" s="510"/>
      <c r="D346" s="511">
        <f>D344-D345</f>
        <v>0</v>
      </c>
      <c r="E346" s="510"/>
      <c r="F346" s="484"/>
      <c r="G346" s="486" t="s">
        <v>672</v>
      </c>
      <c r="H346" s="486" t="s">
        <v>124</v>
      </c>
      <c r="I346" s="488">
        <v>220000</v>
      </c>
      <c r="J346" s="486" t="s">
        <v>1984</v>
      </c>
    </row>
    <row r="347" spans="1:10" x14ac:dyDescent="0.25">
      <c r="A347" s="484"/>
      <c r="B347" s="484"/>
      <c r="C347" s="484"/>
      <c r="D347" s="484"/>
      <c r="E347" s="484"/>
      <c r="F347" s="484"/>
      <c r="G347" s="484"/>
      <c r="H347" s="484"/>
      <c r="I347" s="513"/>
      <c r="J347" s="484"/>
    </row>
    <row r="348" spans="1:10" x14ac:dyDescent="0.25">
      <c r="A348" s="484"/>
      <c r="B348" s="484"/>
      <c r="C348" s="484"/>
      <c r="D348" s="484"/>
      <c r="E348" s="484"/>
      <c r="F348" s="484"/>
      <c r="G348" s="506" t="s">
        <v>1979</v>
      </c>
      <c r="H348" s="507"/>
      <c r="I348" s="508">
        <f>SUM(I341:I346)</f>
        <v>1616382</v>
      </c>
      <c r="J348" s="507"/>
    </row>
    <row r="349" spans="1:10" x14ac:dyDescent="0.25">
      <c r="A349" s="484"/>
      <c r="B349" s="484"/>
      <c r="C349" s="484"/>
      <c r="D349" s="484"/>
      <c r="E349" s="484"/>
      <c r="F349" s="484"/>
      <c r="G349" s="509" t="s">
        <v>1983</v>
      </c>
      <c r="H349" s="510"/>
      <c r="I349" s="511">
        <f>SUMIF(J341:J346, "CANCELADA", I341:I346)</f>
        <v>0</v>
      </c>
      <c r="J349" s="510"/>
    </row>
    <row r="350" spans="1:10" x14ac:dyDescent="0.25">
      <c r="A350" s="484"/>
      <c r="B350" s="484"/>
      <c r="C350" s="484"/>
      <c r="D350" s="484"/>
      <c r="E350" s="484"/>
      <c r="F350" s="484"/>
      <c r="G350" s="509" t="s">
        <v>1984</v>
      </c>
      <c r="H350" s="510"/>
      <c r="I350" s="511">
        <f>I348-I349</f>
        <v>1616382</v>
      </c>
      <c r="J350" s="510"/>
    </row>
    <row r="351" spans="1:10" x14ac:dyDescent="0.25">
      <c r="A351" s="484"/>
      <c r="B351" s="484"/>
      <c r="C351" s="484"/>
      <c r="D351" s="484"/>
      <c r="E351" s="484"/>
      <c r="F351" s="484"/>
      <c r="G351" s="484"/>
      <c r="H351" s="484"/>
      <c r="I351" s="515">
        <v>1646382</v>
      </c>
      <c r="J351" s="484"/>
    </row>
    <row r="352" spans="1:10" x14ac:dyDescent="0.25">
      <c r="A352" s="484"/>
      <c r="B352" s="484"/>
      <c r="C352" s="484"/>
      <c r="D352" s="484"/>
      <c r="E352" s="484"/>
      <c r="F352" s="484"/>
      <c r="G352" s="484"/>
      <c r="H352" s="484"/>
      <c r="I352" s="537">
        <f>I351-I350</f>
        <v>30000</v>
      </c>
      <c r="J352" s="484"/>
    </row>
    <row r="353" spans="1:10" x14ac:dyDescent="0.25">
      <c r="A353" s="484"/>
      <c r="B353" s="633" t="s">
        <v>3233</v>
      </c>
      <c r="C353" s="634"/>
      <c r="D353" s="634"/>
      <c r="E353" s="634"/>
      <c r="F353" s="484"/>
      <c r="G353" s="633" t="s">
        <v>3234</v>
      </c>
      <c r="H353" s="634"/>
      <c r="I353" s="634"/>
      <c r="J353" s="634"/>
    </row>
    <row r="354" spans="1:10" x14ac:dyDescent="0.25">
      <c r="A354" s="484"/>
      <c r="B354" s="503" t="s">
        <v>1977</v>
      </c>
      <c r="C354" s="503" t="s">
        <v>1978</v>
      </c>
      <c r="D354" s="516" t="s">
        <v>1979</v>
      </c>
      <c r="E354" s="503" t="s">
        <v>3096</v>
      </c>
      <c r="F354" s="484"/>
      <c r="G354" s="503" t="s">
        <v>1977</v>
      </c>
      <c r="H354" s="503" t="s">
        <v>1978</v>
      </c>
      <c r="I354" s="516" t="s">
        <v>1979</v>
      </c>
      <c r="J354" s="503" t="s">
        <v>3096</v>
      </c>
    </row>
    <row r="355" spans="1:10" x14ac:dyDescent="0.25">
      <c r="A355" s="484"/>
      <c r="B355" s="504" t="s">
        <v>296</v>
      </c>
      <c r="C355" s="504" t="s">
        <v>98</v>
      </c>
      <c r="D355" s="505">
        <v>443900</v>
      </c>
      <c r="E355" s="504" t="s">
        <v>1981</v>
      </c>
      <c r="F355" s="484"/>
      <c r="G355" s="504" t="s">
        <v>253</v>
      </c>
      <c r="H355" s="504" t="s">
        <v>92</v>
      </c>
      <c r="I355" s="505">
        <v>516750</v>
      </c>
      <c r="J355" s="504" t="s">
        <v>1981</v>
      </c>
    </row>
    <row r="356" spans="1:10" x14ac:dyDescent="0.25">
      <c r="A356" s="484"/>
      <c r="B356" s="504" t="s">
        <v>333</v>
      </c>
      <c r="C356" s="504" t="s">
        <v>102</v>
      </c>
      <c r="D356" s="505">
        <v>422400</v>
      </c>
      <c r="E356" s="504" t="s">
        <v>1981</v>
      </c>
      <c r="F356" s="484"/>
      <c r="G356" s="504" t="s">
        <v>313</v>
      </c>
      <c r="H356" s="504" t="s">
        <v>100</v>
      </c>
      <c r="I356" s="505">
        <v>265200</v>
      </c>
      <c r="J356" s="504" t="s">
        <v>1981</v>
      </c>
    </row>
    <row r="357" spans="1:10" x14ac:dyDescent="0.25">
      <c r="A357" s="484"/>
      <c r="B357" s="504" t="s">
        <v>3235</v>
      </c>
      <c r="C357" s="504" t="s">
        <v>121</v>
      </c>
      <c r="D357" s="505">
        <v>532000</v>
      </c>
      <c r="E357" s="504" t="s">
        <v>1981</v>
      </c>
      <c r="F357" s="484"/>
      <c r="G357" s="504" t="s">
        <v>410</v>
      </c>
      <c r="H357" s="504" t="s">
        <v>115</v>
      </c>
      <c r="I357" s="505">
        <v>355875</v>
      </c>
      <c r="J357" s="504" t="s">
        <v>1981</v>
      </c>
    </row>
    <row r="358" spans="1:10" x14ac:dyDescent="0.25">
      <c r="A358" s="484"/>
      <c r="B358" s="484"/>
      <c r="C358" s="484"/>
      <c r="D358" s="513"/>
      <c r="E358" s="484"/>
      <c r="F358" s="484"/>
      <c r="G358" s="484"/>
      <c r="H358" s="484"/>
      <c r="I358" s="513"/>
      <c r="J358" s="484"/>
    </row>
    <row r="359" spans="1:10" x14ac:dyDescent="0.25">
      <c r="A359" s="484"/>
      <c r="B359" s="506" t="s">
        <v>1979</v>
      </c>
      <c r="C359" s="507"/>
      <c r="D359" s="508">
        <f>SUM(D355:D357)</f>
        <v>1398300</v>
      </c>
      <c r="E359" s="507"/>
      <c r="F359" s="484"/>
      <c r="G359" s="506" t="s">
        <v>1979</v>
      </c>
      <c r="H359" s="507"/>
      <c r="I359" s="508">
        <f>SUM(I355:I357)</f>
        <v>1137825</v>
      </c>
      <c r="J359" s="507"/>
    </row>
    <row r="360" spans="1:10" x14ac:dyDescent="0.25">
      <c r="A360" s="484"/>
      <c r="B360" s="509" t="s">
        <v>1983</v>
      </c>
      <c r="C360" s="510"/>
      <c r="D360" s="511">
        <f>SUMIF(E355:E357, "CANCELADA", D355:D357)</f>
        <v>1398300</v>
      </c>
      <c r="E360" s="510"/>
      <c r="F360" s="484"/>
      <c r="G360" s="509" t="s">
        <v>1983</v>
      </c>
      <c r="H360" s="510"/>
      <c r="I360" s="511">
        <f>SUMIF(J355:J357, "CANCELADA", I355:I357)</f>
        <v>1137825</v>
      </c>
      <c r="J360" s="510"/>
    </row>
    <row r="361" spans="1:10" x14ac:dyDescent="0.25">
      <c r="A361" s="484"/>
      <c r="B361" s="509" t="s">
        <v>1984</v>
      </c>
      <c r="C361" s="510"/>
      <c r="D361" s="511">
        <f>D359-D360</f>
        <v>0</v>
      </c>
      <c r="E361" s="510"/>
      <c r="F361" s="484"/>
      <c r="G361" s="509" t="s">
        <v>1984</v>
      </c>
      <c r="H361" s="510"/>
      <c r="I361" s="511">
        <f>I359-I360</f>
        <v>0</v>
      </c>
      <c r="J361" s="510"/>
    </row>
    <row r="362" spans="1:10" x14ac:dyDescent="0.25">
      <c r="A362" s="484"/>
      <c r="B362" s="484"/>
      <c r="C362" s="484"/>
      <c r="D362" s="484"/>
      <c r="E362" s="484"/>
      <c r="F362" s="484"/>
      <c r="G362" s="484"/>
      <c r="H362" s="484"/>
      <c r="I362" s="484"/>
      <c r="J362" s="484"/>
    </row>
    <row r="363" spans="1:10" x14ac:dyDescent="0.25">
      <c r="A363" s="484"/>
      <c r="B363" s="484"/>
      <c r="C363" s="484"/>
      <c r="D363" s="484"/>
      <c r="E363" s="484"/>
      <c r="F363" s="484"/>
      <c r="G363" s="484"/>
      <c r="H363" s="484"/>
      <c r="I363" s="484"/>
      <c r="J363" s="484"/>
    </row>
    <row r="364" spans="1:10" x14ac:dyDescent="0.25">
      <c r="A364" s="484"/>
      <c r="B364" s="633" t="s">
        <v>3236</v>
      </c>
      <c r="C364" s="634"/>
      <c r="D364" s="634"/>
      <c r="E364" s="634"/>
      <c r="F364" s="484"/>
      <c r="G364" s="633" t="s">
        <v>1118</v>
      </c>
      <c r="H364" s="634"/>
      <c r="I364" s="634"/>
      <c r="J364" s="634"/>
    </row>
    <row r="365" spans="1:10" x14ac:dyDescent="0.25">
      <c r="A365" s="484"/>
      <c r="B365" s="503" t="s">
        <v>1977</v>
      </c>
      <c r="C365" s="503" t="s">
        <v>1978</v>
      </c>
      <c r="D365" s="516" t="s">
        <v>1979</v>
      </c>
      <c r="E365" s="503" t="s">
        <v>3096</v>
      </c>
      <c r="F365" s="484"/>
      <c r="G365" s="503" t="s">
        <v>1977</v>
      </c>
      <c r="H365" s="503" t="s">
        <v>1978</v>
      </c>
      <c r="I365" s="516" t="s">
        <v>1979</v>
      </c>
      <c r="J365" s="503" t="s">
        <v>3096</v>
      </c>
    </row>
    <row r="366" spans="1:10" x14ac:dyDescent="0.25">
      <c r="A366" s="484"/>
      <c r="B366" s="486" t="s">
        <v>476</v>
      </c>
      <c r="C366" s="486" t="s">
        <v>86</v>
      </c>
      <c r="D366" s="488">
        <v>411700</v>
      </c>
      <c r="E366" s="486" t="s">
        <v>1984</v>
      </c>
      <c r="F366" s="484"/>
      <c r="G366" s="504" t="s">
        <v>1117</v>
      </c>
      <c r="H366" s="504" t="s">
        <v>86</v>
      </c>
      <c r="I366" s="505">
        <v>921345</v>
      </c>
      <c r="J366" s="504" t="s">
        <v>1981</v>
      </c>
    </row>
    <row r="367" spans="1:10" x14ac:dyDescent="0.25">
      <c r="A367" s="484"/>
      <c r="B367" s="486" t="s">
        <v>486</v>
      </c>
      <c r="C367" s="486" t="s">
        <v>88</v>
      </c>
      <c r="D367" s="488">
        <v>162100</v>
      </c>
      <c r="E367" s="486" t="s">
        <v>1984</v>
      </c>
      <c r="F367" s="484"/>
      <c r="G367" s="504" t="s">
        <v>1745</v>
      </c>
      <c r="H367" s="504" t="s">
        <v>102</v>
      </c>
      <c r="I367" s="505">
        <v>106180</v>
      </c>
      <c r="J367" s="504" t="s">
        <v>1981</v>
      </c>
    </row>
    <row r="368" spans="1:10" x14ac:dyDescent="0.25">
      <c r="A368" s="484"/>
      <c r="B368" s="486" t="s">
        <v>680</v>
      </c>
      <c r="C368" s="486" t="s">
        <v>127</v>
      </c>
      <c r="D368" s="488">
        <v>524200</v>
      </c>
      <c r="E368" s="486" t="s">
        <v>1984</v>
      </c>
      <c r="F368" s="484"/>
      <c r="G368" s="484"/>
      <c r="H368" s="484"/>
      <c r="I368" s="513"/>
      <c r="J368" s="484"/>
    </row>
    <row r="369" spans="1:10" x14ac:dyDescent="0.25">
      <c r="A369" s="484"/>
      <c r="B369" s="484"/>
      <c r="C369" s="484"/>
      <c r="D369" s="513"/>
      <c r="E369" s="484"/>
      <c r="F369" s="484"/>
      <c r="G369" s="506" t="s">
        <v>1979</v>
      </c>
      <c r="H369" s="507"/>
      <c r="I369" s="508">
        <f>SUM(I366:I367)</f>
        <v>1027525</v>
      </c>
      <c r="J369" s="507"/>
    </row>
    <row r="370" spans="1:10" x14ac:dyDescent="0.25">
      <c r="A370" s="484"/>
      <c r="B370" s="506" t="s">
        <v>1979</v>
      </c>
      <c r="C370" s="507"/>
      <c r="D370" s="508">
        <f>SUM(D366:D368)</f>
        <v>1098000</v>
      </c>
      <c r="E370" s="507"/>
      <c r="F370" s="484"/>
      <c r="G370" s="509" t="s">
        <v>1983</v>
      </c>
      <c r="H370" s="510"/>
      <c r="I370" s="511">
        <f>SUMIF(J366:J367, "CANCELADA", I366:I367)</f>
        <v>1027525</v>
      </c>
      <c r="J370" s="510"/>
    </row>
    <row r="371" spans="1:10" x14ac:dyDescent="0.25">
      <c r="A371" s="484"/>
      <c r="B371" s="509" t="s">
        <v>1983</v>
      </c>
      <c r="C371" s="510"/>
      <c r="D371" s="511">
        <f>SUMIF(E366:E368, "CANCELADA", D366:D368)</f>
        <v>0</v>
      </c>
      <c r="E371" s="510"/>
      <c r="F371" s="484"/>
      <c r="G371" s="509" t="s">
        <v>1984</v>
      </c>
      <c r="H371" s="510"/>
      <c r="I371" s="511">
        <f>I369-I370</f>
        <v>0</v>
      </c>
      <c r="J371" s="510"/>
    </row>
    <row r="372" spans="1:10" x14ac:dyDescent="0.25">
      <c r="A372" s="484"/>
      <c r="B372" s="509" t="s">
        <v>1984</v>
      </c>
      <c r="C372" s="510"/>
      <c r="D372" s="511">
        <f>D370-D371</f>
        <v>1098000</v>
      </c>
      <c r="E372" s="510"/>
      <c r="F372" s="484"/>
      <c r="G372" s="484"/>
      <c r="H372" s="484"/>
      <c r="I372" s="484"/>
      <c r="J372" s="484"/>
    </row>
    <row r="373" spans="1:10" x14ac:dyDescent="0.25">
      <c r="A373" s="484"/>
      <c r="B373" s="484"/>
      <c r="C373" s="484"/>
      <c r="D373" s="515"/>
      <c r="E373" s="484"/>
      <c r="F373" s="484"/>
      <c r="G373" s="484"/>
      <c r="H373" s="484"/>
      <c r="I373" s="515"/>
      <c r="J373" s="484"/>
    </row>
    <row r="374" spans="1:10" x14ac:dyDescent="0.25">
      <c r="A374" s="484"/>
      <c r="B374" s="484"/>
      <c r="C374" s="484"/>
      <c r="D374" s="484"/>
      <c r="E374" s="484"/>
      <c r="F374" s="484"/>
      <c r="G374" s="484"/>
      <c r="H374" s="484"/>
      <c r="I374" s="484"/>
      <c r="J374" s="484"/>
    </row>
    <row r="375" spans="1:10" x14ac:dyDescent="0.25">
      <c r="A375" s="484"/>
      <c r="B375" s="633" t="s">
        <v>3237</v>
      </c>
      <c r="C375" s="634"/>
      <c r="D375" s="634"/>
      <c r="E375" s="634"/>
      <c r="F375" s="484"/>
      <c r="G375" s="633" t="s">
        <v>3238</v>
      </c>
      <c r="H375" s="634"/>
      <c r="I375" s="634"/>
      <c r="J375" s="634"/>
    </row>
    <row r="376" spans="1:10" x14ac:dyDescent="0.25">
      <c r="A376" s="484"/>
      <c r="B376" s="503" t="s">
        <v>1977</v>
      </c>
      <c r="C376" s="503" t="s">
        <v>1978</v>
      </c>
      <c r="D376" s="517" t="s">
        <v>1979</v>
      </c>
      <c r="E376" s="503" t="s">
        <v>3096</v>
      </c>
      <c r="F376" s="484"/>
      <c r="G376" s="503" t="s">
        <v>1977</v>
      </c>
      <c r="H376" s="503" t="s">
        <v>1978</v>
      </c>
      <c r="I376" s="516" t="s">
        <v>1979</v>
      </c>
      <c r="J376" s="503" t="s">
        <v>3096</v>
      </c>
    </row>
    <row r="377" spans="1:10" x14ac:dyDescent="0.25">
      <c r="A377" s="484"/>
      <c r="B377" s="486" t="s">
        <v>518</v>
      </c>
      <c r="C377" s="486" t="s">
        <v>94</v>
      </c>
      <c r="D377" s="512">
        <v>386504.07</v>
      </c>
      <c r="E377" s="486" t="s">
        <v>1984</v>
      </c>
      <c r="F377" s="484"/>
      <c r="G377" s="504" t="s">
        <v>191</v>
      </c>
      <c r="H377" s="504" t="s">
        <v>86</v>
      </c>
      <c r="I377" s="505">
        <v>82465</v>
      </c>
      <c r="J377" s="504" t="s">
        <v>1981</v>
      </c>
    </row>
    <row r="378" spans="1:10" x14ac:dyDescent="0.25">
      <c r="A378" s="484"/>
      <c r="B378" s="486" t="s">
        <v>563</v>
      </c>
      <c r="C378" s="486" t="s">
        <v>102</v>
      </c>
      <c r="D378" s="512">
        <v>621099.99999999988</v>
      </c>
      <c r="E378" s="486" t="s">
        <v>1984</v>
      </c>
      <c r="F378" s="484"/>
      <c r="G378" s="504" t="s">
        <v>1085</v>
      </c>
      <c r="H378" s="504" t="s">
        <v>86</v>
      </c>
      <c r="I378" s="505">
        <v>54400</v>
      </c>
      <c r="J378" s="504" t="s">
        <v>1981</v>
      </c>
    </row>
    <row r="379" spans="1:10" x14ac:dyDescent="0.25">
      <c r="A379" s="484"/>
      <c r="B379" s="484"/>
      <c r="C379" s="484"/>
      <c r="D379" s="513"/>
      <c r="E379" s="484"/>
      <c r="F379" s="484"/>
      <c r="G379" s="504" t="s">
        <v>1146</v>
      </c>
      <c r="H379" s="504" t="s">
        <v>88</v>
      </c>
      <c r="I379" s="505">
        <v>9920</v>
      </c>
      <c r="J379" s="504" t="s">
        <v>1981</v>
      </c>
    </row>
    <row r="380" spans="1:10" x14ac:dyDescent="0.25">
      <c r="A380" s="484"/>
      <c r="B380" s="506" t="s">
        <v>1979</v>
      </c>
      <c r="C380" s="507"/>
      <c r="D380" s="508">
        <f>SUM(D377:D378)</f>
        <v>1007604.0699999998</v>
      </c>
      <c r="E380" s="507"/>
      <c r="F380" s="484"/>
      <c r="G380" s="504" t="s">
        <v>1148</v>
      </c>
      <c r="H380" s="504" t="s">
        <v>88</v>
      </c>
      <c r="I380" s="505">
        <v>16320</v>
      </c>
      <c r="J380" s="504" t="s">
        <v>1981</v>
      </c>
    </row>
    <row r="381" spans="1:10" x14ac:dyDescent="0.25">
      <c r="A381" s="484"/>
      <c r="B381" s="509" t="s">
        <v>1983</v>
      </c>
      <c r="C381" s="510"/>
      <c r="D381" s="511">
        <f>SUMIF(E377:E378, "CANCELADA", D377:D378)</f>
        <v>0</v>
      </c>
      <c r="E381" s="510"/>
      <c r="F381" s="484"/>
      <c r="G381" s="504" t="s">
        <v>228</v>
      </c>
      <c r="H381" s="504" t="s">
        <v>88</v>
      </c>
      <c r="I381" s="505">
        <v>165346</v>
      </c>
      <c r="J381" s="504" t="s">
        <v>1981</v>
      </c>
    </row>
    <row r="382" spans="1:10" x14ac:dyDescent="0.25">
      <c r="A382" s="484"/>
      <c r="B382" s="509" t="s">
        <v>1984</v>
      </c>
      <c r="C382" s="510"/>
      <c r="D382" s="511">
        <f>D380-D381</f>
        <v>1007604.0699999998</v>
      </c>
      <c r="E382" s="510"/>
      <c r="F382" s="484"/>
      <c r="G382" s="504" t="s">
        <v>1205</v>
      </c>
      <c r="H382" s="504" t="s">
        <v>90</v>
      </c>
      <c r="I382" s="505">
        <v>18600</v>
      </c>
      <c r="J382" s="504" t="s">
        <v>1981</v>
      </c>
    </row>
    <row r="383" spans="1:10" x14ac:dyDescent="0.25">
      <c r="A383" s="484"/>
      <c r="B383" s="484"/>
      <c r="C383" s="484"/>
      <c r="D383" s="484"/>
      <c r="E383" s="484"/>
      <c r="F383" s="484"/>
      <c r="G383" s="504" t="s">
        <v>1309</v>
      </c>
      <c r="H383" s="504" t="s">
        <v>92</v>
      </c>
      <c r="I383" s="505">
        <v>8850</v>
      </c>
      <c r="J383" s="504" t="s">
        <v>1981</v>
      </c>
    </row>
    <row r="384" spans="1:10" x14ac:dyDescent="0.25">
      <c r="A384" s="484"/>
      <c r="B384" s="484"/>
      <c r="C384" s="484"/>
      <c r="D384" s="484"/>
      <c r="E384" s="484"/>
      <c r="F384" s="484"/>
      <c r="G384" s="504" t="s">
        <v>261</v>
      </c>
      <c r="H384" s="504" t="s">
        <v>92</v>
      </c>
      <c r="I384" s="505">
        <v>43269</v>
      </c>
      <c r="J384" s="504" t="s">
        <v>1981</v>
      </c>
    </row>
    <row r="385" spans="1:10" x14ac:dyDescent="0.25">
      <c r="A385" s="484"/>
      <c r="B385" s="484"/>
      <c r="C385" s="484"/>
      <c r="D385" s="484"/>
      <c r="E385" s="484"/>
      <c r="F385" s="484"/>
      <c r="G385" s="504" t="s">
        <v>1364</v>
      </c>
      <c r="H385" s="504" t="s">
        <v>98</v>
      </c>
      <c r="I385" s="505">
        <v>5555</v>
      </c>
      <c r="J385" s="504" t="s">
        <v>1981</v>
      </c>
    </row>
    <row r="386" spans="1:10" x14ac:dyDescent="0.25">
      <c r="A386" s="484"/>
      <c r="B386" s="484"/>
      <c r="C386" s="484"/>
      <c r="D386" s="484"/>
      <c r="E386" s="484"/>
      <c r="F386" s="484"/>
      <c r="G386" s="504" t="s">
        <v>306</v>
      </c>
      <c r="H386" s="504" t="s">
        <v>98</v>
      </c>
      <c r="I386" s="505">
        <v>90125</v>
      </c>
      <c r="J386" s="504" t="s">
        <v>1981</v>
      </c>
    </row>
    <row r="387" spans="1:10" x14ac:dyDescent="0.25">
      <c r="A387" s="484"/>
      <c r="B387" s="484"/>
      <c r="C387" s="484"/>
      <c r="D387" s="484"/>
      <c r="E387" s="484"/>
      <c r="F387" s="484"/>
      <c r="G387" s="504" t="s">
        <v>321</v>
      </c>
      <c r="H387" s="504" t="s">
        <v>100</v>
      </c>
      <c r="I387" s="505">
        <v>86630</v>
      </c>
      <c r="J387" s="504" t="s">
        <v>1981</v>
      </c>
    </row>
    <row r="388" spans="1:10" x14ac:dyDescent="0.25">
      <c r="A388" s="484"/>
      <c r="B388" s="484"/>
      <c r="C388" s="484"/>
      <c r="D388" s="484"/>
      <c r="E388" s="484"/>
      <c r="F388" s="484"/>
      <c r="G388" s="504" t="s">
        <v>1554</v>
      </c>
      <c r="H388" s="504" t="s">
        <v>103</v>
      </c>
      <c r="I388" s="505">
        <v>17000</v>
      </c>
      <c r="J388" s="504" t="s">
        <v>1981</v>
      </c>
    </row>
    <row r="389" spans="1:10" x14ac:dyDescent="0.25">
      <c r="A389" s="484"/>
      <c r="B389" s="484"/>
      <c r="C389" s="484"/>
      <c r="D389" s="484"/>
      <c r="E389" s="484"/>
      <c r="F389" s="484"/>
      <c r="G389" s="504" t="s">
        <v>350</v>
      </c>
      <c r="H389" s="504" t="s">
        <v>103</v>
      </c>
      <c r="I389" s="505">
        <v>75350</v>
      </c>
      <c r="J389" s="504" t="s">
        <v>1981</v>
      </c>
    </row>
    <row r="390" spans="1:10" x14ac:dyDescent="0.25">
      <c r="A390" s="484"/>
      <c r="B390" s="484"/>
      <c r="C390" s="484"/>
      <c r="D390" s="484"/>
      <c r="E390" s="484"/>
      <c r="F390" s="484"/>
      <c r="G390" s="504" t="s">
        <v>364</v>
      </c>
      <c r="H390" s="504" t="s">
        <v>104</v>
      </c>
      <c r="I390" s="505">
        <v>300</v>
      </c>
      <c r="J390" s="504" t="s">
        <v>1981</v>
      </c>
    </row>
    <row r="391" spans="1:10" x14ac:dyDescent="0.25">
      <c r="A391" s="484"/>
      <c r="B391" s="484"/>
      <c r="C391" s="484"/>
      <c r="D391" s="484"/>
      <c r="E391" s="484"/>
      <c r="F391" s="484"/>
      <c r="G391" s="504" t="s">
        <v>1608</v>
      </c>
      <c r="H391" s="504" t="s">
        <v>104</v>
      </c>
      <c r="I391" s="505">
        <v>46500</v>
      </c>
      <c r="J391" s="504" t="s">
        <v>1981</v>
      </c>
    </row>
    <row r="392" spans="1:10" x14ac:dyDescent="0.25">
      <c r="A392" s="484"/>
      <c r="B392" s="484"/>
      <c r="C392" s="484"/>
      <c r="D392" s="484"/>
      <c r="E392" s="484"/>
      <c r="F392" s="484"/>
      <c r="G392" s="504" t="s">
        <v>665</v>
      </c>
      <c r="H392" s="504" t="s">
        <v>118</v>
      </c>
      <c r="I392" s="505">
        <v>14200</v>
      </c>
      <c r="J392" s="504" t="s">
        <v>1981</v>
      </c>
    </row>
    <row r="393" spans="1:10" x14ac:dyDescent="0.25">
      <c r="A393" s="484"/>
      <c r="B393" s="484"/>
      <c r="C393" s="484"/>
      <c r="D393" s="484"/>
      <c r="E393" s="484"/>
      <c r="F393" s="484"/>
      <c r="G393" s="504" t="s">
        <v>1779</v>
      </c>
      <c r="H393" s="504" t="s">
        <v>118</v>
      </c>
      <c r="I393" s="505">
        <v>16550</v>
      </c>
      <c r="J393" s="504" t="s">
        <v>1981</v>
      </c>
    </row>
    <row r="394" spans="1:10" x14ac:dyDescent="0.25">
      <c r="A394" s="484"/>
      <c r="B394" s="484"/>
      <c r="C394" s="484"/>
      <c r="D394" s="484"/>
      <c r="E394" s="484"/>
      <c r="F394" s="484"/>
      <c r="G394" s="504" t="s">
        <v>426</v>
      </c>
      <c r="H394" s="504" t="s">
        <v>121</v>
      </c>
      <c r="I394" s="505">
        <v>70900</v>
      </c>
      <c r="J394" s="504" t="s">
        <v>1981</v>
      </c>
    </row>
    <row r="395" spans="1:10" x14ac:dyDescent="0.25">
      <c r="A395" s="484"/>
      <c r="B395" s="484"/>
      <c r="C395" s="484"/>
      <c r="D395" s="484"/>
      <c r="E395" s="484"/>
      <c r="F395" s="484"/>
      <c r="G395" s="504" t="s">
        <v>1828</v>
      </c>
      <c r="H395" s="504" t="s">
        <v>124</v>
      </c>
      <c r="I395" s="505">
        <v>4000</v>
      </c>
      <c r="J395" s="504" t="s">
        <v>1981</v>
      </c>
    </row>
    <row r="396" spans="1:10" x14ac:dyDescent="0.25">
      <c r="A396" s="484"/>
      <c r="B396" s="484"/>
      <c r="C396" s="484"/>
      <c r="D396" s="484"/>
      <c r="E396" s="484"/>
      <c r="F396" s="484"/>
      <c r="G396" s="484"/>
      <c r="H396" s="484"/>
      <c r="I396" s="513"/>
      <c r="J396" s="484"/>
    </row>
    <row r="397" spans="1:10" x14ac:dyDescent="0.25">
      <c r="A397" s="484"/>
      <c r="B397" s="484"/>
      <c r="C397" s="484"/>
      <c r="D397" s="484"/>
      <c r="E397" s="484"/>
      <c r="F397" s="484"/>
      <c r="G397" s="506" t="s">
        <v>1979</v>
      </c>
      <c r="H397" s="507"/>
      <c r="I397" s="508">
        <f>SUM(I377:I395)</f>
        <v>826280</v>
      </c>
      <c r="J397" s="507"/>
    </row>
    <row r="398" spans="1:10" x14ac:dyDescent="0.25">
      <c r="A398" s="484"/>
      <c r="B398" s="484"/>
      <c r="C398" s="484"/>
      <c r="D398" s="484"/>
      <c r="E398" s="484"/>
      <c r="F398" s="484"/>
      <c r="G398" s="509" t="s">
        <v>1983</v>
      </c>
      <c r="H398" s="510"/>
      <c r="I398" s="511">
        <f>SUMIF(J377:J395, "CANCELADA", I377:I395)</f>
        <v>826280</v>
      </c>
      <c r="J398" s="510"/>
    </row>
    <row r="399" spans="1:10" x14ac:dyDescent="0.25">
      <c r="A399" s="484"/>
      <c r="B399" s="484"/>
      <c r="C399" s="484"/>
      <c r="D399" s="484"/>
      <c r="E399" s="484"/>
      <c r="F399" s="484"/>
      <c r="G399" s="509" t="s">
        <v>1984</v>
      </c>
      <c r="H399" s="510"/>
      <c r="I399" s="511">
        <f>I397-I398</f>
        <v>0</v>
      </c>
      <c r="J399" s="510"/>
    </row>
    <row r="400" spans="1:10" x14ac:dyDescent="0.25">
      <c r="A400" s="484"/>
      <c r="B400" s="484"/>
      <c r="C400" s="484"/>
      <c r="D400" s="484"/>
      <c r="E400" s="484"/>
      <c r="F400" s="484"/>
      <c r="G400" s="484"/>
      <c r="H400" s="484"/>
      <c r="I400" s="515"/>
      <c r="J400" s="484"/>
    </row>
    <row r="401" spans="1:10" x14ac:dyDescent="0.25">
      <c r="A401" s="484"/>
      <c r="B401" s="484"/>
      <c r="C401" s="484"/>
      <c r="D401" s="484"/>
      <c r="E401" s="484"/>
      <c r="F401" s="484"/>
      <c r="G401" s="484"/>
      <c r="H401" s="484"/>
      <c r="I401" s="484"/>
      <c r="J401" s="484"/>
    </row>
    <row r="402" spans="1:10" x14ac:dyDescent="0.25">
      <c r="A402" s="484"/>
      <c r="B402" s="633" t="s">
        <v>3239</v>
      </c>
      <c r="C402" s="634"/>
      <c r="D402" s="634"/>
      <c r="E402" s="634"/>
      <c r="F402" s="484"/>
      <c r="G402" s="633" t="s">
        <v>3240</v>
      </c>
      <c r="H402" s="634"/>
      <c r="I402" s="634"/>
      <c r="J402" s="634"/>
    </row>
    <row r="403" spans="1:10" x14ac:dyDescent="0.25">
      <c r="A403" s="484"/>
      <c r="B403" s="503" t="s">
        <v>1977</v>
      </c>
      <c r="C403" s="503" t="s">
        <v>1978</v>
      </c>
      <c r="D403" s="516" t="s">
        <v>1979</v>
      </c>
      <c r="E403" s="503" t="s">
        <v>3096</v>
      </c>
      <c r="F403" s="484"/>
      <c r="G403" s="503" t="s">
        <v>1977</v>
      </c>
      <c r="H403" s="503" t="s">
        <v>1978</v>
      </c>
      <c r="I403" s="516" t="s">
        <v>1979</v>
      </c>
      <c r="J403" s="503" t="s">
        <v>3096</v>
      </c>
    </row>
    <row r="404" spans="1:10" x14ac:dyDescent="0.25">
      <c r="A404" s="484"/>
      <c r="B404" s="486" t="s">
        <v>1130</v>
      </c>
      <c r="C404" s="486" t="s">
        <v>88</v>
      </c>
      <c r="D404" s="488">
        <v>438415</v>
      </c>
      <c r="E404" s="486" t="s">
        <v>1984</v>
      </c>
      <c r="F404" s="484"/>
      <c r="G404" s="486" t="s">
        <v>370</v>
      </c>
      <c r="H404" s="486" t="s">
        <v>104</v>
      </c>
      <c r="I404" s="488">
        <v>728000</v>
      </c>
      <c r="J404" s="486" t="s">
        <v>1984</v>
      </c>
    </row>
    <row r="405" spans="1:10" x14ac:dyDescent="0.25">
      <c r="A405" s="484"/>
      <c r="B405" s="486" t="s">
        <v>659</v>
      </c>
      <c r="C405" s="486" t="s">
        <v>118</v>
      </c>
      <c r="D405" s="488">
        <v>334236</v>
      </c>
      <c r="E405" s="486" t="s">
        <v>1984</v>
      </c>
      <c r="F405" s="484"/>
      <c r="G405" s="484"/>
      <c r="H405" s="484"/>
      <c r="I405" s="513"/>
      <c r="J405" s="484"/>
    </row>
    <row r="406" spans="1:10" x14ac:dyDescent="0.25">
      <c r="A406" s="484"/>
      <c r="B406" s="484"/>
      <c r="C406" s="484"/>
      <c r="D406" s="513"/>
      <c r="E406" s="484"/>
      <c r="F406" s="484"/>
      <c r="G406" s="506" t="s">
        <v>1979</v>
      </c>
      <c r="H406" s="507"/>
      <c r="I406" s="508">
        <f>SUM(I404:I404)</f>
        <v>728000</v>
      </c>
      <c r="J406" s="507"/>
    </row>
    <row r="407" spans="1:10" x14ac:dyDescent="0.25">
      <c r="A407" s="484"/>
      <c r="B407" s="506" t="s">
        <v>1979</v>
      </c>
      <c r="C407" s="507"/>
      <c r="D407" s="508">
        <f>SUM(D404:D405)</f>
        <v>772651</v>
      </c>
      <c r="E407" s="507"/>
      <c r="F407" s="484"/>
      <c r="G407" s="509" t="s">
        <v>1983</v>
      </c>
      <c r="H407" s="510"/>
      <c r="I407" s="511">
        <f>SUMIF(J404:J404, "CANCELADA", I404:I404)</f>
        <v>0</v>
      </c>
      <c r="J407" s="510"/>
    </row>
    <row r="408" spans="1:10" x14ac:dyDescent="0.25">
      <c r="A408" s="484"/>
      <c r="B408" s="509" t="s">
        <v>1983</v>
      </c>
      <c r="C408" s="510"/>
      <c r="D408" s="511">
        <f>SUMIF(E404:E405, "CANCELADA", D404:D405)</f>
        <v>0</v>
      </c>
      <c r="E408" s="510"/>
      <c r="F408" s="484"/>
      <c r="G408" s="509" t="s">
        <v>1984</v>
      </c>
      <c r="H408" s="510"/>
      <c r="I408" s="511">
        <f>I406-I407</f>
        <v>728000</v>
      </c>
      <c r="J408" s="510"/>
    </row>
    <row r="409" spans="1:10" x14ac:dyDescent="0.25">
      <c r="A409" s="484"/>
      <c r="B409" s="509" t="s">
        <v>1984</v>
      </c>
      <c r="C409" s="510"/>
      <c r="D409" s="511">
        <f>D407-D408</f>
        <v>772651</v>
      </c>
      <c r="E409" s="510"/>
      <c r="F409" s="484"/>
      <c r="G409" s="484"/>
      <c r="H409" s="484"/>
      <c r="I409" s="484"/>
      <c r="J409" s="484"/>
    </row>
    <row r="410" spans="1:10" x14ac:dyDescent="0.25">
      <c r="A410" s="484"/>
      <c r="B410" s="484"/>
      <c r="C410" s="484"/>
      <c r="D410" s="515"/>
      <c r="E410" s="484"/>
      <c r="F410" s="484"/>
      <c r="G410" s="484"/>
      <c r="H410" s="484"/>
      <c r="I410" s="515"/>
      <c r="J410" s="484"/>
    </row>
    <row r="411" spans="1:10" x14ac:dyDescent="0.25">
      <c r="A411" s="484"/>
      <c r="B411" s="484"/>
      <c r="C411" s="484"/>
      <c r="D411" s="484"/>
      <c r="E411" s="484"/>
      <c r="F411" s="484"/>
      <c r="G411" s="484"/>
      <c r="H411" s="484"/>
      <c r="I411" s="484"/>
      <c r="J411" s="484"/>
    </row>
    <row r="412" spans="1:10" x14ac:dyDescent="0.25">
      <c r="A412" s="484"/>
      <c r="B412" s="633" t="s">
        <v>3241</v>
      </c>
      <c r="C412" s="634"/>
      <c r="D412" s="634"/>
      <c r="E412" s="634"/>
      <c r="F412" s="484"/>
      <c r="G412" s="633" t="s">
        <v>3242</v>
      </c>
      <c r="H412" s="634"/>
      <c r="I412" s="634"/>
      <c r="J412" s="634"/>
    </row>
    <row r="413" spans="1:10" x14ac:dyDescent="0.25">
      <c r="A413" s="484"/>
      <c r="B413" s="503" t="s">
        <v>1977</v>
      </c>
      <c r="C413" s="503" t="s">
        <v>1978</v>
      </c>
      <c r="D413" s="516" t="s">
        <v>1979</v>
      </c>
      <c r="E413" s="503" t="s">
        <v>3096</v>
      </c>
      <c r="F413" s="484"/>
      <c r="G413" s="503" t="s">
        <v>1977</v>
      </c>
      <c r="H413" s="503" t="s">
        <v>1978</v>
      </c>
      <c r="I413" s="516" t="s">
        <v>1979</v>
      </c>
      <c r="J413" s="503" t="s">
        <v>3096</v>
      </c>
    </row>
    <row r="414" spans="1:10" x14ac:dyDescent="0.25">
      <c r="A414" s="484"/>
      <c r="B414" s="486" t="s">
        <v>1098</v>
      </c>
      <c r="C414" s="486" t="s">
        <v>86</v>
      </c>
      <c r="D414" s="488">
        <v>34000</v>
      </c>
      <c r="E414" s="486" t="s">
        <v>1984</v>
      </c>
      <c r="F414" s="484"/>
      <c r="G414" s="504" t="s">
        <v>1089</v>
      </c>
      <c r="H414" s="504" t="s">
        <v>86</v>
      </c>
      <c r="I414" s="505">
        <v>15000</v>
      </c>
      <c r="J414" s="504" t="s">
        <v>1981</v>
      </c>
    </row>
    <row r="415" spans="1:10" x14ac:dyDescent="0.25">
      <c r="A415" s="484"/>
      <c r="B415" s="486" t="s">
        <v>1120</v>
      </c>
      <c r="C415" s="486" t="s">
        <v>88</v>
      </c>
      <c r="D415" s="488">
        <v>19000</v>
      </c>
      <c r="E415" s="486" t="s">
        <v>1984</v>
      </c>
      <c r="F415" s="484"/>
      <c r="G415" s="504" t="s">
        <v>1143</v>
      </c>
      <c r="H415" s="504" t="s">
        <v>88</v>
      </c>
      <c r="I415" s="505">
        <v>22500</v>
      </c>
      <c r="J415" s="504" t="s">
        <v>1981</v>
      </c>
    </row>
    <row r="416" spans="1:10" x14ac:dyDescent="0.25">
      <c r="A416" s="484"/>
      <c r="B416" s="486" t="s">
        <v>1126</v>
      </c>
      <c r="C416" s="486" t="s">
        <v>88</v>
      </c>
      <c r="D416" s="488">
        <v>29000</v>
      </c>
      <c r="E416" s="486" t="s">
        <v>1984</v>
      </c>
      <c r="F416" s="484"/>
      <c r="G416" s="504" t="s">
        <v>1200</v>
      </c>
      <c r="H416" s="504" t="s">
        <v>90</v>
      </c>
      <c r="I416" s="505">
        <v>15000</v>
      </c>
      <c r="J416" s="504" t="s">
        <v>1981</v>
      </c>
    </row>
    <row r="417" spans="1:10" x14ac:dyDescent="0.25">
      <c r="A417" s="484"/>
      <c r="B417" s="486" t="s">
        <v>1157</v>
      </c>
      <c r="C417" s="486" t="s">
        <v>90</v>
      </c>
      <c r="D417" s="488">
        <v>19000</v>
      </c>
      <c r="E417" s="486" t="s">
        <v>1984</v>
      </c>
      <c r="F417" s="484"/>
      <c r="G417" s="504" t="s">
        <v>1306</v>
      </c>
      <c r="H417" s="504" t="s">
        <v>92</v>
      </c>
      <c r="I417" s="505">
        <v>15000</v>
      </c>
      <c r="J417" s="504" t="s">
        <v>1981</v>
      </c>
    </row>
    <row r="418" spans="1:10" x14ac:dyDescent="0.25">
      <c r="A418" s="484"/>
      <c r="B418" s="486" t="s">
        <v>1183</v>
      </c>
      <c r="C418" s="486" t="s">
        <v>90</v>
      </c>
      <c r="D418" s="488">
        <v>19000</v>
      </c>
      <c r="E418" s="486" t="s">
        <v>1984</v>
      </c>
      <c r="F418" s="484"/>
      <c r="G418" s="504" t="s">
        <v>1312</v>
      </c>
      <c r="H418" s="504" t="s">
        <v>94</v>
      </c>
      <c r="I418" s="505">
        <v>172500</v>
      </c>
      <c r="J418" s="504" t="s">
        <v>1981</v>
      </c>
    </row>
    <row r="419" spans="1:10" x14ac:dyDescent="0.25">
      <c r="A419" s="484"/>
      <c r="B419" s="486" t="s">
        <v>1207</v>
      </c>
      <c r="C419" s="486" t="s">
        <v>92</v>
      </c>
      <c r="D419" s="488">
        <v>29000</v>
      </c>
      <c r="E419" s="486" t="s">
        <v>1984</v>
      </c>
      <c r="F419" s="484"/>
      <c r="G419" s="504" t="s">
        <v>1323</v>
      </c>
      <c r="H419" s="504" t="s">
        <v>94</v>
      </c>
      <c r="I419" s="505">
        <v>75000</v>
      </c>
      <c r="J419" s="504" t="s">
        <v>1981</v>
      </c>
    </row>
    <row r="420" spans="1:10" x14ac:dyDescent="0.25">
      <c r="A420" s="484"/>
      <c r="B420" s="486" t="s">
        <v>514</v>
      </c>
      <c r="C420" s="486" t="s">
        <v>92</v>
      </c>
      <c r="D420" s="488">
        <v>19000</v>
      </c>
      <c r="E420" s="486" t="s">
        <v>1984</v>
      </c>
      <c r="F420" s="484"/>
      <c r="G420" s="504" t="s">
        <v>3243</v>
      </c>
      <c r="H420" s="504" t="s">
        <v>98</v>
      </c>
      <c r="I420" s="505">
        <v>15000</v>
      </c>
      <c r="J420" s="504" t="s">
        <v>1981</v>
      </c>
    </row>
    <row r="421" spans="1:10" x14ac:dyDescent="0.25">
      <c r="A421" s="484"/>
      <c r="B421" s="486" t="s">
        <v>1314</v>
      </c>
      <c r="C421" s="486" t="s">
        <v>94</v>
      </c>
      <c r="D421" s="488">
        <v>34000</v>
      </c>
      <c r="E421" s="486" t="s">
        <v>1984</v>
      </c>
      <c r="F421" s="484"/>
      <c r="G421" s="504" t="s">
        <v>3244</v>
      </c>
      <c r="H421" s="504" t="s">
        <v>100</v>
      </c>
      <c r="I421" s="505">
        <v>30000</v>
      </c>
      <c r="J421" s="504" t="s">
        <v>1981</v>
      </c>
    </row>
    <row r="422" spans="1:10" x14ac:dyDescent="0.25">
      <c r="A422" s="484"/>
      <c r="B422" s="486" t="s">
        <v>1317</v>
      </c>
      <c r="C422" s="486" t="s">
        <v>94</v>
      </c>
      <c r="D422" s="488">
        <v>29000</v>
      </c>
      <c r="E422" s="486" t="s">
        <v>1984</v>
      </c>
      <c r="F422" s="484"/>
      <c r="G422" s="504" t="s">
        <v>3245</v>
      </c>
      <c r="H422" s="504" t="s">
        <v>102</v>
      </c>
      <c r="I422" s="505">
        <v>15000</v>
      </c>
      <c r="J422" s="504" t="s">
        <v>1981</v>
      </c>
    </row>
    <row r="423" spans="1:10" x14ac:dyDescent="0.25">
      <c r="A423" s="484"/>
      <c r="B423" s="486" t="s">
        <v>1336</v>
      </c>
      <c r="C423" s="486" t="s">
        <v>96</v>
      </c>
      <c r="D423" s="488">
        <v>39000</v>
      </c>
      <c r="E423" s="486" t="s">
        <v>1984</v>
      </c>
      <c r="F423" s="484"/>
      <c r="G423" s="504" t="s">
        <v>3246</v>
      </c>
      <c r="H423" s="504" t="s">
        <v>104</v>
      </c>
      <c r="I423" s="505">
        <v>30000</v>
      </c>
      <c r="J423" s="504" t="s">
        <v>1981</v>
      </c>
    </row>
    <row r="424" spans="1:10" x14ac:dyDescent="0.25">
      <c r="A424" s="484"/>
      <c r="B424" s="486" t="s">
        <v>1350</v>
      </c>
      <c r="C424" s="486" t="s">
        <v>98</v>
      </c>
      <c r="D424" s="488">
        <v>19000</v>
      </c>
      <c r="E424" s="486" t="s">
        <v>1984</v>
      </c>
      <c r="F424" s="484"/>
      <c r="G424" s="504" t="s">
        <v>1660</v>
      </c>
      <c r="H424" s="504" t="s">
        <v>106</v>
      </c>
      <c r="I424" s="505">
        <v>180000</v>
      </c>
      <c r="J424" s="504" t="s">
        <v>1981</v>
      </c>
    </row>
    <row r="425" spans="1:10" x14ac:dyDescent="0.25">
      <c r="A425" s="484"/>
      <c r="B425" s="486" t="s">
        <v>1352</v>
      </c>
      <c r="C425" s="486" t="s">
        <v>98</v>
      </c>
      <c r="D425" s="488">
        <v>10000</v>
      </c>
      <c r="E425" s="486" t="s">
        <v>1984</v>
      </c>
      <c r="F425" s="484"/>
      <c r="G425" s="504" t="s">
        <v>3247</v>
      </c>
      <c r="H425" s="504" t="s">
        <v>106</v>
      </c>
      <c r="I425" s="505">
        <v>90000</v>
      </c>
      <c r="J425" s="504" t="s">
        <v>1981</v>
      </c>
    </row>
    <row r="426" spans="1:10" x14ac:dyDescent="0.25">
      <c r="A426" s="484"/>
      <c r="B426" s="486" t="s">
        <v>550</v>
      </c>
      <c r="C426" s="486" t="s">
        <v>98</v>
      </c>
      <c r="D426" s="488">
        <v>39000</v>
      </c>
      <c r="E426" s="486" t="s">
        <v>1984</v>
      </c>
      <c r="F426" s="484"/>
      <c r="G426" s="484"/>
      <c r="H426" s="484"/>
      <c r="I426" s="513"/>
      <c r="J426" s="484"/>
    </row>
    <row r="427" spans="1:10" x14ac:dyDescent="0.25">
      <c r="A427" s="484"/>
      <c r="B427" s="486" t="s">
        <v>553</v>
      </c>
      <c r="C427" s="486" t="s">
        <v>98</v>
      </c>
      <c r="D427" s="488">
        <v>34000</v>
      </c>
      <c r="E427" s="486" t="s">
        <v>1984</v>
      </c>
      <c r="F427" s="484"/>
      <c r="G427" s="506" t="s">
        <v>1979</v>
      </c>
      <c r="H427" s="507"/>
      <c r="I427" s="508">
        <f>SUM(I414:I425)</f>
        <v>675000</v>
      </c>
      <c r="J427" s="507"/>
    </row>
    <row r="428" spans="1:10" x14ac:dyDescent="0.25">
      <c r="A428" s="484"/>
      <c r="B428" s="486" t="s">
        <v>1370</v>
      </c>
      <c r="C428" s="486" t="s">
        <v>100</v>
      </c>
      <c r="D428" s="488">
        <v>10000</v>
      </c>
      <c r="E428" s="486" t="s">
        <v>1984</v>
      </c>
      <c r="F428" s="484"/>
      <c r="G428" s="509" t="s">
        <v>1983</v>
      </c>
      <c r="H428" s="510"/>
      <c r="I428" s="511">
        <f>SUMIF(J414:J425, "CANCELADA", I414:I425)</f>
        <v>675000</v>
      </c>
      <c r="J428" s="510"/>
    </row>
    <row r="429" spans="1:10" x14ac:dyDescent="0.25">
      <c r="A429" s="484"/>
      <c r="B429" s="486" t="s">
        <v>555</v>
      </c>
      <c r="C429" s="486" t="s">
        <v>100</v>
      </c>
      <c r="D429" s="488">
        <v>19000</v>
      </c>
      <c r="E429" s="486" t="s">
        <v>1984</v>
      </c>
      <c r="F429" s="484"/>
      <c r="G429" s="509" t="s">
        <v>1984</v>
      </c>
      <c r="H429" s="510"/>
      <c r="I429" s="511">
        <f>I427-I428</f>
        <v>0</v>
      </c>
      <c r="J429" s="510"/>
    </row>
    <row r="430" spans="1:10" x14ac:dyDescent="0.25">
      <c r="A430" s="484"/>
      <c r="B430" s="486" t="s">
        <v>557</v>
      </c>
      <c r="C430" s="486" t="s">
        <v>100</v>
      </c>
      <c r="D430" s="488">
        <v>10000</v>
      </c>
      <c r="E430" s="486" t="s">
        <v>1984</v>
      </c>
      <c r="F430" s="484"/>
      <c r="G430" s="484"/>
      <c r="H430" s="484"/>
      <c r="I430" s="515"/>
      <c r="J430" s="484"/>
    </row>
    <row r="431" spans="1:10" x14ac:dyDescent="0.25">
      <c r="A431" s="484"/>
      <c r="B431" s="486" t="s">
        <v>592</v>
      </c>
      <c r="C431" s="486" t="s">
        <v>102</v>
      </c>
      <c r="D431" s="488">
        <v>10000</v>
      </c>
      <c r="E431" s="486" t="s">
        <v>1984</v>
      </c>
      <c r="F431" s="484"/>
      <c r="G431" s="484"/>
      <c r="H431" s="484"/>
      <c r="I431" s="515"/>
      <c r="J431" s="484"/>
    </row>
    <row r="432" spans="1:10" x14ac:dyDescent="0.25">
      <c r="A432" s="484"/>
      <c r="B432" s="486" t="s">
        <v>1515</v>
      </c>
      <c r="C432" s="486" t="s">
        <v>103</v>
      </c>
      <c r="D432" s="488">
        <v>34000</v>
      </c>
      <c r="E432" s="486" t="s">
        <v>1984</v>
      </c>
      <c r="F432" s="484"/>
      <c r="G432" s="484"/>
      <c r="H432" s="484"/>
      <c r="I432" s="515"/>
      <c r="J432" s="484"/>
    </row>
    <row r="433" spans="1:10" x14ac:dyDescent="0.25">
      <c r="A433" s="484"/>
      <c r="B433" s="486" t="s">
        <v>636</v>
      </c>
      <c r="C433" s="486" t="s">
        <v>103</v>
      </c>
      <c r="D433" s="488">
        <v>19000</v>
      </c>
      <c r="E433" s="486" t="s">
        <v>1984</v>
      </c>
      <c r="F433" s="484"/>
      <c r="G433" s="484"/>
      <c r="H433" s="484"/>
      <c r="I433" s="515"/>
      <c r="J433" s="484"/>
    </row>
    <row r="434" spans="1:10" x14ac:dyDescent="0.25">
      <c r="A434" s="484"/>
      <c r="B434" s="486" t="s">
        <v>1597</v>
      </c>
      <c r="C434" s="486" t="s">
        <v>104</v>
      </c>
      <c r="D434" s="488">
        <v>29000</v>
      </c>
      <c r="E434" s="486" t="s">
        <v>1984</v>
      </c>
      <c r="F434" s="484"/>
      <c r="G434" s="484"/>
      <c r="H434" s="484"/>
      <c r="I434" s="515"/>
      <c r="J434" s="484"/>
    </row>
    <row r="435" spans="1:10" x14ac:dyDescent="0.25">
      <c r="A435" s="484"/>
      <c r="B435" s="486" t="s">
        <v>641</v>
      </c>
      <c r="C435" s="486" t="s">
        <v>104</v>
      </c>
      <c r="D435" s="488">
        <v>34000</v>
      </c>
      <c r="E435" s="486" t="s">
        <v>1984</v>
      </c>
      <c r="F435" s="484"/>
      <c r="G435" s="484"/>
      <c r="H435" s="484"/>
      <c r="I435" s="515"/>
      <c r="J435" s="484"/>
    </row>
    <row r="436" spans="1:10" x14ac:dyDescent="0.25">
      <c r="A436" s="484"/>
      <c r="B436" s="486" t="s">
        <v>1661</v>
      </c>
      <c r="C436" s="486" t="s">
        <v>106</v>
      </c>
      <c r="D436" s="488">
        <v>34000</v>
      </c>
      <c r="E436" s="486" t="s">
        <v>1984</v>
      </c>
      <c r="F436" s="484"/>
      <c r="G436" s="484"/>
      <c r="H436" s="484"/>
      <c r="I436" s="515"/>
      <c r="J436" s="484"/>
    </row>
    <row r="437" spans="1:10" x14ac:dyDescent="0.25">
      <c r="A437" s="484"/>
      <c r="B437" s="486" t="s">
        <v>1672</v>
      </c>
      <c r="C437" s="486" t="s">
        <v>112</v>
      </c>
      <c r="D437" s="488">
        <v>20000</v>
      </c>
      <c r="E437" s="486" t="s">
        <v>1984</v>
      </c>
      <c r="F437" s="484"/>
      <c r="G437" s="484"/>
      <c r="H437" s="484"/>
      <c r="I437" s="515"/>
      <c r="J437" s="484"/>
    </row>
    <row r="438" spans="1:10" x14ac:dyDescent="0.25">
      <c r="A438" s="484"/>
      <c r="B438" s="486" t="s">
        <v>1678</v>
      </c>
      <c r="C438" s="486" t="s">
        <v>115</v>
      </c>
      <c r="D438" s="488">
        <v>29000</v>
      </c>
      <c r="E438" s="486" t="s">
        <v>1984</v>
      </c>
      <c r="F438" s="484"/>
      <c r="G438" s="484"/>
      <c r="H438" s="484"/>
      <c r="I438" s="515"/>
      <c r="J438" s="484"/>
    </row>
    <row r="439" spans="1:10" x14ac:dyDescent="0.25">
      <c r="A439" s="484"/>
      <c r="B439" s="486" t="s">
        <v>662</v>
      </c>
      <c r="C439" s="486" t="s">
        <v>118</v>
      </c>
      <c r="D439" s="488">
        <v>19000</v>
      </c>
      <c r="E439" s="486" t="s">
        <v>1984</v>
      </c>
      <c r="F439" s="484"/>
      <c r="G439" s="484"/>
      <c r="H439" s="484"/>
      <c r="I439" s="515"/>
      <c r="J439" s="484"/>
    </row>
    <row r="440" spans="1:10" x14ac:dyDescent="0.25">
      <c r="A440" s="484"/>
      <c r="B440" s="486" t="s">
        <v>669</v>
      </c>
      <c r="C440" s="486" t="s">
        <v>121</v>
      </c>
      <c r="D440" s="488">
        <v>34000</v>
      </c>
      <c r="E440" s="486" t="s">
        <v>1984</v>
      </c>
      <c r="F440" s="484"/>
      <c r="G440" s="484"/>
      <c r="H440" s="484"/>
      <c r="I440" s="484"/>
      <c r="J440" s="484"/>
    </row>
    <row r="441" spans="1:10" x14ac:dyDescent="0.25">
      <c r="A441" s="484"/>
      <c r="B441" s="486" t="s">
        <v>677</v>
      </c>
      <c r="C441" s="486" t="s">
        <v>124</v>
      </c>
      <c r="D441" s="488">
        <v>29000</v>
      </c>
      <c r="E441" s="486" t="s">
        <v>1984</v>
      </c>
      <c r="F441" s="484"/>
      <c r="G441" s="484"/>
      <c r="H441" s="484"/>
      <c r="I441" s="513"/>
      <c r="J441" s="484"/>
    </row>
    <row r="442" spans="1:10" x14ac:dyDescent="0.25">
      <c r="A442" s="484"/>
      <c r="B442" s="486" t="s">
        <v>693</v>
      </c>
      <c r="C442" s="486" t="s">
        <v>127</v>
      </c>
      <c r="D442" s="488">
        <v>24000</v>
      </c>
      <c r="E442" s="486" t="s">
        <v>1984</v>
      </c>
      <c r="F442" s="484"/>
      <c r="G442" s="484"/>
      <c r="H442" s="484"/>
      <c r="I442" s="513"/>
      <c r="J442" s="484"/>
    </row>
    <row r="443" spans="1:10" x14ac:dyDescent="0.25">
      <c r="A443" s="484"/>
      <c r="B443" s="484"/>
      <c r="C443" s="484"/>
      <c r="D443" s="513"/>
      <c r="E443" s="484"/>
      <c r="F443" s="484"/>
      <c r="G443" s="484"/>
      <c r="H443" s="484"/>
      <c r="I443" s="513"/>
      <c r="J443" s="484"/>
    </row>
    <row r="444" spans="1:10" x14ac:dyDescent="0.25">
      <c r="A444" s="484"/>
      <c r="B444" s="506" t="s">
        <v>1979</v>
      </c>
      <c r="C444" s="507"/>
      <c r="D444" s="508">
        <f>SUM(D414:D442)</f>
        <v>726000</v>
      </c>
      <c r="E444" s="507"/>
      <c r="F444" s="484"/>
      <c r="G444" s="484"/>
      <c r="H444" s="484"/>
      <c r="I444" s="484"/>
      <c r="J444" s="484"/>
    </row>
    <row r="445" spans="1:10" x14ac:dyDescent="0.25">
      <c r="A445" s="484"/>
      <c r="B445" s="509" t="s">
        <v>1983</v>
      </c>
      <c r="C445" s="510"/>
      <c r="D445" s="511">
        <f>SUMIF(E414:E442, "CANCELADA", D414:D442)</f>
        <v>0</v>
      </c>
      <c r="E445" s="510"/>
      <c r="F445" s="484"/>
      <c r="G445" s="484"/>
      <c r="H445" s="484"/>
      <c r="I445" s="484"/>
      <c r="J445" s="484"/>
    </row>
    <row r="446" spans="1:10" x14ac:dyDescent="0.25">
      <c r="A446" s="484"/>
      <c r="B446" s="509" t="s">
        <v>1984</v>
      </c>
      <c r="C446" s="510"/>
      <c r="D446" s="511">
        <f>D444-D445</f>
        <v>726000</v>
      </c>
      <c r="E446" s="510"/>
      <c r="F446" s="484"/>
      <c r="G446" s="484"/>
      <c r="H446" s="484"/>
      <c r="I446" s="484"/>
      <c r="J446" s="484"/>
    </row>
    <row r="447" spans="1:10" x14ac:dyDescent="0.25">
      <c r="A447" s="484"/>
      <c r="B447" s="484"/>
      <c r="C447" s="484"/>
      <c r="D447" s="484"/>
      <c r="E447" s="484"/>
      <c r="F447" s="484"/>
      <c r="G447" s="484"/>
      <c r="H447" s="484"/>
      <c r="I447" s="484"/>
      <c r="J447" s="484"/>
    </row>
    <row r="448" spans="1:10" x14ac:dyDescent="0.25">
      <c r="A448" s="484"/>
      <c r="B448" s="484"/>
      <c r="C448" s="484"/>
      <c r="D448" s="484"/>
      <c r="E448" s="484"/>
      <c r="F448" s="484"/>
      <c r="G448" s="484"/>
      <c r="H448" s="484"/>
      <c r="I448" s="484"/>
      <c r="J448" s="484"/>
    </row>
    <row r="449" spans="1:10" x14ac:dyDescent="0.25">
      <c r="A449" s="484"/>
      <c r="B449" s="633" t="s">
        <v>3248</v>
      </c>
      <c r="C449" s="634"/>
      <c r="D449" s="634"/>
      <c r="E449" s="634"/>
      <c r="F449" s="484"/>
      <c r="G449" s="633" t="s">
        <v>3249</v>
      </c>
      <c r="H449" s="634"/>
      <c r="I449" s="634"/>
      <c r="J449" s="634"/>
    </row>
    <row r="450" spans="1:10" x14ac:dyDescent="0.25">
      <c r="A450" s="484"/>
      <c r="B450" s="503" t="s">
        <v>1977</v>
      </c>
      <c r="C450" s="503" t="s">
        <v>1978</v>
      </c>
      <c r="D450" s="516" t="s">
        <v>1979</v>
      </c>
      <c r="E450" s="503" t="s">
        <v>3096</v>
      </c>
      <c r="F450" s="484"/>
      <c r="G450" s="503" t="s">
        <v>1977</v>
      </c>
      <c r="H450" s="503" t="s">
        <v>1978</v>
      </c>
      <c r="I450" s="516" t="s">
        <v>1979</v>
      </c>
      <c r="J450" s="503" t="s">
        <v>3096</v>
      </c>
    </row>
    <row r="451" spans="1:10" x14ac:dyDescent="0.25">
      <c r="A451" s="484"/>
      <c r="B451" s="486" t="s">
        <v>194</v>
      </c>
      <c r="C451" s="486" t="s">
        <v>86</v>
      </c>
      <c r="D451" s="488">
        <v>330000</v>
      </c>
      <c r="E451" s="486" t="s">
        <v>1984</v>
      </c>
      <c r="F451" s="484"/>
      <c r="G451" s="504" t="s">
        <v>207</v>
      </c>
      <c r="H451" s="504" t="s">
        <v>86</v>
      </c>
      <c r="I451" s="505">
        <v>30000</v>
      </c>
      <c r="J451" s="504" t="s">
        <v>1981</v>
      </c>
    </row>
    <row r="452" spans="1:10" x14ac:dyDescent="0.25">
      <c r="A452" s="484"/>
      <c r="B452" s="486" t="s">
        <v>424</v>
      </c>
      <c r="C452" s="486" t="s">
        <v>121</v>
      </c>
      <c r="D452" s="488">
        <v>330000</v>
      </c>
      <c r="E452" s="486" t="s">
        <v>1984</v>
      </c>
      <c r="F452" s="484"/>
      <c r="G452" s="504" t="s">
        <v>1122</v>
      </c>
      <c r="H452" s="504" t="s">
        <v>88</v>
      </c>
      <c r="I452" s="505">
        <v>30000</v>
      </c>
      <c r="J452" s="504" t="s">
        <v>1981</v>
      </c>
    </row>
    <row r="453" spans="1:10" x14ac:dyDescent="0.25">
      <c r="A453" s="484"/>
      <c r="B453" s="484"/>
      <c r="C453" s="484"/>
      <c r="D453" s="513"/>
      <c r="E453" s="484"/>
      <c r="F453" s="484"/>
      <c r="G453" s="504" t="s">
        <v>1159</v>
      </c>
      <c r="H453" s="504" t="s">
        <v>90</v>
      </c>
      <c r="I453" s="505">
        <v>30000</v>
      </c>
      <c r="J453" s="504" t="s">
        <v>1981</v>
      </c>
    </row>
    <row r="454" spans="1:10" x14ac:dyDescent="0.25">
      <c r="A454" s="484"/>
      <c r="B454" s="506" t="s">
        <v>1979</v>
      </c>
      <c r="C454" s="507"/>
      <c r="D454" s="508">
        <f>SUM(D451:D452)</f>
        <v>660000</v>
      </c>
      <c r="E454" s="507"/>
      <c r="F454" s="484"/>
      <c r="G454" s="504" t="s">
        <v>1297</v>
      </c>
      <c r="H454" s="504" t="s">
        <v>92</v>
      </c>
      <c r="I454" s="505">
        <v>30000</v>
      </c>
      <c r="J454" s="504" t="s">
        <v>1981</v>
      </c>
    </row>
    <row r="455" spans="1:10" x14ac:dyDescent="0.25">
      <c r="A455" s="484"/>
      <c r="B455" s="509" t="s">
        <v>1983</v>
      </c>
      <c r="C455" s="510"/>
      <c r="D455" s="511">
        <f>SUMIF(E451:E452, "CANCELADA", D451:D452)</f>
        <v>0</v>
      </c>
      <c r="E455" s="510"/>
      <c r="F455" s="484"/>
      <c r="G455" s="504" t="s">
        <v>730</v>
      </c>
      <c r="H455" s="504" t="s">
        <v>98</v>
      </c>
      <c r="I455" s="505">
        <v>30000</v>
      </c>
      <c r="J455" s="504" t="s">
        <v>1981</v>
      </c>
    </row>
    <row r="456" spans="1:10" x14ac:dyDescent="0.25">
      <c r="A456" s="484"/>
      <c r="B456" s="509" t="s">
        <v>1984</v>
      </c>
      <c r="C456" s="510"/>
      <c r="D456" s="511">
        <f>D454-D455</f>
        <v>660000</v>
      </c>
      <c r="E456" s="510"/>
      <c r="F456" s="484"/>
      <c r="G456" s="504" t="s">
        <v>3250</v>
      </c>
      <c r="H456" s="504" t="s">
        <v>100</v>
      </c>
      <c r="I456" s="505">
        <v>20000</v>
      </c>
      <c r="J456" s="504" t="s">
        <v>1981</v>
      </c>
    </row>
    <row r="457" spans="1:10" x14ac:dyDescent="0.25">
      <c r="A457" s="484"/>
      <c r="B457" s="484"/>
      <c r="C457" s="484"/>
      <c r="D457" s="515"/>
      <c r="E457" s="484"/>
      <c r="F457" s="484"/>
      <c r="G457" s="504" t="s">
        <v>1485</v>
      </c>
      <c r="H457" s="504" t="s">
        <v>102</v>
      </c>
      <c r="I457" s="505">
        <v>30000</v>
      </c>
      <c r="J457" s="504" t="s">
        <v>1981</v>
      </c>
    </row>
    <row r="458" spans="1:10" x14ac:dyDescent="0.25">
      <c r="A458" s="484"/>
      <c r="B458" s="484"/>
      <c r="C458" s="484"/>
      <c r="D458" s="515"/>
      <c r="E458" s="484"/>
      <c r="F458" s="484"/>
      <c r="G458" s="504" t="s">
        <v>798</v>
      </c>
      <c r="H458" s="504" t="s">
        <v>103</v>
      </c>
      <c r="I458" s="505">
        <v>10000</v>
      </c>
      <c r="J458" s="504" t="s">
        <v>1981</v>
      </c>
    </row>
    <row r="459" spans="1:10" x14ac:dyDescent="0.25">
      <c r="A459" s="484"/>
      <c r="B459" s="484"/>
      <c r="C459" s="484"/>
      <c r="D459" s="484"/>
      <c r="E459" s="484"/>
      <c r="F459" s="484"/>
      <c r="G459" s="504" t="s">
        <v>1536</v>
      </c>
      <c r="H459" s="504" t="s">
        <v>103</v>
      </c>
      <c r="I459" s="505">
        <v>30000</v>
      </c>
      <c r="J459" s="504" t="s">
        <v>1981</v>
      </c>
    </row>
    <row r="460" spans="1:10" x14ac:dyDescent="0.25">
      <c r="A460" s="484"/>
      <c r="B460" s="484"/>
      <c r="C460" s="484"/>
      <c r="D460" s="513"/>
      <c r="E460" s="484"/>
      <c r="F460" s="484"/>
      <c r="G460" s="504" t="s">
        <v>3251</v>
      </c>
      <c r="H460" s="504" t="s">
        <v>104</v>
      </c>
      <c r="I460" s="505">
        <v>30000</v>
      </c>
      <c r="J460" s="504" t="s">
        <v>1981</v>
      </c>
    </row>
    <row r="461" spans="1:10" x14ac:dyDescent="0.25">
      <c r="A461" s="484"/>
      <c r="B461" s="484"/>
      <c r="C461" s="484"/>
      <c r="D461" s="513"/>
      <c r="E461" s="484"/>
      <c r="F461" s="484"/>
      <c r="G461" s="504" t="s">
        <v>3252</v>
      </c>
      <c r="H461" s="504" t="s">
        <v>104</v>
      </c>
      <c r="I461" s="505">
        <v>30000</v>
      </c>
      <c r="J461" s="504" t="s">
        <v>1981</v>
      </c>
    </row>
    <row r="462" spans="1:10" x14ac:dyDescent="0.25">
      <c r="A462" s="484"/>
      <c r="B462" s="484"/>
      <c r="C462" s="484"/>
      <c r="D462" s="513"/>
      <c r="E462" s="484"/>
      <c r="F462" s="484"/>
      <c r="G462" s="504" t="s">
        <v>3253</v>
      </c>
      <c r="H462" s="504" t="s">
        <v>106</v>
      </c>
      <c r="I462" s="505">
        <v>20000</v>
      </c>
      <c r="J462" s="504" t="s">
        <v>1981</v>
      </c>
    </row>
    <row r="463" spans="1:10" x14ac:dyDescent="0.25">
      <c r="A463" s="484"/>
      <c r="B463" s="484"/>
      <c r="C463" s="484"/>
      <c r="D463" s="484"/>
      <c r="E463" s="484"/>
      <c r="F463" s="484"/>
      <c r="G463" s="504" t="s">
        <v>3254</v>
      </c>
      <c r="H463" s="504" t="s">
        <v>115</v>
      </c>
      <c r="I463" s="505">
        <v>30000</v>
      </c>
      <c r="J463" s="504" t="s">
        <v>1981</v>
      </c>
    </row>
    <row r="464" spans="1:10" x14ac:dyDescent="0.25">
      <c r="A464" s="484"/>
      <c r="B464" s="484"/>
      <c r="C464" s="484"/>
      <c r="D464" s="484"/>
      <c r="E464" s="484"/>
      <c r="F464" s="484"/>
      <c r="G464" s="504" t="s">
        <v>3255</v>
      </c>
      <c r="H464" s="504" t="s">
        <v>118</v>
      </c>
      <c r="I464" s="505">
        <v>30000</v>
      </c>
      <c r="J464" s="504" t="s">
        <v>1981</v>
      </c>
    </row>
    <row r="465" spans="1:10" x14ac:dyDescent="0.25">
      <c r="A465" s="484"/>
      <c r="B465" s="484"/>
      <c r="C465" s="484"/>
      <c r="D465" s="484"/>
      <c r="E465" s="484"/>
      <c r="F465" s="484"/>
      <c r="G465" s="504" t="s">
        <v>3256</v>
      </c>
      <c r="H465" s="504" t="s">
        <v>118</v>
      </c>
      <c r="I465" s="505">
        <v>20000</v>
      </c>
      <c r="J465" s="504" t="s">
        <v>1981</v>
      </c>
    </row>
    <row r="466" spans="1:10" x14ac:dyDescent="0.25">
      <c r="A466" s="484"/>
      <c r="B466" s="484"/>
      <c r="C466" s="484"/>
      <c r="D466" s="484"/>
      <c r="E466" s="484"/>
      <c r="F466" s="484"/>
      <c r="G466" s="504" t="s">
        <v>3142</v>
      </c>
      <c r="H466" s="504" t="s">
        <v>121</v>
      </c>
      <c r="I466" s="505">
        <v>30000</v>
      </c>
      <c r="J466" s="504" t="s">
        <v>1981</v>
      </c>
    </row>
    <row r="467" spans="1:10" x14ac:dyDescent="0.25">
      <c r="A467" s="484"/>
      <c r="B467" s="484"/>
      <c r="C467" s="484"/>
      <c r="D467" s="515"/>
      <c r="E467" s="484"/>
      <c r="F467" s="484"/>
      <c r="G467" s="504" t="s">
        <v>1807</v>
      </c>
      <c r="H467" s="504" t="s">
        <v>127</v>
      </c>
      <c r="I467" s="505">
        <v>60000</v>
      </c>
      <c r="J467" s="504" t="s">
        <v>1981</v>
      </c>
    </row>
    <row r="468" spans="1:10" x14ac:dyDescent="0.25">
      <c r="A468" s="484"/>
      <c r="B468" s="484"/>
      <c r="C468" s="484"/>
      <c r="D468" s="484"/>
      <c r="E468" s="484"/>
      <c r="F468" s="484"/>
      <c r="G468" s="484"/>
      <c r="H468" s="484"/>
      <c r="I468" s="513"/>
      <c r="J468" s="484"/>
    </row>
    <row r="469" spans="1:10" x14ac:dyDescent="0.25">
      <c r="A469" s="484"/>
      <c r="B469" s="484"/>
      <c r="C469" s="484"/>
      <c r="D469" s="513"/>
      <c r="E469" s="484"/>
      <c r="F469" s="484"/>
      <c r="G469" s="506" t="s">
        <v>1979</v>
      </c>
      <c r="H469" s="507"/>
      <c r="I469" s="508">
        <f>SUM(I451:I467)</f>
        <v>490000</v>
      </c>
      <c r="J469" s="507"/>
    </row>
    <row r="470" spans="1:10" x14ac:dyDescent="0.25">
      <c r="A470" s="484"/>
      <c r="B470" s="484"/>
      <c r="C470" s="484"/>
      <c r="D470" s="513"/>
      <c r="E470" s="484"/>
      <c r="F470" s="484"/>
      <c r="G470" s="509" t="s">
        <v>1983</v>
      </c>
      <c r="H470" s="510"/>
      <c r="I470" s="511">
        <f>SUMIF(J451:J467, "CANCELADA", I451:I467)</f>
        <v>490000</v>
      </c>
      <c r="J470" s="510"/>
    </row>
    <row r="471" spans="1:10" x14ac:dyDescent="0.25">
      <c r="A471" s="484"/>
      <c r="B471" s="484"/>
      <c r="C471" s="484"/>
      <c r="D471" s="513"/>
      <c r="E471" s="484"/>
      <c r="F471" s="484"/>
      <c r="G471" s="509" t="s">
        <v>1984</v>
      </c>
      <c r="H471" s="510"/>
      <c r="I471" s="511">
        <f>I469-I470</f>
        <v>0</v>
      </c>
      <c r="J471" s="510"/>
    </row>
    <row r="472" spans="1:10" x14ac:dyDescent="0.25">
      <c r="A472" s="484"/>
      <c r="B472" s="484"/>
      <c r="C472" s="484"/>
      <c r="D472" s="484"/>
      <c r="E472" s="484"/>
      <c r="F472" s="484"/>
      <c r="G472" s="484"/>
      <c r="H472" s="484"/>
      <c r="I472" s="513"/>
      <c r="J472" s="484"/>
    </row>
    <row r="473" spans="1:10" x14ac:dyDescent="0.25">
      <c r="A473" s="484"/>
      <c r="B473" s="484"/>
      <c r="C473" s="484"/>
      <c r="D473" s="484"/>
      <c r="E473" s="484"/>
      <c r="F473" s="484"/>
      <c r="G473" s="484"/>
      <c r="H473" s="484"/>
      <c r="I473" s="484"/>
      <c r="J473" s="484"/>
    </row>
    <row r="474" spans="1:10" x14ac:dyDescent="0.25">
      <c r="A474" s="484"/>
      <c r="B474" s="633" t="s">
        <v>3257</v>
      </c>
      <c r="C474" s="634"/>
      <c r="D474" s="634"/>
      <c r="E474" s="634"/>
      <c r="F474" s="484"/>
      <c r="G474" s="633" t="s">
        <v>3258</v>
      </c>
      <c r="H474" s="634"/>
      <c r="I474" s="634"/>
      <c r="J474" s="634"/>
    </row>
    <row r="475" spans="1:10" x14ac:dyDescent="0.25">
      <c r="A475" s="484"/>
      <c r="B475" s="503" t="s">
        <v>1977</v>
      </c>
      <c r="C475" s="503" t="s">
        <v>1978</v>
      </c>
      <c r="D475" s="516" t="s">
        <v>1979</v>
      </c>
      <c r="E475" s="503" t="s">
        <v>3096</v>
      </c>
      <c r="F475" s="484"/>
      <c r="G475" s="503" t="s">
        <v>1977</v>
      </c>
      <c r="H475" s="503" t="s">
        <v>1978</v>
      </c>
      <c r="I475" s="516" t="s">
        <v>1979</v>
      </c>
      <c r="J475" s="503" t="s">
        <v>3096</v>
      </c>
    </row>
    <row r="476" spans="1:10" x14ac:dyDescent="0.25">
      <c r="A476" s="484"/>
      <c r="B476" s="504" t="s">
        <v>1735</v>
      </c>
      <c r="C476" s="504" t="s">
        <v>102</v>
      </c>
      <c r="D476" s="505">
        <v>376852</v>
      </c>
      <c r="E476" s="504" t="s">
        <v>1981</v>
      </c>
      <c r="F476" s="484"/>
      <c r="G476" s="504" t="s">
        <v>1186</v>
      </c>
      <c r="H476" s="504" t="s">
        <v>90</v>
      </c>
      <c r="I476" s="505">
        <v>91950</v>
      </c>
      <c r="J476" s="504" t="s">
        <v>1981</v>
      </c>
    </row>
    <row r="477" spans="1:10" x14ac:dyDescent="0.25">
      <c r="A477" s="484"/>
      <c r="B477" s="484"/>
      <c r="C477" s="484"/>
      <c r="D477" s="513"/>
      <c r="E477" s="484"/>
      <c r="F477" s="484"/>
      <c r="G477" s="504" t="s">
        <v>1489</v>
      </c>
      <c r="H477" s="504" t="s">
        <v>102</v>
      </c>
      <c r="I477" s="505">
        <v>47250</v>
      </c>
      <c r="J477" s="504" t="s">
        <v>1981</v>
      </c>
    </row>
    <row r="478" spans="1:10" x14ac:dyDescent="0.25">
      <c r="A478" s="484"/>
      <c r="B478" s="506" t="s">
        <v>1979</v>
      </c>
      <c r="C478" s="507"/>
      <c r="D478" s="508">
        <f>SUM(D476:D476)</f>
        <v>376852</v>
      </c>
      <c r="E478" s="507"/>
      <c r="F478" s="484"/>
      <c r="G478" s="504" t="s">
        <v>1492</v>
      </c>
      <c r="H478" s="504" t="s">
        <v>102</v>
      </c>
      <c r="I478" s="505">
        <v>76860</v>
      </c>
      <c r="J478" s="504" t="s">
        <v>1981</v>
      </c>
    </row>
    <row r="479" spans="1:10" x14ac:dyDescent="0.25">
      <c r="A479" s="484"/>
      <c r="B479" s="509" t="s">
        <v>1983</v>
      </c>
      <c r="C479" s="510"/>
      <c r="D479" s="511">
        <f>SUMIF(E476:E476, "CANCELADA", D476:D476)</f>
        <v>376852</v>
      </c>
      <c r="E479" s="510"/>
      <c r="F479" s="484"/>
      <c r="G479" s="504" t="s">
        <v>1541</v>
      </c>
      <c r="H479" s="504" t="s">
        <v>103</v>
      </c>
      <c r="I479" s="505">
        <v>108950</v>
      </c>
      <c r="J479" s="504" t="s">
        <v>1981</v>
      </c>
    </row>
    <row r="480" spans="1:10" x14ac:dyDescent="0.25">
      <c r="A480" s="484"/>
      <c r="B480" s="509" t="s">
        <v>1984</v>
      </c>
      <c r="C480" s="510"/>
      <c r="D480" s="511">
        <f>D478-D479</f>
        <v>0</v>
      </c>
      <c r="E480" s="510"/>
      <c r="F480" s="484"/>
      <c r="G480" s="504" t="s">
        <v>1785</v>
      </c>
      <c r="H480" s="504" t="s">
        <v>118</v>
      </c>
      <c r="I480" s="505">
        <v>11100</v>
      </c>
      <c r="J480" s="504" t="s">
        <v>1981</v>
      </c>
    </row>
    <row r="481" spans="1:10" x14ac:dyDescent="0.25">
      <c r="A481" s="484"/>
      <c r="B481" s="484"/>
      <c r="C481" s="484"/>
      <c r="D481" s="513"/>
      <c r="E481" s="484"/>
      <c r="F481" s="484"/>
      <c r="G481" s="484"/>
      <c r="H481" s="484"/>
      <c r="I481" s="513"/>
      <c r="J481" s="484"/>
    </row>
    <row r="482" spans="1:10" x14ac:dyDescent="0.25">
      <c r="A482" s="484"/>
      <c r="B482" s="484"/>
      <c r="C482" s="484"/>
      <c r="D482" s="484"/>
      <c r="E482" s="484"/>
      <c r="F482" s="484"/>
      <c r="G482" s="506" t="s">
        <v>1979</v>
      </c>
      <c r="H482" s="507"/>
      <c r="I482" s="508">
        <f>SUM(I476:I480)</f>
        <v>336110</v>
      </c>
      <c r="J482" s="507"/>
    </row>
    <row r="483" spans="1:10" x14ac:dyDescent="0.25">
      <c r="A483" s="484"/>
      <c r="B483" s="484"/>
      <c r="C483" s="484"/>
      <c r="D483" s="484"/>
      <c r="E483" s="484"/>
      <c r="F483" s="484"/>
      <c r="G483" s="509" t="s">
        <v>1983</v>
      </c>
      <c r="H483" s="510"/>
      <c r="I483" s="511">
        <f>SUMIF(J476:J480, "CANCELADA", I476:I480)</f>
        <v>336110</v>
      </c>
      <c r="J483" s="510"/>
    </row>
    <row r="484" spans="1:10" x14ac:dyDescent="0.25">
      <c r="A484" s="484"/>
      <c r="B484" s="484"/>
      <c r="C484" s="484"/>
      <c r="D484" s="484"/>
      <c r="E484" s="484"/>
      <c r="F484" s="484"/>
      <c r="G484" s="509" t="s">
        <v>1984</v>
      </c>
      <c r="H484" s="510"/>
      <c r="I484" s="511">
        <f>I482-I483</f>
        <v>0</v>
      </c>
      <c r="J484" s="510"/>
    </row>
    <row r="485" spans="1:10" x14ac:dyDescent="0.25">
      <c r="A485" s="484"/>
      <c r="B485" s="484"/>
      <c r="C485" s="484"/>
      <c r="D485" s="484"/>
      <c r="E485" s="484"/>
      <c r="F485" s="484"/>
      <c r="G485" s="484"/>
      <c r="H485" s="484"/>
      <c r="I485" s="484"/>
      <c r="J485" s="484"/>
    </row>
    <row r="486" spans="1:10" x14ac:dyDescent="0.25">
      <c r="A486" s="484"/>
      <c r="B486" s="484"/>
      <c r="C486" s="484"/>
      <c r="D486" s="484"/>
      <c r="E486" s="484"/>
      <c r="F486" s="484"/>
      <c r="G486" s="484"/>
      <c r="H486" s="484"/>
      <c r="I486" s="484"/>
      <c r="J486" s="484"/>
    </row>
    <row r="487" spans="1:10" x14ac:dyDescent="0.25">
      <c r="A487" s="484"/>
      <c r="B487" s="633" t="s">
        <v>3259</v>
      </c>
      <c r="C487" s="634"/>
      <c r="D487" s="634"/>
      <c r="E487" s="634"/>
      <c r="F487" s="484"/>
      <c r="G487" s="633" t="s">
        <v>3260</v>
      </c>
      <c r="H487" s="634"/>
      <c r="I487" s="634"/>
      <c r="J487" s="634"/>
    </row>
    <row r="488" spans="1:10" x14ac:dyDescent="0.25">
      <c r="A488" s="484"/>
      <c r="B488" s="503" t="s">
        <v>1977</v>
      </c>
      <c r="C488" s="503" t="s">
        <v>1978</v>
      </c>
      <c r="D488" s="516" t="s">
        <v>1979</v>
      </c>
      <c r="E488" s="503" t="s">
        <v>3096</v>
      </c>
      <c r="F488" s="484"/>
      <c r="G488" s="503" t="s">
        <v>1977</v>
      </c>
      <c r="H488" s="503" t="s">
        <v>1978</v>
      </c>
      <c r="I488" s="516" t="s">
        <v>1979</v>
      </c>
      <c r="J488" s="503" t="s">
        <v>3096</v>
      </c>
    </row>
    <row r="489" spans="1:10" x14ac:dyDescent="0.25">
      <c r="A489" s="484"/>
      <c r="B489" s="486" t="s">
        <v>445</v>
      </c>
      <c r="C489" s="486" t="s">
        <v>124</v>
      </c>
      <c r="D489" s="488">
        <v>282750</v>
      </c>
      <c r="E489" s="486" t="s">
        <v>1984</v>
      </c>
      <c r="F489" s="484"/>
      <c r="G489" s="486" t="s">
        <v>885</v>
      </c>
      <c r="H489" s="486" t="s">
        <v>118</v>
      </c>
      <c r="I489" s="488">
        <v>249500</v>
      </c>
      <c r="J489" s="486" t="s">
        <v>1984</v>
      </c>
    </row>
    <row r="490" spans="1:10" x14ac:dyDescent="0.25">
      <c r="A490" s="484"/>
      <c r="B490" s="484"/>
      <c r="C490" s="484"/>
      <c r="D490" s="513"/>
      <c r="E490" s="484"/>
      <c r="F490" s="484"/>
      <c r="G490" s="484"/>
      <c r="H490" s="484"/>
      <c r="I490" s="513"/>
      <c r="J490" s="484"/>
    </row>
    <row r="491" spans="1:10" x14ac:dyDescent="0.25">
      <c r="A491" s="484"/>
      <c r="B491" s="506" t="s">
        <v>1979</v>
      </c>
      <c r="C491" s="507"/>
      <c r="D491" s="508">
        <f>SUM(D489:D489)</f>
        <v>282750</v>
      </c>
      <c r="E491" s="507"/>
      <c r="F491" s="484"/>
      <c r="G491" s="506" t="s">
        <v>1979</v>
      </c>
      <c r="H491" s="507"/>
      <c r="I491" s="508">
        <f>SUM(I489:I489)</f>
        <v>249500</v>
      </c>
      <c r="J491" s="507"/>
    </row>
    <row r="492" spans="1:10" x14ac:dyDescent="0.25">
      <c r="A492" s="484"/>
      <c r="B492" s="509" t="s">
        <v>1983</v>
      </c>
      <c r="C492" s="510"/>
      <c r="D492" s="511">
        <f>SUMIF(E489:E489, "CANCELADA", D489:D489)</f>
        <v>0</v>
      </c>
      <c r="E492" s="510"/>
      <c r="F492" s="484"/>
      <c r="G492" s="509" t="s">
        <v>1983</v>
      </c>
      <c r="H492" s="510"/>
      <c r="I492" s="511">
        <f>SUMIF(J489:J489, "CANCELADA", I489:I489)</f>
        <v>0</v>
      </c>
      <c r="J492" s="510"/>
    </row>
    <row r="493" spans="1:10" x14ac:dyDescent="0.25">
      <c r="A493" s="484"/>
      <c r="B493" s="509" t="s">
        <v>1984</v>
      </c>
      <c r="C493" s="510"/>
      <c r="D493" s="511">
        <f>D491-D492</f>
        <v>282750</v>
      </c>
      <c r="E493" s="510"/>
      <c r="F493" s="484"/>
      <c r="G493" s="509" t="s">
        <v>1984</v>
      </c>
      <c r="H493" s="510"/>
      <c r="I493" s="511">
        <f>I491-I492</f>
        <v>249500</v>
      </c>
      <c r="J493" s="510"/>
    </row>
    <row r="494" spans="1:10" x14ac:dyDescent="0.25">
      <c r="A494" s="484"/>
      <c r="B494" s="484"/>
      <c r="C494" s="484"/>
      <c r="D494" s="484"/>
      <c r="E494" s="484"/>
      <c r="F494" s="484"/>
      <c r="G494" s="484"/>
      <c r="H494" s="484"/>
      <c r="I494" s="484"/>
      <c r="J494" s="484"/>
    </row>
    <row r="495" spans="1:10" x14ac:dyDescent="0.25">
      <c r="A495" s="484"/>
      <c r="B495" s="484"/>
      <c r="C495" s="484"/>
      <c r="D495" s="484"/>
      <c r="E495" s="484"/>
      <c r="F495" s="484"/>
      <c r="G495" s="484"/>
      <c r="H495" s="484"/>
      <c r="I495" s="484"/>
      <c r="J495" s="484"/>
    </row>
    <row r="496" spans="1:10" x14ac:dyDescent="0.25">
      <c r="A496" s="484"/>
      <c r="B496" s="633" t="s">
        <v>3261</v>
      </c>
      <c r="C496" s="634"/>
      <c r="D496" s="634"/>
      <c r="E496" s="634"/>
      <c r="F496" s="484"/>
      <c r="G496" s="633" t="s">
        <v>3262</v>
      </c>
      <c r="H496" s="634"/>
      <c r="I496" s="634"/>
      <c r="J496" s="634"/>
    </row>
    <row r="497" spans="1:10" x14ac:dyDescent="0.25">
      <c r="A497" s="484"/>
      <c r="B497" s="503" t="s">
        <v>1977</v>
      </c>
      <c r="C497" s="503" t="s">
        <v>1978</v>
      </c>
      <c r="D497" s="516" t="s">
        <v>1979</v>
      </c>
      <c r="E497" s="503" t="s">
        <v>3096</v>
      </c>
      <c r="F497" s="484"/>
      <c r="G497" s="503" t="s">
        <v>1977</v>
      </c>
      <c r="H497" s="503" t="s">
        <v>1978</v>
      </c>
      <c r="I497" s="516" t="s">
        <v>1979</v>
      </c>
      <c r="J497" s="503" t="s">
        <v>3096</v>
      </c>
    </row>
    <row r="498" spans="1:10" x14ac:dyDescent="0.25">
      <c r="A498" s="484"/>
      <c r="B498" s="504" t="s">
        <v>3263</v>
      </c>
      <c r="C498" s="504" t="s">
        <v>118</v>
      </c>
      <c r="D498" s="505">
        <v>240000</v>
      </c>
      <c r="E498" s="504" t="s">
        <v>1981</v>
      </c>
      <c r="F498" s="484"/>
      <c r="G498" s="504" t="s">
        <v>3264</v>
      </c>
      <c r="H498" s="504" t="s">
        <v>121</v>
      </c>
      <c r="I498" s="505">
        <v>185300</v>
      </c>
      <c r="J498" s="504" t="s">
        <v>1981</v>
      </c>
    </row>
    <row r="499" spans="1:10" x14ac:dyDescent="0.25">
      <c r="A499" s="484"/>
      <c r="B499" s="484"/>
      <c r="C499" s="484"/>
      <c r="D499" s="513"/>
      <c r="E499" s="484"/>
      <c r="F499" s="484"/>
      <c r="G499" s="484"/>
      <c r="H499" s="484"/>
      <c r="I499" s="513"/>
      <c r="J499" s="484"/>
    </row>
    <row r="500" spans="1:10" x14ac:dyDescent="0.25">
      <c r="A500" s="484"/>
      <c r="B500" s="506" t="s">
        <v>1979</v>
      </c>
      <c r="C500" s="507"/>
      <c r="D500" s="508">
        <f>SUM(D498:D498)</f>
        <v>240000</v>
      </c>
      <c r="E500" s="507"/>
      <c r="F500" s="484"/>
      <c r="G500" s="506" t="s">
        <v>1979</v>
      </c>
      <c r="H500" s="507"/>
      <c r="I500" s="508">
        <f>SUM(I498:I498)</f>
        <v>185300</v>
      </c>
      <c r="J500" s="507"/>
    </row>
    <row r="501" spans="1:10" x14ac:dyDescent="0.25">
      <c r="A501" s="484"/>
      <c r="B501" s="509" t="s">
        <v>1983</v>
      </c>
      <c r="C501" s="510"/>
      <c r="D501" s="511">
        <f>SUMIF(E498:E498, "CANCELADA", D498:D498)</f>
        <v>240000</v>
      </c>
      <c r="E501" s="510"/>
      <c r="F501" s="484"/>
      <c r="G501" s="509" t="s">
        <v>1983</v>
      </c>
      <c r="H501" s="510"/>
      <c r="I501" s="511">
        <f>SUMIF(J498:J498, "CANCELADA", I498:I498)</f>
        <v>185300</v>
      </c>
      <c r="J501" s="510"/>
    </row>
    <row r="502" spans="1:10" x14ac:dyDescent="0.25">
      <c r="A502" s="484"/>
      <c r="B502" s="509" t="s">
        <v>1984</v>
      </c>
      <c r="C502" s="510"/>
      <c r="D502" s="511">
        <f>D500-D501</f>
        <v>0</v>
      </c>
      <c r="E502" s="510"/>
      <c r="F502" s="484"/>
      <c r="G502" s="509" t="s">
        <v>1984</v>
      </c>
      <c r="H502" s="510"/>
      <c r="I502" s="511">
        <f>I500-I501</f>
        <v>0</v>
      </c>
      <c r="J502" s="510"/>
    </row>
    <row r="503" spans="1:10" x14ac:dyDescent="0.25">
      <c r="A503" s="484"/>
      <c r="B503" s="484"/>
      <c r="C503" s="484"/>
      <c r="D503" s="484"/>
      <c r="E503" s="484"/>
      <c r="F503" s="484"/>
      <c r="G503" s="484"/>
      <c r="H503" s="484"/>
      <c r="I503" s="484"/>
      <c r="J503" s="484"/>
    </row>
    <row r="504" spans="1:10" x14ac:dyDescent="0.25">
      <c r="A504" s="484"/>
      <c r="B504" s="484"/>
      <c r="C504" s="484"/>
      <c r="D504" s="484"/>
      <c r="E504" s="484"/>
      <c r="F504" s="484"/>
      <c r="G504" s="484"/>
      <c r="H504" s="484"/>
      <c r="I504" s="484"/>
      <c r="J504" s="484"/>
    </row>
    <row r="505" spans="1:10" x14ac:dyDescent="0.25">
      <c r="A505" s="484"/>
      <c r="B505" s="633" t="s">
        <v>3265</v>
      </c>
      <c r="C505" s="634"/>
      <c r="D505" s="634"/>
      <c r="E505" s="634"/>
      <c r="F505" s="484"/>
      <c r="G505" s="633" t="s">
        <v>3266</v>
      </c>
      <c r="H505" s="634"/>
      <c r="I505" s="634"/>
      <c r="J505" s="634"/>
    </row>
    <row r="506" spans="1:10" x14ac:dyDescent="0.25">
      <c r="A506" s="484"/>
      <c r="B506" s="503" t="s">
        <v>1977</v>
      </c>
      <c r="C506" s="503" t="s">
        <v>1978</v>
      </c>
      <c r="D506" s="516" t="s">
        <v>1979</v>
      </c>
      <c r="E506" s="503" t="s">
        <v>3096</v>
      </c>
      <c r="F506" s="484"/>
      <c r="G506" s="503" t="s">
        <v>1977</v>
      </c>
      <c r="H506" s="503" t="s">
        <v>1978</v>
      </c>
      <c r="I506" s="516" t="s">
        <v>1979</v>
      </c>
      <c r="J506" s="503" t="s">
        <v>3096</v>
      </c>
    </row>
    <row r="507" spans="1:10" x14ac:dyDescent="0.25">
      <c r="A507" s="484"/>
      <c r="B507" s="504" t="s">
        <v>3267</v>
      </c>
      <c r="C507" s="504" t="s">
        <v>118</v>
      </c>
      <c r="D507" s="505">
        <v>118900</v>
      </c>
      <c r="E507" s="504" t="s">
        <v>1981</v>
      </c>
      <c r="F507" s="484"/>
      <c r="G507" s="486" t="s">
        <v>258</v>
      </c>
      <c r="H507" s="486" t="s">
        <v>92</v>
      </c>
      <c r="I507" s="488">
        <v>100000</v>
      </c>
      <c r="J507" s="486" t="s">
        <v>1984</v>
      </c>
    </row>
    <row r="508" spans="1:10" x14ac:dyDescent="0.25">
      <c r="A508" s="484"/>
      <c r="B508" s="484"/>
      <c r="C508" s="484"/>
      <c r="D508" s="513"/>
      <c r="E508" s="484"/>
      <c r="F508" s="484"/>
      <c r="G508" s="486" t="s">
        <v>1782</v>
      </c>
      <c r="H508" s="486" t="s">
        <v>118</v>
      </c>
      <c r="I508" s="488">
        <v>14000</v>
      </c>
      <c r="J508" s="486" t="s">
        <v>1984</v>
      </c>
    </row>
    <row r="509" spans="1:10" x14ac:dyDescent="0.25">
      <c r="A509" s="484"/>
      <c r="B509" s="506" t="s">
        <v>1979</v>
      </c>
      <c r="C509" s="507"/>
      <c r="D509" s="508">
        <f>SUM(D507:D507)</f>
        <v>118900</v>
      </c>
      <c r="E509" s="507"/>
      <c r="F509" s="484"/>
      <c r="G509" s="484"/>
      <c r="H509" s="484"/>
      <c r="I509" s="513"/>
      <c r="J509" s="484"/>
    </row>
    <row r="510" spans="1:10" x14ac:dyDescent="0.25">
      <c r="A510" s="484"/>
      <c r="B510" s="509" t="s">
        <v>1983</v>
      </c>
      <c r="C510" s="510"/>
      <c r="D510" s="511">
        <f>SUMIF(E507:E507, "CANCELADA", D507:D507)</f>
        <v>118900</v>
      </c>
      <c r="E510" s="510"/>
      <c r="F510" s="484"/>
      <c r="G510" s="506" t="s">
        <v>1979</v>
      </c>
      <c r="H510" s="507"/>
      <c r="I510" s="508">
        <f>SUM(I507:I508)</f>
        <v>114000</v>
      </c>
      <c r="J510" s="507"/>
    </row>
    <row r="511" spans="1:10" x14ac:dyDescent="0.25">
      <c r="A511" s="484"/>
      <c r="B511" s="509" t="s">
        <v>1984</v>
      </c>
      <c r="C511" s="510"/>
      <c r="D511" s="511">
        <f>D509-D510</f>
        <v>0</v>
      </c>
      <c r="E511" s="510"/>
      <c r="F511" s="484"/>
      <c r="G511" s="509" t="s">
        <v>1983</v>
      </c>
      <c r="H511" s="510"/>
      <c r="I511" s="511">
        <f>SUMIF(J507:J508, "CANCELADA", I507:I508)</f>
        <v>0</v>
      </c>
      <c r="J511" s="510"/>
    </row>
    <row r="512" spans="1:10" x14ac:dyDescent="0.25">
      <c r="A512" s="484"/>
      <c r="B512" s="484"/>
      <c r="C512" s="484"/>
      <c r="D512" s="484"/>
      <c r="E512" s="484"/>
      <c r="F512" s="484"/>
      <c r="G512" s="509" t="s">
        <v>1984</v>
      </c>
      <c r="H512" s="510"/>
      <c r="I512" s="511">
        <f>I510-I511</f>
        <v>114000</v>
      </c>
      <c r="J512" s="510"/>
    </row>
    <row r="513" spans="1:10" x14ac:dyDescent="0.25">
      <c r="A513" s="484"/>
      <c r="B513" s="484"/>
      <c r="C513" s="484"/>
      <c r="D513" s="484"/>
      <c r="E513" s="484"/>
      <c r="F513" s="484"/>
      <c r="G513" s="484"/>
      <c r="H513" s="484"/>
      <c r="I513" s="484"/>
      <c r="J513" s="484"/>
    </row>
    <row r="514" spans="1:10" x14ac:dyDescent="0.25">
      <c r="A514" s="484"/>
      <c r="B514" s="484"/>
      <c r="C514" s="484"/>
      <c r="D514" s="484"/>
      <c r="E514" s="484"/>
      <c r="F514" s="484"/>
      <c r="G514" s="484"/>
      <c r="H514" s="484"/>
      <c r="I514" s="484"/>
      <c r="J514" s="484"/>
    </row>
    <row r="515" spans="1:10" x14ac:dyDescent="0.25">
      <c r="A515" s="484"/>
      <c r="B515" s="633" t="s">
        <v>3268</v>
      </c>
      <c r="C515" s="634"/>
      <c r="D515" s="634"/>
      <c r="E515" s="634"/>
      <c r="F515" s="484"/>
      <c r="G515" s="633" t="s">
        <v>3269</v>
      </c>
      <c r="H515" s="634"/>
      <c r="I515" s="634"/>
      <c r="J515" s="634"/>
    </row>
    <row r="516" spans="1:10" x14ac:dyDescent="0.25">
      <c r="A516" s="484"/>
      <c r="B516" s="503" t="s">
        <v>1977</v>
      </c>
      <c r="C516" s="503" t="s">
        <v>1978</v>
      </c>
      <c r="D516" s="516" t="s">
        <v>1979</v>
      </c>
      <c r="E516" s="503" t="s">
        <v>3096</v>
      </c>
      <c r="F516" s="484"/>
      <c r="G516" s="503" t="s">
        <v>1977</v>
      </c>
      <c r="H516" s="503" t="s">
        <v>1978</v>
      </c>
      <c r="I516" s="516" t="s">
        <v>1979</v>
      </c>
      <c r="J516" s="503" t="s">
        <v>3096</v>
      </c>
    </row>
    <row r="517" spans="1:10" x14ac:dyDescent="0.25">
      <c r="A517" s="484"/>
      <c r="B517" s="504" t="s">
        <v>1797</v>
      </c>
      <c r="C517" s="504" t="s">
        <v>121</v>
      </c>
      <c r="D517" s="505">
        <v>109400</v>
      </c>
      <c r="E517" s="504" t="s">
        <v>1981</v>
      </c>
      <c r="F517" s="484"/>
      <c r="G517" s="504" t="s">
        <v>3270</v>
      </c>
      <c r="H517" s="504" t="s">
        <v>118</v>
      </c>
      <c r="I517" s="505">
        <v>95800</v>
      </c>
      <c r="J517" s="504" t="s">
        <v>1981</v>
      </c>
    </row>
    <row r="518" spans="1:10" x14ac:dyDescent="0.25">
      <c r="A518" s="484"/>
      <c r="B518" s="484"/>
      <c r="C518" s="484"/>
      <c r="D518" s="513"/>
      <c r="E518" s="484"/>
      <c r="F518" s="484"/>
      <c r="G518" s="484"/>
      <c r="H518" s="484"/>
      <c r="I518" s="513"/>
      <c r="J518" s="484"/>
    </row>
    <row r="519" spans="1:10" x14ac:dyDescent="0.25">
      <c r="A519" s="484"/>
      <c r="B519" s="506" t="s">
        <v>1979</v>
      </c>
      <c r="C519" s="507"/>
      <c r="D519" s="508">
        <f>SUM(D517:D517)</f>
        <v>109400</v>
      </c>
      <c r="E519" s="507"/>
      <c r="F519" s="484"/>
      <c r="G519" s="506" t="s">
        <v>1979</v>
      </c>
      <c r="H519" s="507"/>
      <c r="I519" s="508">
        <f>SUM(I517:I517)</f>
        <v>95800</v>
      </c>
      <c r="J519" s="507"/>
    </row>
    <row r="520" spans="1:10" x14ac:dyDescent="0.25">
      <c r="A520" s="484"/>
      <c r="B520" s="509" t="s">
        <v>1983</v>
      </c>
      <c r="C520" s="510"/>
      <c r="D520" s="511">
        <f>SUMIF(E517:E517, "CANCELADA", D517:D517)</f>
        <v>109400</v>
      </c>
      <c r="E520" s="510"/>
      <c r="F520" s="484"/>
      <c r="G520" s="509" t="s">
        <v>1983</v>
      </c>
      <c r="H520" s="510"/>
      <c r="I520" s="511">
        <f>SUMIF(J517:J517, "CANCELADA", I517:I517)</f>
        <v>95800</v>
      </c>
      <c r="J520" s="510"/>
    </row>
    <row r="521" spans="1:10" x14ac:dyDescent="0.25">
      <c r="A521" s="484"/>
      <c r="B521" s="509" t="s">
        <v>1984</v>
      </c>
      <c r="C521" s="510"/>
      <c r="D521" s="511">
        <f>D519-D520</f>
        <v>0</v>
      </c>
      <c r="E521" s="510"/>
      <c r="F521" s="484"/>
      <c r="G521" s="509" t="s">
        <v>1984</v>
      </c>
      <c r="H521" s="510"/>
      <c r="I521" s="511">
        <f>I519-I520</f>
        <v>0</v>
      </c>
      <c r="J521" s="510"/>
    </row>
    <row r="522" spans="1:10" x14ac:dyDescent="0.25">
      <c r="A522" s="484"/>
      <c r="B522" s="484"/>
      <c r="C522" s="484"/>
      <c r="D522" s="484"/>
      <c r="E522" s="484"/>
      <c r="F522" s="484"/>
      <c r="G522" s="484"/>
      <c r="H522" s="484"/>
      <c r="I522" s="484"/>
      <c r="J522" s="484"/>
    </row>
    <row r="523" spans="1:10" x14ac:dyDescent="0.25">
      <c r="A523" s="484"/>
      <c r="B523" s="484"/>
      <c r="C523" s="484"/>
      <c r="D523" s="484"/>
      <c r="E523" s="484"/>
      <c r="F523" s="484"/>
      <c r="G523" s="484"/>
      <c r="H523" s="484"/>
      <c r="I523" s="484"/>
      <c r="J523" s="484"/>
    </row>
    <row r="524" spans="1:10" x14ac:dyDescent="0.25">
      <c r="A524" s="484"/>
      <c r="B524" s="633" t="s">
        <v>3271</v>
      </c>
      <c r="C524" s="634"/>
      <c r="D524" s="634"/>
      <c r="E524" s="634"/>
      <c r="F524" s="484"/>
      <c r="G524" s="633" t="s">
        <v>3272</v>
      </c>
      <c r="H524" s="634"/>
      <c r="I524" s="634"/>
      <c r="J524" s="634"/>
    </row>
    <row r="525" spans="1:10" x14ac:dyDescent="0.25">
      <c r="A525" s="484"/>
      <c r="B525" s="503" t="s">
        <v>1977</v>
      </c>
      <c r="C525" s="503" t="s">
        <v>1978</v>
      </c>
      <c r="D525" s="516" t="s">
        <v>1979</v>
      </c>
      <c r="E525" s="503" t="s">
        <v>3096</v>
      </c>
      <c r="F525" s="484"/>
      <c r="G525" s="503" t="s">
        <v>1977</v>
      </c>
      <c r="H525" s="503" t="s">
        <v>1978</v>
      </c>
      <c r="I525" s="516" t="s">
        <v>1979</v>
      </c>
      <c r="J525" s="503" t="s">
        <v>3096</v>
      </c>
    </row>
    <row r="526" spans="1:10" x14ac:dyDescent="0.25">
      <c r="A526" s="484"/>
      <c r="B526" s="486" t="s">
        <v>1566</v>
      </c>
      <c r="C526" s="486" t="s">
        <v>104</v>
      </c>
      <c r="D526" s="488">
        <v>72000</v>
      </c>
      <c r="E526" s="486" t="s">
        <v>1984</v>
      </c>
      <c r="F526" s="484"/>
      <c r="G526" s="486" t="s">
        <v>1836</v>
      </c>
      <c r="H526" s="486" t="s">
        <v>127</v>
      </c>
      <c r="I526" s="488">
        <v>70000</v>
      </c>
      <c r="J526" s="486" t="s">
        <v>1984</v>
      </c>
    </row>
    <row r="527" spans="1:10" x14ac:dyDescent="0.25">
      <c r="A527" s="484"/>
      <c r="B527" s="484"/>
      <c r="C527" s="484"/>
      <c r="D527" s="513"/>
      <c r="E527" s="484"/>
      <c r="F527" s="484"/>
      <c r="G527" s="484"/>
      <c r="H527" s="484"/>
      <c r="I527" s="513"/>
      <c r="J527" s="484"/>
    </row>
    <row r="528" spans="1:10" x14ac:dyDescent="0.25">
      <c r="A528" s="484"/>
      <c r="B528" s="506" t="s">
        <v>1979</v>
      </c>
      <c r="C528" s="507"/>
      <c r="D528" s="508">
        <f>SUM(D526:D526)</f>
        <v>72000</v>
      </c>
      <c r="E528" s="507"/>
      <c r="F528" s="484"/>
      <c r="G528" s="506" t="s">
        <v>1979</v>
      </c>
      <c r="H528" s="507"/>
      <c r="I528" s="508">
        <f>SUM(I526:I526)</f>
        <v>70000</v>
      </c>
      <c r="J528" s="507"/>
    </row>
    <row r="529" spans="1:10" x14ac:dyDescent="0.25">
      <c r="A529" s="484"/>
      <c r="B529" s="509" t="s">
        <v>1983</v>
      </c>
      <c r="C529" s="510"/>
      <c r="D529" s="511">
        <f>SUMIF(E526:E526, "CANCELADA", D526:D526)</f>
        <v>0</v>
      </c>
      <c r="E529" s="510"/>
      <c r="F529" s="484"/>
      <c r="G529" s="509" t="s">
        <v>1983</v>
      </c>
      <c r="H529" s="510"/>
      <c r="I529" s="511">
        <f>SUMIF(J526:J526, "CANCELADA", I526:I526)</f>
        <v>0</v>
      </c>
      <c r="J529" s="510"/>
    </row>
    <row r="530" spans="1:10" x14ac:dyDescent="0.25">
      <c r="A530" s="484"/>
      <c r="B530" s="509" t="s">
        <v>1984</v>
      </c>
      <c r="C530" s="510"/>
      <c r="D530" s="511">
        <f>D528-D529</f>
        <v>72000</v>
      </c>
      <c r="E530" s="510"/>
      <c r="F530" s="484"/>
      <c r="G530" s="509" t="s">
        <v>1984</v>
      </c>
      <c r="H530" s="510"/>
      <c r="I530" s="511">
        <f>I528-I529</f>
        <v>70000</v>
      </c>
      <c r="J530" s="510"/>
    </row>
    <row r="531" spans="1:10" x14ac:dyDescent="0.25">
      <c r="A531" s="484"/>
      <c r="B531" s="484"/>
      <c r="C531" s="484"/>
      <c r="D531" s="484"/>
      <c r="E531" s="484"/>
      <c r="F531" s="484"/>
      <c r="G531" s="484"/>
      <c r="H531" s="484"/>
      <c r="I531" s="484"/>
      <c r="J531" s="484"/>
    </row>
    <row r="532" spans="1:10" x14ac:dyDescent="0.25">
      <c r="A532" s="484"/>
      <c r="B532" s="484"/>
      <c r="C532" s="484"/>
      <c r="D532" s="484"/>
      <c r="E532" s="484"/>
      <c r="F532" s="484"/>
      <c r="G532" s="484"/>
      <c r="H532" s="484"/>
      <c r="I532" s="484"/>
      <c r="J532" s="484"/>
    </row>
    <row r="533" spans="1:10" x14ac:dyDescent="0.25">
      <c r="A533" s="484"/>
      <c r="B533" s="633" t="s">
        <v>3273</v>
      </c>
      <c r="C533" s="634"/>
      <c r="D533" s="634"/>
      <c r="E533" s="634"/>
      <c r="F533" s="484"/>
      <c r="G533" s="484"/>
      <c r="H533" s="484"/>
      <c r="I533" s="484"/>
      <c r="J533" s="484"/>
    </row>
    <row r="534" spans="1:10" x14ac:dyDescent="0.25">
      <c r="A534" s="484"/>
      <c r="B534" s="503" t="s">
        <v>1977</v>
      </c>
      <c r="C534" s="503" t="s">
        <v>1978</v>
      </c>
      <c r="D534" s="516" t="s">
        <v>1979</v>
      </c>
      <c r="E534" s="503" t="s">
        <v>3096</v>
      </c>
      <c r="F534" s="484"/>
      <c r="G534" s="484"/>
      <c r="H534" s="484"/>
      <c r="I534" s="484"/>
      <c r="J534" s="484"/>
    </row>
    <row r="535" spans="1:10" x14ac:dyDescent="0.25">
      <c r="A535" s="484"/>
      <c r="B535" s="504" t="s">
        <v>1803</v>
      </c>
      <c r="C535" s="504" t="s">
        <v>121</v>
      </c>
      <c r="D535" s="505">
        <v>6900</v>
      </c>
      <c r="E535" s="504" t="s">
        <v>1981</v>
      </c>
      <c r="F535" s="484"/>
      <c r="G535" s="484"/>
      <c r="H535" s="484"/>
      <c r="I535" s="484"/>
      <c r="J535" s="484"/>
    </row>
    <row r="536" spans="1:10" x14ac:dyDescent="0.25">
      <c r="A536" s="484"/>
      <c r="B536" s="484"/>
      <c r="C536" s="484"/>
      <c r="D536" s="513"/>
      <c r="E536" s="484"/>
      <c r="F536" s="484"/>
      <c r="G536" s="484"/>
      <c r="H536" s="484"/>
      <c r="I536" s="484"/>
      <c r="J536" s="484"/>
    </row>
    <row r="537" spans="1:10" x14ac:dyDescent="0.25">
      <c r="A537" s="484"/>
      <c r="B537" s="506" t="s">
        <v>1979</v>
      </c>
      <c r="C537" s="507"/>
      <c r="D537" s="508">
        <f>SUM(D535:D535)</f>
        <v>6900</v>
      </c>
      <c r="E537" s="507"/>
      <c r="F537" s="484"/>
      <c r="G537" s="484"/>
      <c r="H537" s="484"/>
      <c r="I537" s="484"/>
      <c r="J537" s="484"/>
    </row>
    <row r="538" spans="1:10" x14ac:dyDescent="0.25">
      <c r="A538" s="484"/>
      <c r="B538" s="509" t="s">
        <v>1983</v>
      </c>
      <c r="C538" s="510"/>
      <c r="D538" s="511">
        <f>SUMIF(E535:E535, "CANCELADA", D535:D535)</f>
        <v>6900</v>
      </c>
      <c r="E538" s="510"/>
      <c r="F538" s="484"/>
      <c r="G538" s="484"/>
      <c r="H538" s="484"/>
      <c r="I538" s="484"/>
      <c r="J538" s="484"/>
    </row>
    <row r="539" spans="1:10" x14ac:dyDescent="0.25">
      <c r="B539" s="509" t="s">
        <v>1984</v>
      </c>
      <c r="C539" s="510"/>
      <c r="D539" s="511">
        <f>D537-D538</f>
        <v>0</v>
      </c>
      <c r="E539" s="510"/>
    </row>
  </sheetData>
  <autoFilter ref="G269:J279" xr:uid="{00000000-0001-0000-0D00-000000000000}"/>
  <mergeCells count="63">
    <mergeCell ref="J6:K6"/>
    <mergeCell ref="B524:E524"/>
    <mergeCell ref="B533:E533"/>
    <mergeCell ref="B402:E402"/>
    <mergeCell ref="B54:D54"/>
    <mergeCell ref="G339:J339"/>
    <mergeCell ref="B505:E505"/>
    <mergeCell ref="B449:E449"/>
    <mergeCell ref="G286:J286"/>
    <mergeCell ref="B268:E268"/>
    <mergeCell ref="B286:E286"/>
    <mergeCell ref="G449:J449"/>
    <mergeCell ref="G412:J412"/>
    <mergeCell ref="G496:J496"/>
    <mergeCell ref="G524:J524"/>
    <mergeCell ref="B515:E515"/>
    <mergeCell ref="G487:J487"/>
    <mergeCell ref="G515:J515"/>
    <mergeCell ref="G353:J353"/>
    <mergeCell ref="B298:E298"/>
    <mergeCell ref="B375:E375"/>
    <mergeCell ref="G505:J505"/>
    <mergeCell ref="B496:E496"/>
    <mergeCell ref="B487:E487"/>
    <mergeCell ref="G364:J364"/>
    <mergeCell ref="B474:E474"/>
    <mergeCell ref="B327:E327"/>
    <mergeCell ref="G474:J474"/>
    <mergeCell ref="B412:E412"/>
    <mergeCell ref="G402:J402"/>
    <mergeCell ref="G375:J375"/>
    <mergeCell ref="B59:E59"/>
    <mergeCell ref="G178:J178"/>
    <mergeCell ref="B364:E364"/>
    <mergeCell ref="B5:C5"/>
    <mergeCell ref="D5:E5"/>
    <mergeCell ref="B178:E178"/>
    <mergeCell ref="J5:K5"/>
    <mergeCell ref="B9:K9"/>
    <mergeCell ref="F6:G6"/>
    <mergeCell ref="B198:E198"/>
    <mergeCell ref="B7:C7"/>
    <mergeCell ref="F7:G7"/>
    <mergeCell ref="D6:E6"/>
    <mergeCell ref="G198:J198"/>
    <mergeCell ref="G59:J59"/>
    <mergeCell ref="H6:I6"/>
    <mergeCell ref="B2:K2"/>
    <mergeCell ref="B353:E353"/>
    <mergeCell ref="B6:C6"/>
    <mergeCell ref="B57:K57"/>
    <mergeCell ref="G298:J298"/>
    <mergeCell ref="H5:I5"/>
    <mergeCell ref="B339:E339"/>
    <mergeCell ref="B3:K3"/>
    <mergeCell ref="H7:I7"/>
    <mergeCell ref="J7:K7"/>
    <mergeCell ref="G327:J327"/>
    <mergeCell ref="B77:E77"/>
    <mergeCell ref="F5:G5"/>
    <mergeCell ref="G77:J77"/>
    <mergeCell ref="G268:J268"/>
    <mergeCell ref="D7:E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4"/>
  <sheetViews>
    <sheetView workbookViewId="0">
      <selection activeCell="D1" sqref="D1"/>
    </sheetView>
  </sheetViews>
  <sheetFormatPr baseColWidth="10" defaultRowHeight="15" x14ac:dyDescent="0.25"/>
  <cols>
    <col min="4" max="4" width="115.28515625" style="471" bestFit="1" customWidth="1"/>
  </cols>
  <sheetData>
    <row r="1" spans="1:7" x14ac:dyDescent="0.25">
      <c r="A1" s="1" t="s">
        <v>48</v>
      </c>
      <c r="B1" s="1" t="s">
        <v>2847</v>
      </c>
      <c r="C1" s="1" t="s">
        <v>2848</v>
      </c>
      <c r="D1" s="5" t="s">
        <v>469</v>
      </c>
      <c r="E1" s="2" t="s">
        <v>1072</v>
      </c>
      <c r="F1" s="1" t="s">
        <v>189</v>
      </c>
      <c r="G1" s="1" t="s">
        <v>2849</v>
      </c>
    </row>
    <row r="2" spans="1:7" x14ac:dyDescent="0.25">
      <c r="A2">
        <v>23</v>
      </c>
      <c r="B2" t="s">
        <v>1077</v>
      </c>
      <c r="C2" t="s">
        <v>233</v>
      </c>
      <c r="D2" t="s">
        <v>2850</v>
      </c>
      <c r="E2">
        <v>5.25</v>
      </c>
      <c r="F2">
        <v>33000</v>
      </c>
      <c r="G2">
        <v>173250</v>
      </c>
    </row>
    <row r="3" spans="1:7" x14ac:dyDescent="0.25">
      <c r="A3">
        <v>23</v>
      </c>
      <c r="B3" t="s">
        <v>1077</v>
      </c>
      <c r="C3" t="s">
        <v>2851</v>
      </c>
      <c r="D3" t="s">
        <v>2852</v>
      </c>
      <c r="E3">
        <v>5.35</v>
      </c>
      <c r="F3">
        <v>21500</v>
      </c>
      <c r="G3">
        <v>115025</v>
      </c>
    </row>
    <row r="4" spans="1:7" x14ac:dyDescent="0.25">
      <c r="A4">
        <v>14</v>
      </c>
      <c r="B4" t="s">
        <v>1077</v>
      </c>
      <c r="C4" t="s">
        <v>239</v>
      </c>
      <c r="D4" t="s">
        <v>2853</v>
      </c>
      <c r="E4">
        <v>10</v>
      </c>
      <c r="F4">
        <v>53000</v>
      </c>
      <c r="G4">
        <v>530000</v>
      </c>
    </row>
    <row r="5" spans="1:7" x14ac:dyDescent="0.25">
      <c r="A5">
        <v>20</v>
      </c>
      <c r="B5" t="s">
        <v>1077</v>
      </c>
      <c r="C5" t="s">
        <v>216</v>
      </c>
      <c r="D5" t="s">
        <v>2854</v>
      </c>
      <c r="E5">
        <v>6.1</v>
      </c>
      <c r="F5">
        <v>30000</v>
      </c>
      <c r="G5">
        <v>183000</v>
      </c>
    </row>
    <row r="6" spans="1:7" x14ac:dyDescent="0.25">
      <c r="A6">
        <v>20</v>
      </c>
      <c r="B6" t="s">
        <v>1077</v>
      </c>
      <c r="C6" t="s">
        <v>239</v>
      </c>
      <c r="D6" t="s">
        <v>2855</v>
      </c>
      <c r="E6">
        <v>14.05</v>
      </c>
      <c r="F6">
        <v>53000</v>
      </c>
      <c r="G6">
        <v>744650</v>
      </c>
    </row>
    <row r="7" spans="1:7" x14ac:dyDescent="0.25">
      <c r="A7">
        <v>20</v>
      </c>
      <c r="B7" t="s">
        <v>1077</v>
      </c>
      <c r="C7" t="s">
        <v>302</v>
      </c>
      <c r="D7" t="s">
        <v>2856</v>
      </c>
      <c r="E7">
        <v>11.375</v>
      </c>
      <c r="F7">
        <v>28000</v>
      </c>
      <c r="G7">
        <v>318500</v>
      </c>
    </row>
    <row r="8" spans="1:7" x14ac:dyDescent="0.25">
      <c r="A8">
        <v>20</v>
      </c>
      <c r="B8" t="s">
        <v>1077</v>
      </c>
      <c r="C8" t="s">
        <v>239</v>
      </c>
      <c r="D8" t="s">
        <v>2857</v>
      </c>
      <c r="E8">
        <v>14.05</v>
      </c>
      <c r="F8">
        <v>53000</v>
      </c>
      <c r="G8">
        <v>744650</v>
      </c>
    </row>
    <row r="9" spans="1:7" x14ac:dyDescent="0.25">
      <c r="A9">
        <v>20</v>
      </c>
      <c r="B9" t="s">
        <v>1077</v>
      </c>
      <c r="C9" t="s">
        <v>216</v>
      </c>
      <c r="D9" t="s">
        <v>2858</v>
      </c>
      <c r="E9">
        <v>6.1</v>
      </c>
      <c r="F9">
        <v>30000</v>
      </c>
      <c r="G9">
        <v>183000</v>
      </c>
    </row>
    <row r="10" spans="1:7" x14ac:dyDescent="0.25">
      <c r="A10">
        <v>20</v>
      </c>
      <c r="B10" t="s">
        <v>1077</v>
      </c>
      <c r="C10" t="s">
        <v>302</v>
      </c>
      <c r="D10" t="s">
        <v>2859</v>
      </c>
      <c r="E10">
        <v>11.38</v>
      </c>
      <c r="F10">
        <v>28000</v>
      </c>
      <c r="G10">
        <v>318500</v>
      </c>
    </row>
    <row r="11" spans="1:7" x14ac:dyDescent="0.25">
      <c r="A11">
        <v>19</v>
      </c>
      <c r="B11" t="s">
        <v>1077</v>
      </c>
      <c r="C11" t="s">
        <v>233</v>
      </c>
      <c r="D11" t="s">
        <v>2860</v>
      </c>
      <c r="E11">
        <v>4.3499999999999996</v>
      </c>
      <c r="F11">
        <v>34000</v>
      </c>
      <c r="G11">
        <v>147900</v>
      </c>
    </row>
    <row r="12" spans="1:7" x14ac:dyDescent="0.25">
      <c r="A12">
        <v>19</v>
      </c>
      <c r="B12" t="s">
        <v>1077</v>
      </c>
      <c r="C12" t="s">
        <v>278</v>
      </c>
      <c r="D12" t="s">
        <v>2861</v>
      </c>
      <c r="E12">
        <v>7.15</v>
      </c>
      <c r="F12">
        <v>18000</v>
      </c>
      <c r="G12">
        <v>128700</v>
      </c>
    </row>
    <row r="13" spans="1:7" x14ac:dyDescent="0.25">
      <c r="A13">
        <v>19</v>
      </c>
      <c r="B13" t="s">
        <v>1077</v>
      </c>
      <c r="C13" t="s">
        <v>216</v>
      </c>
      <c r="D13" t="s">
        <v>2862</v>
      </c>
      <c r="E13">
        <v>10</v>
      </c>
      <c r="F13">
        <v>30000</v>
      </c>
      <c r="G13">
        <v>300000</v>
      </c>
    </row>
    <row r="14" spans="1:7" x14ac:dyDescent="0.25">
      <c r="A14">
        <v>19</v>
      </c>
      <c r="B14" t="s">
        <v>1077</v>
      </c>
      <c r="C14" t="s">
        <v>278</v>
      </c>
      <c r="D14" t="s">
        <v>2861</v>
      </c>
      <c r="E14">
        <v>20</v>
      </c>
      <c r="F14">
        <v>20000</v>
      </c>
      <c r="G14">
        <v>400000</v>
      </c>
    </row>
    <row r="15" spans="1:7" x14ac:dyDescent="0.25">
      <c r="A15">
        <v>24</v>
      </c>
      <c r="B15" t="s">
        <v>1077</v>
      </c>
      <c r="C15" t="s">
        <v>216</v>
      </c>
      <c r="D15" t="s">
        <v>2863</v>
      </c>
      <c r="E15">
        <v>10.6</v>
      </c>
      <c r="F15">
        <v>30000</v>
      </c>
      <c r="G15">
        <v>318000</v>
      </c>
    </row>
    <row r="16" spans="1:7" x14ac:dyDescent="0.25">
      <c r="A16">
        <v>24</v>
      </c>
      <c r="B16" t="s">
        <v>1077</v>
      </c>
      <c r="C16" t="s">
        <v>233</v>
      </c>
      <c r="D16" t="s">
        <v>2864</v>
      </c>
      <c r="E16">
        <v>4.3</v>
      </c>
      <c r="F16">
        <v>33000</v>
      </c>
      <c r="G16">
        <v>141900</v>
      </c>
    </row>
    <row r="17" spans="1:7" x14ac:dyDescent="0.25">
      <c r="A17">
        <v>22</v>
      </c>
      <c r="B17" t="s">
        <v>1077</v>
      </c>
      <c r="C17" t="s">
        <v>216</v>
      </c>
      <c r="D17" t="s">
        <v>2865</v>
      </c>
      <c r="E17">
        <v>16.149999999999999</v>
      </c>
      <c r="F17">
        <v>30000</v>
      </c>
      <c r="G17">
        <v>484500</v>
      </c>
    </row>
    <row r="18" spans="1:7" x14ac:dyDescent="0.25">
      <c r="A18">
        <v>31</v>
      </c>
      <c r="B18" t="s">
        <v>1086</v>
      </c>
      <c r="C18" t="s">
        <v>1087</v>
      </c>
      <c r="D18" t="s">
        <v>2866</v>
      </c>
      <c r="E18">
        <v>200</v>
      </c>
      <c r="F18">
        <v>150</v>
      </c>
      <c r="G18">
        <v>30000</v>
      </c>
    </row>
    <row r="19" spans="1:7" x14ac:dyDescent="0.25">
      <c r="A19" s="183">
        <v>28</v>
      </c>
      <c r="B19" s="184" t="s">
        <v>1077</v>
      </c>
      <c r="C19" s="184" t="s">
        <v>216</v>
      </c>
      <c r="D19" s="184" t="s">
        <v>2867</v>
      </c>
      <c r="E19" s="185">
        <v>15</v>
      </c>
      <c r="F19" s="185">
        <v>30000</v>
      </c>
      <c r="G19" s="185">
        <v>450000</v>
      </c>
    </row>
    <row r="20" spans="1:7" x14ac:dyDescent="0.25">
      <c r="A20" s="183">
        <v>28</v>
      </c>
      <c r="B20" s="184" t="s">
        <v>1077</v>
      </c>
      <c r="C20" s="184" t="s">
        <v>1061</v>
      </c>
      <c r="D20" s="184" t="s">
        <v>2868</v>
      </c>
      <c r="E20" s="185">
        <v>12.2</v>
      </c>
      <c r="F20" s="185">
        <v>26000</v>
      </c>
      <c r="G20" s="185">
        <v>317200</v>
      </c>
    </row>
    <row r="21" spans="1:7" x14ac:dyDescent="0.25">
      <c r="A21" s="183">
        <v>29</v>
      </c>
      <c r="B21" s="184" t="s">
        <v>1077</v>
      </c>
      <c r="C21" s="184" t="s">
        <v>382</v>
      </c>
      <c r="D21" s="184" t="s">
        <v>2869</v>
      </c>
      <c r="E21" s="185">
        <v>8.85</v>
      </c>
      <c r="F21" s="185">
        <v>18000</v>
      </c>
      <c r="G21" s="185">
        <v>159300</v>
      </c>
    </row>
    <row r="22" spans="1:7" x14ac:dyDescent="0.25">
      <c r="A22" s="183">
        <v>29</v>
      </c>
      <c r="B22" s="184" t="s">
        <v>1077</v>
      </c>
      <c r="C22" s="184" t="s">
        <v>239</v>
      </c>
      <c r="D22" s="184" t="s">
        <v>2870</v>
      </c>
      <c r="E22" s="185">
        <v>5.16</v>
      </c>
      <c r="F22" s="185">
        <v>53000</v>
      </c>
      <c r="G22" s="185">
        <v>273480</v>
      </c>
    </row>
    <row r="23" spans="1:7" x14ac:dyDescent="0.25">
      <c r="A23" s="183">
        <v>31</v>
      </c>
      <c r="B23" s="184" t="s">
        <v>1077</v>
      </c>
      <c r="C23" s="184" t="s">
        <v>2871</v>
      </c>
      <c r="D23" s="184" t="s">
        <v>2872</v>
      </c>
      <c r="E23" s="185">
        <v>15.95</v>
      </c>
      <c r="F23" s="185">
        <v>5000</v>
      </c>
      <c r="G23" s="185">
        <v>79750</v>
      </c>
    </row>
    <row r="24" spans="1:7" x14ac:dyDescent="0.25">
      <c r="A24" s="183">
        <v>31</v>
      </c>
      <c r="B24" s="184" t="s">
        <v>1077</v>
      </c>
      <c r="C24" s="184" t="s">
        <v>233</v>
      </c>
      <c r="D24" s="184" t="s">
        <v>2873</v>
      </c>
      <c r="E24" s="185">
        <v>4</v>
      </c>
      <c r="F24" s="185">
        <v>33000</v>
      </c>
      <c r="G24" s="185">
        <v>132000</v>
      </c>
    </row>
  </sheetData>
  <autoFilter ref="A1:G1" xr:uid="{00000000-0009-0000-0000-00000B000000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32"/>
  <sheetViews>
    <sheetView workbookViewId="0">
      <selection activeCell="D1" sqref="D1"/>
    </sheetView>
  </sheetViews>
  <sheetFormatPr baseColWidth="10" defaultColWidth="9.140625" defaultRowHeight="15" x14ac:dyDescent="0.25"/>
  <cols>
    <col min="1" max="1" width="8" style="471" customWidth="1"/>
    <col min="2" max="2" width="15" style="471" customWidth="1"/>
    <col min="3" max="3" width="30" style="471" customWidth="1"/>
    <col min="4" max="4" width="55" style="471" customWidth="1"/>
    <col min="5" max="5" width="12" style="471" customWidth="1"/>
    <col min="6" max="6" width="16" style="471" customWidth="1"/>
    <col min="7" max="7" width="18" style="471" customWidth="1"/>
    <col min="8" max="8" width="22" style="471" customWidth="1"/>
  </cols>
  <sheetData>
    <row r="1" spans="1:8" x14ac:dyDescent="0.25">
      <c r="A1" s="34" t="s">
        <v>48</v>
      </c>
      <c r="B1" s="34" t="s">
        <v>110</v>
      </c>
      <c r="C1" s="34" t="s">
        <v>1071</v>
      </c>
      <c r="D1" s="34" t="s">
        <v>2874</v>
      </c>
      <c r="E1" s="34" t="s">
        <v>1072</v>
      </c>
      <c r="F1" s="34" t="s">
        <v>189</v>
      </c>
      <c r="G1" s="34" t="s">
        <v>1073</v>
      </c>
      <c r="H1" s="34" t="s">
        <v>185</v>
      </c>
    </row>
    <row r="2" spans="1:8" x14ac:dyDescent="0.25">
      <c r="A2" s="33">
        <v>1</v>
      </c>
      <c r="B2" s="27" t="s">
        <v>91</v>
      </c>
      <c r="C2" s="28" t="s">
        <v>477</v>
      </c>
      <c r="D2" s="28" t="s">
        <v>2875</v>
      </c>
      <c r="E2" s="31">
        <v>1</v>
      </c>
      <c r="F2" s="311">
        <v>92200</v>
      </c>
      <c r="G2" s="311">
        <v>92200</v>
      </c>
      <c r="H2" s="27" t="s">
        <v>476</v>
      </c>
    </row>
    <row r="3" spans="1:8" x14ac:dyDescent="0.25">
      <c r="A3" s="33">
        <v>1</v>
      </c>
      <c r="B3" s="27" t="s">
        <v>91</v>
      </c>
      <c r="C3" s="28" t="s">
        <v>479</v>
      </c>
      <c r="D3" s="28" t="s">
        <v>2876</v>
      </c>
      <c r="E3" s="31">
        <v>1</v>
      </c>
      <c r="F3" s="311">
        <v>77500</v>
      </c>
      <c r="G3" s="311">
        <v>77500</v>
      </c>
      <c r="H3" s="27" t="s">
        <v>476</v>
      </c>
    </row>
    <row r="4" spans="1:8" x14ac:dyDescent="0.25">
      <c r="A4" s="33">
        <v>1</v>
      </c>
      <c r="B4" s="27" t="s">
        <v>91</v>
      </c>
      <c r="C4" s="28" t="s">
        <v>481</v>
      </c>
      <c r="D4" s="28" t="s">
        <v>2877</v>
      </c>
      <c r="E4" s="31">
        <v>1</v>
      </c>
      <c r="F4" s="311">
        <v>93000</v>
      </c>
      <c r="G4" s="311">
        <v>93000</v>
      </c>
      <c r="H4" s="27" t="s">
        <v>476</v>
      </c>
    </row>
    <row r="5" spans="1:8" x14ac:dyDescent="0.25">
      <c r="A5" s="33">
        <v>1</v>
      </c>
      <c r="B5" s="27" t="s">
        <v>91</v>
      </c>
      <c r="C5" s="28" t="s">
        <v>483</v>
      </c>
      <c r="D5" s="28" t="s">
        <v>2878</v>
      </c>
      <c r="E5" s="31">
        <v>2</v>
      </c>
      <c r="F5" s="311">
        <v>74500</v>
      </c>
      <c r="G5" s="311">
        <v>149000</v>
      </c>
      <c r="H5" s="27" t="s">
        <v>476</v>
      </c>
    </row>
    <row r="6" spans="1:8" x14ac:dyDescent="0.25">
      <c r="A6" s="33">
        <v>1</v>
      </c>
      <c r="B6" s="27" t="s">
        <v>1077</v>
      </c>
      <c r="C6" s="28" t="s">
        <v>195</v>
      </c>
      <c r="D6" s="28" t="s">
        <v>2879</v>
      </c>
      <c r="E6" s="31">
        <v>20</v>
      </c>
      <c r="F6" s="311">
        <v>16500</v>
      </c>
      <c r="G6" s="311">
        <v>330000</v>
      </c>
      <c r="H6" s="27" t="s">
        <v>194</v>
      </c>
    </row>
    <row r="7" spans="1:8" x14ac:dyDescent="0.25">
      <c r="A7" s="33">
        <v>2</v>
      </c>
      <c r="B7" s="27" t="s">
        <v>91</v>
      </c>
      <c r="C7" s="28" t="s">
        <v>487</v>
      </c>
      <c r="D7" s="28" t="s">
        <v>2880</v>
      </c>
      <c r="E7" s="31">
        <v>2</v>
      </c>
      <c r="F7" s="311">
        <v>39000</v>
      </c>
      <c r="G7" s="311">
        <v>78000</v>
      </c>
      <c r="H7" s="27" t="s">
        <v>486</v>
      </c>
    </row>
    <row r="8" spans="1:8" x14ac:dyDescent="0.25">
      <c r="A8" s="33">
        <v>2</v>
      </c>
      <c r="B8" s="27" t="s">
        <v>91</v>
      </c>
      <c r="C8" s="28" t="s">
        <v>489</v>
      </c>
      <c r="D8" s="28" t="s">
        <v>2881</v>
      </c>
      <c r="E8" s="31">
        <v>2</v>
      </c>
      <c r="F8" s="311">
        <v>32500</v>
      </c>
      <c r="G8" s="311">
        <v>65000</v>
      </c>
      <c r="H8" s="27" t="s">
        <v>486</v>
      </c>
    </row>
    <row r="9" spans="1:8" x14ac:dyDescent="0.25">
      <c r="A9" s="33">
        <v>2</v>
      </c>
      <c r="B9" s="27" t="s">
        <v>91</v>
      </c>
      <c r="C9" s="28" t="s">
        <v>491</v>
      </c>
      <c r="D9" s="28" t="s">
        <v>2882</v>
      </c>
      <c r="E9" s="31">
        <v>1</v>
      </c>
      <c r="F9" s="311">
        <v>51600</v>
      </c>
      <c r="G9" s="311">
        <v>51600</v>
      </c>
      <c r="H9" s="27" t="s">
        <v>486</v>
      </c>
    </row>
    <row r="10" spans="1:8" x14ac:dyDescent="0.25">
      <c r="A10" s="33">
        <v>2</v>
      </c>
      <c r="B10" s="27" t="s">
        <v>949</v>
      </c>
      <c r="C10" s="28" t="s">
        <v>1139</v>
      </c>
      <c r="D10" s="28" t="s">
        <v>2883</v>
      </c>
      <c r="E10" s="31">
        <v>4</v>
      </c>
      <c r="F10" s="311">
        <v>18200</v>
      </c>
      <c r="G10" s="311">
        <v>72800</v>
      </c>
      <c r="H10" s="27" t="s">
        <v>1130</v>
      </c>
    </row>
    <row r="11" spans="1:8" x14ac:dyDescent="0.25">
      <c r="A11" s="33">
        <v>2</v>
      </c>
      <c r="B11" s="27" t="s">
        <v>1086</v>
      </c>
      <c r="C11" s="28" t="s">
        <v>1128</v>
      </c>
      <c r="D11" s="28" t="s">
        <v>2884</v>
      </c>
      <c r="E11" s="31">
        <v>5</v>
      </c>
      <c r="F11" s="311">
        <v>3105.6</v>
      </c>
      <c r="G11" s="311">
        <v>15528</v>
      </c>
      <c r="H11" s="27" t="s">
        <v>1130</v>
      </c>
    </row>
    <row r="12" spans="1:8" x14ac:dyDescent="0.25">
      <c r="A12" s="33">
        <v>2</v>
      </c>
      <c r="B12" s="27" t="s">
        <v>1086</v>
      </c>
      <c r="C12" s="28" t="s">
        <v>1128</v>
      </c>
      <c r="D12" s="28" t="s">
        <v>2885</v>
      </c>
      <c r="E12" s="31">
        <v>5</v>
      </c>
      <c r="F12" s="311">
        <v>3105.6</v>
      </c>
      <c r="G12" s="311">
        <v>15528</v>
      </c>
      <c r="H12" s="27" t="s">
        <v>1130</v>
      </c>
    </row>
    <row r="13" spans="1:8" x14ac:dyDescent="0.25">
      <c r="A13" s="33">
        <v>2</v>
      </c>
      <c r="B13" s="27" t="s">
        <v>1086</v>
      </c>
      <c r="C13" s="28" t="s">
        <v>1128</v>
      </c>
      <c r="D13" s="28" t="s">
        <v>2886</v>
      </c>
      <c r="E13" s="31">
        <v>5</v>
      </c>
      <c r="F13" s="311">
        <v>1309</v>
      </c>
      <c r="G13" s="311">
        <v>6545</v>
      </c>
      <c r="H13" s="27" t="s">
        <v>1130</v>
      </c>
    </row>
    <row r="14" spans="1:8" x14ac:dyDescent="0.25">
      <c r="A14" s="33">
        <v>2</v>
      </c>
      <c r="B14" s="27" t="s">
        <v>1086</v>
      </c>
      <c r="C14" s="28" t="s">
        <v>1128</v>
      </c>
      <c r="D14" s="28" t="s">
        <v>2887</v>
      </c>
      <c r="E14" s="31">
        <v>5</v>
      </c>
      <c r="F14" s="311">
        <v>2570.4</v>
      </c>
      <c r="G14" s="311">
        <v>12852</v>
      </c>
      <c r="H14" s="27" t="s">
        <v>1130</v>
      </c>
    </row>
    <row r="15" spans="1:8" x14ac:dyDescent="0.25">
      <c r="A15" s="33">
        <v>2</v>
      </c>
      <c r="B15" s="27" t="s">
        <v>1086</v>
      </c>
      <c r="C15" s="28" t="s">
        <v>1128</v>
      </c>
      <c r="D15" s="28" t="s">
        <v>2888</v>
      </c>
      <c r="E15" s="31">
        <v>3</v>
      </c>
      <c r="F15" s="311">
        <v>3760.33</v>
      </c>
      <c r="G15" s="311">
        <v>11281</v>
      </c>
      <c r="H15" s="27" t="s">
        <v>1130</v>
      </c>
    </row>
    <row r="16" spans="1:8" x14ac:dyDescent="0.25">
      <c r="A16" s="33">
        <v>2</v>
      </c>
      <c r="B16" s="27" t="s">
        <v>1086</v>
      </c>
      <c r="C16" s="28" t="s">
        <v>1128</v>
      </c>
      <c r="D16" s="28" t="s">
        <v>2889</v>
      </c>
      <c r="E16" s="31">
        <v>3</v>
      </c>
      <c r="F16" s="311">
        <v>3760.33</v>
      </c>
      <c r="G16" s="311">
        <v>11281</v>
      </c>
      <c r="H16" s="27" t="s">
        <v>1130</v>
      </c>
    </row>
    <row r="17" spans="1:8" x14ac:dyDescent="0.25">
      <c r="A17" s="33">
        <v>2</v>
      </c>
      <c r="B17" s="27" t="s">
        <v>1086</v>
      </c>
      <c r="C17" s="28" t="s">
        <v>1137</v>
      </c>
      <c r="D17" s="28" t="s">
        <v>2890</v>
      </c>
      <c r="E17" s="31">
        <v>70</v>
      </c>
      <c r="F17" s="311">
        <v>4180</v>
      </c>
      <c r="G17" s="311">
        <v>292600</v>
      </c>
      <c r="H17" s="27" t="s">
        <v>1130</v>
      </c>
    </row>
    <row r="18" spans="1:8" x14ac:dyDescent="0.25">
      <c r="A18" s="33">
        <v>3</v>
      </c>
      <c r="B18" s="27" t="s">
        <v>91</v>
      </c>
      <c r="C18" s="28" t="s">
        <v>495</v>
      </c>
      <c r="D18" s="28" t="s">
        <v>2891</v>
      </c>
      <c r="E18" s="31">
        <v>1</v>
      </c>
      <c r="F18" s="311">
        <v>32000</v>
      </c>
      <c r="G18" s="311">
        <v>32000</v>
      </c>
      <c r="H18" s="27" t="s">
        <v>2892</v>
      </c>
    </row>
    <row r="19" spans="1:8" x14ac:dyDescent="0.25">
      <c r="A19" s="33">
        <v>3</v>
      </c>
      <c r="B19" s="27" t="s">
        <v>91</v>
      </c>
      <c r="C19" s="28" t="s">
        <v>497</v>
      </c>
      <c r="D19" s="28" t="s">
        <v>2893</v>
      </c>
      <c r="E19" s="31">
        <v>2</v>
      </c>
      <c r="F19" s="311">
        <v>65000</v>
      </c>
      <c r="G19" s="311">
        <v>130000</v>
      </c>
      <c r="H19" s="27" t="s">
        <v>2892</v>
      </c>
    </row>
    <row r="20" spans="1:8" x14ac:dyDescent="0.25">
      <c r="A20" s="33">
        <v>3</v>
      </c>
      <c r="B20" s="27" t="s">
        <v>91</v>
      </c>
      <c r="C20" s="28" t="s">
        <v>499</v>
      </c>
      <c r="D20" s="28" t="s">
        <v>2894</v>
      </c>
      <c r="E20" s="31">
        <v>2</v>
      </c>
      <c r="F20" s="311">
        <v>65000</v>
      </c>
      <c r="G20" s="311">
        <v>130000</v>
      </c>
      <c r="H20" s="27" t="s">
        <v>2892</v>
      </c>
    </row>
    <row r="21" spans="1:8" x14ac:dyDescent="0.25">
      <c r="A21" s="33">
        <v>3</v>
      </c>
      <c r="B21" s="27" t="s">
        <v>91</v>
      </c>
      <c r="C21" s="28" t="s">
        <v>501</v>
      </c>
      <c r="D21" s="28" t="s">
        <v>2895</v>
      </c>
      <c r="E21" s="31">
        <v>10</v>
      </c>
      <c r="F21" s="311">
        <v>28800</v>
      </c>
      <c r="G21" s="311">
        <v>288000</v>
      </c>
      <c r="H21" s="27" t="s">
        <v>2892</v>
      </c>
    </row>
    <row r="22" spans="1:8" x14ac:dyDescent="0.25">
      <c r="A22" s="33">
        <v>3</v>
      </c>
      <c r="B22" s="27" t="s">
        <v>91</v>
      </c>
      <c r="C22" s="28" t="s">
        <v>503</v>
      </c>
      <c r="D22" s="28" t="s">
        <v>2896</v>
      </c>
      <c r="E22" s="31">
        <v>8</v>
      </c>
      <c r="F22" s="311">
        <v>30000</v>
      </c>
      <c r="G22" s="311">
        <v>240000</v>
      </c>
      <c r="H22" s="27" t="s">
        <v>2892</v>
      </c>
    </row>
    <row r="23" spans="1:8" x14ac:dyDescent="0.25">
      <c r="A23" s="33">
        <v>3</v>
      </c>
      <c r="B23" s="27" t="s">
        <v>91</v>
      </c>
      <c r="C23" s="28" t="s">
        <v>506</v>
      </c>
      <c r="D23" s="28" t="s">
        <v>2897</v>
      </c>
      <c r="E23" s="31">
        <v>2</v>
      </c>
      <c r="F23" s="311">
        <v>25100</v>
      </c>
      <c r="G23" s="311">
        <v>50200</v>
      </c>
      <c r="H23" s="27" t="s">
        <v>2892</v>
      </c>
    </row>
    <row r="24" spans="1:8" x14ac:dyDescent="0.25">
      <c r="A24" s="33">
        <v>3</v>
      </c>
      <c r="B24" s="27" t="s">
        <v>91</v>
      </c>
      <c r="C24" s="28" t="s">
        <v>506</v>
      </c>
      <c r="D24" s="28" t="s">
        <v>2898</v>
      </c>
      <c r="E24" s="31">
        <v>2</v>
      </c>
      <c r="F24" s="311">
        <v>25100</v>
      </c>
      <c r="G24" s="311">
        <v>50200</v>
      </c>
      <c r="H24" s="27" t="s">
        <v>2892</v>
      </c>
    </row>
    <row r="25" spans="1:8" x14ac:dyDescent="0.25">
      <c r="A25" s="33">
        <v>3</v>
      </c>
      <c r="B25" s="27" t="s">
        <v>91</v>
      </c>
      <c r="C25" s="28" t="s">
        <v>506</v>
      </c>
      <c r="D25" s="28" t="s">
        <v>2899</v>
      </c>
      <c r="E25" s="31">
        <v>2</v>
      </c>
      <c r="F25" s="311">
        <v>25100</v>
      </c>
      <c r="G25" s="311">
        <v>50200</v>
      </c>
      <c r="H25" s="27" t="s">
        <v>2892</v>
      </c>
    </row>
    <row r="26" spans="1:8" x14ac:dyDescent="0.25">
      <c r="A26" s="33">
        <v>3</v>
      </c>
      <c r="B26" s="27" t="s">
        <v>1082</v>
      </c>
      <c r="C26" s="28" t="s">
        <v>962</v>
      </c>
      <c r="D26" s="28" t="s">
        <v>2900</v>
      </c>
      <c r="E26" s="31">
        <v>4</v>
      </c>
      <c r="F26" s="311">
        <v>26000</v>
      </c>
      <c r="G26" s="311">
        <v>104000</v>
      </c>
      <c r="H26" s="27" t="s">
        <v>1190</v>
      </c>
    </row>
    <row r="27" spans="1:8" x14ac:dyDescent="0.25">
      <c r="A27" s="33">
        <v>4</v>
      </c>
      <c r="B27" s="27" t="s">
        <v>1077</v>
      </c>
      <c r="C27" s="28" t="s">
        <v>254</v>
      </c>
      <c r="D27" s="28" t="s">
        <v>2901</v>
      </c>
      <c r="E27" s="29">
        <v>26.5</v>
      </c>
      <c r="F27" s="311">
        <v>19500</v>
      </c>
      <c r="G27" s="311">
        <v>516750</v>
      </c>
      <c r="H27" s="27" t="s">
        <v>253</v>
      </c>
    </row>
    <row r="28" spans="1:8" x14ac:dyDescent="0.25">
      <c r="A28" s="33">
        <v>5</v>
      </c>
      <c r="B28" s="27" t="s">
        <v>1077</v>
      </c>
      <c r="C28" s="28" t="s">
        <v>275</v>
      </c>
      <c r="D28" s="28" t="s">
        <v>2902</v>
      </c>
      <c r="E28" s="29">
        <v>19.7</v>
      </c>
      <c r="F28" s="311">
        <v>22900</v>
      </c>
      <c r="G28" s="311">
        <v>451130</v>
      </c>
      <c r="H28" s="27" t="s">
        <v>274</v>
      </c>
    </row>
    <row r="29" spans="1:8" x14ac:dyDescent="0.25">
      <c r="A29" s="33">
        <v>5</v>
      </c>
      <c r="B29" s="27" t="s">
        <v>1077</v>
      </c>
      <c r="C29" s="28" t="s">
        <v>278</v>
      </c>
      <c r="D29" s="28" t="s">
        <v>2903</v>
      </c>
      <c r="E29" s="29">
        <v>26.1</v>
      </c>
      <c r="F29" s="311">
        <v>18500</v>
      </c>
      <c r="G29" s="311">
        <v>482850</v>
      </c>
      <c r="H29" s="27" t="s">
        <v>274</v>
      </c>
    </row>
    <row r="30" spans="1:8" x14ac:dyDescent="0.25">
      <c r="A30" s="33">
        <v>5</v>
      </c>
      <c r="B30" s="27" t="s">
        <v>1077</v>
      </c>
      <c r="C30" s="28" t="s">
        <v>280</v>
      </c>
      <c r="D30" s="28" t="s">
        <v>2904</v>
      </c>
      <c r="E30" s="29">
        <v>30.66</v>
      </c>
      <c r="F30" s="311">
        <v>18900</v>
      </c>
      <c r="G30" s="311">
        <v>579474</v>
      </c>
      <c r="H30" s="27" t="s">
        <v>274</v>
      </c>
    </row>
    <row r="31" spans="1:8" x14ac:dyDescent="0.25">
      <c r="A31" s="33">
        <v>5</v>
      </c>
      <c r="B31" s="27" t="s">
        <v>1077</v>
      </c>
      <c r="C31" s="28" t="s">
        <v>282</v>
      </c>
      <c r="D31" s="28" t="s">
        <v>2905</v>
      </c>
      <c r="E31" s="29">
        <v>21.55</v>
      </c>
      <c r="F31" s="311">
        <v>42000</v>
      </c>
      <c r="G31" s="311">
        <v>905100</v>
      </c>
      <c r="H31" s="27" t="s">
        <v>274</v>
      </c>
    </row>
    <row r="32" spans="1:8" x14ac:dyDescent="0.25">
      <c r="A32" s="33">
        <v>5</v>
      </c>
      <c r="B32" s="27" t="s">
        <v>1077</v>
      </c>
      <c r="C32" s="28" t="s">
        <v>284</v>
      </c>
      <c r="D32" s="28" t="s">
        <v>2906</v>
      </c>
      <c r="E32" s="29">
        <v>18</v>
      </c>
      <c r="F32" s="311">
        <v>44000</v>
      </c>
      <c r="G32" s="311">
        <v>792000</v>
      </c>
      <c r="H32" s="27" t="s">
        <v>274</v>
      </c>
    </row>
    <row r="33" spans="1:8" x14ac:dyDescent="0.25">
      <c r="A33" s="33">
        <v>5</v>
      </c>
      <c r="B33" s="27" t="s">
        <v>1077</v>
      </c>
      <c r="C33" s="28" t="s">
        <v>214</v>
      </c>
      <c r="D33" s="28" t="s">
        <v>2907</v>
      </c>
      <c r="E33" s="29">
        <v>20.239999999999998</v>
      </c>
      <c r="F33" s="311">
        <v>25900</v>
      </c>
      <c r="G33" s="311">
        <v>524216</v>
      </c>
      <c r="H33" s="27" t="s">
        <v>274</v>
      </c>
    </row>
    <row r="34" spans="1:8" x14ac:dyDescent="0.25">
      <c r="A34" s="33">
        <v>5</v>
      </c>
      <c r="B34" s="27" t="s">
        <v>1077</v>
      </c>
      <c r="C34" s="28" t="s">
        <v>216</v>
      </c>
      <c r="D34" s="28" t="s">
        <v>2908</v>
      </c>
      <c r="E34" s="29">
        <v>9</v>
      </c>
      <c r="F34" s="311">
        <v>34500</v>
      </c>
      <c r="G34" s="311">
        <v>310500</v>
      </c>
      <c r="H34" s="27" t="s">
        <v>274</v>
      </c>
    </row>
    <row r="35" spans="1:8" x14ac:dyDescent="0.25">
      <c r="A35" s="33">
        <v>5</v>
      </c>
      <c r="B35" s="27" t="s">
        <v>1077</v>
      </c>
      <c r="C35" s="28" t="s">
        <v>288</v>
      </c>
      <c r="D35" s="28" t="s">
        <v>2909</v>
      </c>
      <c r="E35" s="29">
        <v>150.9</v>
      </c>
      <c r="F35" s="311">
        <v>21900</v>
      </c>
      <c r="G35" s="311">
        <v>3304710</v>
      </c>
      <c r="H35" s="27" t="s">
        <v>274</v>
      </c>
    </row>
    <row r="36" spans="1:8" x14ac:dyDescent="0.25">
      <c r="A36" s="33">
        <v>5</v>
      </c>
      <c r="B36" s="27" t="s">
        <v>1082</v>
      </c>
      <c r="C36" s="28" t="s">
        <v>1111</v>
      </c>
      <c r="D36" s="28" t="s">
        <v>2910</v>
      </c>
      <c r="E36" s="31">
        <v>12</v>
      </c>
      <c r="F36" s="311">
        <v>19500</v>
      </c>
      <c r="G36" s="311">
        <v>234000</v>
      </c>
      <c r="H36" s="27" t="s">
        <v>274</v>
      </c>
    </row>
    <row r="37" spans="1:8" x14ac:dyDescent="0.25">
      <c r="A37" s="33">
        <v>7</v>
      </c>
      <c r="B37" s="27" t="s">
        <v>1077</v>
      </c>
      <c r="C37" s="28" t="s">
        <v>302</v>
      </c>
      <c r="D37" s="28" t="s">
        <v>2911</v>
      </c>
      <c r="E37" s="29">
        <v>5.5919999999999996</v>
      </c>
      <c r="F37" s="311">
        <v>26900</v>
      </c>
      <c r="G37" s="311">
        <v>150425</v>
      </c>
      <c r="H37" s="27" t="s">
        <v>301</v>
      </c>
    </row>
    <row r="38" spans="1:8" x14ac:dyDescent="0.25">
      <c r="A38" s="33">
        <v>7</v>
      </c>
      <c r="B38" s="27" t="s">
        <v>1077</v>
      </c>
      <c r="C38" s="28" t="s">
        <v>214</v>
      </c>
      <c r="D38" s="28" t="s">
        <v>2912</v>
      </c>
      <c r="E38" s="29">
        <v>21.61</v>
      </c>
      <c r="F38" s="311">
        <v>25900</v>
      </c>
      <c r="G38" s="311">
        <v>559699</v>
      </c>
      <c r="H38" s="27" t="s">
        <v>301</v>
      </c>
    </row>
    <row r="39" spans="1:8" x14ac:dyDescent="0.25">
      <c r="A39" s="33">
        <v>7</v>
      </c>
      <c r="B39" s="27" t="s">
        <v>1077</v>
      </c>
      <c r="C39" s="28" t="s">
        <v>216</v>
      </c>
      <c r="D39" s="28" t="s">
        <v>2913</v>
      </c>
      <c r="E39" s="29">
        <v>20.565000000000001</v>
      </c>
      <c r="F39" s="311">
        <v>34500</v>
      </c>
      <c r="G39" s="311">
        <v>709493</v>
      </c>
      <c r="H39" s="27" t="s">
        <v>301</v>
      </c>
    </row>
    <row r="40" spans="1:8" x14ac:dyDescent="0.25">
      <c r="A40" s="33">
        <v>7</v>
      </c>
      <c r="B40" s="27" t="s">
        <v>1082</v>
      </c>
      <c r="C40" s="28" t="s">
        <v>1356</v>
      </c>
      <c r="D40" s="28" t="s">
        <v>2914</v>
      </c>
      <c r="E40" s="31">
        <v>10</v>
      </c>
      <c r="F40" s="311">
        <v>10900</v>
      </c>
      <c r="G40" s="311">
        <v>109000</v>
      </c>
      <c r="H40" s="27" t="s">
        <v>301</v>
      </c>
    </row>
    <row r="41" spans="1:8" x14ac:dyDescent="0.25">
      <c r="A41" s="33">
        <v>20</v>
      </c>
      <c r="B41" s="27" t="s">
        <v>1077</v>
      </c>
      <c r="C41" s="28" t="s">
        <v>239</v>
      </c>
      <c r="D41" s="28" t="s">
        <v>2857</v>
      </c>
      <c r="E41" s="29">
        <v>14.05</v>
      </c>
      <c r="F41" s="311">
        <v>53000</v>
      </c>
      <c r="G41" s="311">
        <v>744650</v>
      </c>
      <c r="H41" s="27" t="s">
        <v>2915</v>
      </c>
    </row>
    <row r="42" spans="1:8" x14ac:dyDescent="0.25">
      <c r="A42" s="33">
        <v>20</v>
      </c>
      <c r="B42" s="27" t="s">
        <v>1077</v>
      </c>
      <c r="C42" s="28" t="s">
        <v>302</v>
      </c>
      <c r="D42" s="28" t="s">
        <v>2859</v>
      </c>
      <c r="E42" s="29">
        <v>11.38</v>
      </c>
      <c r="F42" s="311">
        <v>28000</v>
      </c>
      <c r="G42" s="311">
        <v>318500</v>
      </c>
      <c r="H42" s="27" t="s">
        <v>2915</v>
      </c>
    </row>
    <row r="43" spans="1:8" x14ac:dyDescent="0.25">
      <c r="A43" s="33">
        <v>20</v>
      </c>
      <c r="B43" s="27" t="s">
        <v>1077</v>
      </c>
      <c r="C43" s="28" t="s">
        <v>216</v>
      </c>
      <c r="D43" s="28" t="s">
        <v>2858</v>
      </c>
      <c r="E43" s="29">
        <v>6.1</v>
      </c>
      <c r="F43" s="311">
        <v>30000</v>
      </c>
      <c r="G43" s="311">
        <v>183000</v>
      </c>
      <c r="H43" s="27" t="s">
        <v>2915</v>
      </c>
    </row>
    <row r="44" spans="1:8" x14ac:dyDescent="0.25">
      <c r="A44" s="33">
        <v>22</v>
      </c>
      <c r="B44" s="27" t="s">
        <v>1077</v>
      </c>
      <c r="C44" s="28" t="s">
        <v>216</v>
      </c>
      <c r="D44" s="28" t="s">
        <v>2865</v>
      </c>
      <c r="E44" s="29">
        <v>16.149999999999999</v>
      </c>
      <c r="F44" s="311">
        <v>30000</v>
      </c>
      <c r="G44" s="311">
        <v>484500</v>
      </c>
      <c r="H44" s="27" t="s">
        <v>2916</v>
      </c>
    </row>
    <row r="45" spans="1:8" x14ac:dyDescent="0.25">
      <c r="A45" s="33">
        <v>23</v>
      </c>
      <c r="B45" s="27" t="s">
        <v>1077</v>
      </c>
      <c r="C45" s="28" t="s">
        <v>233</v>
      </c>
      <c r="D45" s="28" t="s">
        <v>2850</v>
      </c>
      <c r="E45" s="29">
        <v>5.25</v>
      </c>
      <c r="F45" s="311">
        <v>33000</v>
      </c>
      <c r="G45" s="311">
        <v>173250</v>
      </c>
      <c r="H45" s="27" t="s">
        <v>2917</v>
      </c>
    </row>
    <row r="46" spans="1:8" x14ac:dyDescent="0.25">
      <c r="A46" s="33">
        <v>23</v>
      </c>
      <c r="B46" s="27" t="s">
        <v>1077</v>
      </c>
      <c r="C46" s="28" t="s">
        <v>2851</v>
      </c>
      <c r="D46" s="28" t="s">
        <v>2852</v>
      </c>
      <c r="E46" s="29">
        <v>5.35</v>
      </c>
      <c r="F46" s="311">
        <v>21500</v>
      </c>
      <c r="G46" s="311">
        <v>115025</v>
      </c>
      <c r="H46" s="27" t="s">
        <v>2917</v>
      </c>
    </row>
    <row r="47" spans="1:8" x14ac:dyDescent="0.25">
      <c r="A47" s="33">
        <v>24</v>
      </c>
      <c r="B47" s="27" t="s">
        <v>1077</v>
      </c>
      <c r="C47" s="28" t="s">
        <v>233</v>
      </c>
      <c r="D47" s="28" t="s">
        <v>2864</v>
      </c>
      <c r="E47" s="29">
        <v>4.3</v>
      </c>
      <c r="F47" s="311">
        <v>33000</v>
      </c>
      <c r="G47" s="311">
        <v>141900</v>
      </c>
      <c r="H47" s="27" t="s">
        <v>2918</v>
      </c>
    </row>
    <row r="48" spans="1:8" x14ac:dyDescent="0.25">
      <c r="A48" s="33">
        <v>24</v>
      </c>
      <c r="B48" s="27" t="s">
        <v>1077</v>
      </c>
      <c r="C48" s="28" t="s">
        <v>216</v>
      </c>
      <c r="D48" s="28" t="s">
        <v>2863</v>
      </c>
      <c r="E48" s="29">
        <v>10.6</v>
      </c>
      <c r="F48" s="311">
        <v>30000</v>
      </c>
      <c r="G48" s="311">
        <v>318000</v>
      </c>
      <c r="H48" s="27" t="s">
        <v>2918</v>
      </c>
    </row>
    <row r="49" spans="1:8" x14ac:dyDescent="0.25">
      <c r="A49" s="43">
        <v>4</v>
      </c>
      <c r="B49" s="47" t="s">
        <v>1102</v>
      </c>
      <c r="C49" s="47" t="s">
        <v>1103</v>
      </c>
      <c r="D49" s="47" t="s">
        <v>2919</v>
      </c>
      <c r="E49" s="45">
        <v>1</v>
      </c>
      <c r="F49" s="284">
        <v>30000</v>
      </c>
      <c r="G49" s="284">
        <v>30000</v>
      </c>
      <c r="H49" s="47" t="s">
        <v>1297</v>
      </c>
    </row>
    <row r="50" spans="1:8" x14ac:dyDescent="0.25">
      <c r="A50" s="51">
        <v>3</v>
      </c>
      <c r="B50" s="52" t="s">
        <v>1077</v>
      </c>
      <c r="C50" s="53" t="s">
        <v>246</v>
      </c>
      <c r="D50" s="53" t="s">
        <v>2920</v>
      </c>
      <c r="E50" s="54">
        <v>5</v>
      </c>
      <c r="F50" s="312">
        <v>47600</v>
      </c>
      <c r="G50" s="312">
        <v>238000</v>
      </c>
      <c r="H50" s="52" t="s">
        <v>245</v>
      </c>
    </row>
    <row r="51" spans="1:8" x14ac:dyDescent="0.25">
      <c r="A51" s="51">
        <v>6</v>
      </c>
      <c r="B51" s="52" t="s">
        <v>1082</v>
      </c>
      <c r="C51" s="53" t="s">
        <v>1083</v>
      </c>
      <c r="D51" s="53" t="s">
        <v>2921</v>
      </c>
      <c r="E51" s="54">
        <v>1</v>
      </c>
      <c r="F51" s="312">
        <v>200000</v>
      </c>
      <c r="G51" s="312">
        <v>200000</v>
      </c>
      <c r="H51" s="52" t="s">
        <v>2922</v>
      </c>
    </row>
    <row r="52" spans="1:8" x14ac:dyDescent="0.25">
      <c r="A52" s="99">
        <v>8</v>
      </c>
      <c r="B52" s="99" t="s">
        <v>1077</v>
      </c>
      <c r="C52" s="100" t="s">
        <v>414</v>
      </c>
      <c r="D52" s="100" t="s">
        <v>2923</v>
      </c>
      <c r="E52" s="101">
        <v>14.1</v>
      </c>
      <c r="F52" s="313">
        <v>18500</v>
      </c>
      <c r="G52" s="313">
        <v>260850</v>
      </c>
      <c r="H52" s="99" t="s">
        <v>1960</v>
      </c>
    </row>
    <row r="53" spans="1:8" x14ac:dyDescent="0.25">
      <c r="A53" s="99">
        <v>8</v>
      </c>
      <c r="B53" s="99" t="s">
        <v>1077</v>
      </c>
      <c r="C53" s="100" t="s">
        <v>223</v>
      </c>
      <c r="D53" s="100" t="s">
        <v>2924</v>
      </c>
      <c r="E53" s="101">
        <v>14.9</v>
      </c>
      <c r="F53" s="313">
        <v>7500</v>
      </c>
      <c r="G53" s="313">
        <v>111750</v>
      </c>
      <c r="H53" s="99" t="s">
        <v>1960</v>
      </c>
    </row>
    <row r="54" spans="1:8" x14ac:dyDescent="0.25">
      <c r="A54" s="99">
        <v>9</v>
      </c>
      <c r="B54" s="99" t="s">
        <v>1077</v>
      </c>
      <c r="C54" s="100" t="s">
        <v>414</v>
      </c>
      <c r="D54" s="100" t="s">
        <v>2925</v>
      </c>
      <c r="E54" s="101">
        <v>13.6</v>
      </c>
      <c r="F54" s="313">
        <v>18500</v>
      </c>
      <c r="G54" s="313">
        <v>251600</v>
      </c>
      <c r="H54" s="99" t="s">
        <v>1954</v>
      </c>
    </row>
    <row r="55" spans="1:8" x14ac:dyDescent="0.25">
      <c r="A55" s="99">
        <v>9</v>
      </c>
      <c r="B55" s="99" t="s">
        <v>1077</v>
      </c>
      <c r="C55" s="100" t="s">
        <v>223</v>
      </c>
      <c r="D55" s="100" t="s">
        <v>2926</v>
      </c>
      <c r="E55" s="101">
        <v>43.4</v>
      </c>
      <c r="F55" s="313">
        <v>7500</v>
      </c>
      <c r="G55" s="313">
        <v>325500</v>
      </c>
      <c r="H55" s="99" t="s">
        <v>1954</v>
      </c>
    </row>
    <row r="56" spans="1:8" x14ac:dyDescent="0.25">
      <c r="A56" s="99">
        <v>10</v>
      </c>
      <c r="B56" s="99" t="s">
        <v>1077</v>
      </c>
      <c r="C56" s="100" t="s">
        <v>223</v>
      </c>
      <c r="D56" s="100" t="s">
        <v>2927</v>
      </c>
      <c r="E56" s="101">
        <v>87.3</v>
      </c>
      <c r="F56" s="313">
        <v>7500</v>
      </c>
      <c r="G56" s="313">
        <v>654750</v>
      </c>
      <c r="H56" s="99" t="s">
        <v>2928</v>
      </c>
    </row>
    <row r="57" spans="1:8" x14ac:dyDescent="0.25">
      <c r="A57" s="99">
        <v>14</v>
      </c>
      <c r="B57" s="99" t="s">
        <v>1077</v>
      </c>
      <c r="C57" s="100" t="s">
        <v>2929</v>
      </c>
      <c r="D57" s="100" t="s">
        <v>2930</v>
      </c>
      <c r="E57" s="101">
        <v>19.422000000000001</v>
      </c>
      <c r="F57" s="313">
        <v>25900</v>
      </c>
      <c r="G57" s="313">
        <v>503030</v>
      </c>
      <c r="H57" s="99" t="s">
        <v>407</v>
      </c>
    </row>
    <row r="58" spans="1:8" x14ac:dyDescent="0.25">
      <c r="A58" s="99">
        <v>14</v>
      </c>
      <c r="B58" s="99" t="s">
        <v>1077</v>
      </c>
      <c r="C58" s="100" t="s">
        <v>2929</v>
      </c>
      <c r="D58" s="100" t="s">
        <v>2931</v>
      </c>
      <c r="E58" s="101">
        <v>5.3220000000000001</v>
      </c>
      <c r="F58" s="313">
        <v>29500</v>
      </c>
      <c r="G58" s="313">
        <v>156999</v>
      </c>
      <c r="H58" s="99" t="s">
        <v>407</v>
      </c>
    </row>
    <row r="59" spans="1:8" x14ac:dyDescent="0.25">
      <c r="A59" s="99">
        <v>14</v>
      </c>
      <c r="B59" s="99" t="s">
        <v>1367</v>
      </c>
      <c r="C59" s="100" t="s">
        <v>1680</v>
      </c>
      <c r="D59" s="100" t="s">
        <v>2932</v>
      </c>
      <c r="E59" s="101">
        <v>9</v>
      </c>
      <c r="F59" s="313">
        <v>15300</v>
      </c>
      <c r="G59" s="313">
        <v>137700</v>
      </c>
      <c r="H59" s="99" t="s">
        <v>1682</v>
      </c>
    </row>
    <row r="60" spans="1:8" x14ac:dyDescent="0.25">
      <c r="A60" s="99">
        <v>14</v>
      </c>
      <c r="B60" s="99" t="s">
        <v>949</v>
      </c>
      <c r="C60" s="100" t="s">
        <v>2933</v>
      </c>
      <c r="D60" s="100" t="s">
        <v>2934</v>
      </c>
      <c r="E60" s="101">
        <v>1</v>
      </c>
      <c r="F60" s="313">
        <v>300</v>
      </c>
      <c r="G60" s="313">
        <v>300</v>
      </c>
      <c r="H60" s="99" t="s">
        <v>1682</v>
      </c>
    </row>
    <row r="61" spans="1:8" x14ac:dyDescent="0.25">
      <c r="A61" s="99">
        <v>14</v>
      </c>
      <c r="B61" s="99" t="s">
        <v>1367</v>
      </c>
      <c r="C61" s="100" t="s">
        <v>663</v>
      </c>
      <c r="D61" s="100" t="s">
        <v>2935</v>
      </c>
      <c r="E61" s="101">
        <v>2</v>
      </c>
      <c r="F61" s="313">
        <v>9500</v>
      </c>
      <c r="G61" s="313">
        <v>19000</v>
      </c>
      <c r="H61" s="99" t="s">
        <v>2936</v>
      </c>
    </row>
    <row r="62" spans="1:8" x14ac:dyDescent="0.25">
      <c r="A62" s="99">
        <v>14</v>
      </c>
      <c r="B62" s="99" t="s">
        <v>1367</v>
      </c>
      <c r="C62" s="100" t="s">
        <v>663</v>
      </c>
      <c r="D62" s="100" t="s">
        <v>2937</v>
      </c>
      <c r="E62" s="101">
        <v>3</v>
      </c>
      <c r="F62" s="313">
        <v>5000</v>
      </c>
      <c r="G62" s="313">
        <v>15000</v>
      </c>
      <c r="H62" s="99" t="s">
        <v>2936</v>
      </c>
    </row>
    <row r="63" spans="1:8" x14ac:dyDescent="0.25">
      <c r="A63" s="99">
        <v>14</v>
      </c>
      <c r="B63" s="99" t="s">
        <v>1367</v>
      </c>
      <c r="C63" s="100" t="s">
        <v>663</v>
      </c>
      <c r="D63" s="100" t="s">
        <v>2938</v>
      </c>
      <c r="E63" s="101">
        <v>4</v>
      </c>
      <c r="F63" s="313">
        <v>5000</v>
      </c>
      <c r="G63" s="313">
        <v>20000</v>
      </c>
      <c r="H63" s="99" t="s">
        <v>2939</v>
      </c>
    </row>
    <row r="64" spans="1:8" x14ac:dyDescent="0.25">
      <c r="A64" s="99">
        <v>15</v>
      </c>
      <c r="B64" s="99" t="s">
        <v>1077</v>
      </c>
      <c r="C64" s="100" t="s">
        <v>376</v>
      </c>
      <c r="D64" s="100" t="s">
        <v>2940</v>
      </c>
      <c r="E64" s="101">
        <v>39.75</v>
      </c>
      <c r="F64" s="313">
        <v>30000</v>
      </c>
      <c r="G64" s="313">
        <v>1192500</v>
      </c>
      <c r="H64" s="99" t="s">
        <v>2941</v>
      </c>
    </row>
    <row r="65" spans="1:8" x14ac:dyDescent="0.25">
      <c r="A65" s="99">
        <v>15</v>
      </c>
      <c r="B65" s="99" t="s">
        <v>1077</v>
      </c>
      <c r="C65" s="100" t="s">
        <v>383</v>
      </c>
      <c r="D65" s="100" t="s">
        <v>2942</v>
      </c>
      <c r="E65" s="101">
        <v>4.6500000000000004</v>
      </c>
      <c r="F65" s="313">
        <v>18600</v>
      </c>
      <c r="G65" s="313">
        <v>86490</v>
      </c>
      <c r="H65" s="99" t="s">
        <v>2941</v>
      </c>
    </row>
    <row r="66" spans="1:8" x14ac:dyDescent="0.25">
      <c r="A66" s="99">
        <v>15</v>
      </c>
      <c r="B66" s="99" t="s">
        <v>1077</v>
      </c>
      <c r="C66" s="100" t="s">
        <v>383</v>
      </c>
      <c r="D66" s="100" t="s">
        <v>2943</v>
      </c>
      <c r="E66" s="101">
        <v>9.19</v>
      </c>
      <c r="F66" s="313">
        <v>20400</v>
      </c>
      <c r="G66" s="313">
        <v>187476</v>
      </c>
      <c r="H66" s="99" t="s">
        <v>2944</v>
      </c>
    </row>
    <row r="67" spans="1:8" x14ac:dyDescent="0.25">
      <c r="A67" s="99">
        <v>15</v>
      </c>
      <c r="B67" s="99" t="s">
        <v>1077</v>
      </c>
      <c r="C67" s="100" t="s">
        <v>2945</v>
      </c>
      <c r="D67" s="100" t="s">
        <v>2946</v>
      </c>
      <c r="E67" s="101">
        <v>4.0999999999999996</v>
      </c>
      <c r="F67" s="313">
        <v>34000</v>
      </c>
      <c r="G67" s="313">
        <v>139400</v>
      </c>
      <c r="H67" s="99" t="s">
        <v>2947</v>
      </c>
    </row>
    <row r="68" spans="1:8" x14ac:dyDescent="0.25">
      <c r="A68" s="99">
        <v>15</v>
      </c>
      <c r="B68" s="99" t="s">
        <v>1077</v>
      </c>
      <c r="C68" s="100" t="s">
        <v>2948</v>
      </c>
      <c r="D68" s="100" t="s">
        <v>2949</v>
      </c>
      <c r="E68" s="101">
        <v>20.399999999999999</v>
      </c>
      <c r="F68" s="313">
        <v>20000</v>
      </c>
      <c r="G68" s="313">
        <v>408000</v>
      </c>
      <c r="H68" s="99" t="s">
        <v>2947</v>
      </c>
    </row>
    <row r="69" spans="1:8" x14ac:dyDescent="0.25">
      <c r="A69" s="99">
        <v>11</v>
      </c>
      <c r="B69" s="99" t="s">
        <v>1077</v>
      </c>
      <c r="C69" s="100" t="s">
        <v>411</v>
      </c>
      <c r="D69" s="100" t="s">
        <v>2950</v>
      </c>
      <c r="E69" s="101">
        <v>18.649999999999999</v>
      </c>
      <c r="F69" s="313">
        <v>19500</v>
      </c>
      <c r="G69" s="313">
        <v>363675</v>
      </c>
      <c r="H69" s="99" t="s">
        <v>2951</v>
      </c>
    </row>
    <row r="70" spans="1:8" x14ac:dyDescent="0.25">
      <c r="A70" s="183">
        <v>11</v>
      </c>
      <c r="B70" s="184" t="s">
        <v>1615</v>
      </c>
      <c r="C70" s="184" t="s">
        <v>2952</v>
      </c>
      <c r="D70" s="184" t="s">
        <v>2953</v>
      </c>
      <c r="E70" s="185">
        <v>1</v>
      </c>
      <c r="F70" s="185">
        <v>16523800</v>
      </c>
      <c r="G70" s="185">
        <v>16523800</v>
      </c>
      <c r="H70" s="184" t="s">
        <v>819</v>
      </c>
    </row>
    <row r="71" spans="1:8" x14ac:dyDescent="0.25">
      <c r="A71" s="183">
        <v>11</v>
      </c>
      <c r="B71" s="184" t="s">
        <v>1082</v>
      </c>
      <c r="C71" s="184" t="s">
        <v>2954</v>
      </c>
      <c r="D71" s="184" t="s">
        <v>2955</v>
      </c>
      <c r="E71" s="185">
        <v>1</v>
      </c>
      <c r="F71" s="185">
        <v>2288950</v>
      </c>
      <c r="G71" s="185">
        <v>2288950</v>
      </c>
      <c r="H71" s="184" t="s">
        <v>2956</v>
      </c>
    </row>
    <row r="72" spans="1:8" x14ac:dyDescent="0.25">
      <c r="A72" s="183">
        <v>11</v>
      </c>
      <c r="B72" s="184" t="s">
        <v>1077</v>
      </c>
      <c r="C72" s="184" t="s">
        <v>2957</v>
      </c>
      <c r="D72" s="184" t="s">
        <v>2958</v>
      </c>
      <c r="E72" s="185">
        <v>1</v>
      </c>
      <c r="F72" s="185">
        <v>7769031</v>
      </c>
      <c r="G72" s="185">
        <v>7769031</v>
      </c>
      <c r="H72" s="184" t="s">
        <v>1980</v>
      </c>
    </row>
    <row r="73" spans="1:8" x14ac:dyDescent="0.25">
      <c r="A73" s="183">
        <v>8</v>
      </c>
      <c r="B73" s="184" t="s">
        <v>1461</v>
      </c>
      <c r="C73" s="184" t="s">
        <v>2959</v>
      </c>
      <c r="D73" s="184" t="s">
        <v>2960</v>
      </c>
      <c r="E73" s="185">
        <v>4</v>
      </c>
      <c r="F73" s="185">
        <v>44924.68</v>
      </c>
      <c r="G73" s="185">
        <v>179698.71</v>
      </c>
      <c r="H73" s="184" t="s">
        <v>1464</v>
      </c>
    </row>
    <row r="74" spans="1:8" x14ac:dyDescent="0.25">
      <c r="A74" s="183">
        <v>7</v>
      </c>
      <c r="B74" s="184" t="s">
        <v>1102</v>
      </c>
      <c r="C74" s="184" t="s">
        <v>2961</v>
      </c>
      <c r="D74" s="184" t="s">
        <v>2962</v>
      </c>
      <c r="E74" s="185">
        <v>1</v>
      </c>
      <c r="F74" s="185">
        <v>649800</v>
      </c>
      <c r="G74" s="185">
        <v>649800</v>
      </c>
      <c r="H74" s="184" t="s">
        <v>1347</v>
      </c>
    </row>
    <row r="75" spans="1:8" x14ac:dyDescent="0.25">
      <c r="A75" s="183">
        <v>9</v>
      </c>
      <c r="B75" s="184" t="s">
        <v>2963</v>
      </c>
      <c r="C75" s="184" t="s">
        <v>2964</v>
      </c>
      <c r="D75" s="184" t="s">
        <v>2965</v>
      </c>
      <c r="E75" s="185">
        <v>10</v>
      </c>
      <c r="F75" s="185">
        <v>42914</v>
      </c>
      <c r="G75" s="185">
        <v>429140</v>
      </c>
      <c r="H75" s="184" t="s">
        <v>2966</v>
      </c>
    </row>
    <row r="76" spans="1:8" x14ac:dyDescent="0.25">
      <c r="A76" s="183">
        <v>8</v>
      </c>
      <c r="B76" s="184" t="s">
        <v>1787</v>
      </c>
      <c r="C76" s="184" t="s">
        <v>2967</v>
      </c>
      <c r="D76" s="184" t="s">
        <v>2968</v>
      </c>
      <c r="E76" s="185">
        <v>12</v>
      </c>
      <c r="F76" s="185">
        <v>5970</v>
      </c>
      <c r="G76" s="185">
        <v>71630</v>
      </c>
      <c r="H76" s="184" t="s">
        <v>321</v>
      </c>
    </row>
    <row r="77" spans="1:8" x14ac:dyDescent="0.25">
      <c r="A77" s="183">
        <v>4</v>
      </c>
      <c r="B77" s="184" t="s">
        <v>1077</v>
      </c>
      <c r="C77" s="184" t="s">
        <v>93</v>
      </c>
      <c r="D77" s="184" t="s">
        <v>2969</v>
      </c>
      <c r="E77" s="185">
        <v>4</v>
      </c>
      <c r="F77" s="185">
        <v>281018.75</v>
      </c>
      <c r="G77" s="185">
        <v>1124075</v>
      </c>
      <c r="H77" s="184" t="s">
        <v>264</v>
      </c>
    </row>
    <row r="78" spans="1:8" x14ac:dyDescent="0.25">
      <c r="A78" s="183">
        <v>3</v>
      </c>
      <c r="B78" s="184" t="s">
        <v>2970</v>
      </c>
      <c r="C78" s="184" t="s">
        <v>1195</v>
      </c>
      <c r="D78" s="184" t="s">
        <v>2971</v>
      </c>
      <c r="E78" s="185">
        <v>3</v>
      </c>
      <c r="F78" s="185">
        <v>246000</v>
      </c>
      <c r="G78" s="185">
        <v>738000</v>
      </c>
      <c r="H78" s="184" t="s">
        <v>1194</v>
      </c>
    </row>
    <row r="79" spans="1:8" x14ac:dyDescent="0.25">
      <c r="A79" s="183">
        <v>9</v>
      </c>
      <c r="B79" s="184" t="s">
        <v>2970</v>
      </c>
      <c r="C79" s="184" t="s">
        <v>1195</v>
      </c>
      <c r="D79" s="184" t="s">
        <v>2972</v>
      </c>
      <c r="E79" s="185">
        <v>4</v>
      </c>
      <c r="F79" s="185">
        <v>269000</v>
      </c>
      <c r="G79" s="185">
        <v>1076000</v>
      </c>
      <c r="H79" s="184" t="s">
        <v>1707</v>
      </c>
    </row>
    <row r="80" spans="1:8" x14ac:dyDescent="0.25">
      <c r="A80" s="183">
        <v>5</v>
      </c>
      <c r="B80" s="184" t="s">
        <v>1077</v>
      </c>
      <c r="C80" s="184" t="s">
        <v>443</v>
      </c>
      <c r="D80" s="184" t="s">
        <v>2973</v>
      </c>
      <c r="E80" s="185">
        <v>1</v>
      </c>
      <c r="F80" s="185">
        <v>364000</v>
      </c>
      <c r="G80" s="185">
        <v>364000</v>
      </c>
      <c r="H80" s="184" t="s">
        <v>290</v>
      </c>
    </row>
    <row r="81" spans="1:8" x14ac:dyDescent="0.25">
      <c r="A81" s="183">
        <v>11</v>
      </c>
      <c r="B81" s="184" t="s">
        <v>1077</v>
      </c>
      <c r="C81" s="184" t="s">
        <v>443</v>
      </c>
      <c r="D81" s="184" t="s">
        <v>2974</v>
      </c>
      <c r="E81" s="185">
        <v>1</v>
      </c>
      <c r="F81" s="185">
        <v>728000</v>
      </c>
      <c r="G81" s="185">
        <v>728000</v>
      </c>
      <c r="H81" s="184" t="s">
        <v>370</v>
      </c>
    </row>
    <row r="82" spans="1:8" x14ac:dyDescent="0.25">
      <c r="A82" s="183">
        <v>7</v>
      </c>
      <c r="B82" s="184" t="s">
        <v>1077</v>
      </c>
      <c r="C82" s="184" t="s">
        <v>2975</v>
      </c>
      <c r="D82" s="184" t="s">
        <v>2976</v>
      </c>
      <c r="E82" s="185">
        <v>3</v>
      </c>
      <c r="F82" s="185">
        <v>208110</v>
      </c>
      <c r="G82" s="185">
        <v>624330</v>
      </c>
      <c r="H82" s="184" t="s">
        <v>2977</v>
      </c>
    </row>
    <row r="83" spans="1:8" x14ac:dyDescent="0.25">
      <c r="A83" s="183">
        <v>8</v>
      </c>
      <c r="B83" s="184" t="s">
        <v>1077</v>
      </c>
      <c r="C83" s="184" t="s">
        <v>2975</v>
      </c>
      <c r="D83" s="184" t="s">
        <v>2978</v>
      </c>
      <c r="E83" s="185">
        <v>1</v>
      </c>
      <c r="F83" s="185">
        <v>434750</v>
      </c>
      <c r="G83" s="185">
        <v>434750</v>
      </c>
      <c r="H83" s="184" t="s">
        <v>256</v>
      </c>
    </row>
    <row r="84" spans="1:8" x14ac:dyDescent="0.25">
      <c r="A84" s="183">
        <v>3</v>
      </c>
      <c r="B84" s="184" t="s">
        <v>1077</v>
      </c>
      <c r="C84" s="184" t="s">
        <v>2979</v>
      </c>
      <c r="D84" s="184" t="s">
        <v>2980</v>
      </c>
      <c r="E84" s="185">
        <v>6</v>
      </c>
      <c r="F84" s="185">
        <v>201131.67</v>
      </c>
      <c r="G84" s="185">
        <v>1206790</v>
      </c>
      <c r="H84" s="184" t="s">
        <v>2981</v>
      </c>
    </row>
    <row r="85" spans="1:8" x14ac:dyDescent="0.25">
      <c r="A85" s="183">
        <v>4</v>
      </c>
      <c r="B85" s="184" t="s">
        <v>1077</v>
      </c>
      <c r="C85" s="184" t="s">
        <v>2982</v>
      </c>
      <c r="D85" s="184" t="s">
        <v>2983</v>
      </c>
      <c r="E85" s="185">
        <v>26.5</v>
      </c>
      <c r="F85" s="185">
        <v>19500</v>
      </c>
      <c r="G85" s="185">
        <v>516750</v>
      </c>
      <c r="H85" s="184" t="s">
        <v>253</v>
      </c>
    </row>
    <row r="86" spans="1:8" x14ac:dyDescent="0.25">
      <c r="A86" s="183">
        <v>8</v>
      </c>
      <c r="B86" s="184" t="s">
        <v>1510</v>
      </c>
      <c r="C86" s="184" t="s">
        <v>2984</v>
      </c>
      <c r="D86" s="184" t="s">
        <v>2985</v>
      </c>
      <c r="E86" s="185">
        <v>1</v>
      </c>
      <c r="F86" s="185">
        <v>29512</v>
      </c>
      <c r="G86" s="185">
        <v>29512</v>
      </c>
      <c r="H86" s="184" t="s">
        <v>2986</v>
      </c>
    </row>
    <row r="87" spans="1:8" x14ac:dyDescent="0.25">
      <c r="A87" s="183">
        <v>9</v>
      </c>
      <c r="B87" s="184" t="s">
        <v>91</v>
      </c>
      <c r="C87" s="184" t="s">
        <v>2987</v>
      </c>
      <c r="D87" s="184" t="s">
        <v>2988</v>
      </c>
      <c r="E87" s="185">
        <v>1</v>
      </c>
      <c r="F87" s="185">
        <v>130000</v>
      </c>
      <c r="G87" s="185">
        <v>130000</v>
      </c>
      <c r="H87" s="184" t="s">
        <v>593</v>
      </c>
    </row>
    <row r="88" spans="1:8" x14ac:dyDescent="0.25">
      <c r="A88" s="183">
        <v>5</v>
      </c>
      <c r="B88" s="184" t="s">
        <v>1077</v>
      </c>
      <c r="C88" s="184" t="s">
        <v>2957</v>
      </c>
      <c r="D88" s="184" t="s">
        <v>2989</v>
      </c>
      <c r="E88" s="185">
        <v>9</v>
      </c>
      <c r="F88" s="185">
        <v>482850</v>
      </c>
      <c r="G88" s="185">
        <v>4345650</v>
      </c>
      <c r="H88" s="184" t="s">
        <v>274</v>
      </c>
    </row>
    <row r="89" spans="1:8" x14ac:dyDescent="0.25">
      <c r="A89" s="189">
        <v>7</v>
      </c>
      <c r="B89" s="187" t="s">
        <v>1652</v>
      </c>
      <c r="C89" s="187" t="s">
        <v>2990</v>
      </c>
      <c r="D89" s="187" t="s">
        <v>2991</v>
      </c>
      <c r="E89" s="190">
        <v>1</v>
      </c>
      <c r="F89" s="268">
        <v>569900</v>
      </c>
      <c r="G89" s="268">
        <v>569900</v>
      </c>
      <c r="H89" s="189" t="s">
        <v>2992</v>
      </c>
    </row>
    <row r="90" spans="1:8" x14ac:dyDescent="0.25">
      <c r="A90" s="189">
        <v>7</v>
      </c>
      <c r="B90" s="187" t="s">
        <v>1652</v>
      </c>
      <c r="C90" s="187" t="s">
        <v>2993</v>
      </c>
      <c r="D90" s="187" t="s">
        <v>2994</v>
      </c>
      <c r="E90" s="190">
        <v>1</v>
      </c>
      <c r="F90" s="268">
        <v>79900</v>
      </c>
      <c r="G90" s="268">
        <v>79900</v>
      </c>
      <c r="H90" s="189" t="s">
        <v>2992</v>
      </c>
    </row>
    <row r="91" spans="1:8" x14ac:dyDescent="0.25">
      <c r="A91" s="189">
        <v>9</v>
      </c>
      <c r="B91" s="187" t="s">
        <v>1652</v>
      </c>
      <c r="C91" s="187" t="s">
        <v>1717</v>
      </c>
      <c r="D91" s="187" t="s">
        <v>2995</v>
      </c>
      <c r="E91" s="190">
        <v>1</v>
      </c>
      <c r="F91" s="268">
        <v>1439070</v>
      </c>
      <c r="G91" s="268">
        <v>1439070</v>
      </c>
      <c r="H91" s="189" t="s">
        <v>2996</v>
      </c>
    </row>
    <row r="92" spans="1:8" x14ac:dyDescent="0.25">
      <c r="A92" s="189">
        <v>9</v>
      </c>
      <c r="B92" s="187" t="s">
        <v>1652</v>
      </c>
      <c r="C92" s="187" t="s">
        <v>1719</v>
      </c>
      <c r="D92" s="187" t="s">
        <v>2997</v>
      </c>
      <c r="E92" s="190">
        <v>2</v>
      </c>
      <c r="F92" s="268">
        <v>22950</v>
      </c>
      <c r="G92" s="268">
        <v>45900</v>
      </c>
      <c r="H92" s="189" t="s">
        <v>2996</v>
      </c>
    </row>
    <row r="93" spans="1:8" x14ac:dyDescent="0.25">
      <c r="A93" s="189">
        <v>9</v>
      </c>
      <c r="B93" s="187" t="s">
        <v>1652</v>
      </c>
      <c r="C93" s="187" t="s">
        <v>1721</v>
      </c>
      <c r="D93" s="187" t="s">
        <v>2998</v>
      </c>
      <c r="E93" s="190">
        <v>1</v>
      </c>
      <c r="F93" s="268">
        <v>27900</v>
      </c>
      <c r="G93" s="268">
        <v>27900</v>
      </c>
      <c r="H93" s="189" t="s">
        <v>2996</v>
      </c>
    </row>
    <row r="94" spans="1:8" x14ac:dyDescent="0.25">
      <c r="A94" s="189">
        <v>9</v>
      </c>
      <c r="B94" s="187" t="s">
        <v>1652</v>
      </c>
      <c r="C94" s="187" t="s">
        <v>1723</v>
      </c>
      <c r="D94" s="187" t="s">
        <v>2999</v>
      </c>
      <c r="E94" s="190">
        <v>1</v>
      </c>
      <c r="F94" s="268">
        <v>14800</v>
      </c>
      <c r="G94" s="268">
        <v>14800</v>
      </c>
      <c r="H94" s="189" t="s">
        <v>2996</v>
      </c>
    </row>
    <row r="95" spans="1:8" x14ac:dyDescent="0.25">
      <c r="A95" s="189">
        <v>9</v>
      </c>
      <c r="B95" s="187" t="s">
        <v>1652</v>
      </c>
      <c r="C95" s="187" t="s">
        <v>597</v>
      </c>
      <c r="D95" s="187" t="s">
        <v>3000</v>
      </c>
      <c r="E95" s="190">
        <v>1</v>
      </c>
      <c r="F95" s="268">
        <v>44900</v>
      </c>
      <c r="G95" s="268">
        <v>44900</v>
      </c>
      <c r="H95" s="189" t="s">
        <v>2996</v>
      </c>
    </row>
    <row r="96" spans="1:8" x14ac:dyDescent="0.25">
      <c r="A96" s="189">
        <v>9</v>
      </c>
      <c r="B96" s="187" t="s">
        <v>1652</v>
      </c>
      <c r="C96" s="187" t="s">
        <v>1725</v>
      </c>
      <c r="D96" s="187" t="s">
        <v>3001</v>
      </c>
      <c r="E96" s="190">
        <v>1</v>
      </c>
      <c r="F96" s="268">
        <v>73</v>
      </c>
      <c r="G96" s="268">
        <v>73</v>
      </c>
      <c r="H96" s="189" t="s">
        <v>2996</v>
      </c>
    </row>
    <row r="97" spans="1:8" x14ac:dyDescent="0.25">
      <c r="A97" s="189">
        <v>12</v>
      </c>
      <c r="B97" s="187" t="s">
        <v>91</v>
      </c>
      <c r="C97" s="187" t="s">
        <v>3002</v>
      </c>
      <c r="D97" s="187" t="s">
        <v>3003</v>
      </c>
      <c r="E97" s="190">
        <v>4</v>
      </c>
      <c r="F97" s="268">
        <v>20750</v>
      </c>
      <c r="G97" s="268">
        <v>83000</v>
      </c>
      <c r="H97" s="189" t="s">
        <v>3004</v>
      </c>
    </row>
    <row r="98" spans="1:8" x14ac:dyDescent="0.25">
      <c r="A98" s="189">
        <v>11</v>
      </c>
      <c r="B98" s="187" t="s">
        <v>1505</v>
      </c>
      <c r="C98" s="187" t="s">
        <v>3005</v>
      </c>
      <c r="D98" s="187" t="s">
        <v>3006</v>
      </c>
      <c r="E98" s="190">
        <v>4</v>
      </c>
      <c r="F98" s="268">
        <v>282500</v>
      </c>
      <c r="G98" s="268">
        <v>1130000</v>
      </c>
      <c r="H98" s="189" t="s">
        <v>1663</v>
      </c>
    </row>
    <row r="99" spans="1:8" x14ac:dyDescent="0.25">
      <c r="A99" s="189">
        <v>8</v>
      </c>
      <c r="B99" s="187" t="s">
        <v>1077</v>
      </c>
      <c r="C99" s="187" t="s">
        <v>411</v>
      </c>
      <c r="D99" s="187" t="s">
        <v>3007</v>
      </c>
      <c r="E99" s="190">
        <v>13.6</v>
      </c>
      <c r="F99" s="268">
        <v>19500</v>
      </c>
      <c r="G99" s="268">
        <v>265200</v>
      </c>
      <c r="H99" s="189" t="s">
        <v>3008</v>
      </c>
    </row>
    <row r="100" spans="1:8" x14ac:dyDescent="0.25">
      <c r="A100" s="189">
        <v>14</v>
      </c>
      <c r="B100" s="187" t="s">
        <v>1077</v>
      </c>
      <c r="C100" s="187" t="s">
        <v>411</v>
      </c>
      <c r="D100" s="187" t="s">
        <v>3009</v>
      </c>
      <c r="E100" s="190">
        <v>18.25</v>
      </c>
      <c r="F100" s="268">
        <v>19500</v>
      </c>
      <c r="G100" s="268">
        <v>355875</v>
      </c>
      <c r="H100" s="189" t="s">
        <v>3010</v>
      </c>
    </row>
    <row r="101" spans="1:8" x14ac:dyDescent="0.25">
      <c r="A101" s="189">
        <v>16</v>
      </c>
      <c r="B101" s="187" t="s">
        <v>1180</v>
      </c>
      <c r="C101" s="187" t="s">
        <v>1765</v>
      </c>
      <c r="D101" s="187" t="s">
        <v>3011</v>
      </c>
      <c r="E101" s="190">
        <v>1</v>
      </c>
      <c r="F101" s="268">
        <v>30000</v>
      </c>
      <c r="G101" s="268">
        <v>30000</v>
      </c>
      <c r="H101" s="189" t="s">
        <v>391</v>
      </c>
    </row>
    <row r="102" spans="1:8" x14ac:dyDescent="0.25">
      <c r="A102" s="320">
        <v>15</v>
      </c>
      <c r="B102" s="316" t="s">
        <v>1505</v>
      </c>
      <c r="C102" s="316" t="s">
        <v>1747</v>
      </c>
      <c r="D102" s="316" t="s">
        <v>3012</v>
      </c>
      <c r="E102" s="317">
        <v>2</v>
      </c>
      <c r="F102" s="318">
        <v>18200</v>
      </c>
      <c r="G102" s="319">
        <v>36400</v>
      </c>
      <c r="H102" s="320" t="s">
        <v>3013</v>
      </c>
    </row>
    <row r="103" spans="1:8" x14ac:dyDescent="0.25">
      <c r="A103" s="320">
        <v>15</v>
      </c>
      <c r="B103" s="316" t="s">
        <v>1367</v>
      </c>
      <c r="C103" s="316" t="s">
        <v>3014</v>
      </c>
      <c r="D103" s="316" t="s">
        <v>3015</v>
      </c>
      <c r="E103" s="317">
        <v>70</v>
      </c>
      <c r="F103" s="318">
        <v>4180</v>
      </c>
      <c r="G103" s="319">
        <v>292600</v>
      </c>
      <c r="H103" s="320" t="s">
        <v>3013</v>
      </c>
    </row>
    <row r="104" spans="1:8" x14ac:dyDescent="0.25">
      <c r="A104" s="320">
        <v>15</v>
      </c>
      <c r="B104" s="316" t="s">
        <v>91</v>
      </c>
      <c r="C104" s="316" t="s">
        <v>660</v>
      </c>
      <c r="D104" s="316" t="s">
        <v>3016</v>
      </c>
      <c r="E104" s="317">
        <v>2</v>
      </c>
      <c r="F104" s="318">
        <v>2200</v>
      </c>
      <c r="G104" s="319">
        <v>4400</v>
      </c>
      <c r="H104" s="320" t="s">
        <v>3013</v>
      </c>
    </row>
    <row r="105" spans="1:8" x14ac:dyDescent="0.25">
      <c r="A105" s="320">
        <v>15</v>
      </c>
      <c r="B105" s="316" t="s">
        <v>91</v>
      </c>
      <c r="C105" s="316" t="s">
        <v>556</v>
      </c>
      <c r="D105" s="316" t="s">
        <v>3017</v>
      </c>
      <c r="E105" s="317">
        <v>2</v>
      </c>
      <c r="F105" s="318">
        <v>9500</v>
      </c>
      <c r="G105" s="319">
        <v>19000</v>
      </c>
      <c r="H105" s="320" t="s">
        <v>3018</v>
      </c>
    </row>
    <row r="106" spans="1:8" x14ac:dyDescent="0.25">
      <c r="A106" s="320">
        <v>15</v>
      </c>
      <c r="B106" s="316" t="s">
        <v>1367</v>
      </c>
      <c r="C106" s="316" t="s">
        <v>3019</v>
      </c>
      <c r="D106" s="316" t="s">
        <v>3020</v>
      </c>
      <c r="E106" s="317">
        <v>2</v>
      </c>
      <c r="F106" s="318">
        <v>5000</v>
      </c>
      <c r="G106" s="319">
        <v>10000</v>
      </c>
      <c r="H106" s="320" t="s">
        <v>3018</v>
      </c>
    </row>
    <row r="107" spans="1:8" x14ac:dyDescent="0.25">
      <c r="A107" s="320">
        <v>16</v>
      </c>
      <c r="B107" s="316" t="s">
        <v>91</v>
      </c>
      <c r="C107" s="316" t="s">
        <v>556</v>
      </c>
      <c r="D107" s="316" t="s">
        <v>3021</v>
      </c>
      <c r="E107" s="317">
        <v>2</v>
      </c>
      <c r="F107" s="318">
        <v>9500</v>
      </c>
      <c r="G107" s="319">
        <v>19000</v>
      </c>
      <c r="H107" s="320" t="s">
        <v>3022</v>
      </c>
    </row>
    <row r="108" spans="1:8" x14ac:dyDescent="0.25">
      <c r="A108" s="320">
        <v>17</v>
      </c>
      <c r="B108" s="316" t="s">
        <v>91</v>
      </c>
      <c r="C108" s="316" t="s">
        <v>556</v>
      </c>
      <c r="D108" s="316" t="s">
        <v>3023</v>
      </c>
      <c r="E108" s="317">
        <v>2</v>
      </c>
      <c r="F108" s="318">
        <v>9500</v>
      </c>
      <c r="G108" s="319">
        <v>19000</v>
      </c>
      <c r="H108" s="320" t="s">
        <v>3024</v>
      </c>
    </row>
    <row r="109" spans="1:8" x14ac:dyDescent="0.25">
      <c r="A109" s="320">
        <v>17</v>
      </c>
      <c r="B109" s="316" t="s">
        <v>1367</v>
      </c>
      <c r="C109" s="316" t="s">
        <v>3019</v>
      </c>
      <c r="D109" s="316" t="s">
        <v>3025</v>
      </c>
      <c r="E109" s="317">
        <v>3</v>
      </c>
      <c r="F109" s="318">
        <v>5000</v>
      </c>
      <c r="G109" s="319">
        <v>15000</v>
      </c>
      <c r="H109" s="320" t="s">
        <v>3024</v>
      </c>
    </row>
    <row r="110" spans="1:8" x14ac:dyDescent="0.25">
      <c r="A110" s="320">
        <v>14</v>
      </c>
      <c r="B110" s="316" t="s">
        <v>91</v>
      </c>
      <c r="C110" s="316" t="s">
        <v>3026</v>
      </c>
      <c r="D110" s="316" t="s">
        <v>3027</v>
      </c>
      <c r="E110" s="317">
        <v>15</v>
      </c>
      <c r="F110" s="318">
        <v>3101.4</v>
      </c>
      <c r="G110" s="319">
        <v>46521</v>
      </c>
      <c r="H110" s="320" t="s">
        <v>655</v>
      </c>
    </row>
    <row r="111" spans="1:8" x14ac:dyDescent="0.25">
      <c r="A111" s="320">
        <v>14</v>
      </c>
      <c r="B111" s="316" t="s">
        <v>91</v>
      </c>
      <c r="C111" s="316" t="s">
        <v>3028</v>
      </c>
      <c r="D111" s="316" t="s">
        <v>3029</v>
      </c>
      <c r="E111" s="317">
        <v>40</v>
      </c>
      <c r="F111" s="318">
        <v>1600</v>
      </c>
      <c r="G111" s="319">
        <v>64000</v>
      </c>
      <c r="H111" s="320" t="s">
        <v>652</v>
      </c>
    </row>
    <row r="112" spans="1:8" x14ac:dyDescent="0.25">
      <c r="A112" s="320">
        <v>12</v>
      </c>
      <c r="B112" s="316" t="s">
        <v>91</v>
      </c>
      <c r="C112" s="316" t="s">
        <v>646</v>
      </c>
      <c r="D112" s="316" t="s">
        <v>3030</v>
      </c>
      <c r="E112" s="317">
        <v>4</v>
      </c>
      <c r="F112" s="318">
        <v>20750</v>
      </c>
      <c r="G112" s="319">
        <v>83000</v>
      </c>
      <c r="H112" s="320" t="s">
        <v>3004</v>
      </c>
    </row>
    <row r="113" spans="1:8" x14ac:dyDescent="0.25">
      <c r="A113" s="320">
        <v>7</v>
      </c>
      <c r="B113" s="316" t="s">
        <v>1102</v>
      </c>
      <c r="C113" s="316" t="s">
        <v>3031</v>
      </c>
      <c r="D113" s="316" t="s">
        <v>3032</v>
      </c>
      <c r="E113" s="317">
        <v>1</v>
      </c>
      <c r="F113" s="318">
        <v>649800</v>
      </c>
      <c r="G113" s="319">
        <v>649800</v>
      </c>
      <c r="H113" s="320" t="s">
        <v>2992</v>
      </c>
    </row>
    <row r="114" spans="1:8" x14ac:dyDescent="0.25">
      <c r="A114" s="320">
        <v>9</v>
      </c>
      <c r="B114" s="316" t="s">
        <v>1102</v>
      </c>
      <c r="C114" s="316" t="s">
        <v>3033</v>
      </c>
      <c r="D114" s="316" t="s">
        <v>3034</v>
      </c>
      <c r="E114" s="317">
        <v>1</v>
      </c>
      <c r="F114" s="318">
        <v>1572643</v>
      </c>
      <c r="G114" s="319">
        <v>1572643</v>
      </c>
      <c r="H114" s="320" t="s">
        <v>2996</v>
      </c>
    </row>
    <row r="115" spans="1:8" x14ac:dyDescent="0.25">
      <c r="A115" s="326">
        <v>18</v>
      </c>
      <c r="B115" s="322" t="s">
        <v>1114</v>
      </c>
      <c r="C115" s="322" t="s">
        <v>3035</v>
      </c>
      <c r="D115" s="322" t="s">
        <v>3036</v>
      </c>
      <c r="E115" s="323">
        <v>1</v>
      </c>
      <c r="F115" s="324">
        <v>69900</v>
      </c>
      <c r="G115" s="325">
        <v>69900</v>
      </c>
      <c r="H115" s="326" t="s">
        <v>1836</v>
      </c>
    </row>
    <row r="116" spans="1:8" x14ac:dyDescent="0.25">
      <c r="A116" s="326">
        <v>18</v>
      </c>
      <c r="B116" s="322" t="s">
        <v>91</v>
      </c>
      <c r="C116" s="322" t="s">
        <v>3037</v>
      </c>
      <c r="D116" s="322" t="s">
        <v>3038</v>
      </c>
      <c r="E116" s="323">
        <v>1</v>
      </c>
      <c r="F116" s="324">
        <v>24000</v>
      </c>
      <c r="G116" s="325">
        <v>24000</v>
      </c>
      <c r="H116" s="326" t="s">
        <v>693</v>
      </c>
    </row>
    <row r="117" spans="1:8" x14ac:dyDescent="0.25">
      <c r="A117" s="326">
        <v>17</v>
      </c>
      <c r="B117" s="322" t="s">
        <v>1505</v>
      </c>
      <c r="C117" s="322" t="s">
        <v>3039</v>
      </c>
      <c r="D117" s="322" t="s">
        <v>3040</v>
      </c>
      <c r="E117" s="323">
        <v>4</v>
      </c>
      <c r="F117" s="324">
        <v>1997</v>
      </c>
      <c r="G117" s="325">
        <v>7988</v>
      </c>
      <c r="H117" s="326" t="s">
        <v>1828</v>
      </c>
    </row>
    <row r="118" spans="1:8" x14ac:dyDescent="0.25">
      <c r="A118" s="326">
        <v>17</v>
      </c>
      <c r="B118" s="322" t="s">
        <v>91</v>
      </c>
      <c r="C118" s="322" t="s">
        <v>3037</v>
      </c>
      <c r="D118" s="322" t="s">
        <v>3041</v>
      </c>
      <c r="E118" s="323">
        <v>1</v>
      </c>
      <c r="F118" s="324">
        <v>29000</v>
      </c>
      <c r="G118" s="325">
        <v>29000</v>
      </c>
      <c r="H118" s="326" t="s">
        <v>677</v>
      </c>
    </row>
    <row r="119" spans="1:8" x14ac:dyDescent="0.25">
      <c r="A119" s="326">
        <v>16</v>
      </c>
      <c r="B119" s="322" t="s">
        <v>1592</v>
      </c>
      <c r="C119" s="322" t="s">
        <v>1791</v>
      </c>
      <c r="D119" s="322" t="s">
        <v>3042</v>
      </c>
      <c r="E119" s="323">
        <v>1</v>
      </c>
      <c r="F119" s="324">
        <v>69000</v>
      </c>
      <c r="G119" s="325">
        <v>69000</v>
      </c>
      <c r="H119" s="326" t="s">
        <v>391</v>
      </c>
    </row>
    <row r="120" spans="1:8" x14ac:dyDescent="0.25">
      <c r="A120" s="326">
        <v>16</v>
      </c>
      <c r="B120" s="322" t="s">
        <v>1461</v>
      </c>
      <c r="C120" s="322" t="s">
        <v>3043</v>
      </c>
      <c r="D120" s="322" t="s">
        <v>3044</v>
      </c>
      <c r="E120" s="323">
        <v>1</v>
      </c>
      <c r="F120" s="324">
        <v>109400</v>
      </c>
      <c r="G120" s="325">
        <v>109400</v>
      </c>
      <c r="H120" s="326" t="s">
        <v>1797</v>
      </c>
    </row>
    <row r="121" spans="1:8" x14ac:dyDescent="0.25">
      <c r="A121" s="326">
        <v>16</v>
      </c>
      <c r="B121" s="322" t="s">
        <v>91</v>
      </c>
      <c r="C121" s="322" t="s">
        <v>3037</v>
      </c>
      <c r="D121" s="322" t="s">
        <v>3045</v>
      </c>
      <c r="E121" s="323">
        <v>1</v>
      </c>
      <c r="F121" s="324">
        <v>34000</v>
      </c>
      <c r="G121" s="325">
        <v>34000</v>
      </c>
      <c r="H121" s="326" t="s">
        <v>669</v>
      </c>
    </row>
    <row r="122" spans="1:8" x14ac:dyDescent="0.25">
      <c r="A122" s="326">
        <v>16</v>
      </c>
      <c r="B122" s="322" t="s">
        <v>1077</v>
      </c>
      <c r="C122" s="322" t="s">
        <v>3046</v>
      </c>
      <c r="D122" s="322" t="s">
        <v>3047</v>
      </c>
      <c r="E122" s="323">
        <v>4.0519999999999996</v>
      </c>
      <c r="F122" s="324">
        <v>17500</v>
      </c>
      <c r="G122" s="325">
        <v>70910</v>
      </c>
      <c r="H122" s="326" t="s">
        <v>426</v>
      </c>
    </row>
    <row r="123" spans="1:8" x14ac:dyDescent="0.25">
      <c r="A123" s="326">
        <v>16</v>
      </c>
      <c r="B123" s="322" t="s">
        <v>1461</v>
      </c>
      <c r="C123" s="322" t="s">
        <v>3048</v>
      </c>
      <c r="D123" s="322" t="s">
        <v>3049</v>
      </c>
      <c r="E123" s="323">
        <v>3</v>
      </c>
      <c r="F123" s="324">
        <v>2300</v>
      </c>
      <c r="G123" s="325">
        <v>6900</v>
      </c>
      <c r="H123" s="326" t="s">
        <v>1803</v>
      </c>
    </row>
    <row r="124" spans="1:8" x14ac:dyDescent="0.25">
      <c r="A124" s="326">
        <v>15</v>
      </c>
      <c r="B124" s="322" t="s">
        <v>1592</v>
      </c>
      <c r="C124" s="322" t="s">
        <v>3050</v>
      </c>
      <c r="D124" s="322" t="s">
        <v>3051</v>
      </c>
      <c r="E124" s="323">
        <v>1</v>
      </c>
      <c r="F124" s="324">
        <v>3500</v>
      </c>
      <c r="G124" s="325">
        <v>3500</v>
      </c>
      <c r="H124" s="326" t="s">
        <v>1775</v>
      </c>
    </row>
    <row r="125" spans="1:8" x14ac:dyDescent="0.25">
      <c r="A125" s="326">
        <v>15</v>
      </c>
      <c r="B125" s="322" t="s">
        <v>1077</v>
      </c>
      <c r="C125" s="322" t="s">
        <v>3052</v>
      </c>
      <c r="D125" s="322" t="s">
        <v>3053</v>
      </c>
      <c r="E125" s="323">
        <v>1</v>
      </c>
      <c r="F125" s="324">
        <v>144700</v>
      </c>
      <c r="G125" s="325">
        <v>144700</v>
      </c>
      <c r="H125" s="326" t="s">
        <v>665</v>
      </c>
    </row>
    <row r="126" spans="1:8" x14ac:dyDescent="0.25">
      <c r="A126" s="326">
        <v>15</v>
      </c>
      <c r="B126" s="322" t="s">
        <v>1505</v>
      </c>
      <c r="C126" s="322" t="s">
        <v>3054</v>
      </c>
      <c r="D126" s="322" t="s">
        <v>3055</v>
      </c>
      <c r="E126" s="323">
        <v>1</v>
      </c>
      <c r="F126" s="324">
        <v>16550</v>
      </c>
      <c r="G126" s="325">
        <v>16550</v>
      </c>
      <c r="H126" s="326" t="s">
        <v>1771</v>
      </c>
    </row>
    <row r="127" spans="1:8" x14ac:dyDescent="0.25">
      <c r="A127" s="326">
        <v>15</v>
      </c>
      <c r="B127" s="322" t="s">
        <v>1367</v>
      </c>
      <c r="C127" s="322" t="s">
        <v>3056</v>
      </c>
      <c r="D127" s="322" t="s">
        <v>3057</v>
      </c>
      <c r="E127" s="323">
        <v>1</v>
      </c>
      <c r="F127" s="324">
        <v>14000</v>
      </c>
      <c r="G127" s="325">
        <v>14000</v>
      </c>
      <c r="H127" s="326" t="s">
        <v>419</v>
      </c>
    </row>
    <row r="128" spans="1:8" x14ac:dyDescent="0.25">
      <c r="A128" s="326">
        <v>15</v>
      </c>
      <c r="B128" s="322" t="s">
        <v>1510</v>
      </c>
      <c r="C128" s="322" t="s">
        <v>3058</v>
      </c>
      <c r="D128" s="322" t="s">
        <v>3059</v>
      </c>
      <c r="E128" s="323">
        <v>1</v>
      </c>
      <c r="F128" s="324">
        <v>11100</v>
      </c>
      <c r="G128" s="325">
        <v>11100</v>
      </c>
      <c r="H128" s="326" t="s">
        <v>1779</v>
      </c>
    </row>
    <row r="129" spans="1:8" x14ac:dyDescent="0.25">
      <c r="A129" s="326">
        <v>15</v>
      </c>
      <c r="B129" s="322" t="s">
        <v>1077</v>
      </c>
      <c r="C129" s="322" t="s">
        <v>3060</v>
      </c>
      <c r="D129" s="322" t="s">
        <v>3061</v>
      </c>
      <c r="E129" s="323">
        <v>10</v>
      </c>
      <c r="F129" s="324">
        <v>9000</v>
      </c>
      <c r="G129" s="325">
        <v>90000</v>
      </c>
      <c r="H129" s="326" t="s">
        <v>1782</v>
      </c>
    </row>
    <row r="130" spans="1:8" x14ac:dyDescent="0.25">
      <c r="A130" s="326">
        <v>15</v>
      </c>
      <c r="B130" s="322" t="s">
        <v>91</v>
      </c>
      <c r="C130" s="322" t="s">
        <v>3037</v>
      </c>
      <c r="D130" s="322" t="s">
        <v>3062</v>
      </c>
      <c r="E130" s="323">
        <v>1</v>
      </c>
      <c r="F130" s="324">
        <v>19000</v>
      </c>
      <c r="G130" s="325">
        <v>19000</v>
      </c>
      <c r="H130" s="326" t="s">
        <v>662</v>
      </c>
    </row>
    <row r="131" spans="1:8" x14ac:dyDescent="0.25">
      <c r="A131" s="326">
        <v>15</v>
      </c>
      <c r="B131" s="322" t="s">
        <v>1505</v>
      </c>
      <c r="C131" s="322" t="s">
        <v>3063</v>
      </c>
      <c r="D131" s="322" t="s">
        <v>3064</v>
      </c>
      <c r="E131" s="323">
        <v>1</v>
      </c>
      <c r="F131" s="324">
        <v>14200</v>
      </c>
      <c r="G131" s="325">
        <v>14200</v>
      </c>
      <c r="H131" s="326" t="s">
        <v>1785</v>
      </c>
    </row>
    <row r="132" spans="1:8" x14ac:dyDescent="0.25">
      <c r="A132" s="326">
        <v>15</v>
      </c>
      <c r="B132" s="322" t="s">
        <v>1082</v>
      </c>
      <c r="C132" s="322" t="s">
        <v>3065</v>
      </c>
      <c r="D132" s="322" t="s">
        <v>3066</v>
      </c>
      <c r="E132" s="323">
        <v>22</v>
      </c>
      <c r="F132" s="324">
        <v>1800</v>
      </c>
      <c r="G132" s="325">
        <v>39600</v>
      </c>
      <c r="H132" s="326" t="s">
        <v>810</v>
      </c>
    </row>
  </sheetData>
  <autoFilter ref="A1:H1" xr:uid="{00000000-0009-0000-0000-00000C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</vt:i4>
      </vt:variant>
    </vt:vector>
  </HeadingPairs>
  <TitlesOfParts>
    <vt:vector size="15" baseType="lpstr">
      <vt:lpstr>Dashboard</vt:lpstr>
      <vt:lpstr>Dashboard Ventas</vt:lpstr>
      <vt:lpstr>Dashboard Carnes</vt:lpstr>
      <vt:lpstr>Dashboard Bebidas</vt:lpstr>
      <vt:lpstr>Dashboard Nomina</vt:lpstr>
      <vt:lpstr>Detalle Ventas Septiembre 2026</vt:lpstr>
      <vt:lpstr>Detalle Compras Septiembre 2026</vt:lpstr>
      <vt:lpstr>Hoja2</vt:lpstr>
      <vt:lpstr>Auditoría Cuaderno vs Excel</vt:lpstr>
      <vt:lpstr>Auditoria libro de Caja</vt:lpstr>
      <vt:lpstr>Hoja1</vt:lpstr>
      <vt:lpstr>Facturas por Proveedor</vt:lpstr>
      <vt:lpstr>Agosto 2026</vt:lpstr>
      <vt:lpstr>Transacciones Repetidas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César Arango</dc:creator>
  <cp:lastModifiedBy>USUARIO</cp:lastModifiedBy>
  <cp:lastPrinted>2026-09-19T18:28:40Z</cp:lastPrinted>
  <dcterms:created xsi:type="dcterms:W3CDTF">2026-09-04T03:02:21Z</dcterms:created>
  <dcterms:modified xsi:type="dcterms:W3CDTF">2026-09-22T15:31:17Z</dcterms:modified>
</cp:coreProperties>
</file>