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lle Compras Agosto 2026" sheetId="2" state="visible" r:id="rId2"/>
    <sheet xmlns:r="http://schemas.openxmlformats.org/officeDocument/2006/relationships" name="Inventario Cierre Agosto 2026" sheetId="3" state="visible" r:id="rId3"/>
  </sheets>
  <definedNames>
    <definedName name="_xlnm.Print_Area" localSheetId="0">'Dashboard'!$B$2:$N$78</definedName>
    <definedName name="_xlnm._FilterDatabase" localSheetId="1" hidden="1">'Detalle Compras Agosto 2026'!$A$1:$G$910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0.0%"/>
    <numFmt numFmtId="166" formatCode="#,##0.0"/>
    <numFmt numFmtId="167" formatCode="\$#,##0.00"/>
    <numFmt numFmtId="168" formatCode="_-&quot;$&quot;\ * #,##0_-;\-&quot;$&quot;\ * #,##0_-;_-&quot;$&quot;\ * &quot;-&quot;??_-;_-@_-"/>
    <numFmt numFmtId="169" formatCode="_-&quot;$&quot;\ * #,##0.00_-;\-&quot;$&quot;\ * #,##0.00_-;_-&quot;$&quot;\ * &quot;-&quot;??_-;_-@_-"/>
  </numFmts>
  <fonts count="30">
    <font>
      <name val="Calibri"/>
      <charset val="1"/>
      <family val="2"/>
      <color theme="1"/>
      <sz val="11"/>
    </font>
    <font>
      <name val="Calibri"/>
      <charset val="1"/>
      <family val="2"/>
      <color theme="1"/>
      <sz val="11"/>
    </font>
    <font>
      <name val="Calibri"/>
      <b val="1"/>
      <color rgb="FFFFFFFF"/>
      <sz val="16"/>
    </font>
    <font>
      <name val="Calibri"/>
      <i val="1"/>
      <color rgb="FFFFFFFF"/>
      <sz val="10"/>
    </font>
    <font>
      <name val="Calibri"/>
      <b val="1"/>
      <color rgb="FF595959"/>
      <sz val="9"/>
    </font>
    <font>
      <name val="Calibri"/>
      <b val="1"/>
      <color rgb="FF1B365D"/>
      <sz val="18"/>
    </font>
    <font>
      <name val="Calibri"/>
      <i val="1"/>
      <color rgb="FF7F7F7F"/>
      <sz val="9"/>
    </font>
    <font>
      <name val="Calibri"/>
      <b val="1"/>
      <color rgb="FF2E75B6"/>
      <sz val="18"/>
    </font>
    <font>
      <name val="Calibri"/>
      <b val="1"/>
      <color rgb="FFC00000"/>
      <sz val="18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B365D"/>
      <sz val="10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E2E8F0"/>
      <sz val="11"/>
    </font>
    <font>
      <name val="Calibri"/>
      <b val="1"/>
      <color rgb="FF1B365D"/>
      <sz val="13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i val="1"/>
      <sz val="10"/>
    </font>
    <font>
      <name val="Calibri"/>
      <b val="1"/>
      <color rgb="FF1B365D"/>
      <sz val="10"/>
    </font>
    <font>
      <name val="Calibri"/>
      <b val="1"/>
      <color rgb="FF1B365D"/>
      <sz val="11"/>
    </font>
    <font>
      <name val="Calibri"/>
      <b val="1"/>
      <color rgb="FFFFFFFF"/>
      <sz val="12"/>
    </font>
    <font>
      <name val="Calibri"/>
      <family val="2"/>
      <b val="1"/>
      <color theme="0"/>
      <sz val="9"/>
    </font>
    <font>
      <name val="Calibri"/>
      <family val="2"/>
      <color theme="0"/>
      <sz val="11"/>
    </font>
    <font>
      <name val="Calibri"/>
      <family val="2"/>
      <b val="1"/>
      <color rgb="FFFFFFFF"/>
      <sz val="11"/>
    </font>
  </fonts>
  <fills count="2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2F4F8"/>
        <bgColor rgb="FFF2F4F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AEEF3"/>
        <bgColor rgb="FFEAEEF3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1B365D"/>
        <bgColor rgb="FF1B365D"/>
      </patternFill>
    </fill>
    <fill>
      <patternFill patternType="solid">
        <fgColor rgb="FF0B2240"/>
        <bgColor rgb="FF0B2240"/>
      </patternFill>
    </fill>
    <fill>
      <patternFill patternType="solid">
        <fgColor rgb="FFD4AF37"/>
        <bgColor rgb="FFD4AF37"/>
      </patternFill>
    </fill>
    <fill>
      <patternFill patternType="solid">
        <fgColor rgb="FFF1F5F9"/>
        <bgColor rgb="FFF1F5F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1B365D"/>
        <bgColor rgb="FF1B365D"/>
      </patternFill>
    </fill>
    <fill>
      <patternFill patternType="solid">
        <fgColor rgb="FF334D6E"/>
        <bgColor rgb="FF334D6E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9ECEF"/>
        <bgColor rgb="FFE9ECEF"/>
      </patternFill>
    </fill>
  </fills>
  <borders count="2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medium">
        <color rgb="FF1B365D"/>
      </top>
      <bottom style="double">
        <color rgb="FF1B365D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medium">
        <color rgb="FF1B365D"/>
      </bottom>
      <diagonal/>
    </border>
    <border>
      <left/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/>
      <right/>
      <top style="medium">
        <color rgb="FF1B365D"/>
      </top>
      <bottom/>
      <diagonal/>
    </border>
    <border>
      <left/>
      <right style="thin">
        <color rgb="FFCBD5E1"/>
      </right>
      <top style="medium">
        <color rgb="FF1B365D"/>
      </top>
      <bottom/>
      <diagonal/>
    </border>
    <border>
      <left/>
      <right/>
      <top style="medium">
        <color rgb="FF1B365D"/>
      </top>
      <bottom style="double">
        <color rgb="FF1B365D"/>
      </bottom>
      <diagonal/>
    </border>
    <border>
      <left/>
      <right style="thin">
        <color rgb="FFCBD5E1"/>
      </right>
      <top style="medium">
        <color rgb="FF1B365D"/>
      </top>
      <bottom style="double">
        <color rgb="FF1B365D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1" fillId="0" borderId="0"/>
    <xf numFmtId="44" fontId="1" fillId="0" borderId="0"/>
  </cellStyleXfs>
  <cellXfs count="170">
    <xf numFmtId="0" fontId="0" fillId="0" borderId="0" pivotButton="0" quotePrefix="0" xfId="0"/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5" borderId="1" pivotButton="0" quotePrefix="0" xfId="0"/>
    <xf numFmtId="0" fontId="12" fillId="0" borderId="1" pivotButton="0" quotePrefix="0" xfId="0"/>
    <xf numFmtId="3" fontId="13" fillId="0" borderId="1" applyAlignment="1" pivotButton="0" quotePrefix="0" xfId="0">
      <alignment horizontal="center"/>
    </xf>
    <xf numFmtId="164" fontId="11" fillId="5" borderId="1" applyAlignment="1" pivotButton="0" quotePrefix="0" xfId="0">
      <alignment horizontal="right"/>
    </xf>
    <xf numFmtId="165" fontId="11" fillId="5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0" fontId="14" fillId="6" borderId="1" pivotButton="0" quotePrefix="0" xfId="0"/>
    <xf numFmtId="164" fontId="14" fillId="6" borderId="1" applyAlignment="1" pivotButton="0" quotePrefix="0" xfId="0">
      <alignment horizontal="right"/>
    </xf>
    <xf numFmtId="165" fontId="14" fillId="6" borderId="1" applyAlignment="1" pivotButton="0" quotePrefix="0" xfId="0">
      <alignment horizontal="right"/>
    </xf>
    <xf numFmtId="0" fontId="13" fillId="7" borderId="2" pivotButton="0" quotePrefix="0" xfId="0"/>
    <xf numFmtId="0" fontId="6" fillId="7" borderId="2" pivotButton="0" quotePrefix="0" xfId="0"/>
    <xf numFmtId="3" fontId="13" fillId="7" borderId="2" applyAlignment="1" pivotButton="0" quotePrefix="0" xfId="0">
      <alignment horizontal="center"/>
    </xf>
    <xf numFmtId="164" fontId="13" fillId="7" borderId="2" applyAlignment="1" pivotButton="0" quotePrefix="0" xfId="0">
      <alignment horizontal="right"/>
    </xf>
    <xf numFmtId="165" fontId="13" fillId="7" borderId="2" applyAlignment="1" pivotButton="0" quotePrefix="0" xfId="0">
      <alignment horizontal="right"/>
    </xf>
    <xf numFmtId="0" fontId="13" fillId="8" borderId="1" pivotButton="0" quotePrefix="0" xfId="0"/>
    <xf numFmtId="0" fontId="11" fillId="8" borderId="1" pivotButton="0" quotePrefix="0" xfId="0"/>
    <xf numFmtId="3" fontId="12" fillId="8" borderId="1" applyAlignment="1" pivotButton="0" quotePrefix="0" xfId="0">
      <alignment horizontal="center"/>
    </xf>
    <xf numFmtId="164" fontId="13" fillId="8" borderId="1" applyAlignment="1" pivotButton="0" quotePrefix="0" xfId="0">
      <alignment horizontal="right"/>
    </xf>
    <xf numFmtId="165" fontId="13" fillId="8" borderId="1" applyAlignment="1" pivotButton="0" quotePrefix="0" xfId="0">
      <alignment horizontal="right"/>
    </xf>
    <xf numFmtId="164" fontId="12" fillId="8" borderId="1" applyAlignment="1" pivotButton="0" quotePrefix="0" xfId="0">
      <alignment horizontal="right"/>
    </xf>
    <xf numFmtId="0" fontId="13" fillId="6" borderId="1" pivotButton="0" quotePrefix="0" xfId="0"/>
    <xf numFmtId="3" fontId="12" fillId="6" borderId="1" applyAlignment="1" pivotButton="0" quotePrefix="0" xfId="0">
      <alignment horizontal="center"/>
    </xf>
    <xf numFmtId="164" fontId="13" fillId="6" borderId="1" applyAlignment="1" pivotButton="0" quotePrefix="0" xfId="0">
      <alignment horizontal="right"/>
    </xf>
    <xf numFmtId="165" fontId="13" fillId="6" borderId="1" applyAlignment="1" pivotButton="0" quotePrefix="0" xfId="0">
      <alignment horizontal="right"/>
    </xf>
    <xf numFmtId="164" fontId="12" fillId="6" borderId="1" applyAlignment="1" pivotButton="0" quotePrefix="0" xfId="0">
      <alignment horizontal="right"/>
    </xf>
    <xf numFmtId="0" fontId="12" fillId="8" borderId="1" pivotButton="0" quotePrefix="0" xfId="0"/>
    <xf numFmtId="165" fontId="12" fillId="8" borderId="1" applyAlignment="1" pivotButton="0" quotePrefix="0" xfId="0">
      <alignment horizontal="right"/>
    </xf>
    <xf numFmtId="0" fontId="11" fillId="0" borderId="1" pivotButton="0" quotePrefix="0" xfId="0"/>
    <xf numFmtId="3" fontId="12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right"/>
    </xf>
    <xf numFmtId="0" fontId="10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164" fontId="12" fillId="5" borderId="1" applyAlignment="1" pivotButton="0" quotePrefix="0" xfId="0">
      <alignment horizontal="right"/>
    </xf>
    <xf numFmtId="164" fontId="13" fillId="4" borderId="1" applyAlignment="1" pivotButton="0" quotePrefix="0" xfId="0">
      <alignment horizontal="right"/>
    </xf>
    <xf numFmtId="0" fontId="13" fillId="8" borderId="1" applyAlignment="1" pivotButton="0" quotePrefix="0" xfId="0">
      <alignment horizontal="center"/>
    </xf>
    <xf numFmtId="164" fontId="11" fillId="7" borderId="2" applyAlignment="1" pivotButton="0" quotePrefix="0" xfId="0">
      <alignment horizontal="right"/>
    </xf>
    <xf numFmtId="164" fontId="14" fillId="7" borderId="2" applyAlignment="1" pivotButton="0" quotePrefix="0" xfId="0">
      <alignment horizontal="right"/>
    </xf>
    <xf numFmtId="165" fontId="11" fillId="7" borderId="2" applyAlignment="1" pivotButton="0" quotePrefix="0" xfId="0">
      <alignment horizontal="right"/>
    </xf>
    <xf numFmtId="165" fontId="14" fillId="7" borderId="2" applyAlignment="1" pivotButton="0" quotePrefix="0" xfId="0">
      <alignment horizontal="right"/>
    </xf>
    <xf numFmtId="0" fontId="13" fillId="4" borderId="1" applyAlignment="1" pivotButton="0" quotePrefix="0" xfId="0">
      <alignment horizontal="center"/>
    </xf>
    <xf numFmtId="165" fontId="13" fillId="4" borderId="1" applyAlignment="1" pivotButton="0" quotePrefix="0" xfId="0">
      <alignment horizontal="right"/>
    </xf>
    <xf numFmtId="164" fontId="12" fillId="4" borderId="1" applyAlignment="1" pivotButton="0" quotePrefix="0" xfId="0">
      <alignment horizontal="right"/>
    </xf>
    <xf numFmtId="166" fontId="12" fillId="4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164" fontId="13" fillId="9" borderId="1" applyAlignment="1" pivotButton="0" quotePrefix="0" xfId="0">
      <alignment horizontal="right"/>
    </xf>
    <xf numFmtId="0" fontId="0" fillId="9" borderId="1" applyAlignment="1" pivotButton="0" quotePrefix="0" xfId="0">
      <alignment horizontal="center"/>
    </xf>
    <xf numFmtId="164" fontId="12" fillId="9" borderId="1" applyAlignment="1" pivotButton="0" quotePrefix="0" xfId="0">
      <alignment horizontal="right"/>
    </xf>
    <xf numFmtId="3" fontId="12" fillId="9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12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left"/>
    </xf>
    <xf numFmtId="0" fontId="15" fillId="10" borderId="0" applyAlignment="1" pivotButton="0" quotePrefix="0" xfId="0">
      <alignment horizontal="center" vertical="center"/>
    </xf>
    <xf numFmtId="2" fontId="15" fillId="10" borderId="0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6" fillId="0" borderId="5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/>
    </xf>
    <xf numFmtId="4" fontId="16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7" fontId="16" fillId="0" borderId="5" applyAlignment="1" pivotButton="0" quotePrefix="0" xfId="0">
      <alignment horizontal="center" vertical="center"/>
    </xf>
    <xf numFmtId="3" fontId="17" fillId="0" borderId="5" applyAlignment="1" pivotButton="0" quotePrefix="0" xfId="0">
      <alignment horizontal="center" vertical="center"/>
    </xf>
    <xf numFmtId="164" fontId="17" fillId="0" borderId="5" applyAlignment="1" pivotButton="0" quotePrefix="0" xfId="0">
      <alignment horizontal="center" vertical="center"/>
    </xf>
    <xf numFmtId="4" fontId="17" fillId="0" borderId="5" applyAlignment="1" pivotButton="0" quotePrefix="0" xfId="0">
      <alignment horizontal="center" vertical="center"/>
    </xf>
    <xf numFmtId="167" fontId="17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4" fontId="17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68" fontId="0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center" vertical="center"/>
    </xf>
    <xf numFmtId="1" fontId="1" fillId="0" borderId="5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4" fontId="1" fillId="0" borderId="5" applyAlignment="1" pivotButton="0" quotePrefix="0" xfId="0">
      <alignment horizontal="center" vertical="center"/>
    </xf>
    <xf numFmtId="4" fontId="16" fillId="0" borderId="0" applyAlignment="1" pivotButton="0" quotePrefix="0" xfId="0">
      <alignment horizontal="center" vertical="center"/>
    </xf>
    <xf numFmtId="167" fontId="16" fillId="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2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/>
    </xf>
    <xf numFmtId="0" fontId="23" fillId="18" borderId="6" applyAlignment="1" pivotButton="0" quotePrefix="0" xfId="0">
      <alignment horizontal="left"/>
    </xf>
    <xf numFmtId="0" fontId="13" fillId="18" borderId="6" applyAlignment="1" pivotButton="0" quotePrefix="0" xfId="0">
      <alignment horizontal="left"/>
    </xf>
    <xf numFmtId="3" fontId="13" fillId="18" borderId="6" applyAlignment="1" pivotButton="0" quotePrefix="0" xfId="0">
      <alignment horizontal="right"/>
    </xf>
    <xf numFmtId="164" fontId="12" fillId="18" borderId="6" applyAlignment="1" pivotButton="0" quotePrefix="0" xfId="0">
      <alignment horizontal="right"/>
    </xf>
    <xf numFmtId="167" fontId="13" fillId="18" borderId="6" applyAlignment="1" pivotButton="0" quotePrefix="0" xfId="0">
      <alignment horizontal="right"/>
    </xf>
    <xf numFmtId="0" fontId="12" fillId="19" borderId="6" applyAlignment="1" pivotButton="0" quotePrefix="0" xfId="0">
      <alignment horizontal="center"/>
    </xf>
    <xf numFmtId="0" fontId="23" fillId="19" borderId="6" applyAlignment="1" pivotButton="0" quotePrefix="0" xfId="0">
      <alignment horizontal="left"/>
    </xf>
    <xf numFmtId="0" fontId="13" fillId="19" borderId="6" applyAlignment="1" pivotButton="0" quotePrefix="0" xfId="0">
      <alignment horizontal="left"/>
    </xf>
    <xf numFmtId="3" fontId="13" fillId="19" borderId="6" applyAlignment="1" pivotButton="0" quotePrefix="0" xfId="0">
      <alignment horizontal="right"/>
    </xf>
    <xf numFmtId="164" fontId="12" fillId="19" borderId="6" applyAlignment="1" pivotButton="0" quotePrefix="0" xfId="0">
      <alignment horizontal="right"/>
    </xf>
    <xf numFmtId="167" fontId="13" fillId="19" borderId="6" applyAlignment="1" pivotButton="0" quotePrefix="0" xfId="0">
      <alignment horizontal="right"/>
    </xf>
    <xf numFmtId="166" fontId="13" fillId="18" borderId="6" applyAlignment="1" pivotButton="0" quotePrefix="0" xfId="0">
      <alignment horizontal="right"/>
    </xf>
    <xf numFmtId="167" fontId="12" fillId="19" borderId="6" applyAlignment="1" pivotButton="0" quotePrefix="0" xfId="0">
      <alignment horizontal="right"/>
    </xf>
    <xf numFmtId="167" fontId="12" fillId="18" borderId="6" applyAlignment="1" pivotButton="0" quotePrefix="0" xfId="0">
      <alignment horizontal="right"/>
    </xf>
    <xf numFmtId="167" fontId="25" fillId="20" borderId="7" applyAlignment="1" pivotButton="0" quotePrefix="0" xfId="0">
      <alignment horizontal="right" vertical="center"/>
    </xf>
    <xf numFmtId="166" fontId="13" fillId="19" borderId="6" applyAlignment="1" pivotButton="0" quotePrefix="0" xfId="0">
      <alignment horizontal="right"/>
    </xf>
    <xf numFmtId="167" fontId="26" fillId="16" borderId="8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8" fillId="6" borderId="5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5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4" fillId="6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164" fontId="7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18" fillId="11" borderId="0" applyAlignment="1" pivotButton="0" quotePrefix="0" xfId="0">
      <alignment horizontal="center" vertical="center"/>
    </xf>
    <xf numFmtId="0" fontId="27" fillId="15" borderId="6" applyAlignment="1" pivotButton="0" quotePrefix="0" xfId="0">
      <alignment horizontal="center"/>
    </xf>
    <xf numFmtId="0" fontId="28" fillId="0" borderId="6" pivotButton="0" quotePrefix="0" xfId="0"/>
    <xf numFmtId="0" fontId="27" fillId="14" borderId="6" applyAlignment="1" pivotButton="0" quotePrefix="0" xfId="0">
      <alignment horizontal="center"/>
    </xf>
    <xf numFmtId="0" fontId="19" fillId="11" borderId="0" applyAlignment="1" pivotButton="0" quotePrefix="0" xfId="0">
      <alignment horizontal="center" vertical="center"/>
    </xf>
    <xf numFmtId="164" fontId="20" fillId="13" borderId="6" applyAlignment="1" pivotButton="0" quotePrefix="0" xfId="0">
      <alignment horizontal="center" vertical="center"/>
    </xf>
    <xf numFmtId="0" fontId="0" fillId="0" borderId="6" pivotButton="0" quotePrefix="0" xfId="0"/>
    <xf numFmtId="0" fontId="27" fillId="16" borderId="6" applyAlignment="1" pivotButton="0" quotePrefix="0" xfId="0">
      <alignment horizontal="center"/>
    </xf>
    <xf numFmtId="0" fontId="24" fillId="20" borderId="7" applyAlignment="1" pivotButton="0" quotePrefix="0" xfId="0">
      <alignment horizontal="right" vertical="center"/>
    </xf>
    <xf numFmtId="0" fontId="0" fillId="20" borderId="7" pivotButton="0" quotePrefix="0" xfId="0"/>
    <xf numFmtId="0" fontId="21" fillId="16" borderId="8" applyAlignment="1" pivotButton="0" quotePrefix="0" xfId="0">
      <alignment horizontal="right" vertical="center"/>
    </xf>
    <xf numFmtId="0" fontId="0" fillId="16" borderId="8" pivotButton="0" quotePrefix="0" xfId="0"/>
    <xf numFmtId="0" fontId="29" fillId="14" borderId="0" applyAlignment="1" pivotButton="0" quotePrefix="0" xfId="0">
      <alignment horizontal="left" vertical="center" indent="1"/>
    </xf>
    <xf numFmtId="0" fontId="27" fillId="12" borderId="6" applyAlignment="1" pivotButton="0" quotePrefix="0" xfId="0">
      <alignment horizontal="center"/>
    </xf>
    <xf numFmtId="0" fontId="21" fillId="12" borderId="0" applyAlignment="1" pivotButton="0" quotePrefix="0" xfId="0">
      <alignment horizontal="left" vertical="center" indent="1"/>
    </xf>
    <xf numFmtId="0" fontId="21" fillId="15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169" fontId="1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4" fontId="17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67" fontId="1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left" vertical="center"/>
    </xf>
    <xf numFmtId="4" fontId="16" fillId="0" borderId="0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9" fontId="1" fillId="0" borderId="0" pivotButton="0" quotePrefix="0" xfId="1"/>
    <xf numFmtId="169" fontId="0" fillId="0" borderId="0" pivotButton="0" quotePrefix="0" xfId="0"/>
    <xf numFmtId="169" fontId="1" fillId="0" borderId="0" pivotButton="0" quotePrefix="0" xfId="1"/>
    <xf numFmtId="169" fontId="0" fillId="0" borderId="0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CO"/>
              <a:t>Egresos por Categoría (Agosto 2026)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Dashboard!$E$16</f>
              <strCache>
                <ptCount val="1"/>
                <pt idx="0">
                  <v>Total Mes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Dashboard!$B$17:$B$22</f>
              <strCache>
                <ptCount val="6"/>
                <pt idx="0">
                  <v>Carnes</v>
                </pt>
                <pt idx="1">
                  <v>Servicios</v>
                </pt>
                <pt idx="2">
                  <v>Desechables</v>
                </pt>
                <pt idx="3">
                  <v>Verduras</v>
                </pt>
                <pt idx="4">
                  <v>Grano</v>
                </pt>
                <pt idx="5">
                  <v>Bebidas</v>
                </pt>
              </strCache>
            </strRef>
          </cat>
          <val>
            <numRef>
              <f>Dashboard!$E$17:$E$22</f>
              <numCache>
                <formatCode>\$#,##0</formatCode>
                <ptCount val="6"/>
                <pt idx="0">
                  <v>70467164.11</v>
                </pt>
                <pt idx="1">
                  <v>49711531.38</v>
                </pt>
                <pt idx="2">
                  <v>3960348.43</v>
                </pt>
                <pt idx="3">
                  <v>15215971.2</v>
                </pt>
                <pt idx="4">
                  <v>5699539</v>
                </pt>
                <pt idx="5">
                  <v>9318855.810000001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O"/>
                  <a:t>Categoría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O"/>
                  <a:t>Valor ($ COP)</a:t>
                </a:r>
              </a:p>
            </rich>
          </tx>
          <overlay val="0"/>
        </title>
        <numFmt formatCode="\$#,##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176482</colOff>
      <row>8</row>
      <rowOff>7421</rowOff>
    </from>
    <ext cx="6031577" cy="276416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8"/>
  <sheetViews>
    <sheetView topLeftCell="A4" zoomScale="85" zoomScaleNormal="85" workbookViewId="0">
      <selection activeCell="E23" sqref="E23"/>
    </sheetView>
  </sheetViews>
  <sheetFormatPr baseColWidth="10" defaultColWidth="8.7265625" defaultRowHeight="14.5"/>
  <cols>
    <col width="2" customWidth="1" style="111" min="1" max="1"/>
    <col width="15.6328125" customWidth="1" style="111" min="2" max="2"/>
    <col width="18" customWidth="1" style="111" min="3" max="3"/>
    <col width="14" customWidth="1" style="111" min="4" max="4"/>
    <col width="14" bestFit="1" customWidth="1" style="111" min="5" max="5"/>
    <col width="12" customWidth="1" style="111" min="6" max="6"/>
    <col width="14" bestFit="1" customWidth="1" style="111" min="7" max="7"/>
    <col width="13" customWidth="1" style="111" min="8" max="13"/>
    <col width="11" customWidth="1" style="111" min="14" max="14"/>
    <col width="2" customWidth="1" style="111" min="15" max="15"/>
  </cols>
  <sheetData>
    <row r="1" ht="8" customHeight="1" s="111"/>
    <row r="2" ht="26" customHeight="1" s="111">
      <c r="B2" s="110" t="inlineStr">
        <is>
          <t>RESTAURANTE CHOCLOS Y ASADOS LA FINCA</t>
        </is>
      </c>
    </row>
    <row r="3" ht="18" customHeight="1" s="111">
      <c r="B3" s="116" t="inlineStr">
        <is>
          <t>DASHBOARD GERENCIAL DE COSTOS Y GASTOS - INFORME MENSUAL Y DIARIO AGOSTO 2026</t>
        </is>
      </c>
    </row>
    <row r="4" ht="10" customHeight="1" s="111"/>
    <row r="5" ht="16" customHeight="1" s="111">
      <c r="B5" s="119" t="inlineStr">
        <is>
          <t>TOTAL COMPRAS Y EGRESOS</t>
        </is>
      </c>
      <c r="C5" s="113" t="n"/>
      <c r="D5" s="114" t="n"/>
      <c r="E5" s="112" t="inlineStr">
        <is>
          <t>TOTAL COSTOS DIRECTOS</t>
        </is>
      </c>
      <c r="F5" s="113" t="n"/>
      <c r="G5" s="114" t="n"/>
      <c r="H5" s="121" t="inlineStr">
        <is>
          <t>TOTAL GASTOS OPERACIONALES</t>
        </is>
      </c>
      <c r="I5" s="113" t="n"/>
      <c r="J5" s="114" t="n"/>
      <c r="K5" s="119" t="inlineStr">
        <is>
          <t>PROMEDIO DIARIO TOTAL</t>
        </is>
      </c>
      <c r="L5" s="113" t="n"/>
      <c r="M5" s="113" t="n"/>
      <c r="N5" s="114" t="n"/>
    </row>
    <row r="6" ht="28" customHeight="1" s="111">
      <c r="B6" s="117">
        <f>E59</f>
        <v/>
      </c>
      <c r="C6" s="113" t="n"/>
      <c r="D6" s="114" t="n"/>
      <c r="E6" s="123">
        <f>C59</f>
        <v/>
      </c>
      <c r="F6" s="113" t="n"/>
      <c r="G6" s="114" t="n"/>
      <c r="H6" s="115">
        <f>D59</f>
        <v/>
      </c>
      <c r="I6" s="113" t="n"/>
      <c r="J6" s="114" t="n"/>
      <c r="K6" s="117">
        <f>E60</f>
        <v/>
      </c>
      <c r="L6" s="113" t="n"/>
      <c r="M6" s="113" t="n"/>
      <c r="N6" s="114" t="n"/>
    </row>
    <row r="7" ht="16" customHeight="1" s="111">
      <c r="B7" s="122" t="inlineStr">
        <is>
          <t>100% Consolidado del Mes</t>
        </is>
      </c>
      <c r="C7" s="113" t="n"/>
      <c r="D7" s="114" t="n"/>
      <c r="E7" s="118">
        <f>TEXT(C59/E59,"0.0%") &amp; " del Total (Materia Prima/Insumos)"</f>
        <v/>
      </c>
      <c r="F7" s="113" t="n"/>
      <c r="G7" s="114" t="n"/>
      <c r="H7" s="124">
        <f>TEXT(D59/E59,"0.0%") &amp; " del Total (Servicios/Nómina)"</f>
        <v/>
      </c>
      <c r="I7" s="113" t="n"/>
      <c r="J7" s="114" t="n"/>
      <c r="K7" s="122">
        <f>"Costo Prom: " &amp; TEXT(C60,"$#,##0") &amp; " | Gasto Prom: " &amp; TEXT(D60,"$#,##0")</f>
        <v/>
      </c>
      <c r="L7" s="113" t="n"/>
      <c r="M7" s="113" t="n"/>
      <c r="N7" s="114" t="n"/>
    </row>
    <row r="8" ht="10" customHeight="1" s="111"/>
    <row r="9">
      <c r="B9" s="120" t="inlineStr">
        <is>
          <t>1. CLASIFICACIÓN GERENCIAL: COSTOS DIRECTOS VS GASTOS OPERACIONALES</t>
        </is>
      </c>
    </row>
    <row r="10">
      <c r="B10" s="1" t="inlineStr">
        <is>
          <t>Tipo</t>
        </is>
      </c>
      <c r="C10" s="1" t="inlineStr">
        <is>
          <t>Naturaleza / Componentes</t>
        </is>
      </c>
      <c r="D10" s="2" t="inlineStr">
        <is>
          <t>Registros</t>
        </is>
      </c>
      <c r="E10" s="2" t="inlineStr">
        <is>
          <t>Total Mes ($)</t>
        </is>
      </c>
      <c r="F10" s="2" t="inlineStr">
        <is>
          <t>% Total</t>
        </is>
      </c>
      <c r="G10" s="2" t="inlineStr">
        <is>
          <t>Promedio Diario</t>
        </is>
      </c>
    </row>
    <row r="11">
      <c r="B11" s="3" t="inlineStr">
        <is>
          <t>Costos Directos (COGS)</t>
        </is>
      </c>
      <c r="C11" s="4" t="inlineStr">
        <is>
          <t>Materia Prima (Carnes, Verduras, Grano, Bebidas, Desechables)</t>
        </is>
      </c>
      <c r="D11" s="5">
        <f>COUNTIF('Detalle Compras Agosto 2026'!$B:$B,"&lt;&gt;Servicios")-1</f>
        <v/>
      </c>
      <c r="E11" s="6">
        <f>C59</f>
        <v/>
      </c>
      <c r="F11" s="7">
        <f>E11/$E$13</f>
        <v/>
      </c>
      <c r="G11" s="8">
        <f>E11/COUNTIF($E$28:$E$58,"&gt;0")</f>
        <v/>
      </c>
    </row>
    <row r="12">
      <c r="B12" s="9" t="inlineStr">
        <is>
          <t>Gastos Operacionales</t>
        </is>
      </c>
      <c r="C12" s="4" t="inlineStr">
        <is>
          <t>Servicios Públicos, Nómina, Turnos, Mantenimiento, Taxis</t>
        </is>
      </c>
      <c r="D12" s="5">
        <f>COUNTIF('Detalle Compras Agosto 2026'!$B:$B,"Servicios")</f>
        <v/>
      </c>
      <c r="E12" s="10">
        <f>D59</f>
        <v/>
      </c>
      <c r="F12" s="11">
        <f>E12/$E$13</f>
        <v/>
      </c>
      <c r="G12" s="8">
        <f>E12/COUNTIF($E$28:$E$58,"&gt;0")</f>
        <v/>
      </c>
    </row>
    <row r="13">
      <c r="B13" s="12" t="inlineStr">
        <is>
          <t>TOTAL CONSOLIDADO MES</t>
        </is>
      </c>
      <c r="C13" s="13" t="inlineStr">
        <is>
          <t>100% Egresos Registrados en Agosto</t>
        </is>
      </c>
      <c r="D13" s="14">
        <f>SUM(D11:D12)</f>
        <v/>
      </c>
      <c r="E13" s="15">
        <f>SUM(E11:E12)</f>
        <v/>
      </c>
      <c r="F13" s="16">
        <f>SUM(F11:F12)</f>
        <v/>
      </c>
      <c r="G13" s="15">
        <f>SUM(G11:G12)</f>
        <v/>
      </c>
    </row>
    <row r="14" ht="8" customHeight="1" s="111"/>
    <row r="15">
      <c r="B15" s="120" t="inlineStr">
        <is>
          <t>2. ESTRUCTURA DE COSTOS Y GASTOS POR CATEGORÍA</t>
        </is>
      </c>
    </row>
    <row r="16">
      <c r="B16" s="1" t="inlineStr">
        <is>
          <t>Categoría</t>
        </is>
      </c>
      <c r="C16" s="1" t="inlineStr">
        <is>
          <t>Tipo Contable</t>
        </is>
      </c>
      <c r="D16" s="2" t="inlineStr">
        <is>
          <t>N° Compras</t>
        </is>
      </c>
      <c r="E16" s="2" t="inlineStr">
        <is>
          <t>Total Mes ($)</t>
        </is>
      </c>
      <c r="F16" s="2" t="inlineStr">
        <is>
          <t>% Total</t>
        </is>
      </c>
      <c r="G16" s="2" t="inlineStr">
        <is>
          <t>Promedio Diario</t>
        </is>
      </c>
    </row>
    <row r="17">
      <c r="B17" s="17" t="inlineStr">
        <is>
          <t>Carnes</t>
        </is>
      </c>
      <c r="C17" s="18" t="inlineStr">
        <is>
          <t>Costo Directo</t>
        </is>
      </c>
      <c r="D17" s="19">
        <f>COUNTIF('Detalle Compras Agosto 2026'!$B:$B,"Carnes")</f>
        <v/>
      </c>
      <c r="E17" s="20">
        <f>H59</f>
        <v/>
      </c>
      <c r="F17" s="21">
        <f>E17/$E$23</f>
        <v/>
      </c>
      <c r="G17" s="22">
        <f>E17/COUNTIF($E$28:$E$58,"&gt;0")</f>
        <v/>
      </c>
    </row>
    <row r="18">
      <c r="B18" s="23" t="inlineStr">
        <is>
          <t>Servicios</t>
        </is>
      </c>
      <c r="C18" s="9" t="inlineStr">
        <is>
          <t>Gasto Operacional</t>
        </is>
      </c>
      <c r="D18" s="24">
        <f>COUNTIF('Detalle Compras Agosto 2026'!$B:$B,"Servicios")</f>
        <v/>
      </c>
      <c r="E18" s="25">
        <f>M59</f>
        <v/>
      </c>
      <c r="F18" s="26">
        <f>E18/$E$23</f>
        <v/>
      </c>
      <c r="G18" s="27">
        <f>E18/COUNTIF($E$28:$E$58,"&gt;0")</f>
        <v/>
      </c>
    </row>
    <row r="19">
      <c r="B19" s="28" t="inlineStr">
        <is>
          <t>Desechables</t>
        </is>
      </c>
      <c r="C19" s="18" t="inlineStr">
        <is>
          <t>Costo Directo</t>
        </is>
      </c>
      <c r="D19" s="19">
        <f>COUNTIF('Detalle Compras Agosto 2026'!$B:$B,"Desechables")</f>
        <v/>
      </c>
      <c r="E19" s="22">
        <f>L59</f>
        <v/>
      </c>
      <c r="F19" s="29">
        <f>E19/$E$23</f>
        <v/>
      </c>
      <c r="G19" s="22">
        <f>E19/COUNTIF($E$28:$E$58,"&gt;0")</f>
        <v/>
      </c>
    </row>
    <row r="20">
      <c r="B20" s="4" t="inlineStr">
        <is>
          <t>Verduras</t>
        </is>
      </c>
      <c r="C20" s="30" t="inlineStr">
        <is>
          <t>Costo Directo</t>
        </is>
      </c>
      <c r="D20" s="31">
        <f>COUNTIF('Detalle Compras Agosto 2026'!$B:$B,"Verduras")</f>
        <v/>
      </c>
      <c r="E20" s="8">
        <f>I59</f>
        <v/>
      </c>
      <c r="F20" s="32">
        <f>E20/$E$23</f>
        <v/>
      </c>
      <c r="G20" s="8">
        <f>E20/COUNTIF($E$28:$E$58,"&gt;0")</f>
        <v/>
      </c>
    </row>
    <row r="21">
      <c r="B21" s="28" t="inlineStr">
        <is>
          <t>Grano</t>
        </is>
      </c>
      <c r="C21" s="18" t="inlineStr">
        <is>
          <t>Costo Directo</t>
        </is>
      </c>
      <c r="D21" s="19">
        <f>COUNTIF('Detalle Compras Agosto 2026'!$B:$B,"Grano")</f>
        <v/>
      </c>
      <c r="E21" s="22">
        <f>J59</f>
        <v/>
      </c>
      <c r="F21" s="29">
        <f>E21/$E$23</f>
        <v/>
      </c>
      <c r="G21" s="22">
        <f>E21/COUNTIF($E$28:$E$58,"&gt;0")</f>
        <v/>
      </c>
    </row>
    <row r="22">
      <c r="B22" s="4" t="inlineStr">
        <is>
          <t>Bebidas</t>
        </is>
      </c>
      <c r="C22" s="30" t="inlineStr">
        <is>
          <t>Costo Directo</t>
        </is>
      </c>
      <c r="D22" s="31">
        <f>COUNTIF('Detalle Compras Agosto 2026'!$B:$B,"Bebidas")</f>
        <v/>
      </c>
      <c r="E22" s="8">
        <f>K59</f>
        <v/>
      </c>
      <c r="F22" s="32">
        <f>E22/$E$23</f>
        <v/>
      </c>
      <c r="G22" s="8">
        <f>E22/COUNTIF($E$28:$E$58,"&gt;0")</f>
        <v/>
      </c>
    </row>
    <row r="23">
      <c r="B23" s="12" t="inlineStr">
        <is>
          <t>TOTAL CATEGORÍAS</t>
        </is>
      </c>
      <c r="C23" s="13" t="inlineStr">
        <is>
          <t>Consolidado General</t>
        </is>
      </c>
      <c r="D23" s="14">
        <f>SUM(D17:D22)</f>
        <v/>
      </c>
      <c r="E23" s="15">
        <f>SUM(E17:E22)</f>
        <v/>
      </c>
      <c r="F23" s="16">
        <f>SUM(F17:F22)</f>
        <v/>
      </c>
      <c r="G23" s="15">
        <f>SUM(G17:G22)</f>
        <v/>
      </c>
    </row>
    <row r="25" ht="10" customHeight="1" s="111"/>
    <row r="26">
      <c r="B26" s="120" t="inlineStr">
        <is>
          <t>3. TOTALIZACIÓN DIARIA: COSTOS Y GASTOS DÍA A DÍA (AGOSTO 2026)</t>
        </is>
      </c>
    </row>
    <row r="27" ht="24" customHeight="1" s="111">
      <c r="B27" s="33" t="inlineStr">
        <is>
          <t>Día</t>
        </is>
      </c>
      <c r="C27" s="33" t="inlineStr">
        <is>
          <t>Costos ($)</t>
        </is>
      </c>
      <c r="D27" s="33" t="inlineStr">
        <is>
          <t>Gastos ($)</t>
        </is>
      </c>
      <c r="E27" s="33" t="inlineStr">
        <is>
          <t>Total Día ($)</t>
        </is>
      </c>
      <c r="F27" s="33" t="inlineStr">
        <is>
          <t>% Costo</t>
        </is>
      </c>
      <c r="G27" s="33" t="inlineStr">
        <is>
          <t>% Gasto</t>
        </is>
      </c>
      <c r="H27" s="33" t="inlineStr">
        <is>
          <t>Carnes ($)</t>
        </is>
      </c>
      <c r="I27" s="33" t="inlineStr">
        <is>
          <t>Verduras ($)</t>
        </is>
      </c>
      <c r="J27" s="33" t="inlineStr">
        <is>
          <t>Grano ($)</t>
        </is>
      </c>
      <c r="K27" s="33" t="inlineStr">
        <is>
          <t>Bebidas ($)</t>
        </is>
      </c>
      <c r="L27" s="33" t="inlineStr">
        <is>
          <t>Desechables ($)</t>
        </is>
      </c>
      <c r="M27" s="33" t="inlineStr">
        <is>
          <t>Servicios ($)</t>
        </is>
      </c>
      <c r="N27" s="33" t="inlineStr">
        <is>
          <t>N° Compras</t>
        </is>
      </c>
    </row>
    <row r="28" ht="18" customHeight="1" s="111">
      <c r="B28" s="34" t="n">
        <v>1</v>
      </c>
      <c r="C28" s="35">
        <f>SUMIFS('Detalle Compras Agosto 2026'!$G:$G, 'Detalle Compras Agosto 2026'!$A:$A, B28, 'Detalle Compras Agosto 2026'!$B:$B, "&lt;&gt;Servicios")</f>
        <v/>
      </c>
      <c r="D28" s="27">
        <f>SUMIFS('Detalle Compras Agosto 2026'!$G:$G, 'Detalle Compras Agosto 2026'!$A:$A, B28, 'Detalle Compras Agosto 2026'!$B:$B, "Servicios")</f>
        <v/>
      </c>
      <c r="E28" s="36">
        <f>C28+D28</f>
        <v/>
      </c>
      <c r="F28" s="32">
        <f>IF(E28&gt;0, C28/E28, 0)</f>
        <v/>
      </c>
      <c r="G28" s="32">
        <f>IF(E28&gt;0, D28/E28, 0)</f>
        <v/>
      </c>
      <c r="H28" s="8">
        <f>SUMIFS('Detalle Compras Agosto 2026'!$G:$G, 'Detalle Compras Agosto 2026'!$A:$A, B28, 'Detalle Compras Agosto 2026'!$B:$B, "Carnes")</f>
        <v/>
      </c>
      <c r="I28" s="8">
        <f>SUMIFS('Detalle Compras Agosto 2026'!$G:$G, 'Detalle Compras Agosto 2026'!$A:$A, B28, 'Detalle Compras Agosto 2026'!$B:$B, "Verduras")</f>
        <v/>
      </c>
      <c r="J28" s="8">
        <f>SUMIFS('Detalle Compras Agosto 2026'!$G:$G, 'Detalle Compras Agosto 2026'!$A:$A, B28, 'Detalle Compras Agosto 2026'!$B:$B, "Grano")</f>
        <v/>
      </c>
      <c r="K28" s="8">
        <f>SUMIFS('Detalle Compras Agosto 2026'!$G:$G, 'Detalle Compras Agosto 2026'!$A:$A, B28, 'Detalle Compras Agosto 2026'!$B:$B, "Bebidas")</f>
        <v/>
      </c>
      <c r="L28" s="8">
        <f>SUMIFS('Detalle Compras Agosto 2026'!$G:$G, 'Detalle Compras Agosto 2026'!$A:$A, B28, 'Detalle Compras Agosto 2026'!$B:$B, "Desechables")</f>
        <v/>
      </c>
      <c r="M28" s="8">
        <f>SUMIFS('Detalle Compras Agosto 2026'!$G:$G, 'Detalle Compras Agosto 2026'!$A:$A, B28, 'Detalle Compras Agosto 2026'!$B:$B, "Servicios")</f>
        <v/>
      </c>
      <c r="N28" s="31">
        <f>COUNTIF('Detalle Compras Agosto 2026'!$A:$A, B28)</f>
        <v/>
      </c>
    </row>
    <row r="29" ht="18" customHeight="1" s="111">
      <c r="B29" s="37" t="n">
        <v>2</v>
      </c>
      <c r="C29" s="35">
        <f>SUMIFS('Detalle Compras Agosto 2026'!$G:$G, 'Detalle Compras Agosto 2026'!$A:$A, B29, 'Detalle Compras Agosto 2026'!$B:$B, "&lt;&gt;Servicios")</f>
        <v/>
      </c>
      <c r="D29" s="27">
        <f>SUMIFS('Detalle Compras Agosto 2026'!$G:$G, 'Detalle Compras Agosto 2026'!$A:$A, B29, 'Detalle Compras Agosto 2026'!$B:$B, "Servicios")</f>
        <v/>
      </c>
      <c r="E29" s="36">
        <f>C29+D29</f>
        <v/>
      </c>
      <c r="F29" s="29">
        <f>IF(E29&gt;0, C29/E29, 0)</f>
        <v/>
      </c>
      <c r="G29" s="29">
        <f>IF(E29&gt;0, D29/E29, 0)</f>
        <v/>
      </c>
      <c r="H29" s="22">
        <f>SUMIFS('Detalle Compras Agosto 2026'!$G:$G, 'Detalle Compras Agosto 2026'!$A:$A, B29, 'Detalle Compras Agosto 2026'!$B:$B, "Carnes")</f>
        <v/>
      </c>
      <c r="I29" s="22">
        <f>SUMIFS('Detalle Compras Agosto 2026'!$G:$G, 'Detalle Compras Agosto 2026'!$A:$A, B29, 'Detalle Compras Agosto 2026'!$B:$B, "Verduras")</f>
        <v/>
      </c>
      <c r="J29" s="22">
        <f>SUMIFS('Detalle Compras Agosto 2026'!$G:$G, 'Detalle Compras Agosto 2026'!$A:$A, B29, 'Detalle Compras Agosto 2026'!$B:$B, "Grano")</f>
        <v/>
      </c>
      <c r="K29" s="22">
        <f>SUMIFS('Detalle Compras Agosto 2026'!$G:$G, 'Detalle Compras Agosto 2026'!$A:$A, B29, 'Detalle Compras Agosto 2026'!$B:$B, "Bebidas")</f>
        <v/>
      </c>
      <c r="L29" s="22">
        <f>SUMIFS('Detalle Compras Agosto 2026'!$G:$G, 'Detalle Compras Agosto 2026'!$A:$A, B29, 'Detalle Compras Agosto 2026'!$B:$B, "Desechables")</f>
        <v/>
      </c>
      <c r="M29" s="22">
        <f>SUMIFS('Detalle Compras Agosto 2026'!$G:$G, 'Detalle Compras Agosto 2026'!$A:$A, B29, 'Detalle Compras Agosto 2026'!$B:$B, "Servicios")</f>
        <v/>
      </c>
      <c r="N29" s="19">
        <f>COUNTIF('Detalle Compras Agosto 2026'!$A:$A, B29)</f>
        <v/>
      </c>
    </row>
    <row r="30" ht="18" customHeight="1" s="111">
      <c r="B30" s="34" t="n">
        <v>3</v>
      </c>
      <c r="C30" s="35">
        <f>SUMIFS('Detalle Compras Agosto 2026'!$G:$G, 'Detalle Compras Agosto 2026'!$A:$A, B30, 'Detalle Compras Agosto 2026'!$B:$B, "&lt;&gt;Servicios")</f>
        <v/>
      </c>
      <c r="D30" s="27">
        <f>SUMIFS('Detalle Compras Agosto 2026'!$G:$G, 'Detalle Compras Agosto 2026'!$A:$A, B30, 'Detalle Compras Agosto 2026'!$B:$B, "Servicios")</f>
        <v/>
      </c>
      <c r="E30" s="36">
        <f>C30+D30</f>
        <v/>
      </c>
      <c r="F30" s="32">
        <f>IF(E30&gt;0, C30/E30, 0)</f>
        <v/>
      </c>
      <c r="G30" s="32">
        <f>IF(E30&gt;0, D30/E30, 0)</f>
        <v/>
      </c>
      <c r="H30" s="8">
        <f>SUMIFS('Detalle Compras Agosto 2026'!$G:$G, 'Detalle Compras Agosto 2026'!$A:$A, B30, 'Detalle Compras Agosto 2026'!$B:$B, "Carnes")</f>
        <v/>
      </c>
      <c r="I30" s="8">
        <f>SUMIFS('Detalle Compras Agosto 2026'!$G:$G, 'Detalle Compras Agosto 2026'!$A:$A, B30, 'Detalle Compras Agosto 2026'!$B:$B, "Verduras")</f>
        <v/>
      </c>
      <c r="J30" s="8">
        <f>SUMIFS('Detalle Compras Agosto 2026'!$G:$G, 'Detalle Compras Agosto 2026'!$A:$A, B30, 'Detalle Compras Agosto 2026'!$B:$B, "Grano")</f>
        <v/>
      </c>
      <c r="K30" s="8">
        <f>SUMIFS('Detalle Compras Agosto 2026'!$G:$G, 'Detalle Compras Agosto 2026'!$A:$A, B30, 'Detalle Compras Agosto 2026'!$B:$B, "Bebidas")</f>
        <v/>
      </c>
      <c r="L30" s="8">
        <f>SUMIFS('Detalle Compras Agosto 2026'!$G:$G, 'Detalle Compras Agosto 2026'!$A:$A, B30, 'Detalle Compras Agosto 2026'!$B:$B, "Desechables")</f>
        <v/>
      </c>
      <c r="M30" s="8">
        <f>SUMIFS('Detalle Compras Agosto 2026'!$G:$G, 'Detalle Compras Agosto 2026'!$A:$A, B30, 'Detalle Compras Agosto 2026'!$B:$B, "Servicios")</f>
        <v/>
      </c>
      <c r="N30" s="31">
        <f>COUNTIF('Detalle Compras Agosto 2026'!$A:$A, B30)</f>
        <v/>
      </c>
    </row>
    <row r="31" ht="18" customHeight="1" s="111">
      <c r="B31" s="37" t="n">
        <v>4</v>
      </c>
      <c r="C31" s="35">
        <f>SUMIFS('Detalle Compras Agosto 2026'!$G:$G, 'Detalle Compras Agosto 2026'!$A:$A, B31, 'Detalle Compras Agosto 2026'!$B:$B, "&lt;&gt;Servicios")</f>
        <v/>
      </c>
      <c r="D31" s="27">
        <f>SUMIFS('Detalle Compras Agosto 2026'!$G:$G, 'Detalle Compras Agosto 2026'!$A:$A, B31, 'Detalle Compras Agosto 2026'!$B:$B, "Servicios")</f>
        <v/>
      </c>
      <c r="E31" s="36">
        <f>C31+D31</f>
        <v/>
      </c>
      <c r="F31" s="29">
        <f>IF(E31&gt;0, C31/E31, 0)</f>
        <v/>
      </c>
      <c r="G31" s="29">
        <f>IF(E31&gt;0, D31/E31, 0)</f>
        <v/>
      </c>
      <c r="H31" s="22">
        <f>SUMIFS('Detalle Compras Agosto 2026'!$G:$G, 'Detalle Compras Agosto 2026'!$A:$A, B31, 'Detalle Compras Agosto 2026'!$B:$B, "Carnes")</f>
        <v/>
      </c>
      <c r="I31" s="22">
        <f>SUMIFS('Detalle Compras Agosto 2026'!$G:$G, 'Detalle Compras Agosto 2026'!$A:$A, B31, 'Detalle Compras Agosto 2026'!$B:$B, "Verduras")</f>
        <v/>
      </c>
      <c r="J31" s="22">
        <f>SUMIFS('Detalle Compras Agosto 2026'!$G:$G, 'Detalle Compras Agosto 2026'!$A:$A, B31, 'Detalle Compras Agosto 2026'!$B:$B, "Grano")</f>
        <v/>
      </c>
      <c r="K31" s="22">
        <f>SUMIFS('Detalle Compras Agosto 2026'!$G:$G, 'Detalle Compras Agosto 2026'!$A:$A, B31, 'Detalle Compras Agosto 2026'!$B:$B, "Bebidas")</f>
        <v/>
      </c>
      <c r="L31" s="22">
        <f>SUMIFS('Detalle Compras Agosto 2026'!$G:$G, 'Detalle Compras Agosto 2026'!$A:$A, B31, 'Detalle Compras Agosto 2026'!$B:$B, "Desechables")</f>
        <v/>
      </c>
      <c r="M31" s="22">
        <f>SUMIFS('Detalle Compras Agosto 2026'!$G:$G, 'Detalle Compras Agosto 2026'!$A:$A, B31, 'Detalle Compras Agosto 2026'!$B:$B, "Servicios")</f>
        <v/>
      </c>
      <c r="N31" s="19">
        <f>COUNTIF('Detalle Compras Agosto 2026'!$A:$A, B31)</f>
        <v/>
      </c>
    </row>
    <row r="32" ht="18" customHeight="1" s="111">
      <c r="B32" s="34" t="n">
        <v>5</v>
      </c>
      <c r="C32" s="35">
        <f>SUMIFS('Detalle Compras Agosto 2026'!$G:$G, 'Detalle Compras Agosto 2026'!$A:$A, B32, 'Detalle Compras Agosto 2026'!$B:$B, "&lt;&gt;Servicios")</f>
        <v/>
      </c>
      <c r="D32" s="27">
        <f>SUMIFS('Detalle Compras Agosto 2026'!$G:$G, 'Detalle Compras Agosto 2026'!$A:$A, B32, 'Detalle Compras Agosto 2026'!$B:$B, "Servicios")</f>
        <v/>
      </c>
      <c r="E32" s="36">
        <f>C32+D32</f>
        <v/>
      </c>
      <c r="F32" s="32">
        <f>IF(E32&gt;0, C32/E32, 0)</f>
        <v/>
      </c>
      <c r="G32" s="32">
        <f>IF(E32&gt;0, D32/E32, 0)</f>
        <v/>
      </c>
      <c r="H32" s="8">
        <f>SUMIFS('Detalle Compras Agosto 2026'!$G:$G, 'Detalle Compras Agosto 2026'!$A:$A, B32, 'Detalle Compras Agosto 2026'!$B:$B, "Carnes")</f>
        <v/>
      </c>
      <c r="I32" s="8">
        <f>SUMIFS('Detalle Compras Agosto 2026'!$G:$G, 'Detalle Compras Agosto 2026'!$A:$A, B32, 'Detalle Compras Agosto 2026'!$B:$B, "Verduras")</f>
        <v/>
      </c>
      <c r="J32" s="8">
        <f>SUMIFS('Detalle Compras Agosto 2026'!$G:$G, 'Detalle Compras Agosto 2026'!$A:$A, B32, 'Detalle Compras Agosto 2026'!$B:$B, "Grano")</f>
        <v/>
      </c>
      <c r="K32" s="8">
        <f>SUMIFS('Detalle Compras Agosto 2026'!$G:$G, 'Detalle Compras Agosto 2026'!$A:$A, B32, 'Detalle Compras Agosto 2026'!$B:$B, "Bebidas")</f>
        <v/>
      </c>
      <c r="L32" s="8">
        <f>SUMIFS('Detalle Compras Agosto 2026'!$G:$G, 'Detalle Compras Agosto 2026'!$A:$A, B32, 'Detalle Compras Agosto 2026'!$B:$B, "Desechables")</f>
        <v/>
      </c>
      <c r="M32" s="8">
        <f>SUMIFS('Detalle Compras Agosto 2026'!$G:$G, 'Detalle Compras Agosto 2026'!$A:$A, B32, 'Detalle Compras Agosto 2026'!$B:$B, "Servicios")</f>
        <v/>
      </c>
      <c r="N32" s="31">
        <f>COUNTIF('Detalle Compras Agosto 2026'!$A:$A, B32)</f>
        <v/>
      </c>
    </row>
    <row r="33" ht="18" customHeight="1" s="111">
      <c r="B33" s="37" t="n">
        <v>6</v>
      </c>
      <c r="C33" s="35">
        <f>SUMIFS('Detalle Compras Agosto 2026'!$G:$G, 'Detalle Compras Agosto 2026'!$A:$A, B33, 'Detalle Compras Agosto 2026'!$B:$B, "&lt;&gt;Servicios")</f>
        <v/>
      </c>
      <c r="D33" s="27">
        <f>SUMIFS('Detalle Compras Agosto 2026'!$G:$G, 'Detalle Compras Agosto 2026'!$A:$A, B33, 'Detalle Compras Agosto 2026'!$B:$B, "Servicios")</f>
        <v/>
      </c>
      <c r="E33" s="36">
        <f>C33+D33</f>
        <v/>
      </c>
      <c r="F33" s="29">
        <f>IF(E33&gt;0, C33/E33, 0)</f>
        <v/>
      </c>
      <c r="G33" s="29">
        <f>IF(E33&gt;0, D33/E33, 0)</f>
        <v/>
      </c>
      <c r="H33" s="22">
        <f>SUMIFS('Detalle Compras Agosto 2026'!$G:$G, 'Detalle Compras Agosto 2026'!$A:$A, B33, 'Detalle Compras Agosto 2026'!$B:$B, "Carnes")</f>
        <v/>
      </c>
      <c r="I33" s="22">
        <f>SUMIFS('Detalle Compras Agosto 2026'!$G:$G, 'Detalle Compras Agosto 2026'!$A:$A, B33, 'Detalle Compras Agosto 2026'!$B:$B, "Verduras")</f>
        <v/>
      </c>
      <c r="J33" s="22">
        <f>SUMIFS('Detalle Compras Agosto 2026'!$G:$G, 'Detalle Compras Agosto 2026'!$A:$A, B33, 'Detalle Compras Agosto 2026'!$B:$B, "Grano")</f>
        <v/>
      </c>
      <c r="K33" s="22">
        <f>SUMIFS('Detalle Compras Agosto 2026'!$G:$G, 'Detalle Compras Agosto 2026'!$A:$A, B33, 'Detalle Compras Agosto 2026'!$B:$B, "Bebidas")</f>
        <v/>
      </c>
      <c r="L33" s="22">
        <f>SUMIFS('Detalle Compras Agosto 2026'!$G:$G, 'Detalle Compras Agosto 2026'!$A:$A, B33, 'Detalle Compras Agosto 2026'!$B:$B, "Desechables")</f>
        <v/>
      </c>
      <c r="M33" s="22">
        <f>SUMIFS('Detalle Compras Agosto 2026'!$G:$G, 'Detalle Compras Agosto 2026'!$A:$A, B33, 'Detalle Compras Agosto 2026'!$B:$B, "Servicios")</f>
        <v/>
      </c>
      <c r="N33" s="19">
        <f>COUNTIF('Detalle Compras Agosto 2026'!$A:$A, B33)</f>
        <v/>
      </c>
    </row>
    <row r="34" ht="18" customHeight="1" s="111">
      <c r="B34" s="34" t="n">
        <v>7</v>
      </c>
      <c r="C34" s="35">
        <f>SUMIFS('Detalle Compras Agosto 2026'!$G:$G, 'Detalle Compras Agosto 2026'!$A:$A, B34, 'Detalle Compras Agosto 2026'!$B:$B, "&lt;&gt;Servicios")</f>
        <v/>
      </c>
      <c r="D34" s="27">
        <f>SUMIFS('Detalle Compras Agosto 2026'!$G:$G, 'Detalle Compras Agosto 2026'!$A:$A, B34, 'Detalle Compras Agosto 2026'!$B:$B, "Servicios")</f>
        <v/>
      </c>
      <c r="E34" s="36">
        <f>C34+D34</f>
        <v/>
      </c>
      <c r="F34" s="32">
        <f>IF(E34&gt;0, C34/E34, 0)</f>
        <v/>
      </c>
      <c r="G34" s="32">
        <f>IF(E34&gt;0, D34/E34, 0)</f>
        <v/>
      </c>
      <c r="H34" s="8">
        <f>SUMIFS('Detalle Compras Agosto 2026'!$G:$G, 'Detalle Compras Agosto 2026'!$A:$A, B34, 'Detalle Compras Agosto 2026'!$B:$B, "Carnes")</f>
        <v/>
      </c>
      <c r="I34" s="8">
        <f>SUMIFS('Detalle Compras Agosto 2026'!$G:$G, 'Detalle Compras Agosto 2026'!$A:$A, B34, 'Detalle Compras Agosto 2026'!$B:$B, "Verduras")</f>
        <v/>
      </c>
      <c r="J34" s="8">
        <f>SUMIFS('Detalle Compras Agosto 2026'!$G:$G, 'Detalle Compras Agosto 2026'!$A:$A, B34, 'Detalle Compras Agosto 2026'!$B:$B, "Grano")</f>
        <v/>
      </c>
      <c r="K34" s="8">
        <f>SUMIFS('Detalle Compras Agosto 2026'!$G:$G, 'Detalle Compras Agosto 2026'!$A:$A, B34, 'Detalle Compras Agosto 2026'!$B:$B, "Bebidas")</f>
        <v/>
      </c>
      <c r="L34" s="8">
        <f>SUMIFS('Detalle Compras Agosto 2026'!$G:$G, 'Detalle Compras Agosto 2026'!$A:$A, B34, 'Detalle Compras Agosto 2026'!$B:$B, "Desechables")</f>
        <v/>
      </c>
      <c r="M34" s="8">
        <f>SUMIFS('Detalle Compras Agosto 2026'!$G:$G, 'Detalle Compras Agosto 2026'!$A:$A, B34, 'Detalle Compras Agosto 2026'!$B:$B, "Servicios")</f>
        <v/>
      </c>
      <c r="N34" s="31">
        <f>COUNTIF('Detalle Compras Agosto 2026'!$A:$A, B34)</f>
        <v/>
      </c>
    </row>
    <row r="35" ht="18" customHeight="1" s="111">
      <c r="B35" s="37" t="n">
        <v>8</v>
      </c>
      <c r="C35" s="35">
        <f>SUMIFS('Detalle Compras Agosto 2026'!$G:$G, 'Detalle Compras Agosto 2026'!$A:$A, B35, 'Detalle Compras Agosto 2026'!$B:$B, "&lt;&gt;Servicios")</f>
        <v/>
      </c>
      <c r="D35" s="27">
        <f>SUMIFS('Detalle Compras Agosto 2026'!$G:$G, 'Detalle Compras Agosto 2026'!$A:$A, B35, 'Detalle Compras Agosto 2026'!$B:$B, "Servicios")</f>
        <v/>
      </c>
      <c r="E35" s="36">
        <f>C35+D35</f>
        <v/>
      </c>
      <c r="F35" s="29">
        <f>IF(E35&gt;0, C35/E35, 0)</f>
        <v/>
      </c>
      <c r="G35" s="29">
        <f>IF(E35&gt;0, D35/E35, 0)</f>
        <v/>
      </c>
      <c r="H35" s="22">
        <f>SUMIFS('Detalle Compras Agosto 2026'!$G:$G, 'Detalle Compras Agosto 2026'!$A:$A, B35, 'Detalle Compras Agosto 2026'!$B:$B, "Carnes")</f>
        <v/>
      </c>
      <c r="I35" s="22">
        <f>SUMIFS('Detalle Compras Agosto 2026'!$G:$G, 'Detalle Compras Agosto 2026'!$A:$A, B35, 'Detalle Compras Agosto 2026'!$B:$B, "Verduras")</f>
        <v/>
      </c>
      <c r="J35" s="22">
        <f>SUMIFS('Detalle Compras Agosto 2026'!$G:$G, 'Detalle Compras Agosto 2026'!$A:$A, B35, 'Detalle Compras Agosto 2026'!$B:$B, "Grano")</f>
        <v/>
      </c>
      <c r="K35" s="22">
        <f>SUMIFS('Detalle Compras Agosto 2026'!$G:$G, 'Detalle Compras Agosto 2026'!$A:$A, B35, 'Detalle Compras Agosto 2026'!$B:$B, "Bebidas")</f>
        <v/>
      </c>
      <c r="L35" s="22">
        <f>SUMIFS('Detalle Compras Agosto 2026'!$G:$G, 'Detalle Compras Agosto 2026'!$A:$A, B35, 'Detalle Compras Agosto 2026'!$B:$B, "Desechables")</f>
        <v/>
      </c>
      <c r="M35" s="22">
        <f>SUMIFS('Detalle Compras Agosto 2026'!$G:$G, 'Detalle Compras Agosto 2026'!$A:$A, B35, 'Detalle Compras Agosto 2026'!$B:$B, "Servicios")</f>
        <v/>
      </c>
      <c r="N35" s="19">
        <f>COUNTIF('Detalle Compras Agosto 2026'!$A:$A, B35)</f>
        <v/>
      </c>
    </row>
    <row r="36" ht="18" customHeight="1" s="111">
      <c r="B36" s="34" t="n">
        <v>9</v>
      </c>
      <c r="C36" s="35">
        <f>SUMIFS('Detalle Compras Agosto 2026'!$G:$G, 'Detalle Compras Agosto 2026'!$A:$A, B36, 'Detalle Compras Agosto 2026'!$B:$B, "&lt;&gt;Servicios")</f>
        <v/>
      </c>
      <c r="D36" s="27">
        <f>SUMIFS('Detalle Compras Agosto 2026'!$G:$G, 'Detalle Compras Agosto 2026'!$A:$A, B36, 'Detalle Compras Agosto 2026'!$B:$B, "Servicios")</f>
        <v/>
      </c>
      <c r="E36" s="36">
        <f>C36+D36</f>
        <v/>
      </c>
      <c r="F36" s="32">
        <f>IF(E36&gt;0, C36/E36, 0)</f>
        <v/>
      </c>
      <c r="G36" s="32">
        <f>IF(E36&gt;0, D36/E36, 0)</f>
        <v/>
      </c>
      <c r="H36" s="8">
        <f>SUMIFS('Detalle Compras Agosto 2026'!$G:$G, 'Detalle Compras Agosto 2026'!$A:$A, B36, 'Detalle Compras Agosto 2026'!$B:$B, "Carnes")</f>
        <v/>
      </c>
      <c r="I36" s="8">
        <f>SUMIFS('Detalle Compras Agosto 2026'!$G:$G, 'Detalle Compras Agosto 2026'!$A:$A, B36, 'Detalle Compras Agosto 2026'!$B:$B, "Verduras")</f>
        <v/>
      </c>
      <c r="J36" s="8">
        <f>SUMIFS('Detalle Compras Agosto 2026'!$G:$G, 'Detalle Compras Agosto 2026'!$A:$A, B36, 'Detalle Compras Agosto 2026'!$B:$B, "Grano")</f>
        <v/>
      </c>
      <c r="K36" s="8">
        <f>SUMIFS('Detalle Compras Agosto 2026'!$G:$G, 'Detalle Compras Agosto 2026'!$A:$A, B36, 'Detalle Compras Agosto 2026'!$B:$B, "Bebidas")</f>
        <v/>
      </c>
      <c r="L36" s="8">
        <f>SUMIFS('Detalle Compras Agosto 2026'!$G:$G, 'Detalle Compras Agosto 2026'!$A:$A, B36, 'Detalle Compras Agosto 2026'!$B:$B, "Desechables")</f>
        <v/>
      </c>
      <c r="M36" s="8">
        <f>SUMIFS('Detalle Compras Agosto 2026'!$G:$G, 'Detalle Compras Agosto 2026'!$A:$A, B36, 'Detalle Compras Agosto 2026'!$B:$B, "Servicios")</f>
        <v/>
      </c>
      <c r="N36" s="31">
        <f>COUNTIF('Detalle Compras Agosto 2026'!$A:$A, B36)</f>
        <v/>
      </c>
    </row>
    <row r="37" ht="18" customHeight="1" s="111">
      <c r="B37" s="37" t="n">
        <v>10</v>
      </c>
      <c r="C37" s="35">
        <f>SUMIFS('Detalle Compras Agosto 2026'!$G:$G, 'Detalle Compras Agosto 2026'!$A:$A, B37, 'Detalle Compras Agosto 2026'!$B:$B, "&lt;&gt;Servicios")</f>
        <v/>
      </c>
      <c r="D37" s="27">
        <f>SUMIFS('Detalle Compras Agosto 2026'!$G:$G, 'Detalle Compras Agosto 2026'!$A:$A, B37, 'Detalle Compras Agosto 2026'!$B:$B, "Servicios")</f>
        <v/>
      </c>
      <c r="E37" s="36">
        <f>C37+D37</f>
        <v/>
      </c>
      <c r="F37" s="29">
        <f>IF(E37&gt;0, C37/E37, 0)</f>
        <v/>
      </c>
      <c r="G37" s="29">
        <f>IF(E37&gt;0, D37/E37, 0)</f>
        <v/>
      </c>
      <c r="H37" s="22">
        <f>SUMIFS('Detalle Compras Agosto 2026'!$G:$G, 'Detalle Compras Agosto 2026'!$A:$A, B37, 'Detalle Compras Agosto 2026'!$B:$B, "Carnes")</f>
        <v/>
      </c>
      <c r="I37" s="22">
        <f>SUMIFS('Detalle Compras Agosto 2026'!$G:$G, 'Detalle Compras Agosto 2026'!$A:$A, B37, 'Detalle Compras Agosto 2026'!$B:$B, "Verduras")</f>
        <v/>
      </c>
      <c r="J37" s="22">
        <f>SUMIFS('Detalle Compras Agosto 2026'!$G:$G, 'Detalle Compras Agosto 2026'!$A:$A, B37, 'Detalle Compras Agosto 2026'!$B:$B, "Grano")</f>
        <v/>
      </c>
      <c r="K37" s="22">
        <f>SUMIFS('Detalle Compras Agosto 2026'!$G:$G, 'Detalle Compras Agosto 2026'!$A:$A, B37, 'Detalle Compras Agosto 2026'!$B:$B, "Bebidas")</f>
        <v/>
      </c>
      <c r="L37" s="22">
        <f>SUMIFS('Detalle Compras Agosto 2026'!$G:$G, 'Detalle Compras Agosto 2026'!$A:$A, B37, 'Detalle Compras Agosto 2026'!$B:$B, "Desechables")</f>
        <v/>
      </c>
      <c r="M37" s="22">
        <f>SUMIFS('Detalle Compras Agosto 2026'!$G:$G, 'Detalle Compras Agosto 2026'!$A:$A, B37, 'Detalle Compras Agosto 2026'!$B:$B, "Servicios")</f>
        <v/>
      </c>
      <c r="N37" s="19">
        <f>COUNTIF('Detalle Compras Agosto 2026'!$A:$A, B37)</f>
        <v/>
      </c>
    </row>
    <row r="38" ht="18" customHeight="1" s="111">
      <c r="B38" s="34" t="n">
        <v>11</v>
      </c>
      <c r="C38" s="35">
        <f>SUMIFS('Detalle Compras Agosto 2026'!$G:$G, 'Detalle Compras Agosto 2026'!$A:$A, B38, 'Detalle Compras Agosto 2026'!$B:$B, "&lt;&gt;Servicios")</f>
        <v/>
      </c>
      <c r="D38" s="27">
        <f>SUMIFS('Detalle Compras Agosto 2026'!$G:$G, 'Detalle Compras Agosto 2026'!$A:$A, B38, 'Detalle Compras Agosto 2026'!$B:$B, "Servicios")</f>
        <v/>
      </c>
      <c r="E38" s="36">
        <f>C38+D38</f>
        <v/>
      </c>
      <c r="F38" s="32">
        <f>IF(E38&gt;0, C38/E38, 0)</f>
        <v/>
      </c>
      <c r="G38" s="32">
        <f>IF(E38&gt;0, D38/E38, 0)</f>
        <v/>
      </c>
      <c r="H38" s="8">
        <f>SUMIFS('Detalle Compras Agosto 2026'!$G:$G, 'Detalle Compras Agosto 2026'!$A:$A, B38, 'Detalle Compras Agosto 2026'!$B:$B, "Carnes")</f>
        <v/>
      </c>
      <c r="I38" s="8">
        <f>SUMIFS('Detalle Compras Agosto 2026'!$G:$G, 'Detalle Compras Agosto 2026'!$A:$A, B38, 'Detalle Compras Agosto 2026'!$B:$B, "Verduras")</f>
        <v/>
      </c>
      <c r="J38" s="8">
        <f>SUMIFS('Detalle Compras Agosto 2026'!$G:$G, 'Detalle Compras Agosto 2026'!$A:$A, B38, 'Detalle Compras Agosto 2026'!$B:$B, "Grano")</f>
        <v/>
      </c>
      <c r="K38" s="8">
        <f>SUMIFS('Detalle Compras Agosto 2026'!$G:$G, 'Detalle Compras Agosto 2026'!$A:$A, B38, 'Detalle Compras Agosto 2026'!$B:$B, "Bebidas")</f>
        <v/>
      </c>
      <c r="L38" s="8">
        <f>SUMIFS('Detalle Compras Agosto 2026'!$G:$G, 'Detalle Compras Agosto 2026'!$A:$A, B38, 'Detalle Compras Agosto 2026'!$B:$B, "Desechables")</f>
        <v/>
      </c>
      <c r="M38" s="8">
        <f>SUMIFS('Detalle Compras Agosto 2026'!$G:$G, 'Detalle Compras Agosto 2026'!$A:$A, B38, 'Detalle Compras Agosto 2026'!$B:$B, "Servicios")</f>
        <v/>
      </c>
      <c r="N38" s="31">
        <f>COUNTIF('Detalle Compras Agosto 2026'!$A:$A, B38)</f>
        <v/>
      </c>
    </row>
    <row r="39" ht="18" customHeight="1" s="111">
      <c r="B39" s="37" t="n">
        <v>12</v>
      </c>
      <c r="C39" s="35">
        <f>SUMIFS('Detalle Compras Agosto 2026'!$G:$G, 'Detalle Compras Agosto 2026'!$A:$A, B39, 'Detalle Compras Agosto 2026'!$B:$B, "&lt;&gt;Servicios")</f>
        <v/>
      </c>
      <c r="D39" s="27">
        <f>SUMIFS('Detalle Compras Agosto 2026'!$G:$G, 'Detalle Compras Agosto 2026'!$A:$A, B39, 'Detalle Compras Agosto 2026'!$B:$B, "Servicios")</f>
        <v/>
      </c>
      <c r="E39" s="36">
        <f>C39+D39</f>
        <v/>
      </c>
      <c r="F39" s="29">
        <f>IF(E39&gt;0, C39/E39, 0)</f>
        <v/>
      </c>
      <c r="G39" s="29">
        <f>IF(E39&gt;0, D39/E39, 0)</f>
        <v/>
      </c>
      <c r="H39" s="22">
        <f>SUMIFS('Detalle Compras Agosto 2026'!$G:$G, 'Detalle Compras Agosto 2026'!$A:$A, B39, 'Detalle Compras Agosto 2026'!$B:$B, "Carnes")</f>
        <v/>
      </c>
      <c r="I39" s="22">
        <f>SUMIFS('Detalle Compras Agosto 2026'!$G:$G, 'Detalle Compras Agosto 2026'!$A:$A, B39, 'Detalle Compras Agosto 2026'!$B:$B, "Verduras")</f>
        <v/>
      </c>
      <c r="J39" s="22">
        <f>SUMIFS('Detalle Compras Agosto 2026'!$G:$G, 'Detalle Compras Agosto 2026'!$A:$A, B39, 'Detalle Compras Agosto 2026'!$B:$B, "Grano")</f>
        <v/>
      </c>
      <c r="K39" s="22">
        <f>SUMIFS('Detalle Compras Agosto 2026'!$G:$G, 'Detalle Compras Agosto 2026'!$A:$A, B39, 'Detalle Compras Agosto 2026'!$B:$B, "Bebidas")</f>
        <v/>
      </c>
      <c r="L39" s="22">
        <f>SUMIFS('Detalle Compras Agosto 2026'!$G:$G, 'Detalle Compras Agosto 2026'!$A:$A, B39, 'Detalle Compras Agosto 2026'!$B:$B, "Desechables")</f>
        <v/>
      </c>
      <c r="M39" s="22">
        <f>SUMIFS('Detalle Compras Agosto 2026'!$G:$G, 'Detalle Compras Agosto 2026'!$A:$A, B39, 'Detalle Compras Agosto 2026'!$B:$B, "Servicios")</f>
        <v/>
      </c>
      <c r="N39" s="19">
        <f>COUNTIF('Detalle Compras Agosto 2026'!$A:$A, B39)</f>
        <v/>
      </c>
    </row>
    <row r="40" ht="18" customHeight="1" s="111">
      <c r="B40" s="34" t="n">
        <v>13</v>
      </c>
      <c r="C40" s="35">
        <f>SUMIFS('Detalle Compras Agosto 2026'!$G:$G, 'Detalle Compras Agosto 2026'!$A:$A, B40, 'Detalle Compras Agosto 2026'!$B:$B, "&lt;&gt;Servicios")</f>
        <v/>
      </c>
      <c r="D40" s="27">
        <f>SUMIFS('Detalle Compras Agosto 2026'!$G:$G, 'Detalle Compras Agosto 2026'!$A:$A, B40, 'Detalle Compras Agosto 2026'!$B:$B, "Servicios")</f>
        <v/>
      </c>
      <c r="E40" s="36">
        <f>C40+D40</f>
        <v/>
      </c>
      <c r="F40" s="32">
        <f>IF(E40&gt;0, C40/E40, 0)</f>
        <v/>
      </c>
      <c r="G40" s="32">
        <f>IF(E40&gt;0, D40/E40, 0)</f>
        <v/>
      </c>
      <c r="H40" s="8">
        <f>SUMIFS('Detalle Compras Agosto 2026'!$G:$G, 'Detalle Compras Agosto 2026'!$A:$A, B40, 'Detalle Compras Agosto 2026'!$B:$B, "Carnes")</f>
        <v/>
      </c>
      <c r="I40" s="8">
        <f>SUMIFS('Detalle Compras Agosto 2026'!$G:$G, 'Detalle Compras Agosto 2026'!$A:$A, B40, 'Detalle Compras Agosto 2026'!$B:$B, "Verduras")</f>
        <v/>
      </c>
      <c r="J40" s="8">
        <f>SUMIFS('Detalle Compras Agosto 2026'!$G:$G, 'Detalle Compras Agosto 2026'!$A:$A, B40, 'Detalle Compras Agosto 2026'!$B:$B, "Grano")</f>
        <v/>
      </c>
      <c r="K40" s="8">
        <f>SUMIFS('Detalle Compras Agosto 2026'!$G:$G, 'Detalle Compras Agosto 2026'!$A:$A, B40, 'Detalle Compras Agosto 2026'!$B:$B, "Bebidas")</f>
        <v/>
      </c>
      <c r="L40" s="8">
        <f>SUMIFS('Detalle Compras Agosto 2026'!$G:$G, 'Detalle Compras Agosto 2026'!$A:$A, B40, 'Detalle Compras Agosto 2026'!$B:$B, "Desechables")</f>
        <v/>
      </c>
      <c r="M40" s="8">
        <f>SUMIFS('Detalle Compras Agosto 2026'!$G:$G, 'Detalle Compras Agosto 2026'!$A:$A, B40, 'Detalle Compras Agosto 2026'!$B:$B, "Servicios")</f>
        <v/>
      </c>
      <c r="N40" s="31">
        <f>COUNTIF('Detalle Compras Agosto 2026'!$A:$A, B40)</f>
        <v/>
      </c>
    </row>
    <row r="41" ht="18" customHeight="1" s="111">
      <c r="B41" s="37" t="n">
        <v>14</v>
      </c>
      <c r="C41" s="35">
        <f>SUMIFS('Detalle Compras Agosto 2026'!$G:$G, 'Detalle Compras Agosto 2026'!$A:$A, B41, 'Detalle Compras Agosto 2026'!$B:$B, "&lt;&gt;Servicios")</f>
        <v/>
      </c>
      <c r="D41" s="27">
        <f>SUMIFS('Detalle Compras Agosto 2026'!$G:$G, 'Detalle Compras Agosto 2026'!$A:$A, B41, 'Detalle Compras Agosto 2026'!$B:$B, "Servicios")</f>
        <v/>
      </c>
      <c r="E41" s="36">
        <f>C41+D41</f>
        <v/>
      </c>
      <c r="F41" s="29">
        <f>IF(E41&gt;0, C41/E41, 0)</f>
        <v/>
      </c>
      <c r="G41" s="29">
        <f>IF(E41&gt;0, D41/E41, 0)</f>
        <v/>
      </c>
      <c r="H41" s="22">
        <f>SUMIFS('Detalle Compras Agosto 2026'!$G:$G, 'Detalle Compras Agosto 2026'!$A:$A, B41, 'Detalle Compras Agosto 2026'!$B:$B, "Carnes")</f>
        <v/>
      </c>
      <c r="I41" s="22">
        <f>SUMIFS('Detalle Compras Agosto 2026'!$G:$G, 'Detalle Compras Agosto 2026'!$A:$A, B41, 'Detalle Compras Agosto 2026'!$B:$B, "Verduras")</f>
        <v/>
      </c>
      <c r="J41" s="22">
        <f>SUMIFS('Detalle Compras Agosto 2026'!$G:$G, 'Detalle Compras Agosto 2026'!$A:$A, B41, 'Detalle Compras Agosto 2026'!$B:$B, "Grano")</f>
        <v/>
      </c>
      <c r="K41" s="22">
        <f>SUMIFS('Detalle Compras Agosto 2026'!$G:$G, 'Detalle Compras Agosto 2026'!$A:$A, B41, 'Detalle Compras Agosto 2026'!$B:$B, "Bebidas")</f>
        <v/>
      </c>
      <c r="L41" s="22">
        <f>SUMIFS('Detalle Compras Agosto 2026'!$G:$G, 'Detalle Compras Agosto 2026'!$A:$A, B41, 'Detalle Compras Agosto 2026'!$B:$B, "Desechables")</f>
        <v/>
      </c>
      <c r="M41" s="22">
        <f>SUMIFS('Detalle Compras Agosto 2026'!$G:$G, 'Detalle Compras Agosto 2026'!$A:$A, B41, 'Detalle Compras Agosto 2026'!$B:$B, "Servicios")</f>
        <v/>
      </c>
      <c r="N41" s="19">
        <f>COUNTIF('Detalle Compras Agosto 2026'!$A:$A, B41)</f>
        <v/>
      </c>
    </row>
    <row r="42" ht="18" customHeight="1" s="111">
      <c r="B42" s="34" t="n">
        <v>15</v>
      </c>
      <c r="C42" s="35">
        <f>SUMIFS('Detalle Compras Agosto 2026'!$G:$G, 'Detalle Compras Agosto 2026'!$A:$A, B42, 'Detalle Compras Agosto 2026'!$B:$B, "&lt;&gt;Servicios")</f>
        <v/>
      </c>
      <c r="D42" s="27">
        <f>SUMIFS('Detalle Compras Agosto 2026'!$G:$G, 'Detalle Compras Agosto 2026'!$A:$A, B42, 'Detalle Compras Agosto 2026'!$B:$B, "Servicios")</f>
        <v/>
      </c>
      <c r="E42" s="36">
        <f>C42+D42</f>
        <v/>
      </c>
      <c r="F42" s="32">
        <f>IF(E42&gt;0, C42/E42, 0)</f>
        <v/>
      </c>
      <c r="G42" s="32">
        <f>IF(E42&gt;0, D42/E42, 0)</f>
        <v/>
      </c>
      <c r="H42" s="8">
        <f>SUMIFS('Detalle Compras Agosto 2026'!$G:$G, 'Detalle Compras Agosto 2026'!$A:$A, B42, 'Detalle Compras Agosto 2026'!$B:$B, "Carnes")</f>
        <v/>
      </c>
      <c r="I42" s="8">
        <f>SUMIFS('Detalle Compras Agosto 2026'!$G:$G, 'Detalle Compras Agosto 2026'!$A:$A, B42, 'Detalle Compras Agosto 2026'!$B:$B, "Verduras")</f>
        <v/>
      </c>
      <c r="J42" s="8">
        <f>SUMIFS('Detalle Compras Agosto 2026'!$G:$G, 'Detalle Compras Agosto 2026'!$A:$A, B42, 'Detalle Compras Agosto 2026'!$B:$B, "Grano")</f>
        <v/>
      </c>
      <c r="K42" s="8">
        <f>SUMIFS('Detalle Compras Agosto 2026'!$G:$G, 'Detalle Compras Agosto 2026'!$A:$A, B42, 'Detalle Compras Agosto 2026'!$B:$B, "Bebidas")</f>
        <v/>
      </c>
      <c r="L42" s="8">
        <f>SUMIFS('Detalle Compras Agosto 2026'!$G:$G, 'Detalle Compras Agosto 2026'!$A:$A, B42, 'Detalle Compras Agosto 2026'!$B:$B, "Desechables")</f>
        <v/>
      </c>
      <c r="M42" s="8">
        <f>SUMIFS('Detalle Compras Agosto 2026'!$G:$G, 'Detalle Compras Agosto 2026'!$A:$A, B42, 'Detalle Compras Agosto 2026'!$B:$B, "Servicios")</f>
        <v/>
      </c>
      <c r="N42" s="31">
        <f>COUNTIF('Detalle Compras Agosto 2026'!$A:$A, B42)</f>
        <v/>
      </c>
    </row>
    <row r="43" ht="18" customHeight="1" s="111">
      <c r="B43" s="37" t="n">
        <v>16</v>
      </c>
      <c r="C43" s="35">
        <f>SUMIFS('Detalle Compras Agosto 2026'!$G:$G, 'Detalle Compras Agosto 2026'!$A:$A, B43, 'Detalle Compras Agosto 2026'!$B:$B, "&lt;&gt;Servicios")</f>
        <v/>
      </c>
      <c r="D43" s="27">
        <f>SUMIFS('Detalle Compras Agosto 2026'!$G:$G, 'Detalle Compras Agosto 2026'!$A:$A, B43, 'Detalle Compras Agosto 2026'!$B:$B, "Servicios")</f>
        <v/>
      </c>
      <c r="E43" s="36">
        <f>C43+D43</f>
        <v/>
      </c>
      <c r="F43" s="29">
        <f>IF(E43&gt;0, C43/E43, 0)</f>
        <v/>
      </c>
      <c r="G43" s="29">
        <f>IF(E43&gt;0, D43/E43, 0)</f>
        <v/>
      </c>
      <c r="H43" s="22">
        <f>SUMIFS('Detalle Compras Agosto 2026'!$G:$G, 'Detalle Compras Agosto 2026'!$A:$A, B43, 'Detalle Compras Agosto 2026'!$B:$B, "Carnes")</f>
        <v/>
      </c>
      <c r="I43" s="22">
        <f>SUMIFS('Detalle Compras Agosto 2026'!$G:$G, 'Detalle Compras Agosto 2026'!$A:$A, B43, 'Detalle Compras Agosto 2026'!$B:$B, "Verduras")</f>
        <v/>
      </c>
      <c r="J43" s="22">
        <f>SUMIFS('Detalle Compras Agosto 2026'!$G:$G, 'Detalle Compras Agosto 2026'!$A:$A, B43, 'Detalle Compras Agosto 2026'!$B:$B, "Grano")</f>
        <v/>
      </c>
      <c r="K43" s="22">
        <f>SUMIFS('Detalle Compras Agosto 2026'!$G:$G, 'Detalle Compras Agosto 2026'!$A:$A, B43, 'Detalle Compras Agosto 2026'!$B:$B, "Bebidas")</f>
        <v/>
      </c>
      <c r="L43" s="22">
        <f>SUMIFS('Detalle Compras Agosto 2026'!$G:$G, 'Detalle Compras Agosto 2026'!$A:$A, B43, 'Detalle Compras Agosto 2026'!$B:$B, "Desechables")</f>
        <v/>
      </c>
      <c r="M43" s="22">
        <f>SUMIFS('Detalle Compras Agosto 2026'!$G:$G, 'Detalle Compras Agosto 2026'!$A:$A, B43, 'Detalle Compras Agosto 2026'!$B:$B, "Servicios")</f>
        <v/>
      </c>
      <c r="N43" s="19">
        <f>COUNTIF('Detalle Compras Agosto 2026'!$A:$A, B43)</f>
        <v/>
      </c>
    </row>
    <row r="44" ht="18" customHeight="1" s="111">
      <c r="B44" s="34" t="n">
        <v>17</v>
      </c>
      <c r="C44" s="35">
        <f>SUMIFS('Detalle Compras Agosto 2026'!$G:$G, 'Detalle Compras Agosto 2026'!$A:$A, B44, 'Detalle Compras Agosto 2026'!$B:$B, "&lt;&gt;Servicios")</f>
        <v/>
      </c>
      <c r="D44" s="27">
        <f>SUMIFS('Detalle Compras Agosto 2026'!$G:$G, 'Detalle Compras Agosto 2026'!$A:$A, B44, 'Detalle Compras Agosto 2026'!$B:$B, "Servicios")</f>
        <v/>
      </c>
      <c r="E44" s="36">
        <f>C44+D44</f>
        <v/>
      </c>
      <c r="F44" s="32">
        <f>IF(E44&gt;0, C44/E44, 0)</f>
        <v/>
      </c>
      <c r="G44" s="32">
        <f>IF(E44&gt;0, D44/E44, 0)</f>
        <v/>
      </c>
      <c r="H44" s="8">
        <f>SUMIFS('Detalle Compras Agosto 2026'!$G:$G, 'Detalle Compras Agosto 2026'!$A:$A, B44, 'Detalle Compras Agosto 2026'!$B:$B, "Carnes")</f>
        <v/>
      </c>
      <c r="I44" s="8">
        <f>SUMIFS('Detalle Compras Agosto 2026'!$G:$G, 'Detalle Compras Agosto 2026'!$A:$A, B44, 'Detalle Compras Agosto 2026'!$B:$B, "Verduras")</f>
        <v/>
      </c>
      <c r="J44" s="8">
        <f>SUMIFS('Detalle Compras Agosto 2026'!$G:$G, 'Detalle Compras Agosto 2026'!$A:$A, B44, 'Detalle Compras Agosto 2026'!$B:$B, "Grano")</f>
        <v/>
      </c>
      <c r="K44" s="8">
        <f>SUMIFS('Detalle Compras Agosto 2026'!$G:$G, 'Detalle Compras Agosto 2026'!$A:$A, B44, 'Detalle Compras Agosto 2026'!$B:$B, "Bebidas")</f>
        <v/>
      </c>
      <c r="L44" s="8">
        <f>SUMIFS('Detalle Compras Agosto 2026'!$G:$G, 'Detalle Compras Agosto 2026'!$A:$A, B44, 'Detalle Compras Agosto 2026'!$B:$B, "Desechables")</f>
        <v/>
      </c>
      <c r="M44" s="8">
        <f>SUMIFS('Detalle Compras Agosto 2026'!$G:$G, 'Detalle Compras Agosto 2026'!$A:$A, B44, 'Detalle Compras Agosto 2026'!$B:$B, "Servicios")</f>
        <v/>
      </c>
      <c r="N44" s="31">
        <f>COUNTIF('Detalle Compras Agosto 2026'!$A:$A, B44)</f>
        <v/>
      </c>
    </row>
    <row r="45" ht="18" customHeight="1" s="111">
      <c r="B45" s="37" t="n">
        <v>18</v>
      </c>
      <c r="C45" s="35">
        <f>SUMIFS('Detalle Compras Agosto 2026'!$G:$G, 'Detalle Compras Agosto 2026'!$A:$A, B45, 'Detalle Compras Agosto 2026'!$B:$B, "&lt;&gt;Servicios")</f>
        <v/>
      </c>
      <c r="D45" s="27">
        <f>SUMIFS('Detalle Compras Agosto 2026'!$G:$G, 'Detalle Compras Agosto 2026'!$A:$A, B45, 'Detalle Compras Agosto 2026'!$B:$B, "Servicios")</f>
        <v/>
      </c>
      <c r="E45" s="36">
        <f>C45+D45</f>
        <v/>
      </c>
      <c r="F45" s="29">
        <f>IF(E45&gt;0, C45/E45, 0)</f>
        <v/>
      </c>
      <c r="G45" s="29">
        <f>IF(E45&gt;0, D45/E45, 0)</f>
        <v/>
      </c>
      <c r="H45" s="22">
        <f>SUMIFS('Detalle Compras Agosto 2026'!$G:$G, 'Detalle Compras Agosto 2026'!$A:$A, B45, 'Detalle Compras Agosto 2026'!$B:$B, "Carnes")</f>
        <v/>
      </c>
      <c r="I45" s="22">
        <f>SUMIFS('Detalle Compras Agosto 2026'!$G:$G, 'Detalle Compras Agosto 2026'!$A:$A, B45, 'Detalle Compras Agosto 2026'!$B:$B, "Verduras")</f>
        <v/>
      </c>
      <c r="J45" s="22">
        <f>SUMIFS('Detalle Compras Agosto 2026'!$G:$G, 'Detalle Compras Agosto 2026'!$A:$A, B45, 'Detalle Compras Agosto 2026'!$B:$B, "Grano")</f>
        <v/>
      </c>
      <c r="K45" s="22">
        <f>SUMIFS('Detalle Compras Agosto 2026'!$G:$G, 'Detalle Compras Agosto 2026'!$A:$A, B45, 'Detalle Compras Agosto 2026'!$B:$B, "Bebidas")</f>
        <v/>
      </c>
      <c r="L45" s="22">
        <f>SUMIFS('Detalle Compras Agosto 2026'!$G:$G, 'Detalle Compras Agosto 2026'!$A:$A, B45, 'Detalle Compras Agosto 2026'!$B:$B, "Desechables")</f>
        <v/>
      </c>
      <c r="M45" s="22">
        <f>SUMIFS('Detalle Compras Agosto 2026'!$G:$G, 'Detalle Compras Agosto 2026'!$A:$A, B45, 'Detalle Compras Agosto 2026'!$B:$B, "Servicios")</f>
        <v/>
      </c>
      <c r="N45" s="19">
        <f>COUNTIF('Detalle Compras Agosto 2026'!$A:$A, B45)</f>
        <v/>
      </c>
    </row>
    <row r="46" ht="18" customHeight="1" s="111">
      <c r="B46" s="34" t="n">
        <v>19</v>
      </c>
      <c r="C46" s="35">
        <f>SUMIFS('Detalle Compras Agosto 2026'!$G:$G, 'Detalle Compras Agosto 2026'!$A:$A, B46, 'Detalle Compras Agosto 2026'!$B:$B, "&lt;&gt;Servicios")</f>
        <v/>
      </c>
      <c r="D46" s="27">
        <f>SUMIFS('Detalle Compras Agosto 2026'!$G:$G, 'Detalle Compras Agosto 2026'!$A:$A, B46, 'Detalle Compras Agosto 2026'!$B:$B, "Servicios")</f>
        <v/>
      </c>
      <c r="E46" s="36">
        <f>C46+D46</f>
        <v/>
      </c>
      <c r="F46" s="32">
        <f>IF(E46&gt;0, C46/E46, 0)</f>
        <v/>
      </c>
      <c r="G46" s="32">
        <f>IF(E46&gt;0, D46/E46, 0)</f>
        <v/>
      </c>
      <c r="H46" s="8">
        <f>SUMIFS('Detalle Compras Agosto 2026'!$G:$G, 'Detalle Compras Agosto 2026'!$A:$A, B46, 'Detalle Compras Agosto 2026'!$B:$B, "Carnes")</f>
        <v/>
      </c>
      <c r="I46" s="8">
        <f>SUMIFS('Detalle Compras Agosto 2026'!$G:$G, 'Detalle Compras Agosto 2026'!$A:$A, B46, 'Detalle Compras Agosto 2026'!$B:$B, "Verduras")</f>
        <v/>
      </c>
      <c r="J46" s="8">
        <f>SUMIFS('Detalle Compras Agosto 2026'!$G:$G, 'Detalle Compras Agosto 2026'!$A:$A, B46, 'Detalle Compras Agosto 2026'!$B:$B, "Grano")</f>
        <v/>
      </c>
      <c r="K46" s="8">
        <f>SUMIFS('Detalle Compras Agosto 2026'!$G:$G, 'Detalle Compras Agosto 2026'!$A:$A, B46, 'Detalle Compras Agosto 2026'!$B:$B, "Bebidas")</f>
        <v/>
      </c>
      <c r="L46" s="8">
        <f>SUMIFS('Detalle Compras Agosto 2026'!$G:$G, 'Detalle Compras Agosto 2026'!$A:$A, B46, 'Detalle Compras Agosto 2026'!$B:$B, "Desechables")</f>
        <v/>
      </c>
      <c r="M46" s="8">
        <f>SUMIFS('Detalle Compras Agosto 2026'!$G:$G, 'Detalle Compras Agosto 2026'!$A:$A, B46, 'Detalle Compras Agosto 2026'!$B:$B, "Servicios")</f>
        <v/>
      </c>
      <c r="N46" s="31">
        <f>COUNTIF('Detalle Compras Agosto 2026'!$A:$A, B46)</f>
        <v/>
      </c>
    </row>
    <row r="47" ht="18" customHeight="1" s="111">
      <c r="B47" s="37" t="n">
        <v>20</v>
      </c>
      <c r="C47" s="35">
        <f>SUMIFS('Detalle Compras Agosto 2026'!$G:$G, 'Detalle Compras Agosto 2026'!$A:$A, B47, 'Detalle Compras Agosto 2026'!$B:$B, "&lt;&gt;Servicios")</f>
        <v/>
      </c>
      <c r="D47" s="27">
        <f>SUMIFS('Detalle Compras Agosto 2026'!$G:$G, 'Detalle Compras Agosto 2026'!$A:$A, B47, 'Detalle Compras Agosto 2026'!$B:$B, "Servicios")</f>
        <v/>
      </c>
      <c r="E47" s="36">
        <f>C47+D47</f>
        <v/>
      </c>
      <c r="F47" s="29">
        <f>IF(E47&gt;0, C47/E47, 0)</f>
        <v/>
      </c>
      <c r="G47" s="29">
        <f>IF(E47&gt;0, D47/E47, 0)</f>
        <v/>
      </c>
      <c r="H47" s="22">
        <f>SUMIFS('Detalle Compras Agosto 2026'!$G:$G, 'Detalle Compras Agosto 2026'!$A:$A, B47, 'Detalle Compras Agosto 2026'!$B:$B, "Carnes")</f>
        <v/>
      </c>
      <c r="I47" s="22">
        <f>SUMIFS('Detalle Compras Agosto 2026'!$G:$G, 'Detalle Compras Agosto 2026'!$A:$A, B47, 'Detalle Compras Agosto 2026'!$B:$B, "Verduras")</f>
        <v/>
      </c>
      <c r="J47" s="22">
        <f>SUMIFS('Detalle Compras Agosto 2026'!$G:$G, 'Detalle Compras Agosto 2026'!$A:$A, B47, 'Detalle Compras Agosto 2026'!$B:$B, "Grano")</f>
        <v/>
      </c>
      <c r="K47" s="22">
        <f>SUMIFS('Detalle Compras Agosto 2026'!$G:$G, 'Detalle Compras Agosto 2026'!$A:$A, B47, 'Detalle Compras Agosto 2026'!$B:$B, "Bebidas")</f>
        <v/>
      </c>
      <c r="L47" s="22">
        <f>SUMIFS('Detalle Compras Agosto 2026'!$G:$G, 'Detalle Compras Agosto 2026'!$A:$A, B47, 'Detalle Compras Agosto 2026'!$B:$B, "Desechables")</f>
        <v/>
      </c>
      <c r="M47" s="22">
        <f>SUMIFS('Detalle Compras Agosto 2026'!$G:$G, 'Detalle Compras Agosto 2026'!$A:$A, B47, 'Detalle Compras Agosto 2026'!$B:$B, "Servicios")</f>
        <v/>
      </c>
      <c r="N47" s="19">
        <f>COUNTIF('Detalle Compras Agosto 2026'!$A:$A, B47)</f>
        <v/>
      </c>
    </row>
    <row r="48" ht="18" customHeight="1" s="111">
      <c r="B48" s="34" t="n">
        <v>21</v>
      </c>
      <c r="C48" s="35">
        <f>SUMIFS('Detalle Compras Agosto 2026'!$G:$G, 'Detalle Compras Agosto 2026'!$A:$A, B48, 'Detalle Compras Agosto 2026'!$B:$B, "&lt;&gt;Servicios")</f>
        <v/>
      </c>
      <c r="D48" s="27">
        <f>SUMIFS('Detalle Compras Agosto 2026'!$G:$G, 'Detalle Compras Agosto 2026'!$A:$A, B48, 'Detalle Compras Agosto 2026'!$B:$B, "Servicios")</f>
        <v/>
      </c>
      <c r="E48" s="36">
        <f>C48+D48</f>
        <v/>
      </c>
      <c r="F48" s="32">
        <f>IF(E48&gt;0, C48/E48, 0)</f>
        <v/>
      </c>
      <c r="G48" s="32">
        <f>IF(E48&gt;0, D48/E48, 0)</f>
        <v/>
      </c>
      <c r="H48" s="8">
        <f>SUMIFS('Detalle Compras Agosto 2026'!$G:$G, 'Detalle Compras Agosto 2026'!$A:$A, B48, 'Detalle Compras Agosto 2026'!$B:$B, "Carnes")</f>
        <v/>
      </c>
      <c r="I48" s="8">
        <f>SUMIFS('Detalle Compras Agosto 2026'!$G:$G, 'Detalle Compras Agosto 2026'!$A:$A, B48, 'Detalle Compras Agosto 2026'!$B:$B, "Verduras")</f>
        <v/>
      </c>
      <c r="J48" s="8">
        <f>SUMIFS('Detalle Compras Agosto 2026'!$G:$G, 'Detalle Compras Agosto 2026'!$A:$A, B48, 'Detalle Compras Agosto 2026'!$B:$B, "Grano")</f>
        <v/>
      </c>
      <c r="K48" s="8">
        <f>SUMIFS('Detalle Compras Agosto 2026'!$G:$G, 'Detalle Compras Agosto 2026'!$A:$A, B48, 'Detalle Compras Agosto 2026'!$B:$B, "Bebidas")</f>
        <v/>
      </c>
      <c r="L48" s="8">
        <f>SUMIFS('Detalle Compras Agosto 2026'!$G:$G, 'Detalle Compras Agosto 2026'!$A:$A, B48, 'Detalle Compras Agosto 2026'!$B:$B, "Desechables")</f>
        <v/>
      </c>
      <c r="M48" s="8">
        <f>SUMIFS('Detalle Compras Agosto 2026'!$G:$G, 'Detalle Compras Agosto 2026'!$A:$A, B48, 'Detalle Compras Agosto 2026'!$B:$B, "Servicios")</f>
        <v/>
      </c>
      <c r="N48" s="31">
        <f>COUNTIF('Detalle Compras Agosto 2026'!$A:$A, B48)</f>
        <v/>
      </c>
    </row>
    <row r="49" ht="18" customHeight="1" s="111">
      <c r="B49" s="37" t="n">
        <v>22</v>
      </c>
      <c r="C49" s="35">
        <f>SUMIFS('Detalle Compras Agosto 2026'!$G:$G, 'Detalle Compras Agosto 2026'!$A:$A, B49, 'Detalle Compras Agosto 2026'!$B:$B, "&lt;&gt;Servicios")</f>
        <v/>
      </c>
      <c r="D49" s="27">
        <f>SUMIFS('Detalle Compras Agosto 2026'!$G:$G, 'Detalle Compras Agosto 2026'!$A:$A, B49, 'Detalle Compras Agosto 2026'!$B:$B, "Servicios")</f>
        <v/>
      </c>
      <c r="E49" s="36">
        <f>C49+D49</f>
        <v/>
      </c>
      <c r="F49" s="29">
        <f>IF(E49&gt;0, C49/E49, 0)</f>
        <v/>
      </c>
      <c r="G49" s="29">
        <f>IF(E49&gt;0, D49/E49, 0)</f>
        <v/>
      </c>
      <c r="H49" s="22">
        <f>SUMIFS('Detalle Compras Agosto 2026'!$G:$G, 'Detalle Compras Agosto 2026'!$A:$A, B49, 'Detalle Compras Agosto 2026'!$B:$B, "Carnes")</f>
        <v/>
      </c>
      <c r="I49" s="22">
        <f>SUMIFS('Detalle Compras Agosto 2026'!$G:$G, 'Detalle Compras Agosto 2026'!$A:$A, B49, 'Detalle Compras Agosto 2026'!$B:$B, "Verduras")</f>
        <v/>
      </c>
      <c r="J49" s="22">
        <f>SUMIFS('Detalle Compras Agosto 2026'!$G:$G, 'Detalle Compras Agosto 2026'!$A:$A, B49, 'Detalle Compras Agosto 2026'!$B:$B, "Grano")</f>
        <v/>
      </c>
      <c r="K49" s="22">
        <f>SUMIFS('Detalle Compras Agosto 2026'!$G:$G, 'Detalle Compras Agosto 2026'!$A:$A, B49, 'Detalle Compras Agosto 2026'!$B:$B, "Bebidas")</f>
        <v/>
      </c>
      <c r="L49" s="22">
        <f>SUMIFS('Detalle Compras Agosto 2026'!$G:$G, 'Detalle Compras Agosto 2026'!$A:$A, B49, 'Detalle Compras Agosto 2026'!$B:$B, "Desechables")</f>
        <v/>
      </c>
      <c r="M49" s="22">
        <f>SUMIFS('Detalle Compras Agosto 2026'!$G:$G, 'Detalle Compras Agosto 2026'!$A:$A, B49, 'Detalle Compras Agosto 2026'!$B:$B, "Servicios")</f>
        <v/>
      </c>
      <c r="N49" s="19">
        <f>COUNTIF('Detalle Compras Agosto 2026'!$A:$A, B49)</f>
        <v/>
      </c>
    </row>
    <row r="50" ht="18" customHeight="1" s="111">
      <c r="B50" s="34" t="n">
        <v>23</v>
      </c>
      <c r="C50" s="35">
        <f>SUMIFS('Detalle Compras Agosto 2026'!$G:$G, 'Detalle Compras Agosto 2026'!$A:$A, B50, 'Detalle Compras Agosto 2026'!$B:$B, "&lt;&gt;Servicios")</f>
        <v/>
      </c>
      <c r="D50" s="27">
        <f>SUMIFS('Detalle Compras Agosto 2026'!$G:$G, 'Detalle Compras Agosto 2026'!$A:$A, B50, 'Detalle Compras Agosto 2026'!$B:$B, "Servicios")</f>
        <v/>
      </c>
      <c r="E50" s="36">
        <f>C50+D50</f>
        <v/>
      </c>
      <c r="F50" s="32">
        <f>IF(E50&gt;0, C50/E50, 0)</f>
        <v/>
      </c>
      <c r="G50" s="32">
        <f>IF(E50&gt;0, D50/E50, 0)</f>
        <v/>
      </c>
      <c r="H50" s="8">
        <f>SUMIFS('Detalle Compras Agosto 2026'!$G:$G, 'Detalle Compras Agosto 2026'!$A:$A, B50, 'Detalle Compras Agosto 2026'!$B:$B, "Carnes")</f>
        <v/>
      </c>
      <c r="I50" s="8">
        <f>SUMIFS('Detalle Compras Agosto 2026'!$G:$G, 'Detalle Compras Agosto 2026'!$A:$A, B50, 'Detalle Compras Agosto 2026'!$B:$B, "Verduras")</f>
        <v/>
      </c>
      <c r="J50" s="8">
        <f>SUMIFS('Detalle Compras Agosto 2026'!$G:$G, 'Detalle Compras Agosto 2026'!$A:$A, B50, 'Detalle Compras Agosto 2026'!$B:$B, "Grano")</f>
        <v/>
      </c>
      <c r="K50" s="8">
        <f>SUMIFS('Detalle Compras Agosto 2026'!$G:$G, 'Detalle Compras Agosto 2026'!$A:$A, B50, 'Detalle Compras Agosto 2026'!$B:$B, "Bebidas")</f>
        <v/>
      </c>
      <c r="L50" s="8">
        <f>SUMIFS('Detalle Compras Agosto 2026'!$G:$G, 'Detalle Compras Agosto 2026'!$A:$A, B50, 'Detalle Compras Agosto 2026'!$B:$B, "Desechables")</f>
        <v/>
      </c>
      <c r="M50" s="8">
        <f>SUMIFS('Detalle Compras Agosto 2026'!$G:$G, 'Detalle Compras Agosto 2026'!$A:$A, B50, 'Detalle Compras Agosto 2026'!$B:$B, "Servicios")</f>
        <v/>
      </c>
      <c r="N50" s="31">
        <f>COUNTIF('Detalle Compras Agosto 2026'!$A:$A, B50)</f>
        <v/>
      </c>
    </row>
    <row r="51" ht="18" customHeight="1" s="111">
      <c r="B51" s="37" t="n">
        <v>24</v>
      </c>
      <c r="C51" s="35">
        <f>SUMIFS('Detalle Compras Agosto 2026'!$G:$G, 'Detalle Compras Agosto 2026'!$A:$A, B51, 'Detalle Compras Agosto 2026'!$B:$B, "&lt;&gt;Servicios")</f>
        <v/>
      </c>
      <c r="D51" s="27">
        <f>SUMIFS('Detalle Compras Agosto 2026'!$G:$G, 'Detalle Compras Agosto 2026'!$A:$A, B51, 'Detalle Compras Agosto 2026'!$B:$B, "Servicios")</f>
        <v/>
      </c>
      <c r="E51" s="36">
        <f>C51+D51</f>
        <v/>
      </c>
      <c r="F51" s="29">
        <f>IF(E51&gt;0, C51/E51, 0)</f>
        <v/>
      </c>
      <c r="G51" s="29">
        <f>IF(E51&gt;0, D51/E51, 0)</f>
        <v/>
      </c>
      <c r="H51" s="22">
        <f>SUMIFS('Detalle Compras Agosto 2026'!$G:$G, 'Detalle Compras Agosto 2026'!$A:$A, B51, 'Detalle Compras Agosto 2026'!$B:$B, "Carnes")</f>
        <v/>
      </c>
      <c r="I51" s="22">
        <f>SUMIFS('Detalle Compras Agosto 2026'!$G:$G, 'Detalle Compras Agosto 2026'!$A:$A, B51, 'Detalle Compras Agosto 2026'!$B:$B, "Verduras")</f>
        <v/>
      </c>
      <c r="J51" s="22">
        <f>SUMIFS('Detalle Compras Agosto 2026'!$G:$G, 'Detalle Compras Agosto 2026'!$A:$A, B51, 'Detalle Compras Agosto 2026'!$B:$B, "Grano")</f>
        <v/>
      </c>
      <c r="K51" s="22">
        <f>SUMIFS('Detalle Compras Agosto 2026'!$G:$G, 'Detalle Compras Agosto 2026'!$A:$A, B51, 'Detalle Compras Agosto 2026'!$B:$B, "Bebidas")</f>
        <v/>
      </c>
      <c r="L51" s="22">
        <f>SUMIFS('Detalle Compras Agosto 2026'!$G:$G, 'Detalle Compras Agosto 2026'!$A:$A, B51, 'Detalle Compras Agosto 2026'!$B:$B, "Desechables")</f>
        <v/>
      </c>
      <c r="M51" s="22">
        <f>SUMIFS('Detalle Compras Agosto 2026'!$G:$G, 'Detalle Compras Agosto 2026'!$A:$A, B51, 'Detalle Compras Agosto 2026'!$B:$B, "Servicios")</f>
        <v/>
      </c>
      <c r="N51" s="19">
        <f>COUNTIF('Detalle Compras Agosto 2026'!$A:$A, B51)</f>
        <v/>
      </c>
    </row>
    <row r="52" ht="18" customHeight="1" s="111">
      <c r="B52" s="34" t="n">
        <v>25</v>
      </c>
      <c r="C52" s="35">
        <f>SUMIFS('Detalle Compras Agosto 2026'!$G:$G, 'Detalle Compras Agosto 2026'!$A:$A, B52, 'Detalle Compras Agosto 2026'!$B:$B, "&lt;&gt;Servicios")</f>
        <v/>
      </c>
      <c r="D52" s="27">
        <f>SUMIFS('Detalle Compras Agosto 2026'!$G:$G, 'Detalle Compras Agosto 2026'!$A:$A, B52, 'Detalle Compras Agosto 2026'!$B:$B, "Servicios")</f>
        <v/>
      </c>
      <c r="E52" s="36">
        <f>C52+D52</f>
        <v/>
      </c>
      <c r="F52" s="32">
        <f>IF(E52&gt;0, C52/E52, 0)</f>
        <v/>
      </c>
      <c r="G52" s="32">
        <f>IF(E52&gt;0, D52/E52, 0)</f>
        <v/>
      </c>
      <c r="H52" s="8">
        <f>SUMIFS('Detalle Compras Agosto 2026'!$G:$G, 'Detalle Compras Agosto 2026'!$A:$A, B52, 'Detalle Compras Agosto 2026'!$B:$B, "Carnes")</f>
        <v/>
      </c>
      <c r="I52" s="8">
        <f>SUMIFS('Detalle Compras Agosto 2026'!$G:$G, 'Detalle Compras Agosto 2026'!$A:$A, B52, 'Detalle Compras Agosto 2026'!$B:$B, "Verduras")</f>
        <v/>
      </c>
      <c r="J52" s="8">
        <f>SUMIFS('Detalle Compras Agosto 2026'!$G:$G, 'Detalle Compras Agosto 2026'!$A:$A, B52, 'Detalle Compras Agosto 2026'!$B:$B, "Grano")</f>
        <v/>
      </c>
      <c r="K52" s="8">
        <f>SUMIFS('Detalle Compras Agosto 2026'!$G:$G, 'Detalle Compras Agosto 2026'!$A:$A, B52, 'Detalle Compras Agosto 2026'!$B:$B, "Bebidas")</f>
        <v/>
      </c>
      <c r="L52" s="8">
        <f>SUMIFS('Detalle Compras Agosto 2026'!$G:$G, 'Detalle Compras Agosto 2026'!$A:$A, B52, 'Detalle Compras Agosto 2026'!$B:$B, "Desechables")</f>
        <v/>
      </c>
      <c r="M52" s="8">
        <f>SUMIFS('Detalle Compras Agosto 2026'!$G:$G, 'Detalle Compras Agosto 2026'!$A:$A, B52, 'Detalle Compras Agosto 2026'!$B:$B, "Servicios")</f>
        <v/>
      </c>
      <c r="N52" s="31">
        <f>COUNTIF('Detalle Compras Agosto 2026'!$A:$A, B52)</f>
        <v/>
      </c>
    </row>
    <row r="53" ht="18" customHeight="1" s="111">
      <c r="B53" s="37" t="n">
        <v>26</v>
      </c>
      <c r="C53" s="35">
        <f>SUMIFS('Detalle Compras Agosto 2026'!$G:$G, 'Detalle Compras Agosto 2026'!$A:$A, B53, 'Detalle Compras Agosto 2026'!$B:$B, "&lt;&gt;Servicios")</f>
        <v/>
      </c>
      <c r="D53" s="27">
        <f>SUMIFS('Detalle Compras Agosto 2026'!$G:$G, 'Detalle Compras Agosto 2026'!$A:$A, B53, 'Detalle Compras Agosto 2026'!$B:$B, "Servicios")</f>
        <v/>
      </c>
      <c r="E53" s="36">
        <f>C53+D53</f>
        <v/>
      </c>
      <c r="F53" s="29">
        <f>IF(E53&gt;0, C53/E53, 0)</f>
        <v/>
      </c>
      <c r="G53" s="29">
        <f>IF(E53&gt;0, D53/E53, 0)</f>
        <v/>
      </c>
      <c r="H53" s="22">
        <f>SUMIFS('Detalle Compras Agosto 2026'!$G:$G, 'Detalle Compras Agosto 2026'!$A:$A, B53, 'Detalle Compras Agosto 2026'!$B:$B, "Carnes")</f>
        <v/>
      </c>
      <c r="I53" s="22">
        <f>SUMIFS('Detalle Compras Agosto 2026'!$G:$G, 'Detalle Compras Agosto 2026'!$A:$A, B53, 'Detalle Compras Agosto 2026'!$B:$B, "Verduras")</f>
        <v/>
      </c>
      <c r="J53" s="22">
        <f>SUMIFS('Detalle Compras Agosto 2026'!$G:$G, 'Detalle Compras Agosto 2026'!$A:$A, B53, 'Detalle Compras Agosto 2026'!$B:$B, "Grano")</f>
        <v/>
      </c>
      <c r="K53" s="22">
        <f>SUMIFS('Detalle Compras Agosto 2026'!$G:$G, 'Detalle Compras Agosto 2026'!$A:$A, B53, 'Detalle Compras Agosto 2026'!$B:$B, "Bebidas")</f>
        <v/>
      </c>
      <c r="L53" s="22">
        <f>SUMIFS('Detalle Compras Agosto 2026'!$G:$G, 'Detalle Compras Agosto 2026'!$A:$A, B53, 'Detalle Compras Agosto 2026'!$B:$B, "Desechables")</f>
        <v/>
      </c>
      <c r="M53" s="22">
        <f>SUMIFS('Detalle Compras Agosto 2026'!$G:$G, 'Detalle Compras Agosto 2026'!$A:$A, B53, 'Detalle Compras Agosto 2026'!$B:$B, "Servicios")</f>
        <v/>
      </c>
      <c r="N53" s="19">
        <f>COUNTIF('Detalle Compras Agosto 2026'!$A:$A, B53)</f>
        <v/>
      </c>
    </row>
    <row r="54" ht="18" customHeight="1" s="111">
      <c r="B54" s="34" t="n">
        <v>27</v>
      </c>
      <c r="C54" s="35">
        <f>SUMIFS('Detalle Compras Agosto 2026'!$G:$G, 'Detalle Compras Agosto 2026'!$A:$A, B54, 'Detalle Compras Agosto 2026'!$B:$B, "&lt;&gt;Servicios")</f>
        <v/>
      </c>
      <c r="D54" s="27">
        <f>SUMIFS('Detalle Compras Agosto 2026'!$G:$G, 'Detalle Compras Agosto 2026'!$A:$A, B54, 'Detalle Compras Agosto 2026'!$B:$B, "Servicios")</f>
        <v/>
      </c>
      <c r="E54" s="36">
        <f>C54+D54</f>
        <v/>
      </c>
      <c r="F54" s="32">
        <f>IF(E54&gt;0, C54/E54, 0)</f>
        <v/>
      </c>
      <c r="G54" s="32">
        <f>IF(E54&gt;0, D54/E54, 0)</f>
        <v/>
      </c>
      <c r="H54" s="8">
        <f>SUMIFS('Detalle Compras Agosto 2026'!$G:$G, 'Detalle Compras Agosto 2026'!$A:$A, B54, 'Detalle Compras Agosto 2026'!$B:$B, "Carnes")</f>
        <v/>
      </c>
      <c r="I54" s="8">
        <f>SUMIFS('Detalle Compras Agosto 2026'!$G:$G, 'Detalle Compras Agosto 2026'!$A:$A, B54, 'Detalle Compras Agosto 2026'!$B:$B, "Verduras")</f>
        <v/>
      </c>
      <c r="J54" s="8">
        <f>SUMIFS('Detalle Compras Agosto 2026'!$G:$G, 'Detalle Compras Agosto 2026'!$A:$A, B54, 'Detalle Compras Agosto 2026'!$B:$B, "Grano")</f>
        <v/>
      </c>
      <c r="K54" s="8">
        <f>SUMIFS('Detalle Compras Agosto 2026'!$G:$G, 'Detalle Compras Agosto 2026'!$A:$A, B54, 'Detalle Compras Agosto 2026'!$B:$B, "Bebidas")</f>
        <v/>
      </c>
      <c r="L54" s="8">
        <f>SUMIFS('Detalle Compras Agosto 2026'!$G:$G, 'Detalle Compras Agosto 2026'!$A:$A, B54, 'Detalle Compras Agosto 2026'!$B:$B, "Desechables")</f>
        <v/>
      </c>
      <c r="M54" s="8">
        <f>SUMIFS('Detalle Compras Agosto 2026'!$G:$G, 'Detalle Compras Agosto 2026'!$A:$A, B54, 'Detalle Compras Agosto 2026'!$B:$B, "Servicios")</f>
        <v/>
      </c>
      <c r="N54" s="31">
        <f>COUNTIF('Detalle Compras Agosto 2026'!$A:$A, B54)</f>
        <v/>
      </c>
    </row>
    <row r="55" ht="18" customHeight="1" s="111">
      <c r="B55" s="37" t="n">
        <v>28</v>
      </c>
      <c r="C55" s="35">
        <f>SUMIFS('Detalle Compras Agosto 2026'!$G:$G, 'Detalle Compras Agosto 2026'!$A:$A, B55, 'Detalle Compras Agosto 2026'!$B:$B, "&lt;&gt;Servicios")</f>
        <v/>
      </c>
      <c r="D55" s="27">
        <f>SUMIFS('Detalle Compras Agosto 2026'!$G:$G, 'Detalle Compras Agosto 2026'!$A:$A, B55, 'Detalle Compras Agosto 2026'!$B:$B, "Servicios")</f>
        <v/>
      </c>
      <c r="E55" s="36">
        <f>C55+D55</f>
        <v/>
      </c>
      <c r="F55" s="29">
        <f>IF(E55&gt;0, C55/E55, 0)</f>
        <v/>
      </c>
      <c r="G55" s="29">
        <f>IF(E55&gt;0, D55/E55, 0)</f>
        <v/>
      </c>
      <c r="H55" s="22">
        <f>SUMIFS('Detalle Compras Agosto 2026'!$G:$G, 'Detalle Compras Agosto 2026'!$A:$A, B55, 'Detalle Compras Agosto 2026'!$B:$B, "Carnes")</f>
        <v/>
      </c>
      <c r="I55" s="22">
        <f>SUMIFS('Detalle Compras Agosto 2026'!$G:$G, 'Detalle Compras Agosto 2026'!$A:$A, B55, 'Detalle Compras Agosto 2026'!$B:$B, "Verduras")</f>
        <v/>
      </c>
      <c r="J55" s="22">
        <f>SUMIFS('Detalle Compras Agosto 2026'!$G:$G, 'Detalle Compras Agosto 2026'!$A:$A, B55, 'Detalle Compras Agosto 2026'!$B:$B, "Grano")</f>
        <v/>
      </c>
      <c r="K55" s="22">
        <f>SUMIFS('Detalle Compras Agosto 2026'!$G:$G, 'Detalle Compras Agosto 2026'!$A:$A, B55, 'Detalle Compras Agosto 2026'!$B:$B, "Bebidas")</f>
        <v/>
      </c>
      <c r="L55" s="22">
        <f>SUMIFS('Detalle Compras Agosto 2026'!$G:$G, 'Detalle Compras Agosto 2026'!$A:$A, B55, 'Detalle Compras Agosto 2026'!$B:$B, "Desechables")</f>
        <v/>
      </c>
      <c r="M55" s="22">
        <f>SUMIFS('Detalle Compras Agosto 2026'!$G:$G, 'Detalle Compras Agosto 2026'!$A:$A, B55, 'Detalle Compras Agosto 2026'!$B:$B, "Servicios")</f>
        <v/>
      </c>
      <c r="N55" s="19">
        <f>COUNTIF('Detalle Compras Agosto 2026'!$A:$A, B55)</f>
        <v/>
      </c>
    </row>
    <row r="56" ht="18" customHeight="1" s="111">
      <c r="B56" s="34" t="n">
        <v>29</v>
      </c>
      <c r="C56" s="35">
        <f>SUMIFS('Detalle Compras Agosto 2026'!$G:$G, 'Detalle Compras Agosto 2026'!$A:$A, B56, 'Detalle Compras Agosto 2026'!$B:$B, "&lt;&gt;Servicios")</f>
        <v/>
      </c>
      <c r="D56" s="27">
        <f>SUMIFS('Detalle Compras Agosto 2026'!$G:$G, 'Detalle Compras Agosto 2026'!$A:$A, B56, 'Detalle Compras Agosto 2026'!$B:$B, "Servicios")</f>
        <v/>
      </c>
      <c r="E56" s="36">
        <f>C56+D56</f>
        <v/>
      </c>
      <c r="F56" s="32">
        <f>IF(E56&gt;0, C56/E56, 0)</f>
        <v/>
      </c>
      <c r="G56" s="32">
        <f>IF(E56&gt;0, D56/E56, 0)</f>
        <v/>
      </c>
      <c r="H56" s="8">
        <f>SUMIFS('Detalle Compras Agosto 2026'!$G:$G, 'Detalle Compras Agosto 2026'!$A:$A, B56, 'Detalle Compras Agosto 2026'!$B:$B, "Carnes")</f>
        <v/>
      </c>
      <c r="I56" s="8">
        <f>SUMIFS('Detalle Compras Agosto 2026'!$G:$G, 'Detalle Compras Agosto 2026'!$A:$A, B56, 'Detalle Compras Agosto 2026'!$B:$B, "Verduras")</f>
        <v/>
      </c>
      <c r="J56" s="8">
        <f>SUMIFS('Detalle Compras Agosto 2026'!$G:$G, 'Detalle Compras Agosto 2026'!$A:$A, B56, 'Detalle Compras Agosto 2026'!$B:$B, "Grano")</f>
        <v/>
      </c>
      <c r="K56" s="8">
        <f>SUMIFS('Detalle Compras Agosto 2026'!$G:$G, 'Detalle Compras Agosto 2026'!$A:$A, B56, 'Detalle Compras Agosto 2026'!$B:$B, "Bebidas")</f>
        <v/>
      </c>
      <c r="L56" s="8">
        <f>SUMIFS('Detalle Compras Agosto 2026'!$G:$G, 'Detalle Compras Agosto 2026'!$A:$A, B56, 'Detalle Compras Agosto 2026'!$B:$B, "Desechables")</f>
        <v/>
      </c>
      <c r="M56" s="8">
        <f>SUMIFS('Detalle Compras Agosto 2026'!$G:$G, 'Detalle Compras Agosto 2026'!$A:$A, B56, 'Detalle Compras Agosto 2026'!$B:$B, "Servicios")</f>
        <v/>
      </c>
      <c r="N56" s="31">
        <f>COUNTIF('Detalle Compras Agosto 2026'!$A:$A, B56)</f>
        <v/>
      </c>
    </row>
    <row r="57" ht="18" customHeight="1" s="111">
      <c r="B57" s="37" t="n">
        <v>30</v>
      </c>
      <c r="C57" s="35">
        <f>SUMIFS('Detalle Compras Agosto 2026'!$G:$G, 'Detalle Compras Agosto 2026'!$A:$A, B57, 'Detalle Compras Agosto 2026'!$B:$B, "&lt;&gt;Servicios")</f>
        <v/>
      </c>
      <c r="D57" s="27">
        <f>SUMIFS('Detalle Compras Agosto 2026'!$G:$G, 'Detalle Compras Agosto 2026'!$A:$A, B57, 'Detalle Compras Agosto 2026'!$B:$B, "Servicios")</f>
        <v/>
      </c>
      <c r="E57" s="36">
        <f>C57+D57</f>
        <v/>
      </c>
      <c r="F57" s="29">
        <f>IF(E57&gt;0, C57/E57, 0)</f>
        <v/>
      </c>
      <c r="G57" s="29">
        <f>IF(E57&gt;0, D57/E57, 0)</f>
        <v/>
      </c>
      <c r="H57" s="22">
        <f>SUMIFS('Detalle Compras Agosto 2026'!$G:$G, 'Detalle Compras Agosto 2026'!$A:$A, B57, 'Detalle Compras Agosto 2026'!$B:$B, "Carnes")</f>
        <v/>
      </c>
      <c r="I57" s="22">
        <f>SUMIFS('Detalle Compras Agosto 2026'!$G:$G, 'Detalle Compras Agosto 2026'!$A:$A, B57, 'Detalle Compras Agosto 2026'!$B:$B, "Verduras")</f>
        <v/>
      </c>
      <c r="J57" s="22">
        <f>SUMIFS('Detalle Compras Agosto 2026'!$G:$G, 'Detalle Compras Agosto 2026'!$A:$A, B57, 'Detalle Compras Agosto 2026'!$B:$B, "Grano")</f>
        <v/>
      </c>
      <c r="K57" s="22">
        <f>SUMIFS('Detalle Compras Agosto 2026'!$G:$G, 'Detalle Compras Agosto 2026'!$A:$A, B57, 'Detalle Compras Agosto 2026'!$B:$B, "Bebidas")</f>
        <v/>
      </c>
      <c r="L57" s="22">
        <f>SUMIFS('Detalle Compras Agosto 2026'!$G:$G, 'Detalle Compras Agosto 2026'!$A:$A, B57, 'Detalle Compras Agosto 2026'!$B:$B, "Desechables")</f>
        <v/>
      </c>
      <c r="M57" s="22">
        <f>SUMIFS('Detalle Compras Agosto 2026'!$G:$G, 'Detalle Compras Agosto 2026'!$A:$A, B57, 'Detalle Compras Agosto 2026'!$B:$B, "Servicios")</f>
        <v/>
      </c>
      <c r="N57" s="19">
        <f>COUNTIF('Detalle Compras Agosto 2026'!$A:$A, B57)</f>
        <v/>
      </c>
    </row>
    <row r="58" ht="18" customHeight="1" s="111">
      <c r="B58" s="34" t="n">
        <v>31</v>
      </c>
      <c r="C58" s="35">
        <f>SUMIFS('Detalle Compras Agosto 2026'!$G:$G, 'Detalle Compras Agosto 2026'!$A:$A, B58, 'Detalle Compras Agosto 2026'!$B:$B, "&lt;&gt;Servicios")</f>
        <v/>
      </c>
      <c r="D58" s="27">
        <f>SUMIFS('Detalle Compras Agosto 2026'!$G:$G, 'Detalle Compras Agosto 2026'!$A:$A, B58, 'Detalle Compras Agosto 2026'!$B:$B, "Servicios")</f>
        <v/>
      </c>
      <c r="E58" s="36">
        <f>C58+D58</f>
        <v/>
      </c>
      <c r="F58" s="32">
        <f>IF(E58&gt;0, C58/E58, 0)</f>
        <v/>
      </c>
      <c r="G58" s="32">
        <f>IF(E58&gt;0, D58/E58, 0)</f>
        <v/>
      </c>
      <c r="H58" s="8">
        <f>SUMIFS('Detalle Compras Agosto 2026'!$G:$G, 'Detalle Compras Agosto 2026'!$A:$A, B58, 'Detalle Compras Agosto 2026'!$B:$B, "Carnes")</f>
        <v/>
      </c>
      <c r="I58" s="8">
        <f>SUMIFS('Detalle Compras Agosto 2026'!$G:$G, 'Detalle Compras Agosto 2026'!$A:$A, B58, 'Detalle Compras Agosto 2026'!$B:$B, "Verduras")</f>
        <v/>
      </c>
      <c r="J58" s="8">
        <f>SUMIFS('Detalle Compras Agosto 2026'!$G:$G, 'Detalle Compras Agosto 2026'!$A:$A, B58, 'Detalle Compras Agosto 2026'!$B:$B, "Grano")</f>
        <v/>
      </c>
      <c r="K58" s="8">
        <f>SUMIFS('Detalle Compras Agosto 2026'!$G:$G, 'Detalle Compras Agosto 2026'!$A:$A, B58, 'Detalle Compras Agosto 2026'!$B:$B, "Bebidas")</f>
        <v/>
      </c>
      <c r="L58" s="8">
        <f>SUMIFS('Detalle Compras Agosto 2026'!$G:$G, 'Detalle Compras Agosto 2026'!$A:$A, B58, 'Detalle Compras Agosto 2026'!$B:$B, "Desechables")</f>
        <v/>
      </c>
      <c r="M58" s="8">
        <f>SUMIFS('Detalle Compras Agosto 2026'!$G:$G, 'Detalle Compras Agosto 2026'!$A:$A, B58, 'Detalle Compras Agosto 2026'!$B:$B, "Servicios")</f>
        <v/>
      </c>
      <c r="N58" s="31">
        <f>COUNTIF('Detalle Compras Agosto 2026'!$A:$A, B58)</f>
        <v/>
      </c>
    </row>
    <row r="59" ht="20" customHeight="1" s="111">
      <c r="B59" s="14" t="inlineStr">
        <is>
          <t>TOTAL MES</t>
        </is>
      </c>
      <c r="C59" s="38">
        <f>SUM(C28:C58)</f>
        <v/>
      </c>
      <c r="D59" s="39">
        <f>SUM(D28:D58)</f>
        <v/>
      </c>
      <c r="E59" s="15">
        <f>SUM(E28:E58)</f>
        <v/>
      </c>
      <c r="F59" s="40">
        <f>C59/E59</f>
        <v/>
      </c>
      <c r="G59" s="41">
        <f>D59/E59</f>
        <v/>
      </c>
      <c r="H59" s="15">
        <f>SUM(H28:H58)</f>
        <v/>
      </c>
      <c r="I59" s="15">
        <f>SUM(I28:I58)</f>
        <v/>
      </c>
      <c r="J59" s="15">
        <f>SUM(J28:J58)</f>
        <v/>
      </c>
      <c r="K59" s="15">
        <f>SUM(K28:K58)</f>
        <v/>
      </c>
      <c r="L59" s="15">
        <f>SUM(L28:L58)</f>
        <v/>
      </c>
      <c r="M59" s="15">
        <f>SUM(M28:M58)</f>
        <v/>
      </c>
      <c r="N59" s="14">
        <f>SUM(N28:N58)</f>
        <v/>
      </c>
    </row>
    <row r="60" ht="18" customHeight="1" s="111">
      <c r="B60" s="42" t="inlineStr">
        <is>
          <t>PROMEDIO DIARIO</t>
        </is>
      </c>
      <c r="C60" s="36">
        <f>C59/COUNTIF($E$28:$E$58,"&gt;0")</f>
        <v/>
      </c>
      <c r="D60" s="36">
        <f>D59/COUNTIF($E$28:$E$58,"&gt;0")</f>
        <v/>
      </c>
      <c r="E60" s="36">
        <f>E59/COUNTIF($E$28:$E$58,"&gt;0")</f>
        <v/>
      </c>
      <c r="F60" s="43">
        <f>C60/E60</f>
        <v/>
      </c>
      <c r="G60" s="43">
        <f>D60/E60</f>
        <v/>
      </c>
      <c r="H60" s="44">
        <f>H59/COUNTIF($E$28:$E$58,"&gt;0")</f>
        <v/>
      </c>
      <c r="I60" s="44">
        <f>I59/COUNTIF($E$28:$E$58,"&gt;0")</f>
        <v/>
      </c>
      <c r="J60" s="44">
        <f>J59/COUNTIF($E$28:$E$58,"&gt;0")</f>
        <v/>
      </c>
      <c r="K60" s="44">
        <f>K59/COUNTIF($E$28:$E$58,"&gt;0")</f>
        <v/>
      </c>
      <c r="L60" s="44">
        <f>L59/COUNTIF($E$28:$E$58,"&gt;0")</f>
        <v/>
      </c>
      <c r="M60" s="44">
        <f>M59/COUNTIF($E$28:$E$58,"&gt;0")</f>
        <v/>
      </c>
      <c r="N60" s="45">
        <f>N59/COUNTIF($E$28:$E$58,"&gt;0")</f>
        <v/>
      </c>
    </row>
    <row r="61" ht="18" customHeight="1" s="111">
      <c r="B61" s="46" t="inlineStr">
        <is>
          <t>MÁXIMO DIARIO (PICO)</t>
        </is>
      </c>
      <c r="C61" s="47">
        <f>MAX(C28:C58)</f>
        <v/>
      </c>
      <c r="D61" s="47">
        <f>MAX(D28:D58)</f>
        <v/>
      </c>
      <c r="E61" s="47">
        <f>MAX(E28:E58)</f>
        <v/>
      </c>
      <c r="F61" s="48" t="inlineStr">
        <is>
          <t>-</t>
        </is>
      </c>
      <c r="G61" s="48" t="inlineStr">
        <is>
          <t>-</t>
        </is>
      </c>
      <c r="H61" s="49">
        <f>MAX(H28:H58)</f>
        <v/>
      </c>
      <c r="I61" s="49">
        <f>MAX(I28:I58)</f>
        <v/>
      </c>
      <c r="J61" s="49">
        <f>MAX(J28:J58)</f>
        <v/>
      </c>
      <c r="K61" s="49">
        <f>MAX(K28:K58)</f>
        <v/>
      </c>
      <c r="L61" s="49">
        <f>MAX(L28:L58)</f>
        <v/>
      </c>
      <c r="M61" s="49">
        <f>MAX(M28:M58)</f>
        <v/>
      </c>
      <c r="N61" s="50">
        <f>MAX(N28:N58)</f>
        <v/>
      </c>
    </row>
    <row r="62" ht="18" customHeight="1" s="111">
      <c r="B62" s="46" t="inlineStr">
        <is>
          <t>MÍNIMO DIARIO</t>
        </is>
      </c>
      <c r="C62" s="49">
        <f>MIN(C28:C58)</f>
        <v/>
      </c>
      <c r="D62" s="49">
        <f>MIN(D28:D58)</f>
        <v/>
      </c>
      <c r="E62" s="49">
        <f>MIN(E28:E58)</f>
        <v/>
      </c>
      <c r="F62" s="48" t="inlineStr">
        <is>
          <t>-</t>
        </is>
      </c>
      <c r="G62" s="48" t="inlineStr">
        <is>
          <t>-</t>
        </is>
      </c>
      <c r="H62" s="49">
        <f>MIN(H28:H58)</f>
        <v/>
      </c>
      <c r="I62" s="49">
        <f>MIN(I28:I58)</f>
        <v/>
      </c>
      <c r="J62" s="49">
        <f>MIN(J28:J58)</f>
        <v/>
      </c>
      <c r="K62" s="49">
        <f>MIN(K28:K58)</f>
        <v/>
      </c>
      <c r="L62" s="49">
        <f>MIN(L28:L58)</f>
        <v/>
      </c>
      <c r="M62" s="49">
        <f>MIN(M28:M58)</f>
        <v/>
      </c>
      <c r="N62" s="50">
        <f>MIN(N28:N58)</f>
        <v/>
      </c>
    </row>
    <row r="66" ht="10" customHeight="1" s="111"/>
    <row r="67">
      <c r="B67" s="120" t="inlineStr">
        <is>
          <t>4. TOP 10 INSUMOS DE MAYOR COSTO (MATERIA PRIMA)</t>
        </is>
      </c>
      <c r="I67" s="120" t="inlineStr">
        <is>
          <t>5. TOP 10 GASTOS OPERACIONALES CLAVE (SERVICIOS Y NÓMINA)</t>
        </is>
      </c>
    </row>
    <row r="68">
      <c r="B68" s="2" t="inlineStr">
        <is>
          <t>#</t>
        </is>
      </c>
      <c r="C68" s="1" t="inlineStr">
        <is>
          <t>Ítem / Insumo</t>
        </is>
      </c>
      <c r="D68" s="2" t="inlineStr">
        <is>
          <t>Categoría</t>
        </is>
      </c>
      <c r="E68" s="2" t="inlineStr">
        <is>
          <t>Compras</t>
        </is>
      </c>
      <c r="F68" s="2" t="inlineStr">
        <is>
          <t>Total Mes ($)</t>
        </is>
      </c>
      <c r="G68" s="2" t="inlineStr">
        <is>
          <t>% Costos</t>
        </is>
      </c>
      <c r="I68" s="2" t="inlineStr">
        <is>
          <t>#</t>
        </is>
      </c>
      <c r="J68" s="1" t="inlineStr">
        <is>
          <t>Concepto de Gasto</t>
        </is>
      </c>
      <c r="K68" s="2" t="inlineStr">
        <is>
          <t>Categoría</t>
        </is>
      </c>
      <c r="L68" s="2" t="inlineStr">
        <is>
          <t>Pagos</t>
        </is>
      </c>
      <c r="M68" s="2" t="inlineStr">
        <is>
          <t>Total Mes ($)</t>
        </is>
      </c>
      <c r="N68" s="2" t="inlineStr">
        <is>
          <t>% Gastos</t>
        </is>
      </c>
    </row>
    <row r="69" ht="18" customHeight="1" s="111">
      <c r="B69" s="51" t="n">
        <v>1</v>
      </c>
      <c r="C69" s="52" t="inlineStr">
        <is>
          <t>Tocineta barril</t>
        </is>
      </c>
      <c r="D69" s="51" t="inlineStr">
        <is>
          <t>Carnes</t>
        </is>
      </c>
      <c r="E69" s="31">
        <f>COUNTIF('Detalle Compras Agosto 2026'!$C:$C, C69)</f>
        <v/>
      </c>
      <c r="F69" s="8">
        <f>SUMIFS('Detalle Compras Agosto 2026'!$G:$G, 'Detalle Compras Agosto 2026'!$C:$C, C69)</f>
        <v/>
      </c>
      <c r="G69" s="32">
        <f>F69/$C$59</f>
        <v/>
      </c>
      <c r="I69" s="51" t="n">
        <v>1</v>
      </c>
      <c r="J69" s="52" t="inlineStr">
        <is>
          <t>Servicios temporales</t>
        </is>
      </c>
      <c r="K69" s="51" t="inlineStr">
        <is>
          <t>Servicios</t>
        </is>
      </c>
      <c r="L69" s="31">
        <f>COUNTIF('Detalle Compras Agosto 2026'!$C:$C, J69)</f>
        <v/>
      </c>
      <c r="M69" s="8">
        <f>SUMIFS('Detalle Compras Agosto 2026'!$G:$G, 'Detalle Compras Agosto 2026'!$C:$C, J69)</f>
        <v/>
      </c>
      <c r="N69" s="32">
        <f>M69/$D$59</f>
        <v/>
      </c>
    </row>
    <row r="70" ht="18" customHeight="1" s="111">
      <c r="B70" s="53" t="n">
        <v>2</v>
      </c>
      <c r="C70" s="54" t="inlineStr">
        <is>
          <t>Tocino barril</t>
        </is>
      </c>
      <c r="D70" s="53" t="inlineStr">
        <is>
          <t>Carnes</t>
        </is>
      </c>
      <c r="E70" s="19">
        <f>COUNTIF('Detalle Compras Agosto 2026'!$C:$C, C70)</f>
        <v/>
      </c>
      <c r="F70" s="22">
        <f>SUMIFS('Detalle Compras Agosto 2026'!$G:$G, 'Detalle Compras Agosto 2026'!$C:$C, C70)</f>
        <v/>
      </c>
      <c r="G70" s="29">
        <f>F70/$C$59</f>
        <v/>
      </c>
      <c r="I70" s="53" t="n">
        <v>2</v>
      </c>
      <c r="J70" s="54" t="inlineStr">
        <is>
          <t>Servicios Públicos</t>
        </is>
      </c>
      <c r="K70" s="53" t="inlineStr">
        <is>
          <t>Servicios</t>
        </is>
      </c>
      <c r="L70" s="19">
        <f>COUNTIF('Detalle Compras Agosto 2026'!$C:$C, J70)</f>
        <v/>
      </c>
      <c r="M70" s="22">
        <f>SUMIFS('Detalle Compras Agosto 2026'!$G:$G, 'Detalle Compras Agosto 2026'!$C:$C, J70)</f>
        <v/>
      </c>
      <c r="N70" s="29">
        <f>M70/$D$59</f>
        <v/>
      </c>
    </row>
    <row r="71" ht="18" customHeight="1" s="111">
      <c r="B71" s="51" t="n">
        <v>3</v>
      </c>
      <c r="C71" s="52" t="inlineStr">
        <is>
          <t>Punta de anca</t>
        </is>
      </c>
      <c r="D71" s="51" t="inlineStr">
        <is>
          <t>Carnes</t>
        </is>
      </c>
      <c r="E71" s="31">
        <f>COUNTIF('Detalle Compras Agosto 2026'!$C:$C, C71)</f>
        <v/>
      </c>
      <c r="F71" s="8">
        <f>SUMIFS('Detalle Compras Agosto 2026'!$G:$G, 'Detalle Compras Agosto 2026'!$C:$C, C71)</f>
        <v/>
      </c>
      <c r="G71" s="32">
        <f>F71/$C$59</f>
        <v/>
      </c>
      <c r="I71" s="51" t="n">
        <v>3</v>
      </c>
      <c r="J71" s="52" t="inlineStr">
        <is>
          <t>Quincena Antonio Diaz</t>
        </is>
      </c>
      <c r="K71" s="51" t="inlineStr">
        <is>
          <t>Servicios</t>
        </is>
      </c>
      <c r="L71" s="31">
        <f>COUNTIF('Detalle Compras Agosto 2026'!$C:$C, J71)</f>
        <v/>
      </c>
      <c r="M71" s="8">
        <f>SUMIFS('Detalle Compras Agosto 2026'!$G:$G, 'Detalle Compras Agosto 2026'!$C:$C, J71)</f>
        <v/>
      </c>
      <c r="N71" s="32">
        <f>M71/$D$59</f>
        <v/>
      </c>
    </row>
    <row r="72" ht="18" customHeight="1" s="111">
      <c r="B72" s="53" t="n">
        <v>4</v>
      </c>
      <c r="C72" s="54" t="inlineStr">
        <is>
          <t>Sobaco</t>
        </is>
      </c>
      <c r="D72" s="53" t="inlineStr">
        <is>
          <t>Carnes</t>
        </is>
      </c>
      <c r="E72" s="19">
        <f>COUNTIF('Detalle Compras Agosto 2026'!$C:$C, C72)</f>
        <v/>
      </c>
      <c r="F72" s="22">
        <f>SUMIFS('Detalle Compras Agosto 2026'!$G:$G, 'Detalle Compras Agosto 2026'!$C:$C, C72)</f>
        <v/>
      </c>
      <c r="G72" s="29">
        <f>F72/$C$59</f>
        <v/>
      </c>
      <c r="I72" s="53" t="n">
        <v>4</v>
      </c>
      <c r="J72" s="54" t="inlineStr">
        <is>
          <t>Pago turnos</t>
        </is>
      </c>
      <c r="K72" s="53" t="inlineStr">
        <is>
          <t>Servicios</t>
        </is>
      </c>
      <c r="L72" s="19">
        <f>COUNTIF('Detalle Compras Agosto 2026'!$C:$C, J72)</f>
        <v/>
      </c>
      <c r="M72" s="22">
        <f>SUMIFS('Detalle Compras Agosto 2026'!$G:$G, 'Detalle Compras Agosto 2026'!$C:$C, J72)</f>
        <v/>
      </c>
      <c r="N72" s="29">
        <f>M72/$D$59</f>
        <v/>
      </c>
    </row>
    <row r="73" ht="18" customHeight="1" s="111">
      <c r="B73" s="51" t="n">
        <v>5</v>
      </c>
      <c r="C73" s="52" t="inlineStr">
        <is>
          <t>Costilla de cerdo especial</t>
        </is>
      </c>
      <c r="D73" s="51" t="inlineStr">
        <is>
          <t>Carnes</t>
        </is>
      </c>
      <c r="E73" s="31">
        <f>COUNTIF('Detalle Compras Agosto 2026'!$C:$C, C73)</f>
        <v/>
      </c>
      <c r="F73" s="8">
        <f>SUMIFS('Detalle Compras Agosto 2026'!$G:$G, 'Detalle Compras Agosto 2026'!$C:$C, C73)</f>
        <v/>
      </c>
      <c r="G73" s="32">
        <f>F73/$C$59</f>
        <v/>
      </c>
      <c r="I73" s="51" t="n">
        <v>5</v>
      </c>
      <c r="J73" s="52" t="inlineStr">
        <is>
          <t>Arreglo Tubos x Materiales</t>
        </is>
      </c>
      <c r="K73" s="51" t="inlineStr">
        <is>
          <t>Servicios</t>
        </is>
      </c>
      <c r="L73" s="31">
        <f>COUNTIF('Detalle Compras Agosto 2026'!$C:$C, J73)</f>
        <v/>
      </c>
      <c r="M73" s="8">
        <f>SUMIFS('Detalle Compras Agosto 2026'!$G:$G, 'Detalle Compras Agosto 2026'!$C:$C, J73)</f>
        <v/>
      </c>
      <c r="N73" s="32">
        <f>M73/$D$59</f>
        <v/>
      </c>
    </row>
    <row r="74" ht="18" customHeight="1" s="111">
      <c r="B74" s="53" t="n">
        <v>6</v>
      </c>
      <c r="C74" s="54" t="inlineStr">
        <is>
          <t>Lomo de cerdo</t>
        </is>
      </c>
      <c r="D74" s="53" t="inlineStr">
        <is>
          <t>Carnes</t>
        </is>
      </c>
      <c r="E74" s="19">
        <f>COUNTIF('Detalle Compras Agosto 2026'!$C:$C, C74)</f>
        <v/>
      </c>
      <c r="F74" s="22">
        <f>SUMIFS('Detalle Compras Agosto 2026'!$G:$G, 'Detalle Compras Agosto 2026'!$C:$C, C74)</f>
        <v/>
      </c>
      <c r="G74" s="29">
        <f>F74/$C$59</f>
        <v/>
      </c>
      <c r="I74" s="53" t="n">
        <v>6</v>
      </c>
      <c r="J74" s="54" t="inlineStr">
        <is>
          <t>TV Challenger 40</t>
        </is>
      </c>
      <c r="K74" s="53" t="inlineStr">
        <is>
          <t>Servicios</t>
        </is>
      </c>
      <c r="L74" s="19">
        <f>COUNTIF('Detalle Compras Agosto 2026'!$C:$C, J74)</f>
        <v/>
      </c>
      <c r="M74" s="22">
        <f>SUMIFS('Detalle Compras Agosto 2026'!$G:$G, 'Detalle Compras Agosto 2026'!$C:$C, J74)</f>
        <v/>
      </c>
      <c r="N74" s="29">
        <f>M74/$D$59</f>
        <v/>
      </c>
    </row>
    <row r="75" ht="18" customHeight="1" s="111">
      <c r="B75" s="51" t="n">
        <v>7</v>
      </c>
      <c r="C75" s="52" t="inlineStr">
        <is>
          <t>Sobrebarriga delgada</t>
        </is>
      </c>
      <c r="D75" s="51" t="inlineStr">
        <is>
          <t>Carnes</t>
        </is>
      </c>
      <c r="E75" s="31">
        <f>COUNTIF('Detalle Compras Agosto 2026'!$C:$C, C75)</f>
        <v/>
      </c>
      <c r="F75" s="8">
        <f>SUMIFS('Detalle Compras Agosto 2026'!$G:$G, 'Detalle Compras Agosto 2026'!$C:$C, C75)</f>
        <v/>
      </c>
      <c r="G75" s="32">
        <f>F75/$C$59</f>
        <v/>
      </c>
      <c r="I75" s="51" t="n">
        <v>7</v>
      </c>
      <c r="J75" s="52" t="inlineStr">
        <is>
          <t>Otros servicios de salud</t>
        </is>
      </c>
      <c r="K75" s="51" t="inlineStr">
        <is>
          <t>Servicios</t>
        </is>
      </c>
      <c r="L75" s="31">
        <f>COUNTIF('Detalle Compras Agosto 2026'!$C:$C, J75)</f>
        <v/>
      </c>
      <c r="M75" s="8">
        <f>SUMIFS('Detalle Compras Agosto 2026'!$G:$G, 'Detalle Compras Agosto 2026'!$C:$C, J75)</f>
        <v/>
      </c>
      <c r="N75" s="32">
        <f>M75/$D$59</f>
        <v/>
      </c>
    </row>
    <row r="76" ht="18" customHeight="1" s="111">
      <c r="B76" s="53" t="n">
        <v>8</v>
      </c>
      <c r="C76" s="54" t="inlineStr">
        <is>
          <t>Lomo de caracho</t>
        </is>
      </c>
      <c r="D76" s="53" t="inlineStr">
        <is>
          <t>Carnes</t>
        </is>
      </c>
      <c r="E76" s="19">
        <f>COUNTIF('Detalle Compras Agosto 2026'!$C:$C, C76)</f>
        <v/>
      </c>
      <c r="F76" s="22">
        <f>SUMIFS('Detalle Compras Agosto 2026'!$G:$G, 'Detalle Compras Agosto 2026'!$C:$C, C76)</f>
        <v/>
      </c>
      <c r="G76" s="29">
        <f>F76/$C$59</f>
        <v/>
      </c>
      <c r="I76" s="53" t="n">
        <v>8</v>
      </c>
      <c r="J76" s="54" t="inlineStr">
        <is>
          <t>Acopi</t>
        </is>
      </c>
      <c r="K76" s="53" t="inlineStr">
        <is>
          <t>Servicios</t>
        </is>
      </c>
      <c r="L76" s="19">
        <f>COUNTIF('Detalle Compras Agosto 2026'!$C:$C, J76)</f>
        <v/>
      </c>
      <c r="M76" s="22">
        <f>SUMIFS('Detalle Compras Agosto 2026'!$G:$G, 'Detalle Compras Agosto 2026'!$C:$C, J76)</f>
        <v/>
      </c>
      <c r="N76" s="29">
        <f>M76/$D$59</f>
        <v/>
      </c>
    </row>
    <row r="77" ht="18" customHeight="1" s="111">
      <c r="B77" s="51" t="n">
        <v>9</v>
      </c>
      <c r="C77" s="52" t="inlineStr">
        <is>
          <t>Filete de pollo x 350</t>
        </is>
      </c>
      <c r="D77" s="51" t="inlineStr">
        <is>
          <t>Carnes</t>
        </is>
      </c>
      <c r="E77" s="31">
        <f>COUNTIF('Detalle Compras Agosto 2026'!$C:$C, C77)</f>
        <v/>
      </c>
      <c r="F77" s="8">
        <f>SUMIFS('Detalle Compras Agosto 2026'!$G:$G, 'Detalle Compras Agosto 2026'!$C:$C, C77)</f>
        <v/>
      </c>
      <c r="G77" s="32">
        <f>F77/$C$59</f>
        <v/>
      </c>
      <c r="I77" s="51" t="n">
        <v>9</v>
      </c>
      <c r="J77" s="52" t="inlineStr">
        <is>
          <t>Prestamo Enith Mosquera</t>
        </is>
      </c>
      <c r="K77" s="51" t="inlineStr">
        <is>
          <t>Servicios</t>
        </is>
      </c>
      <c r="L77" s="31">
        <f>COUNTIF('Detalle Compras Agosto 2026'!$C:$C, J77)</f>
        <v/>
      </c>
      <c r="M77" s="8">
        <f>SUMIFS('Detalle Compras Agosto 2026'!$G:$G, 'Detalle Compras Agosto 2026'!$C:$C, J77)</f>
        <v/>
      </c>
      <c r="N77" s="32">
        <f>M77/$D$59</f>
        <v/>
      </c>
    </row>
    <row r="78" ht="18" customHeight="1" s="111">
      <c r="B78" s="53" t="n">
        <v>10</v>
      </c>
      <c r="C78" s="54" t="inlineStr">
        <is>
          <t>Costilla san luis jr</t>
        </is>
      </c>
      <c r="D78" s="53" t="inlineStr">
        <is>
          <t>Carnes</t>
        </is>
      </c>
      <c r="E78" s="19">
        <f>COUNTIF('Detalle Compras Agosto 2026'!$C:$C, C78)</f>
        <v/>
      </c>
      <c r="F78" s="22">
        <f>SUMIFS('Detalle Compras Agosto 2026'!$G:$G, 'Detalle Compras Agosto 2026'!$C:$C, C78)</f>
        <v/>
      </c>
      <c r="G78" s="29">
        <f>F78/$C$59</f>
        <v/>
      </c>
      <c r="I78" s="53" t="n">
        <v>10</v>
      </c>
      <c r="J78" s="54" t="inlineStr">
        <is>
          <t>Pn sr</t>
        </is>
      </c>
      <c r="K78" s="53" t="inlineStr">
        <is>
          <t>Servicios</t>
        </is>
      </c>
      <c r="L78" s="19">
        <f>COUNTIF('Detalle Compras Agosto 2026'!$C:$C, J78)</f>
        <v/>
      </c>
      <c r="M78" s="22">
        <f>SUMIFS('Detalle Compras Agosto 2026'!$G:$G, 'Detalle Compras Agosto 2026'!$C:$C, J78)</f>
        <v/>
      </c>
      <c r="N78" s="29">
        <f>M78/$D$59</f>
        <v/>
      </c>
    </row>
  </sheetData>
  <mergeCells count="19">
    <mergeCell ref="B67:G67"/>
    <mergeCell ref="K7:N7"/>
    <mergeCell ref="E6:G6"/>
    <mergeCell ref="H7:J7"/>
    <mergeCell ref="K6:N6"/>
    <mergeCell ref="I67:N67"/>
    <mergeCell ref="B26:N26"/>
    <mergeCell ref="B9:G9"/>
    <mergeCell ref="B3:N3"/>
    <mergeCell ref="E7:G7"/>
    <mergeCell ref="B6:D6"/>
    <mergeCell ref="K5:N5"/>
    <mergeCell ref="B15:G15"/>
    <mergeCell ref="B5:D5"/>
    <mergeCell ref="H5:J5"/>
    <mergeCell ref="B7:D7"/>
    <mergeCell ref="B2:N2"/>
    <mergeCell ref="E5:G5"/>
    <mergeCell ref="H6:J6"/>
  </mergeCells>
  <pageMargins left="0.2" right="0.2" top="0.2" bottom="0.2" header="0.3" footer="0.3"/>
  <pageSetup orientation="landscape" paperSize="9" scale="82" fitToHeight="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933"/>
  <sheetViews>
    <sheetView tabSelected="1" topLeftCell="D1" zoomScale="102" zoomScaleNormal="85" workbookViewId="0">
      <selection activeCell="D918" sqref="D918"/>
    </sheetView>
  </sheetViews>
  <sheetFormatPr baseColWidth="10" defaultRowHeight="14.5"/>
  <cols>
    <col width="12" customWidth="1" style="143" min="1" max="1"/>
    <col width="22" bestFit="1" customWidth="1" style="143" min="2" max="2"/>
    <col width="62" customWidth="1" style="143" min="3" max="3"/>
    <col width="62" bestFit="1" customWidth="1" style="143" min="4" max="4"/>
    <col width="12" bestFit="1" customWidth="1" style="147" min="5" max="5"/>
    <col width="17" bestFit="1" customWidth="1" style="82" min="6" max="6"/>
    <col width="21" bestFit="1" customWidth="1" style="82" min="7" max="7"/>
    <col width="11.6328125" bestFit="1" customWidth="1" style="111" min="8" max="8"/>
    <col width="16.1796875" bestFit="1" customWidth="1" style="111" min="10" max="10"/>
  </cols>
  <sheetData>
    <row r="1">
      <c r="A1" s="55" t="inlineStr">
        <is>
          <t>Día</t>
        </is>
      </c>
      <c r="B1" s="55" t="inlineStr">
        <is>
          <t>Categoría (Pestaña)</t>
        </is>
      </c>
      <c r="C1" s="55" t="inlineStr">
        <is>
          <t>Ítem (Exacto en tu Excel)</t>
        </is>
      </c>
      <c r="D1" s="90" t="inlineStr">
        <is>
          <t>Descripción Original (PDF)</t>
        </is>
      </c>
      <c r="E1" s="56" t="inlineStr">
        <is>
          <t>Cantidad</t>
        </is>
      </c>
      <c r="F1" s="55" t="inlineStr">
        <is>
          <t>Costo Unitario</t>
        </is>
      </c>
      <c r="G1" s="55" t="inlineStr">
        <is>
          <t>Vr. Compra (Total)</t>
        </is>
      </c>
    </row>
    <row r="2" hidden="1" s="111">
      <c r="A2" s="57" t="n">
        <v>1</v>
      </c>
      <c r="B2" s="57" t="inlineStr">
        <is>
          <t>Carnes</t>
        </is>
      </c>
      <c r="C2" s="57" t="inlineStr">
        <is>
          <t>Marisco</t>
        </is>
      </c>
      <c r="D2" s="57" t="inlineStr">
        <is>
          <t>Mix de Mariscos</t>
        </is>
      </c>
      <c r="E2" s="62" t="n">
        <v>5</v>
      </c>
      <c r="F2" s="63" t="n">
        <v>24000</v>
      </c>
      <c r="G2" s="63" t="n">
        <v>120000</v>
      </c>
    </row>
    <row r="3" hidden="1" s="111">
      <c r="A3" s="57" t="n">
        <v>1</v>
      </c>
      <c r="B3" s="57" t="inlineStr">
        <is>
          <t>Carnes</t>
        </is>
      </c>
      <c r="C3" s="57" t="inlineStr">
        <is>
          <t>Salmon</t>
        </is>
      </c>
      <c r="D3" s="57" t="inlineStr">
        <is>
          <t>Filete de Salmon Grande</t>
        </is>
      </c>
      <c r="E3" s="64" t="n">
        <v>4.5</v>
      </c>
      <c r="F3" s="63" t="n">
        <v>55000</v>
      </c>
      <c r="G3" s="63" t="n">
        <v>247500</v>
      </c>
    </row>
    <row r="4" hidden="1" s="111">
      <c r="A4" s="57" t="n">
        <v>1</v>
      </c>
      <c r="B4" s="57" t="inlineStr">
        <is>
          <t>Carnes</t>
        </is>
      </c>
      <c r="C4" s="57" t="inlineStr">
        <is>
          <t>Lomo de cerdo</t>
        </is>
      </c>
      <c r="D4" s="57" t="inlineStr">
        <is>
          <t>LOMO DE CERDO</t>
        </is>
      </c>
      <c r="E4" s="64" t="n">
        <v>12.7</v>
      </c>
      <c r="F4" s="63" t="n">
        <v>19500</v>
      </c>
      <c r="G4" s="63" t="n">
        <v>247650</v>
      </c>
    </row>
    <row r="5" hidden="1" s="111">
      <c r="A5" s="57" t="n">
        <v>1</v>
      </c>
      <c r="B5" s="57" t="inlineStr">
        <is>
          <t>Verduras</t>
        </is>
      </c>
      <c r="C5" s="57" t="inlineStr">
        <is>
          <t>Ajo pelado</t>
        </is>
      </c>
      <c r="D5" s="57" t="inlineStr">
        <is>
          <t>AJO PELADO X 1KG</t>
        </is>
      </c>
      <c r="E5" s="62" t="n">
        <v>10</v>
      </c>
      <c r="F5" s="63" t="n">
        <v>10900</v>
      </c>
      <c r="G5" s="63" t="n">
        <v>109000</v>
      </c>
    </row>
    <row r="6" hidden="1" s="111">
      <c r="A6" s="57" t="n">
        <v>1</v>
      </c>
      <c r="B6" s="57" t="inlineStr">
        <is>
          <t>Carnes</t>
        </is>
      </c>
      <c r="C6" s="57" t="inlineStr">
        <is>
          <t>Mix de verdura</t>
        </is>
      </c>
      <c r="D6" s="57" t="inlineStr">
        <is>
          <t>MIX DE VERDURAS PAQ X 1000G</t>
        </is>
      </c>
      <c r="E6" s="62" t="n">
        <v>10</v>
      </c>
      <c r="F6" s="63" t="n">
        <v>8487.4</v>
      </c>
      <c r="G6" s="63" t="n">
        <v>84874</v>
      </c>
    </row>
    <row r="7" hidden="1" s="111">
      <c r="A7" s="57" t="n">
        <v>1</v>
      </c>
      <c r="B7" s="57" t="inlineStr">
        <is>
          <t>Carnes</t>
        </is>
      </c>
      <c r="C7" s="57" t="inlineStr">
        <is>
          <t>Costilla san luis jr</t>
        </is>
      </c>
      <c r="D7" s="57" t="inlineStr">
        <is>
          <t>COSTILLA SAN LUIS JUNIOR T/M</t>
        </is>
      </c>
      <c r="E7" s="64" t="n">
        <v>38.53</v>
      </c>
      <c r="F7" s="63" t="n">
        <v>20900</v>
      </c>
      <c r="G7" s="63" t="n">
        <v>805277</v>
      </c>
    </row>
    <row r="8" hidden="1" s="111">
      <c r="A8" s="57" t="n">
        <v>1</v>
      </c>
      <c r="B8" s="57" t="inlineStr">
        <is>
          <t>Carnes</t>
        </is>
      </c>
      <c r="C8" s="57" t="inlineStr">
        <is>
          <t>Sobaco</t>
        </is>
      </c>
      <c r="D8" s="57" t="inlineStr">
        <is>
          <t>SOBACO</t>
        </is>
      </c>
      <c r="E8" s="64" t="n">
        <v>23.73</v>
      </c>
      <c r="F8" s="63" t="n">
        <v>25900</v>
      </c>
      <c r="G8" s="63" t="n">
        <v>614607</v>
      </c>
    </row>
    <row r="9" hidden="1" s="111">
      <c r="A9" s="57" t="n">
        <v>1</v>
      </c>
      <c r="B9" s="57" t="inlineStr">
        <is>
          <t>Carnes</t>
        </is>
      </c>
      <c r="C9" s="57" t="inlineStr">
        <is>
          <t>Sobrebarriga delgada</t>
        </is>
      </c>
      <c r="D9" s="57" t="inlineStr">
        <is>
          <t>SOBREBARRIGA DELGADA</t>
        </is>
      </c>
      <c r="E9" s="62" t="n">
        <v>20</v>
      </c>
      <c r="F9" s="63" t="n">
        <v>34500</v>
      </c>
      <c r="G9" s="63" t="n">
        <v>690000</v>
      </c>
    </row>
    <row r="10" hidden="1" s="111">
      <c r="A10" s="57" t="n">
        <v>1</v>
      </c>
      <c r="B10" s="57" t="inlineStr">
        <is>
          <t>Verduras</t>
        </is>
      </c>
      <c r="C10" s="57" t="inlineStr">
        <is>
          <t>Papa a la francesa paq 2.5 kl</t>
        </is>
      </c>
      <c r="D10" s="57" t="inlineStr">
        <is>
          <t>PAPA A LA FRANCESA FRITERS PAQ 2.5 KL</t>
        </is>
      </c>
      <c r="E10" s="62" t="n">
        <v>4</v>
      </c>
      <c r="F10" s="63" t="n">
        <v>15546.25</v>
      </c>
      <c r="G10" s="63" t="n">
        <v>62185</v>
      </c>
    </row>
    <row r="11" hidden="1" s="111">
      <c r="A11" s="57" t="n">
        <v>1</v>
      </c>
      <c r="B11" s="57" t="inlineStr">
        <is>
          <t>Carnes</t>
        </is>
      </c>
      <c r="C11" s="57" t="inlineStr">
        <is>
          <t>Tocineta barril</t>
        </is>
      </c>
      <c r="D11" s="57" t="inlineStr">
        <is>
          <t>TOCINETA BARRIL</t>
        </is>
      </c>
      <c r="E11" s="64" t="n">
        <v>126.75</v>
      </c>
      <c r="F11" s="63" t="n">
        <v>21900</v>
      </c>
      <c r="G11" s="63" t="n">
        <v>2775825</v>
      </c>
    </row>
    <row r="12" hidden="1" s="111">
      <c r="A12" s="57" t="n">
        <v>1</v>
      </c>
      <c r="B12" s="57" t="inlineStr">
        <is>
          <t>Carnes</t>
        </is>
      </c>
      <c r="C12" s="57" t="inlineStr">
        <is>
          <t>Punta de anca</t>
        </is>
      </c>
      <c r="D12" s="57" t="inlineStr">
        <is>
          <t>PUNTA DE ANCA PORC. PARRILLA</t>
        </is>
      </c>
      <c r="E12" s="64" t="n">
        <v>20.5</v>
      </c>
      <c r="F12" s="63" t="n">
        <v>44000</v>
      </c>
      <c r="G12" s="63" t="n">
        <v>902000</v>
      </c>
    </row>
    <row r="13" hidden="1" s="111">
      <c r="A13" s="57" t="n">
        <v>1</v>
      </c>
      <c r="B13" s="57" t="inlineStr">
        <is>
          <t>Grano</t>
        </is>
      </c>
      <c r="C13" s="57" t="inlineStr">
        <is>
          <t>Arroz</t>
        </is>
      </c>
      <c r="D13" s="57" t="inlineStr">
        <is>
          <t>ARROZ PROARROZ X 50 KL</t>
        </is>
      </c>
      <c r="E13" s="62" t="n">
        <v>2</v>
      </c>
      <c r="F13" s="63" t="n">
        <v>252000</v>
      </c>
      <c r="G13" s="63" t="n">
        <v>504000</v>
      </c>
    </row>
    <row r="14" hidden="1" s="111">
      <c r="A14" s="57" t="n">
        <v>1</v>
      </c>
      <c r="B14" s="57" t="inlineStr">
        <is>
          <t>Grano</t>
        </is>
      </c>
      <c r="C14" s="57" t="inlineStr">
        <is>
          <t>Panela</t>
        </is>
      </c>
      <c r="D14" s="57" t="inlineStr">
        <is>
          <t>PANELA REDONDA UNIDAD</t>
        </is>
      </c>
      <c r="E14" s="62" t="n">
        <v>2</v>
      </c>
      <c r="F14" s="63" t="n">
        <v>85000</v>
      </c>
      <c r="G14" s="63" t="n">
        <v>170000</v>
      </c>
    </row>
    <row r="15" hidden="1" s="111">
      <c r="A15" s="57" t="n">
        <v>1</v>
      </c>
      <c r="B15" s="57" t="inlineStr">
        <is>
          <t>Carnes</t>
        </is>
      </c>
      <c r="C15" s="57" t="inlineStr">
        <is>
          <t>Tilapia y truchas</t>
        </is>
      </c>
      <c r="D15" s="57" t="inlineStr">
        <is>
          <t>TILAPIA ROJA SIN ESCAM A Y AGALLAS 450-550 LIBRA</t>
        </is>
      </c>
      <c r="E15" s="64" t="n">
        <v>13.3</v>
      </c>
      <c r="F15" s="63" t="n">
        <v>17500</v>
      </c>
      <c r="G15" s="63" t="n">
        <v>232750</v>
      </c>
    </row>
    <row r="16" hidden="1" s="111">
      <c r="A16" s="57" t="n">
        <v>1</v>
      </c>
      <c r="B16" s="57" t="inlineStr">
        <is>
          <t>Carnes</t>
        </is>
      </c>
      <c r="C16" s="57" t="inlineStr">
        <is>
          <t>Trucha</t>
        </is>
      </c>
      <c r="D16" s="57" t="inlineStr">
        <is>
          <t>TRUCHA</t>
        </is>
      </c>
      <c r="E16" s="62" t="n">
        <v>7</v>
      </c>
      <c r="F16" s="63" t="n">
        <v>22000</v>
      </c>
      <c r="G16" s="63" t="n">
        <v>154000</v>
      </c>
    </row>
    <row r="17" hidden="1" s="111">
      <c r="A17" s="57" t="n">
        <v>8</v>
      </c>
      <c r="B17" s="57" t="inlineStr">
        <is>
          <t>Bebidas</t>
        </is>
      </c>
      <c r="C17" s="57" t="inlineStr">
        <is>
          <t>Pany malta</t>
        </is>
      </c>
      <c r="D17" s="57" t="inlineStr">
        <is>
          <t>000014 PONY MALTA*330ml PET (2 cjas)</t>
        </is>
      </c>
      <c r="E17" s="64" t="n">
        <v>2</v>
      </c>
      <c r="F17" s="63" t="n">
        <v>60900</v>
      </c>
      <c r="G17" s="63" t="n">
        <v>121800</v>
      </c>
    </row>
    <row r="18" hidden="1" s="111">
      <c r="A18" s="57" t="n">
        <v>8</v>
      </c>
      <c r="B18" s="57" t="inlineStr">
        <is>
          <t>Bebidas</t>
        </is>
      </c>
      <c r="C18" s="57" t="inlineStr">
        <is>
          <t>Cerv Stel Artois</t>
        </is>
      </c>
      <c r="D18" s="57" t="inlineStr">
        <is>
          <t>008541 CERV.STEL ARTOIS*300ml BOT (1 cja)</t>
        </is>
      </c>
      <c r="E18" s="62" t="n">
        <v>1</v>
      </c>
      <c r="F18" s="63" t="n">
        <v>92200</v>
      </c>
      <c r="G18" s="63" t="n">
        <v>92200</v>
      </c>
    </row>
    <row r="19" hidden="1" s="111">
      <c r="A19" s="58" t="n">
        <v>3</v>
      </c>
      <c r="B19" s="58" t="inlineStr">
        <is>
          <t>Servicios</t>
        </is>
      </c>
      <c r="C19" s="58" t="inlineStr">
        <is>
          <t>Acopi</t>
        </is>
      </c>
      <c r="D19" s="58" t="inlineStr">
        <is>
          <t>Transporte Acopy (Recibo Caja Menor)</t>
        </is>
      </c>
      <c r="E19" s="66" t="n">
        <v>1</v>
      </c>
      <c r="F19" s="67" t="n">
        <v>30000</v>
      </c>
      <c r="G19" s="67" t="n">
        <v>30000</v>
      </c>
    </row>
    <row r="20" hidden="1" s="111">
      <c r="A20" s="65" t="n">
        <v>1</v>
      </c>
      <c r="B20" s="65" t="inlineStr">
        <is>
          <t>Grano</t>
        </is>
      </c>
      <c r="C20" s="65" t="inlineStr">
        <is>
          <t>Aceite doña lupe</t>
        </is>
      </c>
      <c r="D20" s="65" t="inlineStr">
        <is>
          <t>LUPE*3000ml SOYA (x3)</t>
        </is>
      </c>
      <c r="E20" s="65" t="n">
        <v>3</v>
      </c>
      <c r="F20" s="65" t="n">
        <v>22500</v>
      </c>
      <c r="G20" s="65" t="n">
        <v>67500</v>
      </c>
    </row>
    <row r="21" hidden="1" s="111">
      <c r="A21" s="58" t="n">
        <v>1</v>
      </c>
      <c r="B21" s="58" t="inlineStr">
        <is>
          <t>Carnes</t>
        </is>
      </c>
      <c r="C21" s="58" t="inlineStr">
        <is>
          <t>Morcilla</t>
        </is>
      </c>
      <c r="D21" s="58" t="inlineStr">
        <is>
          <t>10 lb libra de Morcilla (La Morcilla Jamundeña)</t>
        </is>
      </c>
      <c r="E21" s="66" t="n">
        <v>10</v>
      </c>
      <c r="F21" s="67" t="n">
        <v>10000</v>
      </c>
      <c r="G21" s="67" t="n">
        <v>100000</v>
      </c>
    </row>
    <row r="22" hidden="1" s="111">
      <c r="A22" s="57" t="n">
        <v>11</v>
      </c>
      <c r="B22" s="57" t="inlineStr">
        <is>
          <t>Bebidas</t>
        </is>
      </c>
      <c r="C22" s="57" t="inlineStr">
        <is>
          <t>Bolsa 5kl tubular</t>
        </is>
      </c>
      <c r="D22" s="57" t="inlineStr">
        <is>
          <t>2 Bolsas Hielo (Recibo Caja Menor)</t>
        </is>
      </c>
      <c r="E22" s="62" t="n">
        <v>2</v>
      </c>
      <c r="F22" s="63" t="n">
        <v>5000</v>
      </c>
      <c r="G22" s="63" t="n">
        <v>10000</v>
      </c>
    </row>
    <row r="23" hidden="1" s="111">
      <c r="A23" s="58" t="n">
        <v>2</v>
      </c>
      <c r="B23" s="58" t="inlineStr">
        <is>
          <t>Bebidas</t>
        </is>
      </c>
      <c r="C23" s="58" t="inlineStr">
        <is>
          <t>Bolsa 5kl tubular</t>
        </is>
      </c>
      <c r="D23" s="58" t="inlineStr">
        <is>
          <t>2 Hielo (Licores Zafiro)</t>
        </is>
      </c>
      <c r="E23" s="66" t="n">
        <v>2</v>
      </c>
      <c r="F23" s="67" t="n">
        <v>5000</v>
      </c>
      <c r="G23" s="67" t="n">
        <v>10000</v>
      </c>
    </row>
    <row r="24" hidden="1" s="111">
      <c r="A24" s="84" t="n">
        <v>29</v>
      </c>
      <c r="B24" s="58" t="inlineStr">
        <is>
          <t>Bebidas</t>
        </is>
      </c>
      <c r="C24" s="58" t="inlineStr">
        <is>
          <t>Bolsa 5kl tubular</t>
        </is>
      </c>
      <c r="D24" s="58" t="inlineStr">
        <is>
          <t>2 Hielo (Licores Zafiro)</t>
        </is>
      </c>
      <c r="E24" s="87" t="n">
        <v>2</v>
      </c>
      <c r="F24" s="87" t="n">
        <v>5000</v>
      </c>
      <c r="G24" s="87" t="n">
        <v>10000</v>
      </c>
    </row>
    <row r="25" hidden="1" s="111">
      <c r="A25" s="58" t="n">
        <v>12</v>
      </c>
      <c r="B25" s="58" t="inlineStr">
        <is>
          <t>Bebidas</t>
        </is>
      </c>
      <c r="C25" s="58" t="inlineStr">
        <is>
          <t>Agua</t>
        </is>
      </c>
      <c r="D25" s="58" t="inlineStr">
        <is>
          <t>2 Pacas Agua</t>
        </is>
      </c>
      <c r="E25" s="66" t="n">
        <v>2</v>
      </c>
      <c r="F25" s="67" t="n">
        <v>32000</v>
      </c>
      <c r="G25" s="67" t="n">
        <v>64000</v>
      </c>
    </row>
    <row r="26" hidden="1" s="111">
      <c r="A26" s="57" t="n">
        <v>4</v>
      </c>
      <c r="B26" s="57" t="inlineStr">
        <is>
          <t>Servicios</t>
        </is>
      </c>
      <c r="C26" s="57" t="inlineStr">
        <is>
          <t>Acopi</t>
        </is>
      </c>
      <c r="D26" s="57" t="inlineStr">
        <is>
          <t>TAXI ACOPI</t>
        </is>
      </c>
      <c r="E26" s="62" t="n">
        <v>1</v>
      </c>
      <c r="F26" s="63" t="n">
        <v>30000</v>
      </c>
      <c r="G26" s="63" t="n">
        <v>30000</v>
      </c>
    </row>
    <row r="27" hidden="1" s="111">
      <c r="A27" s="58" t="n">
        <v>1</v>
      </c>
      <c r="B27" s="58" t="inlineStr">
        <is>
          <t>Desechables</t>
        </is>
      </c>
      <c r="C27" s="58" t="inlineStr">
        <is>
          <t>Lampara led antipolvo</t>
        </is>
      </c>
      <c r="D27" s="58" t="inlineStr">
        <is>
          <t>TUBO LED 18W LUZ BLANCA T5 120CM LUTTER (x2)</t>
        </is>
      </c>
      <c r="E27" s="66" t="n">
        <v>2</v>
      </c>
      <c r="F27" s="67" t="n">
        <v>8500</v>
      </c>
      <c r="G27" s="67" t="n">
        <v>17000</v>
      </c>
    </row>
    <row r="28" hidden="1" s="111">
      <c r="A28" s="58" t="n">
        <v>1</v>
      </c>
      <c r="B28" s="58" t="inlineStr">
        <is>
          <t>Bebidas</t>
        </is>
      </c>
      <c r="C28" s="58" t="inlineStr">
        <is>
          <t>Bloque media</t>
        </is>
      </c>
      <c r="D28" s="58" t="inlineStr">
        <is>
          <t>25 - BLOQUE MEDIA</t>
        </is>
      </c>
      <c r="E28" s="66" t="n">
        <v>2</v>
      </c>
      <c r="F28" s="67" t="n">
        <v>9500</v>
      </c>
      <c r="G28" s="67" t="n">
        <v>19000</v>
      </c>
    </row>
    <row r="29" hidden="1" s="111">
      <c r="A29" s="59" t="n">
        <v>2</v>
      </c>
      <c r="B29" s="59" t="inlineStr">
        <is>
          <t>Bebidas</t>
        </is>
      </c>
      <c r="C29" s="59" t="inlineStr">
        <is>
          <t>Bloque media</t>
        </is>
      </c>
      <c r="D29" s="59" t="inlineStr">
        <is>
          <t>25 - BLOQUE MEDIA</t>
        </is>
      </c>
      <c r="E29" s="69" t="n">
        <v>2</v>
      </c>
      <c r="F29" s="70" t="n">
        <v>9500</v>
      </c>
      <c r="G29" s="70" t="n">
        <v>19000</v>
      </c>
    </row>
    <row r="30" hidden="1" s="111">
      <c r="A30" s="58" t="n">
        <v>1</v>
      </c>
      <c r="B30" s="58" t="inlineStr">
        <is>
          <t>Verduras</t>
        </is>
      </c>
      <c r="C30" s="58" t="inlineStr">
        <is>
          <t>Ajo pelado</t>
        </is>
      </c>
      <c r="D30" s="58" t="inlineStr">
        <is>
          <t>009558 AJO A GRANEL (0.545 kg)</t>
        </is>
      </c>
      <c r="E30" s="66" t="n">
        <v>0.545</v>
      </c>
      <c r="F30" s="67" t="n">
        <v>7500.9174</v>
      </c>
      <c r="G30" s="67" t="n">
        <v>4088</v>
      </c>
    </row>
    <row r="31" hidden="1" s="111">
      <c r="A31" s="58" t="n">
        <v>1</v>
      </c>
      <c r="B31" s="58" t="inlineStr">
        <is>
          <t>Desechables</t>
        </is>
      </c>
      <c r="C31" s="58" t="inlineStr">
        <is>
          <t>Mazamorra</t>
        </is>
      </c>
      <c r="D31" s="58" t="inlineStr">
        <is>
          <t>Mazamorra (Franco Bravo)</t>
        </is>
      </c>
      <c r="E31" s="66" t="n">
        <v>1</v>
      </c>
      <c r="F31" s="67" t="n">
        <v>20000</v>
      </c>
      <c r="G31" s="67" t="n">
        <v>20000</v>
      </c>
    </row>
    <row r="32" hidden="1" s="111">
      <c r="A32" s="58" t="n">
        <v>1</v>
      </c>
      <c r="B32" s="58" t="inlineStr">
        <is>
          <t>Grano</t>
        </is>
      </c>
      <c r="C32" s="58" t="inlineStr">
        <is>
          <t>Arepas</t>
        </is>
      </c>
      <c r="D32" s="58" t="inlineStr">
        <is>
          <t>750 arepas (Factura 0794 Lucía)</t>
        </is>
      </c>
      <c r="E32" s="66" t="n">
        <v>750</v>
      </c>
      <c r="F32" s="67" t="n">
        <v>150</v>
      </c>
      <c r="G32" s="67" t="n">
        <v>112500</v>
      </c>
    </row>
    <row r="33" hidden="1" s="111">
      <c r="A33" s="58" t="n">
        <v>1</v>
      </c>
      <c r="B33" s="58" t="inlineStr">
        <is>
          <t>Grano</t>
        </is>
      </c>
      <c r="C33" s="58" t="inlineStr">
        <is>
          <t>Arepas</t>
        </is>
      </c>
      <c r="D33" s="58" t="inlineStr">
        <is>
          <t>150 arepas</t>
        </is>
      </c>
      <c r="E33" s="66" t="n">
        <v>150</v>
      </c>
      <c r="F33" s="67" t="n">
        <v>150</v>
      </c>
      <c r="G33" s="67" t="n">
        <v>22500</v>
      </c>
    </row>
    <row r="34" hidden="1" s="111">
      <c r="A34" s="58" t="n">
        <v>1</v>
      </c>
      <c r="B34" s="58" t="inlineStr">
        <is>
          <t>Grano</t>
        </is>
      </c>
      <c r="C34" s="58" t="inlineStr">
        <is>
          <t>Arepas</t>
        </is>
      </c>
      <c r="D34" s="58" t="inlineStr">
        <is>
          <t>100 arepas</t>
        </is>
      </c>
      <c r="E34" s="66" t="n">
        <v>100</v>
      </c>
      <c r="F34" s="67" t="n">
        <v>150</v>
      </c>
      <c r="G34" s="67" t="n">
        <v>15000</v>
      </c>
    </row>
    <row r="35" hidden="1" s="111">
      <c r="A35" s="58" t="n">
        <v>1</v>
      </c>
      <c r="B35" s="58" t="inlineStr">
        <is>
          <t>Grano</t>
        </is>
      </c>
      <c r="C35" s="58" t="inlineStr">
        <is>
          <t>Arepas</t>
        </is>
      </c>
      <c r="D35" s="58" t="inlineStr">
        <is>
          <t>100 arepas</t>
        </is>
      </c>
      <c r="E35" s="66" t="n">
        <v>100</v>
      </c>
      <c r="F35" s="67" t="n">
        <v>150</v>
      </c>
      <c r="G35" s="67" t="n">
        <v>15000</v>
      </c>
    </row>
    <row r="36" hidden="1" s="111">
      <c r="A36" s="58" t="n">
        <v>1</v>
      </c>
      <c r="B36" s="58" t="inlineStr">
        <is>
          <t>Grano</t>
        </is>
      </c>
      <c r="C36" s="58" t="inlineStr">
        <is>
          <t>Arepas</t>
        </is>
      </c>
      <c r="D36" s="58" t="inlineStr">
        <is>
          <t>400 arepas (01/08/26)</t>
        </is>
      </c>
      <c r="E36" s="66" t="n">
        <v>400</v>
      </c>
      <c r="F36" s="67" t="n">
        <v>150</v>
      </c>
      <c r="G36" s="67" t="n">
        <v>60000</v>
      </c>
    </row>
    <row r="37" hidden="1" s="111">
      <c r="A37" s="59" t="n">
        <v>5</v>
      </c>
      <c r="B37" s="59" t="inlineStr">
        <is>
          <t>Servicios</t>
        </is>
      </c>
      <c r="C37" s="59" t="inlineStr">
        <is>
          <t>Acopi</t>
        </is>
      </c>
      <c r="D37" s="59" t="inlineStr">
        <is>
          <t>Acopi</t>
        </is>
      </c>
      <c r="E37" s="71" t="n">
        <v>1</v>
      </c>
      <c r="F37" s="70" t="n">
        <v>30000</v>
      </c>
      <c r="G37" s="70" t="n">
        <v>30000</v>
      </c>
    </row>
    <row r="38" hidden="1" s="111">
      <c r="A38" s="59" t="n">
        <v>3</v>
      </c>
      <c r="B38" s="59" t="inlineStr">
        <is>
          <t>Bebidas</t>
        </is>
      </c>
      <c r="C38" s="59" t="inlineStr">
        <is>
          <t>Bloque media</t>
        </is>
      </c>
      <c r="D38" s="59" t="inlineStr">
        <is>
          <t>25 - BLOQUE MEDIA</t>
        </is>
      </c>
      <c r="E38" s="69" t="n">
        <v>2</v>
      </c>
      <c r="F38" s="72" t="n">
        <v>9500</v>
      </c>
      <c r="G38" s="72" t="n">
        <v>19000</v>
      </c>
    </row>
    <row r="39" hidden="1" s="111">
      <c r="A39" s="59" t="n">
        <v>5</v>
      </c>
      <c r="B39" s="59" t="inlineStr">
        <is>
          <t>Bebidas</t>
        </is>
      </c>
      <c r="C39" s="59" t="inlineStr">
        <is>
          <t>Bloque media</t>
        </is>
      </c>
      <c r="D39" s="59" t="inlineStr">
        <is>
          <t>25 - BLOQUE MEDIA</t>
        </is>
      </c>
      <c r="E39" s="71" t="n">
        <v>2</v>
      </c>
      <c r="F39" s="70" t="n">
        <v>9500</v>
      </c>
      <c r="G39" s="70" t="n">
        <v>19000</v>
      </c>
    </row>
    <row r="40" hidden="1" s="111">
      <c r="A40" s="65" t="n">
        <v>6</v>
      </c>
      <c r="B40" s="65" t="inlineStr">
        <is>
          <t>Servicios</t>
        </is>
      </c>
      <c r="C40" s="65" t="inlineStr">
        <is>
          <t>Acopi</t>
        </is>
      </c>
      <c r="D40" s="65" t="inlineStr">
        <is>
          <t>Acopi</t>
        </is>
      </c>
      <c r="E40" s="65" t="n">
        <v>1</v>
      </c>
      <c r="F40" s="65" t="n">
        <v>30000</v>
      </c>
      <c r="G40" s="65" t="n">
        <v>30000</v>
      </c>
    </row>
    <row r="41" hidden="1" s="111">
      <c r="A41" s="58" t="n">
        <v>2</v>
      </c>
      <c r="B41" s="58" t="inlineStr">
        <is>
          <t>Carnes</t>
        </is>
      </c>
      <c r="C41" s="58" t="inlineStr">
        <is>
          <t>Callo</t>
        </is>
      </c>
      <c r="D41" s="58" t="inlineStr">
        <is>
          <t>CALLO (5.060 kg)</t>
        </is>
      </c>
      <c r="E41" s="66" t="n">
        <v>5.06</v>
      </c>
      <c r="F41" s="67" t="n">
        <v>19000</v>
      </c>
      <c r="G41" s="67" t="n">
        <v>96140</v>
      </c>
    </row>
    <row r="42" hidden="1" s="111">
      <c r="A42" s="58" t="n">
        <v>2</v>
      </c>
      <c r="B42" s="58" t="inlineStr">
        <is>
          <t>Grano</t>
        </is>
      </c>
      <c r="C42" s="58" t="inlineStr">
        <is>
          <t>Sal marina</t>
        </is>
      </c>
      <c r="D42" s="58" t="inlineStr">
        <is>
          <t>SAL NATUSAL*1000g MARINA GRANO MEDIO (x2)</t>
        </is>
      </c>
      <c r="E42" s="66" t="n">
        <v>2</v>
      </c>
      <c r="F42" s="67" t="n">
        <v>3100</v>
      </c>
      <c r="G42" s="67" t="n">
        <v>6200</v>
      </c>
    </row>
    <row r="43" hidden="1" s="111">
      <c r="A43" s="58" t="n">
        <v>2</v>
      </c>
      <c r="B43" s="58" t="inlineStr">
        <is>
          <t>Grano</t>
        </is>
      </c>
      <c r="C43" s="58" t="inlineStr">
        <is>
          <t>Aceite de soya</t>
        </is>
      </c>
      <c r="D43" s="58" t="inlineStr">
        <is>
          <t>ACEITE DE SOY (x6)</t>
        </is>
      </c>
      <c r="E43" s="66" t="n">
        <v>6</v>
      </c>
      <c r="F43" s="67" t="n">
        <v>22990</v>
      </c>
      <c r="G43" s="67" t="n">
        <v>137940</v>
      </c>
    </row>
    <row r="44" hidden="1" s="111">
      <c r="A44" s="57" t="n">
        <v>8</v>
      </c>
      <c r="B44" s="57" t="inlineStr">
        <is>
          <t>Bebidas</t>
        </is>
      </c>
      <c r="C44" s="57" t="inlineStr">
        <is>
          <t>Bloque media</t>
        </is>
      </c>
      <c r="D44" s="57" t="inlineStr">
        <is>
          <t>25 - BLOQUE MEDIA</t>
        </is>
      </c>
      <c r="E44" s="62" t="n">
        <v>2</v>
      </c>
      <c r="F44" s="63" t="n">
        <v>9500</v>
      </c>
      <c r="G44" s="63" t="n">
        <v>19000</v>
      </c>
    </row>
    <row r="45" hidden="1" s="111">
      <c r="A45" s="58" t="n">
        <v>2</v>
      </c>
      <c r="B45" s="58" t="inlineStr">
        <is>
          <t>Desechables</t>
        </is>
      </c>
      <c r="C45" s="58" t="inlineStr">
        <is>
          <t>Mazamorra</t>
        </is>
      </c>
      <c r="D45" s="58" t="inlineStr">
        <is>
          <t>Mazamorra (Franco Bravo)</t>
        </is>
      </c>
      <c r="E45" s="66" t="n">
        <v>1</v>
      </c>
      <c r="F45" s="67" t="n">
        <v>20000</v>
      </c>
      <c r="G45" s="67" t="n">
        <v>20000</v>
      </c>
    </row>
    <row r="46" hidden="1" s="111">
      <c r="A46" s="58" t="n">
        <v>11</v>
      </c>
      <c r="B46" s="58" t="inlineStr">
        <is>
          <t>Servicios</t>
        </is>
      </c>
      <c r="C46" s="58" t="inlineStr">
        <is>
          <t>Acopi</t>
        </is>
      </c>
      <c r="D46" s="58" t="inlineStr">
        <is>
          <t>Acopi</t>
        </is>
      </c>
      <c r="E46" s="58" t="n">
        <v>1</v>
      </c>
      <c r="F46" s="58" t="n">
        <v>30000</v>
      </c>
      <c r="G46" s="58" t="n">
        <v>30000</v>
      </c>
    </row>
    <row r="47" hidden="1" s="111">
      <c r="A47" s="58" t="n">
        <v>2</v>
      </c>
      <c r="B47" s="58" t="inlineStr">
        <is>
          <t>Verduras</t>
        </is>
      </c>
      <c r="C47" s="58" t="inlineStr">
        <is>
          <t>Aguacate</t>
        </is>
      </c>
      <c r="D47" s="58" t="inlineStr">
        <is>
          <t>25 - Aguacates</t>
        </is>
      </c>
      <c r="E47" s="66" t="n">
        <v>25</v>
      </c>
      <c r="F47" s="67" t="n">
        <v>7000</v>
      </c>
      <c r="G47" s="67" t="n">
        <v>175000</v>
      </c>
    </row>
    <row r="48" hidden="1" s="111">
      <c r="A48" s="58" t="n">
        <v>2</v>
      </c>
      <c r="B48" s="58" t="inlineStr">
        <is>
          <t>Grano</t>
        </is>
      </c>
      <c r="C48" s="58" t="inlineStr">
        <is>
          <t>Comino molido</t>
        </is>
      </c>
      <c r="D48" s="58" t="inlineStr">
        <is>
          <t>1 - lba Comino M.</t>
        </is>
      </c>
      <c r="E48" s="66" t="n">
        <v>1</v>
      </c>
      <c r="F48" s="67" t="n">
        <v>25000</v>
      </c>
      <c r="G48" s="67" t="n">
        <v>25000</v>
      </c>
    </row>
    <row r="49" hidden="1" s="111">
      <c r="A49" s="58" t="n">
        <v>3</v>
      </c>
      <c r="B49" s="58" t="inlineStr">
        <is>
          <t>Carnes</t>
        </is>
      </c>
      <c r="C49" s="58" t="inlineStr">
        <is>
          <t>Pernil de pollo</t>
        </is>
      </c>
      <c r="D49" s="58" t="inlineStr">
        <is>
          <t>PERNIL BLANCO</t>
        </is>
      </c>
      <c r="E49" s="66" t="n">
        <v>45.9</v>
      </c>
      <c r="F49" s="67" t="n">
        <v>7700</v>
      </c>
      <c r="G49" s="67" t="n">
        <v>353430</v>
      </c>
    </row>
    <row r="50" hidden="1" s="111">
      <c r="A50" s="59" t="n">
        <v>9</v>
      </c>
      <c r="B50" s="59" t="inlineStr">
        <is>
          <t>Bebidas</t>
        </is>
      </c>
      <c r="C50" s="59" t="inlineStr">
        <is>
          <t>Bloque media</t>
        </is>
      </c>
      <c r="D50" s="59" t="inlineStr">
        <is>
          <t>25 - BLOQUE MEDIA</t>
        </is>
      </c>
      <c r="E50" s="69" t="n">
        <v>2</v>
      </c>
      <c r="F50" s="70" t="n">
        <v>9500</v>
      </c>
      <c r="G50" s="70" t="n">
        <v>19000</v>
      </c>
    </row>
    <row r="51" hidden="1" s="111">
      <c r="A51" s="57" t="n">
        <v>12</v>
      </c>
      <c r="B51" s="57" t="inlineStr">
        <is>
          <t>Bebidas</t>
        </is>
      </c>
      <c r="C51" s="57" t="inlineStr">
        <is>
          <t>Bloque media</t>
        </is>
      </c>
      <c r="D51" s="57" t="inlineStr">
        <is>
          <t>25 - BLOQUE MEDIA</t>
        </is>
      </c>
      <c r="E51" s="62" t="n">
        <v>2</v>
      </c>
      <c r="F51" s="63" t="n">
        <v>9500</v>
      </c>
      <c r="G51" s="63" t="n">
        <v>19000</v>
      </c>
    </row>
    <row r="52" hidden="1" s="111">
      <c r="A52" s="57" t="n">
        <v>14</v>
      </c>
      <c r="B52" s="57" t="inlineStr">
        <is>
          <t>Bebidas</t>
        </is>
      </c>
      <c r="C52" s="57" t="inlineStr">
        <is>
          <t>Bloque media</t>
        </is>
      </c>
      <c r="D52" s="57" t="inlineStr">
        <is>
          <t>25 - BLOQUE MEDIA</t>
        </is>
      </c>
      <c r="E52" s="64" t="n">
        <v>2</v>
      </c>
      <c r="F52" s="63" t="n">
        <v>9500</v>
      </c>
      <c r="G52" s="63" t="n">
        <v>19000</v>
      </c>
    </row>
    <row r="53" hidden="1" s="111">
      <c r="A53" s="59" t="n">
        <v>15</v>
      </c>
      <c r="B53" s="59" t="inlineStr">
        <is>
          <t>Bebidas</t>
        </is>
      </c>
      <c r="C53" s="59" t="inlineStr">
        <is>
          <t>Bloque media</t>
        </is>
      </c>
      <c r="D53" s="59" t="inlineStr">
        <is>
          <t>25 - BLOQUE MEDIA</t>
        </is>
      </c>
      <c r="E53" s="69" t="n">
        <v>2</v>
      </c>
      <c r="F53" s="70" t="n">
        <v>9500</v>
      </c>
      <c r="G53" s="70" t="n">
        <v>19000</v>
      </c>
    </row>
    <row r="54" hidden="1" s="111">
      <c r="A54" s="59" t="n">
        <v>18</v>
      </c>
      <c r="B54" s="59" t="inlineStr">
        <is>
          <t>Bebidas</t>
        </is>
      </c>
      <c r="C54" s="59" t="inlineStr">
        <is>
          <t>Bloque media</t>
        </is>
      </c>
      <c r="D54" s="59" t="inlineStr">
        <is>
          <t>25 - BLOQUE MEDIA</t>
        </is>
      </c>
      <c r="E54" s="69" t="n">
        <v>2</v>
      </c>
      <c r="F54" s="70" t="n">
        <v>12000</v>
      </c>
      <c r="G54" s="70" t="n">
        <v>24000</v>
      </c>
    </row>
    <row r="55" hidden="1" s="111">
      <c r="A55" s="57" t="n">
        <v>11</v>
      </c>
      <c r="B55" s="57" t="inlineStr">
        <is>
          <t>Bebidas</t>
        </is>
      </c>
      <c r="C55" s="57" t="inlineStr">
        <is>
          <t>Zumo de limon</t>
        </is>
      </c>
      <c r="D55" s="57" t="inlineStr">
        <is>
          <t>5 ZUMOS DE LIMON</t>
        </is>
      </c>
      <c r="E55" s="62" t="n">
        <v>5</v>
      </c>
      <c r="F55" s="63" t="n">
        <v>45000</v>
      </c>
      <c r="G55" s="63" t="n">
        <v>225000</v>
      </c>
    </row>
    <row r="56" hidden="1" s="111">
      <c r="A56" s="58" t="n">
        <v>1</v>
      </c>
      <c r="B56" s="58" t="inlineStr">
        <is>
          <t>Bebidas</t>
        </is>
      </c>
      <c r="C56" s="58" t="inlineStr">
        <is>
          <t>Bolsa 5kl tubular</t>
        </is>
      </c>
      <c r="D56" s="58" t="inlineStr">
        <is>
          <t>7709046020616 - BOLSA X 5 KL TUBULAR</t>
        </is>
      </c>
      <c r="E56" s="66" t="n">
        <v>3</v>
      </c>
      <c r="F56" s="67" t="n">
        <v>5000</v>
      </c>
      <c r="G56" s="67" t="n">
        <v>15000</v>
      </c>
    </row>
    <row r="57" hidden="1" s="111">
      <c r="A57" s="59" t="n">
        <v>2</v>
      </c>
      <c r="B57" s="59" t="inlineStr">
        <is>
          <t>Bebidas</t>
        </is>
      </c>
      <c r="C57" s="59" t="inlineStr">
        <is>
          <t>Bolsa 5kl tubular</t>
        </is>
      </c>
      <c r="D57" s="59" t="inlineStr">
        <is>
          <t>7709046020616 - BOLSA X 5 KL TUBULAR</t>
        </is>
      </c>
      <c r="E57" s="69" t="n">
        <v>2</v>
      </c>
      <c r="F57" s="70" t="n">
        <v>5000</v>
      </c>
      <c r="G57" s="70" t="n">
        <v>10000</v>
      </c>
    </row>
    <row r="58" hidden="1" s="111">
      <c r="A58" s="59" t="n">
        <v>3</v>
      </c>
      <c r="B58" s="59" t="inlineStr">
        <is>
          <t>Bebidas</t>
        </is>
      </c>
      <c r="C58" s="59" t="inlineStr">
        <is>
          <t>Bolsa 5kl tubular</t>
        </is>
      </c>
      <c r="D58" s="59" t="inlineStr">
        <is>
          <t>7709046020616 - BOLSA X 5 KL TUBULAR</t>
        </is>
      </c>
      <c r="E58" s="69" t="n">
        <v>3</v>
      </c>
      <c r="F58" s="72" t="n">
        <v>5000</v>
      </c>
      <c r="G58" s="72" t="n">
        <v>15000</v>
      </c>
    </row>
    <row r="59" hidden="1" s="111">
      <c r="A59" s="65" t="n">
        <v>6</v>
      </c>
      <c r="B59" s="65" t="inlineStr">
        <is>
          <t>Bebidas</t>
        </is>
      </c>
      <c r="C59" s="65" t="inlineStr">
        <is>
          <t>Bolsa 5kl tubular</t>
        </is>
      </c>
      <c r="D59" s="65" t="inlineStr">
        <is>
          <t>7709046020616 - BOLSA X 5 KL TUBULAR</t>
        </is>
      </c>
      <c r="E59" s="65" t="n">
        <v>4</v>
      </c>
      <c r="F59" s="65" t="n">
        <v>5000</v>
      </c>
      <c r="G59" s="65" t="n">
        <v>20000</v>
      </c>
    </row>
    <row r="60" hidden="1" s="111">
      <c r="A60" s="59" t="n">
        <v>3</v>
      </c>
      <c r="B60" s="59" t="inlineStr">
        <is>
          <t>Carnes</t>
        </is>
      </c>
      <c r="C60" s="59" t="inlineStr">
        <is>
          <t>Costilla de cerdo especial</t>
        </is>
      </c>
      <c r="D60" s="59" t="inlineStr">
        <is>
          <t>COSTILLA CERDO ESP CR (BS) X 4 KG</t>
        </is>
      </c>
      <c r="E60" s="69" t="n">
        <v>20</v>
      </c>
      <c r="F60" s="72" t="n">
        <v>18200</v>
      </c>
      <c r="G60" s="72" t="n">
        <v>364000</v>
      </c>
    </row>
    <row r="61" hidden="1" s="111">
      <c r="A61" s="57" t="n">
        <v>8</v>
      </c>
      <c r="B61" s="57" t="inlineStr">
        <is>
          <t>Bebidas</t>
        </is>
      </c>
      <c r="C61" s="57" t="inlineStr">
        <is>
          <t>Bolsa 5kl tubular</t>
        </is>
      </c>
      <c r="D61" s="57" t="inlineStr">
        <is>
          <t>7709046020616 - BOLSA X 5 KL TUBULAR</t>
        </is>
      </c>
      <c r="E61" s="62" t="n">
        <v>2</v>
      </c>
      <c r="F61" s="63" t="n">
        <v>5000</v>
      </c>
      <c r="G61" s="63" t="n">
        <v>10000</v>
      </c>
    </row>
    <row r="62" hidden="1" s="111">
      <c r="A62" s="59" t="n">
        <v>9</v>
      </c>
      <c r="B62" s="59" t="inlineStr">
        <is>
          <t>Bebidas</t>
        </is>
      </c>
      <c r="C62" s="59" t="inlineStr">
        <is>
          <t>Bolsa 5kl tubular</t>
        </is>
      </c>
      <c r="D62" s="59" t="inlineStr">
        <is>
          <t>7709046020616 - BOLSA X 5 KL TUBULAR</t>
        </is>
      </c>
      <c r="E62" s="69" t="n">
        <v>4</v>
      </c>
      <c r="F62" s="70" t="n">
        <v>5000</v>
      </c>
      <c r="G62" s="70" t="n">
        <v>20000</v>
      </c>
    </row>
    <row r="63" hidden="1" s="111">
      <c r="A63" s="59" t="n">
        <v>3</v>
      </c>
      <c r="B63" s="59" t="inlineStr">
        <is>
          <t>Carnes</t>
        </is>
      </c>
      <c r="C63" s="59" t="inlineStr">
        <is>
          <t>Espinazo de cerdo</t>
        </is>
      </c>
      <c r="D63" s="59" t="inlineStr">
        <is>
          <t>009251 ESPINAZO CERDO A GRANEL (2.998kg)</t>
        </is>
      </c>
      <c r="E63" s="71" t="n">
        <v>2.998</v>
      </c>
      <c r="F63" s="70" t="n">
        <v>9799.866599999999</v>
      </c>
      <c r="G63" s="70" t="n">
        <v>29380</v>
      </c>
    </row>
    <row r="64" hidden="1" s="111">
      <c r="A64" s="59" t="n">
        <v>3</v>
      </c>
      <c r="B64" s="59" t="inlineStr">
        <is>
          <t>Verduras</t>
        </is>
      </c>
      <c r="C64" s="59" t="inlineStr">
        <is>
          <t>Champinon*250g tajado setas</t>
        </is>
      </c>
      <c r="D64" s="59" t="inlineStr">
        <is>
          <t>116708 CHAMPINON CHAMPIS*250g TAJADO</t>
        </is>
      </c>
      <c r="E64" s="69" t="n">
        <v>1</v>
      </c>
      <c r="F64" s="70" t="n">
        <v>10300</v>
      </c>
      <c r="G64" s="70" t="n">
        <v>10300</v>
      </c>
    </row>
    <row r="65" hidden="1" s="111">
      <c r="A65" s="59" t="n">
        <v>3</v>
      </c>
      <c r="B65" s="59" t="inlineStr">
        <is>
          <t>Verduras</t>
        </is>
      </c>
      <c r="C65" s="59" t="inlineStr">
        <is>
          <t>Zanahoria</t>
        </is>
      </c>
      <c r="D65" s="59" t="inlineStr">
        <is>
          <t>116800 ZANAHORIA SELECTA A GRANEL (2.265kg)</t>
        </is>
      </c>
      <c r="E65" s="69" t="n">
        <v>2.265</v>
      </c>
      <c r="F65" s="72" t="n">
        <v>4800</v>
      </c>
      <c r="G65" s="72" t="n">
        <v>10872</v>
      </c>
    </row>
    <row r="66" hidden="1" s="111">
      <c r="A66" s="58" t="n">
        <v>3</v>
      </c>
      <c r="B66" s="58" t="inlineStr">
        <is>
          <t>Desechables</t>
        </is>
      </c>
      <c r="C66" s="58" t="inlineStr">
        <is>
          <t>Bolsa canaveral 100% material recicl f</t>
        </is>
      </c>
      <c r="D66" s="58" t="inlineStr">
        <is>
          <t>0045322 BOLSA CANAVERAL 100% MATERIAL RECICL P</t>
        </is>
      </c>
      <c r="E66" s="66" t="n">
        <v>1</v>
      </c>
      <c r="F66" s="67" t="n">
        <v>300</v>
      </c>
      <c r="G66" s="67" t="n">
        <v>300</v>
      </c>
    </row>
    <row r="67" hidden="1" s="111">
      <c r="A67" s="58" t="n">
        <v>3</v>
      </c>
      <c r="B67" s="58" t="inlineStr">
        <is>
          <t>Desechables</t>
        </is>
      </c>
      <c r="C67" s="58" t="inlineStr">
        <is>
          <t>Bolsa canaveral 100% material recicl f</t>
        </is>
      </c>
      <c r="D67" s="58" t="inlineStr">
        <is>
          <t>0045322 BOLSA CANAVERAL 100% MATERIAL RECICL P</t>
        </is>
      </c>
      <c r="E67" s="66" t="n">
        <v>1</v>
      </c>
      <c r="F67" s="67" t="n">
        <v>300</v>
      </c>
      <c r="G67" s="67" t="n">
        <v>300</v>
      </c>
    </row>
    <row r="68" hidden="1" s="111">
      <c r="A68" s="58" t="n">
        <v>3</v>
      </c>
      <c r="B68" s="58" t="inlineStr">
        <is>
          <t>Verduras</t>
        </is>
      </c>
      <c r="C68" s="58" t="inlineStr">
        <is>
          <t>Pimenton</t>
        </is>
      </c>
      <c r="D68" s="58" t="inlineStr">
        <is>
          <t>006371 PIMENTON A GRANEL (0.190kg)</t>
        </is>
      </c>
      <c r="E68" s="66" t="n">
        <v>0.19</v>
      </c>
      <c r="F68" s="67" t="n">
        <v>4400</v>
      </c>
      <c r="G68" s="67" t="n">
        <v>836</v>
      </c>
    </row>
    <row r="69" hidden="1" s="111">
      <c r="A69" s="58" t="n">
        <v>3</v>
      </c>
      <c r="B69" s="58" t="inlineStr">
        <is>
          <t>Verduras</t>
        </is>
      </c>
      <c r="C69" s="58" t="inlineStr">
        <is>
          <t>Coliflor</t>
        </is>
      </c>
      <c r="D69" s="58" t="inlineStr">
        <is>
          <t>006330 COLIFLOR A GRANEL (1.150kg)</t>
        </is>
      </c>
      <c r="E69" s="66" t="n">
        <v>1.15</v>
      </c>
      <c r="F69" s="67" t="n">
        <v>9100</v>
      </c>
      <c r="G69" s="67" t="n">
        <v>10465</v>
      </c>
    </row>
    <row r="70" hidden="1" s="111">
      <c r="A70" s="58" t="n">
        <v>3</v>
      </c>
      <c r="B70" s="58" t="inlineStr">
        <is>
          <t>Verduras</t>
        </is>
      </c>
      <c r="C70" s="58" t="inlineStr">
        <is>
          <t>Brocoly</t>
        </is>
      </c>
      <c r="D70" s="58" t="inlineStr">
        <is>
          <t>006324 BROCOLI A GRANEL (0.500kg)</t>
        </is>
      </c>
      <c r="E70" s="66" t="n">
        <v>0.5</v>
      </c>
      <c r="F70" s="67" t="n">
        <v>9100</v>
      </c>
      <c r="G70" s="67" t="n">
        <v>4550</v>
      </c>
    </row>
    <row r="71">
      <c r="A71" s="58" t="n">
        <v>3</v>
      </c>
      <c r="B71" s="58" t="inlineStr">
        <is>
          <t>Verduras</t>
        </is>
      </c>
      <c r="C71" s="58" t="inlineStr">
        <is>
          <t>Raices  chinas</t>
        </is>
      </c>
      <c r="D71" s="58" t="inlineStr">
        <is>
          <t>0032864 RAICES CHINAS VIVA MEJOR*250g</t>
        </is>
      </c>
      <c r="E71" s="66" t="n">
        <v>1</v>
      </c>
      <c r="F71" s="67" t="n">
        <v>2400</v>
      </c>
      <c r="G71" s="67" t="n">
        <v>2400</v>
      </c>
    </row>
    <row r="72" hidden="1" s="111">
      <c r="A72" s="58" t="n">
        <v>3</v>
      </c>
      <c r="B72" s="58" t="inlineStr">
        <is>
          <t>Verduras</t>
        </is>
      </c>
      <c r="C72" s="58" t="inlineStr">
        <is>
          <t>Zapayo</t>
        </is>
      </c>
      <c r="D72" s="58" t="inlineStr">
        <is>
          <t>028195 CALABACIN AMARILLO A GRANEL (0.690kg)</t>
        </is>
      </c>
      <c r="E72" s="66" t="n">
        <v>0.6899999999999999</v>
      </c>
      <c r="F72" s="67" t="n">
        <v>5800</v>
      </c>
      <c r="G72" s="67" t="n">
        <v>4002</v>
      </c>
    </row>
    <row r="73" hidden="1" s="111">
      <c r="A73" s="58" t="n">
        <v>3</v>
      </c>
      <c r="B73" s="58" t="inlineStr">
        <is>
          <t>Verduras</t>
        </is>
      </c>
      <c r="C73" s="58" t="inlineStr">
        <is>
          <t>Pimenton</t>
        </is>
      </c>
      <c r="D73" s="58" t="inlineStr">
        <is>
          <t>006371 PIMENTON A GRANEL (0.300kg)</t>
        </is>
      </c>
      <c r="E73" s="66" t="n">
        <v>0.3</v>
      </c>
      <c r="F73" s="67" t="n">
        <v>4400</v>
      </c>
      <c r="G73" s="67" t="n">
        <v>1320</v>
      </c>
    </row>
    <row r="74" hidden="1" s="111">
      <c r="A74" s="58" t="n">
        <v>3</v>
      </c>
      <c r="B74" s="58" t="inlineStr">
        <is>
          <t>Verduras</t>
        </is>
      </c>
      <c r="C74" s="58" t="inlineStr">
        <is>
          <t>Habichuela</t>
        </is>
      </c>
      <c r="D74" s="58" t="inlineStr">
        <is>
          <t>006334 HABICHUELA A GRANEL (1.015kg)</t>
        </is>
      </c>
      <c r="E74" s="66" t="n">
        <v>1.015</v>
      </c>
      <c r="F74" s="67" t="n">
        <v>7100</v>
      </c>
      <c r="G74" s="67" t="n">
        <v>7207</v>
      </c>
    </row>
    <row r="75" hidden="1" s="111">
      <c r="A75" s="57" t="n">
        <v>12</v>
      </c>
      <c r="B75" s="57" t="inlineStr">
        <is>
          <t>Servicios</t>
        </is>
      </c>
      <c r="C75" s="57" t="inlineStr">
        <is>
          <t>Acopi</t>
        </is>
      </c>
      <c r="D75" s="57" t="inlineStr">
        <is>
          <t>Acopi</t>
        </is>
      </c>
      <c r="E75" s="64" t="n">
        <v>1</v>
      </c>
      <c r="F75" s="63" t="n">
        <v>30000</v>
      </c>
      <c r="G75" s="63" t="n">
        <v>30000</v>
      </c>
    </row>
    <row r="76" hidden="1" s="111">
      <c r="A76" s="65" t="n">
        <v>13</v>
      </c>
      <c r="B76" s="65" t="inlineStr">
        <is>
          <t>Servicios</t>
        </is>
      </c>
      <c r="C76" s="65" t="inlineStr">
        <is>
          <t>Acopi</t>
        </is>
      </c>
      <c r="D76" s="65" t="inlineStr">
        <is>
          <t>Acopi</t>
        </is>
      </c>
      <c r="E76" s="65" t="n">
        <v>1</v>
      </c>
      <c r="F76" s="65" t="n">
        <v>30000</v>
      </c>
      <c r="G76" s="65" t="n">
        <v>30000</v>
      </c>
    </row>
    <row r="77" hidden="1" s="111">
      <c r="A77" s="58" t="n">
        <v>4</v>
      </c>
      <c r="B77" s="58" t="inlineStr">
        <is>
          <t>Desechables</t>
        </is>
      </c>
      <c r="C77" s="58" t="inlineStr">
        <is>
          <t>Mercancias Varias Excentas</t>
        </is>
      </c>
      <c r="D77" s="58" t="inlineStr">
        <is>
          <t>ULBGR61501 ESMERIL DE BANCO 6 150W/120V SUPER EMTOP</t>
        </is>
      </c>
      <c r="E77" s="66" t="n">
        <v>1</v>
      </c>
      <c r="F77" s="67" t="n">
        <v>157000</v>
      </c>
      <c r="G77" s="67" t="n">
        <v>157000</v>
      </c>
    </row>
    <row r="78" hidden="1" s="111">
      <c r="A78" s="58" t="n">
        <v>4</v>
      </c>
      <c r="B78" s="58" t="inlineStr">
        <is>
          <t>Carnes</t>
        </is>
      </c>
      <c r="C78" s="58" t="inlineStr">
        <is>
          <t>Costilla de cerdo especial</t>
        </is>
      </c>
      <c r="D78" s="58" t="inlineStr">
        <is>
          <t>COSTILLA DE CERDO IBP 244M</t>
        </is>
      </c>
      <c r="E78" s="66" t="n">
        <v>26.6</v>
      </c>
      <c r="F78" s="67" t="n">
        <v>15400</v>
      </c>
      <c r="G78" s="67" t="n">
        <v>409640</v>
      </c>
    </row>
    <row r="79" hidden="1" s="111">
      <c r="A79" s="58" t="n">
        <v>4</v>
      </c>
      <c r="B79" s="58" t="inlineStr">
        <is>
          <t>Carnes</t>
        </is>
      </c>
      <c r="C79" s="58" t="inlineStr">
        <is>
          <t>Camaron precocido</t>
        </is>
      </c>
      <c r="D79" s="58" t="inlineStr">
        <is>
          <t>CAMARON DE CULTIVO PRECOCIDO 91-110P</t>
        </is>
      </c>
      <c r="E79" s="66" t="n">
        <v>20.2</v>
      </c>
      <c r="F79" s="67" t="n">
        <v>22900</v>
      </c>
      <c r="G79" s="67" t="n">
        <v>462580</v>
      </c>
    </row>
    <row r="80" hidden="1" s="111">
      <c r="A80" s="58" t="n">
        <v>4</v>
      </c>
      <c r="B80" s="58" t="inlineStr">
        <is>
          <t>Verduras</t>
        </is>
      </c>
      <c r="C80" s="58" t="inlineStr">
        <is>
          <t>Papa a la francesa paq 2.5 kl</t>
        </is>
      </c>
      <c r="D80" s="58" t="inlineStr">
        <is>
          <t>PAPA A LA FRANCESA FRITERS PAQ 2.5 KL</t>
        </is>
      </c>
      <c r="E80" s="66" t="n">
        <v>8</v>
      </c>
      <c r="F80" s="67" t="n">
        <v>15546.25</v>
      </c>
      <c r="G80" s="67" t="n">
        <v>124370</v>
      </c>
    </row>
    <row r="81" hidden="1" s="111">
      <c r="A81" s="58" t="n">
        <v>4</v>
      </c>
      <c r="B81" s="58" t="inlineStr">
        <is>
          <t>Carnes</t>
        </is>
      </c>
      <c r="C81" s="58" t="inlineStr">
        <is>
          <t>Tocineta barril</t>
        </is>
      </c>
      <c r="D81" s="58" t="inlineStr">
        <is>
          <t>TOCINETA BARRIL</t>
        </is>
      </c>
      <c r="E81" s="66" t="n">
        <v>68.75</v>
      </c>
      <c r="F81" s="67" t="n">
        <v>21900</v>
      </c>
      <c r="G81" s="67" t="n">
        <v>1505625</v>
      </c>
    </row>
    <row r="82" hidden="1" s="111">
      <c r="A82" s="57" t="n">
        <v>12</v>
      </c>
      <c r="B82" s="57" t="inlineStr">
        <is>
          <t>Bebidas</t>
        </is>
      </c>
      <c r="C82" s="57" t="inlineStr">
        <is>
          <t>Bolsa 5kl tubular</t>
        </is>
      </c>
      <c r="D82" s="57" t="inlineStr">
        <is>
          <t>7709046020616 - BOLSA X 5 KL TUBULAR</t>
        </is>
      </c>
      <c r="E82" s="62" t="n">
        <v>5</v>
      </c>
      <c r="F82" s="68" t="n">
        <v>5000</v>
      </c>
      <c r="G82" s="63" t="n">
        <v>25000</v>
      </c>
    </row>
    <row r="83" hidden="1" s="111">
      <c r="A83" s="57" t="n">
        <v>14</v>
      </c>
      <c r="B83" s="57" t="inlineStr">
        <is>
          <t>Bebidas</t>
        </is>
      </c>
      <c r="C83" s="57" t="inlineStr">
        <is>
          <t>Bolsa 5kl tubular</t>
        </is>
      </c>
      <c r="D83" s="57" t="inlineStr">
        <is>
          <t>7709046020616 - BOLSA X 5 KL TUBULAR</t>
        </is>
      </c>
      <c r="E83" s="64" t="n">
        <v>3</v>
      </c>
      <c r="F83" s="63" t="n">
        <v>5000</v>
      </c>
      <c r="G83" s="63" t="n">
        <v>15000</v>
      </c>
    </row>
    <row r="84" hidden="1" s="111">
      <c r="A84" s="58" t="n">
        <v>4</v>
      </c>
      <c r="B84" s="58" t="inlineStr">
        <is>
          <t>Carnes</t>
        </is>
      </c>
      <c r="C84" s="58" t="inlineStr">
        <is>
          <t>Lomo de cerdo</t>
        </is>
      </c>
      <c r="D84" s="58" t="inlineStr">
        <is>
          <t>LOMO DE CERDO</t>
        </is>
      </c>
      <c r="E84" s="66" t="n">
        <v>14.4</v>
      </c>
      <c r="F84" s="67" t="n">
        <v>19500</v>
      </c>
      <c r="G84" s="67" t="n">
        <v>280800</v>
      </c>
    </row>
    <row r="85" hidden="1" s="111">
      <c r="A85" s="58" t="n">
        <v>4</v>
      </c>
      <c r="B85" s="58" t="inlineStr">
        <is>
          <t>Carnes</t>
        </is>
      </c>
      <c r="C85" s="58" t="inlineStr">
        <is>
          <t>Filete de pollo x 350</t>
        </is>
      </c>
      <c r="D85" s="58" t="inlineStr">
        <is>
          <t>FILETE DE POLLO X 350G</t>
        </is>
      </c>
      <c r="E85" s="66" t="n">
        <v>21.4</v>
      </c>
      <c r="F85" s="67" t="n">
        <v>18500</v>
      </c>
      <c r="G85" s="67" t="n">
        <v>395900</v>
      </c>
    </row>
    <row r="86" hidden="1" s="111">
      <c r="A86" s="59" t="n">
        <v>15</v>
      </c>
      <c r="B86" s="59" t="inlineStr">
        <is>
          <t>Bebidas</t>
        </is>
      </c>
      <c r="C86" s="59" t="inlineStr">
        <is>
          <t>Bolsa 5kl tubular</t>
        </is>
      </c>
      <c r="D86" s="59" t="inlineStr">
        <is>
          <t>7709046020616 - BOLSA X 5 KL TUBULAR</t>
        </is>
      </c>
      <c r="E86" s="69" t="n">
        <v>2</v>
      </c>
      <c r="F86" s="70" t="n">
        <v>5000</v>
      </c>
      <c r="G86" s="70" t="n">
        <v>10000</v>
      </c>
    </row>
    <row r="87" hidden="1" s="111">
      <c r="A87" s="59" t="n">
        <v>18</v>
      </c>
      <c r="B87" s="59" t="inlineStr">
        <is>
          <t>Bebidas</t>
        </is>
      </c>
      <c r="C87" s="59" t="inlineStr">
        <is>
          <t>Bolsa 5kl tubular</t>
        </is>
      </c>
      <c r="D87" s="59" t="inlineStr">
        <is>
          <t>7709046020616 - BOLSA X 5 KL TUBULAR</t>
        </is>
      </c>
      <c r="E87" s="69" t="n">
        <v>3</v>
      </c>
      <c r="F87" s="70" t="n">
        <v>5000</v>
      </c>
      <c r="G87" s="70" t="n">
        <v>15000</v>
      </c>
    </row>
    <row r="88" hidden="1" s="111">
      <c r="A88" s="84" t="n">
        <v>20</v>
      </c>
      <c r="B88" s="58" t="inlineStr">
        <is>
          <t>Bebidas</t>
        </is>
      </c>
      <c r="C88" s="58" t="inlineStr">
        <is>
          <t>Mango 100gr</t>
        </is>
      </c>
      <c r="D88" s="58" t="inlineStr">
        <is>
          <t>A Mango 125 gr (Fruitty Frezze FE21343)</t>
        </is>
      </c>
      <c r="E88" s="84" t="n">
        <v>5</v>
      </c>
      <c r="F88" s="87" t="n">
        <v>12900</v>
      </c>
      <c r="G88" s="87" t="n">
        <v>64500</v>
      </c>
    </row>
    <row r="89" hidden="1" s="111">
      <c r="A89" s="58" t="n">
        <v>6</v>
      </c>
      <c r="B89" s="58" t="inlineStr">
        <is>
          <t>Bebidas</t>
        </is>
      </c>
      <c r="C89" s="58" t="inlineStr">
        <is>
          <t>Mango 100gr</t>
        </is>
      </c>
      <c r="D89" s="58" t="inlineStr">
        <is>
          <t>A Mango 125 gr (x5)</t>
        </is>
      </c>
      <c r="E89" s="66" t="n">
        <v>5</v>
      </c>
      <c r="F89" s="67" t="n">
        <v>12900</v>
      </c>
      <c r="G89" s="67" t="n">
        <v>64500</v>
      </c>
    </row>
    <row r="90" hidden="1" s="111">
      <c r="A90" s="59" t="n">
        <v>3</v>
      </c>
      <c r="B90" s="59" t="inlineStr">
        <is>
          <t>Bebidas</t>
        </is>
      </c>
      <c r="C90" s="59" t="inlineStr">
        <is>
          <t xml:space="preserve">Agua con gas </t>
        </is>
      </c>
      <c r="D90" s="59" t="inlineStr">
        <is>
          <t>AGUA BRISA GAS PET 600ML (24)</t>
        </is>
      </c>
      <c r="E90" s="69" t="n">
        <v>2</v>
      </c>
      <c r="F90" s="72" t="n">
        <v>25600</v>
      </c>
      <c r="G90" s="72" t="n">
        <v>51200</v>
      </c>
    </row>
    <row r="91" hidden="1" s="111">
      <c r="A91" s="59" t="n">
        <v>10</v>
      </c>
      <c r="B91" s="59" t="inlineStr">
        <is>
          <t>Bebidas</t>
        </is>
      </c>
      <c r="C91" s="59" t="inlineStr">
        <is>
          <t xml:space="preserve">Agua con gas </t>
        </is>
      </c>
      <c r="D91" s="59" t="inlineStr">
        <is>
          <t>AGUA BRISA GAS PET 600ML (24)</t>
        </is>
      </c>
      <c r="E91" s="69" t="n">
        <v>2</v>
      </c>
      <c r="F91" s="72" t="n">
        <v>25600</v>
      </c>
      <c r="G91" s="72" t="n">
        <v>51200</v>
      </c>
    </row>
    <row r="92" hidden="1" s="111">
      <c r="A92" s="84" t="n">
        <v>27</v>
      </c>
      <c r="B92" s="58" t="inlineStr">
        <is>
          <t>Bebidas</t>
        </is>
      </c>
      <c r="C92" s="58" t="inlineStr">
        <is>
          <t>Agua con gas</t>
        </is>
      </c>
      <c r="D92" s="58" t="inlineStr">
        <is>
          <t>AGUA BRISA GAS PET 600ML (24) (Coca-Cola Femsa)</t>
        </is>
      </c>
      <c r="E92" s="87" t="n">
        <v>3</v>
      </c>
      <c r="F92" s="87" t="n">
        <v>32000</v>
      </c>
      <c r="G92" s="87" t="n">
        <v>96000</v>
      </c>
    </row>
    <row r="93" hidden="1" s="111">
      <c r="A93" s="59" t="n">
        <v>3</v>
      </c>
      <c r="B93" s="59" t="inlineStr">
        <is>
          <t>Bebidas</t>
        </is>
      </c>
      <c r="C93" s="59" t="inlineStr">
        <is>
          <t>Brisa 600 ml</t>
        </is>
      </c>
      <c r="D93" s="59" t="inlineStr">
        <is>
          <t>AGUA BRISA PET 600ML (24)</t>
        </is>
      </c>
      <c r="E93" s="69" t="n">
        <v>2</v>
      </c>
      <c r="F93" s="72" t="n">
        <v>25600</v>
      </c>
      <c r="G93" s="72" t="n">
        <v>51200</v>
      </c>
    </row>
    <row r="94" hidden="1" s="111">
      <c r="A94" s="59" t="n">
        <v>6</v>
      </c>
      <c r="B94" s="59" t="inlineStr">
        <is>
          <t>Bebidas</t>
        </is>
      </c>
      <c r="C94" s="59" t="inlineStr">
        <is>
          <t>Brisa 600 ml</t>
        </is>
      </c>
      <c r="D94" s="59" t="inlineStr">
        <is>
          <t>AGUA BRISA PET 600ML (24)</t>
        </is>
      </c>
      <c r="E94" s="71" t="n">
        <v>1</v>
      </c>
      <c r="F94" s="70" t="n">
        <v>25600</v>
      </c>
      <c r="G94" s="70" t="n">
        <v>25600</v>
      </c>
    </row>
    <row r="95" hidden="1" s="111">
      <c r="A95" s="59" t="n">
        <v>10</v>
      </c>
      <c r="B95" s="59" t="inlineStr">
        <is>
          <t>Bebidas</t>
        </is>
      </c>
      <c r="C95" s="59" t="inlineStr">
        <is>
          <t>Brisa 600 ml</t>
        </is>
      </c>
      <c r="D95" s="59" t="inlineStr">
        <is>
          <t>AGUA BRISA PET 600ML (24)</t>
        </is>
      </c>
      <c r="E95" s="69" t="n">
        <v>1</v>
      </c>
      <c r="F95" s="72" t="n">
        <v>25600</v>
      </c>
      <c r="G95" s="72" t="n">
        <v>25600</v>
      </c>
    </row>
    <row r="96" hidden="1" s="111">
      <c r="A96" s="57" t="n">
        <v>13</v>
      </c>
      <c r="B96" s="57" t="inlineStr">
        <is>
          <t>Bebidas</t>
        </is>
      </c>
      <c r="C96" s="57" t="inlineStr">
        <is>
          <t>Brisa 600 ml</t>
        </is>
      </c>
      <c r="D96" s="57" t="inlineStr">
        <is>
          <t>AGUA BRISA PET 600ML (24)</t>
        </is>
      </c>
      <c r="E96" s="62" t="n">
        <v>10</v>
      </c>
      <c r="F96" s="63" t="n">
        <v>25600</v>
      </c>
      <c r="G96" s="63" t="n">
        <v>256000</v>
      </c>
    </row>
    <row r="97" hidden="1" s="111">
      <c r="A97" s="58" t="n">
        <v>27</v>
      </c>
      <c r="B97" s="58" t="inlineStr">
        <is>
          <t>Bebidas</t>
        </is>
      </c>
      <c r="C97" s="58" t="inlineStr">
        <is>
          <t>Brisa 600 ml</t>
        </is>
      </c>
      <c r="D97" s="58" t="inlineStr">
        <is>
          <t>AGUA BRISA PET 600ML (24) (Coca-Cola Femsa)</t>
        </is>
      </c>
      <c r="E97" s="58" t="n">
        <v>2</v>
      </c>
      <c r="F97" s="58" t="n">
        <v>32000</v>
      </c>
      <c r="G97" s="58" t="n">
        <v>64000</v>
      </c>
    </row>
    <row r="98" hidden="1" s="111">
      <c r="A98" s="59" t="n">
        <v>31</v>
      </c>
      <c r="B98" s="59" t="inlineStr">
        <is>
          <t>Bebidas</t>
        </is>
      </c>
      <c r="C98" s="59" t="inlineStr">
        <is>
          <t>Brisa 600 ml</t>
        </is>
      </c>
      <c r="D98" s="59" t="inlineStr">
        <is>
          <t>AGUA BRISA PET 600ML (24) [48 und]</t>
        </is>
      </c>
      <c r="E98" s="69" t="n">
        <v>48</v>
      </c>
      <c r="F98" s="70" t="n">
        <v>1333.333333333333</v>
      </c>
      <c r="G98" s="70" t="n">
        <v>64000</v>
      </c>
    </row>
    <row r="99" hidden="1" s="111">
      <c r="A99" s="57" t="n">
        <v>4</v>
      </c>
      <c r="B99" s="57" t="inlineStr">
        <is>
          <t>Bebidas</t>
        </is>
      </c>
      <c r="C99" s="57" t="inlineStr">
        <is>
          <t>Agua</t>
        </is>
      </c>
      <c r="D99" s="57" t="inlineStr">
        <is>
          <t>AGUA CRISTAL 600 ML PET X 24</t>
        </is>
      </c>
      <c r="E99" s="62" t="n">
        <v>24</v>
      </c>
      <c r="F99" s="63" t="n">
        <v>1333.33</v>
      </c>
      <c r="G99" s="63" t="n">
        <v>31999.92</v>
      </c>
    </row>
    <row r="100" hidden="1" s="111">
      <c r="A100" s="59" t="n">
        <v>20</v>
      </c>
      <c r="B100" s="59" t="inlineStr">
        <is>
          <t>Bebidas</t>
        </is>
      </c>
      <c r="C100" s="59" t="inlineStr">
        <is>
          <t>Agua</t>
        </is>
      </c>
      <c r="D100" s="59" t="inlineStr">
        <is>
          <t>AGUA CRISTAL 600 ML PET X 24</t>
        </is>
      </c>
      <c r="E100" s="69" t="n">
        <v>24</v>
      </c>
      <c r="F100" s="72" t="n">
        <v>1333.33</v>
      </c>
      <c r="G100" s="72" t="n">
        <v>31999.92</v>
      </c>
    </row>
    <row r="101" hidden="1" s="111">
      <c r="A101" s="57" t="n">
        <v>14</v>
      </c>
      <c r="B101" s="57" t="inlineStr">
        <is>
          <t>Bebidas</t>
        </is>
      </c>
      <c r="C101" s="57" t="inlineStr">
        <is>
          <t xml:space="preserve">Agua con gas </t>
        </is>
      </c>
      <c r="D101" s="57" t="inlineStr">
        <is>
          <t>AGUA CRISTAL CON GAS 600 ML PET X 24</t>
        </is>
      </c>
      <c r="E101" s="62" t="n">
        <v>72</v>
      </c>
      <c r="F101" s="63" t="n">
        <v>1500</v>
      </c>
      <c r="G101" s="63" t="n">
        <v>108000</v>
      </c>
    </row>
    <row r="102" hidden="1" s="111">
      <c r="A102" s="58" t="n">
        <v>24</v>
      </c>
      <c r="B102" s="58" t="inlineStr">
        <is>
          <t>Bebidas</t>
        </is>
      </c>
      <c r="C102" s="58" t="inlineStr">
        <is>
          <t xml:space="preserve">Agua con gas </t>
        </is>
      </c>
      <c r="D102" s="58" t="inlineStr">
        <is>
          <t>AGUA CRISTAL CON GAS 600 ML PET X 24 (Postobon)</t>
        </is>
      </c>
      <c r="E102" s="58" t="n">
        <v>96</v>
      </c>
      <c r="F102" s="58" t="n">
        <v>1500</v>
      </c>
      <c r="G102" s="58" t="n">
        <v>144000</v>
      </c>
    </row>
    <row r="103" hidden="1" s="111">
      <c r="A103" s="84" t="n">
        <v>20</v>
      </c>
      <c r="B103" s="58" t="inlineStr">
        <is>
          <t>Bebidas</t>
        </is>
      </c>
      <c r="C103" s="58" t="inlineStr">
        <is>
          <t>Lulo 100 gr</t>
        </is>
      </c>
      <c r="D103" s="58" t="inlineStr">
        <is>
          <t>B Lulo 125 gr (Fruitty Frezze FE21343)</t>
        </is>
      </c>
      <c r="E103" s="84" t="n">
        <v>5</v>
      </c>
      <c r="F103" s="87" t="n">
        <v>12600</v>
      </c>
      <c r="G103" s="87" t="n">
        <v>63000</v>
      </c>
    </row>
    <row r="104" hidden="1" s="111">
      <c r="A104" s="59" t="n">
        <v>6</v>
      </c>
      <c r="B104" s="59" t="inlineStr">
        <is>
          <t>Bebidas</t>
        </is>
      </c>
      <c r="C104" s="59" t="inlineStr">
        <is>
          <t>Lulo 100 gr</t>
        </is>
      </c>
      <c r="D104" s="59" t="inlineStr">
        <is>
          <t>B Lulo 125 gr (x4)</t>
        </is>
      </c>
      <c r="E104" s="71" t="n">
        <v>4</v>
      </c>
      <c r="F104" s="70" t="n">
        <v>12600</v>
      </c>
      <c r="G104" s="70" t="n">
        <v>50400</v>
      </c>
    </row>
    <row r="105" hidden="1" s="111">
      <c r="A105" s="57" t="n">
        <v>1</v>
      </c>
      <c r="B105" s="57" t="inlineStr">
        <is>
          <t>Bebidas</t>
        </is>
      </c>
      <c r="C105" s="57" t="inlineStr">
        <is>
          <t>Bloque media</t>
        </is>
      </c>
      <c r="D105" s="57" t="inlineStr">
        <is>
          <t>BLOQUE MEDIA</t>
        </is>
      </c>
      <c r="E105" s="62" t="n">
        <v>2</v>
      </c>
      <c r="F105" s="63" t="n">
        <v>9500</v>
      </c>
      <c r="G105" s="63" t="n">
        <v>19000</v>
      </c>
    </row>
    <row r="106" hidden="1" s="111">
      <c r="A106" s="58" t="n">
        <v>3</v>
      </c>
      <c r="B106" s="58" t="inlineStr">
        <is>
          <t>Bebidas</t>
        </is>
      </c>
      <c r="C106" s="58" t="inlineStr">
        <is>
          <t>Bloque media</t>
        </is>
      </c>
      <c r="D106" s="58" t="inlineStr">
        <is>
          <t>BLOQUE MEDIA</t>
        </is>
      </c>
      <c r="E106" s="66" t="n">
        <v>2</v>
      </c>
      <c r="F106" s="67" t="n">
        <v>9500</v>
      </c>
      <c r="G106" s="67" t="n">
        <v>19000</v>
      </c>
    </row>
    <row r="107" hidden="1" s="111">
      <c r="A107" s="58" t="n">
        <v>3</v>
      </c>
      <c r="B107" s="58" t="inlineStr">
        <is>
          <t>Bebidas</t>
        </is>
      </c>
      <c r="C107" s="58" t="inlineStr">
        <is>
          <t>Bloque media</t>
        </is>
      </c>
      <c r="D107" s="58" t="inlineStr">
        <is>
          <t>BLOQUE MEDIA</t>
        </is>
      </c>
      <c r="E107" s="66" t="n">
        <v>2</v>
      </c>
      <c r="F107" s="67" t="n">
        <v>9500</v>
      </c>
      <c r="G107" s="67" t="n">
        <v>19000</v>
      </c>
    </row>
    <row r="108" hidden="1" s="111">
      <c r="A108" s="58" t="n">
        <v>4</v>
      </c>
      <c r="B108" s="58" t="inlineStr">
        <is>
          <t>Bebidas</t>
        </is>
      </c>
      <c r="C108" s="58" t="inlineStr">
        <is>
          <t>Bloque media</t>
        </is>
      </c>
      <c r="D108" s="58" t="inlineStr">
        <is>
          <t>BLOQUE MEDIA</t>
        </is>
      </c>
      <c r="E108" s="66" t="n">
        <v>2</v>
      </c>
      <c r="F108" s="67" t="n">
        <v>9500</v>
      </c>
      <c r="G108" s="67" t="n">
        <v>19000</v>
      </c>
    </row>
    <row r="109" hidden="1" s="111">
      <c r="A109" s="57" t="n">
        <v>4</v>
      </c>
      <c r="B109" s="57" t="inlineStr">
        <is>
          <t>Bebidas</t>
        </is>
      </c>
      <c r="C109" s="57" t="inlineStr">
        <is>
          <t>Bloque media</t>
        </is>
      </c>
      <c r="D109" s="57" t="inlineStr">
        <is>
          <t>BLOQUE MEDIA</t>
        </is>
      </c>
      <c r="E109" s="64" t="n">
        <v>2</v>
      </c>
      <c r="F109" s="63" t="n">
        <v>9500</v>
      </c>
      <c r="G109" s="63" t="n">
        <v>19000</v>
      </c>
    </row>
    <row r="110" hidden="1" s="111">
      <c r="A110" s="57" t="n">
        <v>5</v>
      </c>
      <c r="B110" s="57" t="inlineStr">
        <is>
          <t>Bebidas</t>
        </is>
      </c>
      <c r="C110" s="57" t="inlineStr">
        <is>
          <t>Bloque media</t>
        </is>
      </c>
      <c r="D110" s="57" t="inlineStr">
        <is>
          <t>BLOQUE MEDIA</t>
        </is>
      </c>
      <c r="E110" s="62" t="n">
        <v>2</v>
      </c>
      <c r="F110" s="68" t="n">
        <v>9500</v>
      </c>
      <c r="G110" s="63" t="n">
        <v>19000</v>
      </c>
    </row>
    <row r="111" hidden="1" s="111">
      <c r="A111" s="59" t="n">
        <v>6</v>
      </c>
      <c r="B111" s="59" t="inlineStr">
        <is>
          <t>Bebidas</t>
        </is>
      </c>
      <c r="C111" s="59" t="inlineStr">
        <is>
          <t>Bloque media</t>
        </is>
      </c>
      <c r="D111" s="59" t="inlineStr">
        <is>
          <t>BLOQUE MEDIA</t>
        </is>
      </c>
      <c r="E111" s="71" t="n">
        <v>2</v>
      </c>
      <c r="F111" s="70" t="n">
        <v>9500</v>
      </c>
      <c r="G111" s="70" t="n">
        <v>19000</v>
      </c>
    </row>
    <row r="112" hidden="1" s="111">
      <c r="A112" s="59" t="n">
        <v>10</v>
      </c>
      <c r="B112" s="59" t="inlineStr">
        <is>
          <t>Bebidas</t>
        </is>
      </c>
      <c r="C112" s="59" t="inlineStr">
        <is>
          <t>Bloque media</t>
        </is>
      </c>
      <c r="D112" s="59" t="inlineStr">
        <is>
          <t>BLOQUE MEDIA</t>
        </is>
      </c>
      <c r="E112" s="69" t="n">
        <v>2</v>
      </c>
      <c r="F112" s="70" t="n">
        <v>9500</v>
      </c>
      <c r="G112" s="70" t="n">
        <v>19000</v>
      </c>
    </row>
    <row r="113" hidden="1" s="111">
      <c r="A113" s="57" t="n">
        <v>4</v>
      </c>
      <c r="B113" s="57" t="inlineStr">
        <is>
          <t>Verduras</t>
        </is>
      </c>
      <c r="C113" s="57" t="inlineStr">
        <is>
          <t>Cebolla Larga Atado</t>
        </is>
      </c>
      <c r="D113" s="57" t="inlineStr">
        <is>
          <t>CEBOLLA LARGA ATADO</t>
        </is>
      </c>
      <c r="E113" s="62" t="n">
        <v>1</v>
      </c>
      <c r="F113" s="63" t="n">
        <v>70000</v>
      </c>
      <c r="G113" s="63" t="n">
        <v>70000</v>
      </c>
    </row>
    <row r="114" hidden="1" s="111">
      <c r="A114" s="57" t="n">
        <v>4</v>
      </c>
      <c r="B114" s="57" t="inlineStr">
        <is>
          <t>Verduras</t>
        </is>
      </c>
      <c r="C114" s="57" t="inlineStr">
        <is>
          <t>Lechuga batavia caja</t>
        </is>
      </c>
      <c r="D114" s="57" t="inlineStr">
        <is>
          <t>LECHUGA BATAVIA*CAJA</t>
        </is>
      </c>
      <c r="E114" s="62" t="n">
        <v>3</v>
      </c>
      <c r="F114" s="63" t="n">
        <v>25000</v>
      </c>
      <c r="G114" s="63" t="n">
        <v>75000</v>
      </c>
    </row>
    <row r="115" hidden="1" s="111">
      <c r="A115" s="57" t="n">
        <v>4</v>
      </c>
      <c r="B115" s="57" t="inlineStr">
        <is>
          <t>Desechables</t>
        </is>
      </c>
      <c r="C115" s="57" t="inlineStr">
        <is>
          <t>Carbon bulto</t>
        </is>
      </c>
      <c r="D115" s="57" t="inlineStr">
        <is>
          <t>CAARBON BULTO</t>
        </is>
      </c>
      <c r="E115" s="62" t="n">
        <v>1</v>
      </c>
      <c r="F115" s="63" t="n">
        <v>43000</v>
      </c>
      <c r="G115" s="63" t="n">
        <v>43000</v>
      </c>
    </row>
    <row r="116" hidden="1" s="111">
      <c r="A116" s="57" t="n">
        <v>4</v>
      </c>
      <c r="B116" s="57" t="inlineStr">
        <is>
          <t>Verduras</t>
        </is>
      </c>
      <c r="C116" s="57" t="inlineStr">
        <is>
          <t>Cilantro</t>
        </is>
      </c>
      <c r="D116" s="57" t="inlineStr">
        <is>
          <t>CILANTRO</t>
        </is>
      </c>
      <c r="E116" s="62" t="n">
        <v>4</v>
      </c>
      <c r="F116" s="68" t="n">
        <v>7000</v>
      </c>
      <c r="G116" s="63" t="n">
        <v>28000</v>
      </c>
    </row>
    <row r="117" hidden="1" s="111">
      <c r="A117" s="57" t="n">
        <v>4</v>
      </c>
      <c r="B117" s="57" t="inlineStr">
        <is>
          <t>Verduras</t>
        </is>
      </c>
      <c r="C117" s="57" t="inlineStr">
        <is>
          <t>Tomillo</t>
        </is>
      </c>
      <c r="D117" s="57" t="inlineStr">
        <is>
          <t>TOMILLO</t>
        </is>
      </c>
      <c r="E117" s="62" t="n">
        <v>1</v>
      </c>
      <c r="F117" s="63" t="n">
        <v>10000</v>
      </c>
      <c r="G117" s="63" t="n">
        <v>10000</v>
      </c>
    </row>
    <row r="118" hidden="1" s="111">
      <c r="A118" s="59" t="n">
        <v>4</v>
      </c>
      <c r="B118" s="59" t="inlineStr">
        <is>
          <t>Verduras</t>
        </is>
      </c>
      <c r="C118" s="59" t="inlineStr">
        <is>
          <t>Hiervas</t>
        </is>
      </c>
      <c r="D118" s="59" t="inlineStr">
        <is>
          <t>HIERVAS</t>
        </is>
      </c>
      <c r="E118" s="69" t="n">
        <v>5</v>
      </c>
      <c r="F118" s="70" t="n">
        <v>2000</v>
      </c>
      <c r="G118" s="70" t="n">
        <v>10000</v>
      </c>
    </row>
    <row r="119" hidden="1" s="111">
      <c r="A119" s="65" t="n">
        <v>4</v>
      </c>
      <c r="B119" s="65" t="inlineStr">
        <is>
          <t>Verduras</t>
        </is>
      </c>
      <c r="C119" s="65" t="inlineStr">
        <is>
          <t>Arveja verde</t>
        </is>
      </c>
      <c r="D119" s="65" t="inlineStr">
        <is>
          <t>ARVEJA VERDE*KL</t>
        </is>
      </c>
      <c r="E119" s="65" t="n">
        <v>1.9</v>
      </c>
      <c r="F119" s="65" t="n">
        <v>15000</v>
      </c>
      <c r="G119" s="65" t="n">
        <v>28500</v>
      </c>
    </row>
    <row r="120" hidden="1" s="111">
      <c r="A120" s="65" t="n">
        <v>4</v>
      </c>
      <c r="B120" s="65" t="inlineStr">
        <is>
          <t>Verduras</t>
        </is>
      </c>
      <c r="C120" s="65" t="inlineStr">
        <is>
          <t xml:space="preserve">Papa amarilla </t>
        </is>
      </c>
      <c r="D120" s="65" t="inlineStr">
        <is>
          <t>PAPA AMARILLA CRIOLLA*KL</t>
        </is>
      </c>
      <c r="E120" s="65" t="n">
        <v>5.2</v>
      </c>
      <c r="F120" s="65" t="n">
        <v>5500</v>
      </c>
      <c r="G120" s="65" t="n">
        <v>28600</v>
      </c>
    </row>
    <row r="121" hidden="1" s="111">
      <c r="A121" s="65" t="n">
        <v>4</v>
      </c>
      <c r="B121" s="65" t="inlineStr">
        <is>
          <t>Verduras</t>
        </is>
      </c>
      <c r="C121" s="65" t="inlineStr">
        <is>
          <t xml:space="preserve">Papa manbera </t>
        </is>
      </c>
      <c r="D121" s="65" t="inlineStr">
        <is>
          <t>PAPA MAMBERA*KL</t>
        </is>
      </c>
      <c r="E121" s="65" t="n">
        <v>8.699999999999999</v>
      </c>
      <c r="F121" s="65" t="n">
        <v>3500</v>
      </c>
      <c r="G121" s="65" t="n">
        <v>30450</v>
      </c>
    </row>
    <row r="122" hidden="1" s="111">
      <c r="A122" s="65" t="n">
        <v>4</v>
      </c>
      <c r="B122" s="65" t="inlineStr">
        <is>
          <t>Verduras</t>
        </is>
      </c>
      <c r="C122" s="65" t="inlineStr">
        <is>
          <t>Apio</t>
        </is>
      </c>
      <c r="D122" s="65" t="inlineStr">
        <is>
          <t>APIO*KL</t>
        </is>
      </c>
      <c r="E122" s="65" t="n">
        <v>3.5</v>
      </c>
      <c r="F122" s="65" t="n">
        <v>3000</v>
      </c>
      <c r="G122" s="65" t="n">
        <v>10500</v>
      </c>
    </row>
    <row r="123" hidden="1" s="111">
      <c r="A123" s="65" t="n">
        <v>4</v>
      </c>
      <c r="B123" s="65" t="inlineStr">
        <is>
          <t>Verduras</t>
        </is>
      </c>
      <c r="C123" s="65" t="inlineStr">
        <is>
          <t>Mazorca</t>
        </is>
      </c>
      <c r="D123" s="65" t="inlineStr">
        <is>
          <t>MAZORCA*UND</t>
        </is>
      </c>
      <c r="E123" s="65" t="n">
        <v>20</v>
      </c>
      <c r="F123" s="65" t="n">
        <v>1200</v>
      </c>
      <c r="G123" s="65" t="n">
        <v>24000</v>
      </c>
    </row>
    <row r="124" hidden="1" s="111">
      <c r="A124" s="65" t="n">
        <v>4</v>
      </c>
      <c r="B124" s="65" t="inlineStr">
        <is>
          <t>Verduras</t>
        </is>
      </c>
      <c r="C124" s="65" t="inlineStr">
        <is>
          <t>Pimenton</t>
        </is>
      </c>
      <c r="D124" s="65" t="inlineStr">
        <is>
          <t>PIMENTON*KL</t>
        </is>
      </c>
      <c r="E124" s="65" t="n">
        <v>6.9</v>
      </c>
      <c r="F124" s="65" t="n">
        <v>3000</v>
      </c>
      <c r="G124" s="65" t="n">
        <v>20700</v>
      </c>
    </row>
    <row r="125" hidden="1" s="111">
      <c r="A125" s="65" t="n">
        <v>4</v>
      </c>
      <c r="B125" s="65" t="inlineStr">
        <is>
          <t>Verduras</t>
        </is>
      </c>
      <c r="C125" s="65" t="inlineStr">
        <is>
          <t>Tomate chonto</t>
        </is>
      </c>
      <c r="D125" s="65" t="inlineStr">
        <is>
          <t>TOMATE CHONTO*KL</t>
        </is>
      </c>
      <c r="E125" s="65" t="n">
        <v>11</v>
      </c>
      <c r="F125" s="65" t="n">
        <v>4500</v>
      </c>
      <c r="G125" s="65" t="n">
        <v>49500</v>
      </c>
    </row>
    <row r="126" hidden="1" s="111">
      <c r="A126" s="65" t="n">
        <v>4</v>
      </c>
      <c r="B126" s="65" t="inlineStr">
        <is>
          <t>Verduras</t>
        </is>
      </c>
      <c r="C126" s="65" t="inlineStr">
        <is>
          <t>Cebolla cabezona</t>
        </is>
      </c>
      <c r="D126" s="65" t="inlineStr">
        <is>
          <t>CEBOLLA CABEZONA*KL</t>
        </is>
      </c>
      <c r="E126" s="65" t="n">
        <v>8.9</v>
      </c>
      <c r="F126" s="65" t="n">
        <v>3200</v>
      </c>
      <c r="G126" s="65" t="n">
        <v>28480</v>
      </c>
    </row>
    <row r="127" hidden="1" s="111">
      <c r="A127" s="65" t="n">
        <v>4</v>
      </c>
      <c r="B127" s="65" t="inlineStr">
        <is>
          <t>Verduras</t>
        </is>
      </c>
      <c r="C127" s="65" t="inlineStr">
        <is>
          <t>Pepino comun</t>
        </is>
      </c>
      <c r="D127" s="65" t="inlineStr">
        <is>
          <t>PEPINO COMUN*KL</t>
        </is>
      </c>
      <c r="E127" s="65" t="n">
        <v>5.3</v>
      </c>
      <c r="F127" s="65" t="n">
        <v>2000</v>
      </c>
      <c r="G127" s="65" t="n">
        <v>10600</v>
      </c>
    </row>
    <row r="128" hidden="1" s="111">
      <c r="A128" s="65" t="n">
        <v>4</v>
      </c>
      <c r="B128" s="65" t="inlineStr">
        <is>
          <t>Verduras</t>
        </is>
      </c>
      <c r="C128" s="65" t="inlineStr">
        <is>
          <t>Zanhoria</t>
        </is>
      </c>
      <c r="D128" s="65" t="inlineStr">
        <is>
          <t>ZANAHORIA*KL</t>
        </is>
      </c>
      <c r="E128" s="65" t="n">
        <v>10.9</v>
      </c>
      <c r="F128" s="65" t="n">
        <v>2500</v>
      </c>
      <c r="G128" s="65" t="n">
        <v>27250</v>
      </c>
    </row>
    <row r="129" hidden="1" s="111">
      <c r="A129" s="65" t="n">
        <v>4</v>
      </c>
      <c r="B129" s="65" t="inlineStr">
        <is>
          <t>Verduras</t>
        </is>
      </c>
      <c r="C129" s="65" t="inlineStr">
        <is>
          <t>Papa pollera</t>
        </is>
      </c>
      <c r="D129" s="65" t="inlineStr">
        <is>
          <t>PAPA POYERA KI</t>
        </is>
      </c>
      <c r="E129" s="65" t="n">
        <v>26.9</v>
      </c>
      <c r="F129" s="65" t="n">
        <v>2000</v>
      </c>
      <c r="G129" s="65" t="n">
        <v>53800</v>
      </c>
    </row>
    <row r="130" hidden="1" s="111">
      <c r="A130" s="65" t="n">
        <v>4</v>
      </c>
      <c r="B130" s="65" t="inlineStr">
        <is>
          <t>Verduras</t>
        </is>
      </c>
      <c r="C130" s="65" t="inlineStr">
        <is>
          <t>Papa Capira bulto</t>
        </is>
      </c>
      <c r="D130" s="65" t="inlineStr">
        <is>
          <t>PAPA CAPIRA BULTO*UND</t>
        </is>
      </c>
      <c r="E130" s="65" t="n">
        <v>1</v>
      </c>
      <c r="F130" s="65" t="n">
        <v>95000</v>
      </c>
      <c r="G130" s="65" t="n">
        <v>95000</v>
      </c>
    </row>
    <row r="131" hidden="1" s="111">
      <c r="A131" s="65" t="n">
        <v>4</v>
      </c>
      <c r="B131" s="65" t="inlineStr">
        <is>
          <t>Verduras</t>
        </is>
      </c>
      <c r="C131" s="65" t="inlineStr">
        <is>
          <t>Limon tahiti</t>
        </is>
      </c>
      <c r="D131" s="65" t="inlineStr">
        <is>
          <t>LIMON TAHITY*KL</t>
        </is>
      </c>
      <c r="E131" s="65" t="n">
        <v>48</v>
      </c>
      <c r="F131" s="65" t="n">
        <v>2500</v>
      </c>
      <c r="G131" s="65" t="n">
        <v>120000</v>
      </c>
    </row>
    <row r="132" hidden="1" s="111">
      <c r="A132" s="65" t="n">
        <v>4</v>
      </c>
      <c r="B132" s="65" t="inlineStr">
        <is>
          <t>Verduras</t>
        </is>
      </c>
      <c r="C132" s="65" t="inlineStr">
        <is>
          <t>Platano verde</t>
        </is>
      </c>
      <c r="D132" s="65" t="inlineStr">
        <is>
          <t>PLATANO VERDE*KL</t>
        </is>
      </c>
      <c r="E132" s="65" t="n">
        <v>60</v>
      </c>
      <c r="F132" s="65" t="n">
        <v>1600</v>
      </c>
      <c r="G132" s="65" t="n">
        <v>96000</v>
      </c>
    </row>
    <row r="133" hidden="1" s="111">
      <c r="A133" s="65" t="n">
        <v>4</v>
      </c>
      <c r="B133" s="65" t="inlineStr">
        <is>
          <t>Verduras</t>
        </is>
      </c>
      <c r="C133" s="65" t="inlineStr">
        <is>
          <t>Zapayo</t>
        </is>
      </c>
      <c r="D133" s="65" t="inlineStr">
        <is>
          <t>ZAPAYO*KL</t>
        </is>
      </c>
      <c r="E133" s="65" t="n">
        <v>9.4</v>
      </c>
      <c r="F133" s="65" t="n">
        <v>1400</v>
      </c>
      <c r="G133" s="65" t="n">
        <v>13160</v>
      </c>
    </row>
    <row r="134" hidden="1" s="111">
      <c r="A134" s="57" t="n">
        <v>4</v>
      </c>
      <c r="B134" s="57" t="inlineStr">
        <is>
          <t>Verduras</t>
        </is>
      </c>
      <c r="C134" s="57" t="inlineStr">
        <is>
          <t>Pepino archucha</t>
        </is>
      </c>
      <c r="D134" s="57" t="inlineStr">
        <is>
          <t>PEPINO ARCHUCHA*KL</t>
        </is>
      </c>
      <c r="E134" s="62" t="n">
        <v>6.2</v>
      </c>
      <c r="F134" s="63" t="n">
        <v>6000</v>
      </c>
      <c r="G134" s="63" t="n">
        <v>37200</v>
      </c>
    </row>
    <row r="135" hidden="1" s="111">
      <c r="A135" s="57" t="n">
        <v>4</v>
      </c>
      <c r="B135" s="57" t="inlineStr">
        <is>
          <t>Verduras</t>
        </is>
      </c>
      <c r="C135" s="57" t="inlineStr">
        <is>
          <t>Tomate milano</t>
        </is>
      </c>
      <c r="D135" s="57" t="inlineStr">
        <is>
          <t>TOMATE MILANO*KL</t>
        </is>
      </c>
      <c r="E135" s="64" t="n">
        <v>3.5</v>
      </c>
      <c r="F135" s="63" t="n">
        <v>4500</v>
      </c>
      <c r="G135" s="63" t="n">
        <v>15750</v>
      </c>
    </row>
    <row r="136" hidden="1" s="111">
      <c r="A136" s="57" t="n">
        <v>4</v>
      </c>
      <c r="B136" s="57" t="inlineStr">
        <is>
          <t>Verduras</t>
        </is>
      </c>
      <c r="C136" s="57" t="inlineStr">
        <is>
          <t>Platano maduro</t>
        </is>
      </c>
      <c r="D136" s="57" t="inlineStr">
        <is>
          <t>PLATANO MADURO*KL</t>
        </is>
      </c>
      <c r="E136" s="64" t="n">
        <v>53.4</v>
      </c>
      <c r="F136" s="63" t="n">
        <v>1500</v>
      </c>
      <c r="G136" s="63" t="n">
        <v>80100</v>
      </c>
    </row>
    <row r="137" hidden="1" s="111">
      <c r="A137" s="57" t="n">
        <v>14</v>
      </c>
      <c r="B137" s="57" t="inlineStr">
        <is>
          <t>Servicios</t>
        </is>
      </c>
      <c r="C137" s="57" t="inlineStr">
        <is>
          <t>Acopi</t>
        </is>
      </c>
      <c r="D137" s="57" t="inlineStr">
        <is>
          <t>Acopi</t>
        </is>
      </c>
      <c r="E137" s="64" t="n">
        <v>1</v>
      </c>
      <c r="F137" s="63" t="n">
        <v>30000</v>
      </c>
      <c r="G137" s="63" t="n">
        <v>30000</v>
      </c>
    </row>
    <row r="138" hidden="1" s="111">
      <c r="A138" s="59" t="n">
        <v>10</v>
      </c>
      <c r="B138" s="59" t="inlineStr">
        <is>
          <t>Bebidas</t>
        </is>
      </c>
      <c r="C138" s="59" t="inlineStr">
        <is>
          <t>Bloque media</t>
        </is>
      </c>
      <c r="D138" s="59" t="inlineStr">
        <is>
          <t>BLOQUE MEDIA</t>
        </is>
      </c>
      <c r="E138" s="69" t="n">
        <v>2</v>
      </c>
      <c r="F138" s="72" t="n">
        <v>9500</v>
      </c>
      <c r="G138" s="72" t="n">
        <v>19000</v>
      </c>
    </row>
    <row r="139" hidden="1" s="111">
      <c r="A139" s="65" t="n">
        <v>10</v>
      </c>
      <c r="B139" s="65" t="inlineStr">
        <is>
          <t>Bebidas</t>
        </is>
      </c>
      <c r="C139" s="65" t="inlineStr">
        <is>
          <t>Bloque media</t>
        </is>
      </c>
      <c r="D139" s="65" t="inlineStr">
        <is>
          <t>BLOQUE MEDIA</t>
        </is>
      </c>
      <c r="E139" s="65" t="n">
        <v>2</v>
      </c>
      <c r="F139" s="65" t="n">
        <v>9500</v>
      </c>
      <c r="G139" s="65" t="n">
        <v>19000</v>
      </c>
    </row>
    <row r="140" hidden="1" s="111">
      <c r="A140" s="58" t="n">
        <v>18</v>
      </c>
      <c r="B140" s="58" t="inlineStr">
        <is>
          <t>Servicios</t>
        </is>
      </c>
      <c r="C140" s="58" t="inlineStr">
        <is>
          <t>Acopi</t>
        </is>
      </c>
      <c r="D140" s="58" t="inlineStr">
        <is>
          <t>Acopi</t>
        </is>
      </c>
      <c r="E140" s="58" t="n">
        <v>1</v>
      </c>
      <c r="F140" s="58" t="n">
        <v>30000</v>
      </c>
      <c r="G140" s="58" t="n">
        <v>30000</v>
      </c>
    </row>
    <row r="141" hidden="1" s="111">
      <c r="A141" s="57" t="n">
        <v>4</v>
      </c>
      <c r="B141" s="57" t="inlineStr">
        <is>
          <t>Grano</t>
        </is>
      </c>
      <c r="C141" s="57" t="inlineStr">
        <is>
          <t>Alimento donkat</t>
        </is>
      </c>
      <c r="D141" s="57" t="inlineStr">
        <is>
          <t>ALIMENTO DONKAT*1000g ADULTO GTS 10% C</t>
        </is>
      </c>
      <c r="E141" s="64" t="n">
        <v>1</v>
      </c>
      <c r="F141" s="63" t="n">
        <v>13500</v>
      </c>
      <c r="G141" s="63" t="n">
        <v>13500</v>
      </c>
    </row>
    <row r="142">
      <c r="A142" s="57" t="n">
        <v>4</v>
      </c>
      <c r="B142" s="57" t="inlineStr">
        <is>
          <t>Verduras</t>
        </is>
      </c>
      <c r="C142" s="57" t="inlineStr">
        <is>
          <t>Raices  chinas</t>
        </is>
      </c>
      <c r="D142" s="57" t="inlineStr">
        <is>
          <t>RAICES CHINAS AZUKY*250g</t>
        </is>
      </c>
      <c r="E142" s="64" t="n">
        <v>5</v>
      </c>
      <c r="F142" s="63" t="n">
        <v>2400</v>
      </c>
      <c r="G142" s="63" t="n">
        <v>12000</v>
      </c>
    </row>
    <row r="143" hidden="1" s="111">
      <c r="A143" s="57" t="n">
        <v>4</v>
      </c>
      <c r="B143" s="57" t="inlineStr">
        <is>
          <t>Verduras</t>
        </is>
      </c>
      <c r="C143" s="57" t="inlineStr">
        <is>
          <t>Champinon*250g tajado setas</t>
        </is>
      </c>
      <c r="D143" s="57" t="inlineStr">
        <is>
          <t>CHAMPINON CHAMPIS*250g TAJADO</t>
        </is>
      </c>
      <c r="E143" s="62" t="n">
        <v>1</v>
      </c>
      <c r="F143" s="68" t="n">
        <v>10300</v>
      </c>
      <c r="G143" s="68" t="n">
        <v>10300</v>
      </c>
    </row>
    <row r="144" hidden="1" s="111">
      <c r="A144" s="57" t="n">
        <v>4</v>
      </c>
      <c r="B144" s="57" t="inlineStr">
        <is>
          <t>Desechables</t>
        </is>
      </c>
      <c r="C144" s="57" t="inlineStr">
        <is>
          <t>Bolsa canaveral 100% material recicl f</t>
        </is>
      </c>
      <c r="D144" s="57" t="inlineStr">
        <is>
          <t>BOLSA CANAVERAL ECOLOGICA PAPEL</t>
        </is>
      </c>
      <c r="E144" s="62" t="n">
        <v>1</v>
      </c>
      <c r="F144" s="68" t="n">
        <v>500</v>
      </c>
      <c r="G144" s="68" t="n">
        <v>500</v>
      </c>
    </row>
    <row r="145" hidden="1" s="111">
      <c r="A145" s="57" t="n">
        <v>4</v>
      </c>
      <c r="B145" s="57" t="inlineStr">
        <is>
          <t>Desechables</t>
        </is>
      </c>
      <c r="C145" s="57" t="inlineStr">
        <is>
          <t>Salsa negra</t>
        </is>
      </c>
      <c r="D145" s="57" t="inlineStr">
        <is>
          <t>SALSA COLMAN S*175ml CHINA</t>
        </is>
      </c>
      <c r="E145" s="62" t="n">
        <v>2</v>
      </c>
      <c r="F145" s="68" t="n">
        <v>6500</v>
      </c>
      <c r="G145" s="68" t="n">
        <v>13000</v>
      </c>
    </row>
    <row r="146" hidden="1" s="111">
      <c r="A146" s="57" t="n">
        <v>4</v>
      </c>
      <c r="B146" s="57" t="inlineStr">
        <is>
          <t>Desechables</t>
        </is>
      </c>
      <c r="C146" s="57" t="inlineStr">
        <is>
          <t>Mercancias Varias Excentas</t>
        </is>
      </c>
      <c r="D146" s="57" t="inlineStr">
        <is>
          <t>ULBGR61501 ESMERIL DE BANCO 6 150W/120V SUPER EMTOP</t>
        </is>
      </c>
      <c r="E146" s="62" t="n">
        <v>1</v>
      </c>
      <c r="F146" s="68" t="n">
        <v>157000</v>
      </c>
      <c r="G146" s="68" t="n">
        <v>157000</v>
      </c>
    </row>
    <row r="147" hidden="1" s="111">
      <c r="A147" s="57" t="n">
        <v>4</v>
      </c>
      <c r="B147" s="57" t="inlineStr">
        <is>
          <t>Carnes</t>
        </is>
      </c>
      <c r="C147" s="57" t="inlineStr">
        <is>
          <t>Mortadela</t>
        </is>
      </c>
      <c r="D147" s="57" t="inlineStr">
        <is>
          <t>MORTADELA RICA*450g</t>
        </is>
      </c>
      <c r="E147" s="62" t="n">
        <v>1</v>
      </c>
      <c r="F147" s="68" t="n">
        <v>8950</v>
      </c>
      <c r="G147" s="68" t="n">
        <v>8950</v>
      </c>
    </row>
    <row r="148">
      <c r="A148" s="57" t="n">
        <v>4</v>
      </c>
      <c r="B148" s="57" t="inlineStr">
        <is>
          <t>Verduras</t>
        </is>
      </c>
      <c r="C148" s="57" t="inlineStr">
        <is>
          <t>Raices  chinas</t>
        </is>
      </c>
      <c r="D148" s="57" t="inlineStr">
        <is>
          <t>RAICES CHINAS VIVA MEJOR*250g</t>
        </is>
      </c>
      <c r="E148" s="62" t="n">
        <v>1</v>
      </c>
      <c r="F148" s="68" t="n">
        <v>2400</v>
      </c>
      <c r="G148" s="68" t="n">
        <v>2400</v>
      </c>
    </row>
    <row r="149" hidden="1" s="111">
      <c r="A149" s="57" t="n">
        <v>4</v>
      </c>
      <c r="B149" s="57" t="inlineStr">
        <is>
          <t>Carnes</t>
        </is>
      </c>
      <c r="C149" s="57" t="inlineStr">
        <is>
          <t>Salchicha ranchera</t>
        </is>
      </c>
      <c r="D149" s="57" t="inlineStr">
        <is>
          <t>SALCHICHA RANCHERA*480g</t>
        </is>
      </c>
      <c r="E149" s="62" t="n">
        <v>1</v>
      </c>
      <c r="F149" s="68" t="n">
        <v>29500</v>
      </c>
      <c r="G149" s="68" t="n">
        <v>29500</v>
      </c>
    </row>
    <row r="150" hidden="1" s="111">
      <c r="A150" s="57" t="n">
        <v>4</v>
      </c>
      <c r="B150" s="57" t="inlineStr">
        <is>
          <t>Carnes</t>
        </is>
      </c>
      <c r="C150" s="57" t="inlineStr">
        <is>
          <t>Espinazo de cerdo</t>
        </is>
      </c>
      <c r="D150" s="57" t="inlineStr">
        <is>
          <t>ESPINAZO CERDO A GRANEL</t>
        </is>
      </c>
      <c r="E150" s="62" t="n">
        <v>3.45</v>
      </c>
      <c r="F150" s="68" t="n">
        <v>9800</v>
      </c>
      <c r="G150" s="68" t="n">
        <v>33810</v>
      </c>
    </row>
    <row r="151" hidden="1" s="111">
      <c r="A151" s="57" t="n">
        <v>4</v>
      </c>
      <c r="B151" s="57" t="inlineStr">
        <is>
          <t>Carnes</t>
        </is>
      </c>
      <c r="C151" s="57" t="inlineStr">
        <is>
          <t>Pezua</t>
        </is>
      </c>
      <c r="D151" s="57" t="inlineStr">
        <is>
          <t>PEZUNA CERDO A GRANEL</t>
        </is>
      </c>
      <c r="E151" s="62" t="n">
        <v>3.776</v>
      </c>
      <c r="F151" s="68" t="n">
        <v>9699.947</v>
      </c>
      <c r="G151" s="68" t="n">
        <v>36627</v>
      </c>
    </row>
    <row r="152" hidden="1" s="111">
      <c r="A152" s="57" t="n">
        <v>4</v>
      </c>
      <c r="B152" s="57" t="inlineStr">
        <is>
          <t>Grano</t>
        </is>
      </c>
      <c r="C152" s="57" t="inlineStr">
        <is>
          <t>Cuchuco de maiz</t>
        </is>
      </c>
      <c r="D152" s="57" t="inlineStr">
        <is>
          <t>CUCHUCO EL CHOCLO*500g MAIZ AMAR/GRUE</t>
        </is>
      </c>
      <c r="E152" s="62" t="n">
        <v>3</v>
      </c>
      <c r="F152" s="68" t="n">
        <v>5150</v>
      </c>
      <c r="G152" s="68" t="n">
        <v>15450</v>
      </c>
    </row>
    <row r="153" hidden="1" s="111">
      <c r="A153" s="57" t="n">
        <v>4</v>
      </c>
      <c r="B153" s="57" t="inlineStr">
        <is>
          <t>Grano</t>
        </is>
      </c>
      <c r="C153" s="57" t="inlineStr">
        <is>
          <t>Garbanzo</t>
        </is>
      </c>
      <c r="D153" s="57" t="inlineStr">
        <is>
          <t>GARBANZO LA FLORESTA*500g</t>
        </is>
      </c>
      <c r="E153" s="62" t="n">
        <v>1</v>
      </c>
      <c r="F153" s="68" t="n">
        <v>5350</v>
      </c>
      <c r="G153" s="68" t="n">
        <v>5350</v>
      </c>
    </row>
    <row r="154" hidden="1" s="111">
      <c r="A154" s="57" t="n">
        <v>4</v>
      </c>
      <c r="B154" s="57" t="inlineStr">
        <is>
          <t>Grano</t>
        </is>
      </c>
      <c r="C154" s="57" t="inlineStr">
        <is>
          <t>Garbanzo</t>
        </is>
      </c>
      <c r="D154" s="57" t="inlineStr">
        <is>
          <t>GARBANZO LA FLORESTA*500g</t>
        </is>
      </c>
      <c r="E154" s="62" t="n">
        <v>1</v>
      </c>
      <c r="F154" s="68" t="n">
        <v>5350</v>
      </c>
      <c r="G154" s="68" t="n">
        <v>5350</v>
      </c>
    </row>
    <row r="155" hidden="1" s="111">
      <c r="A155" s="57" t="n">
        <v>4</v>
      </c>
      <c r="B155" s="57" t="inlineStr">
        <is>
          <t>Carnes</t>
        </is>
      </c>
      <c r="C155" s="57" t="inlineStr">
        <is>
          <t>Pezua</t>
        </is>
      </c>
      <c r="D155" s="57" t="inlineStr">
        <is>
          <t>PEZUNA CERDO A GRANEL</t>
        </is>
      </c>
      <c r="E155" s="62" t="n">
        <v>3.68</v>
      </c>
      <c r="F155" s="68" t="n">
        <v>9700</v>
      </c>
      <c r="G155" s="68" t="n">
        <v>35696</v>
      </c>
    </row>
    <row r="156" hidden="1" s="111">
      <c r="A156" s="57" t="n">
        <v>4</v>
      </c>
      <c r="B156" s="57" t="inlineStr">
        <is>
          <t>Grano</t>
        </is>
      </c>
      <c r="C156" s="57" t="inlineStr">
        <is>
          <t>Arepas</t>
        </is>
      </c>
      <c r="D156" s="57" t="inlineStr">
        <is>
          <t>200 arepas</t>
        </is>
      </c>
      <c r="E156" s="62" t="n">
        <v>200</v>
      </c>
      <c r="F156" s="68" t="n">
        <v>150</v>
      </c>
      <c r="G156" s="68" t="n">
        <v>30000</v>
      </c>
    </row>
    <row r="157" hidden="1" s="111">
      <c r="A157" s="57" t="n">
        <v>4</v>
      </c>
      <c r="B157" s="57" t="inlineStr">
        <is>
          <t>Grano</t>
        </is>
      </c>
      <c r="C157" s="57" t="inlineStr">
        <is>
          <t>Margarina la buena*125g barra</t>
        </is>
      </c>
      <c r="D157" s="57" t="inlineStr">
        <is>
          <t>1 Margarina campi</t>
        </is>
      </c>
      <c r="E157" s="62" t="n">
        <v>1</v>
      </c>
      <c r="F157" s="68" t="n">
        <v>2500</v>
      </c>
      <c r="G157" s="68" t="n">
        <v>2500</v>
      </c>
    </row>
    <row r="158" hidden="1" s="111">
      <c r="A158" s="58" t="n">
        <v>4</v>
      </c>
      <c r="B158" s="58" t="inlineStr">
        <is>
          <t>Grano</t>
        </is>
      </c>
      <c r="C158" s="58" t="inlineStr">
        <is>
          <t>Garbanzo</t>
        </is>
      </c>
      <c r="D158" s="58" t="inlineStr">
        <is>
          <t>GARBANZO BLANQUITA*500g (Supertiendas Cañaveral)</t>
        </is>
      </c>
      <c r="E158" s="66" t="n">
        <v>1</v>
      </c>
      <c r="F158" s="67" t="n">
        <v>2900</v>
      </c>
      <c r="G158" s="67" t="n">
        <v>2900</v>
      </c>
    </row>
    <row r="159" hidden="1" s="111">
      <c r="A159" s="57" t="n">
        <v>5</v>
      </c>
      <c r="B159" s="57" t="inlineStr">
        <is>
          <t>Carnes</t>
        </is>
      </c>
      <c r="C159" s="57" t="inlineStr">
        <is>
          <t>Costilla Especial</t>
        </is>
      </c>
      <c r="D159" s="57" t="inlineStr">
        <is>
          <t>COSTILLA ESPECIAL DE RES</t>
        </is>
      </c>
      <c r="E159" s="62" t="n">
        <v>16.75</v>
      </c>
      <c r="F159" s="68" t="n">
        <v>22000</v>
      </c>
      <c r="G159" s="68" t="n">
        <v>368500</v>
      </c>
    </row>
    <row r="160" hidden="1" s="111">
      <c r="A160" s="58" t="n">
        <v>12</v>
      </c>
      <c r="B160" s="58" t="inlineStr">
        <is>
          <t>Bebidas</t>
        </is>
      </c>
      <c r="C160" s="58" t="inlineStr">
        <is>
          <t>Bloque media</t>
        </is>
      </c>
      <c r="D160" s="58" t="inlineStr">
        <is>
          <t>BLOQUE MEDIA</t>
        </is>
      </c>
      <c r="E160" s="58" t="n">
        <v>2</v>
      </c>
      <c r="F160" s="58" t="n">
        <v>9500</v>
      </c>
      <c r="G160" s="58" t="n">
        <v>19000</v>
      </c>
    </row>
    <row r="161" hidden="1" s="111">
      <c r="A161" s="65" t="n">
        <v>13</v>
      </c>
      <c r="B161" s="65" t="inlineStr">
        <is>
          <t>Bebidas</t>
        </is>
      </c>
      <c r="C161" s="65" t="inlineStr">
        <is>
          <t>Bloque media</t>
        </is>
      </c>
      <c r="D161" s="65" t="inlineStr">
        <is>
          <t>BLOQUE MEDIA</t>
        </is>
      </c>
      <c r="E161" s="65" t="n">
        <v>2</v>
      </c>
      <c r="F161" s="65" t="n">
        <v>9500</v>
      </c>
      <c r="G161" s="65" t="n">
        <v>19000</v>
      </c>
    </row>
    <row r="162" hidden="1" s="111">
      <c r="A162" s="57" t="n">
        <v>5</v>
      </c>
      <c r="B162" s="57" t="inlineStr">
        <is>
          <t>Carnes</t>
        </is>
      </c>
      <c r="C162" s="57" t="inlineStr">
        <is>
          <t>Tilapia y truchas</t>
        </is>
      </c>
      <c r="D162" s="57" t="inlineStr">
        <is>
          <t>TILAPIA 80-15 LLAVERO ENTERA</t>
        </is>
      </c>
      <c r="E162" s="62" t="n">
        <v>8</v>
      </c>
      <c r="F162" s="68" t="n">
        <v>22000</v>
      </c>
      <c r="G162" s="68" t="n">
        <v>176000</v>
      </c>
    </row>
    <row r="163" hidden="1" s="111">
      <c r="A163" s="57" t="n">
        <v>5</v>
      </c>
      <c r="B163" s="57" t="inlineStr">
        <is>
          <t>Carnes</t>
        </is>
      </c>
      <c r="C163" s="57" t="inlineStr">
        <is>
          <t>Salmon</t>
        </is>
      </c>
      <c r="D163" s="57" t="inlineStr">
        <is>
          <t>Filete de Salmon Grande</t>
        </is>
      </c>
      <c r="E163" s="62" t="n">
        <v>9.869999999999999</v>
      </c>
      <c r="F163" s="68" t="n">
        <v>55000</v>
      </c>
      <c r="G163" s="68" t="n">
        <v>542850</v>
      </c>
    </row>
    <row r="164" hidden="1" s="111">
      <c r="A164" s="57" t="n">
        <v>5</v>
      </c>
      <c r="B164" s="57" t="inlineStr">
        <is>
          <t>Carnes</t>
        </is>
      </c>
      <c r="C164" s="57" t="inlineStr">
        <is>
          <t>Tilapia y truchas</t>
        </is>
      </c>
      <c r="D164" s="57" t="inlineStr">
        <is>
          <t>Tilapia Roja</t>
        </is>
      </c>
      <c r="E164" s="62" t="n">
        <v>19.81</v>
      </c>
      <c r="F164" s="68" t="n">
        <v>18000</v>
      </c>
      <c r="G164" s="68" t="n">
        <v>356580</v>
      </c>
    </row>
    <row r="165" hidden="1" s="111">
      <c r="A165" s="57" t="n">
        <v>5</v>
      </c>
      <c r="B165" s="57" t="inlineStr">
        <is>
          <t>Desechables</t>
        </is>
      </c>
      <c r="C165" s="57" t="inlineStr">
        <is>
          <t>Crema de leche</t>
        </is>
      </c>
      <c r="D165" s="57" t="inlineStr">
        <is>
          <t>CREMA DE LECHE 1000G</t>
        </is>
      </c>
      <c r="E165" s="62" t="n">
        <v>2</v>
      </c>
      <c r="F165" s="68" t="n">
        <v>18200</v>
      </c>
      <c r="G165" s="68" t="n">
        <v>36400</v>
      </c>
    </row>
    <row r="166" hidden="1" s="111">
      <c r="A166" s="57" t="n">
        <v>5</v>
      </c>
      <c r="B166" s="57" t="inlineStr">
        <is>
          <t>Grano</t>
        </is>
      </c>
      <c r="C166" s="57" t="inlineStr">
        <is>
          <t>Sabor original</t>
        </is>
      </c>
      <c r="D166" s="57" t="inlineStr">
        <is>
          <t>SABOR ORIGINAL INSTITUCIONAL 1100ML</t>
        </is>
      </c>
      <c r="E166" s="62" t="n">
        <v>70</v>
      </c>
      <c r="F166" s="68" t="n">
        <v>4180</v>
      </c>
      <c r="G166" s="68" t="n">
        <v>292600</v>
      </c>
    </row>
    <row r="167" hidden="1" s="111">
      <c r="A167" s="57" t="n">
        <v>5</v>
      </c>
      <c r="B167" s="57" t="inlineStr">
        <is>
          <t>Grano</t>
        </is>
      </c>
      <c r="C167" s="57" t="inlineStr">
        <is>
          <t>Leche entera</t>
        </is>
      </c>
      <c r="D167" s="57" t="inlineStr">
        <is>
          <t>ACTIGEST BOT 1750G PITAYA</t>
        </is>
      </c>
      <c r="E167" s="62" t="n">
        <v>1</v>
      </c>
      <c r="F167" s="68" t="n">
        <v>19314</v>
      </c>
      <c r="G167" s="68" t="n">
        <v>19314</v>
      </c>
    </row>
    <row r="168" hidden="1" s="111">
      <c r="A168" s="65" t="n">
        <v>19</v>
      </c>
      <c r="B168" s="65" t="inlineStr">
        <is>
          <t>Servicios</t>
        </is>
      </c>
      <c r="C168" s="65" t="inlineStr">
        <is>
          <t>Acopi</t>
        </is>
      </c>
      <c r="D168" s="65" t="inlineStr">
        <is>
          <t>ACOPI</t>
        </is>
      </c>
      <c r="E168" s="65" t="n">
        <v>1</v>
      </c>
      <c r="F168" s="65" t="n">
        <v>30000</v>
      </c>
      <c r="G168" s="65" t="n">
        <v>30000</v>
      </c>
    </row>
    <row r="169" hidden="1" s="111">
      <c r="A169" s="57" t="n">
        <v>5</v>
      </c>
      <c r="B169" s="57" t="inlineStr">
        <is>
          <t>Grano</t>
        </is>
      </c>
      <c r="C169" s="57" t="inlineStr">
        <is>
          <t>Blanquillo</t>
        </is>
      </c>
      <c r="D169" s="57" t="inlineStr">
        <is>
          <t>FRIJOLES BLANQUILLOS DIANA X 400GR</t>
        </is>
      </c>
      <c r="E169" s="62" t="n">
        <v>4</v>
      </c>
      <c r="F169" s="68" t="n">
        <v>4700</v>
      </c>
      <c r="G169" s="68" t="n">
        <v>18800</v>
      </c>
    </row>
    <row r="170" hidden="1" s="111">
      <c r="A170" s="57" t="n">
        <v>5</v>
      </c>
      <c r="B170" s="57" t="inlineStr">
        <is>
          <t>Carnes</t>
        </is>
      </c>
      <c r="C170" s="57" t="inlineStr">
        <is>
          <t>Chorizo coctelero x 40</t>
        </is>
      </c>
      <c r="D170" s="57" t="inlineStr">
        <is>
          <t>CHORIZO PREMIUM COCTELERO PAQ. X 40 UND. (MONTERO)</t>
        </is>
      </c>
      <c r="E170" s="62" t="n">
        <v>4</v>
      </c>
      <c r="F170" s="68" t="n">
        <v>48000</v>
      </c>
      <c r="G170" s="68" t="n">
        <v>192000</v>
      </c>
    </row>
    <row r="171" hidden="1" s="111">
      <c r="A171" s="59" t="n">
        <v>5</v>
      </c>
      <c r="B171" s="59" t="inlineStr">
        <is>
          <t>Carnes</t>
        </is>
      </c>
      <c r="C171" s="59" t="inlineStr">
        <is>
          <t>Chorizo Premium</t>
        </is>
      </c>
      <c r="D171" s="59" t="inlineStr">
        <is>
          <t>CHORIZO PREMIUM PAQ. X 12 UND. (MONTERO) 1800gr</t>
        </is>
      </c>
      <c r="E171" s="69" t="n">
        <v>3</v>
      </c>
      <c r="F171" s="70" t="n">
        <v>46000</v>
      </c>
      <c r="G171" s="70" t="n">
        <v>138000</v>
      </c>
    </row>
    <row r="172" hidden="1" s="111">
      <c r="A172" s="59" t="n">
        <v>5</v>
      </c>
      <c r="B172" s="59" t="inlineStr">
        <is>
          <t>Grano</t>
        </is>
      </c>
      <c r="C172" s="59" t="inlineStr">
        <is>
          <t>Arepas</t>
        </is>
      </c>
      <c r="D172" s="59" t="inlineStr">
        <is>
          <t>300 arepas</t>
        </is>
      </c>
      <c r="E172" s="69" t="n">
        <v>300</v>
      </c>
      <c r="F172" s="70" t="n">
        <v>150</v>
      </c>
      <c r="G172" s="70" t="n">
        <v>45000</v>
      </c>
    </row>
    <row r="173" hidden="1" s="111">
      <c r="A173" s="59" t="n">
        <v>5</v>
      </c>
      <c r="B173" s="59" t="inlineStr">
        <is>
          <t>Verduras</t>
        </is>
      </c>
      <c r="C173" s="59" t="inlineStr">
        <is>
          <t>Atados hojas</t>
        </is>
      </c>
      <c r="D173" s="59" t="inlineStr">
        <is>
          <t>45 - Atados Hoja</t>
        </is>
      </c>
      <c r="E173" s="69" t="n">
        <v>45</v>
      </c>
      <c r="F173" s="70" t="n">
        <v>2500</v>
      </c>
      <c r="G173" s="70" t="n">
        <v>112500</v>
      </c>
    </row>
    <row r="174" hidden="1" s="111">
      <c r="A174" s="59" t="n">
        <v>5</v>
      </c>
      <c r="B174" s="59" t="inlineStr">
        <is>
          <t>Verduras</t>
        </is>
      </c>
      <c r="C174" s="59" t="inlineStr">
        <is>
          <t>Cocos</t>
        </is>
      </c>
      <c r="D174" s="59" t="inlineStr">
        <is>
          <t>5 - Cocos</t>
        </is>
      </c>
      <c r="E174" s="69" t="n">
        <v>5</v>
      </c>
      <c r="F174" s="70" t="n">
        <v>8000</v>
      </c>
      <c r="G174" s="70" t="n">
        <v>40000</v>
      </c>
    </row>
    <row r="175" hidden="1" s="111">
      <c r="A175" s="59" t="n">
        <v>5</v>
      </c>
      <c r="B175" s="59" t="inlineStr">
        <is>
          <t>Verduras</t>
        </is>
      </c>
      <c r="C175" s="59" t="inlineStr">
        <is>
          <t>Masa t</t>
        </is>
      </c>
      <c r="D175" s="59" t="inlineStr">
        <is>
          <t>11 - Kls Masa</t>
        </is>
      </c>
      <c r="E175" s="69" t="n">
        <v>11</v>
      </c>
      <c r="F175" s="70" t="n">
        <v>3500</v>
      </c>
      <c r="G175" s="70" t="n">
        <v>38500</v>
      </c>
    </row>
    <row r="176" hidden="1" s="111">
      <c r="A176" s="59" t="n">
        <v>5</v>
      </c>
      <c r="B176" s="59" t="inlineStr">
        <is>
          <t>Verduras</t>
        </is>
      </c>
      <c r="C176" s="59" t="inlineStr">
        <is>
          <t>Habichuela</t>
        </is>
      </c>
      <c r="D176" s="59" t="inlineStr">
        <is>
          <t>HABICHUELA A GRANEL (3.46kg)</t>
        </is>
      </c>
      <c r="E176" s="69" t="n">
        <v>3.46</v>
      </c>
      <c r="F176" s="70" t="n">
        <v>6560.1156</v>
      </c>
      <c r="G176" s="70" t="n">
        <v>22698</v>
      </c>
    </row>
    <row r="177" hidden="1" s="111">
      <c r="A177" s="59" t="n">
        <v>5</v>
      </c>
      <c r="B177" s="59" t="inlineStr">
        <is>
          <t>Desechables</t>
        </is>
      </c>
      <c r="C177" s="59" t="inlineStr">
        <is>
          <t>Mazamorra</t>
        </is>
      </c>
      <c r="D177" s="59" t="inlineStr">
        <is>
          <t>Mazamorra</t>
        </is>
      </c>
      <c r="E177" s="71" t="n">
        <v>1</v>
      </c>
      <c r="F177" s="70" t="n">
        <v>25000</v>
      </c>
      <c r="G177" s="70" t="n">
        <v>25000</v>
      </c>
    </row>
    <row r="178" hidden="1" s="111">
      <c r="A178" s="58" t="n">
        <v>21</v>
      </c>
      <c r="B178" s="58" t="inlineStr">
        <is>
          <t>Servicios</t>
        </is>
      </c>
      <c r="C178" s="58" t="inlineStr">
        <is>
          <t>Acopi</t>
        </is>
      </c>
      <c r="D178" s="58" t="inlineStr">
        <is>
          <t>Acopi (Recibo Caja Menor)</t>
        </is>
      </c>
      <c r="E178" s="58" t="n">
        <v>1</v>
      </c>
      <c r="F178" s="58" t="n">
        <v>30000</v>
      </c>
      <c r="G178" s="58" t="n">
        <v>30000</v>
      </c>
    </row>
    <row r="179" hidden="1" s="111">
      <c r="A179" s="65" t="n">
        <v>15</v>
      </c>
      <c r="B179" s="65" t="inlineStr">
        <is>
          <t>Bebidas</t>
        </is>
      </c>
      <c r="C179" s="65" t="inlineStr">
        <is>
          <t>Bloque media</t>
        </is>
      </c>
      <c r="D179" s="65" t="inlineStr">
        <is>
          <t>BLOQUE MEDIA</t>
        </is>
      </c>
      <c r="E179" s="65" t="n">
        <v>2</v>
      </c>
      <c r="F179" s="65" t="n">
        <v>9500</v>
      </c>
      <c r="G179" s="65" t="n">
        <v>19000</v>
      </c>
    </row>
    <row r="180" hidden="1" s="111">
      <c r="A180" s="58" t="n">
        <v>24</v>
      </c>
      <c r="B180" s="58" t="inlineStr">
        <is>
          <t>Servicios</t>
        </is>
      </c>
      <c r="C180" s="58" t="inlineStr">
        <is>
          <t>Acopi</t>
        </is>
      </c>
      <c r="D180" s="58" t="inlineStr">
        <is>
          <t>Acopi (Recibo Caja Menor)</t>
        </is>
      </c>
      <c r="E180" s="58" t="n">
        <v>1</v>
      </c>
      <c r="F180" s="58" t="n">
        <v>30000</v>
      </c>
      <c r="G180" s="58" t="n">
        <v>30000</v>
      </c>
    </row>
    <row r="181" hidden="1" s="111">
      <c r="A181" s="59" t="n">
        <v>5</v>
      </c>
      <c r="B181" s="59" t="inlineStr">
        <is>
          <t>Carnes</t>
        </is>
      </c>
      <c r="C181" s="59" t="inlineStr">
        <is>
          <t>Gallina</t>
        </is>
      </c>
      <c r="D181" s="59" t="inlineStr">
        <is>
          <t>6 Gallinas criollas (27.1 kilos)</t>
        </is>
      </c>
      <c r="E181" s="69" t="n">
        <v>6</v>
      </c>
      <c r="F181" s="70" t="n">
        <v>51933.333333</v>
      </c>
      <c r="G181" s="70" t="n">
        <v>311600</v>
      </c>
    </row>
    <row r="182" hidden="1" s="111">
      <c r="A182" s="84" t="n">
        <v>25</v>
      </c>
      <c r="B182" s="58" t="inlineStr">
        <is>
          <t>Servicios</t>
        </is>
      </c>
      <c r="C182" s="58" t="inlineStr">
        <is>
          <t>Acopi</t>
        </is>
      </c>
      <c r="D182" s="58" t="inlineStr">
        <is>
          <t>Acopi (Recibo Caja Menor)</t>
        </is>
      </c>
      <c r="E182" s="84" t="n">
        <v>1</v>
      </c>
      <c r="F182" s="87" t="n">
        <v>30000</v>
      </c>
      <c r="G182" s="87" t="n">
        <v>30000</v>
      </c>
    </row>
    <row r="183" hidden="1" s="111">
      <c r="A183" s="59" t="n">
        <v>5</v>
      </c>
      <c r="B183" s="59" t="inlineStr">
        <is>
          <t>Verduras</t>
        </is>
      </c>
      <c r="C183" s="59" t="inlineStr">
        <is>
          <t>Color isabel</t>
        </is>
      </c>
      <c r="D183" s="59" t="inlineStr">
        <is>
          <t>2 bts. color</t>
        </is>
      </c>
      <c r="E183" s="69" t="n">
        <v>2</v>
      </c>
      <c r="F183" s="72" t="n">
        <v>340000</v>
      </c>
      <c r="G183" s="70" t="n">
        <v>680000</v>
      </c>
    </row>
    <row r="184" hidden="1" s="111">
      <c r="A184" s="59" t="n">
        <v>6</v>
      </c>
      <c r="B184" s="59" t="inlineStr">
        <is>
          <t>Carnes</t>
        </is>
      </c>
      <c r="C184" s="59" t="inlineStr">
        <is>
          <t>Lengua de res</t>
        </is>
      </c>
      <c r="D184" s="59" t="inlineStr">
        <is>
          <t>LENGUA DE RES IMP X KL</t>
        </is>
      </c>
      <c r="E184" s="71" t="n">
        <v>20.3</v>
      </c>
      <c r="F184" s="70" t="n">
        <v>23900</v>
      </c>
      <c r="G184" s="70" t="n">
        <v>485170</v>
      </c>
    </row>
    <row r="185" hidden="1" s="111">
      <c r="A185" s="59" t="n">
        <v>6</v>
      </c>
      <c r="B185" s="59" t="inlineStr">
        <is>
          <t>Carnes</t>
        </is>
      </c>
      <c r="C185" s="59" t="inlineStr">
        <is>
          <t>Sobrebarriga delgada</t>
        </is>
      </c>
      <c r="D185" s="59" t="inlineStr">
        <is>
          <t>SOBREBARRIGA DELGADA</t>
        </is>
      </c>
      <c r="E185" s="69" t="n">
        <v>10.8</v>
      </c>
      <c r="F185" s="70" t="n">
        <v>34500</v>
      </c>
      <c r="G185" s="70" t="n">
        <v>372600</v>
      </c>
    </row>
    <row r="186" hidden="1" s="111">
      <c r="A186" s="59" t="n">
        <v>6</v>
      </c>
      <c r="B186" s="59" t="inlineStr">
        <is>
          <t>Carnes</t>
        </is>
      </c>
      <c r="C186" s="59" t="inlineStr">
        <is>
          <t>Sobaco</t>
        </is>
      </c>
      <c r="D186" s="59" t="inlineStr">
        <is>
          <t>SOBACO</t>
        </is>
      </c>
      <c r="E186" s="71" t="n">
        <v>9.5</v>
      </c>
      <c r="F186" s="70" t="n">
        <v>25900</v>
      </c>
      <c r="G186" s="70" t="n">
        <v>246050</v>
      </c>
    </row>
    <row r="187" hidden="1" s="111">
      <c r="A187" s="59" t="n">
        <v>6</v>
      </c>
      <c r="B187" s="59" t="inlineStr">
        <is>
          <t>Verduras</t>
        </is>
      </c>
      <c r="C187" s="59" t="inlineStr">
        <is>
          <t>Papa a la francesa paq 2.5 kl</t>
        </is>
      </c>
      <c r="D187" s="59" t="inlineStr">
        <is>
          <t>PAPA A LA FRANCESA FRITERS PAQ 2.5 KL</t>
        </is>
      </c>
      <c r="E187" s="71" t="n">
        <v>4</v>
      </c>
      <c r="F187" s="70" t="n">
        <v>15546.25</v>
      </c>
      <c r="G187" s="70" t="n">
        <v>62185</v>
      </c>
    </row>
    <row r="188" hidden="1" s="111">
      <c r="A188" s="59" t="n">
        <v>6</v>
      </c>
      <c r="B188" s="59" t="inlineStr">
        <is>
          <t>Carnes</t>
        </is>
      </c>
      <c r="C188" s="59" t="inlineStr">
        <is>
          <t>Caderita</t>
        </is>
      </c>
      <c r="D188" s="59" t="inlineStr">
        <is>
          <t>CADERITA DE RES</t>
        </is>
      </c>
      <c r="E188" s="71" t="n">
        <v>5.37</v>
      </c>
      <c r="F188" s="70" t="n">
        <v>33000</v>
      </c>
      <c r="G188" s="70" t="n">
        <v>177210</v>
      </c>
    </row>
    <row r="189" hidden="1" s="111">
      <c r="A189" s="57" t="n">
        <v>16</v>
      </c>
      <c r="B189" s="57" t="inlineStr">
        <is>
          <t>Bebidas</t>
        </is>
      </c>
      <c r="C189" s="57" t="inlineStr">
        <is>
          <t>Bloque media</t>
        </is>
      </c>
      <c r="D189" s="57" t="inlineStr">
        <is>
          <t>BLOQUE MEDIA</t>
        </is>
      </c>
      <c r="E189" s="64" t="n">
        <v>2</v>
      </c>
      <c r="F189" s="63" t="n">
        <v>9500</v>
      </c>
      <c r="G189" s="63" t="n">
        <v>19000</v>
      </c>
    </row>
    <row r="190" hidden="1" s="111">
      <c r="A190" s="65" t="n">
        <v>18</v>
      </c>
      <c r="B190" s="65" t="inlineStr">
        <is>
          <t>Bebidas</t>
        </is>
      </c>
      <c r="C190" s="65" t="inlineStr">
        <is>
          <t>Bloque media</t>
        </is>
      </c>
      <c r="D190" s="65" t="inlineStr">
        <is>
          <t>BLOQUE MEDIA</t>
        </is>
      </c>
      <c r="E190" s="65" t="n">
        <v>2</v>
      </c>
      <c r="F190" s="65" t="n">
        <v>9500</v>
      </c>
      <c r="G190" s="65" t="n">
        <v>19000</v>
      </c>
    </row>
    <row r="191" hidden="1" s="111">
      <c r="A191" s="59" t="n">
        <v>6</v>
      </c>
      <c r="B191" s="59" t="inlineStr">
        <is>
          <t>Carnes</t>
        </is>
      </c>
      <c r="C191" s="59" t="inlineStr">
        <is>
          <t>Lomo de cerdo</t>
        </is>
      </c>
      <c r="D191" s="59" t="inlineStr">
        <is>
          <t>LOMO DE CERDO</t>
        </is>
      </c>
      <c r="E191" s="69" t="n">
        <v>16.75</v>
      </c>
      <c r="F191" s="70" t="n">
        <v>19500</v>
      </c>
      <c r="G191" s="70" t="n">
        <v>326625</v>
      </c>
    </row>
    <row r="192" hidden="1" s="111">
      <c r="A192" s="59" t="n">
        <v>6</v>
      </c>
      <c r="B192" s="59" t="inlineStr">
        <is>
          <t>Carnes</t>
        </is>
      </c>
      <c r="C192" s="59" t="inlineStr">
        <is>
          <t>Filete de pollo x 350</t>
        </is>
      </c>
      <c r="D192" s="59" t="inlineStr">
        <is>
          <t>FILETE DE POLLO X 350G</t>
        </is>
      </c>
      <c r="E192" s="69" t="n">
        <v>14.2</v>
      </c>
      <c r="F192" s="70" t="n">
        <v>18500</v>
      </c>
      <c r="G192" s="70" t="n">
        <v>262700</v>
      </c>
    </row>
    <row r="193" hidden="1" s="111">
      <c r="A193" s="59" t="n">
        <v>6</v>
      </c>
      <c r="B193" s="59" t="inlineStr">
        <is>
          <t>Carnes</t>
        </is>
      </c>
      <c r="C193" s="59" t="inlineStr">
        <is>
          <t>Costilla de cerdo especial</t>
        </is>
      </c>
      <c r="D193" s="59" t="inlineStr">
        <is>
          <t>COSTILLA CERDO ESP CR (BS) X 4 KG</t>
        </is>
      </c>
      <c r="E193" s="69" t="n">
        <v>20</v>
      </c>
      <c r="F193" s="70" t="n">
        <v>18200</v>
      </c>
      <c r="G193" s="70" t="n">
        <v>364000</v>
      </c>
    </row>
    <row r="194" hidden="1" s="111">
      <c r="A194" s="58" t="n">
        <v>19</v>
      </c>
      <c r="B194" s="58" t="inlineStr">
        <is>
          <t>Bebidas</t>
        </is>
      </c>
      <c r="C194" s="58" t="inlineStr">
        <is>
          <t>Bloque media</t>
        </is>
      </c>
      <c r="D194" s="58" t="inlineStr">
        <is>
          <t>BLOQUE MEDIA</t>
        </is>
      </c>
      <c r="E194" s="58" t="n">
        <v>2</v>
      </c>
      <c r="F194" s="58" t="n">
        <v>12000</v>
      </c>
      <c r="G194" s="58" t="n">
        <v>24000</v>
      </c>
    </row>
    <row r="195" hidden="1" s="111">
      <c r="A195" s="65" t="n">
        <v>19</v>
      </c>
      <c r="B195" s="65" t="inlineStr">
        <is>
          <t>Bebidas</t>
        </is>
      </c>
      <c r="C195" s="65" t="inlineStr">
        <is>
          <t>Bloque media</t>
        </is>
      </c>
      <c r="D195" s="65" t="inlineStr">
        <is>
          <t>BLOQUE MEDIA</t>
        </is>
      </c>
      <c r="E195" s="65" t="n">
        <v>2</v>
      </c>
      <c r="F195" s="65" t="n">
        <v>9500</v>
      </c>
      <c r="G195" s="65" t="n">
        <v>19000</v>
      </c>
    </row>
    <row r="196" hidden="1" s="111">
      <c r="A196" s="58" t="n">
        <v>20</v>
      </c>
      <c r="B196" s="58" t="inlineStr">
        <is>
          <t>Bebidas</t>
        </is>
      </c>
      <c r="C196" s="58" t="inlineStr">
        <is>
          <t>Bloque media</t>
        </is>
      </c>
      <c r="D196" s="58" t="inlineStr">
        <is>
          <t>BLOQUE MEDIA</t>
        </is>
      </c>
      <c r="E196" s="58" t="n">
        <v>2</v>
      </c>
      <c r="F196" s="58" t="n">
        <v>9500</v>
      </c>
      <c r="G196" s="58" t="n">
        <v>19000</v>
      </c>
    </row>
    <row r="197" hidden="1" s="111">
      <c r="A197" s="59" t="n">
        <v>21</v>
      </c>
      <c r="B197" s="59" t="inlineStr">
        <is>
          <t>Bebidas</t>
        </is>
      </c>
      <c r="C197" s="59" t="inlineStr">
        <is>
          <t>Bloque media</t>
        </is>
      </c>
      <c r="D197" s="59" t="inlineStr">
        <is>
          <t>BLOQUE MEDIA</t>
        </is>
      </c>
      <c r="E197" s="69" t="n">
        <v>2</v>
      </c>
      <c r="F197" s="70" t="n">
        <v>9500</v>
      </c>
      <c r="G197" s="70" t="n">
        <v>19000</v>
      </c>
    </row>
    <row r="198" hidden="1" s="111">
      <c r="A198" s="59" t="n">
        <v>6</v>
      </c>
      <c r="B198" s="59" t="inlineStr">
        <is>
          <t>Grano</t>
        </is>
      </c>
      <c r="C198" s="59" t="inlineStr">
        <is>
          <t>Arepas</t>
        </is>
      </c>
      <c r="D198" s="59" t="inlineStr">
        <is>
          <t>400 arepas</t>
        </is>
      </c>
      <c r="E198" s="69" t="n">
        <v>400</v>
      </c>
      <c r="F198" s="70" t="n">
        <v>150</v>
      </c>
      <c r="G198" s="70" t="n">
        <v>60000</v>
      </c>
    </row>
    <row r="199" hidden="1" s="111">
      <c r="A199" s="65" t="n">
        <v>6</v>
      </c>
      <c r="B199" s="65" t="inlineStr">
        <is>
          <t>Desechables</t>
        </is>
      </c>
      <c r="C199" s="65" t="inlineStr">
        <is>
          <t>Resma de papel</t>
        </is>
      </c>
      <c r="D199" s="65" t="inlineStr">
        <is>
          <t>2 talonarios facturacion</t>
        </is>
      </c>
      <c r="E199" s="65" t="n">
        <v>2</v>
      </c>
      <c r="F199" s="65" t="n">
        <v>2500</v>
      </c>
      <c r="G199" s="65" t="n">
        <v>5000</v>
      </c>
    </row>
    <row r="200" hidden="1" s="111">
      <c r="A200" s="58" t="n">
        <v>22</v>
      </c>
      <c r="B200" s="58" t="inlineStr">
        <is>
          <t>Bebidas</t>
        </is>
      </c>
      <c r="C200" s="58" t="inlineStr">
        <is>
          <t>Bloque media</t>
        </is>
      </c>
      <c r="D200" s="58" t="inlineStr">
        <is>
          <t>BLOQUE MEDIA (Hielo El Nevado - NV201059)</t>
        </is>
      </c>
      <c r="E200" s="58" t="n">
        <v>2</v>
      </c>
      <c r="F200" s="58" t="n">
        <v>9500</v>
      </c>
      <c r="G200" s="58" t="n">
        <v>19000</v>
      </c>
    </row>
    <row r="201" hidden="1" s="111">
      <c r="A201" s="58" t="n">
        <v>28</v>
      </c>
      <c r="B201" s="58" t="inlineStr">
        <is>
          <t>Servicios</t>
        </is>
      </c>
      <c r="C201" s="58" t="inlineStr">
        <is>
          <t>Acopi</t>
        </is>
      </c>
      <c r="D201" s="58" t="inlineStr">
        <is>
          <t>Acopi (Recibo Caja Menor)</t>
        </is>
      </c>
      <c r="E201" s="58" t="n">
        <v>1</v>
      </c>
      <c r="F201" s="58" t="n">
        <v>30000</v>
      </c>
      <c r="G201" s="58" t="n">
        <v>30000</v>
      </c>
    </row>
    <row r="202" hidden="1" s="111">
      <c r="A202" s="65" t="n">
        <v>6</v>
      </c>
      <c r="B202" s="65" t="inlineStr">
        <is>
          <t>Desechables</t>
        </is>
      </c>
      <c r="C202" s="65" t="inlineStr">
        <is>
          <t>Mazamorra</t>
        </is>
      </c>
      <c r="D202" s="65" t="inlineStr">
        <is>
          <t>Mazamorra</t>
        </is>
      </c>
      <c r="E202" s="65" t="n">
        <v>1</v>
      </c>
      <c r="F202" s="65" t="n">
        <v>20000</v>
      </c>
      <c r="G202" s="65" t="n">
        <v>20000</v>
      </c>
    </row>
    <row r="203" hidden="1" s="111">
      <c r="A203" s="65" t="n">
        <v>6</v>
      </c>
      <c r="B203" s="65" t="inlineStr">
        <is>
          <t>Desechables</t>
        </is>
      </c>
      <c r="C203" s="65" t="inlineStr">
        <is>
          <t>Desengrasante</t>
        </is>
      </c>
      <c r="D203" s="65" t="inlineStr">
        <is>
          <t>Nodor Litro (desengrasante/desinfectante)</t>
        </is>
      </c>
      <c r="E203" s="65" t="n">
        <v>1</v>
      </c>
      <c r="F203" s="65" t="n">
        <v>89900</v>
      </c>
      <c r="G203" s="65" t="n">
        <v>89900</v>
      </c>
    </row>
    <row r="204" hidden="1" s="111">
      <c r="A204" s="65" t="n">
        <v>6</v>
      </c>
      <c r="B204" s="65" t="inlineStr">
        <is>
          <t>Verduras</t>
        </is>
      </c>
      <c r="C204" s="65" t="inlineStr">
        <is>
          <t>Platano verde</t>
        </is>
      </c>
      <c r="D204" s="65" t="inlineStr">
        <is>
          <t>24 Kg Platano verde (La Bodega del Platano)</t>
        </is>
      </c>
      <c r="E204" s="65" t="n">
        <v>24</v>
      </c>
      <c r="F204" s="65" t="n">
        <v>2000</v>
      </c>
      <c r="G204" s="65" t="n">
        <v>48000</v>
      </c>
    </row>
    <row r="205" hidden="1" s="111">
      <c r="A205" s="58" t="n">
        <v>6</v>
      </c>
      <c r="B205" s="58" t="inlineStr">
        <is>
          <t>Carnes</t>
        </is>
      </c>
      <c r="C205" s="58" t="inlineStr">
        <is>
          <t>Alas de pollo</t>
        </is>
      </c>
      <c r="D205" s="58" t="inlineStr">
        <is>
          <t>ALAS MACPOLLO CAMPO C/COS MARIN A GRAN (3.984kg)</t>
        </is>
      </c>
      <c r="E205" s="66" t="n">
        <v>3.984</v>
      </c>
      <c r="F205" s="67" t="n">
        <v>15750</v>
      </c>
      <c r="G205" s="67" t="n">
        <v>62748</v>
      </c>
    </row>
    <row r="206" hidden="1" s="111">
      <c r="A206" s="59" t="n">
        <v>6</v>
      </c>
      <c r="B206" s="59" t="inlineStr">
        <is>
          <t>Grano</t>
        </is>
      </c>
      <c r="C206" s="59" t="inlineStr">
        <is>
          <t>Pasta la muñeca</t>
        </is>
      </c>
      <c r="D206" s="59" t="inlineStr">
        <is>
          <t>PASTA LA MUNECA*500g CONCHA (x3)</t>
        </is>
      </c>
      <c r="E206" s="69" t="n">
        <v>3</v>
      </c>
      <c r="F206" s="70" t="n">
        <v>3900</v>
      </c>
      <c r="G206" s="70" t="n">
        <v>11700</v>
      </c>
    </row>
    <row r="207" hidden="1" s="111">
      <c r="A207" s="59" t="n">
        <v>6</v>
      </c>
      <c r="B207" s="59" t="inlineStr">
        <is>
          <t>Verduras</t>
        </is>
      </c>
      <c r="C207" s="59" t="inlineStr">
        <is>
          <t>Aguacate</t>
        </is>
      </c>
      <c r="D207" s="59" t="inlineStr">
        <is>
          <t>AGUACATE COMUN*und (20 un)</t>
        </is>
      </c>
      <c r="E207" s="69" t="n">
        <v>20</v>
      </c>
      <c r="F207" s="70" t="n">
        <v>6800</v>
      </c>
      <c r="G207" s="70" t="n">
        <v>136000</v>
      </c>
    </row>
    <row r="208" hidden="1" s="111">
      <c r="A208" s="59" t="n">
        <v>6</v>
      </c>
      <c r="B208" s="59" t="inlineStr">
        <is>
          <t>Grano</t>
        </is>
      </c>
      <c r="C208" s="59" t="inlineStr">
        <is>
          <t>Milo</t>
        </is>
      </c>
      <c r="D208" s="59" t="inlineStr">
        <is>
          <t>1 milo * 440</t>
        </is>
      </c>
      <c r="E208" s="69" t="n">
        <v>1</v>
      </c>
      <c r="F208" s="70" t="n">
        <v>22000</v>
      </c>
      <c r="G208" s="70" t="n">
        <v>22000</v>
      </c>
    </row>
    <row r="209" hidden="1" s="111">
      <c r="A209" s="59" t="n">
        <v>6</v>
      </c>
      <c r="B209" s="59" t="inlineStr">
        <is>
          <t>Grano</t>
        </is>
      </c>
      <c r="C209" s="59" t="inlineStr">
        <is>
          <t>Chocolate</t>
        </is>
      </c>
      <c r="D209" s="59" t="inlineStr">
        <is>
          <t>1 LB chocolate</t>
        </is>
      </c>
      <c r="E209" s="71" t="n">
        <v>1</v>
      </c>
      <c r="F209" s="70" t="n">
        <v>37000</v>
      </c>
      <c r="G209" s="70" t="n">
        <v>37000</v>
      </c>
    </row>
    <row r="210" hidden="1" s="111">
      <c r="A210" s="58" t="n">
        <v>6</v>
      </c>
      <c r="B210" s="58" t="inlineStr">
        <is>
          <t>Grano</t>
        </is>
      </c>
      <c r="C210" s="58" t="inlineStr">
        <is>
          <t>Alverja</t>
        </is>
      </c>
      <c r="D210" s="58" t="inlineStr">
        <is>
          <t>3 LB- Arveja</t>
        </is>
      </c>
      <c r="E210" s="66" t="n">
        <v>3</v>
      </c>
      <c r="F210" s="67" t="n">
        <v>2200</v>
      </c>
      <c r="G210" s="67" t="n">
        <v>6600</v>
      </c>
    </row>
    <row r="211" hidden="1" s="111">
      <c r="A211" s="58" t="n">
        <v>6</v>
      </c>
      <c r="B211" s="58" t="inlineStr">
        <is>
          <t>Grano</t>
        </is>
      </c>
      <c r="C211" s="58" t="inlineStr">
        <is>
          <t>Garbanzo</t>
        </is>
      </c>
      <c r="D211" s="58" t="inlineStr">
        <is>
          <t>3 LB garbanzo</t>
        </is>
      </c>
      <c r="E211" s="66" t="n">
        <v>3</v>
      </c>
      <c r="F211" s="67" t="n">
        <v>3700</v>
      </c>
      <c r="G211" s="67" t="n">
        <v>11100</v>
      </c>
    </row>
    <row r="212" hidden="1" s="111">
      <c r="A212" s="58" t="n">
        <v>6</v>
      </c>
      <c r="B212" s="58" t="inlineStr">
        <is>
          <t>Verduras</t>
        </is>
      </c>
      <c r="C212" s="58" t="inlineStr">
        <is>
          <t>Mezcla liquida de limon</t>
        </is>
      </c>
      <c r="D212" s="58" t="inlineStr">
        <is>
          <t>12 Mezcla Liquida de Limon x 2.000ml JF</t>
        </is>
      </c>
      <c r="E212" s="66" t="n">
        <v>12</v>
      </c>
      <c r="F212" s="67" t="n">
        <v>12000</v>
      </c>
      <c r="G212" s="67" t="n">
        <v>144000</v>
      </c>
    </row>
    <row r="213" hidden="1" s="111">
      <c r="A213" s="84" t="n">
        <v>24</v>
      </c>
      <c r="B213" s="58" t="inlineStr">
        <is>
          <t>Bebidas</t>
        </is>
      </c>
      <c r="C213" s="58" t="inlineStr">
        <is>
          <t>Bloque media</t>
        </is>
      </c>
      <c r="D213" s="58" t="inlineStr">
        <is>
          <t>BLOQUE MEDIA (Hielo El Nevado - NV201158)</t>
        </is>
      </c>
      <c r="E213" s="87" t="n">
        <v>2</v>
      </c>
      <c r="F213" s="87" t="n">
        <v>9500</v>
      </c>
      <c r="G213" s="87" t="n">
        <v>19000</v>
      </c>
    </row>
    <row r="214" hidden="1" s="111">
      <c r="A214" s="84" t="n">
        <v>24</v>
      </c>
      <c r="B214" s="58" t="inlineStr">
        <is>
          <t>Bebidas</t>
        </is>
      </c>
      <c r="C214" s="58" t="inlineStr">
        <is>
          <t>Bloque media</t>
        </is>
      </c>
      <c r="D214" s="58" t="inlineStr">
        <is>
          <t>BLOQUE MEDIA (Hielo El Nevado - NV201248)</t>
        </is>
      </c>
      <c r="E214" s="84" t="n">
        <v>2</v>
      </c>
      <c r="F214" s="87" t="n">
        <v>9500</v>
      </c>
      <c r="G214" s="87" t="n">
        <v>19000</v>
      </c>
    </row>
    <row r="215" hidden="1" s="111">
      <c r="A215" s="58" t="n">
        <v>26</v>
      </c>
      <c r="B215" s="58" t="inlineStr">
        <is>
          <t>Bebidas</t>
        </is>
      </c>
      <c r="C215" s="58" t="inlineStr">
        <is>
          <t>Bloque media</t>
        </is>
      </c>
      <c r="D215" s="58" t="inlineStr">
        <is>
          <t>BLOQUE MEDIA (Hielo El Nevado - NV201468)</t>
        </is>
      </c>
      <c r="E215" s="58" t="n">
        <v>2</v>
      </c>
      <c r="F215" s="58" t="n">
        <v>9500</v>
      </c>
      <c r="G215" s="58" t="n">
        <v>19000</v>
      </c>
    </row>
    <row r="216" hidden="1" s="111">
      <c r="A216" s="58" t="n">
        <v>11</v>
      </c>
      <c r="B216" s="58" t="inlineStr">
        <is>
          <t>Bebidas</t>
        </is>
      </c>
      <c r="C216" s="58" t="inlineStr">
        <is>
          <t>Bloque media</t>
        </is>
      </c>
      <c r="D216" s="58" t="inlineStr">
        <is>
          <t>BLOQUE MEDIA (Hielo El Nevado SF44291)</t>
        </is>
      </c>
      <c r="E216" s="58" t="n">
        <v>2</v>
      </c>
      <c r="F216" s="58" t="n">
        <v>9500</v>
      </c>
      <c r="G216" s="58" t="n">
        <v>19000</v>
      </c>
    </row>
    <row r="217" hidden="1" s="111">
      <c r="A217" s="58" t="n">
        <v>21</v>
      </c>
      <c r="B217" s="58" t="inlineStr">
        <is>
          <t>Bebidas</t>
        </is>
      </c>
      <c r="C217" s="58" t="inlineStr">
        <is>
          <t>Bloque media</t>
        </is>
      </c>
      <c r="D217" s="58" t="inlineStr">
        <is>
          <t>BLOQUE MEDIA (Hielo El Nevado SF44533)</t>
        </is>
      </c>
      <c r="E217" s="58" t="n">
        <v>2</v>
      </c>
      <c r="F217" s="58" t="n">
        <v>9500</v>
      </c>
      <c r="G217" s="58" t="n">
        <v>19000</v>
      </c>
    </row>
    <row r="218" hidden="1" s="111">
      <c r="A218" s="65" t="n">
        <v>7</v>
      </c>
      <c r="B218" s="65" t="inlineStr">
        <is>
          <t>Carnes</t>
        </is>
      </c>
      <c r="C218" s="65" t="inlineStr">
        <is>
          <t>Camaron precocido</t>
        </is>
      </c>
      <c r="D218" s="65" t="inlineStr">
        <is>
          <t>CAMARON DE CULTIVO PRECOCIDO 91-110P</t>
        </is>
      </c>
      <c r="E218" s="65" t="n">
        <v>20.2</v>
      </c>
      <c r="F218" s="65" t="n">
        <v>22900</v>
      </c>
      <c r="G218" s="65" t="n">
        <v>462580</v>
      </c>
    </row>
    <row r="219" hidden="1" s="111">
      <c r="A219" s="65" t="n">
        <v>7</v>
      </c>
      <c r="B219" s="65" t="inlineStr">
        <is>
          <t>Carnes</t>
        </is>
      </c>
      <c r="C219" s="65" t="inlineStr">
        <is>
          <t>Sobaco</t>
        </is>
      </c>
      <c r="D219" s="65" t="inlineStr">
        <is>
          <t>SOBACO</t>
        </is>
      </c>
      <c r="E219" s="65" t="n">
        <v>24.71</v>
      </c>
      <c r="F219" s="65" t="n">
        <v>25900</v>
      </c>
      <c r="G219" s="65" t="n">
        <v>639989</v>
      </c>
    </row>
    <row r="220" hidden="1" s="111">
      <c r="A220" s="65" t="n">
        <v>7</v>
      </c>
      <c r="B220" s="65" t="inlineStr">
        <is>
          <t>Carnes</t>
        </is>
      </c>
      <c r="C220" s="65" t="inlineStr">
        <is>
          <t>Punta de anca</t>
        </is>
      </c>
      <c r="D220" s="65" t="inlineStr">
        <is>
          <t>PUNTA DE ANCA IMP PORC. PARRILLA</t>
        </is>
      </c>
      <c r="E220" s="65" t="n">
        <v>23</v>
      </c>
      <c r="F220" s="65" t="n">
        <v>44000</v>
      </c>
      <c r="G220" s="65" t="n">
        <v>1012000</v>
      </c>
      <c r="J220" s="160" t="n">
        <v>194887059</v>
      </c>
    </row>
    <row r="221" hidden="1" s="111">
      <c r="A221" s="65" t="n">
        <v>7</v>
      </c>
      <c r="B221" s="65" t="inlineStr">
        <is>
          <t>Carnes</t>
        </is>
      </c>
      <c r="C221" s="65" t="inlineStr">
        <is>
          <t>Lomo de caracho</t>
        </is>
      </c>
      <c r="D221" s="65" t="inlineStr">
        <is>
          <t>LOMO CARACHO PORCIONADO PARRILLA</t>
        </is>
      </c>
      <c r="E221" s="65" t="n">
        <v>21</v>
      </c>
      <c r="F221" s="65" t="n">
        <v>44000</v>
      </c>
      <c r="G221" s="65" t="n">
        <v>924000</v>
      </c>
    </row>
    <row r="222" hidden="1" s="111">
      <c r="A222" s="65" t="n">
        <v>7</v>
      </c>
      <c r="B222" s="65" t="inlineStr">
        <is>
          <t>Verduras</t>
        </is>
      </c>
      <c r="C222" s="65" t="inlineStr">
        <is>
          <t>Papa a la francesa paq 2.5 kl</t>
        </is>
      </c>
      <c r="D222" s="65" t="inlineStr">
        <is>
          <t>PAPA A LA FRANCESA FRITERS PAQ 2.5 KL</t>
        </is>
      </c>
      <c r="E222" s="65" t="n">
        <v>36</v>
      </c>
      <c r="F222" s="65" t="n">
        <v>15546.22</v>
      </c>
      <c r="G222" s="65" t="n">
        <v>559664</v>
      </c>
      <c r="J222" s="160">
        <f>SUM(G:G)</f>
        <v/>
      </c>
    </row>
    <row r="223" hidden="1" s="111">
      <c r="A223" s="65" t="n">
        <v>7</v>
      </c>
      <c r="B223" s="65" t="inlineStr">
        <is>
          <t>Carnes</t>
        </is>
      </c>
      <c r="C223" s="65" t="inlineStr">
        <is>
          <t>Muchacho res</t>
        </is>
      </c>
      <c r="D223" s="65" t="inlineStr">
        <is>
          <t>MUCHACHO DE RES</t>
        </is>
      </c>
      <c r="E223" s="65" t="n">
        <v>18.5</v>
      </c>
      <c r="F223" s="65" t="n">
        <v>29500</v>
      </c>
      <c r="G223" s="65" t="n">
        <v>545750</v>
      </c>
    </row>
    <row r="224" hidden="1" s="111">
      <c r="A224" s="65" t="n">
        <v>7</v>
      </c>
      <c r="B224" s="65" t="inlineStr">
        <is>
          <t>Carnes</t>
        </is>
      </c>
      <c r="C224" s="65" t="inlineStr">
        <is>
          <t>Tocineta barril</t>
        </is>
      </c>
      <c r="D224" s="65" t="inlineStr">
        <is>
          <t>TOCINETA BARRIL</t>
        </is>
      </c>
      <c r="E224" s="65" t="n">
        <v>64.65000000000001</v>
      </c>
      <c r="F224" s="65" t="n">
        <v>21900</v>
      </c>
      <c r="G224" s="65" t="n">
        <v>1415835</v>
      </c>
      <c r="J224" s="143" t="n">
        <v>5000000</v>
      </c>
    </row>
    <row r="225" hidden="1" s="111">
      <c r="A225" s="65" t="n">
        <v>7</v>
      </c>
      <c r="B225" s="65" t="inlineStr">
        <is>
          <t>Carnes</t>
        </is>
      </c>
      <c r="C225" s="65" t="inlineStr">
        <is>
          <t>Costilla de cerdo especial</t>
        </is>
      </c>
      <c r="D225" s="65" t="inlineStr">
        <is>
          <t>COSTILLA DE CERDO IBP 244M</t>
        </is>
      </c>
      <c r="E225" s="65" t="n">
        <v>13.3</v>
      </c>
      <c r="F225" s="65" t="n">
        <v>15400</v>
      </c>
      <c r="G225" s="65" t="n">
        <v>204820</v>
      </c>
    </row>
    <row r="226" hidden="1" s="111">
      <c r="A226" s="65" t="n">
        <v>7</v>
      </c>
      <c r="B226" s="65" t="inlineStr">
        <is>
          <t>Grano</t>
        </is>
      </c>
      <c r="C226" s="65" t="inlineStr">
        <is>
          <t>Leche de coco</t>
        </is>
      </c>
      <c r="D226" s="65" t="inlineStr">
        <is>
          <t>LECHE COCO</t>
        </is>
      </c>
      <c r="E226" s="65" t="n">
        <v>6</v>
      </c>
      <c r="F226" s="65" t="n">
        <v>21000</v>
      </c>
      <c r="G226" s="65" t="n">
        <v>126000</v>
      </c>
    </row>
    <row r="227" hidden="1" s="111">
      <c r="A227" s="59" t="n">
        <v>7</v>
      </c>
      <c r="B227" s="59" t="inlineStr">
        <is>
          <t>Desechables</t>
        </is>
      </c>
      <c r="C227" s="59" t="inlineStr">
        <is>
          <t>Esponja de brillo</t>
        </is>
      </c>
      <c r="D227" s="59" t="inlineStr">
        <is>
          <t>ESPIRAL ACERO LIMPIAYA</t>
        </is>
      </c>
      <c r="E227" s="69" t="n">
        <v>4</v>
      </c>
      <c r="F227" s="70" t="n">
        <v>2600</v>
      </c>
      <c r="G227" s="70" t="n">
        <v>10400</v>
      </c>
    </row>
    <row r="228" hidden="1" s="111">
      <c r="A228" s="84" t="n">
        <v>7</v>
      </c>
      <c r="B228" s="58" t="inlineStr">
        <is>
          <t>Verduras</t>
        </is>
      </c>
      <c r="C228" s="58" t="inlineStr">
        <is>
          <t>Yuca pelada</t>
        </is>
      </c>
      <c r="D228" s="58" t="inlineStr">
        <is>
          <t>10 kl YUCA PELADA (Pasqualito)</t>
        </is>
      </c>
      <c r="E228" s="84" t="n">
        <v>10</v>
      </c>
      <c r="F228" s="87" t="n">
        <v>4500</v>
      </c>
      <c r="G228" s="87" t="n">
        <v>45000</v>
      </c>
    </row>
    <row r="229" hidden="1" s="111">
      <c r="A229" s="58" t="n">
        <v>13</v>
      </c>
      <c r="B229" s="58" t="inlineStr">
        <is>
          <t>Servicios</t>
        </is>
      </c>
      <c r="C229" s="58" t="inlineStr">
        <is>
          <t>Arreglo Tubos x Materiales</t>
        </is>
      </c>
      <c r="D229" s="58" t="inlineStr">
        <is>
          <t>1 Pliego Lija</t>
        </is>
      </c>
      <c r="E229" s="58" t="n">
        <v>1</v>
      </c>
      <c r="F229" s="58" t="n">
        <v>5000</v>
      </c>
      <c r="G229" s="58" t="n">
        <v>5000</v>
      </c>
    </row>
    <row r="230" hidden="1" s="111">
      <c r="A230" s="59" t="n">
        <v>8</v>
      </c>
      <c r="B230" s="59" t="inlineStr">
        <is>
          <t>Grano</t>
        </is>
      </c>
      <c r="C230" s="59" t="inlineStr">
        <is>
          <t>Arroz</t>
        </is>
      </c>
      <c r="D230" s="59" t="inlineStr">
        <is>
          <t>ARROZ PROARROZ X 50 KL</t>
        </is>
      </c>
      <c r="E230" s="69" t="n">
        <v>2</v>
      </c>
      <c r="F230" s="72" t="n">
        <v>252000</v>
      </c>
      <c r="G230" s="72" t="n">
        <v>504000</v>
      </c>
    </row>
    <row r="231" hidden="1" s="111">
      <c r="A231" s="65" t="n">
        <v>8</v>
      </c>
      <c r="B231" s="65" t="inlineStr">
        <is>
          <t>Desechables</t>
        </is>
      </c>
      <c r="C231" s="65" t="inlineStr">
        <is>
          <t>Mercancias Varias Excentas</t>
        </is>
      </c>
      <c r="D231" s="65" t="inlineStr">
        <is>
          <t>MERCANCIAS VARIAS EXCENTAS</t>
        </is>
      </c>
      <c r="E231" s="65" t="n">
        <v>1</v>
      </c>
      <c r="F231" s="65" t="n">
        <v>76700</v>
      </c>
      <c r="G231" s="65" t="n">
        <v>76700</v>
      </c>
    </row>
    <row r="232" hidden="1" s="111">
      <c r="A232" s="65" t="n">
        <v>8</v>
      </c>
      <c r="B232" s="65" t="inlineStr">
        <is>
          <t>Grano</t>
        </is>
      </c>
      <c r="C232" s="65" t="inlineStr">
        <is>
          <t>Manteca</t>
        </is>
      </c>
      <c r="D232" s="65" t="inlineStr">
        <is>
          <t>MANTECA BLOQUE X 15KL</t>
        </is>
      </c>
      <c r="E232" s="65" t="n">
        <v>1</v>
      </c>
      <c r="F232" s="65" t="n">
        <v>130000</v>
      </c>
      <c r="G232" s="65" t="n">
        <v>130000</v>
      </c>
    </row>
    <row r="233" hidden="1" s="111">
      <c r="A233" s="58" t="n">
        <v>22</v>
      </c>
      <c r="B233" s="58" t="inlineStr">
        <is>
          <t>Bebidas</t>
        </is>
      </c>
      <c r="C233" s="58" t="inlineStr">
        <is>
          <t>Bloque media</t>
        </is>
      </c>
      <c r="D233" s="58" t="inlineStr">
        <is>
          <t>BLOQUE MEDIA (Hielo El Nevado SF44565)</t>
        </is>
      </c>
      <c r="E233" s="58" t="n">
        <v>2</v>
      </c>
      <c r="F233" s="58" t="n">
        <v>9500</v>
      </c>
      <c r="G233" s="58" t="n">
        <v>19000</v>
      </c>
    </row>
    <row r="234" hidden="1" s="111">
      <c r="A234" s="58" t="n">
        <v>23</v>
      </c>
      <c r="B234" s="58" t="inlineStr">
        <is>
          <t>Bebidas</t>
        </is>
      </c>
      <c r="C234" s="58" t="inlineStr">
        <is>
          <t>Bloque media</t>
        </is>
      </c>
      <c r="D234" s="58" t="inlineStr">
        <is>
          <t>BLOQUE MEDIA (Hielo El Nevado SF44594)</t>
        </is>
      </c>
      <c r="E234" s="58" t="n">
        <v>2</v>
      </c>
      <c r="F234" s="58" t="n">
        <v>9500</v>
      </c>
      <c r="G234" s="58" t="n">
        <v>19000</v>
      </c>
    </row>
    <row r="235" hidden="1" s="111">
      <c r="A235" s="58" t="n">
        <v>25</v>
      </c>
      <c r="B235" s="58" t="inlineStr">
        <is>
          <t>Bebidas</t>
        </is>
      </c>
      <c r="C235" s="58" t="inlineStr">
        <is>
          <t>Bloque media</t>
        </is>
      </c>
      <c r="D235" s="58" t="inlineStr">
        <is>
          <t>BLOQUE MEDIA (Hielo El Nevado SF44664)</t>
        </is>
      </c>
      <c r="E235" s="58" t="n">
        <v>2</v>
      </c>
      <c r="F235" s="58" t="n">
        <v>9500</v>
      </c>
      <c r="G235" s="58" t="n">
        <v>19000</v>
      </c>
    </row>
    <row r="236" hidden="1" s="111">
      <c r="A236" s="57" t="n">
        <v>8</v>
      </c>
      <c r="B236" s="57" t="inlineStr">
        <is>
          <t>Carnes</t>
        </is>
      </c>
      <c r="C236" s="57" t="inlineStr">
        <is>
          <t>Filete de pollo x 350</t>
        </is>
      </c>
      <c r="D236" s="57" t="inlineStr">
        <is>
          <t>FILETE DE POLLO X 350G</t>
        </is>
      </c>
      <c r="E236" s="64" t="n">
        <v>15.6</v>
      </c>
      <c r="F236" s="63" t="n">
        <v>18500</v>
      </c>
      <c r="G236" s="63" t="n">
        <v>288600</v>
      </c>
    </row>
    <row r="237" hidden="1" s="111">
      <c r="A237" s="58" t="n">
        <v>28</v>
      </c>
      <c r="B237" s="58" t="inlineStr">
        <is>
          <t>Bebidas</t>
        </is>
      </c>
      <c r="C237" s="58" t="inlineStr">
        <is>
          <t>Bloque media</t>
        </is>
      </c>
      <c r="D237" s="58" t="inlineStr">
        <is>
          <t>BLOQUE MEDIA (Hielo El Nevado SF44732)</t>
        </is>
      </c>
      <c r="E237" s="58" t="n">
        <v>2</v>
      </c>
      <c r="F237" s="58" t="n">
        <v>9500</v>
      </c>
      <c r="G237" s="58" t="n">
        <v>19000</v>
      </c>
    </row>
    <row r="238" hidden="1" s="111">
      <c r="A238" s="84" t="n">
        <v>30</v>
      </c>
      <c r="B238" s="58" t="inlineStr">
        <is>
          <t>Bebidas</t>
        </is>
      </c>
      <c r="C238" s="58" t="inlineStr">
        <is>
          <t>Bloque media</t>
        </is>
      </c>
      <c r="D238" s="58" t="inlineStr">
        <is>
          <t>BLOQUE MEDIA (Hielo El Nevado SF44793)</t>
        </is>
      </c>
      <c r="E238" s="84" t="n">
        <v>2</v>
      </c>
      <c r="F238" s="87" t="n">
        <v>9500</v>
      </c>
      <c r="G238" s="87" t="n">
        <v>19000</v>
      </c>
    </row>
    <row r="239" hidden="1" s="111">
      <c r="A239" s="57" t="n">
        <v>8</v>
      </c>
      <c r="B239" s="57" t="inlineStr">
        <is>
          <t>Grano</t>
        </is>
      </c>
      <c r="C239" s="57" t="inlineStr">
        <is>
          <t>Arepas</t>
        </is>
      </c>
      <c r="D239" s="57" t="inlineStr">
        <is>
          <t>900 arepas</t>
        </is>
      </c>
      <c r="E239" s="62" t="n">
        <v>900</v>
      </c>
      <c r="F239" s="63" t="n">
        <v>150</v>
      </c>
      <c r="G239" s="63" t="n">
        <v>135000</v>
      </c>
    </row>
    <row r="240" hidden="1" s="111">
      <c r="A240" s="57" t="n">
        <v>8</v>
      </c>
      <c r="B240" s="57" t="inlineStr">
        <is>
          <t>Verduras</t>
        </is>
      </c>
      <c r="C240" s="57" t="inlineStr">
        <is>
          <t>Yuca pelada</t>
        </is>
      </c>
      <c r="D240" s="57" t="inlineStr">
        <is>
          <t>11 kl yuca pelada</t>
        </is>
      </c>
      <c r="E240" s="64" t="n">
        <v>11</v>
      </c>
      <c r="F240" s="63" t="n">
        <v>4500</v>
      </c>
      <c r="G240" s="63" t="n">
        <v>49500</v>
      </c>
    </row>
    <row r="241" hidden="1" s="111">
      <c r="A241" s="58" t="n">
        <v>31</v>
      </c>
      <c r="B241" s="58" t="inlineStr">
        <is>
          <t>Bebidas</t>
        </is>
      </c>
      <c r="C241" s="58" t="inlineStr">
        <is>
          <t>Bloque media</t>
        </is>
      </c>
      <c r="D241" s="58" t="inlineStr">
        <is>
          <t>BLOQUE MEDIA (Hielo El Nevado SF44825)</t>
        </is>
      </c>
      <c r="E241" s="58" t="n">
        <v>2</v>
      </c>
      <c r="F241" s="58" t="n">
        <v>9500</v>
      </c>
      <c r="G241" s="58" t="n">
        <v>19000</v>
      </c>
    </row>
    <row r="242" hidden="1" s="111">
      <c r="A242" s="58" t="n">
        <v>28</v>
      </c>
      <c r="B242" s="58" t="inlineStr">
        <is>
          <t>Bebidas</t>
        </is>
      </c>
      <c r="C242" s="58" t="inlineStr">
        <is>
          <t>Bloque media</t>
        </is>
      </c>
      <c r="D242" s="58" t="inlineStr">
        <is>
          <t>BLOQUE MEDIA (Hielo El Nevado)</t>
        </is>
      </c>
      <c r="E242" s="58" t="n">
        <v>2</v>
      </c>
      <c r="F242" s="58" t="n">
        <v>9500</v>
      </c>
      <c r="G242" s="58" t="n">
        <v>19000</v>
      </c>
    </row>
    <row r="243" hidden="1" s="111">
      <c r="A243" s="58" t="n">
        <v>8</v>
      </c>
      <c r="B243" s="58" t="inlineStr">
        <is>
          <t>Desechables</t>
        </is>
      </c>
      <c r="C243" s="58" t="inlineStr">
        <is>
          <t>Mercancias Varias Excentas</t>
        </is>
      </c>
      <c r="D243" s="58" t="inlineStr">
        <is>
          <t>Wilson - Cuchillos (Recibo Caja Menor)</t>
        </is>
      </c>
      <c r="E243" s="58" t="n">
        <v>1</v>
      </c>
      <c r="F243" s="58" t="n">
        <v>168000</v>
      </c>
      <c r="G243" s="58" t="n">
        <v>168000</v>
      </c>
    </row>
    <row r="244" hidden="1" s="111">
      <c r="A244" s="58" t="n">
        <v>8</v>
      </c>
      <c r="B244" s="58" t="inlineStr">
        <is>
          <t>Desechables</t>
        </is>
      </c>
      <c r="C244" s="58" t="inlineStr">
        <is>
          <t>Resma de papel</t>
        </is>
      </c>
      <c r="D244" s="58" t="inlineStr">
        <is>
          <t>Wilson - 2 cuadernos (Recibo Caja Menor)</t>
        </is>
      </c>
      <c r="E244" s="58" t="n">
        <v>2</v>
      </c>
      <c r="F244" s="58" t="n">
        <v>3500</v>
      </c>
      <c r="G244" s="58" t="n">
        <v>7000</v>
      </c>
    </row>
    <row r="245" hidden="1" s="111">
      <c r="A245" s="58" t="n">
        <v>8</v>
      </c>
      <c r="B245" s="58" t="inlineStr">
        <is>
          <t>Carnes</t>
        </is>
      </c>
      <c r="C245" s="58" t="inlineStr">
        <is>
          <t>Bagre de mar</t>
        </is>
      </c>
      <c r="D245" s="58" t="inlineStr">
        <is>
          <t>CABEZAS DE PESCADO A GRANEL 4.698kg (Supertiendas Cañaveral)</t>
        </is>
      </c>
      <c r="E245" s="58" t="n">
        <v>4.698</v>
      </c>
      <c r="F245" s="58" t="n">
        <v>6700</v>
      </c>
      <c r="G245" s="58" t="n">
        <v>31477</v>
      </c>
    </row>
    <row r="246" hidden="1" s="111">
      <c r="A246" s="57" t="n">
        <v>9</v>
      </c>
      <c r="B246" s="57" t="inlineStr">
        <is>
          <t>Carnes</t>
        </is>
      </c>
      <c r="C246" s="57" t="inlineStr">
        <is>
          <t>Costilla san luis jr</t>
        </is>
      </c>
      <c r="D246" s="57" t="inlineStr">
        <is>
          <t>COSTILLA SAN LUIS JUNIOR T/M</t>
        </is>
      </c>
      <c r="E246" s="62" t="n">
        <v>14</v>
      </c>
      <c r="F246" s="63" t="n">
        <v>21900</v>
      </c>
      <c r="G246" s="63" t="n">
        <v>306600</v>
      </c>
    </row>
    <row r="247" hidden="1" s="111">
      <c r="A247" s="57" t="n">
        <v>9</v>
      </c>
      <c r="B247" s="57" t="inlineStr">
        <is>
          <t>Grano</t>
        </is>
      </c>
      <c r="C247" s="57" t="inlineStr">
        <is>
          <t>Aceite de soya</t>
        </is>
      </c>
      <c r="D247" s="57" t="inlineStr">
        <is>
          <t>ACEITE DE SOYA (2x 900ml/bot)</t>
        </is>
      </c>
      <c r="E247" s="62" t="n">
        <v>2</v>
      </c>
      <c r="F247" s="63" t="n">
        <v>22990</v>
      </c>
      <c r="G247" s="63" t="n">
        <v>45980</v>
      </c>
    </row>
    <row r="248" hidden="1" s="111">
      <c r="A248" s="59" t="n">
        <v>9</v>
      </c>
      <c r="B248" s="59" t="inlineStr">
        <is>
          <t>Carnes</t>
        </is>
      </c>
      <c r="C248" s="59" t="inlineStr">
        <is>
          <t>Pezua</t>
        </is>
      </c>
      <c r="D248" s="59" t="inlineStr">
        <is>
          <t>PEZUNA CERDO A GRANEL (3.375kg + 3.370kg)</t>
        </is>
      </c>
      <c r="E248" s="69" t="n">
        <v>6.745</v>
      </c>
      <c r="F248" s="70" t="n">
        <v>9700</v>
      </c>
      <c r="G248" s="70" t="n">
        <v>65427</v>
      </c>
    </row>
    <row r="249" hidden="1" s="111">
      <c r="A249" s="59" t="n">
        <v>9</v>
      </c>
      <c r="B249" s="59" t="inlineStr">
        <is>
          <t>Desechables</t>
        </is>
      </c>
      <c r="C249" s="59" t="inlineStr">
        <is>
          <t>Bolsa canaveral 100% material recicl f</t>
        </is>
      </c>
      <c r="D249" s="59" t="inlineStr">
        <is>
          <t>BOLSA CANAVERAL 100% MATERIAL RECICL P</t>
        </is>
      </c>
      <c r="E249" s="69" t="n">
        <v>1</v>
      </c>
      <c r="F249" s="70" t="n">
        <v>300</v>
      </c>
      <c r="G249" s="70" t="n">
        <v>300</v>
      </c>
    </row>
    <row r="250" hidden="1" s="111">
      <c r="A250" s="65" t="n">
        <v>9</v>
      </c>
      <c r="B250" s="65" t="inlineStr">
        <is>
          <t>Carnes</t>
        </is>
      </c>
      <c r="C250" s="65" t="inlineStr">
        <is>
          <t>Espinazo de cerdo</t>
        </is>
      </c>
      <c r="D250" s="65" t="inlineStr">
        <is>
          <t>ESPINAZO CERDO A GRANEL (2.110kg + 3.140kg)</t>
        </is>
      </c>
      <c r="E250" s="65" t="n">
        <v>5.25</v>
      </c>
      <c r="F250" s="65" t="n">
        <v>9800</v>
      </c>
      <c r="G250" s="65" t="n">
        <v>51450</v>
      </c>
    </row>
    <row r="251" hidden="1" s="111">
      <c r="A251" s="65" t="n">
        <v>9</v>
      </c>
      <c r="B251" s="65" t="inlineStr">
        <is>
          <t>Desechables</t>
        </is>
      </c>
      <c r="C251" s="65" t="inlineStr">
        <is>
          <t>Bolsa canaveral 100% material recicl f</t>
        </is>
      </c>
      <c r="D251" s="65" t="inlineStr">
        <is>
          <t>BOLSA CANAVERAL 100% MATERIAL RECICL P</t>
        </is>
      </c>
      <c r="E251" s="65" t="n">
        <v>1</v>
      </c>
      <c r="F251" s="65" t="n">
        <v>300</v>
      </c>
      <c r="G251" s="65" t="n">
        <v>300</v>
      </c>
    </row>
    <row r="252" hidden="1" s="111">
      <c r="A252" s="65" t="n">
        <v>17</v>
      </c>
      <c r="B252" s="65" t="inlineStr">
        <is>
          <t>Servicios</t>
        </is>
      </c>
      <c r="C252" s="65" t="inlineStr">
        <is>
          <t>Arreglo Tubos x Materiales</t>
        </is>
      </c>
      <c r="D252" s="65" t="inlineStr">
        <is>
          <t>12 ANGULO 3"</t>
        </is>
      </c>
      <c r="E252" s="65" t="n">
        <v>12</v>
      </c>
      <c r="F252" s="65" t="n">
        <v>1800</v>
      </c>
      <c r="G252" s="65" t="n">
        <v>21600</v>
      </c>
    </row>
    <row r="253" hidden="1" s="111">
      <c r="A253" s="65" t="n">
        <v>9</v>
      </c>
      <c r="B253" s="65" t="inlineStr">
        <is>
          <t>Verduras</t>
        </is>
      </c>
      <c r="C253" s="65" t="inlineStr">
        <is>
          <t>Aguacate</t>
        </is>
      </c>
      <c r="D253" s="65" t="inlineStr">
        <is>
          <t>20 - Aguacates</t>
        </is>
      </c>
      <c r="E253" s="65" t="n">
        <v>20</v>
      </c>
      <c r="F253" s="65" t="n">
        <v>7000</v>
      </c>
      <c r="G253" s="65" t="n">
        <v>140000</v>
      </c>
    </row>
    <row r="254" hidden="1" s="111">
      <c r="A254" s="65" t="n">
        <v>9</v>
      </c>
      <c r="B254" s="65" t="inlineStr">
        <is>
          <t>Desechables</t>
        </is>
      </c>
      <c r="C254" s="65" t="inlineStr">
        <is>
          <t>Mazamorra</t>
        </is>
      </c>
      <c r="D254" s="65" t="inlineStr">
        <is>
          <t>Mazamorra</t>
        </is>
      </c>
      <c r="E254" s="65" t="n">
        <v>1</v>
      </c>
      <c r="F254" s="65" t="n">
        <v>20000</v>
      </c>
      <c r="G254" s="65" t="n">
        <v>20000</v>
      </c>
    </row>
    <row r="255" hidden="1" s="111">
      <c r="A255" s="58" t="n">
        <v>29</v>
      </c>
      <c r="B255" s="58" t="inlineStr">
        <is>
          <t>Bebidas</t>
        </is>
      </c>
      <c r="C255" s="58" t="inlineStr">
        <is>
          <t>Bloque media</t>
        </is>
      </c>
      <c r="D255" s="58" t="inlineStr">
        <is>
          <t>BLOQUE MEDIA (Hielo El Nevado)</t>
        </is>
      </c>
      <c r="E255" s="58" t="n">
        <v>2</v>
      </c>
      <c r="F255" s="58" t="n">
        <v>9500</v>
      </c>
      <c r="G255" s="58" t="n">
        <v>19000</v>
      </c>
    </row>
    <row r="256" hidden="1" s="111">
      <c r="A256" s="58" t="n">
        <v>31</v>
      </c>
      <c r="B256" s="58" t="inlineStr">
        <is>
          <t>Bebidas</t>
        </is>
      </c>
      <c r="C256" s="58" t="inlineStr">
        <is>
          <t>Bloque media</t>
        </is>
      </c>
      <c r="D256" s="58" t="inlineStr">
        <is>
          <t>BLOQUE MEDIA (Hielo El Nevado)</t>
        </is>
      </c>
      <c r="E256" s="58" t="n">
        <v>2</v>
      </c>
      <c r="F256" s="58" t="n">
        <v>9500</v>
      </c>
      <c r="G256" s="58" t="n">
        <v>19000</v>
      </c>
    </row>
    <row r="257" hidden="1" s="111">
      <c r="A257" s="58" t="n">
        <v>31</v>
      </c>
      <c r="B257" s="58" t="inlineStr">
        <is>
          <t>Bebidas</t>
        </is>
      </c>
      <c r="C257" s="58" t="inlineStr">
        <is>
          <t>Bloque media</t>
        </is>
      </c>
      <c r="D257" s="58" t="inlineStr">
        <is>
          <t>BLOQUE MEDIA (Hielo El Nevado)</t>
        </is>
      </c>
      <c r="E257" s="58" t="n">
        <v>2</v>
      </c>
      <c r="F257" s="58" t="n">
        <v>9500</v>
      </c>
      <c r="G257" s="58" t="n">
        <v>19000</v>
      </c>
    </row>
    <row r="258" hidden="1" s="111">
      <c r="A258" s="57" t="n">
        <v>14</v>
      </c>
      <c r="B258" s="57" t="inlineStr">
        <is>
          <t>Bebidas</t>
        </is>
      </c>
      <c r="C258" s="57" t="inlineStr">
        <is>
          <t>Gatorade</t>
        </is>
      </c>
      <c r="D258" s="57" t="inlineStr">
        <is>
          <t>BLUE ICE GATORADE 500 ML PET X 12</t>
        </is>
      </c>
      <c r="E258" s="62" t="n">
        <v>12</v>
      </c>
      <c r="F258" s="63" t="n">
        <v>2731.09</v>
      </c>
      <c r="G258" s="63" t="n">
        <v>32773.08</v>
      </c>
    </row>
    <row r="259" hidden="1" s="111">
      <c r="A259" s="57" t="n">
        <v>1</v>
      </c>
      <c r="B259" s="57" t="inlineStr">
        <is>
          <t>Bebidas</t>
        </is>
      </c>
      <c r="C259" s="57" t="inlineStr">
        <is>
          <t>Bolsa 5kl tubular</t>
        </is>
      </c>
      <c r="D259" s="57" t="inlineStr">
        <is>
          <t>BOLSA X 5 KL TUBULAR</t>
        </is>
      </c>
      <c r="E259" s="62" t="n">
        <v>2</v>
      </c>
      <c r="F259" s="63" t="n">
        <v>5000</v>
      </c>
      <c r="G259" s="63" t="n">
        <v>10000</v>
      </c>
    </row>
    <row r="260" hidden="1" s="111">
      <c r="A260" s="58" t="n">
        <v>3</v>
      </c>
      <c r="B260" s="58" t="inlineStr">
        <is>
          <t>Bebidas</t>
        </is>
      </c>
      <c r="C260" s="58" t="inlineStr">
        <is>
          <t>Bolsa 5kl tubular</t>
        </is>
      </c>
      <c r="D260" s="58" t="inlineStr">
        <is>
          <t>BOLSA X 5 KL TUBULAR</t>
        </is>
      </c>
      <c r="E260" s="66" t="n">
        <v>2</v>
      </c>
      <c r="F260" s="67" t="n">
        <v>5000</v>
      </c>
      <c r="G260" s="67" t="n">
        <v>10000</v>
      </c>
    </row>
    <row r="261" hidden="1" s="111">
      <c r="A261" s="58" t="n">
        <v>3</v>
      </c>
      <c r="B261" s="58" t="inlineStr">
        <is>
          <t>Bebidas</t>
        </is>
      </c>
      <c r="C261" s="58" t="inlineStr">
        <is>
          <t>Bolsa 5kl tubular</t>
        </is>
      </c>
      <c r="D261" s="58" t="inlineStr">
        <is>
          <t>BOLSA X 5 KL TUBULAR</t>
        </is>
      </c>
      <c r="E261" s="58" t="n">
        <v>3</v>
      </c>
      <c r="F261" s="58" t="n">
        <v>5000</v>
      </c>
      <c r="G261" s="58" t="n">
        <v>15000</v>
      </c>
    </row>
    <row r="262" hidden="1" s="111">
      <c r="A262" s="58" t="n">
        <v>4</v>
      </c>
      <c r="B262" s="58" t="inlineStr">
        <is>
          <t>Bebidas</t>
        </is>
      </c>
      <c r="C262" s="58" t="inlineStr">
        <is>
          <t>Bolsa 5kl tubular</t>
        </is>
      </c>
      <c r="D262" s="58" t="inlineStr">
        <is>
          <t>BOLSA X 5 KL TUBULAR</t>
        </is>
      </c>
      <c r="E262" s="66" t="n">
        <v>3</v>
      </c>
      <c r="F262" s="67" t="n">
        <v>5000</v>
      </c>
      <c r="G262" s="67" t="n">
        <v>15000</v>
      </c>
    </row>
    <row r="263" hidden="1" s="111">
      <c r="A263" s="57" t="n">
        <v>4</v>
      </c>
      <c r="B263" s="57" t="inlineStr">
        <is>
          <t>Bebidas</t>
        </is>
      </c>
      <c r="C263" s="57" t="inlineStr">
        <is>
          <t>Bolsa 5kl tubular</t>
        </is>
      </c>
      <c r="D263" s="57" t="inlineStr">
        <is>
          <t>BOLSA X 5 KL TUBULAR</t>
        </is>
      </c>
      <c r="E263" s="62" t="n">
        <v>2</v>
      </c>
      <c r="F263" s="63" t="n">
        <v>5000</v>
      </c>
      <c r="G263" s="63" t="n">
        <v>10000</v>
      </c>
    </row>
    <row r="264" hidden="1" s="111">
      <c r="A264" s="57" t="n">
        <v>5</v>
      </c>
      <c r="B264" s="57" t="inlineStr">
        <is>
          <t>Bebidas</t>
        </is>
      </c>
      <c r="C264" s="57" t="inlineStr">
        <is>
          <t>Bolsa 5kl tubular</t>
        </is>
      </c>
      <c r="D264" s="57" t="inlineStr">
        <is>
          <t>BOLSA X 5 KL TUBULAR</t>
        </is>
      </c>
      <c r="E264" s="62" t="n">
        <v>2</v>
      </c>
      <c r="F264" s="68" t="n">
        <v>5000</v>
      </c>
      <c r="G264" s="68" t="n">
        <v>10000</v>
      </c>
    </row>
    <row r="265" hidden="1" s="111">
      <c r="A265" s="59" t="n">
        <v>10</v>
      </c>
      <c r="B265" s="59" t="inlineStr">
        <is>
          <t>Carnes</t>
        </is>
      </c>
      <c r="C265" s="59" t="inlineStr">
        <is>
          <t>Costilla de res</t>
        </is>
      </c>
      <c r="D265" s="59" t="inlineStr">
        <is>
          <t>COSTILLA DE RES</t>
        </is>
      </c>
      <c r="E265" s="69" t="n">
        <v>22.4</v>
      </c>
      <c r="F265" s="72" t="n">
        <v>22000</v>
      </c>
      <c r="G265" s="72" t="n">
        <v>492800</v>
      </c>
    </row>
    <row r="266" hidden="1" s="111">
      <c r="A266" s="59" t="n">
        <v>10</v>
      </c>
      <c r="B266" s="59" t="inlineStr">
        <is>
          <t>Carnes</t>
        </is>
      </c>
      <c r="C266" s="59" t="inlineStr">
        <is>
          <t>Callo</t>
        </is>
      </c>
      <c r="D266" s="59" t="inlineStr">
        <is>
          <t>CALLO DE RES</t>
        </is>
      </c>
      <c r="E266" s="69" t="n">
        <v>7.95</v>
      </c>
      <c r="F266" s="70" t="n">
        <v>20000</v>
      </c>
      <c r="G266" s="70" t="n">
        <v>159000</v>
      </c>
    </row>
    <row r="267" hidden="1" s="111">
      <c r="A267" s="59" t="n">
        <v>10</v>
      </c>
      <c r="B267" s="59" t="inlineStr">
        <is>
          <t>Carnes</t>
        </is>
      </c>
      <c r="C267" s="59" t="inlineStr">
        <is>
          <t>Caderita</t>
        </is>
      </c>
      <c r="D267" s="59" t="inlineStr">
        <is>
          <t>CADERITA DE RES</t>
        </is>
      </c>
      <c r="E267" s="69" t="n">
        <v>3.09</v>
      </c>
      <c r="F267" s="70" t="n">
        <v>33000</v>
      </c>
      <c r="G267" s="70" t="n">
        <v>101970</v>
      </c>
    </row>
    <row r="268" hidden="1" s="111">
      <c r="A268" s="65" t="n">
        <v>10</v>
      </c>
      <c r="B268" s="65" t="inlineStr">
        <is>
          <t>Carnes</t>
        </is>
      </c>
      <c r="C268" s="65" t="inlineStr">
        <is>
          <t xml:space="preserve">Higado </t>
        </is>
      </c>
      <c r="D268" s="65" t="inlineStr">
        <is>
          <t>HIGADO DE RES</t>
        </is>
      </c>
      <c r="E268" s="65" t="n">
        <v>5.2</v>
      </c>
      <c r="F268" s="65" t="n">
        <v>21500</v>
      </c>
      <c r="G268" s="65" t="n">
        <v>111800</v>
      </c>
    </row>
    <row r="269" hidden="1" s="111">
      <c r="A269" s="65" t="n">
        <v>8</v>
      </c>
      <c r="B269" s="65" t="inlineStr">
        <is>
          <t>Bebidas</t>
        </is>
      </c>
      <c r="C269" s="65" t="inlineStr">
        <is>
          <t>Bolsa 5kl tubular</t>
        </is>
      </c>
      <c r="D269" s="65" t="inlineStr">
        <is>
          <t>BOLSA X 5 KL TUBULAR</t>
        </is>
      </c>
      <c r="E269" s="65" t="n">
        <v>4</v>
      </c>
      <c r="F269" s="65" t="n">
        <v>5000</v>
      </c>
      <c r="G269" s="65" t="n">
        <v>20000</v>
      </c>
    </row>
    <row r="270" hidden="1" s="111">
      <c r="A270" s="59" t="n">
        <v>10</v>
      </c>
      <c r="B270" s="59" t="inlineStr">
        <is>
          <t>Bebidas</t>
        </is>
      </c>
      <c r="C270" s="59" t="inlineStr">
        <is>
          <t>Bolsa 5kl tubular</t>
        </is>
      </c>
      <c r="D270" s="59" t="inlineStr">
        <is>
          <t>BOLSA X 5 KL TUBULAR</t>
        </is>
      </c>
      <c r="E270" s="69" t="n">
        <v>2</v>
      </c>
      <c r="F270" s="72" t="n">
        <v>5000</v>
      </c>
      <c r="G270" s="72" t="n">
        <v>10000</v>
      </c>
    </row>
    <row r="271" hidden="1" s="111">
      <c r="A271" s="65" t="n">
        <v>10</v>
      </c>
      <c r="B271" s="65" t="inlineStr">
        <is>
          <t>Desechables</t>
        </is>
      </c>
      <c r="C271" s="65" t="inlineStr">
        <is>
          <t>Vaso cartón 9.0 onz x 50</t>
        </is>
      </c>
      <c r="D271" s="65" t="inlineStr">
        <is>
          <t>Vaso 9 carton</t>
        </is>
      </c>
      <c r="E271" s="65" t="n">
        <v>5</v>
      </c>
      <c r="F271" s="65" t="n">
        <v>7200</v>
      </c>
      <c r="G271" s="65" t="n">
        <v>36000</v>
      </c>
    </row>
    <row r="272" hidden="1" s="111">
      <c r="A272" s="65" t="n">
        <v>11</v>
      </c>
      <c r="B272" s="65" t="inlineStr">
        <is>
          <t>Carnes</t>
        </is>
      </c>
      <c r="C272" s="65" t="inlineStr">
        <is>
          <t>Costilla de cerdo especial</t>
        </is>
      </c>
      <c r="D272" s="65" t="inlineStr">
        <is>
          <t>COSTILLA CERDO ESP CR (BS) X 4 KG</t>
        </is>
      </c>
      <c r="E272" s="65" t="n">
        <v>20</v>
      </c>
      <c r="F272" s="65" t="n">
        <v>18200</v>
      </c>
      <c r="G272" s="65" t="n">
        <v>364000</v>
      </c>
    </row>
    <row r="273" hidden="1" s="111">
      <c r="A273" s="65" t="n">
        <v>11</v>
      </c>
      <c r="B273" s="65" t="inlineStr">
        <is>
          <t>Carnes</t>
        </is>
      </c>
      <c r="C273" s="65" t="inlineStr">
        <is>
          <t>Filete de pollo x 350</t>
        </is>
      </c>
      <c r="D273" s="65" t="inlineStr">
        <is>
          <t>FILETE DE POLLO X 350G</t>
        </is>
      </c>
      <c r="E273" s="65" t="n">
        <v>28.4</v>
      </c>
      <c r="F273" s="65" t="n">
        <v>18500</v>
      </c>
      <c r="G273" s="65" t="n">
        <v>525400</v>
      </c>
    </row>
    <row r="274" hidden="1" s="111">
      <c r="A274" s="65" t="n">
        <v>11</v>
      </c>
      <c r="B274" s="65" t="inlineStr">
        <is>
          <t>Carnes</t>
        </is>
      </c>
      <c r="C274" s="65" t="inlineStr">
        <is>
          <t>Caderita</t>
        </is>
      </c>
      <c r="D274" s="65" t="inlineStr">
        <is>
          <t>CADERITA DE RES</t>
        </is>
      </c>
      <c r="E274" s="65" t="n">
        <v>6.25</v>
      </c>
      <c r="F274" s="65" t="n">
        <v>33000</v>
      </c>
      <c r="G274" s="65" t="n">
        <v>206250</v>
      </c>
    </row>
    <row r="275" hidden="1" s="111">
      <c r="A275" s="58" t="n">
        <v>11</v>
      </c>
      <c r="B275" s="58" t="inlineStr">
        <is>
          <t>Carnes</t>
        </is>
      </c>
      <c r="C275" s="58" t="inlineStr">
        <is>
          <t>Sobrebarriga delgada</t>
        </is>
      </c>
      <c r="D275" s="58" t="inlineStr">
        <is>
          <t>SOBREBARRIGA DE RES</t>
        </is>
      </c>
      <c r="E275" s="66" t="n">
        <v>11.3</v>
      </c>
      <c r="F275" s="67" t="n">
        <v>30000</v>
      </c>
      <c r="G275" s="67" t="n">
        <v>339000</v>
      </c>
    </row>
    <row r="276" hidden="1" s="111">
      <c r="A276" s="58" t="n">
        <v>11</v>
      </c>
      <c r="B276" s="58" t="inlineStr">
        <is>
          <t>Carnes</t>
        </is>
      </c>
      <c r="C276" s="58" t="inlineStr">
        <is>
          <t>Pechuga mcpollo</t>
        </is>
      </c>
      <c r="D276" s="58" t="inlineStr">
        <is>
          <t>PECHUGA REFRIGERADA</t>
        </is>
      </c>
      <c r="E276" s="66" t="n">
        <v>5.8</v>
      </c>
      <c r="F276" s="67" t="n">
        <v>15300</v>
      </c>
      <c r="G276" s="67" t="n">
        <v>88740</v>
      </c>
    </row>
    <row r="277" hidden="1" s="111">
      <c r="A277" s="57" t="n">
        <v>11</v>
      </c>
      <c r="B277" s="57" t="inlineStr">
        <is>
          <t>Carnes</t>
        </is>
      </c>
      <c r="C277" s="57" t="inlineStr">
        <is>
          <t>Pernil de pollo</t>
        </is>
      </c>
      <c r="D277" s="57" t="inlineStr">
        <is>
          <t>PERNIL BLANCO</t>
        </is>
      </c>
      <c r="E277" s="64" t="n">
        <v>42.6</v>
      </c>
      <c r="F277" s="63" t="n">
        <v>7700</v>
      </c>
      <c r="G277" s="63" t="n">
        <v>328020</v>
      </c>
    </row>
    <row r="278" hidden="1" s="111">
      <c r="A278" s="59" t="n">
        <v>11</v>
      </c>
      <c r="B278" s="59" t="inlineStr">
        <is>
          <t>Carnes</t>
        </is>
      </c>
      <c r="C278" s="59" t="inlineStr">
        <is>
          <t>Sobaco</t>
        </is>
      </c>
      <c r="D278" s="59" t="inlineStr">
        <is>
          <t>SOBACO</t>
        </is>
      </c>
      <c r="E278" s="71" t="n">
        <v>25.68</v>
      </c>
      <c r="F278" s="70" t="n">
        <v>25900</v>
      </c>
      <c r="G278" s="70" t="n">
        <v>665112</v>
      </c>
    </row>
    <row r="279" hidden="1" s="111">
      <c r="A279" s="59" t="n">
        <v>11</v>
      </c>
      <c r="B279" s="59" t="inlineStr">
        <is>
          <t>Carnes</t>
        </is>
      </c>
      <c r="C279" s="59" t="inlineStr">
        <is>
          <t>Tocineta barril</t>
        </is>
      </c>
      <c r="D279" s="59" t="inlineStr">
        <is>
          <t>TOCINETA BARRIL</t>
        </is>
      </c>
      <c r="E279" s="69" t="n">
        <v>97.55</v>
      </c>
      <c r="F279" s="72" t="n">
        <v>21900</v>
      </c>
      <c r="G279" s="72" t="n">
        <v>2136345</v>
      </c>
    </row>
    <row r="280" hidden="1" s="111">
      <c r="A280" s="57" t="n">
        <v>11</v>
      </c>
      <c r="B280" s="57" t="inlineStr">
        <is>
          <t>Carnes</t>
        </is>
      </c>
      <c r="C280" s="57" t="inlineStr">
        <is>
          <t>Punta de anca</t>
        </is>
      </c>
      <c r="D280" s="57" t="inlineStr">
        <is>
          <t>PUNTA DE ANCA IMP PORC. PARRILLA</t>
        </is>
      </c>
      <c r="E280" s="64" t="n">
        <v>26.5</v>
      </c>
      <c r="F280" s="63" t="n">
        <v>44000</v>
      </c>
      <c r="G280" s="63" t="n">
        <v>1166000</v>
      </c>
    </row>
    <row r="281" hidden="1" s="111">
      <c r="A281" s="57" t="n">
        <v>11</v>
      </c>
      <c r="B281" s="57" t="inlineStr">
        <is>
          <t>Carnes</t>
        </is>
      </c>
      <c r="C281" s="57" t="inlineStr">
        <is>
          <t>Lomo de caracho</t>
        </is>
      </c>
      <c r="D281" s="57" t="inlineStr">
        <is>
          <t>LOMO CARACHO PORCIONADO PARRILLA</t>
        </is>
      </c>
      <c r="E281" s="64" t="n">
        <v>25</v>
      </c>
      <c r="F281" s="63" t="n">
        <v>44000</v>
      </c>
      <c r="G281" s="63" t="n">
        <v>1100000</v>
      </c>
    </row>
    <row r="282" hidden="1" s="111">
      <c r="A282" s="57" t="n">
        <v>11</v>
      </c>
      <c r="B282" s="57" t="inlineStr">
        <is>
          <t>Verduras</t>
        </is>
      </c>
      <c r="C282" s="57" t="inlineStr">
        <is>
          <t>Papa a la francesa paq 2.5 kl</t>
        </is>
      </c>
      <c r="D282" s="57" t="inlineStr">
        <is>
          <t>PAPA A LA FRANCESA FRITERS PAQ 2.5 KL</t>
        </is>
      </c>
      <c r="E282" s="62" t="n">
        <v>16</v>
      </c>
      <c r="F282" s="68" t="n">
        <v>15546.25</v>
      </c>
      <c r="G282" s="63" t="n">
        <v>248740</v>
      </c>
    </row>
    <row r="283" hidden="1" s="111">
      <c r="A283" s="57" t="n">
        <v>11</v>
      </c>
      <c r="B283" s="57" t="inlineStr">
        <is>
          <t>Carnes</t>
        </is>
      </c>
      <c r="C283" s="57" t="inlineStr">
        <is>
          <t>Costilla san luis jr</t>
        </is>
      </c>
      <c r="D283" s="57" t="inlineStr">
        <is>
          <t>COSTILLA SAN LUIS JUNIOR T/M</t>
        </is>
      </c>
      <c r="E283" s="64" t="n">
        <v>57.4</v>
      </c>
      <c r="F283" s="63" t="n">
        <v>21900</v>
      </c>
      <c r="G283" s="63" t="n">
        <v>1257060</v>
      </c>
    </row>
    <row r="284" hidden="1" s="111">
      <c r="A284" s="57" t="n">
        <v>11</v>
      </c>
      <c r="B284" s="57" t="inlineStr">
        <is>
          <t>Carnes</t>
        </is>
      </c>
      <c r="C284" s="57" t="inlineStr">
        <is>
          <t>Costilla de cerdo especial</t>
        </is>
      </c>
      <c r="D284" s="57" t="inlineStr">
        <is>
          <t>COSTILLA DE CERDO IBP 244M</t>
        </is>
      </c>
      <c r="E284" s="62" t="n">
        <v>13.8</v>
      </c>
      <c r="F284" s="63" t="n">
        <v>15400</v>
      </c>
      <c r="G284" s="63" t="n">
        <v>212520</v>
      </c>
    </row>
    <row r="285" hidden="1" s="111">
      <c r="A285" s="65" t="n">
        <v>17</v>
      </c>
      <c r="B285" s="65" t="inlineStr">
        <is>
          <t>Servicios</t>
        </is>
      </c>
      <c r="C285" s="65" t="inlineStr">
        <is>
          <t>Arreglo Tubos x Materiales</t>
        </is>
      </c>
      <c r="D285" s="65" t="inlineStr">
        <is>
          <t>1 BROCA</t>
        </is>
      </c>
      <c r="E285" s="65" t="n">
        <v>1</v>
      </c>
      <c r="F285" s="65" t="n">
        <v>5000</v>
      </c>
      <c r="G285" s="65" t="n">
        <v>5000</v>
      </c>
    </row>
    <row r="286" hidden="1" s="111">
      <c r="A286" s="57" t="n">
        <v>11</v>
      </c>
      <c r="B286" s="57" t="inlineStr">
        <is>
          <t>Carnes</t>
        </is>
      </c>
      <c r="C286" s="57" t="inlineStr">
        <is>
          <t>Chorizo coctelero x 40</t>
        </is>
      </c>
      <c r="D286" s="57" t="inlineStr">
        <is>
          <t>CHORIZO PREMIUM COCTELERO PAQ. X 40 UND. (MONTERO)</t>
        </is>
      </c>
      <c r="E286" s="64" t="n">
        <v>5</v>
      </c>
      <c r="F286" s="63" t="n">
        <v>48000</v>
      </c>
      <c r="G286" s="63" t="n">
        <v>240000</v>
      </c>
    </row>
    <row r="287" hidden="1" s="111">
      <c r="A287" s="57" t="n">
        <v>11</v>
      </c>
      <c r="B287" s="57" t="inlineStr">
        <is>
          <t>Carnes</t>
        </is>
      </c>
      <c r="C287" s="57" t="inlineStr">
        <is>
          <t>Chorizo Premium</t>
        </is>
      </c>
      <c r="D287" s="57" t="inlineStr">
        <is>
          <t>CHORIZO PREMIUM PAQ. X 12 UND. (MONTERO) 1800gr</t>
        </is>
      </c>
      <c r="E287" s="64" t="n">
        <v>1</v>
      </c>
      <c r="F287" s="63" t="n">
        <v>46000</v>
      </c>
      <c r="G287" s="63" t="n">
        <v>46000</v>
      </c>
    </row>
    <row r="288" hidden="1" s="111">
      <c r="A288" s="65" t="n">
        <v>10</v>
      </c>
      <c r="B288" s="65" t="inlineStr">
        <is>
          <t>Bebidas</t>
        </is>
      </c>
      <c r="C288" s="65" t="inlineStr">
        <is>
          <t>Bolsa 5kl tubular</t>
        </is>
      </c>
      <c r="D288" s="65" t="inlineStr">
        <is>
          <t>BOLSA X 5 KL TUBULAR</t>
        </is>
      </c>
      <c r="E288" s="65" t="n">
        <v>2</v>
      </c>
      <c r="F288" s="65" t="n">
        <v>5000</v>
      </c>
      <c r="G288" s="65" t="n">
        <v>10000</v>
      </c>
    </row>
    <row r="289" hidden="1" s="111">
      <c r="A289" s="58" t="n">
        <v>12</v>
      </c>
      <c r="B289" s="58" t="inlineStr">
        <is>
          <t>Bebidas</t>
        </is>
      </c>
      <c r="C289" s="58" t="inlineStr">
        <is>
          <t>Bolsa 5kl tubular</t>
        </is>
      </c>
      <c r="D289" s="58" t="inlineStr">
        <is>
          <t>BOLSA X 5 KL TUBULAR</t>
        </is>
      </c>
      <c r="E289" s="58" t="n">
        <v>6</v>
      </c>
      <c r="F289" s="58" t="n">
        <v>5000</v>
      </c>
      <c r="G289" s="58" t="n">
        <v>30000</v>
      </c>
    </row>
    <row r="290" hidden="1" s="111">
      <c r="A290" s="65" t="n">
        <v>13</v>
      </c>
      <c r="B290" s="65" t="inlineStr">
        <is>
          <t>Bebidas</t>
        </is>
      </c>
      <c r="C290" s="65" t="inlineStr">
        <is>
          <t>Bolsa 5kl tubular</t>
        </is>
      </c>
      <c r="D290" s="65" t="inlineStr">
        <is>
          <t>BOLSA X 5 KL TUBULAR</t>
        </is>
      </c>
      <c r="E290" s="65" t="n">
        <v>5</v>
      </c>
      <c r="F290" s="65" t="n">
        <v>5000</v>
      </c>
      <c r="G290" s="65" t="n">
        <v>25000</v>
      </c>
    </row>
    <row r="291" hidden="1" s="111">
      <c r="A291" s="65" t="n">
        <v>15</v>
      </c>
      <c r="B291" s="65" t="inlineStr">
        <is>
          <t>Bebidas</t>
        </is>
      </c>
      <c r="C291" s="65" t="inlineStr">
        <is>
          <t>Bolsa 5kl tubular</t>
        </is>
      </c>
      <c r="D291" s="65" t="inlineStr">
        <is>
          <t>BOLSA X 5 KL TUBULAR</t>
        </is>
      </c>
      <c r="E291" s="65" t="n">
        <v>3</v>
      </c>
      <c r="F291" s="65" t="n">
        <v>5000</v>
      </c>
      <c r="G291" s="65" t="n">
        <v>15000</v>
      </c>
    </row>
    <row r="292" hidden="1" s="111">
      <c r="A292" s="57" t="n">
        <v>11</v>
      </c>
      <c r="B292" s="57" t="inlineStr">
        <is>
          <t>Grano</t>
        </is>
      </c>
      <c r="C292" s="57" t="inlineStr">
        <is>
          <t>Aceite de soya</t>
        </is>
      </c>
      <c r="D292" s="57" t="inlineStr">
        <is>
          <t>ACEITE DE SOYA (2x 900ml/bot)</t>
        </is>
      </c>
      <c r="E292" s="62" t="n">
        <v>2</v>
      </c>
      <c r="F292" s="63" t="n">
        <v>22990</v>
      </c>
      <c r="G292" s="63" t="n">
        <v>45980</v>
      </c>
    </row>
    <row r="293" hidden="1" s="111">
      <c r="A293" s="59" t="n">
        <v>24</v>
      </c>
      <c r="B293" s="59" t="inlineStr">
        <is>
          <t>Servicios</t>
        </is>
      </c>
      <c r="C293" s="59" t="inlineStr">
        <is>
          <t>Arreglo Tubos x Materiales</t>
        </is>
      </c>
      <c r="D293" s="59" t="inlineStr">
        <is>
          <t>YW042 LLAVE DE PUSH LAVAMANOS BAJA BOCCHERINI (Electroventas PE34473)</t>
        </is>
      </c>
      <c r="E293" s="69" t="n">
        <v>1</v>
      </c>
      <c r="F293" s="70" t="n">
        <v>90000</v>
      </c>
      <c r="G293" s="70" t="n">
        <v>90000</v>
      </c>
    </row>
    <row r="294" hidden="1" s="111">
      <c r="A294" s="58" t="n">
        <v>11</v>
      </c>
      <c r="B294" s="58" t="inlineStr">
        <is>
          <t>Carnes</t>
        </is>
      </c>
      <c r="C294" s="58" t="inlineStr">
        <is>
          <t>Pezua</t>
        </is>
      </c>
      <c r="D294" s="58" t="inlineStr">
        <is>
          <t>PEZUNA CERDO A GRANEL 4.010kg (Supertiendas Cañaveral)</t>
        </is>
      </c>
      <c r="E294" s="58" t="n">
        <v>4.01</v>
      </c>
      <c r="F294" s="58" t="n">
        <v>9700</v>
      </c>
      <c r="G294" s="58" t="n">
        <v>38897</v>
      </c>
    </row>
    <row r="295" hidden="1" s="111">
      <c r="A295" s="58" t="n">
        <v>11</v>
      </c>
      <c r="B295" s="58" t="inlineStr">
        <is>
          <t>Carnes</t>
        </is>
      </c>
      <c r="C295" s="58" t="inlineStr">
        <is>
          <t>Pezua</t>
        </is>
      </c>
      <c r="D295" s="58" t="inlineStr">
        <is>
          <t>PEZUNA CERDO A GRANEL 3.105kg (Supertiendas Cañaveral)</t>
        </is>
      </c>
      <c r="E295" s="58" t="n">
        <v>3.105</v>
      </c>
      <c r="F295" s="58" t="n">
        <v>9700</v>
      </c>
      <c r="G295" s="58" t="n">
        <v>30119</v>
      </c>
    </row>
    <row r="296" hidden="1" s="111">
      <c r="A296" s="57" t="n">
        <v>16</v>
      </c>
      <c r="B296" s="57" t="inlineStr">
        <is>
          <t>Bebidas</t>
        </is>
      </c>
      <c r="C296" s="57" t="inlineStr">
        <is>
          <t>Bolsa 5kl tubular</t>
        </is>
      </c>
      <c r="D296" s="57" t="inlineStr">
        <is>
          <t>BOLSA X 5 KL TUBULAR</t>
        </is>
      </c>
      <c r="E296" s="64" t="n">
        <v>2</v>
      </c>
      <c r="F296" s="63" t="n">
        <v>5000</v>
      </c>
      <c r="G296" s="63" t="n">
        <v>10000</v>
      </c>
    </row>
    <row r="297" hidden="1" s="111">
      <c r="A297" s="65" t="n">
        <v>18</v>
      </c>
      <c r="B297" s="65" t="inlineStr">
        <is>
          <t>Bebidas</t>
        </is>
      </c>
      <c r="C297" s="65" t="inlineStr">
        <is>
          <t>Bolsa 5kl tubular</t>
        </is>
      </c>
      <c r="D297" s="65" t="inlineStr">
        <is>
          <t>BOLSA X 5 KL TUBULAR</t>
        </is>
      </c>
      <c r="E297" s="65" t="n">
        <v>5</v>
      </c>
      <c r="F297" s="65" t="n">
        <v>5000</v>
      </c>
      <c r="G297" s="65" t="n">
        <v>25000</v>
      </c>
    </row>
    <row r="298" hidden="1" s="111">
      <c r="A298" s="58" t="n">
        <v>19</v>
      </c>
      <c r="B298" s="58" t="inlineStr">
        <is>
          <t>Bebidas</t>
        </is>
      </c>
      <c r="C298" s="58" t="inlineStr">
        <is>
          <t>Bolsa 5kl tubular</t>
        </is>
      </c>
      <c r="D298" s="58" t="inlineStr">
        <is>
          <t>BOLSA X 5 KL TUBULAR</t>
        </is>
      </c>
      <c r="E298" s="58" t="n">
        <v>3</v>
      </c>
      <c r="F298" s="58" t="n">
        <v>5000</v>
      </c>
      <c r="G298" s="58" t="n">
        <v>15000</v>
      </c>
    </row>
    <row r="299" hidden="1" s="111">
      <c r="A299" s="58" t="n">
        <v>22</v>
      </c>
      <c r="B299" s="58" t="inlineStr">
        <is>
          <t>Bebidas</t>
        </is>
      </c>
      <c r="C299" s="58" t="inlineStr">
        <is>
          <t>Bolsa 5kl tubular</t>
        </is>
      </c>
      <c r="D299" s="58" t="inlineStr">
        <is>
          <t>BOLSA X 5 KL TUBULAR (Hielo El Nevado - NV201059)</t>
        </is>
      </c>
      <c r="E299" s="58" t="n">
        <v>2</v>
      </c>
      <c r="F299" s="58" t="n">
        <v>5000</v>
      </c>
      <c r="G299" s="58" t="n">
        <v>10000</v>
      </c>
    </row>
    <row r="300" hidden="1" s="111">
      <c r="A300" s="65" t="n">
        <v>12</v>
      </c>
      <c r="B300" s="65" t="inlineStr">
        <is>
          <t>Grano</t>
        </is>
      </c>
      <c r="C300" s="65" t="inlineStr">
        <is>
          <t>Leche de coco</t>
        </is>
      </c>
      <c r="D300" s="65" t="inlineStr">
        <is>
          <t>Extrato de coco premium 1000 mL</t>
        </is>
      </c>
      <c r="E300" s="65" t="n">
        <v>6</v>
      </c>
      <c r="F300" s="65" t="n">
        <v>24395</v>
      </c>
      <c r="G300" s="65" t="n">
        <v>146370</v>
      </c>
    </row>
    <row r="301" hidden="1" s="111">
      <c r="A301" s="65" t="n">
        <v>12</v>
      </c>
      <c r="B301" s="65" t="inlineStr">
        <is>
          <t>Verduras</t>
        </is>
      </c>
      <c r="C301" s="65" t="inlineStr">
        <is>
          <t>Papa Capira bulto</t>
        </is>
      </c>
      <c r="D301" s="65" t="inlineStr">
        <is>
          <t>PAPA CAPIRA BULTO*UND</t>
        </is>
      </c>
      <c r="E301" s="65" t="n">
        <v>1</v>
      </c>
      <c r="F301" s="65" t="n">
        <v>95000</v>
      </c>
      <c r="G301" s="65" t="n">
        <v>95000</v>
      </c>
    </row>
    <row r="302" hidden="1" s="111">
      <c r="A302" s="65" t="n">
        <v>12</v>
      </c>
      <c r="B302" s="65" t="inlineStr">
        <is>
          <t>Verduras</t>
        </is>
      </c>
      <c r="C302" s="65" t="inlineStr">
        <is>
          <t>Cebolla Larga Atado</t>
        </is>
      </c>
      <c r="D302" s="65" t="inlineStr">
        <is>
          <t>CEBOLLA LARGA ATADO</t>
        </is>
      </c>
      <c r="E302" s="65" t="n">
        <v>1</v>
      </c>
      <c r="F302" s="65" t="n">
        <v>70000</v>
      </c>
      <c r="G302" s="65" t="n">
        <v>70000</v>
      </c>
    </row>
    <row r="303" hidden="1" s="111">
      <c r="A303" s="65" t="n">
        <v>12</v>
      </c>
      <c r="B303" s="65" t="inlineStr">
        <is>
          <t>Verduras</t>
        </is>
      </c>
      <c r="C303" s="65" t="inlineStr">
        <is>
          <t>Hiervas</t>
        </is>
      </c>
      <c r="D303" s="65" t="inlineStr">
        <is>
          <t>HIERVAS</t>
        </is>
      </c>
      <c r="E303" s="65" t="n">
        <v>2</v>
      </c>
      <c r="F303" s="65" t="n">
        <v>2000</v>
      </c>
      <c r="G303" s="65" t="n">
        <v>4000</v>
      </c>
    </row>
    <row r="304" hidden="1" s="111">
      <c r="A304" s="65" t="n">
        <v>12</v>
      </c>
      <c r="B304" s="65" t="inlineStr">
        <is>
          <t>Verduras</t>
        </is>
      </c>
      <c r="C304" s="65" t="inlineStr">
        <is>
          <t xml:space="preserve">Habichuela </t>
        </is>
      </c>
      <c r="D304" s="65" t="inlineStr">
        <is>
          <t>HABICHUELA*KL</t>
        </is>
      </c>
      <c r="E304" s="65" t="n">
        <v>3.7</v>
      </c>
      <c r="F304" s="65" t="n">
        <v>5000</v>
      </c>
      <c r="G304" s="65" t="n">
        <v>18500</v>
      </c>
    </row>
    <row r="305" hidden="1" s="111">
      <c r="A305" s="65" t="n">
        <v>12</v>
      </c>
      <c r="B305" s="65" t="inlineStr">
        <is>
          <t>Verduras</t>
        </is>
      </c>
      <c r="C305" s="65" t="inlineStr">
        <is>
          <t>Tomate chonto</t>
        </is>
      </c>
      <c r="D305" s="65" t="inlineStr">
        <is>
          <t>TOMATE CHONTO*KL</t>
        </is>
      </c>
      <c r="E305" s="65" t="n">
        <v>5.7</v>
      </c>
      <c r="F305" s="65" t="n">
        <v>4500</v>
      </c>
      <c r="G305" s="65" t="n">
        <v>25650</v>
      </c>
    </row>
    <row r="306" hidden="1" s="111">
      <c r="A306" s="65" t="n">
        <v>12</v>
      </c>
      <c r="B306" s="65" t="inlineStr">
        <is>
          <t>Verduras</t>
        </is>
      </c>
      <c r="C306" s="65" t="inlineStr">
        <is>
          <t>Limon tahiti</t>
        </is>
      </c>
      <c r="D306" s="65" t="inlineStr">
        <is>
          <t>LIMON TAHITY*KL</t>
        </is>
      </c>
      <c r="E306" s="65" t="n">
        <v>50.8</v>
      </c>
      <c r="F306" s="65" t="n">
        <v>2400</v>
      </c>
      <c r="G306" s="65" t="n">
        <v>121920</v>
      </c>
    </row>
    <row r="307" hidden="1" s="111">
      <c r="A307" s="58" t="n">
        <v>12</v>
      </c>
      <c r="B307" s="58" t="inlineStr">
        <is>
          <t>Verduras</t>
        </is>
      </c>
      <c r="C307" s="58" t="inlineStr">
        <is>
          <t>Platano maduro</t>
        </is>
      </c>
      <c r="D307" s="58" t="inlineStr">
        <is>
          <t>PLATANO MADURO*KL</t>
        </is>
      </c>
      <c r="E307" s="66" t="n">
        <v>58.5</v>
      </c>
      <c r="F307" s="67" t="n">
        <v>1400</v>
      </c>
      <c r="G307" s="67" t="n">
        <v>81900</v>
      </c>
    </row>
    <row r="308" hidden="1" s="111">
      <c r="A308" s="58" t="n">
        <v>12</v>
      </c>
      <c r="B308" s="58" t="inlineStr">
        <is>
          <t>Verduras</t>
        </is>
      </c>
      <c r="C308" s="58" t="inlineStr">
        <is>
          <t xml:space="preserve">Papa amarilla </t>
        </is>
      </c>
      <c r="D308" s="58" t="inlineStr">
        <is>
          <t>PAPA AMARILLA CRIOLLA*KL</t>
        </is>
      </c>
      <c r="E308" s="66" t="n">
        <v>3.9</v>
      </c>
      <c r="F308" s="67" t="n">
        <v>5000</v>
      </c>
      <c r="G308" s="67" t="n">
        <v>19500</v>
      </c>
    </row>
    <row r="309" hidden="1" s="111">
      <c r="A309" s="58" t="n">
        <v>12</v>
      </c>
      <c r="B309" s="58" t="inlineStr">
        <is>
          <t>Verduras</t>
        </is>
      </c>
      <c r="C309" s="58" t="inlineStr">
        <is>
          <t>Tomate milano</t>
        </is>
      </c>
      <c r="D309" s="58" t="inlineStr">
        <is>
          <t>TOMATE MILANO*KL</t>
        </is>
      </c>
      <c r="E309" s="66" t="n">
        <v>2.5</v>
      </c>
      <c r="F309" s="67" t="n">
        <v>4500</v>
      </c>
      <c r="G309" s="67" t="n">
        <v>11250</v>
      </c>
    </row>
    <row r="310" hidden="1" s="111">
      <c r="A310" s="58" t="n">
        <v>12</v>
      </c>
      <c r="B310" s="58" t="inlineStr">
        <is>
          <t>Verduras</t>
        </is>
      </c>
      <c r="C310" s="58" t="inlineStr">
        <is>
          <t>Zapayo</t>
        </is>
      </c>
      <c r="D310" s="58" t="inlineStr">
        <is>
          <t>ZAPAYO*KL</t>
        </is>
      </c>
      <c r="E310" s="66" t="n">
        <v>9.1</v>
      </c>
      <c r="F310" s="67" t="n">
        <v>1400</v>
      </c>
      <c r="G310" s="67" t="n">
        <v>12740</v>
      </c>
    </row>
    <row r="311" hidden="1" s="111">
      <c r="A311" s="58" t="n">
        <v>12</v>
      </c>
      <c r="B311" s="58" t="inlineStr">
        <is>
          <t>Verduras</t>
        </is>
      </c>
      <c r="C311" s="58" t="inlineStr">
        <is>
          <t>Arracacha</t>
        </is>
      </c>
      <c r="D311" s="58" t="inlineStr">
        <is>
          <t>ARRACACHA*KL</t>
        </is>
      </c>
      <c r="E311" s="66" t="n">
        <v>3.1</v>
      </c>
      <c r="F311" s="67" t="n">
        <v>6500</v>
      </c>
      <c r="G311" s="67" t="n">
        <v>20150</v>
      </c>
    </row>
    <row r="312" hidden="1" s="111">
      <c r="A312" s="58" t="n">
        <v>12</v>
      </c>
      <c r="B312" s="58" t="inlineStr">
        <is>
          <t>Verduras</t>
        </is>
      </c>
      <c r="C312" s="58" t="inlineStr">
        <is>
          <t>Cebolla cabezona</t>
        </is>
      </c>
      <c r="D312" s="58" t="inlineStr">
        <is>
          <t>CEBOLLA CABEZONA*KL</t>
        </is>
      </c>
      <c r="E312" s="66" t="n">
        <v>9.1</v>
      </c>
      <c r="F312" s="67" t="n">
        <v>3500</v>
      </c>
      <c r="G312" s="67" t="n">
        <v>31850</v>
      </c>
    </row>
    <row r="313" hidden="1" s="111">
      <c r="A313" s="58" t="n">
        <v>12</v>
      </c>
      <c r="B313" s="58" t="inlineStr">
        <is>
          <t>Verduras</t>
        </is>
      </c>
      <c r="C313" s="58" t="inlineStr">
        <is>
          <t>Pepino comun</t>
        </is>
      </c>
      <c r="D313" s="58" t="inlineStr">
        <is>
          <t>PEPINO COMUN*KL</t>
        </is>
      </c>
      <c r="E313" s="66" t="n">
        <v>3.3</v>
      </c>
      <c r="F313" s="67" t="n">
        <v>2000</v>
      </c>
      <c r="G313" s="67" t="n">
        <v>6600</v>
      </c>
    </row>
    <row r="314" hidden="1" s="111">
      <c r="A314" s="58" t="n">
        <v>12</v>
      </c>
      <c r="B314" s="58" t="inlineStr">
        <is>
          <t>Verduras</t>
        </is>
      </c>
      <c r="C314" s="58" t="inlineStr">
        <is>
          <t>Platano maduro</t>
        </is>
      </c>
      <c r="D314" s="58" t="inlineStr">
        <is>
          <t>PLATANO MADURO*KL</t>
        </is>
      </c>
      <c r="E314" s="66" t="n">
        <v>50.6</v>
      </c>
      <c r="F314" s="67" t="n">
        <v>1400</v>
      </c>
      <c r="G314" s="67" t="n">
        <v>70840</v>
      </c>
    </row>
    <row r="315" hidden="1" s="111">
      <c r="A315" s="58" t="n">
        <v>12</v>
      </c>
      <c r="B315" s="58" t="inlineStr">
        <is>
          <t>Verduras</t>
        </is>
      </c>
      <c r="C315" s="58" t="inlineStr">
        <is>
          <t>Platano verde</t>
        </is>
      </c>
      <c r="D315" s="58" t="inlineStr">
        <is>
          <t>PLATANO VERDE*KL</t>
        </is>
      </c>
      <c r="E315" s="66" t="n">
        <v>46.6</v>
      </c>
      <c r="F315" s="67" t="n">
        <v>1500</v>
      </c>
      <c r="G315" s="67" t="n">
        <v>69900</v>
      </c>
    </row>
    <row r="316" hidden="1" s="111">
      <c r="A316" s="58" t="n">
        <v>12</v>
      </c>
      <c r="B316" s="58" t="inlineStr">
        <is>
          <t>Desechables</t>
        </is>
      </c>
      <c r="C316" s="58" t="inlineStr">
        <is>
          <t>Bolsa mercamio reciclable</t>
        </is>
      </c>
      <c r="D316" s="58" t="inlineStr">
        <is>
          <t>BOLSA CANAVERAL 100% MATERIAL RECICL P</t>
        </is>
      </c>
      <c r="E316" s="66" t="n">
        <v>2</v>
      </c>
      <c r="F316" s="67" t="n">
        <v>300</v>
      </c>
      <c r="G316" s="67" t="n">
        <v>600</v>
      </c>
    </row>
    <row r="317" hidden="1" s="111">
      <c r="A317" s="58" t="n">
        <v>12</v>
      </c>
      <c r="B317" s="58" t="inlineStr">
        <is>
          <t>Verduras</t>
        </is>
      </c>
      <c r="C317" s="58" t="inlineStr">
        <is>
          <t>Aguacate común</t>
        </is>
      </c>
      <c r="D317" s="58" t="inlineStr">
        <is>
          <t>AGUACATE COMUN*und</t>
        </is>
      </c>
      <c r="E317" s="66" t="n">
        <v>15</v>
      </c>
      <c r="F317" s="67" t="n">
        <v>5440</v>
      </c>
      <c r="G317" s="67" t="n">
        <v>81600</v>
      </c>
    </row>
    <row r="318" hidden="1" s="111">
      <c r="A318" s="84" t="n">
        <v>24</v>
      </c>
      <c r="B318" s="58" t="inlineStr">
        <is>
          <t>Bebidas</t>
        </is>
      </c>
      <c r="C318" s="58" t="inlineStr">
        <is>
          <t>Bolsa 5kl tubular</t>
        </is>
      </c>
      <c r="D318" s="58" t="inlineStr">
        <is>
          <t>BOLSA X 5 KL TUBULAR (Hielo El Nevado - NV201158)</t>
        </is>
      </c>
      <c r="E318" s="84" t="n">
        <v>4</v>
      </c>
      <c r="F318" s="87" t="n">
        <v>5000</v>
      </c>
      <c r="G318" s="87" t="n">
        <v>20000</v>
      </c>
    </row>
    <row r="319" hidden="1" s="111">
      <c r="A319" s="58" t="n">
        <v>12</v>
      </c>
      <c r="B319" s="58" t="inlineStr">
        <is>
          <t>Verduras</t>
        </is>
      </c>
      <c r="C319" s="58" t="inlineStr">
        <is>
          <t>Zanahoria</t>
        </is>
      </c>
      <c r="D319" s="58" t="inlineStr">
        <is>
          <t>ZANAHORIA SELECTA A GRANEL</t>
        </is>
      </c>
      <c r="E319" s="66" t="n">
        <v>2.79</v>
      </c>
      <c r="F319" s="67" t="n">
        <v>3840</v>
      </c>
      <c r="G319" s="67" t="n">
        <v>10714</v>
      </c>
    </row>
    <row r="320" hidden="1" s="111">
      <c r="A320" s="57" t="n">
        <v>12</v>
      </c>
      <c r="B320" s="57" t="inlineStr">
        <is>
          <t>Verduras</t>
        </is>
      </c>
      <c r="C320" s="57" t="inlineStr">
        <is>
          <t>Lulo</t>
        </is>
      </c>
      <c r="D320" s="57" t="inlineStr">
        <is>
          <t>LULO A GRANEL</t>
        </is>
      </c>
      <c r="E320" s="64" t="n">
        <v>1.13</v>
      </c>
      <c r="F320" s="63" t="n">
        <v>6960</v>
      </c>
      <c r="G320" s="63" t="n">
        <v>7865</v>
      </c>
    </row>
    <row r="321" hidden="1" s="111">
      <c r="A321" s="57" t="n">
        <v>12</v>
      </c>
      <c r="B321" s="57" t="inlineStr">
        <is>
          <t>Desechables</t>
        </is>
      </c>
      <c r="C321" s="57" t="inlineStr">
        <is>
          <t>Bolsa canaveral 100% material recicl f</t>
        </is>
      </c>
      <c r="D321" s="57" t="inlineStr">
        <is>
          <t>BOLSA CANAVERAL 100% MATERIAL RECICL P</t>
        </is>
      </c>
      <c r="E321" s="64" t="n">
        <v>1</v>
      </c>
      <c r="F321" s="63" t="n">
        <v>300</v>
      </c>
      <c r="G321" s="63" t="n">
        <v>300</v>
      </c>
    </row>
    <row r="322" hidden="1" s="111">
      <c r="A322" s="57" t="n">
        <v>12</v>
      </c>
      <c r="B322" s="57" t="inlineStr">
        <is>
          <t>Verduras</t>
        </is>
      </c>
      <c r="C322" s="57" t="inlineStr">
        <is>
          <t>Aguacate común</t>
        </is>
      </c>
      <c r="D322" s="57" t="inlineStr">
        <is>
          <t>AGUACATE COMUN*und (x7)</t>
        </is>
      </c>
      <c r="E322" s="62" t="n">
        <v>7</v>
      </c>
      <c r="F322" s="63" t="n">
        <v>5440</v>
      </c>
      <c r="G322" s="63" t="n">
        <v>38080</v>
      </c>
    </row>
    <row r="323" hidden="1" s="111">
      <c r="A323" s="84" t="n">
        <v>24</v>
      </c>
      <c r="B323" s="58" t="inlineStr">
        <is>
          <t>Bebidas</t>
        </is>
      </c>
      <c r="C323" s="58" t="inlineStr">
        <is>
          <t>Bolsa 5kl tubular</t>
        </is>
      </c>
      <c r="D323" s="58" t="inlineStr">
        <is>
          <t>BOLSA X 5 KL TUBULAR (Hielo El Nevado - NV201248)</t>
        </is>
      </c>
      <c r="E323" s="84" t="n">
        <v>2</v>
      </c>
      <c r="F323" s="87" t="n">
        <v>5000</v>
      </c>
      <c r="G323" s="87" t="n">
        <v>10000</v>
      </c>
    </row>
    <row r="324" hidden="1" s="111">
      <c r="A324" s="84" t="n">
        <v>26</v>
      </c>
      <c r="B324" s="58" t="inlineStr">
        <is>
          <t>Bebidas</t>
        </is>
      </c>
      <c r="C324" s="58" t="inlineStr">
        <is>
          <t>Bolsa 5kl tubular</t>
        </is>
      </c>
      <c r="D324" s="58" t="inlineStr">
        <is>
          <t>BOLSA X 5 KL TUBULAR (Hielo El Nevado - NV201468)</t>
        </is>
      </c>
      <c r="E324" s="87" t="n">
        <v>2</v>
      </c>
      <c r="F324" s="87" t="n">
        <v>5000</v>
      </c>
      <c r="G324" s="87" t="n">
        <v>10000</v>
      </c>
    </row>
    <row r="325" hidden="1" s="111">
      <c r="A325" s="58" t="n">
        <v>24</v>
      </c>
      <c r="B325" s="58" t="inlineStr">
        <is>
          <t>Servicios</t>
        </is>
      </c>
      <c r="C325" s="58" t="inlineStr">
        <is>
          <t>Arreglo Tubos x Materiales</t>
        </is>
      </c>
      <c r="D325" s="58" t="inlineStr">
        <is>
          <t>ACOPLE LAVAMANOS Y LAVAPLATOS 40 CM GRIVAL (Electroventas PE34473)</t>
        </is>
      </c>
      <c r="E325" s="66" t="n">
        <v>1</v>
      </c>
      <c r="F325" s="67" t="n">
        <v>4800</v>
      </c>
      <c r="G325" s="67" t="n">
        <v>4800</v>
      </c>
    </row>
    <row r="326" hidden="1" s="111">
      <c r="A326" s="57" t="n">
        <v>12</v>
      </c>
      <c r="B326" s="57" t="inlineStr">
        <is>
          <t>Desechables</t>
        </is>
      </c>
      <c r="C326" s="57" t="inlineStr">
        <is>
          <t>Mazamorra</t>
        </is>
      </c>
      <c r="D326" s="57" t="inlineStr">
        <is>
          <t>Mazamorra</t>
        </is>
      </c>
      <c r="E326" s="64" t="n">
        <v>1</v>
      </c>
      <c r="F326" s="63" t="n">
        <v>25000</v>
      </c>
      <c r="G326" s="63" t="n">
        <v>25000</v>
      </c>
    </row>
    <row r="327" hidden="1" s="111">
      <c r="A327" s="58" t="n">
        <v>11</v>
      </c>
      <c r="B327" s="58" t="inlineStr">
        <is>
          <t>Bebidas</t>
        </is>
      </c>
      <c r="C327" s="58" t="inlineStr">
        <is>
          <t>Bolsa 5kl tubular</t>
        </is>
      </c>
      <c r="D327" s="58" t="inlineStr">
        <is>
          <t>BOLSA X 5 KL TUBULAR (Hielo El Nevado SF44291)</t>
        </is>
      </c>
      <c r="E327" s="58" t="n">
        <v>6</v>
      </c>
      <c r="F327" s="58" t="n">
        <v>5000</v>
      </c>
      <c r="G327" s="58" t="n">
        <v>30000</v>
      </c>
    </row>
    <row r="328" hidden="1" s="111">
      <c r="A328" s="58" t="n">
        <v>21</v>
      </c>
      <c r="B328" s="58" t="inlineStr">
        <is>
          <t>Bebidas</t>
        </is>
      </c>
      <c r="C328" s="58" t="inlineStr">
        <is>
          <t>Bolsa 5kl tubular</t>
        </is>
      </c>
      <c r="D328" s="58" t="inlineStr">
        <is>
          <t>BOLSA X 5 KL TUBULAR (Hielo El Nevado SF44533)</t>
        </is>
      </c>
      <c r="E328" s="58" t="n">
        <v>2</v>
      </c>
      <c r="F328" s="58" t="n">
        <v>5000</v>
      </c>
      <c r="G328" s="58" t="n">
        <v>10000</v>
      </c>
    </row>
    <row r="329" hidden="1" s="111">
      <c r="A329" s="58" t="n">
        <v>22</v>
      </c>
      <c r="B329" s="58" t="inlineStr">
        <is>
          <t>Bebidas</t>
        </is>
      </c>
      <c r="C329" s="58" t="inlineStr">
        <is>
          <t>Bolsa 5kl tubular</t>
        </is>
      </c>
      <c r="D329" s="58" t="inlineStr">
        <is>
          <t>BOLSA X 5 KL TUBULAR (Hielo El Nevado SF44565)</t>
        </is>
      </c>
      <c r="E329" s="58" t="n">
        <v>2</v>
      </c>
      <c r="F329" s="58" t="n">
        <v>5000</v>
      </c>
      <c r="G329" s="58" t="n">
        <v>10000</v>
      </c>
    </row>
    <row r="330" hidden="1" s="111">
      <c r="A330" s="58" t="n">
        <v>23</v>
      </c>
      <c r="B330" s="58" t="inlineStr">
        <is>
          <t>Bebidas</t>
        </is>
      </c>
      <c r="C330" s="58" t="inlineStr">
        <is>
          <t>Bolsa 5kl tubular</t>
        </is>
      </c>
      <c r="D330" s="58" t="inlineStr">
        <is>
          <t>BOLSA X 5 KL TUBULAR (Hielo El Nevado SF44594)</t>
        </is>
      </c>
      <c r="E330" s="58" t="n">
        <v>4</v>
      </c>
      <c r="F330" s="58" t="n">
        <v>5000</v>
      </c>
      <c r="G330" s="58" t="n">
        <v>20000</v>
      </c>
    </row>
    <row r="331" hidden="1" s="111">
      <c r="A331" s="58" t="n">
        <v>13</v>
      </c>
      <c r="B331" s="58" t="inlineStr">
        <is>
          <t>Carnes</t>
        </is>
      </c>
      <c r="C331" s="58" t="inlineStr">
        <is>
          <t>Lomo de cerdo</t>
        </is>
      </c>
      <c r="D331" s="58" t="inlineStr">
        <is>
          <t>LOMO DE CERDO</t>
        </is>
      </c>
      <c r="E331" s="66" t="n">
        <v>17</v>
      </c>
      <c r="F331" s="67" t="n">
        <v>19500</v>
      </c>
      <c r="G331" s="67" t="n">
        <v>331500</v>
      </c>
    </row>
    <row r="332" hidden="1" s="111">
      <c r="A332" s="57" t="n">
        <v>13</v>
      </c>
      <c r="B332" s="57" t="inlineStr">
        <is>
          <t>Carnes</t>
        </is>
      </c>
      <c r="C332" s="57" t="inlineStr">
        <is>
          <t>Lomo de cerdo</t>
        </is>
      </c>
      <c r="D332" s="57" t="inlineStr">
        <is>
          <t>LOMO DE CERDO</t>
        </is>
      </c>
      <c r="E332" s="62" t="n">
        <v>11.7</v>
      </c>
      <c r="F332" s="63" t="n">
        <v>19500</v>
      </c>
      <c r="G332" s="63" t="n">
        <v>228150</v>
      </c>
    </row>
    <row r="333" hidden="1" s="111">
      <c r="A333" s="57" t="n">
        <v>13</v>
      </c>
      <c r="B333" s="57" t="inlineStr">
        <is>
          <t>Carnes</t>
        </is>
      </c>
      <c r="C333" s="57" t="inlineStr">
        <is>
          <t>Lengua de res</t>
        </is>
      </c>
      <c r="D333" s="57" t="inlineStr">
        <is>
          <t>LENGUA</t>
        </is>
      </c>
      <c r="E333" s="62" t="n">
        <v>6.35</v>
      </c>
      <c r="F333" s="63" t="n">
        <v>23000</v>
      </c>
      <c r="G333" s="63" t="n">
        <v>146050</v>
      </c>
    </row>
    <row r="334" hidden="1" s="111">
      <c r="A334" s="143" t="n">
        <v>24</v>
      </c>
      <c r="B334" s="143" t="inlineStr">
        <is>
          <t>Bebidas</t>
        </is>
      </c>
      <c r="C334" s="143" t="inlineStr">
        <is>
          <t>Bolsa 5kl tubular</t>
        </is>
      </c>
      <c r="D334" s="143" t="inlineStr">
        <is>
          <t>BOLSA X 5 KL TUBULAR (Hielo El Nevado SF44628)</t>
        </is>
      </c>
      <c r="E334" s="143" t="n">
        <v>4</v>
      </c>
      <c r="F334" s="143" t="n">
        <v>5000</v>
      </c>
      <c r="G334" s="143" t="n">
        <v>20000</v>
      </c>
    </row>
    <row r="335" hidden="1" s="111">
      <c r="A335" s="80" t="n">
        <v>25</v>
      </c>
      <c r="B335" s="143" t="inlineStr">
        <is>
          <t>Bebidas</t>
        </is>
      </c>
      <c r="C335" s="143" t="inlineStr">
        <is>
          <t>Bolsa 5kl tubular</t>
        </is>
      </c>
      <c r="D335" s="143" t="inlineStr">
        <is>
          <t>BOLSA X 5 KL TUBULAR (Hielo El Nevado SF44664)</t>
        </is>
      </c>
      <c r="E335" s="80" t="n">
        <v>2</v>
      </c>
      <c r="F335" s="81" t="n">
        <v>5000</v>
      </c>
      <c r="G335" s="81" t="n">
        <v>10000</v>
      </c>
    </row>
    <row r="336" hidden="1" s="111">
      <c r="A336" s="143" t="n">
        <v>28</v>
      </c>
      <c r="B336" s="143" t="inlineStr">
        <is>
          <t>Bebidas</t>
        </is>
      </c>
      <c r="C336" s="143" t="inlineStr">
        <is>
          <t>Bolsa 5kl tubular</t>
        </is>
      </c>
      <c r="D336" s="143" t="inlineStr">
        <is>
          <t>BOLSA X 5 KL TUBULAR (Hielo El Nevado SF44732)</t>
        </is>
      </c>
      <c r="E336" s="143" t="n">
        <v>3</v>
      </c>
      <c r="F336" s="143" t="n">
        <v>5000</v>
      </c>
      <c r="G336" s="143" t="n">
        <v>15000</v>
      </c>
    </row>
    <row r="337" hidden="1" s="111">
      <c r="A337" s="146" t="n">
        <v>30</v>
      </c>
      <c r="B337" s="146" t="inlineStr">
        <is>
          <t>Bebidas</t>
        </is>
      </c>
      <c r="C337" s="146" t="inlineStr">
        <is>
          <t>Bolsa 5kl tubular</t>
        </is>
      </c>
      <c r="D337" s="146" t="inlineStr">
        <is>
          <t>BOLSA X 5 KL TUBULAR (Hielo El Nevado SF44793)</t>
        </is>
      </c>
      <c r="E337" s="149" t="n">
        <v>5</v>
      </c>
      <c r="F337" s="153" t="n">
        <v>5000</v>
      </c>
      <c r="G337" s="153" t="n">
        <v>25000</v>
      </c>
    </row>
    <row r="338" hidden="1" s="111">
      <c r="A338" s="143" t="n">
        <v>31</v>
      </c>
      <c r="B338" s="143" t="inlineStr">
        <is>
          <t>Bebidas</t>
        </is>
      </c>
      <c r="C338" s="143" t="inlineStr">
        <is>
          <t>Bolsa 5kl tubular</t>
        </is>
      </c>
      <c r="D338" s="143" t="inlineStr">
        <is>
          <t>BOLSA X 5 KL TUBULAR (Hielo El Nevado SF44825)</t>
        </is>
      </c>
      <c r="E338" s="143" t="n">
        <v>3</v>
      </c>
      <c r="F338" s="143" t="n">
        <v>5000</v>
      </c>
      <c r="G338" s="143" t="n">
        <v>15000</v>
      </c>
    </row>
    <row r="339" hidden="1" s="111">
      <c r="A339" s="143" t="n">
        <v>25</v>
      </c>
      <c r="B339" s="143" t="inlineStr">
        <is>
          <t>Bebidas</t>
        </is>
      </c>
      <c r="C339" s="143" t="inlineStr">
        <is>
          <t>Bolsa 5kl tubular</t>
        </is>
      </c>
      <c r="D339" s="143" t="inlineStr">
        <is>
          <t>BOLSA X 5 KL TUBULAR (Hielo El Nevado)</t>
        </is>
      </c>
      <c r="E339" s="143" t="n">
        <v>4</v>
      </c>
      <c r="F339" s="143" t="n">
        <v>5000</v>
      </c>
      <c r="G339" s="143" t="n">
        <v>20000</v>
      </c>
    </row>
    <row r="340" hidden="1" s="111">
      <c r="A340" s="80" t="n">
        <v>27</v>
      </c>
      <c r="B340" s="143" t="inlineStr">
        <is>
          <t>Bebidas</t>
        </is>
      </c>
      <c r="C340" s="143" t="inlineStr">
        <is>
          <t>Bolsa 5kl tubular</t>
        </is>
      </c>
      <c r="D340" s="143" t="inlineStr">
        <is>
          <t>BOLSA X 5 KL TUBULAR (Hielo El Nevado)</t>
        </is>
      </c>
      <c r="E340" s="81" t="n">
        <v>4</v>
      </c>
      <c r="F340" s="81" t="n">
        <v>5000</v>
      </c>
      <c r="G340" s="81" t="n">
        <v>20000</v>
      </c>
    </row>
    <row r="341" hidden="1" s="111">
      <c r="A341" s="143" t="n">
        <v>28</v>
      </c>
      <c r="B341" s="143" t="inlineStr">
        <is>
          <t>Bebidas</t>
        </is>
      </c>
      <c r="C341" s="143" t="inlineStr">
        <is>
          <t>Bolsa 5kl tubular</t>
        </is>
      </c>
      <c r="D341" s="143" t="inlineStr">
        <is>
          <t>BOLSA X 5 KL TUBULAR (Hielo El Nevado)</t>
        </is>
      </c>
      <c r="E341" s="143" t="n">
        <v>2</v>
      </c>
      <c r="F341" s="143" t="n">
        <v>5000</v>
      </c>
      <c r="G341" s="143" t="n">
        <v>10000</v>
      </c>
    </row>
    <row r="342" hidden="1" s="111">
      <c r="A342" s="143" t="n">
        <v>29</v>
      </c>
      <c r="B342" s="143" t="inlineStr">
        <is>
          <t>Bebidas</t>
        </is>
      </c>
      <c r="C342" s="143" t="inlineStr">
        <is>
          <t>Bolsa 5kl tubular</t>
        </is>
      </c>
      <c r="D342" s="143" t="inlineStr">
        <is>
          <t>BOLSA X 5 KL TUBULAR (Hielo El Nevado)</t>
        </is>
      </c>
      <c r="E342" s="143" t="n">
        <v>3</v>
      </c>
      <c r="F342" s="143" t="n">
        <v>5000</v>
      </c>
      <c r="G342" s="143" t="n">
        <v>15000</v>
      </c>
    </row>
    <row r="343" hidden="1" s="111">
      <c r="A343" s="65" t="n">
        <v>13</v>
      </c>
      <c r="B343" s="65" t="inlineStr">
        <is>
          <t>Grano</t>
        </is>
      </c>
      <c r="C343" s="65" t="inlineStr">
        <is>
          <t>Aceite de soya</t>
        </is>
      </c>
      <c r="D343" s="65" t="inlineStr">
        <is>
          <t>ACEITE DE SOY</t>
        </is>
      </c>
      <c r="E343" s="65" t="n">
        <v>3</v>
      </c>
      <c r="F343" s="65" t="n">
        <v>22990</v>
      </c>
      <c r="G343" s="65" t="n">
        <v>68970</v>
      </c>
    </row>
    <row r="344" hidden="1" s="111">
      <c r="A344" s="65" t="n">
        <v>13</v>
      </c>
      <c r="B344" s="65" t="inlineStr">
        <is>
          <t>Desechables</t>
        </is>
      </c>
      <c r="C344" s="65" t="inlineStr">
        <is>
          <t>Insecticida</t>
        </is>
      </c>
      <c r="D344" s="65" t="inlineStr">
        <is>
          <t>RATAQUILL X 50 GR</t>
        </is>
      </c>
      <c r="E344" s="65" t="n">
        <v>4</v>
      </c>
      <c r="F344" s="65" t="n">
        <v>11000</v>
      </c>
      <c r="G344" s="65" t="n">
        <v>44000</v>
      </c>
    </row>
    <row r="345" hidden="1" s="111">
      <c r="A345" s="57" t="n">
        <v>13</v>
      </c>
      <c r="B345" s="57" t="inlineStr">
        <is>
          <t>Desechables</t>
        </is>
      </c>
      <c r="C345" s="57" t="inlineStr">
        <is>
          <t>Mazamorra</t>
        </is>
      </c>
      <c r="D345" s="57" t="inlineStr">
        <is>
          <t>Mazamorra</t>
        </is>
      </c>
      <c r="E345" s="62" t="n">
        <v>1</v>
      </c>
      <c r="F345" s="63" t="n">
        <v>15000</v>
      </c>
      <c r="G345" s="63" t="n">
        <v>15000</v>
      </c>
    </row>
    <row r="346" hidden="1" s="111">
      <c r="A346" s="58" t="n">
        <v>28</v>
      </c>
      <c r="B346" s="58" t="inlineStr">
        <is>
          <t>Servicios</t>
        </is>
      </c>
      <c r="C346" s="58" t="inlineStr">
        <is>
          <t>Arreglo Tubos x Materiales</t>
        </is>
      </c>
      <c r="D346" s="58" t="inlineStr">
        <is>
          <t>U.EMBR 3/8HP FFU160HAX 134 220V (Compresor Friomaster)</t>
        </is>
      </c>
      <c r="E346" s="58" t="n">
        <v>1</v>
      </c>
      <c r="F346" s="58" t="n">
        <v>411765</v>
      </c>
      <c r="G346" s="58" t="n">
        <v>411765</v>
      </c>
    </row>
    <row r="347" hidden="1" s="111">
      <c r="A347" s="65" t="n">
        <v>13</v>
      </c>
      <c r="B347" s="65" t="inlineStr">
        <is>
          <t>Carnes</t>
        </is>
      </c>
      <c r="C347" s="65" t="inlineStr">
        <is>
          <t>Rellena</t>
        </is>
      </c>
      <c r="D347" s="65" t="inlineStr">
        <is>
          <t>5 K Rellena</t>
        </is>
      </c>
      <c r="E347" s="65" t="n">
        <v>5</v>
      </c>
      <c r="F347" s="65" t="n">
        <v>19500</v>
      </c>
      <c r="G347" s="65" t="n">
        <v>97500</v>
      </c>
    </row>
    <row r="348" hidden="1" s="111">
      <c r="A348" s="58" t="n">
        <v>13</v>
      </c>
      <c r="B348" s="58" t="inlineStr">
        <is>
          <t>Desechables</t>
        </is>
      </c>
      <c r="C348" s="58" t="inlineStr">
        <is>
          <t>Esponja de brillo</t>
        </is>
      </c>
      <c r="D348" s="58" t="inlineStr">
        <is>
          <t>2 Pts Esponjas</t>
        </is>
      </c>
      <c r="E348" s="58" t="n">
        <v>2</v>
      </c>
      <c r="F348" s="58" t="n">
        <v>9000</v>
      </c>
      <c r="G348" s="58" t="n">
        <v>18000</v>
      </c>
    </row>
    <row r="349" hidden="1" s="111">
      <c r="A349" s="143" t="n">
        <v>29</v>
      </c>
      <c r="B349" s="143" t="inlineStr">
        <is>
          <t>Servicios</t>
        </is>
      </c>
      <c r="C349" s="143" t="inlineStr">
        <is>
          <t>Arreglo Tubos x Materiales</t>
        </is>
      </c>
      <c r="D349" s="143" t="inlineStr">
        <is>
          <t>Jhon F - Mano de obra Nevera (Recibo Caja Menor)</t>
        </is>
      </c>
      <c r="E349" s="143" t="n">
        <v>1</v>
      </c>
      <c r="F349" s="143" t="n">
        <v>320000</v>
      </c>
      <c r="G349" s="143" t="n">
        <v>320000</v>
      </c>
    </row>
    <row r="350" hidden="1" s="111">
      <c r="A350" s="143" t="n">
        <v>13</v>
      </c>
      <c r="B350" s="143" t="inlineStr">
        <is>
          <t>Verduras</t>
        </is>
      </c>
      <c r="C350" s="143" t="inlineStr">
        <is>
          <t>Aguacate</t>
        </is>
      </c>
      <c r="D350" s="143" t="inlineStr">
        <is>
          <t>10 - Aguacates</t>
        </is>
      </c>
      <c r="E350" s="143" t="n">
        <v>10</v>
      </c>
      <c r="F350" s="143" t="n">
        <v>8000</v>
      </c>
      <c r="G350" s="143" t="n">
        <v>80000</v>
      </c>
    </row>
    <row r="351" hidden="1" s="111">
      <c r="A351" s="58" t="n">
        <v>13</v>
      </c>
      <c r="B351" s="58" t="inlineStr">
        <is>
          <t>Verduras</t>
        </is>
      </c>
      <c r="C351" s="58" t="inlineStr">
        <is>
          <t>Atados hojas</t>
        </is>
      </c>
      <c r="D351" s="58" t="inlineStr">
        <is>
          <t>20 - Atados Hoja</t>
        </is>
      </c>
      <c r="E351" s="58" t="n">
        <v>20</v>
      </c>
      <c r="F351" s="58" t="n">
        <v>2500</v>
      </c>
      <c r="G351" s="58" t="n">
        <v>50000</v>
      </c>
    </row>
    <row r="352" hidden="1" s="111">
      <c r="A352" s="65" t="n">
        <v>13</v>
      </c>
      <c r="B352" s="65" t="inlineStr">
        <is>
          <t>Verduras</t>
        </is>
      </c>
      <c r="C352" s="65" t="inlineStr">
        <is>
          <t>Masa t</t>
        </is>
      </c>
      <c r="D352" s="65" t="inlineStr">
        <is>
          <t>6 - Kls. Masa t.</t>
        </is>
      </c>
      <c r="E352" s="65" t="n">
        <v>6</v>
      </c>
      <c r="F352" s="65" t="n">
        <v>3500</v>
      </c>
      <c r="G352" s="65" t="n">
        <v>21000</v>
      </c>
    </row>
    <row r="353" hidden="1" s="111">
      <c r="A353" s="65" t="n">
        <v>13</v>
      </c>
      <c r="B353" s="65" t="inlineStr">
        <is>
          <t>Verduras</t>
        </is>
      </c>
      <c r="C353" s="65" t="inlineStr">
        <is>
          <t>Guasca</t>
        </is>
      </c>
      <c r="D353" s="65" t="inlineStr">
        <is>
          <t>Guasca</t>
        </is>
      </c>
      <c r="E353" s="65" t="n">
        <v>1</v>
      </c>
      <c r="F353" s="65" t="n">
        <v>5000</v>
      </c>
      <c r="G353" s="65" t="n">
        <v>5000</v>
      </c>
    </row>
    <row r="354" hidden="1" s="111">
      <c r="A354" s="65" t="n">
        <v>13</v>
      </c>
      <c r="B354" s="65" t="inlineStr">
        <is>
          <t>Verduras</t>
        </is>
      </c>
      <c r="C354" s="65" t="inlineStr">
        <is>
          <t>Mombara</t>
        </is>
      </c>
      <c r="D354" s="65" t="inlineStr">
        <is>
          <t>Mambara y Amarillo</t>
        </is>
      </c>
      <c r="E354" s="65" t="n">
        <v>1</v>
      </c>
      <c r="F354" s="65" t="n">
        <v>18000</v>
      </c>
      <c r="G354" s="65" t="n">
        <v>18000</v>
      </c>
    </row>
    <row r="355" hidden="1" s="111">
      <c r="A355" s="58" t="n">
        <v>31</v>
      </c>
      <c r="B355" s="58" t="inlineStr">
        <is>
          <t>Bebidas</t>
        </is>
      </c>
      <c r="C355" s="58" t="inlineStr">
        <is>
          <t>Bolsa 5kl tubular</t>
        </is>
      </c>
      <c r="D355" s="58" t="inlineStr">
        <is>
          <t>BOLSA X 5 KL TUBULAR (Hielo El Nevado)</t>
        </is>
      </c>
      <c r="E355" s="58" t="n">
        <v>3</v>
      </c>
      <c r="F355" s="58" t="n">
        <v>5000</v>
      </c>
      <c r="G355" s="58" t="n">
        <v>15000</v>
      </c>
    </row>
    <row r="356" hidden="1" s="111">
      <c r="A356" s="65" t="n">
        <v>13</v>
      </c>
      <c r="B356" s="65" t="inlineStr">
        <is>
          <t>Verduras</t>
        </is>
      </c>
      <c r="C356" s="65" t="inlineStr">
        <is>
          <t>Cocos</t>
        </is>
      </c>
      <c r="D356" s="65" t="inlineStr">
        <is>
          <t>5 - Cocos</t>
        </is>
      </c>
      <c r="E356" s="65" t="n">
        <v>5</v>
      </c>
      <c r="F356" s="65" t="n">
        <v>8000</v>
      </c>
      <c r="G356" s="65" t="n">
        <v>40000</v>
      </c>
    </row>
    <row r="357" hidden="1" s="111">
      <c r="A357" s="65" t="n">
        <v>13</v>
      </c>
      <c r="B357" s="65" t="inlineStr">
        <is>
          <t>Grano</t>
        </is>
      </c>
      <c r="C357" s="65" t="inlineStr">
        <is>
          <t>Pasta la muñeca</t>
        </is>
      </c>
      <c r="D357" s="65" t="inlineStr">
        <is>
          <t>PASTA LA MUNECA*500g CONCHA (x4)</t>
        </is>
      </c>
      <c r="E357" s="65" t="n">
        <v>4</v>
      </c>
      <c r="F357" s="65" t="n">
        <v>3900</v>
      </c>
      <c r="G357" s="65" t="n">
        <v>15600</v>
      </c>
    </row>
    <row r="358" hidden="1" s="111">
      <c r="A358" s="65" t="n">
        <v>13</v>
      </c>
      <c r="B358" s="65" t="inlineStr">
        <is>
          <t>Verduras</t>
        </is>
      </c>
      <c r="C358" s="65" t="inlineStr">
        <is>
          <t>Zanahoria</t>
        </is>
      </c>
      <c r="D358" s="65" t="inlineStr">
        <is>
          <t>ZANAHORIA SELECTA A GRANEL (3.6kg + 3.725kg)</t>
        </is>
      </c>
      <c r="E358" s="65" t="n">
        <v>7.325</v>
      </c>
      <c r="F358" s="65" t="n">
        <v>4800</v>
      </c>
      <c r="G358" s="65" t="n">
        <v>35160</v>
      </c>
    </row>
    <row r="359" hidden="1" s="111">
      <c r="A359" s="65" t="n">
        <v>13</v>
      </c>
      <c r="B359" s="65" t="inlineStr">
        <is>
          <t>Verduras</t>
        </is>
      </c>
      <c r="C359" s="65" t="inlineStr">
        <is>
          <t>Perejil</t>
        </is>
      </c>
      <c r="D359" s="65" t="inlineStr">
        <is>
          <t>PEREJIL*und LISO (x4)</t>
        </is>
      </c>
      <c r="E359" s="65" t="n">
        <v>4</v>
      </c>
      <c r="F359" s="65" t="n">
        <v>1150</v>
      </c>
      <c r="G359" s="65" t="n">
        <v>4600</v>
      </c>
    </row>
    <row r="360" hidden="1" s="111">
      <c r="A360" s="57" t="n">
        <v>13</v>
      </c>
      <c r="B360" s="57" t="inlineStr">
        <is>
          <t>Desechables</t>
        </is>
      </c>
      <c r="C360" s="57" t="inlineStr">
        <is>
          <t>Mercancias Varias Excentas</t>
        </is>
      </c>
      <c r="D360" s="57" t="inlineStr">
        <is>
          <t>GRAPADORA AH ROYAL GRANDE PARA 30HJ</t>
        </is>
      </c>
      <c r="E360" s="62" t="n">
        <v>1</v>
      </c>
      <c r="F360" s="68" t="n">
        <v>28950</v>
      </c>
      <c r="G360" s="63" t="n">
        <v>28950</v>
      </c>
    </row>
    <row r="361" hidden="1" s="111">
      <c r="A361" s="143" t="n">
        <v>13</v>
      </c>
      <c r="B361" s="143" t="inlineStr">
        <is>
          <t>Grano</t>
        </is>
      </c>
      <c r="C361" s="143" t="inlineStr">
        <is>
          <t>Arepas</t>
        </is>
      </c>
      <c r="D361" s="143" t="inlineStr">
        <is>
          <t>200 arepas</t>
        </is>
      </c>
      <c r="E361" s="147" t="n">
        <v>200</v>
      </c>
      <c r="F361" s="151" t="n">
        <v>150</v>
      </c>
      <c r="G361" s="151" t="n">
        <v>30000</v>
      </c>
    </row>
    <row r="362" hidden="1" s="111">
      <c r="A362" s="144" t="n">
        <v>14</v>
      </c>
      <c r="B362" s="144" t="inlineStr">
        <is>
          <t>Carnes</t>
        </is>
      </c>
      <c r="C362" s="144" t="inlineStr">
        <is>
          <t>Costilla de cerdo especial</t>
        </is>
      </c>
      <c r="D362" s="144" t="inlineStr">
        <is>
          <t>COSTILLA CERDO ESP CR (BS) X 4 KG</t>
        </is>
      </c>
      <c r="E362" s="148" t="n">
        <v>40</v>
      </c>
      <c r="F362" s="152" t="n">
        <v>18200</v>
      </c>
      <c r="G362" s="152" t="n">
        <v>728000</v>
      </c>
    </row>
    <row r="363" hidden="1" s="111">
      <c r="A363" s="144" t="n">
        <v>14</v>
      </c>
      <c r="B363" s="144" t="inlineStr">
        <is>
          <t>Carnes</t>
        </is>
      </c>
      <c r="C363" s="144" t="inlineStr">
        <is>
          <t>Tilapia y truchas</t>
        </is>
      </c>
      <c r="D363" s="144" t="inlineStr">
        <is>
          <t>TILAPIA ROJA SIN ESCAM A Y AGALLAS 450-550 LIB RA</t>
        </is>
      </c>
      <c r="E363" s="148" t="n">
        <v>21</v>
      </c>
      <c r="F363" s="152" t="n">
        <v>16000</v>
      </c>
      <c r="G363" s="152" t="n">
        <v>336000</v>
      </c>
    </row>
    <row r="364" hidden="1" s="111">
      <c r="A364" s="144" t="n">
        <v>14</v>
      </c>
      <c r="B364" s="144" t="inlineStr">
        <is>
          <t>Carnes</t>
        </is>
      </c>
      <c r="C364" s="144" t="inlineStr">
        <is>
          <t>Salmon</t>
        </is>
      </c>
      <c r="D364" s="144" t="inlineStr">
        <is>
          <t>Filete de Salmon Grande</t>
        </is>
      </c>
      <c r="E364" s="148" t="n">
        <v>9.23</v>
      </c>
      <c r="F364" s="152" t="n">
        <v>55000</v>
      </c>
      <c r="G364" s="152" t="n">
        <v>507650</v>
      </c>
    </row>
    <row r="365" hidden="1" s="111">
      <c r="A365" s="143" t="n">
        <v>31</v>
      </c>
      <c r="B365" s="143" t="inlineStr">
        <is>
          <t>Bebidas</t>
        </is>
      </c>
      <c r="C365" s="143" t="inlineStr">
        <is>
          <t>Bolsa 5kl tubular</t>
        </is>
      </c>
      <c r="D365" s="143" t="inlineStr">
        <is>
          <t>BOLSA X 5 KL TUBULAR (Hielo El Nevado)</t>
        </is>
      </c>
      <c r="E365" s="143" t="n">
        <v>5</v>
      </c>
      <c r="F365" s="143" t="n">
        <v>5000</v>
      </c>
      <c r="G365" s="143" t="n">
        <v>25000</v>
      </c>
    </row>
    <row r="366" hidden="1" s="111">
      <c r="A366" s="57" t="n">
        <v>4</v>
      </c>
      <c r="B366" s="57" t="inlineStr">
        <is>
          <t>Bebidas</t>
        </is>
      </c>
      <c r="C366" s="57" t="inlineStr">
        <is>
          <t>Soda bretaa</t>
        </is>
      </c>
      <c r="D366" s="57" t="inlineStr">
        <is>
          <t>BRETAÑA 350 ML VIDRIO R X 30</t>
        </is>
      </c>
      <c r="E366" s="62" t="n">
        <v>30</v>
      </c>
      <c r="F366" s="68" t="n">
        <v>1916.67</v>
      </c>
      <c r="G366" s="63" t="n">
        <v>57500.1</v>
      </c>
    </row>
    <row r="367" hidden="1" s="111">
      <c r="A367" s="59" t="n">
        <v>20</v>
      </c>
      <c r="B367" s="59" t="inlineStr">
        <is>
          <t>Bebidas</t>
        </is>
      </c>
      <c r="C367" s="59" t="inlineStr">
        <is>
          <t>Soda bretaña</t>
        </is>
      </c>
      <c r="D367" s="59" t="inlineStr">
        <is>
          <t>BRETAÑA 350 ML VIDRIO R X 30</t>
        </is>
      </c>
      <c r="E367" s="71" t="n">
        <v>30</v>
      </c>
      <c r="F367" s="70" t="n">
        <v>1916.67</v>
      </c>
      <c r="G367" s="70" t="n">
        <v>57500.1</v>
      </c>
    </row>
    <row r="368" hidden="1" s="111">
      <c r="A368" s="58" t="n">
        <v>26</v>
      </c>
      <c r="B368" s="58" t="inlineStr">
        <is>
          <t>Bebidas</t>
        </is>
      </c>
      <c r="C368" s="58" t="inlineStr">
        <is>
          <t>Soda bretaña</t>
        </is>
      </c>
      <c r="D368" s="58" t="inlineStr">
        <is>
          <t>BRETAÑA 350 ML VIDRIO R X 30 (Postobon)</t>
        </is>
      </c>
      <c r="E368" s="58" t="n">
        <v>60</v>
      </c>
      <c r="F368" s="58" t="n">
        <v>1916.67</v>
      </c>
      <c r="G368" s="58" t="n">
        <v>115000.2</v>
      </c>
    </row>
    <row r="369" hidden="1" s="111">
      <c r="A369" s="145" t="n">
        <v>13</v>
      </c>
      <c r="B369" s="145" t="inlineStr">
        <is>
          <t>Bebidas</t>
        </is>
      </c>
      <c r="C369" s="145" t="inlineStr">
        <is>
          <t xml:space="preserve">Agua con gas </t>
        </is>
      </c>
      <c r="D369" s="145" t="inlineStr">
        <is>
          <t>BRISA MANZANA 600ML PET(6)</t>
        </is>
      </c>
      <c r="E369" s="145" t="n">
        <v>3</v>
      </c>
      <c r="F369" s="145" t="n">
        <v>8403.33</v>
      </c>
      <c r="G369" s="145" t="n">
        <v>25210</v>
      </c>
    </row>
    <row r="370" hidden="1" s="111">
      <c r="A370" s="80" t="n">
        <v>20</v>
      </c>
      <c r="B370" s="143" t="inlineStr">
        <is>
          <t>Bebidas</t>
        </is>
      </c>
      <c r="C370" s="143" t="inlineStr">
        <is>
          <t>Mora 100gr</t>
        </is>
      </c>
      <c r="D370" s="143" t="inlineStr">
        <is>
          <t>C Mora 125 gr (Fruitty Frezze FE21343)</t>
        </is>
      </c>
      <c r="E370" s="81" t="n">
        <v>3</v>
      </c>
      <c r="F370" s="81" t="n">
        <v>12700</v>
      </c>
      <c r="G370" s="81" t="n">
        <v>38100</v>
      </c>
    </row>
    <row r="371" hidden="1" s="111">
      <c r="A371" s="146" t="n">
        <v>6</v>
      </c>
      <c r="B371" s="146" t="inlineStr">
        <is>
          <t>Bebidas</t>
        </is>
      </c>
      <c r="C371" s="146" t="inlineStr">
        <is>
          <t>Mora 100gr</t>
        </is>
      </c>
      <c r="D371" s="146" t="inlineStr">
        <is>
          <t>C Mora 125 gr (x2)</t>
        </is>
      </c>
      <c r="E371" s="150" t="n">
        <v>2</v>
      </c>
      <c r="F371" s="153" t="n">
        <v>12700</v>
      </c>
      <c r="G371" s="153" t="n">
        <v>25400</v>
      </c>
    </row>
    <row r="372" hidden="1" s="111">
      <c r="A372" s="143" t="n">
        <v>22</v>
      </c>
      <c r="B372" s="143" t="inlineStr">
        <is>
          <t>Bebidas</t>
        </is>
      </c>
      <c r="C372" s="143" t="inlineStr">
        <is>
          <t>Club colombia</t>
        </is>
      </c>
      <c r="D372" s="143" t="inlineStr">
        <is>
          <t>CERV.CLUB DOR LATA*330 (Global Liquors VC238672)</t>
        </is>
      </c>
      <c r="E372" s="143" t="n">
        <v>2</v>
      </c>
      <c r="F372" s="143" t="n">
        <v>77500</v>
      </c>
      <c r="G372" s="143" t="n">
        <v>155000</v>
      </c>
    </row>
    <row r="373" hidden="1" s="111">
      <c r="A373" s="80" t="n">
        <v>26</v>
      </c>
      <c r="B373" s="143" t="inlineStr">
        <is>
          <t>Bebidas</t>
        </is>
      </c>
      <c r="C373" s="143" t="inlineStr">
        <is>
          <t>Club colombia</t>
        </is>
      </c>
      <c r="D373" s="143" t="inlineStr">
        <is>
          <t>CERV.CLUB DOR LATA*330 (Los Monos - VC240085)</t>
        </is>
      </c>
      <c r="E373" s="80" t="n">
        <v>1</v>
      </c>
      <c r="F373" s="81" t="n">
        <v>77500</v>
      </c>
      <c r="G373" s="81" t="n">
        <v>77500</v>
      </c>
    </row>
    <row r="374" hidden="1" s="111">
      <c r="A374" s="80" t="n">
        <v>26</v>
      </c>
      <c r="B374" s="143" t="inlineStr">
        <is>
          <t>Bebidas</t>
        </is>
      </c>
      <c r="C374" s="143" t="inlineStr">
        <is>
          <t>Corona</t>
        </is>
      </c>
      <c r="D374" s="143" t="inlineStr">
        <is>
          <t>CERV.CORONA*330ml (Los Monos - VC240085)</t>
        </is>
      </c>
      <c r="E374" s="80" t="n">
        <v>1</v>
      </c>
      <c r="F374" s="81" t="n">
        <v>93000</v>
      </c>
      <c r="G374" s="81" t="n">
        <v>93000</v>
      </c>
    </row>
    <row r="375" hidden="1" s="111">
      <c r="A375" s="145" t="n">
        <v>15</v>
      </c>
      <c r="B375" s="145" t="inlineStr">
        <is>
          <t>Bebidas</t>
        </is>
      </c>
      <c r="C375" s="145" t="inlineStr">
        <is>
          <t>Corona</t>
        </is>
      </c>
      <c r="D375" s="145" t="inlineStr">
        <is>
          <t>CERV.CORONITA*210ml</t>
        </is>
      </c>
      <c r="E375" s="145" t="n">
        <v>1</v>
      </c>
      <c r="F375" s="145" t="n">
        <v>74500</v>
      </c>
      <c r="G375" s="145" t="n">
        <v>74500</v>
      </c>
    </row>
    <row r="376" hidden="1" s="111">
      <c r="A376" s="144" t="n">
        <v>15</v>
      </c>
      <c r="B376" s="144" t="inlineStr">
        <is>
          <t>Bebidas</t>
        </is>
      </c>
      <c r="C376" s="144" t="inlineStr">
        <is>
          <t>Corona</t>
        </is>
      </c>
      <c r="D376" s="144" t="inlineStr">
        <is>
          <t>CERV.CORONITA*210ml</t>
        </is>
      </c>
      <c r="E376" s="148" t="n">
        <v>1</v>
      </c>
      <c r="F376" s="152" t="n">
        <v>74500</v>
      </c>
      <c r="G376" s="152" t="n">
        <v>74500</v>
      </c>
    </row>
    <row r="377" hidden="1" s="111">
      <c r="A377" s="145" t="n">
        <v>15</v>
      </c>
      <c r="B377" s="145" t="inlineStr">
        <is>
          <t>Bebidas</t>
        </is>
      </c>
      <c r="C377" s="145" t="inlineStr">
        <is>
          <t>Costeñita</t>
        </is>
      </c>
      <c r="D377" s="145" t="inlineStr">
        <is>
          <t>CERV.COSTENITA*175 BOT</t>
        </is>
      </c>
      <c r="E377" s="145" t="n">
        <v>2</v>
      </c>
      <c r="F377" s="145" t="n">
        <v>69700</v>
      </c>
      <c r="G377" s="145" t="n">
        <v>139400</v>
      </c>
    </row>
    <row r="378" hidden="1" s="111">
      <c r="A378" s="144" t="n">
        <v>15</v>
      </c>
      <c r="B378" s="144" t="inlineStr">
        <is>
          <t>Bebidas</t>
        </is>
      </c>
      <c r="C378" s="144" t="inlineStr">
        <is>
          <t>Costeita</t>
        </is>
      </c>
      <c r="D378" s="144" t="inlineStr">
        <is>
          <t>CERV.COSTENITA*175 BOT</t>
        </is>
      </c>
      <c r="E378" s="148" t="n">
        <v>2</v>
      </c>
      <c r="F378" s="152" t="n">
        <v>69700</v>
      </c>
      <c r="G378" s="152" t="n">
        <v>139400</v>
      </c>
    </row>
    <row r="379" hidden="1" s="111">
      <c r="A379" s="144" t="n">
        <v>14</v>
      </c>
      <c r="B379" s="144" t="inlineStr">
        <is>
          <t>Carnes</t>
        </is>
      </c>
      <c r="C379" s="144" t="inlineStr">
        <is>
          <t>Lomo viche</t>
        </is>
      </c>
      <c r="D379" s="144" t="inlineStr">
        <is>
          <t>LOMO VICHE ESPECIAL DE RES</t>
        </is>
      </c>
      <c r="E379" s="156" t="n">
        <v>10</v>
      </c>
      <c r="F379" s="152" t="n">
        <v>53000</v>
      </c>
      <c r="G379" s="152" t="n">
        <v>530000</v>
      </c>
    </row>
    <row r="380" hidden="1" s="111">
      <c r="A380" s="65" t="n">
        <v>15</v>
      </c>
      <c r="B380" s="65" t="inlineStr">
        <is>
          <t>Bebidas</t>
        </is>
      </c>
      <c r="C380" s="65" t="inlineStr">
        <is>
          <t>Cerveza Light</t>
        </is>
      </c>
      <c r="D380" s="65" t="inlineStr">
        <is>
          <t>CERV.LIGH*330 LATA</t>
        </is>
      </c>
      <c r="E380" s="65" t="n">
        <v>1</v>
      </c>
      <c r="F380" s="65" t="n">
        <v>75500</v>
      </c>
      <c r="G380" s="65" t="n">
        <v>75500</v>
      </c>
    </row>
    <row r="381" hidden="1" s="111">
      <c r="A381" s="57" t="n">
        <v>15</v>
      </c>
      <c r="B381" s="57" t="inlineStr">
        <is>
          <t>Bebidas</t>
        </is>
      </c>
      <c r="C381" s="57" t="inlineStr">
        <is>
          <t>Cerveza Light</t>
        </is>
      </c>
      <c r="D381" s="57" t="inlineStr">
        <is>
          <t>CERV.LIGH*330 LATA</t>
        </is>
      </c>
      <c r="E381" s="62" t="n">
        <v>1</v>
      </c>
      <c r="F381" s="63" t="n">
        <v>75500</v>
      </c>
      <c r="G381" s="63" t="n">
        <v>75500</v>
      </c>
    </row>
    <row r="382" hidden="1" s="111">
      <c r="A382" s="57" t="n">
        <v>14</v>
      </c>
      <c r="B382" s="57" t="inlineStr">
        <is>
          <t>Grano</t>
        </is>
      </c>
      <c r="C382" s="57" t="inlineStr">
        <is>
          <t>Panela</t>
        </is>
      </c>
      <c r="D382" s="57" t="inlineStr">
        <is>
          <t>Panela</t>
        </is>
      </c>
      <c r="E382" s="64" t="n">
        <v>10</v>
      </c>
      <c r="F382" s="63" t="n">
        <v>13000</v>
      </c>
      <c r="G382" s="63" t="n">
        <v>130000</v>
      </c>
    </row>
    <row r="383" hidden="1" s="111">
      <c r="A383" s="57" t="n">
        <v>11</v>
      </c>
      <c r="B383" s="57" t="inlineStr">
        <is>
          <t>Servicios</t>
        </is>
      </c>
      <c r="C383" s="57" t="inlineStr">
        <is>
          <t>Computación en la Nube Plan Empresarial 4000 documentos mes</t>
        </is>
      </c>
      <c r="D383" s="57" t="inlineStr">
        <is>
          <t>Computacion en la Nube Plan Empresarial 4000 Documentos mes</t>
        </is>
      </c>
      <c r="E383" s="62" t="n">
        <v>1</v>
      </c>
      <c r="F383" s="63" t="n">
        <v>72000</v>
      </c>
      <c r="G383" s="63" t="n">
        <v>72000</v>
      </c>
    </row>
    <row r="384" hidden="1" s="111">
      <c r="A384" s="57" t="n">
        <v>14</v>
      </c>
      <c r="B384" s="57" t="inlineStr">
        <is>
          <t>Desechables</t>
        </is>
      </c>
      <c r="C384" s="57" t="inlineStr">
        <is>
          <t>Mazamorra</t>
        </is>
      </c>
      <c r="D384" s="57" t="inlineStr">
        <is>
          <t>Mazamorra</t>
        </is>
      </c>
      <c r="E384" s="64" t="n">
        <v>1</v>
      </c>
      <c r="F384" s="63" t="n">
        <v>10000</v>
      </c>
      <c r="G384" s="63" t="n">
        <v>10000</v>
      </c>
    </row>
    <row r="385" hidden="1" s="111">
      <c r="A385" s="59" t="n">
        <v>14</v>
      </c>
      <c r="B385" s="59" t="inlineStr">
        <is>
          <t>Grano</t>
        </is>
      </c>
      <c r="C385" s="59" t="inlineStr">
        <is>
          <t>Arepas</t>
        </is>
      </c>
      <c r="D385" s="59" t="inlineStr">
        <is>
          <t>150 arepas</t>
        </is>
      </c>
      <c r="E385" s="69" t="n">
        <v>150</v>
      </c>
      <c r="F385" s="70" t="n">
        <v>150</v>
      </c>
      <c r="G385" s="70" t="n">
        <v>22500</v>
      </c>
    </row>
    <row r="386" hidden="1" s="111">
      <c r="A386" s="58" t="n">
        <v>14</v>
      </c>
      <c r="B386" s="58" t="inlineStr">
        <is>
          <t>Verduras</t>
        </is>
      </c>
      <c r="C386" s="58" t="inlineStr">
        <is>
          <t>Platano verde</t>
        </is>
      </c>
      <c r="D386" s="58" t="inlineStr">
        <is>
          <t>PLATANO VERDE 28 KILOS (Monica Molina)</t>
        </is>
      </c>
      <c r="E386" s="66" t="n">
        <v>28</v>
      </c>
      <c r="F386" s="67" t="n">
        <v>2200</v>
      </c>
      <c r="G386" s="67" t="n">
        <v>61600</v>
      </c>
    </row>
    <row r="387" hidden="1" s="111">
      <c r="A387" s="58" t="n">
        <v>14</v>
      </c>
      <c r="B387" s="58" t="inlineStr">
        <is>
          <t>Verduras</t>
        </is>
      </c>
      <c r="C387" s="58" t="inlineStr">
        <is>
          <t>Platano maduro</t>
        </is>
      </c>
      <c r="D387" s="58" t="inlineStr">
        <is>
          <t>PLATANO MADURO*KL (Fruver Los Monos - FEFM 5700)</t>
        </is>
      </c>
      <c r="E387" s="58" t="n">
        <v>91</v>
      </c>
      <c r="F387" s="58" t="n">
        <v>1000</v>
      </c>
      <c r="G387" s="58" t="n">
        <v>91000</v>
      </c>
    </row>
    <row r="388" hidden="1" s="111">
      <c r="A388" s="143" t="n">
        <v>14</v>
      </c>
      <c r="B388" s="143" t="inlineStr">
        <is>
          <t>Verduras</t>
        </is>
      </c>
      <c r="C388" s="143" t="inlineStr">
        <is>
          <t>Papa Capira bulto</t>
        </is>
      </c>
      <c r="D388" s="143" t="inlineStr">
        <is>
          <t>PAPA CAPIRA BULTO*UND (Fruver Los Monos - FEFM 5700)</t>
        </is>
      </c>
      <c r="E388" s="143" t="n">
        <v>1</v>
      </c>
      <c r="F388" s="143" t="n">
        <v>105000</v>
      </c>
      <c r="G388" s="143" t="n">
        <v>105000</v>
      </c>
    </row>
    <row r="389" hidden="1" s="111">
      <c r="A389" s="143" t="n">
        <v>14</v>
      </c>
      <c r="B389" s="143" t="inlineStr">
        <is>
          <t>Verduras</t>
        </is>
      </c>
      <c r="C389" s="143" t="inlineStr">
        <is>
          <t>Lechuga batavia</t>
        </is>
      </c>
      <c r="D389" s="143" t="inlineStr">
        <is>
          <t>LECHUGA BATAVIA*KL (Fruver Los Monos - FEFM 5700)</t>
        </is>
      </c>
      <c r="E389" s="143" t="n">
        <v>27.4</v>
      </c>
      <c r="F389" s="143" t="n">
        <v>2800</v>
      </c>
      <c r="G389" s="143" t="n">
        <v>76720</v>
      </c>
    </row>
    <row r="390" hidden="1" s="111">
      <c r="A390" s="143" t="n">
        <v>14</v>
      </c>
      <c r="B390" s="143" t="inlineStr">
        <is>
          <t>Verduras</t>
        </is>
      </c>
      <c r="C390" s="143" t="inlineStr">
        <is>
          <t>Papa amarilla</t>
        </is>
      </c>
      <c r="D390" s="143" t="inlineStr">
        <is>
          <t>PAPA AMARILLA CRIOLLA*KL (Fruver Los Monos - FEFM 5700)</t>
        </is>
      </c>
      <c r="E390" s="143" t="n">
        <v>5</v>
      </c>
      <c r="F390" s="143" t="n">
        <v>5500</v>
      </c>
      <c r="G390" s="143" t="n">
        <v>27500</v>
      </c>
    </row>
    <row r="391" hidden="1" s="111">
      <c r="A391" s="143" t="n">
        <v>14</v>
      </c>
      <c r="B391" s="143" t="inlineStr">
        <is>
          <t>Verduras</t>
        </is>
      </c>
      <c r="C391" s="143" t="inlineStr">
        <is>
          <t>Apio</t>
        </is>
      </c>
      <c r="D391" s="143" t="inlineStr">
        <is>
          <t>APIO*KL (Fruver Los Monos - FEFM 5700)</t>
        </is>
      </c>
      <c r="E391" s="143" t="n">
        <v>3.7</v>
      </c>
      <c r="F391" s="143" t="n">
        <v>2500</v>
      </c>
      <c r="G391" s="143" t="n">
        <v>9250</v>
      </c>
    </row>
    <row r="392" hidden="1" s="111">
      <c r="A392" s="143" t="n">
        <v>14</v>
      </c>
      <c r="B392" s="143" t="inlineStr">
        <is>
          <t>Verduras</t>
        </is>
      </c>
      <c r="C392" s="143" t="inlineStr">
        <is>
          <t>Tomate milano</t>
        </is>
      </c>
      <c r="D392" s="143" t="inlineStr">
        <is>
          <t>TOMATE MILANO*KL (Fruver Los Monos - FEFM 5700)</t>
        </is>
      </c>
      <c r="E392" s="143" t="n">
        <v>5</v>
      </c>
      <c r="F392" s="143" t="n">
        <v>4500</v>
      </c>
      <c r="G392" s="143" t="n">
        <v>22500</v>
      </c>
    </row>
    <row r="393" hidden="1" s="111">
      <c r="A393" s="143" t="n">
        <v>14</v>
      </c>
      <c r="B393" s="143" t="inlineStr">
        <is>
          <t>Verduras</t>
        </is>
      </c>
      <c r="C393" s="143" t="inlineStr">
        <is>
          <t>Zanahoria</t>
        </is>
      </c>
      <c r="D393" s="143" t="inlineStr">
        <is>
          <t>ZANAHORIA*KL (Fruver Los Monos - FEFM 5700)</t>
        </is>
      </c>
      <c r="E393" s="143" t="n">
        <v>8.4</v>
      </c>
      <c r="F393" s="143" t="n">
        <v>2000</v>
      </c>
      <c r="G393" s="143" t="n">
        <v>16800</v>
      </c>
    </row>
    <row r="394" hidden="1" s="111">
      <c r="A394" s="143" t="n">
        <v>14</v>
      </c>
      <c r="B394" s="143" t="inlineStr">
        <is>
          <t>Verduras</t>
        </is>
      </c>
      <c r="C394" s="143" t="inlineStr">
        <is>
          <t>Pepino comun</t>
        </is>
      </c>
      <c r="D394" s="143" t="inlineStr">
        <is>
          <t>PEPINO COMUN*KL (Fruver Los Monos - FEFM 5700)</t>
        </is>
      </c>
      <c r="E394" s="143" t="n">
        <v>4.1</v>
      </c>
      <c r="F394" s="143" t="n">
        <v>3000</v>
      </c>
      <c r="G394" s="143" t="n">
        <v>12300</v>
      </c>
    </row>
    <row r="395" hidden="1" s="111">
      <c r="A395" s="143" t="n">
        <v>14</v>
      </c>
      <c r="B395" s="143" t="inlineStr">
        <is>
          <t>Verduras</t>
        </is>
      </c>
      <c r="C395" s="143" t="inlineStr">
        <is>
          <t>Cebolla cabezona</t>
        </is>
      </c>
      <c r="D395" s="143" t="inlineStr">
        <is>
          <t>CEBOLLA CABEZONA*KL (Fruver Los Monos - FEFM 5700)</t>
        </is>
      </c>
      <c r="E395" s="143" t="n">
        <v>9</v>
      </c>
      <c r="F395" s="143" t="n">
        <v>3000</v>
      </c>
      <c r="G395" s="143" t="n">
        <v>27000</v>
      </c>
    </row>
    <row r="396" hidden="1" s="111">
      <c r="A396" s="143" t="n">
        <v>14</v>
      </c>
      <c r="B396" s="143" t="inlineStr">
        <is>
          <t>Verduras</t>
        </is>
      </c>
      <c r="C396" s="143" t="inlineStr">
        <is>
          <t>Repollo morado</t>
        </is>
      </c>
      <c r="D396" s="143" t="inlineStr">
        <is>
          <t>REPOLLO MORADO*KL (Fruver Los Monos - FEFM 5700)</t>
        </is>
      </c>
      <c r="E396" s="143" t="n">
        <v>2.3</v>
      </c>
      <c r="F396" s="143" t="n">
        <v>2000</v>
      </c>
      <c r="G396" s="143" t="n">
        <v>4600</v>
      </c>
    </row>
    <row r="397" hidden="1" s="111">
      <c r="A397" s="143" t="n">
        <v>14</v>
      </c>
      <c r="B397" s="143" t="inlineStr">
        <is>
          <t>Verduras</t>
        </is>
      </c>
      <c r="C397" s="143" t="inlineStr">
        <is>
          <t>Papa parda</t>
        </is>
      </c>
      <c r="D397" s="143" t="inlineStr">
        <is>
          <t>PAPA PARDA*KL (Fruver Los Monos - FEFM 5700)</t>
        </is>
      </c>
      <c r="E397" s="143" t="n">
        <v>24</v>
      </c>
      <c r="F397" s="143" t="n">
        <v>2000</v>
      </c>
      <c r="G397" s="143" t="n">
        <v>48000</v>
      </c>
    </row>
    <row r="398" hidden="1" s="111">
      <c r="A398" s="143" t="n">
        <v>14</v>
      </c>
      <c r="B398" s="143" t="inlineStr">
        <is>
          <t>Verduras</t>
        </is>
      </c>
      <c r="C398" s="143" t="inlineStr">
        <is>
          <t>Manzana</t>
        </is>
      </c>
      <c r="D398" s="143" t="inlineStr">
        <is>
          <t>MANZANA GALA*UND (Fruver Los Monos - FEFM 5700)</t>
        </is>
      </c>
      <c r="E398" s="143" t="n">
        <v>30</v>
      </c>
      <c r="F398" s="143" t="n">
        <v>1200</v>
      </c>
      <c r="G398" s="143" t="n">
        <v>36000</v>
      </c>
    </row>
    <row r="399" hidden="1" s="111">
      <c r="A399" s="143" t="n">
        <v>14</v>
      </c>
      <c r="B399" s="143" t="inlineStr">
        <is>
          <t>Verduras</t>
        </is>
      </c>
      <c r="C399" s="143" t="inlineStr">
        <is>
          <t>Perejil</t>
        </is>
      </c>
      <c r="D399" s="143" t="inlineStr">
        <is>
          <t>PEREJIL POR ATADO (Fruver Los Monos - FEFM 5700)</t>
        </is>
      </c>
      <c r="E399" s="143" t="n">
        <v>1</v>
      </c>
      <c r="F399" s="143" t="n">
        <v>10000</v>
      </c>
      <c r="G399" s="143" t="n">
        <v>10000</v>
      </c>
    </row>
    <row r="400" hidden="1" s="111">
      <c r="A400" s="143" t="n">
        <v>14</v>
      </c>
      <c r="B400" s="143" t="inlineStr">
        <is>
          <t>Verduras</t>
        </is>
      </c>
      <c r="C400" s="143" t="inlineStr">
        <is>
          <t>Cilantro</t>
        </is>
      </c>
      <c r="D400" s="143" t="inlineStr">
        <is>
          <t>CILANTRO (Fruver Los Monos - FEFM 5700)</t>
        </is>
      </c>
      <c r="E400" s="143" t="n">
        <v>4</v>
      </c>
      <c r="F400" s="143" t="n">
        <v>8000</v>
      </c>
      <c r="G400" s="143" t="n">
        <v>32000</v>
      </c>
    </row>
    <row r="401" hidden="1" s="111">
      <c r="A401" s="143" t="n">
        <v>14</v>
      </c>
      <c r="B401" s="143" t="inlineStr">
        <is>
          <t>Verduras</t>
        </is>
      </c>
      <c r="C401" s="143" t="inlineStr">
        <is>
          <t>Tomillo</t>
        </is>
      </c>
      <c r="D401" s="143" t="inlineStr">
        <is>
          <t>TOMILLO (Fruver Los Monos - FEFM 5700)</t>
        </is>
      </c>
      <c r="E401" s="143" t="n">
        <v>1</v>
      </c>
      <c r="F401" s="143" t="n">
        <v>10000</v>
      </c>
      <c r="G401" s="143" t="n">
        <v>10000</v>
      </c>
    </row>
    <row r="402" hidden="1" s="111">
      <c r="A402" s="143" t="n">
        <v>14</v>
      </c>
      <c r="B402" s="143" t="inlineStr">
        <is>
          <t>Verduras</t>
        </is>
      </c>
      <c r="C402" s="143" t="inlineStr">
        <is>
          <t>Cebolla Larga Atado</t>
        </is>
      </c>
      <c r="D402" s="143" t="inlineStr">
        <is>
          <t>CEBOLLA LARGA ATADO (Fruver Los Monos - FEFM 5700)</t>
        </is>
      </c>
      <c r="E402" s="143" t="n">
        <v>1</v>
      </c>
      <c r="F402" s="143" t="n">
        <v>60000</v>
      </c>
      <c r="G402" s="143" t="n">
        <v>60000</v>
      </c>
    </row>
    <row r="403" hidden="1" s="111">
      <c r="A403" s="143" t="n">
        <v>14</v>
      </c>
      <c r="B403" s="143" t="inlineStr">
        <is>
          <t>Verduras</t>
        </is>
      </c>
      <c r="C403" s="143" t="inlineStr">
        <is>
          <t>Limon tahiti</t>
        </is>
      </c>
      <c r="D403" s="143" t="inlineStr">
        <is>
          <t>LIMON TAHITY*KL (Fruver Los Monos - FEFM 5700)</t>
        </is>
      </c>
      <c r="E403" s="143" t="n">
        <v>60</v>
      </c>
      <c r="F403" s="143" t="n">
        <v>2500</v>
      </c>
      <c r="G403" s="143" t="n">
        <v>150000</v>
      </c>
    </row>
    <row r="404" hidden="1" s="111">
      <c r="A404" s="143" t="n">
        <v>14</v>
      </c>
      <c r="B404" s="143" t="inlineStr">
        <is>
          <t>Verduras</t>
        </is>
      </c>
      <c r="C404" s="143" t="inlineStr">
        <is>
          <t>Carbon</t>
        </is>
      </c>
      <c r="D404" s="143" t="inlineStr">
        <is>
          <t>CAARBON BULTO (Fruver Los Monos - FEFM 5700)</t>
        </is>
      </c>
      <c r="E404" s="143" t="n">
        <v>1</v>
      </c>
      <c r="F404" s="143" t="n">
        <v>43000</v>
      </c>
      <c r="G404" s="143" t="n">
        <v>43000</v>
      </c>
    </row>
    <row r="405" hidden="1" s="111">
      <c r="A405" s="143" t="n">
        <v>14</v>
      </c>
      <c r="B405" s="143" t="inlineStr">
        <is>
          <t>Verduras</t>
        </is>
      </c>
      <c r="C405" s="143" t="inlineStr">
        <is>
          <t>Platano verde</t>
        </is>
      </c>
      <c r="D405" s="143" t="inlineStr">
        <is>
          <t>PLATANO VERDE*KL (Fruver Los Monos - FEFM 5700)</t>
        </is>
      </c>
      <c r="E405" s="143" t="n">
        <v>63</v>
      </c>
      <c r="F405" s="143" t="n">
        <v>1500</v>
      </c>
      <c r="G405" s="143" t="n">
        <v>94500</v>
      </c>
    </row>
    <row r="406" hidden="1" s="111">
      <c r="A406" s="80" t="n">
        <v>26</v>
      </c>
      <c r="B406" s="143" t="inlineStr">
        <is>
          <t>Bebidas</t>
        </is>
      </c>
      <c r="C406" s="143" t="inlineStr">
        <is>
          <t>Cerveza Light</t>
        </is>
      </c>
      <c r="D406" s="143" t="inlineStr">
        <is>
          <t>CERV.LIGH*330 LATA (Los Monos - VC240085)</t>
        </is>
      </c>
      <c r="E406" s="80" t="n">
        <v>1</v>
      </c>
      <c r="F406" s="81" t="n">
        <v>75500</v>
      </c>
      <c r="G406" s="81" t="n">
        <v>75500</v>
      </c>
    </row>
    <row r="407" hidden="1" s="111">
      <c r="A407" s="144" t="n">
        <v>15</v>
      </c>
      <c r="B407" s="144" t="inlineStr">
        <is>
          <t>Carnes</t>
        </is>
      </c>
      <c r="C407" s="144" t="inlineStr">
        <is>
          <t>Bagre de mar</t>
        </is>
      </c>
      <c r="D407" s="144" t="inlineStr">
        <is>
          <t>BAGRE DE MAR</t>
        </is>
      </c>
      <c r="E407" s="148" t="n">
        <v>20</v>
      </c>
      <c r="F407" s="154" t="n">
        <v>16500</v>
      </c>
      <c r="G407" s="152" t="n">
        <v>330000</v>
      </c>
    </row>
    <row r="408" hidden="1" s="111">
      <c r="A408" s="144" t="n">
        <v>15</v>
      </c>
      <c r="B408" s="144" t="inlineStr">
        <is>
          <t>Carnes</t>
        </is>
      </c>
      <c r="C408" s="144" t="inlineStr">
        <is>
          <t>Sobrebarriga delgada</t>
        </is>
      </c>
      <c r="D408" s="144" t="inlineStr">
        <is>
          <t>SOBREBARRIGA DE RES</t>
        </is>
      </c>
      <c r="E408" s="156" t="n">
        <v>15</v>
      </c>
      <c r="F408" s="152" t="n">
        <v>30000</v>
      </c>
      <c r="G408" s="152" t="n">
        <v>450000</v>
      </c>
    </row>
    <row r="409" hidden="1" s="111">
      <c r="A409" s="144" t="n">
        <v>15</v>
      </c>
      <c r="B409" s="144" t="inlineStr">
        <is>
          <t>Carnes</t>
        </is>
      </c>
      <c r="C409" s="144" t="inlineStr">
        <is>
          <t>Lengua de res</t>
        </is>
      </c>
      <c r="D409" s="144" t="inlineStr">
        <is>
          <t>LENGUA DE RES</t>
        </is>
      </c>
      <c r="E409" s="156" t="n">
        <v>13</v>
      </c>
      <c r="F409" s="152" t="n">
        <v>24400</v>
      </c>
      <c r="G409" s="152" t="n">
        <v>317200</v>
      </c>
    </row>
    <row r="410" hidden="1" s="111">
      <c r="A410" s="146" t="n">
        <v>15</v>
      </c>
      <c r="B410" s="146" t="inlineStr">
        <is>
          <t>Carnes</t>
        </is>
      </c>
      <c r="C410" s="146" t="inlineStr">
        <is>
          <t>Lomo de cerdo</t>
        </is>
      </c>
      <c r="D410" s="146" t="inlineStr">
        <is>
          <t>LOMO DE CERDO</t>
        </is>
      </c>
      <c r="E410" s="149" t="n">
        <v>21.11</v>
      </c>
      <c r="F410" s="153" t="n">
        <v>19500</v>
      </c>
      <c r="G410" s="153" t="n">
        <v>411645</v>
      </c>
    </row>
    <row r="411" hidden="1" s="111">
      <c r="A411" s="145" t="n">
        <v>15</v>
      </c>
      <c r="B411" s="145" t="inlineStr">
        <is>
          <t>Carnes</t>
        </is>
      </c>
      <c r="C411" s="145" t="inlineStr">
        <is>
          <t>Lengua de res</t>
        </is>
      </c>
      <c r="D411" s="145" t="inlineStr">
        <is>
          <t>LENGUA</t>
        </is>
      </c>
      <c r="E411" s="145" t="n">
        <v>5.2</v>
      </c>
      <c r="F411" s="145" t="n">
        <v>23500</v>
      </c>
      <c r="G411" s="145" t="n">
        <v>122200</v>
      </c>
    </row>
    <row r="412" hidden="1" s="111">
      <c r="A412" s="145" t="n">
        <v>15</v>
      </c>
      <c r="B412" s="145" t="inlineStr">
        <is>
          <t>Bebidas</t>
        </is>
      </c>
      <c r="C412" s="145" t="inlineStr">
        <is>
          <t>Poker</t>
        </is>
      </c>
      <c r="D412" s="145" t="inlineStr">
        <is>
          <t>CERV.POKER*330 LATA</t>
        </is>
      </c>
      <c r="E412" s="145" t="n">
        <v>1</v>
      </c>
      <c r="F412" s="145" t="n">
        <v>74500</v>
      </c>
      <c r="G412" s="145" t="n">
        <v>74500</v>
      </c>
    </row>
    <row r="413" hidden="1" s="111">
      <c r="A413" s="144" t="n">
        <v>15</v>
      </c>
      <c r="B413" s="144" t="inlineStr">
        <is>
          <t>Bebidas</t>
        </is>
      </c>
      <c r="C413" s="144" t="inlineStr">
        <is>
          <t>Poker</t>
        </is>
      </c>
      <c r="D413" s="144" t="inlineStr">
        <is>
          <t>CERV.POKER*330 LATA</t>
        </is>
      </c>
      <c r="E413" s="148" t="n">
        <v>1</v>
      </c>
      <c r="F413" s="152" t="n">
        <v>74500</v>
      </c>
      <c r="G413" s="152" t="n">
        <v>74500</v>
      </c>
    </row>
    <row r="414" hidden="1" s="111">
      <c r="A414" s="80" t="n">
        <v>26</v>
      </c>
      <c r="B414" s="143" t="inlineStr">
        <is>
          <t>Bebidas</t>
        </is>
      </c>
      <c r="C414" s="143" t="inlineStr">
        <is>
          <t>Poker</t>
        </is>
      </c>
      <c r="D414" s="143" t="inlineStr">
        <is>
          <t>CERV.POKER*330 LATA (Los Monos - VC240085)</t>
        </is>
      </c>
      <c r="E414" s="80" t="n">
        <v>1</v>
      </c>
      <c r="F414" s="81" t="n">
        <v>74500</v>
      </c>
      <c r="G414" s="81" t="n">
        <v>74500</v>
      </c>
    </row>
    <row r="415" hidden="1" s="111">
      <c r="A415" s="145" t="n">
        <v>8</v>
      </c>
      <c r="B415" s="145" t="inlineStr">
        <is>
          <t>Bebidas</t>
        </is>
      </c>
      <c r="C415" s="145" t="inlineStr">
        <is>
          <t>Cerv Stel Artois</t>
        </is>
      </c>
      <c r="D415" s="145" t="inlineStr">
        <is>
          <t>CERV.STEL ARTOIS*300ml BOT</t>
        </is>
      </c>
      <c r="E415" s="145" t="n">
        <v>1</v>
      </c>
      <c r="F415" s="145" t="n">
        <v>92200</v>
      </c>
      <c r="G415" s="145" t="n">
        <v>92200</v>
      </c>
    </row>
    <row r="416" hidden="1" s="111">
      <c r="A416" s="58" t="n">
        <v>22</v>
      </c>
      <c r="B416" s="58" t="inlineStr">
        <is>
          <t>Bebidas</t>
        </is>
      </c>
      <c r="C416" s="58" t="inlineStr">
        <is>
          <t>Cerv Stel Artois</t>
        </is>
      </c>
      <c r="D416" s="58" t="inlineStr">
        <is>
          <t>CERV.STEL ARTOIS*300ml BOT (Global Liquors VC238672)</t>
        </is>
      </c>
      <c r="E416" s="58" t="n">
        <v>1</v>
      </c>
      <c r="F416" s="58" t="n">
        <v>92200</v>
      </c>
      <c r="G416" s="58" t="n">
        <v>92200</v>
      </c>
    </row>
    <row r="417" hidden="1" s="111">
      <c r="A417" s="84" t="n">
        <v>26</v>
      </c>
      <c r="B417" s="58" t="inlineStr">
        <is>
          <t>Bebidas</t>
        </is>
      </c>
      <c r="C417" s="58" t="inlineStr">
        <is>
          <t>Cerv Stel Artois</t>
        </is>
      </c>
      <c r="D417" s="58" t="inlineStr">
        <is>
          <t>CERV.STEL ARTOIS*300ml BOT (Los Monos - VC240085)</t>
        </is>
      </c>
      <c r="E417" s="84" t="n">
        <v>1</v>
      </c>
      <c r="F417" s="87" t="n">
        <v>92200</v>
      </c>
      <c r="G417" s="87" t="n">
        <v>92200</v>
      </c>
    </row>
    <row r="418" hidden="1" s="111">
      <c r="A418" s="65" t="n">
        <v>15</v>
      </c>
      <c r="B418" s="65" t="inlineStr">
        <is>
          <t>Desechables</t>
        </is>
      </c>
      <c r="C418" s="65" t="inlineStr">
        <is>
          <t>Mazamorra</t>
        </is>
      </c>
      <c r="D418" s="65" t="inlineStr">
        <is>
          <t>MAZAMORRA</t>
        </is>
      </c>
      <c r="E418" s="65" t="n">
        <v>1</v>
      </c>
      <c r="F418" s="65" t="n">
        <v>20000</v>
      </c>
      <c r="G418" s="65" t="n">
        <v>20000</v>
      </c>
    </row>
    <row r="419" hidden="1" s="111">
      <c r="A419" s="57" t="n">
        <v>16</v>
      </c>
      <c r="B419" s="57" t="inlineStr">
        <is>
          <t>Bebidas</t>
        </is>
      </c>
      <c r="C419" s="57" t="inlineStr">
        <is>
          <t>Corona</t>
        </is>
      </c>
      <c r="D419" s="57" t="inlineStr">
        <is>
          <t>CERVEZA CORONA*330ml*6und EXTRA</t>
        </is>
      </c>
      <c r="E419" s="64" t="n">
        <v>5</v>
      </c>
      <c r="F419" s="63" t="n">
        <v>19900</v>
      </c>
      <c r="G419" s="63" t="n">
        <v>99500</v>
      </c>
    </row>
    <row r="420" hidden="1" s="111">
      <c r="A420" s="59" t="n">
        <v>17</v>
      </c>
      <c r="B420" s="59" t="inlineStr">
        <is>
          <t>Bebidas</t>
        </is>
      </c>
      <c r="C420" s="59" t="inlineStr">
        <is>
          <t>Coca cola 1,5 lt pet (12) nvo</t>
        </is>
      </c>
      <c r="D420" s="59" t="inlineStr">
        <is>
          <t>COCA COLA 1.5LT PET(12) Nvo</t>
        </is>
      </c>
      <c r="E420" s="69" t="n">
        <v>2</v>
      </c>
      <c r="F420" s="70" t="n">
        <v>48571.5</v>
      </c>
      <c r="G420" s="70" t="n">
        <v>97143</v>
      </c>
    </row>
    <row r="421" hidden="1" s="111">
      <c r="A421" s="84" t="n">
        <v>24</v>
      </c>
      <c r="B421" s="58" t="inlineStr">
        <is>
          <t>Bebidas</t>
        </is>
      </c>
      <c r="C421" s="58" t="inlineStr">
        <is>
          <t>Coca cola 1,5 lt pet (12) nvo</t>
        </is>
      </c>
      <c r="D421" s="58" t="inlineStr">
        <is>
          <t>COCA COLA 1.5LT PET(12) Nvo (Coca-Cola FEMSA - FVCL 5193460)</t>
        </is>
      </c>
      <c r="E421" s="87" t="n">
        <v>2</v>
      </c>
      <c r="F421" s="87" t="n">
        <v>48571.5</v>
      </c>
      <c r="G421" s="87" t="n">
        <v>97143</v>
      </c>
    </row>
    <row r="422" hidden="1" s="111">
      <c r="A422" s="84" t="n">
        <v>27</v>
      </c>
      <c r="B422" s="58" t="inlineStr">
        <is>
          <t>Bebidas</t>
        </is>
      </c>
      <c r="C422" s="58" t="inlineStr">
        <is>
          <t>Coca cola 1,5 lt pet (12) nvo</t>
        </is>
      </c>
      <c r="D422" s="58" t="inlineStr">
        <is>
          <t>COCA COLA 1.5LT PET(12) Nvo (Coca-Cola Femsa)</t>
        </is>
      </c>
      <c r="E422" s="87" t="n">
        <v>1</v>
      </c>
      <c r="F422" s="87" t="n">
        <v>55772</v>
      </c>
      <c r="G422" s="87" t="n">
        <v>55772</v>
      </c>
    </row>
    <row r="423" hidden="1" s="111">
      <c r="A423" s="57" t="n">
        <v>15</v>
      </c>
      <c r="B423" s="57" t="inlineStr">
        <is>
          <t>Carnes</t>
        </is>
      </c>
      <c r="C423" s="57" t="inlineStr">
        <is>
          <t>Chorizo coctelero x 40</t>
        </is>
      </c>
      <c r="D423" s="57" t="inlineStr">
        <is>
          <t>CHORIZO PREMIUM COCTELERO PAQ. X 40 UND. (MONTERO)</t>
        </is>
      </c>
      <c r="E423" s="62" t="n">
        <v>5</v>
      </c>
      <c r="F423" s="63" t="n">
        <v>48000</v>
      </c>
      <c r="G423" s="63" t="n">
        <v>240000</v>
      </c>
    </row>
    <row r="424" hidden="1" s="111">
      <c r="A424" s="57" t="n">
        <v>15</v>
      </c>
      <c r="B424" s="57" t="inlineStr">
        <is>
          <t>Carnes</t>
        </is>
      </c>
      <c r="C424" s="57" t="inlineStr">
        <is>
          <t>Chorizo Premium</t>
        </is>
      </c>
      <c r="D424" s="57" t="inlineStr">
        <is>
          <t>CHORIZO PREMIUM PAQ. X 12 UND. (MONTERO) 1800gr</t>
        </is>
      </c>
      <c r="E424" s="62" t="n">
        <v>1</v>
      </c>
      <c r="F424" s="63" t="n">
        <v>46000</v>
      </c>
      <c r="G424" s="63" t="n">
        <v>46000</v>
      </c>
    </row>
    <row r="425" hidden="1" s="111">
      <c r="A425" s="59" t="n">
        <v>31</v>
      </c>
      <c r="B425" s="59" t="inlineStr">
        <is>
          <t>Bebidas</t>
        </is>
      </c>
      <c r="C425" s="59" t="inlineStr">
        <is>
          <t>Coca cola 1,5 lt pet (12) nvo</t>
        </is>
      </c>
      <c r="D425" s="59" t="inlineStr">
        <is>
          <t>COCA COLA 1.5LT PET(12) Nvo [12 und c/imp]</t>
        </is>
      </c>
      <c r="E425" s="71" t="n">
        <v>12</v>
      </c>
      <c r="F425" s="70" t="n">
        <v>4647.666666666667</v>
      </c>
      <c r="G425" s="70" t="n">
        <v>55772</v>
      </c>
    </row>
    <row r="426" hidden="1" s="111">
      <c r="A426" s="59" t="n">
        <v>3</v>
      </c>
      <c r="B426" s="59" t="inlineStr">
        <is>
          <t>Bebidas</t>
        </is>
      </c>
      <c r="C426" s="59" t="inlineStr">
        <is>
          <t>Coca cola 3 litros</t>
        </is>
      </c>
      <c r="D426" s="59" t="inlineStr">
        <is>
          <t>COCA COLA 3LT PET(6) Nvo</t>
        </is>
      </c>
      <c r="E426" s="69" t="n">
        <v>1</v>
      </c>
      <c r="F426" s="72" t="n">
        <v>42269</v>
      </c>
      <c r="G426" s="72" t="n">
        <v>42269</v>
      </c>
    </row>
    <row r="427" hidden="1" s="111">
      <c r="A427" s="58" t="n">
        <v>15</v>
      </c>
      <c r="B427" s="58" t="inlineStr">
        <is>
          <t>Grano</t>
        </is>
      </c>
      <c r="C427" s="58" t="inlineStr">
        <is>
          <t>Arepas</t>
        </is>
      </c>
      <c r="D427" s="58" t="inlineStr">
        <is>
          <t>1350 arepas (Factura 0799 Lucía)</t>
        </is>
      </c>
      <c r="E427" s="66" t="n">
        <v>1350</v>
      </c>
      <c r="F427" s="67" t="n">
        <v>150</v>
      </c>
      <c r="G427" s="67" t="n">
        <v>202500</v>
      </c>
    </row>
    <row r="428" hidden="1" s="111">
      <c r="A428" s="58" t="n">
        <v>15</v>
      </c>
      <c r="B428" s="58" t="inlineStr">
        <is>
          <t>Verduras</t>
        </is>
      </c>
      <c r="C428" s="58" t="inlineStr">
        <is>
          <t>Aguacate</t>
        </is>
      </c>
      <c r="D428" s="58" t="inlineStr">
        <is>
          <t>AGUACATE COMUN*und (6 un)</t>
        </is>
      </c>
      <c r="E428" s="66" t="n">
        <v>6</v>
      </c>
      <c r="F428" s="67" t="n">
        <v>6800</v>
      </c>
      <c r="G428" s="67" t="n">
        <v>40800</v>
      </c>
    </row>
    <row r="429" hidden="1" s="111">
      <c r="A429" s="58" t="n">
        <v>15</v>
      </c>
      <c r="B429" s="58" t="inlineStr">
        <is>
          <t>Desechables</t>
        </is>
      </c>
      <c r="C429" s="58" t="inlineStr">
        <is>
          <t>Bolsa canaveral 100% material recicl f</t>
        </is>
      </c>
      <c r="D429" s="58" t="inlineStr">
        <is>
          <t>BOLSA CANAVERAL 100% MATERIAL RECICL P</t>
        </is>
      </c>
      <c r="E429" s="66" t="n">
        <v>1</v>
      </c>
      <c r="F429" s="67" t="n">
        <v>300</v>
      </c>
      <c r="G429" s="67" t="n">
        <v>300</v>
      </c>
    </row>
    <row r="430" hidden="1" s="111">
      <c r="A430" s="58" t="n">
        <v>15</v>
      </c>
      <c r="B430" s="58" t="inlineStr">
        <is>
          <t>Verduras</t>
        </is>
      </c>
      <c r="C430" s="58" t="inlineStr">
        <is>
          <t>Yuca pelada</t>
        </is>
      </c>
      <c r="D430" s="58" t="inlineStr">
        <is>
          <t>10 kl yuca pelada (Pasqualito)</t>
        </is>
      </c>
      <c r="E430" s="66" t="n">
        <v>10</v>
      </c>
      <c r="F430" s="67" t="n">
        <v>4500</v>
      </c>
      <c r="G430" s="67" t="n">
        <v>45000</v>
      </c>
    </row>
    <row r="431" hidden="1" s="111">
      <c r="A431" s="59" t="n">
        <v>10</v>
      </c>
      <c r="B431" s="59" t="inlineStr">
        <is>
          <t>Bebidas</t>
        </is>
      </c>
      <c r="C431" s="59" t="inlineStr">
        <is>
          <t>Coca cola 3 litros</t>
        </is>
      </c>
      <c r="D431" s="59" t="inlineStr">
        <is>
          <t>COCA COLA 3LT PET(6) Nvo</t>
        </is>
      </c>
      <c r="E431" s="69" t="n">
        <v>1</v>
      </c>
      <c r="F431" s="72" t="n">
        <v>42269</v>
      </c>
      <c r="G431" s="72" t="n">
        <v>42269</v>
      </c>
    </row>
    <row r="432" hidden="1" s="111">
      <c r="A432" s="59" t="n">
        <v>17</v>
      </c>
      <c r="B432" s="59" t="inlineStr">
        <is>
          <t>Bebidas</t>
        </is>
      </c>
      <c r="C432" s="59" t="inlineStr">
        <is>
          <t>Coca cola 3 litros</t>
        </is>
      </c>
      <c r="D432" s="59" t="inlineStr">
        <is>
          <t>COCA COLA 3LT PET(6) Nvo</t>
        </is>
      </c>
      <c r="E432" s="69" t="n">
        <v>1</v>
      </c>
      <c r="F432" s="70" t="n">
        <v>42269</v>
      </c>
      <c r="G432" s="70" t="n">
        <v>42269</v>
      </c>
    </row>
    <row r="433" hidden="1" s="111">
      <c r="A433" s="84" t="n">
        <v>24</v>
      </c>
      <c r="B433" s="58" t="inlineStr">
        <is>
          <t>Bebidas</t>
        </is>
      </c>
      <c r="C433" s="58" t="inlineStr">
        <is>
          <t>Coca cola 3 litros</t>
        </is>
      </c>
      <c r="D433" s="58" t="inlineStr">
        <is>
          <t>COCA COLA 3LT PET(6) Nvo (Coca-Cola FEMSA - FVCL 5193460)</t>
        </is>
      </c>
      <c r="E433" s="87" t="n">
        <v>1</v>
      </c>
      <c r="F433" s="87" t="n">
        <v>42269</v>
      </c>
      <c r="G433" s="87" t="n">
        <v>42269</v>
      </c>
    </row>
    <row r="434" hidden="1" s="111">
      <c r="A434" s="144" t="n">
        <v>16</v>
      </c>
      <c r="B434" s="144" t="inlineStr">
        <is>
          <t>Grano</t>
        </is>
      </c>
      <c r="C434" s="144" t="inlineStr">
        <is>
          <t>Aceite por 3000</t>
        </is>
      </c>
      <c r="D434" s="144" t="inlineStr">
        <is>
          <t>ACEITE OLEOSUPER x3000ml SOYA</t>
        </is>
      </c>
      <c r="E434" s="156" t="n">
        <v>1</v>
      </c>
      <c r="F434" s="152" t="n">
        <v>22000</v>
      </c>
      <c r="G434" s="152" t="n">
        <v>22000</v>
      </c>
    </row>
    <row r="435" hidden="1" s="111">
      <c r="A435" s="144" t="n">
        <v>16</v>
      </c>
      <c r="B435" s="144" t="inlineStr">
        <is>
          <t>Grano</t>
        </is>
      </c>
      <c r="C435" s="144" t="inlineStr">
        <is>
          <t>Aceite por 3000</t>
        </is>
      </c>
      <c r="D435" s="144" t="inlineStr">
        <is>
          <t>ACEITE OLEOSUPER x3000ml SOYA</t>
        </is>
      </c>
      <c r="E435" s="156" t="n">
        <v>1</v>
      </c>
      <c r="F435" s="152" t="n">
        <v>22000</v>
      </c>
      <c r="G435" s="152" t="n">
        <v>22000</v>
      </c>
    </row>
    <row r="436" hidden="1" s="111">
      <c r="A436" s="144" t="n">
        <v>16</v>
      </c>
      <c r="B436" s="144" t="inlineStr">
        <is>
          <t>Grano</t>
        </is>
      </c>
      <c r="C436" s="144" t="inlineStr">
        <is>
          <t>Aceite por 3000</t>
        </is>
      </c>
      <c r="D436" s="144" t="inlineStr">
        <is>
          <t>ACEITE OLEOSUPER x3000ml SOYA</t>
        </is>
      </c>
      <c r="E436" s="156" t="n">
        <v>1</v>
      </c>
      <c r="F436" s="152" t="n">
        <v>22000</v>
      </c>
      <c r="G436" s="152" t="n">
        <v>22000</v>
      </c>
    </row>
    <row r="437" hidden="1" s="111">
      <c r="A437" s="144" t="n">
        <v>16</v>
      </c>
      <c r="B437" s="144" t="inlineStr">
        <is>
          <t>Grano</t>
        </is>
      </c>
      <c r="C437" s="144" t="inlineStr">
        <is>
          <t>Alimento donkat</t>
        </is>
      </c>
      <c r="D437" s="144" t="inlineStr">
        <is>
          <t>ALIM DONKAT ADULTO x1100g</t>
        </is>
      </c>
      <c r="E437" s="156" t="n">
        <v>1</v>
      </c>
      <c r="F437" s="152" t="n">
        <v>11300</v>
      </c>
      <c r="G437" s="152" t="n">
        <v>11300</v>
      </c>
    </row>
    <row r="438" hidden="1" s="111">
      <c r="A438" s="144" t="n">
        <v>16</v>
      </c>
      <c r="B438" s="144" t="inlineStr">
        <is>
          <t>Desechables</t>
        </is>
      </c>
      <c r="C438" s="144" t="inlineStr">
        <is>
          <t>Bolsa mercamio reciclable</t>
        </is>
      </c>
      <c r="D438" s="144" t="inlineStr">
        <is>
          <t>BOLSA MATERIAL 100% RECICLADO</t>
        </is>
      </c>
      <c r="E438" s="156" t="n">
        <v>1</v>
      </c>
      <c r="F438" s="152" t="n">
        <v>253</v>
      </c>
      <c r="G438" s="152" t="n">
        <v>253</v>
      </c>
    </row>
    <row r="439" hidden="1" s="111">
      <c r="A439" s="144" t="n">
        <v>16</v>
      </c>
      <c r="B439" s="144" t="inlineStr">
        <is>
          <t>Verduras</t>
        </is>
      </c>
      <c r="C439" s="144" t="inlineStr">
        <is>
          <t>Aguacate común</t>
        </is>
      </c>
      <c r="D439" s="144" t="inlineStr">
        <is>
          <t>AGUACATE COMUN*UND</t>
        </is>
      </c>
      <c r="E439" s="156" t="n">
        <v>4</v>
      </c>
      <c r="F439" s="152" t="n">
        <v>6800</v>
      </c>
      <c r="G439" s="152" t="n">
        <v>27200</v>
      </c>
    </row>
    <row r="440" hidden="1" s="111">
      <c r="A440" s="144" t="n">
        <v>16</v>
      </c>
      <c r="B440" s="144" t="inlineStr">
        <is>
          <t>Desechables</t>
        </is>
      </c>
      <c r="C440" s="144" t="inlineStr">
        <is>
          <t>Bolsa canaveral 100% material recicl f</t>
        </is>
      </c>
      <c r="D440" s="144" t="inlineStr">
        <is>
          <t>BOLSA CANAVERAL 100% MATERIAL RECICL P</t>
        </is>
      </c>
      <c r="E440" s="156" t="n">
        <v>1</v>
      </c>
      <c r="F440" s="152" t="n">
        <v>300</v>
      </c>
      <c r="G440" s="152" t="n">
        <v>300</v>
      </c>
    </row>
    <row r="441" hidden="1" s="111">
      <c r="A441" s="144" t="n">
        <v>16</v>
      </c>
      <c r="B441" s="144" t="inlineStr">
        <is>
          <t>Verduras</t>
        </is>
      </c>
      <c r="C441" s="144" t="inlineStr">
        <is>
          <t>Aguacate</t>
        </is>
      </c>
      <c r="D441" s="144" t="inlineStr">
        <is>
          <t>Aguacates 22 x 6000</t>
        </is>
      </c>
      <c r="E441" s="156" t="n">
        <v>22</v>
      </c>
      <c r="F441" s="152" t="n">
        <v>6000</v>
      </c>
      <c r="G441" s="152" t="n">
        <v>132000</v>
      </c>
    </row>
    <row r="442" hidden="1" s="111">
      <c r="A442" s="144" t="n">
        <v>16</v>
      </c>
      <c r="B442" s="144" t="inlineStr">
        <is>
          <t>Verduras</t>
        </is>
      </c>
      <c r="C442" s="144" t="inlineStr">
        <is>
          <t>Cimarron</t>
        </is>
      </c>
      <c r="D442" s="144" t="inlineStr">
        <is>
          <t>Cimarron</t>
        </is>
      </c>
      <c r="E442" s="156" t="n">
        <v>1</v>
      </c>
      <c r="F442" s="152" t="n">
        <v>8000</v>
      </c>
      <c r="G442" s="152" t="n">
        <v>8000</v>
      </c>
    </row>
    <row r="443" hidden="1" s="111">
      <c r="A443" s="146" t="n">
        <v>3</v>
      </c>
      <c r="B443" s="146" t="inlineStr">
        <is>
          <t>Bebidas</t>
        </is>
      </c>
      <c r="C443" s="146" t="inlineStr">
        <is>
          <t>Coca cola zero 1,5 ltrs</t>
        </is>
      </c>
      <c r="D443" s="146" t="inlineStr">
        <is>
          <t>COCA COLA ZERO 1.5LT PET(12)KZ</t>
        </is>
      </c>
      <c r="E443" s="149" t="n">
        <v>1</v>
      </c>
      <c r="F443" s="157" t="n">
        <v>54622</v>
      </c>
      <c r="G443" s="157" t="n">
        <v>54622</v>
      </c>
    </row>
    <row r="444" hidden="1" s="111">
      <c r="A444" s="143" t="n">
        <v>16</v>
      </c>
      <c r="B444" s="143" t="inlineStr">
        <is>
          <t>Verduras</t>
        </is>
      </c>
      <c r="C444" s="143" t="inlineStr">
        <is>
          <t>Aguacate</t>
        </is>
      </c>
      <c r="D444" s="143" t="inlineStr">
        <is>
          <t>AGUACATE COMUN*und (5 un)</t>
        </is>
      </c>
      <c r="E444" s="147" t="n">
        <v>5</v>
      </c>
      <c r="F444" s="151" t="n">
        <v>6800</v>
      </c>
      <c r="G444" s="151" t="n">
        <v>34000</v>
      </c>
    </row>
    <row r="445" hidden="1" s="111">
      <c r="A445" s="143" t="n">
        <v>16</v>
      </c>
      <c r="B445" s="143" t="inlineStr">
        <is>
          <t>Desechables</t>
        </is>
      </c>
      <c r="C445" s="143" t="inlineStr">
        <is>
          <t>Bolsa canaveral 100% material recicl f</t>
        </is>
      </c>
      <c r="D445" s="143" t="inlineStr">
        <is>
          <t>BOLSA CANAVERAL 100% MATERIAL RECICL P</t>
        </is>
      </c>
      <c r="E445" s="147" t="n">
        <v>1</v>
      </c>
      <c r="F445" s="151" t="n">
        <v>300</v>
      </c>
      <c r="G445" s="151" t="n">
        <v>300</v>
      </c>
    </row>
    <row r="446" hidden="1" s="111">
      <c r="A446" s="143" t="n">
        <v>16</v>
      </c>
      <c r="B446" s="143" t="inlineStr">
        <is>
          <t>Verduras</t>
        </is>
      </c>
      <c r="C446" s="143" t="inlineStr">
        <is>
          <t>Platano verde</t>
        </is>
      </c>
      <c r="D446" s="143" t="inlineStr">
        <is>
          <t>Plátano Verde (Monica Molina)</t>
        </is>
      </c>
      <c r="E446" s="143" t="n">
        <v>25</v>
      </c>
      <c r="F446" s="143" t="n">
        <v>2200</v>
      </c>
      <c r="G446" s="143" t="n">
        <v>55000</v>
      </c>
    </row>
    <row r="447" hidden="1" s="111">
      <c r="A447" s="146" t="n">
        <v>17</v>
      </c>
      <c r="B447" s="146" t="inlineStr">
        <is>
          <t>Verduras</t>
        </is>
      </c>
      <c r="C447" s="146" t="inlineStr">
        <is>
          <t>Aguacate común</t>
        </is>
      </c>
      <c r="D447" s="146" t="inlineStr">
        <is>
          <t>AGUACATE COMUN*und</t>
        </is>
      </c>
      <c r="E447" s="149" t="n">
        <v>10</v>
      </c>
      <c r="F447" s="153" t="n">
        <v>6800</v>
      </c>
      <c r="G447" s="153" t="n">
        <v>68000</v>
      </c>
    </row>
    <row r="448" hidden="1" s="111">
      <c r="A448" s="144" t="n">
        <v>13</v>
      </c>
      <c r="B448" s="144" t="inlineStr">
        <is>
          <t>Bebidas</t>
        </is>
      </c>
      <c r="C448" s="144" t="inlineStr">
        <is>
          <t>Coca cola zero 1,5 ltrs</t>
        </is>
      </c>
      <c r="D448" s="144" t="inlineStr">
        <is>
          <t>COCA COLA ZERO 1.5LT PET(12)KZ</t>
        </is>
      </c>
      <c r="E448" s="148" t="n">
        <v>1</v>
      </c>
      <c r="F448" s="152" t="n">
        <v>54622</v>
      </c>
      <c r="G448" s="152" t="n">
        <v>54622</v>
      </c>
    </row>
    <row r="449" hidden="1" s="111">
      <c r="A449" s="146" t="n">
        <v>31</v>
      </c>
      <c r="B449" s="146" t="inlineStr">
        <is>
          <t>Bebidas</t>
        </is>
      </c>
      <c r="C449" s="146" t="inlineStr">
        <is>
          <t>Coca cola zero 1,5 ltrs</t>
        </is>
      </c>
      <c r="D449" s="146" t="inlineStr">
        <is>
          <t>COCA COLA ZERO 1.5LT PET(12)KZ [12 und]</t>
        </is>
      </c>
      <c r="E449" s="149" t="n">
        <v>12</v>
      </c>
      <c r="F449" s="153" t="n">
        <v>4551.75</v>
      </c>
      <c r="G449" s="153" t="n">
        <v>54621</v>
      </c>
    </row>
    <row r="450" hidden="1" s="111">
      <c r="A450" s="146" t="n">
        <v>6</v>
      </c>
      <c r="B450" s="146" t="inlineStr">
        <is>
          <t>Bebidas</t>
        </is>
      </c>
      <c r="C450" s="146" t="inlineStr">
        <is>
          <t>Coca cola zero 350</t>
        </is>
      </c>
      <c r="D450" s="146" t="inlineStr">
        <is>
          <t>COCA COLA ZERO 350ML VR(30)KZ</t>
        </is>
      </c>
      <c r="E450" s="150" t="n">
        <v>1</v>
      </c>
      <c r="F450" s="153" t="n">
        <v>52521</v>
      </c>
      <c r="G450" s="153" t="n">
        <v>52521</v>
      </c>
    </row>
    <row r="451" hidden="1" s="111">
      <c r="A451" s="145" t="n">
        <v>17</v>
      </c>
      <c r="B451" s="145" t="inlineStr">
        <is>
          <t>Carnes</t>
        </is>
      </c>
      <c r="C451" s="145" t="inlineStr">
        <is>
          <t>Filete de pollo x 350</t>
        </is>
      </c>
      <c r="D451" s="145" t="inlineStr">
        <is>
          <t>FILETE DE POLLO X 350G</t>
        </is>
      </c>
      <c r="E451" s="145" t="n">
        <v>25.2</v>
      </c>
      <c r="F451" s="145" t="n">
        <v>18500</v>
      </c>
      <c r="G451" s="145" t="n">
        <v>466200</v>
      </c>
    </row>
    <row r="452" hidden="1" s="111">
      <c r="A452" s="145" t="n">
        <v>17</v>
      </c>
      <c r="B452" s="145" t="inlineStr">
        <is>
          <t>Carnes</t>
        </is>
      </c>
      <c r="C452" s="145" t="inlineStr">
        <is>
          <t>Gallina gigante</t>
        </is>
      </c>
      <c r="D452" s="145" t="inlineStr">
        <is>
          <t>9 GALLINAS GIGANTES</t>
        </is>
      </c>
      <c r="E452" s="145" t="n">
        <v>9</v>
      </c>
      <c r="F452" s="145" t="n">
        <v>50555.555556</v>
      </c>
      <c r="G452" s="145" t="n">
        <v>455000</v>
      </c>
    </row>
    <row r="453" hidden="1" s="111">
      <c r="A453" s="146" t="n">
        <v>2</v>
      </c>
      <c r="B453" s="146" t="inlineStr">
        <is>
          <t>Servicios</t>
        </is>
      </c>
      <c r="C453" s="146" t="inlineStr">
        <is>
          <t>Otros servicios de salud</t>
        </is>
      </c>
      <c r="D453" s="146" t="inlineStr">
        <is>
          <t>DOLEX NORMAL (10 un)</t>
        </is>
      </c>
      <c r="E453" s="149" t="n">
        <v>10</v>
      </c>
      <c r="F453" s="153" t="n">
        <v>1200</v>
      </c>
      <c r="G453" s="153" t="n">
        <v>12000</v>
      </c>
    </row>
    <row r="454" hidden="1" s="111">
      <c r="A454" s="146" t="n">
        <v>24</v>
      </c>
      <c r="B454" s="146" t="inlineStr">
        <is>
          <t>Servicios</t>
        </is>
      </c>
      <c r="C454" s="146" t="inlineStr">
        <is>
          <t>Otros servicios de salud</t>
        </is>
      </c>
      <c r="D454" s="146" t="inlineStr">
        <is>
          <t>Otros servicios de salud - SG-SST AGOSTO 2026 (Health Care IPS FE2494)</t>
        </is>
      </c>
      <c r="E454" s="150" t="n">
        <v>1</v>
      </c>
      <c r="F454" s="153" t="n">
        <v>506000</v>
      </c>
      <c r="G454" s="153" t="n">
        <v>506000</v>
      </c>
    </row>
    <row r="455" hidden="1" s="111">
      <c r="A455" s="146" t="n">
        <v>17</v>
      </c>
      <c r="B455" s="146" t="inlineStr">
        <is>
          <t>Grano</t>
        </is>
      </c>
      <c r="C455" s="146" t="inlineStr">
        <is>
          <t>Arepas</t>
        </is>
      </c>
      <c r="D455" s="146" t="inlineStr">
        <is>
          <t>200 arepas</t>
        </is>
      </c>
      <c r="E455" s="149" t="n">
        <v>200</v>
      </c>
      <c r="F455" s="157" t="n">
        <v>150</v>
      </c>
      <c r="G455" s="157" t="n">
        <v>30000</v>
      </c>
    </row>
    <row r="456" hidden="1" s="111">
      <c r="A456" s="146" t="n">
        <v>17</v>
      </c>
      <c r="B456" s="146" t="inlineStr">
        <is>
          <t>Grano</t>
        </is>
      </c>
      <c r="C456" s="146" t="inlineStr">
        <is>
          <t>Arepas</t>
        </is>
      </c>
      <c r="D456" s="146" t="inlineStr">
        <is>
          <t>100 arepas</t>
        </is>
      </c>
      <c r="E456" s="150" t="n">
        <v>100</v>
      </c>
      <c r="F456" s="153" t="n">
        <v>150</v>
      </c>
      <c r="G456" s="153" t="n">
        <v>15000</v>
      </c>
    </row>
    <row r="457" hidden="1" s="111">
      <c r="A457" s="143" t="n">
        <v>17</v>
      </c>
      <c r="B457" s="143" t="inlineStr">
        <is>
          <t>Verduras</t>
        </is>
      </c>
      <c r="C457" s="143" t="inlineStr">
        <is>
          <t>Platano verde</t>
        </is>
      </c>
      <c r="D457" s="143" t="inlineStr">
        <is>
          <t>Plátano Verde (Monica Molina)</t>
        </is>
      </c>
      <c r="E457" s="143" t="n">
        <v>25.8</v>
      </c>
      <c r="F457" s="143" t="n">
        <v>2200</v>
      </c>
      <c r="G457" s="143" t="n">
        <v>56800</v>
      </c>
    </row>
    <row r="458" hidden="1" s="111">
      <c r="A458" s="143" t="n">
        <v>17</v>
      </c>
      <c r="B458" s="143" t="inlineStr">
        <is>
          <t>Verduras</t>
        </is>
      </c>
      <c r="C458" s="143" t="inlineStr">
        <is>
          <t>Platano maduro</t>
        </is>
      </c>
      <c r="D458" s="143" t="inlineStr">
        <is>
          <t>Plátano Maduro (Monica Molina)</t>
        </is>
      </c>
      <c r="E458" s="143" t="n">
        <v>25.7</v>
      </c>
      <c r="F458" s="143" t="n">
        <v>2200</v>
      </c>
      <c r="G458" s="143" t="n">
        <v>56500</v>
      </c>
    </row>
    <row r="459" hidden="1" s="111">
      <c r="A459" s="145" t="n">
        <v>18</v>
      </c>
      <c r="B459" s="145" t="inlineStr">
        <is>
          <t>Carnes</t>
        </is>
      </c>
      <c r="C459" s="145" t="inlineStr">
        <is>
          <t>Lomo de cerdo</t>
        </is>
      </c>
      <c r="D459" s="145" t="inlineStr">
        <is>
          <t>LOMO DE CERDO</t>
        </is>
      </c>
      <c r="E459" s="145" t="n">
        <v>17.4</v>
      </c>
      <c r="F459" s="145" t="n">
        <v>19500</v>
      </c>
      <c r="G459" s="145" t="n">
        <v>339300</v>
      </c>
    </row>
    <row r="460" hidden="1" s="111">
      <c r="A460" s="145" t="n">
        <v>18</v>
      </c>
      <c r="B460" s="145" t="inlineStr">
        <is>
          <t>Carnes</t>
        </is>
      </c>
      <c r="C460" s="145" t="inlineStr">
        <is>
          <t>Pernil de pollo</t>
        </is>
      </c>
      <c r="D460" s="145" t="inlineStr">
        <is>
          <t>PERNIL BLANCO</t>
        </is>
      </c>
      <c r="E460" s="145" t="n">
        <v>13.8</v>
      </c>
      <c r="F460" s="145" t="n">
        <v>7700</v>
      </c>
      <c r="G460" s="145" t="n">
        <v>106260</v>
      </c>
    </row>
    <row r="461" hidden="1" s="111">
      <c r="A461" s="145" t="n">
        <v>18</v>
      </c>
      <c r="B461" s="145" t="inlineStr">
        <is>
          <t>Carnes</t>
        </is>
      </c>
      <c r="C461" s="145" t="inlineStr">
        <is>
          <t>Tocineta barril</t>
        </is>
      </c>
      <c r="D461" s="145" t="inlineStr">
        <is>
          <t>TOCINETA BARRIL</t>
        </is>
      </c>
      <c r="E461" s="145" t="n">
        <v>72.95</v>
      </c>
      <c r="F461" s="145" t="n">
        <v>21900</v>
      </c>
      <c r="G461" s="145" t="n">
        <v>1597605</v>
      </c>
    </row>
    <row r="462" hidden="1" s="111">
      <c r="A462" s="145" t="n">
        <v>18</v>
      </c>
      <c r="B462" s="145" t="inlineStr">
        <is>
          <t>Carnes</t>
        </is>
      </c>
      <c r="C462" s="145" t="inlineStr">
        <is>
          <t>Camaron precocido</t>
        </is>
      </c>
      <c r="D462" s="145" t="inlineStr">
        <is>
          <t>CAMARON DE CULTIVO PRECOCIDO 91-110P</t>
        </is>
      </c>
      <c r="E462" s="145" t="n">
        <v>20.2</v>
      </c>
      <c r="F462" s="145" t="n">
        <v>22900</v>
      </c>
      <c r="G462" s="145" t="n">
        <v>462580</v>
      </c>
    </row>
    <row r="463" hidden="1" s="111">
      <c r="A463" s="145" t="n">
        <v>18</v>
      </c>
      <c r="B463" s="145" t="inlineStr">
        <is>
          <t>Carnes</t>
        </is>
      </c>
      <c r="C463" s="145" t="inlineStr">
        <is>
          <t>Lengua de res</t>
        </is>
      </c>
      <c r="D463" s="145" t="inlineStr">
        <is>
          <t>LENGUA DE RES IMP X KL</t>
        </is>
      </c>
      <c r="E463" s="145" t="n">
        <v>27.15</v>
      </c>
      <c r="F463" s="145" t="n">
        <v>23900</v>
      </c>
      <c r="G463" s="145" t="n">
        <v>648885</v>
      </c>
    </row>
    <row r="464" hidden="1" s="111">
      <c r="A464" s="145" t="n">
        <v>18</v>
      </c>
      <c r="B464" s="145" t="inlineStr">
        <is>
          <t>Carnes</t>
        </is>
      </c>
      <c r="C464" s="145" t="inlineStr">
        <is>
          <t>Sobaco</t>
        </is>
      </c>
      <c r="D464" s="145" t="inlineStr">
        <is>
          <t>SOBACO</t>
        </is>
      </c>
      <c r="E464" s="145" t="n">
        <v>21.2</v>
      </c>
      <c r="F464" s="145" t="n">
        <v>25900</v>
      </c>
      <c r="G464" s="145" t="n">
        <v>549080</v>
      </c>
    </row>
    <row r="465" hidden="1" s="111">
      <c r="A465" s="80" t="n">
        <v>27</v>
      </c>
      <c r="B465" s="143" t="inlineStr">
        <is>
          <t>Bebidas</t>
        </is>
      </c>
      <c r="C465" s="143" t="inlineStr">
        <is>
          <t>Coca cola zero 350</t>
        </is>
      </c>
      <c r="D465" s="143" t="inlineStr">
        <is>
          <t>COCA COLA ZERO 350ML VR(30)KZ (Coca-Cola Femsa)</t>
        </is>
      </c>
      <c r="E465" s="81" t="n">
        <v>1</v>
      </c>
      <c r="F465" s="81" t="n">
        <v>52521</v>
      </c>
      <c r="G465" s="81" t="n">
        <v>52521</v>
      </c>
    </row>
    <row r="466" hidden="1" s="111">
      <c r="A466" s="146" t="n">
        <v>3</v>
      </c>
      <c r="B466" s="146" t="inlineStr">
        <is>
          <t>Bebidas</t>
        </is>
      </c>
      <c r="C466" s="146" t="inlineStr">
        <is>
          <t>Coca cola zero 400ml pet(12)kz</t>
        </is>
      </c>
      <c r="D466" s="146" t="inlineStr">
        <is>
          <t>COCA COLA ZERO 400ML PET(12)KZ</t>
        </is>
      </c>
      <c r="E466" s="149" t="n">
        <v>2</v>
      </c>
      <c r="F466" s="157" t="n">
        <v>19411.5</v>
      </c>
      <c r="G466" s="157" t="n">
        <v>38823</v>
      </c>
    </row>
    <row r="467" hidden="1" s="111">
      <c r="A467" s="146" t="n">
        <v>28</v>
      </c>
      <c r="B467" s="146" t="inlineStr">
        <is>
          <t>Servicios</t>
        </is>
      </c>
      <c r="C467" s="146" t="inlineStr">
        <is>
          <t>Otros servicios de salud</t>
        </is>
      </c>
      <c r="D467" s="146" t="inlineStr">
        <is>
          <t>Exámenes Ocupacionales Segunda Quincena Agosto (Health Care IPS)</t>
        </is>
      </c>
      <c r="E467" s="149" t="n">
        <v>1</v>
      </c>
      <c r="F467" s="153" t="n">
        <v>273000</v>
      </c>
      <c r="G467" s="153" t="n">
        <v>273000</v>
      </c>
    </row>
    <row r="468" hidden="1" s="111">
      <c r="A468" s="146" t="n">
        <v>1</v>
      </c>
      <c r="B468" s="146" t="inlineStr">
        <is>
          <t>Servicios</t>
        </is>
      </c>
      <c r="C468" s="146" t="inlineStr">
        <is>
          <t>Pago turnos</t>
        </is>
      </c>
      <c r="D468" s="146" t="inlineStr">
        <is>
          <t>Turno kelly cocina (Recibo Caja Menor)</t>
        </is>
      </c>
      <c r="E468" s="149" t="n">
        <v>1</v>
      </c>
      <c r="F468" s="153" t="n">
        <v>66000</v>
      </c>
      <c r="G468" s="153" t="n">
        <v>66000</v>
      </c>
    </row>
    <row r="469" hidden="1" s="111">
      <c r="A469" s="146" t="n">
        <v>18</v>
      </c>
      <c r="B469" s="146" t="inlineStr">
        <is>
          <t>Verduras</t>
        </is>
      </c>
      <c r="C469" s="146" t="inlineStr">
        <is>
          <t>Platano maduro</t>
        </is>
      </c>
      <c r="D469" s="146" t="inlineStr">
        <is>
          <t>PLATANO</t>
        </is>
      </c>
      <c r="E469" s="150" t="n">
        <v>30.2</v>
      </c>
      <c r="F469" s="153" t="n">
        <v>2000</v>
      </c>
      <c r="G469" s="153" t="n">
        <v>60400</v>
      </c>
    </row>
    <row r="470" hidden="1" s="111">
      <c r="A470" s="146" t="n">
        <v>6</v>
      </c>
      <c r="B470" s="146" t="inlineStr">
        <is>
          <t>Bebidas</t>
        </is>
      </c>
      <c r="C470" s="146" t="inlineStr">
        <is>
          <t>Coca cola zero 400ml pet(12)kz</t>
        </is>
      </c>
      <c r="D470" s="146" t="inlineStr">
        <is>
          <t>COCA COLA ZERO 400ML PET(12)KZ</t>
        </is>
      </c>
      <c r="E470" s="150" t="n">
        <v>3</v>
      </c>
      <c r="F470" s="153" t="n">
        <v>19411.67</v>
      </c>
      <c r="G470" s="153" t="n">
        <v>58235</v>
      </c>
    </row>
    <row r="471" hidden="1" s="111">
      <c r="A471" s="146" t="n">
        <v>20</v>
      </c>
      <c r="B471" s="146" t="inlineStr">
        <is>
          <t>Bebidas</t>
        </is>
      </c>
      <c r="C471" s="146" t="inlineStr">
        <is>
          <t>Coca cola zero 400ml pet(12)kz</t>
        </is>
      </c>
      <c r="D471" s="146" t="inlineStr">
        <is>
          <t>COCA COLA ZERO 400ML PET(12)KZ</t>
        </is>
      </c>
      <c r="E471" s="149" t="n">
        <v>2</v>
      </c>
      <c r="F471" s="153" t="n">
        <v>19411.5</v>
      </c>
      <c r="G471" s="153" t="n">
        <v>38823</v>
      </c>
    </row>
    <row r="472" hidden="1" s="111">
      <c r="A472" s="146" t="n">
        <v>18</v>
      </c>
      <c r="B472" s="146" t="inlineStr">
        <is>
          <t>Grano</t>
        </is>
      </c>
      <c r="C472" s="146" t="inlineStr">
        <is>
          <t>Aceite de soya</t>
        </is>
      </c>
      <c r="D472" s="146" t="inlineStr">
        <is>
          <t>ACEITE DE SOY</t>
        </is>
      </c>
      <c r="E472" s="149" t="n">
        <v>4</v>
      </c>
      <c r="F472" s="153" t="n">
        <v>22990</v>
      </c>
      <c r="G472" s="153" t="n">
        <v>91960</v>
      </c>
    </row>
    <row r="473" hidden="1" s="111">
      <c r="A473" s="146" t="n">
        <v>18</v>
      </c>
      <c r="B473" s="146" t="inlineStr">
        <is>
          <t>Grano</t>
        </is>
      </c>
      <c r="C473" s="146" t="inlineStr">
        <is>
          <t>Pasta la muñeca</t>
        </is>
      </c>
      <c r="D473" s="146" t="inlineStr">
        <is>
          <t>PASTA LA MUNECA*1000g ESPAGUETI</t>
        </is>
      </c>
      <c r="E473" s="149" t="n">
        <v>1</v>
      </c>
      <c r="F473" s="153" t="n">
        <v>4950</v>
      </c>
      <c r="G473" s="153" t="n">
        <v>4950</v>
      </c>
    </row>
    <row r="474" hidden="1" s="111">
      <c r="A474" s="146" t="n">
        <v>18</v>
      </c>
      <c r="B474" s="146" t="inlineStr">
        <is>
          <t>Verduras</t>
        </is>
      </c>
      <c r="C474" s="146" t="inlineStr">
        <is>
          <t>Pimenton</t>
        </is>
      </c>
      <c r="D474" s="146" t="inlineStr">
        <is>
          <t>PIMENTON A GRANEL</t>
        </is>
      </c>
      <c r="E474" s="149" t="n">
        <v>0.66</v>
      </c>
      <c r="F474" s="157" t="n">
        <v>5300</v>
      </c>
      <c r="G474" s="153" t="n">
        <v>3498</v>
      </c>
    </row>
    <row r="475" hidden="1" s="111">
      <c r="A475" s="146" t="n">
        <v>18</v>
      </c>
      <c r="B475" s="146" t="inlineStr">
        <is>
          <t>Verduras</t>
        </is>
      </c>
      <c r="C475" s="146" t="inlineStr">
        <is>
          <t>Aguacate común</t>
        </is>
      </c>
      <c r="D475" s="146" t="inlineStr">
        <is>
          <t>AGUACATE COMUN*und</t>
        </is>
      </c>
      <c r="E475" s="149" t="n">
        <v>4</v>
      </c>
      <c r="F475" s="157" t="n">
        <v>6800</v>
      </c>
      <c r="G475" s="157" t="n">
        <v>27200</v>
      </c>
    </row>
    <row r="476" hidden="1" s="111">
      <c r="A476" s="146" t="n">
        <v>18</v>
      </c>
      <c r="B476" s="146" t="inlineStr">
        <is>
          <t>Grano</t>
        </is>
      </c>
      <c r="C476" s="146" t="inlineStr">
        <is>
          <t>Pasta la muñeca</t>
        </is>
      </c>
      <c r="D476" s="146" t="inlineStr">
        <is>
          <t>PASTA LA MUNECA*500g ESPAGUETI</t>
        </is>
      </c>
      <c r="E476" s="149" t="n">
        <v>2</v>
      </c>
      <c r="F476" s="157" t="n">
        <v>3900</v>
      </c>
      <c r="G476" s="157" t="n">
        <v>7800</v>
      </c>
    </row>
    <row r="477" hidden="1" s="111">
      <c r="A477" s="143" t="n">
        <v>1</v>
      </c>
      <c r="B477" s="143" t="inlineStr">
        <is>
          <t>Servicios</t>
        </is>
      </c>
      <c r="C477" s="143" t="inlineStr">
        <is>
          <t>Pago turnos</t>
        </is>
      </c>
      <c r="D477" s="143" t="inlineStr">
        <is>
          <t>Incentivo cumplimiento mes de Julio (Jhonatan Ocampo)</t>
        </is>
      </c>
      <c r="E477" s="147" t="n">
        <v>1</v>
      </c>
      <c r="F477" s="151" t="n">
        <v>100000</v>
      </c>
      <c r="G477" s="151" t="n">
        <v>100000</v>
      </c>
    </row>
    <row r="478" hidden="1" s="111">
      <c r="A478" s="146" t="n">
        <v>18</v>
      </c>
      <c r="B478" s="146" t="inlineStr">
        <is>
          <t>Verduras</t>
        </is>
      </c>
      <c r="C478" s="146" t="inlineStr">
        <is>
          <t>Habichuela</t>
        </is>
      </c>
      <c r="D478" s="146" t="inlineStr">
        <is>
          <t>HABICHUELA A GRANEL (1.530kg + 1.590kg)</t>
        </is>
      </c>
      <c r="E478" s="150" t="n">
        <v>3.12</v>
      </c>
      <c r="F478" s="153" t="n">
        <v>8500</v>
      </c>
      <c r="G478" s="153" t="n">
        <v>26520</v>
      </c>
    </row>
    <row r="479" hidden="1" s="111">
      <c r="A479" s="146" t="n">
        <v>18</v>
      </c>
      <c r="B479" s="146" t="inlineStr">
        <is>
          <t>Carnes</t>
        </is>
      </c>
      <c r="C479" s="146" t="inlineStr">
        <is>
          <t>Pezua</t>
        </is>
      </c>
      <c r="D479" s="146" t="inlineStr">
        <is>
          <t>PEZUNA CERDO A GRANEL (4.064kg + 2.782kg)</t>
        </is>
      </c>
      <c r="E479" s="150" t="n">
        <v>6.846</v>
      </c>
      <c r="F479" s="153" t="n">
        <v>9700</v>
      </c>
      <c r="G479" s="153" t="n">
        <v>66406</v>
      </c>
    </row>
    <row r="480" hidden="1" s="111">
      <c r="A480" s="143" t="n">
        <v>19</v>
      </c>
      <c r="B480" s="143" t="inlineStr">
        <is>
          <t>Carnes</t>
        </is>
      </c>
      <c r="C480" s="143" t="inlineStr">
        <is>
          <t>Caderita</t>
        </is>
      </c>
      <c r="D480" s="143" t="inlineStr">
        <is>
          <t>CADERITA DE RES</t>
        </is>
      </c>
      <c r="E480" s="143" t="n">
        <v>4.35</v>
      </c>
      <c r="F480" s="143" t="n">
        <v>34000</v>
      </c>
      <c r="G480" s="143" t="n">
        <v>147900</v>
      </c>
    </row>
    <row r="481" hidden="1" s="111">
      <c r="A481" s="143" t="n">
        <v>19</v>
      </c>
      <c r="B481" s="143" t="inlineStr">
        <is>
          <t>Carnes</t>
        </is>
      </c>
      <c r="C481" s="143" t="inlineStr">
        <is>
          <t>Costilla de res</t>
        </is>
      </c>
      <c r="D481" s="143" t="inlineStr">
        <is>
          <t>COSTILLA DE RES</t>
        </is>
      </c>
      <c r="E481" s="143" t="n">
        <v>7.15</v>
      </c>
      <c r="F481" s="143" t="n">
        <v>18000</v>
      </c>
      <c r="G481" s="143" t="n">
        <v>128700</v>
      </c>
    </row>
    <row r="482" hidden="1" s="111">
      <c r="A482" s="143" t="n">
        <v>19</v>
      </c>
      <c r="B482" s="143" t="inlineStr">
        <is>
          <t>Carnes</t>
        </is>
      </c>
      <c r="C482" s="143" t="inlineStr">
        <is>
          <t>Sobrebarriga delgada</t>
        </is>
      </c>
      <c r="D482" s="143" t="inlineStr">
        <is>
          <t>SOBREBARRIGA DE RES</t>
        </is>
      </c>
      <c r="E482" s="143" t="n">
        <v>10</v>
      </c>
      <c r="F482" s="143" t="n">
        <v>30000</v>
      </c>
      <c r="G482" s="143" t="n">
        <v>300000</v>
      </c>
    </row>
    <row r="483" hidden="1" s="111">
      <c r="A483" s="143" t="n">
        <v>19</v>
      </c>
      <c r="B483" s="143" t="inlineStr">
        <is>
          <t>Carnes</t>
        </is>
      </c>
      <c r="C483" s="143" t="inlineStr">
        <is>
          <t>Costilla de res</t>
        </is>
      </c>
      <c r="D483" s="143" t="inlineStr">
        <is>
          <t>COSTILLA DE RES</t>
        </is>
      </c>
      <c r="E483" s="143" t="n">
        <v>20</v>
      </c>
      <c r="F483" s="143" t="n">
        <v>20000</v>
      </c>
      <c r="G483" s="143" t="n">
        <v>400000</v>
      </c>
    </row>
    <row r="484" hidden="1" s="111">
      <c r="A484" s="143" t="n">
        <v>19</v>
      </c>
      <c r="B484" s="143" t="inlineStr">
        <is>
          <t>Desechables</t>
        </is>
      </c>
      <c r="C484" s="143" t="inlineStr">
        <is>
          <t>Crema de leche</t>
        </is>
      </c>
      <c r="D484" s="143" t="inlineStr">
        <is>
          <t>CREMA DE LECHE 1000G</t>
        </is>
      </c>
      <c r="E484" s="143" t="n">
        <v>4</v>
      </c>
      <c r="F484" s="143" t="n">
        <v>18200</v>
      </c>
      <c r="G484" s="143" t="n">
        <v>72800</v>
      </c>
    </row>
    <row r="485" hidden="1" s="111">
      <c r="A485" s="143" t="n">
        <v>19</v>
      </c>
      <c r="B485" s="143" t="inlineStr">
        <is>
          <t>Grano</t>
        </is>
      </c>
      <c r="C485" s="143" t="inlineStr">
        <is>
          <t>Sabor original</t>
        </is>
      </c>
      <c r="D485" s="143" t="inlineStr">
        <is>
          <t>SABOR ORIGINAL INSTITUCIONAL 1100ML</t>
        </is>
      </c>
      <c r="E485" s="143" t="n">
        <v>60</v>
      </c>
      <c r="F485" s="143" t="n">
        <v>4180</v>
      </c>
      <c r="G485" s="143" t="n">
        <v>250800</v>
      </c>
    </row>
    <row r="486" hidden="1" s="111">
      <c r="A486" s="146" t="n">
        <v>6</v>
      </c>
      <c r="B486" s="146" t="inlineStr">
        <is>
          <t>Bebidas</t>
        </is>
      </c>
      <c r="C486" s="146" t="inlineStr">
        <is>
          <t>Coca cola 350</t>
        </is>
      </c>
      <c r="D486" s="146" t="inlineStr">
        <is>
          <t>COCA-COLA 350ML VIR(30)</t>
        </is>
      </c>
      <c r="E486" s="150" t="n">
        <v>1</v>
      </c>
      <c r="F486" s="153" t="n">
        <v>46521</v>
      </c>
      <c r="G486" s="153" t="n">
        <v>46521</v>
      </c>
    </row>
    <row r="487" hidden="1" s="111">
      <c r="A487" s="146" t="n">
        <v>10</v>
      </c>
      <c r="B487" s="146" t="inlineStr">
        <is>
          <t>Bebidas</t>
        </is>
      </c>
      <c r="C487" s="146" t="inlineStr">
        <is>
          <t>Coca cola 350</t>
        </is>
      </c>
      <c r="D487" s="146" t="inlineStr">
        <is>
          <t>COCA-COLA 350ML VIR(30)</t>
        </is>
      </c>
      <c r="E487" s="149" t="n">
        <v>1</v>
      </c>
      <c r="F487" s="157" t="n">
        <v>46521</v>
      </c>
      <c r="G487" s="157" t="n">
        <v>46521</v>
      </c>
    </row>
    <row r="488" hidden="1" s="111">
      <c r="A488" s="143" t="n">
        <v>19</v>
      </c>
      <c r="B488" s="143" t="inlineStr">
        <is>
          <t>Carnes</t>
        </is>
      </c>
      <c r="C488" s="143" t="inlineStr">
        <is>
          <t>Pechuga mcpollo</t>
        </is>
      </c>
      <c r="D488" s="143" t="inlineStr">
        <is>
          <t>FILETE DE PECHUGA MARIPOSA X KL</t>
        </is>
      </c>
      <c r="E488" s="143" t="n">
        <v>1.29</v>
      </c>
      <c r="F488" s="143" t="n">
        <v>13900</v>
      </c>
      <c r="G488" s="143" t="n">
        <v>17931</v>
      </c>
    </row>
    <row r="489" hidden="1" s="111">
      <c r="A489" s="143" t="n">
        <v>19</v>
      </c>
      <c r="B489" s="143" t="inlineStr">
        <is>
          <t>Carnes</t>
        </is>
      </c>
      <c r="C489" s="143" t="inlineStr">
        <is>
          <t>Lomo de caracho</t>
        </is>
      </c>
      <c r="D489" s="143" t="inlineStr">
        <is>
          <t>LOMO CARACHO PARRILLA PORCIONADO</t>
        </is>
      </c>
      <c r="E489" s="143" t="n">
        <v>0.925</v>
      </c>
      <c r="F489" s="143" t="n">
        <v>48900.54</v>
      </c>
      <c r="G489" s="143" t="n">
        <v>45233</v>
      </c>
    </row>
    <row r="490" hidden="1" s="111">
      <c r="A490" s="143" t="n">
        <v>19</v>
      </c>
      <c r="B490" s="143" t="inlineStr">
        <is>
          <t>Carnes</t>
        </is>
      </c>
      <c r="C490" s="143" t="inlineStr">
        <is>
          <t>Lomo de caracho</t>
        </is>
      </c>
      <c r="D490" s="143" t="inlineStr">
        <is>
          <t>LOMO CARACHO TRADICIONAL</t>
        </is>
      </c>
      <c r="E490" s="143" t="n">
        <v>1.645</v>
      </c>
      <c r="F490" s="143" t="n">
        <v>41900.3</v>
      </c>
      <c r="G490" s="143" t="n">
        <v>68926</v>
      </c>
    </row>
    <row r="491" hidden="1" s="111">
      <c r="A491" s="143" t="n">
        <v>19</v>
      </c>
      <c r="B491" s="143" t="inlineStr">
        <is>
          <t>Carnes</t>
        </is>
      </c>
      <c r="C491" s="143" t="inlineStr">
        <is>
          <t>Carne molida</t>
        </is>
      </c>
      <c r="D491" s="143" t="inlineStr">
        <is>
          <t>CARNE B.D.F MOLIDA 90-10</t>
        </is>
      </c>
      <c r="E491" s="143" t="n">
        <v>0.505</v>
      </c>
      <c r="F491" s="143" t="n">
        <v>26900.99</v>
      </c>
      <c r="G491" s="143" t="n">
        <v>13585</v>
      </c>
    </row>
    <row r="492" hidden="1" s="111">
      <c r="A492" s="143" t="n">
        <v>19</v>
      </c>
      <c r="B492" s="143" t="inlineStr">
        <is>
          <t>Carnes</t>
        </is>
      </c>
      <c r="C492" s="143" t="inlineStr">
        <is>
          <t>Costilla san luis jr</t>
        </is>
      </c>
      <c r="D492" s="143" t="inlineStr">
        <is>
          <t>COSTILLA SAN LUIS JUNIOR</t>
        </is>
      </c>
      <c r="E492" s="143" t="n">
        <v>1.25</v>
      </c>
      <c r="F492" s="143" t="n">
        <v>21900</v>
      </c>
      <c r="G492" s="143" t="n">
        <v>27375</v>
      </c>
    </row>
    <row r="493" hidden="1" s="111">
      <c r="A493" s="143" t="n">
        <v>19</v>
      </c>
      <c r="B493" s="143" t="inlineStr">
        <is>
          <t>Carnes</t>
        </is>
      </c>
      <c r="C493" s="143" t="inlineStr">
        <is>
          <t>Caderita</t>
        </is>
      </c>
      <c r="D493" s="143" t="inlineStr">
        <is>
          <t>COLA DE CADERA</t>
        </is>
      </c>
      <c r="E493" s="143" t="n">
        <v>1.205</v>
      </c>
      <c r="F493" s="143" t="n">
        <v>29800</v>
      </c>
      <c r="G493" s="143" t="n">
        <v>35909</v>
      </c>
    </row>
    <row r="494" hidden="1" s="111">
      <c r="A494" s="143" t="n">
        <v>19</v>
      </c>
      <c r="B494" s="143" t="inlineStr">
        <is>
          <t>Carnes</t>
        </is>
      </c>
      <c r="C494" s="143" t="inlineStr">
        <is>
          <t>Chorizo Premium</t>
        </is>
      </c>
      <c r="D494" s="143" t="inlineStr">
        <is>
          <t>CHORIZO DE CERDO PARRILLERO - PICANT</t>
        </is>
      </c>
      <c r="E494" s="143" t="n">
        <v>1</v>
      </c>
      <c r="F494" s="143" t="n">
        <v>17450</v>
      </c>
      <c r="G494" s="143" t="n">
        <v>17450</v>
      </c>
    </row>
    <row r="495" hidden="1" s="111">
      <c r="A495" s="58" t="n">
        <v>19</v>
      </c>
      <c r="B495" s="58" t="inlineStr">
        <is>
          <t>Carnes</t>
        </is>
      </c>
      <c r="C495" s="58" t="inlineStr">
        <is>
          <t>Carne molida</t>
        </is>
      </c>
      <c r="D495" s="58" t="inlineStr">
        <is>
          <t>CARNE MOLIDA DE CERDO MARINADA 500GR</t>
        </is>
      </c>
      <c r="E495" s="58" t="n">
        <v>1</v>
      </c>
      <c r="F495" s="58" t="n">
        <v>10900</v>
      </c>
      <c r="G495" s="58" t="n">
        <v>10900</v>
      </c>
    </row>
    <row r="496" hidden="1" s="111">
      <c r="A496" s="58" t="n">
        <v>19</v>
      </c>
      <c r="B496" s="58" t="inlineStr">
        <is>
          <t>Verduras</t>
        </is>
      </c>
      <c r="C496" s="58" t="inlineStr">
        <is>
          <t>Queso mozarella</t>
        </is>
      </c>
      <c r="D496" s="58" t="inlineStr">
        <is>
          <t>QUESO CREMA 1,360KG</t>
        </is>
      </c>
      <c r="E496" s="58" t="n">
        <v>1</v>
      </c>
      <c r="F496" s="58" t="n">
        <v>30900</v>
      </c>
      <c r="G496" s="58" t="n">
        <v>30900</v>
      </c>
    </row>
    <row r="497" hidden="1" s="111">
      <c r="A497" s="58" t="n">
        <v>19</v>
      </c>
      <c r="B497" s="58" t="inlineStr">
        <is>
          <t>Carnes</t>
        </is>
      </c>
      <c r="C497" s="58" t="inlineStr">
        <is>
          <t>Salchicha</t>
        </is>
      </c>
      <c r="D497" s="58" t="inlineStr">
        <is>
          <t>SALCHICHA SUPER PERRO LUCARNI X 640</t>
        </is>
      </c>
      <c r="E497" s="58" t="n">
        <v>1</v>
      </c>
      <c r="F497" s="58" t="n">
        <v>15500</v>
      </c>
      <c r="G497" s="58" t="n">
        <v>15500</v>
      </c>
    </row>
    <row r="498" hidden="1" s="111">
      <c r="A498" s="146" t="n">
        <v>19</v>
      </c>
      <c r="B498" s="146" t="inlineStr">
        <is>
          <t>Carnes</t>
        </is>
      </c>
      <c r="C498" s="146" t="inlineStr">
        <is>
          <t>Pechuga mcpollo</t>
        </is>
      </c>
      <c r="D498" s="146" t="inlineStr">
        <is>
          <t>PECHUGA REFRIGERADA</t>
        </is>
      </c>
      <c r="E498" s="149" t="n">
        <v>3.2</v>
      </c>
      <c r="F498" s="153" t="n">
        <v>14900</v>
      </c>
      <c r="G498" s="153" t="n">
        <v>47680</v>
      </c>
    </row>
    <row r="499" hidden="1" s="111">
      <c r="A499" s="59" t="n">
        <v>19</v>
      </c>
      <c r="B499" s="59" t="inlineStr">
        <is>
          <t>Carnes</t>
        </is>
      </c>
      <c r="C499" s="59" t="inlineStr">
        <is>
          <t>Pernil de pollo</t>
        </is>
      </c>
      <c r="D499" s="59" t="inlineStr">
        <is>
          <t>PERNIL BLANCO</t>
        </is>
      </c>
      <c r="E499" s="69" t="n">
        <v>19.3</v>
      </c>
      <c r="F499" s="72" t="n">
        <v>7700</v>
      </c>
      <c r="G499" s="70" t="n">
        <v>148610</v>
      </c>
    </row>
    <row r="500" hidden="1" s="111">
      <c r="A500" s="59" t="n">
        <v>19</v>
      </c>
      <c r="B500" s="59" t="inlineStr">
        <is>
          <t>Carnes</t>
        </is>
      </c>
      <c r="C500" s="59" t="inlineStr">
        <is>
          <t>Costilla de cerdo especial</t>
        </is>
      </c>
      <c r="D500" s="59" t="inlineStr">
        <is>
          <t>COSTILLA DE CERDO IBP 244M</t>
        </is>
      </c>
      <c r="E500" s="69" t="n">
        <v>26.6</v>
      </c>
      <c r="F500" s="70" t="n">
        <v>14900</v>
      </c>
      <c r="G500" s="70" t="n">
        <v>396340</v>
      </c>
    </row>
    <row r="501" hidden="1" s="111">
      <c r="A501" s="59" t="n">
        <v>19</v>
      </c>
      <c r="B501" s="59" t="inlineStr">
        <is>
          <t>Carnes</t>
        </is>
      </c>
      <c r="C501" s="59" t="inlineStr">
        <is>
          <t>Sobaco</t>
        </is>
      </c>
      <c r="D501" s="59" t="inlineStr">
        <is>
          <t>SOBACO</t>
        </is>
      </c>
      <c r="E501" s="69" t="n">
        <v>27.2</v>
      </c>
      <c r="F501" s="70" t="n">
        <v>25900</v>
      </c>
      <c r="G501" s="70" t="n">
        <v>704480</v>
      </c>
    </row>
    <row r="502" hidden="1" s="111">
      <c r="A502" s="65" t="n">
        <v>19</v>
      </c>
      <c r="B502" s="65" t="inlineStr">
        <is>
          <t>Carnes</t>
        </is>
      </c>
      <c r="C502" s="65" t="inlineStr">
        <is>
          <t>Trozos e pechuga</t>
        </is>
      </c>
      <c r="D502" s="65" t="inlineStr">
        <is>
          <t>TROZOS DE PECHUGA</t>
        </is>
      </c>
      <c r="E502" s="65" t="n">
        <v>19</v>
      </c>
      <c r="F502" s="65" t="n">
        <v>10900</v>
      </c>
      <c r="G502" s="65" t="n">
        <v>207100</v>
      </c>
    </row>
    <row r="503" hidden="1" s="111">
      <c r="A503" s="65" t="n">
        <v>19</v>
      </c>
      <c r="B503" s="65" t="inlineStr">
        <is>
          <t>Verduras</t>
        </is>
      </c>
      <c r="C503" s="65" t="inlineStr">
        <is>
          <t>Papa a la francesa paq 2.5 kl</t>
        </is>
      </c>
      <c r="D503" s="65" t="inlineStr">
        <is>
          <t>PAPA A LA FRANCESA PAQ 2.5 KL</t>
        </is>
      </c>
      <c r="E503" s="65" t="n">
        <v>12</v>
      </c>
      <c r="F503" s="65" t="n">
        <v>16386.58</v>
      </c>
      <c r="G503" s="65" t="n">
        <v>196639</v>
      </c>
    </row>
    <row r="504" hidden="1" s="111">
      <c r="A504" s="65" t="n">
        <v>19</v>
      </c>
      <c r="B504" s="65" t="inlineStr">
        <is>
          <t>Carnes</t>
        </is>
      </c>
      <c r="C504" s="65" t="inlineStr">
        <is>
          <t>Punta de anca</t>
        </is>
      </c>
      <c r="D504" s="65" t="inlineStr">
        <is>
          <t>PUNTA DE ANCA IMP PORC. PARRILLA</t>
        </is>
      </c>
      <c r="E504" s="65" t="n">
        <v>10</v>
      </c>
      <c r="F504" s="65" t="n">
        <v>44000</v>
      </c>
      <c r="G504" s="65" t="n">
        <v>440000</v>
      </c>
    </row>
    <row r="505" hidden="1" s="111">
      <c r="A505" s="65" t="n">
        <v>19</v>
      </c>
      <c r="B505" s="65" t="inlineStr">
        <is>
          <t>Carnes</t>
        </is>
      </c>
      <c r="C505" s="65" t="inlineStr">
        <is>
          <t>Lomo de caracho</t>
        </is>
      </c>
      <c r="D505" s="65" t="inlineStr">
        <is>
          <t>LOMO CARACHO PORCIONADO PARRILLA</t>
        </is>
      </c>
      <c r="E505" s="65" t="n">
        <v>22</v>
      </c>
      <c r="F505" s="65" t="n">
        <v>44000</v>
      </c>
      <c r="G505" s="65" t="n">
        <v>968000</v>
      </c>
    </row>
    <row r="506" hidden="1" s="111">
      <c r="A506" s="65" t="n">
        <v>19</v>
      </c>
      <c r="B506" s="65" t="inlineStr">
        <is>
          <t>Carnes</t>
        </is>
      </c>
      <c r="C506" s="65" t="inlineStr">
        <is>
          <t>Lengua de res</t>
        </is>
      </c>
      <c r="D506" s="65" t="inlineStr">
        <is>
          <t>LENGUA DE RES IMP X KL</t>
        </is>
      </c>
      <c r="E506" s="65" t="n">
        <v>26.15</v>
      </c>
      <c r="F506" s="65" t="n">
        <v>23900</v>
      </c>
      <c r="G506" s="65" t="n">
        <v>624985</v>
      </c>
    </row>
    <row r="507" hidden="1" s="111">
      <c r="A507" s="65" t="n">
        <v>19</v>
      </c>
      <c r="B507" s="65" t="inlineStr">
        <is>
          <t>Carnes</t>
        </is>
      </c>
      <c r="C507" s="65" t="inlineStr">
        <is>
          <t>Costilla de res</t>
        </is>
      </c>
      <c r="D507" s="65" t="inlineStr">
        <is>
          <t>COSTILLA DE RES DELANTERA</t>
        </is>
      </c>
      <c r="E507" s="65" t="n">
        <v>33.65</v>
      </c>
      <c r="F507" s="65" t="n">
        <v>18500</v>
      </c>
      <c r="G507" s="65" t="n">
        <v>622525</v>
      </c>
    </row>
    <row r="508" hidden="1" s="111">
      <c r="A508" s="65" t="n">
        <v>19</v>
      </c>
      <c r="B508" s="65" t="inlineStr">
        <is>
          <t>Verduras</t>
        </is>
      </c>
      <c r="C508" s="65" t="inlineStr">
        <is>
          <t>Color isabel</t>
        </is>
      </c>
      <c r="D508" s="65" t="inlineStr">
        <is>
          <t>2 BTS. COLOR</t>
        </is>
      </c>
      <c r="E508" s="65" t="n">
        <v>2</v>
      </c>
      <c r="F508" s="65" t="n">
        <v>340000</v>
      </c>
      <c r="G508" s="65" t="n">
        <v>680000</v>
      </c>
    </row>
    <row r="509" hidden="1" s="111">
      <c r="A509" s="65" t="n">
        <v>19</v>
      </c>
      <c r="B509" s="65" t="inlineStr">
        <is>
          <t>Carnes</t>
        </is>
      </c>
      <c r="C509" s="65" t="inlineStr">
        <is>
          <t>Espinazo de cerdo</t>
        </is>
      </c>
      <c r="D509" s="65" t="inlineStr">
        <is>
          <t>ESPINAZO DE CERDO A GRANEL</t>
        </is>
      </c>
      <c r="E509" s="65" t="n">
        <v>4.24</v>
      </c>
      <c r="F509" s="65" t="n">
        <v>8984.2358</v>
      </c>
      <c r="G509" s="65" t="n">
        <v>38093.16</v>
      </c>
    </row>
    <row r="510" hidden="1" s="111">
      <c r="A510" s="65" t="n">
        <v>19</v>
      </c>
      <c r="B510" s="65" t="inlineStr">
        <is>
          <t>Desechables</t>
        </is>
      </c>
      <c r="C510" s="65" t="inlineStr">
        <is>
          <t>Bolsa canaveral 100% material recicl f</t>
        </is>
      </c>
      <c r="D510" s="65" t="inlineStr">
        <is>
          <t>BOLSA CANAVERAL 100% MATERIAL RECICL F</t>
        </is>
      </c>
      <c r="E510" s="65" t="n">
        <v>1</v>
      </c>
      <c r="F510" s="65" t="n">
        <v>360</v>
      </c>
      <c r="G510" s="65" t="n">
        <v>360</v>
      </c>
    </row>
    <row r="511" hidden="1" s="111">
      <c r="A511" s="65" t="n">
        <v>19</v>
      </c>
      <c r="B511" s="65" t="inlineStr">
        <is>
          <t>Desechables</t>
        </is>
      </c>
      <c r="C511" s="65" t="inlineStr">
        <is>
          <t>Impuesto bolsa</t>
        </is>
      </c>
      <c r="D511" s="65" t="inlineStr">
        <is>
          <t>IMPUESTO A LA BOLSA</t>
        </is>
      </c>
      <c r="E511" s="65" t="n">
        <v>1</v>
      </c>
      <c r="F511" s="65" t="n">
        <v>73</v>
      </c>
      <c r="G511" s="65" t="n">
        <v>73</v>
      </c>
    </row>
    <row r="512" hidden="1" s="111">
      <c r="A512" s="65" t="n">
        <v>19</v>
      </c>
      <c r="B512" s="65" t="inlineStr">
        <is>
          <t>Verduras</t>
        </is>
      </c>
      <c r="C512" s="65" t="inlineStr">
        <is>
          <t>Platano guineo</t>
        </is>
      </c>
      <c r="D512" s="65" t="inlineStr">
        <is>
          <t>GUINEO</t>
        </is>
      </c>
      <c r="E512" s="65" t="n">
        <v>6.32</v>
      </c>
      <c r="F512" s="65" t="n">
        <v>1490</v>
      </c>
      <c r="G512" s="65" t="n">
        <v>9416.799999999999</v>
      </c>
    </row>
    <row r="513" hidden="1" s="111">
      <c r="A513" s="65" t="n">
        <v>19</v>
      </c>
      <c r="B513" s="65" t="inlineStr">
        <is>
          <t>Verduras</t>
        </is>
      </c>
      <c r="C513" s="65" t="inlineStr">
        <is>
          <t>Platano guineo</t>
        </is>
      </c>
      <c r="D513" s="65" t="inlineStr">
        <is>
          <t>GUINEO</t>
        </is>
      </c>
      <c r="E513" s="65" t="n">
        <v>6.96</v>
      </c>
      <c r="F513" s="65" t="n">
        <v>1490</v>
      </c>
      <c r="G513" s="65" t="n">
        <v>10370.4</v>
      </c>
    </row>
    <row r="514" hidden="1" s="111">
      <c r="A514" s="65" t="n">
        <v>19</v>
      </c>
      <c r="B514" s="65" t="inlineStr">
        <is>
          <t>Verduras</t>
        </is>
      </c>
      <c r="C514" s="65" t="inlineStr">
        <is>
          <t>Platano guineo</t>
        </is>
      </c>
      <c r="D514" s="65" t="inlineStr">
        <is>
          <t>GUINEO</t>
        </is>
      </c>
      <c r="E514" s="65" t="n">
        <v>5.3</v>
      </c>
      <c r="F514" s="65" t="n">
        <v>1490</v>
      </c>
      <c r="G514" s="65" t="n">
        <v>7897</v>
      </c>
    </row>
    <row r="515" hidden="1" s="111">
      <c r="A515" s="65" t="n">
        <v>17</v>
      </c>
      <c r="B515" s="65" t="inlineStr">
        <is>
          <t>Bebidas</t>
        </is>
      </c>
      <c r="C515" s="65" t="inlineStr">
        <is>
          <t>Coca cola 350</t>
        </is>
      </c>
      <c r="D515" s="65" t="inlineStr">
        <is>
          <t>COCA-COLA 350ML VIR(30)</t>
        </is>
      </c>
      <c r="E515" s="65" t="n">
        <v>2</v>
      </c>
      <c r="F515" s="65" t="n">
        <v>46521</v>
      </c>
      <c r="G515" s="65" t="n">
        <v>93042</v>
      </c>
    </row>
    <row r="516" hidden="1" s="111">
      <c r="A516" s="65" t="n">
        <v>19</v>
      </c>
      <c r="B516" s="65" t="inlineStr">
        <is>
          <t>Desechables</t>
        </is>
      </c>
      <c r="C516" s="65" t="inlineStr">
        <is>
          <t>Bolsa canaveral 100% material recicl f</t>
        </is>
      </c>
      <c r="D516" s="65" t="inlineStr">
        <is>
          <t>BOLSA 100% RECICLABLE*Und PEQ</t>
        </is>
      </c>
      <c r="E516" s="65" t="n">
        <v>1</v>
      </c>
      <c r="F516" s="65" t="n">
        <v>400</v>
      </c>
      <c r="G516" s="65" t="n">
        <v>400</v>
      </c>
    </row>
    <row r="517" hidden="1" s="111">
      <c r="A517" s="59" t="n">
        <v>19</v>
      </c>
      <c r="B517" s="59" t="inlineStr">
        <is>
          <t>Carnes</t>
        </is>
      </c>
      <c r="C517" s="59" t="inlineStr">
        <is>
          <t>Mortadela</t>
        </is>
      </c>
      <c r="D517" s="59" t="inlineStr">
        <is>
          <t>MORTADELA RICA*450g</t>
        </is>
      </c>
      <c r="E517" s="69" t="n">
        <v>1</v>
      </c>
      <c r="F517" s="72" t="n">
        <v>10600</v>
      </c>
      <c r="G517" s="72" t="n">
        <v>10600</v>
      </c>
    </row>
    <row r="518" hidden="1" s="111">
      <c r="A518" s="59" t="n">
        <v>19</v>
      </c>
      <c r="B518" s="59" t="inlineStr">
        <is>
          <t>Carnes</t>
        </is>
      </c>
      <c r="C518" s="59" t="inlineStr">
        <is>
          <t>Salchicha ranchera</t>
        </is>
      </c>
      <c r="D518" s="59" t="inlineStr">
        <is>
          <t>SALCHICHA RANCHERA*480g</t>
        </is>
      </c>
      <c r="E518" s="69" t="n">
        <v>1</v>
      </c>
      <c r="F518" s="72" t="n">
        <v>29500</v>
      </c>
      <c r="G518" s="70" t="n">
        <v>29500</v>
      </c>
    </row>
    <row r="519" hidden="1" s="111">
      <c r="A519" s="59" t="n">
        <v>19</v>
      </c>
      <c r="B519" s="59" t="inlineStr">
        <is>
          <t>Carnes</t>
        </is>
      </c>
      <c r="C519" s="59" t="inlineStr">
        <is>
          <t>Pechuga mcpollo</t>
        </is>
      </c>
      <c r="D519" s="59" t="inlineStr">
        <is>
          <t>PECHUGA MACPOLLO CAMPO MARIN A GRANEL</t>
        </is>
      </c>
      <c r="E519" s="69" t="n">
        <v>4.174</v>
      </c>
      <c r="F519" s="70" t="n">
        <v>13475</v>
      </c>
      <c r="G519" s="70" t="n">
        <v>56244.65</v>
      </c>
    </row>
    <row r="520" hidden="1" s="111">
      <c r="A520" s="59" t="n">
        <v>19</v>
      </c>
      <c r="B520" s="59" t="inlineStr">
        <is>
          <t>Desechables</t>
        </is>
      </c>
      <c r="C520" s="59" t="inlineStr">
        <is>
          <t>Bolsa canaveral 100% material recicl f</t>
        </is>
      </c>
      <c r="D520" s="59" t="inlineStr">
        <is>
          <t>BOLSA CANAVERAL 100% MATERIAL RECICL P</t>
        </is>
      </c>
      <c r="E520" s="69" t="n">
        <v>1</v>
      </c>
      <c r="F520" s="72" t="n">
        <v>300</v>
      </c>
      <c r="G520" s="72" t="n">
        <v>300</v>
      </c>
    </row>
    <row r="521" hidden="1" s="111">
      <c r="A521" s="59" t="n">
        <v>19</v>
      </c>
      <c r="B521" s="59" t="inlineStr">
        <is>
          <t>Verduras</t>
        </is>
      </c>
      <c r="C521" s="59" t="inlineStr">
        <is>
          <t>Aguacate</t>
        </is>
      </c>
      <c r="D521" s="59" t="inlineStr">
        <is>
          <t>4- AGUACATE</t>
        </is>
      </c>
      <c r="E521" s="69" t="n">
        <v>4</v>
      </c>
      <c r="F521" s="70" t="n">
        <v>8000</v>
      </c>
      <c r="G521" s="70" t="n">
        <v>32000</v>
      </c>
    </row>
    <row r="522" hidden="1" s="111">
      <c r="A522" s="59" t="n">
        <v>19</v>
      </c>
      <c r="B522" s="59" t="inlineStr">
        <is>
          <t>Desechables</t>
        </is>
      </c>
      <c r="C522" s="59" t="inlineStr">
        <is>
          <t>Mazamorra</t>
        </is>
      </c>
      <c r="D522" s="59" t="inlineStr">
        <is>
          <t>MAZAMORRA</t>
        </is>
      </c>
      <c r="E522" s="69" t="n">
        <v>1</v>
      </c>
      <c r="F522" s="70" t="n">
        <v>25000</v>
      </c>
      <c r="G522" s="70" t="n">
        <v>25000</v>
      </c>
    </row>
    <row r="523" hidden="1" s="111">
      <c r="A523" s="59" t="n">
        <v>31</v>
      </c>
      <c r="B523" s="59" t="inlineStr">
        <is>
          <t>Bebidas</t>
        </is>
      </c>
      <c r="C523" s="59" t="inlineStr">
        <is>
          <t>Coca cola 350</t>
        </is>
      </c>
      <c r="D523" s="59" t="inlineStr">
        <is>
          <t>COCA-COLA 350ML VIR(30) [30 und c/imp]</t>
        </is>
      </c>
      <c r="E523" s="69" t="n">
        <v>30</v>
      </c>
      <c r="F523" s="70" t="n">
        <v>1788.7</v>
      </c>
      <c r="G523" s="70" t="n">
        <v>53661</v>
      </c>
    </row>
    <row r="524" hidden="1" s="111">
      <c r="A524" s="58" t="n">
        <v>2</v>
      </c>
      <c r="B524" s="58" t="inlineStr">
        <is>
          <t>Servicios</t>
        </is>
      </c>
      <c r="C524" s="58" t="inlineStr">
        <is>
          <t>Pago turnos</t>
        </is>
      </c>
      <c r="D524" s="58" t="inlineStr">
        <is>
          <t>Turno Oscar P (Recibo Caja Menor)</t>
        </is>
      </c>
      <c r="E524" s="66" t="n">
        <v>1</v>
      </c>
      <c r="F524" s="67" t="n">
        <v>66000</v>
      </c>
      <c r="G524" s="67" t="n">
        <v>66000</v>
      </c>
    </row>
    <row r="525" hidden="1" s="111">
      <c r="A525" s="58" t="n">
        <v>3</v>
      </c>
      <c r="B525" s="58" t="inlineStr">
        <is>
          <t>Servicios</t>
        </is>
      </c>
      <c r="C525" s="58" t="inlineStr">
        <is>
          <t>Pago turnos</t>
        </is>
      </c>
      <c r="D525" s="58" t="inlineStr">
        <is>
          <t>Kelly cocina - Turno (Recibo Caja Menor)</t>
        </is>
      </c>
      <c r="E525" s="66" t="n">
        <v>1</v>
      </c>
      <c r="F525" s="67" t="n">
        <v>68000</v>
      </c>
      <c r="G525" s="67" t="n">
        <v>68000</v>
      </c>
    </row>
    <row r="526" hidden="1" s="111">
      <c r="A526" s="59" t="n">
        <v>19</v>
      </c>
      <c r="B526" s="59" t="inlineStr">
        <is>
          <t>Carnes</t>
        </is>
      </c>
      <c r="C526" s="59" t="inlineStr">
        <is>
          <t>Filete de pechuga</t>
        </is>
      </c>
      <c r="D526" s="59" t="inlineStr">
        <is>
          <t>FILETE DE POLLO X 350G (Alexis Valencia - Fact 902)</t>
        </is>
      </c>
      <c r="E526" s="69" t="n">
        <v>14.6</v>
      </c>
      <c r="F526" s="72" t="n">
        <v>18500</v>
      </c>
      <c r="G526" s="72" t="n">
        <v>270100</v>
      </c>
    </row>
    <row r="527" hidden="1" s="111">
      <c r="A527" s="58" t="n">
        <v>19</v>
      </c>
      <c r="B527" s="58" t="inlineStr">
        <is>
          <t>Carnes</t>
        </is>
      </c>
      <c r="C527" s="58" t="inlineStr">
        <is>
          <t>Gallina gigante</t>
        </is>
      </c>
      <c r="D527" s="58" t="inlineStr">
        <is>
          <t>10 Gallinas gigantes 45.3 Kilos (Remision)</t>
        </is>
      </c>
      <c r="E527" s="58" t="n">
        <v>45.3</v>
      </c>
      <c r="F527" s="58" t="n">
        <v>10993.3774834437</v>
      </c>
      <c r="G527" s="58" t="n">
        <v>498000</v>
      </c>
    </row>
    <row r="528" hidden="1" s="111">
      <c r="A528" s="59" t="n">
        <v>3</v>
      </c>
      <c r="B528" s="59" t="inlineStr">
        <is>
          <t>Bebidas</t>
        </is>
      </c>
      <c r="C528" s="59" t="inlineStr">
        <is>
          <t>Coca-cola 400 ml pet (24)</t>
        </is>
      </c>
      <c r="D528" s="59" t="inlineStr">
        <is>
          <t>COCA-COLA 400ML PET (12)</t>
        </is>
      </c>
      <c r="E528" s="69" t="n">
        <v>2</v>
      </c>
      <c r="F528" s="72" t="n">
        <v>22467.5</v>
      </c>
      <c r="G528" s="72" t="n">
        <v>44935</v>
      </c>
    </row>
    <row r="529" hidden="1" s="111">
      <c r="A529" s="59" t="n">
        <v>10</v>
      </c>
      <c r="B529" s="59" t="inlineStr">
        <is>
          <t>Bebidas</t>
        </is>
      </c>
      <c r="C529" s="59" t="inlineStr">
        <is>
          <t>Coca-cola 400 ml pet (24)</t>
        </is>
      </c>
      <c r="D529" s="59" t="inlineStr">
        <is>
          <t>COCA-COLA 400ML PET (12)</t>
        </is>
      </c>
      <c r="E529" s="69" t="n">
        <v>3</v>
      </c>
      <c r="F529" s="72" t="n">
        <v>22467.33</v>
      </c>
      <c r="G529" s="72" t="n">
        <v>67402</v>
      </c>
    </row>
    <row r="530" hidden="1" s="111">
      <c r="A530" s="57" t="n">
        <v>13</v>
      </c>
      <c r="B530" s="57" t="inlineStr">
        <is>
          <t>Bebidas</t>
        </is>
      </c>
      <c r="C530" s="57" t="inlineStr">
        <is>
          <t>Coca-cola 400 ml pet (24)</t>
        </is>
      </c>
      <c r="D530" s="57" t="inlineStr">
        <is>
          <t>COCA-COLA 400ML PET (12)</t>
        </is>
      </c>
      <c r="E530" s="64" t="n">
        <v>10</v>
      </c>
      <c r="F530" s="63" t="n">
        <v>22467.2</v>
      </c>
      <c r="G530" s="63" t="n">
        <v>224672</v>
      </c>
    </row>
    <row r="531" hidden="1" s="111">
      <c r="A531" s="58" t="n">
        <v>27</v>
      </c>
      <c r="B531" s="58" t="inlineStr">
        <is>
          <t>Bebidas</t>
        </is>
      </c>
      <c r="C531" s="58" t="inlineStr">
        <is>
          <t>Coca-cola 400 ml pet (24)</t>
        </is>
      </c>
      <c r="D531" s="58" t="inlineStr">
        <is>
          <t>COCA-COLA 400ML PET (12) (Coca-Cola Femsa)</t>
        </is>
      </c>
      <c r="E531" s="58" t="n">
        <v>5</v>
      </c>
      <c r="F531" s="58" t="n">
        <v>25731</v>
      </c>
      <c r="G531" s="58" t="n">
        <v>128655</v>
      </c>
    </row>
    <row r="532" hidden="1" s="111">
      <c r="A532" s="59" t="n">
        <v>31</v>
      </c>
      <c r="B532" s="59" t="inlineStr">
        <is>
          <t>Bebidas</t>
        </is>
      </c>
      <c r="C532" s="59" t="inlineStr">
        <is>
          <t>Coca-cola 400 ml pet (24)</t>
        </is>
      </c>
      <c r="D532" s="59" t="inlineStr">
        <is>
          <t>COCA-COLA 400ML PET (12) [24 und c/imp]</t>
        </is>
      </c>
      <c r="E532" s="69" t="n">
        <v>24</v>
      </c>
      <c r="F532" s="70" t="n">
        <v>2144.291666666667</v>
      </c>
      <c r="G532" s="70" t="n">
        <v>51463</v>
      </c>
    </row>
    <row r="533" hidden="1" s="111">
      <c r="A533" s="57" t="n">
        <v>14</v>
      </c>
      <c r="B533" s="57" t="inlineStr">
        <is>
          <t>Bebidas</t>
        </is>
      </c>
      <c r="C533" s="57" t="inlineStr">
        <is>
          <t>Gaseosa 1.5 lit</t>
        </is>
      </c>
      <c r="D533" s="57" t="inlineStr">
        <is>
          <t>COLOMBIANA NACIONAL 1.750 ML PET X 12 PM</t>
        </is>
      </c>
      <c r="E533" s="64" t="n">
        <v>12</v>
      </c>
      <c r="F533" s="63" t="n">
        <v>3151.26</v>
      </c>
      <c r="G533" s="63" t="n">
        <v>37815.12</v>
      </c>
    </row>
    <row r="534" hidden="1" s="111">
      <c r="A534" s="57" t="n">
        <v>4</v>
      </c>
      <c r="B534" s="57" t="inlineStr">
        <is>
          <t>Bebidas</t>
        </is>
      </c>
      <c r="C534" s="57" t="inlineStr">
        <is>
          <t>Gaseosa 350 ml</t>
        </is>
      </c>
      <c r="D534" s="57" t="inlineStr">
        <is>
          <t>COLOMBIANA NACIONAL 350 ML VIDRIO R X 30</t>
        </is>
      </c>
      <c r="E534" s="64" t="n">
        <v>15</v>
      </c>
      <c r="F534" s="63" t="n">
        <v>1450.98</v>
      </c>
      <c r="G534" s="63" t="n">
        <v>21764.7</v>
      </c>
    </row>
    <row r="535" hidden="1" s="111">
      <c r="A535" s="57" t="n">
        <v>14</v>
      </c>
      <c r="B535" s="57" t="inlineStr">
        <is>
          <t>Bebidas</t>
        </is>
      </c>
      <c r="C535" s="57" t="inlineStr">
        <is>
          <t>Gaseosa 350 ml</t>
        </is>
      </c>
      <c r="D535" s="57" t="inlineStr">
        <is>
          <t>COLOMBIANA NACIONAL 350 ML VIDRIO R X 30</t>
        </is>
      </c>
      <c r="E535" s="62" t="n">
        <v>15</v>
      </c>
      <c r="F535" s="63" t="n">
        <v>1450.98</v>
      </c>
      <c r="G535" s="63" t="n">
        <v>21764.7</v>
      </c>
    </row>
    <row r="536" hidden="1" s="111">
      <c r="A536" s="59" t="n">
        <v>20</v>
      </c>
      <c r="B536" s="59" t="inlineStr">
        <is>
          <t>Bebidas</t>
        </is>
      </c>
      <c r="C536" s="59" t="inlineStr">
        <is>
          <t>Gaseosa 350 ml</t>
        </is>
      </c>
      <c r="D536" s="59" t="inlineStr">
        <is>
          <t>COLOMBIANA NACIONAL 350 ML VIDRIO R X 30</t>
        </is>
      </c>
      <c r="E536" s="69" t="n">
        <v>15</v>
      </c>
      <c r="F536" s="70" t="n">
        <v>1450.98</v>
      </c>
      <c r="G536" s="70" t="n">
        <v>21764.7</v>
      </c>
    </row>
    <row r="537" hidden="1" s="111">
      <c r="A537" s="59" t="n">
        <v>20</v>
      </c>
      <c r="B537" s="59" t="inlineStr">
        <is>
          <t>Carnes</t>
        </is>
      </c>
      <c r="C537" s="59" t="inlineStr">
        <is>
          <t>Salmon</t>
        </is>
      </c>
      <c r="D537" s="59" t="inlineStr">
        <is>
          <t>Filete de Salmon Grande</t>
        </is>
      </c>
      <c r="E537" s="69" t="n">
        <v>10.225</v>
      </c>
      <c r="F537" s="72" t="n">
        <v>55000</v>
      </c>
      <c r="G537" s="72" t="n">
        <v>562375</v>
      </c>
    </row>
    <row r="538" hidden="1" s="111">
      <c r="A538" s="59" t="n">
        <v>20</v>
      </c>
      <c r="B538" s="59" t="inlineStr">
        <is>
          <t>Carnes</t>
        </is>
      </c>
      <c r="C538" s="59" t="inlineStr">
        <is>
          <t>Marisco</t>
        </is>
      </c>
      <c r="D538" s="59" t="inlineStr">
        <is>
          <t>Mix de Mariscos</t>
        </is>
      </c>
      <c r="E538" s="69" t="n">
        <v>5</v>
      </c>
      <c r="F538" s="72" t="n">
        <v>24000</v>
      </c>
      <c r="G538" s="72" t="n">
        <v>120000</v>
      </c>
    </row>
    <row r="539" hidden="1" s="111">
      <c r="A539" s="59" t="n">
        <v>20</v>
      </c>
      <c r="B539" s="59" t="inlineStr">
        <is>
          <t>Carnes</t>
        </is>
      </c>
      <c r="C539" s="59" t="inlineStr">
        <is>
          <t>Tilapia y truchas</t>
        </is>
      </c>
      <c r="D539" s="59" t="inlineStr">
        <is>
          <t>Tilapia Roja</t>
        </is>
      </c>
      <c r="E539" s="69" t="n">
        <v>24.79</v>
      </c>
      <c r="F539" s="72" t="n">
        <v>18000</v>
      </c>
      <c r="G539" s="72" t="n">
        <v>446220</v>
      </c>
    </row>
    <row r="540" hidden="1" s="111">
      <c r="A540" s="58" t="n">
        <v>24</v>
      </c>
      <c r="B540" s="58" t="inlineStr">
        <is>
          <t>Bebidas</t>
        </is>
      </c>
      <c r="C540" s="58" t="inlineStr">
        <is>
          <t>Gaseosa 350 ml</t>
        </is>
      </c>
      <c r="D540" s="58" t="inlineStr">
        <is>
          <t>COLOMBIANA NACIONAL 350 ML VIDRIO R X 30 (Postobon)</t>
        </is>
      </c>
      <c r="E540" s="58" t="n">
        <v>30</v>
      </c>
      <c r="F540" s="58" t="n">
        <v>1450.98</v>
      </c>
      <c r="G540" s="58" t="n">
        <v>43529.4</v>
      </c>
    </row>
    <row r="541" hidden="1" s="111">
      <c r="A541" s="59" t="n">
        <v>20</v>
      </c>
      <c r="B541" s="59" t="inlineStr">
        <is>
          <t>Desechables</t>
        </is>
      </c>
      <c r="C541" s="59" t="inlineStr">
        <is>
          <t>Acento x 500</t>
        </is>
      </c>
      <c r="D541" s="59" t="inlineStr">
        <is>
          <t>ACENTO X 500 LB</t>
        </is>
      </c>
      <c r="E541" s="69" t="n">
        <v>4</v>
      </c>
      <c r="F541" s="72" t="n">
        <v>6199.995</v>
      </c>
      <c r="G541" s="72" t="n">
        <v>24799.98</v>
      </c>
    </row>
    <row r="542" hidden="1" s="111">
      <c r="A542" s="59" t="n">
        <v>20</v>
      </c>
      <c r="B542" s="59" t="inlineStr">
        <is>
          <t>Desechables</t>
        </is>
      </c>
      <c r="C542" s="59" t="inlineStr">
        <is>
          <t>Aji pequeño x 40</t>
        </is>
      </c>
      <c r="D542" s="59" t="inlineStr">
        <is>
          <t>AJI DIFER PEQUEÑO X40</t>
        </is>
      </c>
      <c r="E542" s="69" t="n">
        <v>2</v>
      </c>
      <c r="F542" s="72" t="n">
        <v>3000</v>
      </c>
      <c r="G542" s="72" t="n">
        <v>6000</v>
      </c>
    </row>
    <row r="543" hidden="1" s="111">
      <c r="A543" s="59" t="n">
        <v>20</v>
      </c>
      <c r="B543" s="59" t="inlineStr">
        <is>
          <t>Desechables</t>
        </is>
      </c>
      <c r="C543" s="59" t="inlineStr">
        <is>
          <t>Azucar sobre x 200</t>
        </is>
      </c>
      <c r="D543" s="59" t="inlineStr">
        <is>
          <t>AZUCAR EN SOBRE X 200 X 10</t>
        </is>
      </c>
      <c r="E543" s="69" t="n">
        <v>3</v>
      </c>
      <c r="F543" s="72" t="n">
        <v>8400</v>
      </c>
      <c r="G543" s="72" t="n">
        <v>25200</v>
      </c>
    </row>
    <row r="544" hidden="1" s="111">
      <c r="A544" s="59" t="n">
        <v>20</v>
      </c>
      <c r="B544" s="59" t="inlineStr">
        <is>
          <t>Desechables</t>
        </is>
      </c>
      <c r="C544" s="59" t="inlineStr">
        <is>
          <t>Bananas x 24</t>
        </is>
      </c>
      <c r="D544" s="59" t="inlineStr">
        <is>
          <t>BANANA EXTRA X 24</t>
        </is>
      </c>
      <c r="E544" s="69" t="n">
        <v>5</v>
      </c>
      <c r="F544" s="72" t="n">
        <v>6650.006</v>
      </c>
      <c r="G544" s="72" t="n">
        <v>33250.03</v>
      </c>
    </row>
    <row r="545" hidden="1" s="111">
      <c r="A545" s="59" t="n">
        <v>20</v>
      </c>
      <c r="B545" s="59" t="inlineStr">
        <is>
          <t>Desechables</t>
        </is>
      </c>
      <c r="C545" s="59" t="inlineStr">
        <is>
          <t>Bolsa basura 65 x 90 # 2</t>
        </is>
      </c>
      <c r="D545" s="59" t="inlineStr">
        <is>
          <t>BOLSA BASURA 65 X 90 #2</t>
        </is>
      </c>
      <c r="E545" s="69" t="n">
        <v>10</v>
      </c>
      <c r="F545" s="72" t="n">
        <v>449.998</v>
      </c>
      <c r="G545" s="72" t="n">
        <v>4499.98</v>
      </c>
    </row>
    <row r="546" hidden="1" s="111">
      <c r="A546" s="59" t="n">
        <v>20</v>
      </c>
      <c r="B546" s="59" t="inlineStr">
        <is>
          <t>Desechables</t>
        </is>
      </c>
      <c r="C546" s="59" t="inlineStr">
        <is>
          <t>Bolsa basura 65 x 90 # 2</t>
        </is>
      </c>
      <c r="D546" s="59" t="inlineStr">
        <is>
          <t>BOLSA BASURA DE COLORES 65 X 90</t>
        </is>
      </c>
      <c r="E546" s="69" t="n">
        <v>10</v>
      </c>
      <c r="F546" s="72" t="n">
        <v>449.998</v>
      </c>
      <c r="G546" s="72" t="n">
        <v>4499.98</v>
      </c>
    </row>
    <row r="547" hidden="1" s="111">
      <c r="A547" s="59" t="n">
        <v>20</v>
      </c>
      <c r="B547" s="59" t="inlineStr">
        <is>
          <t>Desechables</t>
        </is>
      </c>
      <c r="C547" s="59" t="inlineStr">
        <is>
          <t>Bolsa basura industrial gruesa 90 x 120</t>
        </is>
      </c>
      <c r="D547" s="59" t="inlineStr">
        <is>
          <t>BOLSA BASURA INDUSTRIAL GRUESA 90 X 120</t>
        </is>
      </c>
      <c r="E547" s="69" t="n">
        <v>20</v>
      </c>
      <c r="F547" s="72" t="n">
        <v>899.997</v>
      </c>
      <c r="G547" s="72" t="n">
        <v>17999.94</v>
      </c>
    </row>
    <row r="548" hidden="1" s="111">
      <c r="A548" s="59" t="n">
        <v>20</v>
      </c>
      <c r="B548" s="59" t="inlineStr">
        <is>
          <t>Desechables</t>
        </is>
      </c>
      <c r="C548" s="59" t="inlineStr">
        <is>
          <t>Café</t>
        </is>
      </c>
      <c r="D548" s="59" t="inlineStr">
        <is>
          <t>CAFE AGUILA 1/2 DE LB X 25</t>
        </is>
      </c>
      <c r="E548" s="69" t="n">
        <v>2</v>
      </c>
      <c r="F548" s="72" t="n">
        <v>15099.95</v>
      </c>
      <c r="G548" s="72" t="n">
        <v>30199.9</v>
      </c>
    </row>
    <row r="549" hidden="1" s="111">
      <c r="A549" s="59" t="n">
        <v>20</v>
      </c>
      <c r="B549" s="59" t="inlineStr">
        <is>
          <t>Desechables</t>
        </is>
      </c>
      <c r="C549" s="59" t="inlineStr">
        <is>
          <t>Contenedor 12 onz.</t>
        </is>
      </c>
      <c r="D549" s="59" t="inlineStr">
        <is>
          <t>CONTENEDOR DARNEL 12 ONZ X 20X25 T ESPUMADO</t>
        </is>
      </c>
      <c r="E549" s="69" t="n">
        <v>5</v>
      </c>
      <c r="F549" s="70" t="n">
        <v>9499.995999999999</v>
      </c>
      <c r="G549" s="70" t="n">
        <v>47499.98</v>
      </c>
    </row>
    <row r="550" hidden="1" s="111">
      <c r="A550" s="59" t="n">
        <v>20</v>
      </c>
      <c r="B550" s="59" t="inlineStr">
        <is>
          <t>Desechables</t>
        </is>
      </c>
      <c r="C550" s="59" t="inlineStr">
        <is>
          <t>Contenedor darnel 8 onz. x 20 x 25</t>
        </is>
      </c>
      <c r="D550" s="59" t="inlineStr">
        <is>
          <t>CONTENEDOR DARNEL 8 ONZ T X 20X25</t>
        </is>
      </c>
      <c r="E550" s="69" t="n">
        <v>25</v>
      </c>
      <c r="F550" s="70" t="n">
        <v>8599.999</v>
      </c>
      <c r="G550" s="70" t="n">
        <v>214999.98</v>
      </c>
    </row>
    <row r="551" hidden="1" s="111">
      <c r="A551" s="58" t="n">
        <v>20</v>
      </c>
      <c r="B551" s="58" t="inlineStr">
        <is>
          <t>Desechables</t>
        </is>
      </c>
      <c r="C551" s="58" t="inlineStr">
        <is>
          <t>Copa troforma 1/2</t>
        </is>
      </c>
      <c r="D551" s="58" t="inlineStr">
        <is>
          <t>COPA TROFORMA 1/2 ONZ X 50 x 90</t>
        </is>
      </c>
      <c r="E551" s="58" t="n">
        <v>8</v>
      </c>
      <c r="F551" s="58" t="n">
        <v>2500</v>
      </c>
      <c r="G551" s="58" t="n">
        <v>20000</v>
      </c>
    </row>
    <row r="552" hidden="1" s="111">
      <c r="A552" s="58" t="n">
        <v>20</v>
      </c>
      <c r="B552" s="58" t="inlineStr">
        <is>
          <t>Desechables</t>
        </is>
      </c>
      <c r="C552" s="58" t="inlineStr">
        <is>
          <t>Cubierto grande x 3 cja x 28pq x 50un</t>
        </is>
      </c>
      <c r="D552" s="58" t="inlineStr">
        <is>
          <t>CUBIERTO GRANDE X 3 CJA X 28PQ X 50UN</t>
        </is>
      </c>
      <c r="E552" s="58" t="n">
        <v>250</v>
      </c>
      <c r="F552" s="58" t="n">
        <v>389.999</v>
      </c>
      <c r="G552" s="58" t="n">
        <v>97499.67</v>
      </c>
    </row>
    <row r="553" hidden="1" s="111">
      <c r="A553" s="59" t="n">
        <v>20</v>
      </c>
      <c r="B553" s="59" t="inlineStr">
        <is>
          <t>Desechables</t>
        </is>
      </c>
      <c r="C553" s="59" t="inlineStr">
        <is>
          <t>Bolsa maniguetat40</t>
        </is>
      </c>
      <c r="D553" s="59" t="inlineStr">
        <is>
          <t>BOLSA MANIGUETA T40 BLANCA ECON</t>
        </is>
      </c>
      <c r="E553" s="69" t="n">
        <v>6</v>
      </c>
      <c r="F553" s="72" t="n">
        <v>9600.003000000001</v>
      </c>
      <c r="G553" s="72" t="n">
        <v>57600.02</v>
      </c>
    </row>
    <row r="554" hidden="1" s="111">
      <c r="A554" s="59" t="n">
        <v>20</v>
      </c>
      <c r="B554" s="59" t="inlineStr">
        <is>
          <t>Desechables</t>
        </is>
      </c>
      <c r="C554" s="59" t="inlineStr">
        <is>
          <t>Detergente dersax 1000</t>
        </is>
      </c>
      <c r="D554" s="59" t="inlineStr">
        <is>
          <t>DETERGENTE DERSA LIMON X500 X 40</t>
        </is>
      </c>
      <c r="E554" s="69" t="n">
        <v>14</v>
      </c>
      <c r="F554" s="70" t="n">
        <v>6499.994</v>
      </c>
      <c r="G554" s="70" t="n">
        <v>90999.92</v>
      </c>
    </row>
    <row r="555" hidden="1" s="111">
      <c r="A555" s="65" t="n">
        <v>20</v>
      </c>
      <c r="B555" s="65" t="inlineStr">
        <is>
          <t>Desechables</t>
        </is>
      </c>
      <c r="C555" s="65" t="inlineStr">
        <is>
          <t>Harina de trigo x 25</t>
        </is>
      </c>
      <c r="D555" s="65" t="inlineStr">
        <is>
          <t>HARINA DE TRIGO X 25</t>
        </is>
      </c>
      <c r="E555" s="65" t="n">
        <v>5</v>
      </c>
      <c r="F555" s="65" t="n">
        <v>2100</v>
      </c>
      <c r="G555" s="65" t="n">
        <v>10500</v>
      </c>
    </row>
    <row r="556" hidden="1" s="111">
      <c r="A556" s="65" t="n">
        <v>20</v>
      </c>
      <c r="B556" s="65" t="inlineStr">
        <is>
          <t>Desechables</t>
        </is>
      </c>
      <c r="C556" s="65" t="inlineStr">
        <is>
          <t>Harina para apanar</t>
        </is>
      </c>
      <c r="D556" s="65" t="inlineStr">
        <is>
          <t>HARINA PARA APANAR LB</t>
        </is>
      </c>
      <c r="E556" s="65" t="n">
        <v>25</v>
      </c>
      <c r="F556" s="65" t="n">
        <v>2100</v>
      </c>
      <c r="G556" s="65" t="n">
        <v>52500</v>
      </c>
    </row>
    <row r="557" hidden="1" s="111">
      <c r="A557" s="65" t="n">
        <v>20</v>
      </c>
      <c r="B557" s="65" t="inlineStr">
        <is>
          <t>Desechables</t>
        </is>
      </c>
      <c r="C557" s="65" t="inlineStr">
        <is>
          <t>Humo</t>
        </is>
      </c>
      <c r="D557" s="65" t="inlineStr">
        <is>
          <t>HUMO LIQUIDO X3000 DIFFER CJX6</t>
        </is>
      </c>
      <c r="E557" s="65" t="n">
        <v>1</v>
      </c>
      <c r="F557" s="65" t="n">
        <v>19850</v>
      </c>
      <c r="G557" s="65" t="n">
        <v>19850</v>
      </c>
    </row>
    <row r="558" hidden="1" s="111">
      <c r="A558" s="65" t="n">
        <v>20</v>
      </c>
      <c r="B558" s="65" t="inlineStr">
        <is>
          <t>Desechables</t>
        </is>
      </c>
      <c r="C558" s="65" t="inlineStr">
        <is>
          <t>Papel higienico jumbo</t>
        </is>
      </c>
      <c r="D558" s="65" t="inlineStr">
        <is>
          <t>PAPEL H. JUMBO INST. BCO X 8 X 250 NUBE</t>
        </is>
      </c>
      <c r="E558" s="65" t="n">
        <v>4</v>
      </c>
      <c r="F558" s="65" t="n">
        <v>11399.998</v>
      </c>
      <c r="G558" s="65" t="n">
        <v>45599.99</v>
      </c>
    </row>
    <row r="559" hidden="1" s="111">
      <c r="A559" s="65" t="n">
        <v>20</v>
      </c>
      <c r="B559" s="65" t="inlineStr">
        <is>
          <t>Desechables</t>
        </is>
      </c>
      <c r="C559" s="65" t="inlineStr">
        <is>
          <t>Porta comida j-1</t>
        </is>
      </c>
      <c r="D559" s="65" t="inlineStr">
        <is>
          <t>PORTACOMIDA DARNEL J1 X 200</t>
        </is>
      </c>
      <c r="E559" s="65" t="n">
        <v>200</v>
      </c>
      <c r="F559" s="65" t="n">
        <v>440.0025</v>
      </c>
      <c r="G559" s="65" t="n">
        <v>88000.5</v>
      </c>
    </row>
    <row r="560" hidden="1" s="111">
      <c r="A560" s="143" t="n">
        <v>20</v>
      </c>
      <c r="B560" s="143" t="inlineStr">
        <is>
          <t>Desechables</t>
        </is>
      </c>
      <c r="C560" s="143" t="inlineStr">
        <is>
          <t>Porta comida j-2</t>
        </is>
      </c>
      <c r="D560" s="143" t="inlineStr">
        <is>
          <t>PORTACOMIDA DARNEL J2 X 200</t>
        </is>
      </c>
      <c r="E560" s="147" t="n">
        <v>400</v>
      </c>
      <c r="F560" s="151" t="n">
        <v>440.0025</v>
      </c>
      <c r="G560" s="151" t="n">
        <v>176001</v>
      </c>
    </row>
    <row r="561" hidden="1" s="111">
      <c r="A561" s="143" t="n">
        <v>20</v>
      </c>
      <c r="B561" s="143" t="inlineStr">
        <is>
          <t>Desechables</t>
        </is>
      </c>
      <c r="C561" s="143" t="inlineStr">
        <is>
          <t>Porta comida c-1</t>
        </is>
      </c>
      <c r="D561" s="143" t="inlineStr">
        <is>
          <t>PORTACOMIDA WAU C1 X 200</t>
        </is>
      </c>
      <c r="E561" s="147" t="n">
        <v>200</v>
      </c>
      <c r="F561" s="151" t="n">
        <v>269.9991</v>
      </c>
      <c r="G561" s="151" t="n">
        <v>53999.82</v>
      </c>
    </row>
    <row r="562" hidden="1" s="111">
      <c r="A562" s="143" t="n">
        <v>20</v>
      </c>
      <c r="B562" s="143" t="inlineStr">
        <is>
          <t>Desechables</t>
        </is>
      </c>
      <c r="C562" s="143" t="inlineStr">
        <is>
          <t>Salsa mayonezax4000</t>
        </is>
      </c>
      <c r="D562" s="143" t="inlineStr">
        <is>
          <t>SALSA MAYONESA DIFFER X 4000 X 3</t>
        </is>
      </c>
      <c r="E562" s="143" t="n">
        <v>1</v>
      </c>
      <c r="F562" s="143" t="n">
        <v>30350</v>
      </c>
      <c r="G562" s="143" t="n">
        <v>30350</v>
      </c>
    </row>
    <row r="563" hidden="1" s="111">
      <c r="A563" s="143" t="n">
        <v>20</v>
      </c>
      <c r="B563" s="143" t="inlineStr">
        <is>
          <t>Desechables</t>
        </is>
      </c>
      <c r="C563" s="143" t="inlineStr">
        <is>
          <t>Salsa mostaza differ x 4000</t>
        </is>
      </c>
      <c r="D563" s="143" t="inlineStr">
        <is>
          <t>SALSA MOSTAZA DIFFER BOLSA X 4000 X 3</t>
        </is>
      </c>
      <c r="E563" s="143" t="n">
        <v>1</v>
      </c>
      <c r="F563" s="143" t="n">
        <v>18650</v>
      </c>
      <c r="G563" s="143" t="n">
        <v>18650</v>
      </c>
    </row>
    <row r="564" hidden="1" s="111">
      <c r="A564" s="143" t="n">
        <v>20</v>
      </c>
      <c r="B564" s="143" t="inlineStr">
        <is>
          <t>Desechables</t>
        </is>
      </c>
      <c r="C564" s="143" t="inlineStr">
        <is>
          <t>Salsa negra differ galon x 3000 x 6</t>
        </is>
      </c>
      <c r="D564" s="143" t="inlineStr">
        <is>
          <t>SALSA NEGRA DIFFER GALON X 3000 X 6</t>
        </is>
      </c>
      <c r="E564" s="143" t="n">
        <v>2</v>
      </c>
      <c r="F564" s="143" t="n">
        <v>14600</v>
      </c>
      <c r="G564" s="143" t="n">
        <v>29200</v>
      </c>
    </row>
    <row r="565" hidden="1" s="111">
      <c r="A565" s="143" t="n">
        <v>20</v>
      </c>
      <c r="B565" s="143" t="inlineStr">
        <is>
          <t>Desechables</t>
        </is>
      </c>
      <c r="C565" s="143" t="inlineStr">
        <is>
          <t>Salsa tomate x 4000</t>
        </is>
      </c>
      <c r="D565" s="143" t="inlineStr">
        <is>
          <t>SALSA TOMATE DIFFER X 4000 X3</t>
        </is>
      </c>
      <c r="E565" s="143" t="n">
        <v>1</v>
      </c>
      <c r="F565" s="143" t="n">
        <v>18200</v>
      </c>
      <c r="G565" s="143" t="n">
        <v>18200</v>
      </c>
    </row>
    <row r="566" hidden="1" s="111">
      <c r="A566" s="143" t="n">
        <v>20</v>
      </c>
      <c r="B566" s="143" t="inlineStr">
        <is>
          <t>Desechables</t>
        </is>
      </c>
      <c r="C566" s="143" t="inlineStr">
        <is>
          <t>Contenedor 16 onz. darnel 20x20</t>
        </is>
      </c>
      <c r="D566" s="143" t="inlineStr">
        <is>
          <t>CONTENEDOR DARNEL 16 ONZ X20UND X20 PAQ</t>
        </is>
      </c>
      <c r="E566" s="143" t="n">
        <v>20</v>
      </c>
      <c r="F566" s="143" t="n">
        <v>11199.9945</v>
      </c>
      <c r="G566" s="143" t="n">
        <v>223999.89</v>
      </c>
    </row>
    <row r="567" hidden="1" s="111">
      <c r="A567" s="143" t="n">
        <v>20</v>
      </c>
      <c r="B567" s="143" t="inlineStr">
        <is>
          <t>Desechables</t>
        </is>
      </c>
      <c r="C567" s="143" t="inlineStr">
        <is>
          <t>Tapa vaso 3.5</t>
        </is>
      </c>
      <c r="D567" s="143" t="inlineStr">
        <is>
          <t>TAPA VASO 3,5 Y 7 ONZ WAU X 50 X 90</t>
        </is>
      </c>
      <c r="E567" s="143" t="n">
        <v>5</v>
      </c>
      <c r="F567" s="143" t="n">
        <v>4850</v>
      </c>
      <c r="G567" s="143" t="n">
        <v>24250</v>
      </c>
    </row>
    <row r="568" hidden="1" s="111">
      <c r="A568" s="143" t="n">
        <v>20</v>
      </c>
      <c r="B568" s="143" t="inlineStr">
        <is>
          <t>Desechables</t>
        </is>
      </c>
      <c r="C568" s="143" t="inlineStr">
        <is>
          <t>Tapa boca</t>
        </is>
      </c>
      <c r="D568" s="143" t="inlineStr">
        <is>
          <t>TAPABOCA X 50</t>
        </is>
      </c>
      <c r="E568" s="143" t="n">
        <v>1</v>
      </c>
      <c r="F568" s="143" t="n">
        <v>8200</v>
      </c>
      <c r="G568" s="143" t="n">
        <v>8200</v>
      </c>
    </row>
    <row r="569" hidden="1" s="111">
      <c r="A569" s="143" t="n">
        <v>20</v>
      </c>
      <c r="B569" s="143" t="inlineStr">
        <is>
          <t>Desechables</t>
        </is>
      </c>
      <c r="C569" s="143" t="inlineStr">
        <is>
          <t>Tapa copa troforma 1 1/2</t>
        </is>
      </c>
      <c r="D569" s="143" t="inlineStr">
        <is>
          <t>TAPA COPA TROFORMA 1 Y 1/2 ONZ X 50 X 2000 X 6</t>
        </is>
      </c>
      <c r="E569" s="143" t="n">
        <v>8</v>
      </c>
      <c r="F569" s="143" t="n">
        <v>2400.0038</v>
      </c>
      <c r="G569" s="143" t="n">
        <v>19200.03</v>
      </c>
    </row>
    <row r="570" hidden="1" s="111">
      <c r="A570" s="143" t="n">
        <v>20</v>
      </c>
      <c r="B570" s="143" t="inlineStr">
        <is>
          <t>Desechables</t>
        </is>
      </c>
      <c r="C570" s="143" t="inlineStr">
        <is>
          <t>Tapa vaso 12 onz. tami</t>
        </is>
      </c>
      <c r="D570" s="143" t="inlineStr">
        <is>
          <t>TAPA VASO 12 ONZ TAMI X 50 UND X 20 PQ</t>
        </is>
      </c>
      <c r="E570" s="143" t="n">
        <v>5</v>
      </c>
      <c r="F570" s="143" t="n">
        <v>5449.998</v>
      </c>
      <c r="G570" s="143" t="n">
        <v>27249.99</v>
      </c>
    </row>
    <row r="571" hidden="1" s="111">
      <c r="A571" s="143" t="n">
        <v>20</v>
      </c>
      <c r="B571" s="143" t="inlineStr">
        <is>
          <t>Desechables</t>
        </is>
      </c>
      <c r="C571" s="143" t="inlineStr">
        <is>
          <t>Vaso tami 12x25</t>
        </is>
      </c>
      <c r="D571" s="143" t="inlineStr">
        <is>
          <t>VASO TAMI 12 X 25 TRANSP X 126 PQ</t>
        </is>
      </c>
      <c r="E571" s="143" t="n">
        <v>10</v>
      </c>
      <c r="F571" s="143" t="n">
        <v>4999.999</v>
      </c>
      <c r="G571" s="143" t="n">
        <v>49999.99</v>
      </c>
    </row>
    <row r="572" hidden="1" s="111">
      <c r="A572" s="146" t="n">
        <v>20</v>
      </c>
      <c r="B572" s="146" t="inlineStr">
        <is>
          <t>Desechables</t>
        </is>
      </c>
      <c r="C572" s="146" t="inlineStr">
        <is>
          <t>Vasote 3.5 tansl x 50 x 60</t>
        </is>
      </c>
      <c r="D572" s="146" t="inlineStr">
        <is>
          <t>VASOTE 3,5 TTE X50UDS CJX60PQ WAU!</t>
        </is>
      </c>
      <c r="E572" s="149" t="n">
        <v>5</v>
      </c>
      <c r="F572" s="153" t="n">
        <v>2749.994</v>
      </c>
      <c r="G572" s="153" t="n">
        <v>13749.97</v>
      </c>
    </row>
    <row r="573" hidden="1" s="111">
      <c r="A573" s="146" t="n">
        <v>20</v>
      </c>
      <c r="B573" s="146" t="inlineStr">
        <is>
          <t>Desechables</t>
        </is>
      </c>
      <c r="C573" s="146" t="inlineStr">
        <is>
          <t>Vinagre differ galon 3000</t>
        </is>
      </c>
      <c r="D573" s="146" t="inlineStr">
        <is>
          <t>VINAGRE DIFFER GALON X 3000 X 6</t>
        </is>
      </c>
      <c r="E573" s="149" t="n">
        <v>2</v>
      </c>
      <c r="F573" s="157" t="n">
        <v>7200</v>
      </c>
      <c r="G573" s="157" t="n">
        <v>14400</v>
      </c>
    </row>
    <row r="574" hidden="1" s="111">
      <c r="A574" s="143" t="n">
        <v>20</v>
      </c>
      <c r="B574" s="143" t="inlineStr">
        <is>
          <t>Desechables</t>
        </is>
      </c>
      <c r="C574" s="143" t="inlineStr">
        <is>
          <t>Color azafran</t>
        </is>
      </c>
      <c r="D574" s="143" t="inlineStr">
        <is>
          <t>COLOR AZAFRAN 1/4 ARROBA</t>
        </is>
      </c>
      <c r="E574" s="143" t="n">
        <v>2</v>
      </c>
      <c r="F574" s="143" t="n">
        <v>23800</v>
      </c>
      <c r="G574" s="143" t="n">
        <v>47600</v>
      </c>
    </row>
    <row r="575" hidden="1" s="111">
      <c r="A575" s="143" t="n">
        <v>20</v>
      </c>
      <c r="B575" s="143" t="inlineStr">
        <is>
          <t>Desechables</t>
        </is>
      </c>
      <c r="C575" s="143" t="inlineStr">
        <is>
          <t>Limpido</t>
        </is>
      </c>
      <c r="D575" s="143" t="inlineStr">
        <is>
          <t>LIMPIDO CUÑETE TAKTAX X19000</t>
        </is>
      </c>
      <c r="E575" s="143" t="n">
        <v>1</v>
      </c>
      <c r="F575" s="143" t="n">
        <v>34300</v>
      </c>
      <c r="G575" s="143" t="n">
        <v>34300</v>
      </c>
    </row>
    <row r="576" hidden="1" s="111">
      <c r="A576" s="143" t="n">
        <v>20</v>
      </c>
      <c r="B576" s="143" t="inlineStr">
        <is>
          <t>Desechables</t>
        </is>
      </c>
      <c r="C576" s="143" t="inlineStr">
        <is>
          <t>Bolsa tina</t>
        </is>
      </c>
      <c r="D576" s="143" t="inlineStr">
        <is>
          <t>BOLSA TINA X 100</t>
        </is>
      </c>
      <c r="E576" s="143" t="n">
        <v>1</v>
      </c>
      <c r="F576" s="143" t="n">
        <v>21700</v>
      </c>
      <c r="G576" s="143" t="n">
        <v>21700</v>
      </c>
    </row>
    <row r="577" hidden="1" s="111">
      <c r="A577" s="143" t="n">
        <v>20</v>
      </c>
      <c r="B577" s="143" t="inlineStr">
        <is>
          <t>Desechables</t>
        </is>
      </c>
      <c r="C577" s="143" t="inlineStr">
        <is>
          <t>Servilletas</t>
        </is>
      </c>
      <c r="D577" s="143" t="inlineStr">
        <is>
          <t>SERVILLETA NUBE 1 A 1 X 60PQ X 100UND</t>
        </is>
      </c>
      <c r="E577" s="143" t="n">
        <v>60</v>
      </c>
      <c r="F577" s="143" t="n">
        <v>1999.997</v>
      </c>
      <c r="G577" s="143" t="n">
        <v>119999.84</v>
      </c>
    </row>
    <row r="578" hidden="1" s="111">
      <c r="A578" s="143" t="n">
        <v>20</v>
      </c>
      <c r="B578" s="143" t="inlineStr">
        <is>
          <t>Desechables</t>
        </is>
      </c>
      <c r="C578" s="143" t="inlineStr">
        <is>
          <t>Tarrina 14 x 25 unid</t>
        </is>
      </c>
      <c r="D578" s="143" t="inlineStr">
        <is>
          <t>TARRINA 14 ONZ X 25UND X 20PQ PRODUCT</t>
        </is>
      </c>
      <c r="E578" s="143" t="n">
        <v>3</v>
      </c>
      <c r="F578" s="143" t="n">
        <v>17250.003</v>
      </c>
      <c r="G578" s="143" t="n">
        <v>51750.01</v>
      </c>
    </row>
    <row r="579" hidden="1" s="111">
      <c r="A579" s="143" t="n">
        <v>20</v>
      </c>
      <c r="B579" s="143" t="inlineStr">
        <is>
          <t>Desechables</t>
        </is>
      </c>
      <c r="C579" s="143" t="inlineStr">
        <is>
          <t>Guante nitrilo</t>
        </is>
      </c>
      <c r="D579" s="143" t="inlineStr">
        <is>
          <t>GUANTE NITRILO NEGRO M X100UDS MEGA</t>
        </is>
      </c>
      <c r="E579" s="143" t="n">
        <v>2</v>
      </c>
      <c r="F579" s="143" t="n">
        <v>23700.005</v>
      </c>
      <c r="G579" s="143" t="n">
        <v>47400.01</v>
      </c>
    </row>
    <row r="580" hidden="1" s="111">
      <c r="A580" s="143" t="n">
        <v>20</v>
      </c>
      <c r="B580" s="143" t="inlineStr">
        <is>
          <t>Desechables</t>
        </is>
      </c>
      <c r="C580" s="143" t="inlineStr">
        <is>
          <t>Toalla mano v natural mio 24x150h</t>
        </is>
      </c>
      <c r="D580" s="143" t="inlineStr">
        <is>
          <t>TOALLA MANO Z NATURAL GARDEN 24X150H</t>
        </is>
      </c>
      <c r="E580" s="143" t="n">
        <v>10</v>
      </c>
      <c r="F580" s="143" t="n">
        <v>5200.002</v>
      </c>
      <c r="G580" s="143" t="n">
        <v>52000.02</v>
      </c>
    </row>
    <row r="581" hidden="1" s="111">
      <c r="A581" s="143" t="n">
        <v>20</v>
      </c>
      <c r="B581" s="143" t="inlineStr">
        <is>
          <t>Desechables</t>
        </is>
      </c>
      <c r="C581" s="143" t="inlineStr">
        <is>
          <t>Bolsa maniguetat19</t>
        </is>
      </c>
      <c r="D581" s="143" t="inlineStr">
        <is>
          <t>BOLSA MANIGUETA T19 ECON</t>
        </is>
      </c>
      <c r="E581" s="143" t="n">
        <v>6</v>
      </c>
      <c r="F581" s="143" t="n">
        <v>2599.995</v>
      </c>
      <c r="G581" s="143" t="n">
        <v>15599.97</v>
      </c>
    </row>
    <row r="582" hidden="1" s="111">
      <c r="A582" s="143" t="n">
        <v>20</v>
      </c>
      <c r="B582" s="143" t="inlineStr">
        <is>
          <t>Desechables</t>
        </is>
      </c>
      <c r="C582" s="143" t="inlineStr">
        <is>
          <t>Bolsa manigueta t25</t>
        </is>
      </c>
      <c r="D582" s="143" t="inlineStr">
        <is>
          <t>BOLSA MANIGUETA T25 ECON</t>
        </is>
      </c>
      <c r="E582" s="143" t="n">
        <v>5</v>
      </c>
      <c r="F582" s="143" t="n">
        <v>4600.004</v>
      </c>
      <c r="G582" s="143" t="n">
        <v>23000.02</v>
      </c>
    </row>
    <row r="583" hidden="1" s="111">
      <c r="A583" s="146" t="n">
        <v>20</v>
      </c>
      <c r="B583" s="146" t="inlineStr">
        <is>
          <t>Carnes</t>
        </is>
      </c>
      <c r="C583" s="146" t="inlineStr">
        <is>
          <t>Lomo de cerdo</t>
        </is>
      </c>
      <c r="D583" s="146" t="inlineStr">
        <is>
          <t>LOMO DE CERDO</t>
        </is>
      </c>
      <c r="E583" s="149" t="n">
        <v>16.1</v>
      </c>
      <c r="F583" s="153" t="n">
        <v>19500</v>
      </c>
      <c r="G583" s="153" t="n">
        <v>313950</v>
      </c>
    </row>
    <row r="584" hidden="1" s="111">
      <c r="A584" s="143" t="n">
        <v>29</v>
      </c>
      <c r="B584" s="143" t="inlineStr">
        <is>
          <t>Bebidas</t>
        </is>
      </c>
      <c r="C584" s="143" t="inlineStr">
        <is>
          <t>Gaseosa 350 ml</t>
        </is>
      </c>
      <c r="D584" s="143" t="inlineStr">
        <is>
          <t>COLOMBIANA NACIONAL 350 ML VIDRIO R X 30 [15 und c/iva]</t>
        </is>
      </c>
      <c r="E584" s="143" t="n">
        <v>15</v>
      </c>
      <c r="F584" s="143" t="n">
        <v>1450.98</v>
      </c>
      <c r="G584" s="143" t="n">
        <v>21764.7</v>
      </c>
    </row>
    <row r="585" hidden="1" s="111">
      <c r="A585" s="146" t="n">
        <v>20</v>
      </c>
      <c r="B585" s="146" t="inlineStr">
        <is>
          <t>Carnes</t>
        </is>
      </c>
      <c r="C585" s="146" t="inlineStr">
        <is>
          <t>Sobrebarriga delgada</t>
        </is>
      </c>
      <c r="D585" s="146" t="inlineStr">
        <is>
          <t>SOBREBARRIGA DE RES</t>
        </is>
      </c>
      <c r="E585" s="149" t="n">
        <v>6.1</v>
      </c>
      <c r="F585" s="153" t="n">
        <v>30000</v>
      </c>
      <c r="G585" s="153" t="n">
        <v>183000</v>
      </c>
    </row>
    <row r="586" hidden="1" s="111">
      <c r="A586" s="146" t="n">
        <v>20</v>
      </c>
      <c r="B586" s="146" t="inlineStr">
        <is>
          <t>Carnes</t>
        </is>
      </c>
      <c r="C586" s="146" t="inlineStr">
        <is>
          <t>Lomo viche</t>
        </is>
      </c>
      <c r="D586" s="146" t="inlineStr">
        <is>
          <t>LOMO VICHE ESPECIAL</t>
        </is>
      </c>
      <c r="E586" s="149" t="n">
        <v>14.05</v>
      </c>
      <c r="F586" s="153" t="n">
        <v>53000</v>
      </c>
      <c r="G586" s="153" t="n">
        <v>744650</v>
      </c>
    </row>
    <row r="587" hidden="1" s="111">
      <c r="A587" s="146" t="n">
        <v>20</v>
      </c>
      <c r="B587" s="146" t="inlineStr">
        <is>
          <t>Carnes</t>
        </is>
      </c>
      <c r="C587" s="146" t="inlineStr">
        <is>
          <t>Morrillo</t>
        </is>
      </c>
      <c r="D587" s="146" t="inlineStr">
        <is>
          <t>MORRILLO</t>
        </is>
      </c>
      <c r="E587" s="150" t="n">
        <v>11.375</v>
      </c>
      <c r="F587" s="153" t="n">
        <v>28000</v>
      </c>
      <c r="G587" s="153" t="n">
        <v>318500</v>
      </c>
    </row>
    <row r="588" hidden="1" s="111">
      <c r="A588" s="146" t="n">
        <v>20</v>
      </c>
      <c r="B588" s="146" t="inlineStr">
        <is>
          <t>Desechables</t>
        </is>
      </c>
      <c r="C588" s="146" t="inlineStr">
        <is>
          <t>Aromatizador 250CC</t>
        </is>
      </c>
      <c r="D588" s="146" t="inlineStr">
        <is>
          <t>AROMATIZADOR DULCE EN SPRAY 250 CC</t>
        </is>
      </c>
      <c r="E588" s="150" t="n">
        <v>1</v>
      </c>
      <c r="F588" s="153" t="n">
        <v>29512</v>
      </c>
      <c r="G588" s="153" t="n">
        <v>29512</v>
      </c>
    </row>
    <row r="589" hidden="1" s="111">
      <c r="A589" s="146" t="n">
        <v>20</v>
      </c>
      <c r="B589" s="146" t="inlineStr">
        <is>
          <t>Grano</t>
        </is>
      </c>
      <c r="C589" s="146" t="inlineStr">
        <is>
          <t>Alverja</t>
        </is>
      </c>
      <c r="D589" s="146" t="inlineStr">
        <is>
          <t>ARVEJA LA FLORESTA*500g</t>
        </is>
      </c>
      <c r="E589" s="149" t="n">
        <v>4</v>
      </c>
      <c r="F589" s="153" t="n">
        <v>3100</v>
      </c>
      <c r="G589" s="153" t="n">
        <v>12400</v>
      </c>
    </row>
    <row r="590" hidden="1" s="111">
      <c r="A590" s="146" t="n">
        <v>20</v>
      </c>
      <c r="B590" s="146" t="inlineStr">
        <is>
          <t>Verduras</t>
        </is>
      </c>
      <c r="C590" s="146" t="inlineStr">
        <is>
          <t>Jengibre</t>
        </is>
      </c>
      <c r="D590" s="146" t="inlineStr">
        <is>
          <t>JENGIBRE A GRANEL</t>
        </is>
      </c>
      <c r="E590" s="149" t="n">
        <v>0.515</v>
      </c>
      <c r="F590" s="153" t="n">
        <v>12600</v>
      </c>
      <c r="G590" s="153" t="n">
        <v>6489</v>
      </c>
    </row>
    <row r="591" hidden="1" s="111">
      <c r="A591" s="146" t="n">
        <v>20</v>
      </c>
      <c r="B591" s="146" t="inlineStr">
        <is>
          <t>Desechables</t>
        </is>
      </c>
      <c r="C591" s="146" t="inlineStr">
        <is>
          <t>Detergente dersax 1000</t>
        </is>
      </c>
      <c r="D591" s="146" t="inlineStr">
        <is>
          <t>DETER DERSA*1000g VINAGRE+LIMON</t>
        </is>
      </c>
      <c r="E591" s="149" t="n">
        <v>2</v>
      </c>
      <c r="F591" s="153" t="n">
        <v>11100</v>
      </c>
      <c r="G591" s="153" t="n">
        <v>22200</v>
      </c>
    </row>
    <row r="592" hidden="1" s="111">
      <c r="A592" s="143" t="n">
        <v>20</v>
      </c>
      <c r="B592" s="143" t="inlineStr">
        <is>
          <t>Verduras</t>
        </is>
      </c>
      <c r="C592" s="143" t="inlineStr">
        <is>
          <t>Platano maduro</t>
        </is>
      </c>
      <c r="D592" s="143" t="inlineStr">
        <is>
          <t>PLATANO MADURO*KL (Fruver Los Monos - FEFM 5701)</t>
        </is>
      </c>
      <c r="E592" s="143" t="n">
        <v>38</v>
      </c>
      <c r="F592" s="143" t="n">
        <v>1400</v>
      </c>
      <c r="G592" s="143" t="n">
        <v>53200</v>
      </c>
    </row>
    <row r="593" hidden="1" s="111">
      <c r="A593" s="143" t="n">
        <v>20</v>
      </c>
      <c r="B593" s="143" t="inlineStr">
        <is>
          <t>Verduras</t>
        </is>
      </c>
      <c r="C593" s="143" t="inlineStr">
        <is>
          <t>Platano verde</t>
        </is>
      </c>
      <c r="D593" s="143" t="inlineStr">
        <is>
          <t>PLATANO VERDE*KL (Fruver Los Monos - FEFM 5701)</t>
        </is>
      </c>
      <c r="E593" s="143" t="n">
        <v>79</v>
      </c>
      <c r="F593" s="143" t="n">
        <v>1500</v>
      </c>
      <c r="G593" s="143" t="n">
        <v>118500</v>
      </c>
    </row>
    <row r="594" hidden="1" s="111">
      <c r="A594" s="143" t="n">
        <v>20</v>
      </c>
      <c r="B594" s="143" t="inlineStr">
        <is>
          <t>Verduras</t>
        </is>
      </c>
      <c r="C594" s="143" t="inlineStr">
        <is>
          <t>Papa Capira bulto</t>
        </is>
      </c>
      <c r="D594" s="143" t="inlineStr">
        <is>
          <t>PAPA CAPIRA BULTO*UND (Fruver Los Monos - FEFM 5701)</t>
        </is>
      </c>
      <c r="E594" s="143" t="n">
        <v>0.5</v>
      </c>
      <c r="F594" s="143" t="n">
        <v>100000</v>
      </c>
      <c r="G594" s="143" t="n">
        <v>50000</v>
      </c>
    </row>
    <row r="595" hidden="1" s="111">
      <c r="A595" s="146" t="n">
        <v>20</v>
      </c>
      <c r="B595" s="146" t="inlineStr">
        <is>
          <t>Verduras</t>
        </is>
      </c>
      <c r="C595" s="146" t="inlineStr">
        <is>
          <t>Cebolla cabezona</t>
        </is>
      </c>
      <c r="D595" s="146" t="inlineStr">
        <is>
          <t>CEBOLLA CABEZONA*KL (Fruver Los Monos - FEFM 5701)</t>
        </is>
      </c>
      <c r="E595" s="149" t="n">
        <v>12</v>
      </c>
      <c r="F595" s="157" t="n">
        <v>3400</v>
      </c>
      <c r="G595" s="157" t="n">
        <v>40800</v>
      </c>
    </row>
    <row r="596" hidden="1" s="111">
      <c r="A596" s="80" t="n">
        <v>20</v>
      </c>
      <c r="B596" s="143" t="inlineStr">
        <is>
          <t>Verduras</t>
        </is>
      </c>
      <c r="C596" s="143" t="inlineStr">
        <is>
          <t>Papa amarilla</t>
        </is>
      </c>
      <c r="D596" s="143" t="inlineStr">
        <is>
          <t>PAPA AMARILLA CRIOLLA*KL (Fruver Los Monos - FEFM 5701)</t>
        </is>
      </c>
      <c r="E596" s="80" t="n">
        <v>8.199999999999999</v>
      </c>
      <c r="F596" s="81" t="n">
        <v>5500</v>
      </c>
      <c r="G596" s="81" t="n">
        <v>45100</v>
      </c>
    </row>
    <row r="597" hidden="1" s="111">
      <c r="A597" s="80" t="n">
        <v>20</v>
      </c>
      <c r="B597" s="143" t="inlineStr">
        <is>
          <t>Verduras</t>
        </is>
      </c>
      <c r="C597" s="143" t="inlineStr">
        <is>
          <t>Zanahoria</t>
        </is>
      </c>
      <c r="D597" s="143" t="inlineStr">
        <is>
          <t>ZANAHORIA*KL (Fruver Los Monos - FEFM 5701)</t>
        </is>
      </c>
      <c r="E597" s="80" t="n">
        <v>10</v>
      </c>
      <c r="F597" s="81" t="n">
        <v>2500</v>
      </c>
      <c r="G597" s="81" t="n">
        <v>25000</v>
      </c>
    </row>
    <row r="598" hidden="1" s="111">
      <c r="A598" s="80" t="n">
        <v>20</v>
      </c>
      <c r="B598" s="143" t="inlineStr">
        <is>
          <t>Verduras</t>
        </is>
      </c>
      <c r="C598" s="143" t="inlineStr">
        <is>
          <t>Arracacha</t>
        </is>
      </c>
      <c r="D598" s="143" t="inlineStr">
        <is>
          <t>ARRACACHA*KL (Fruver Los Monos - FEFM 5701)</t>
        </is>
      </c>
      <c r="E598" s="80" t="n">
        <v>3</v>
      </c>
      <c r="F598" s="81" t="n">
        <v>6500</v>
      </c>
      <c r="G598" s="81" t="n">
        <v>19500</v>
      </c>
    </row>
    <row r="599" hidden="1" s="111">
      <c r="A599" s="143" t="n">
        <v>20</v>
      </c>
      <c r="B599" s="143" t="inlineStr">
        <is>
          <t>Verduras</t>
        </is>
      </c>
      <c r="C599" s="143" t="inlineStr">
        <is>
          <t>Pepino comun</t>
        </is>
      </c>
      <c r="D599" s="143" t="inlineStr">
        <is>
          <t>PEPINO COMUN*KL (Fruver Los Monos - FEFM 5701)</t>
        </is>
      </c>
      <c r="E599" s="143" t="n">
        <v>3.6</v>
      </c>
      <c r="F599" s="143" t="n">
        <v>3000</v>
      </c>
      <c r="G599" s="143" t="n">
        <v>10800</v>
      </c>
    </row>
    <row r="600" hidden="1" s="111">
      <c r="A600" s="143" t="n">
        <v>20</v>
      </c>
      <c r="B600" s="143" t="inlineStr">
        <is>
          <t>Verduras</t>
        </is>
      </c>
      <c r="C600" s="143" t="inlineStr">
        <is>
          <t>Pimenton</t>
        </is>
      </c>
      <c r="D600" s="143" t="inlineStr">
        <is>
          <t>PIMENTON*KL (Fruver Los Monos - FEFM 5701)</t>
        </is>
      </c>
      <c r="E600" s="143" t="n">
        <v>8.699999999999999</v>
      </c>
      <c r="F600" s="143" t="n">
        <v>2500</v>
      </c>
      <c r="G600" s="143" t="n">
        <v>21750</v>
      </c>
    </row>
    <row r="601" hidden="1" s="111">
      <c r="A601" s="143" t="n">
        <v>20</v>
      </c>
      <c r="B601" s="143" t="inlineStr">
        <is>
          <t>Verduras</t>
        </is>
      </c>
      <c r="C601" s="143" t="inlineStr">
        <is>
          <t>Tomate chonto</t>
        </is>
      </c>
      <c r="D601" s="143" t="inlineStr">
        <is>
          <t>TOMATE CHONTO*KL (Fruver Los Monos - FEFM 5701)</t>
        </is>
      </c>
      <c r="E601" s="143" t="n">
        <v>5.3</v>
      </c>
      <c r="F601" s="143" t="n">
        <v>4000</v>
      </c>
      <c r="G601" s="143" t="n">
        <v>21200</v>
      </c>
    </row>
    <row r="602" hidden="1" s="111">
      <c r="A602" s="143" t="n">
        <v>20</v>
      </c>
      <c r="B602" s="143" t="inlineStr">
        <is>
          <t>Verduras</t>
        </is>
      </c>
      <c r="C602" s="143" t="inlineStr">
        <is>
          <t>Lechuga batavia x Caja</t>
        </is>
      </c>
      <c r="D602" s="143" t="inlineStr">
        <is>
          <t>LECHUGA BATAVIA*CAJA (Fruver Los Monos - FEFM 5701)</t>
        </is>
      </c>
      <c r="E602" s="143" t="n">
        <v>1</v>
      </c>
      <c r="F602" s="143" t="n">
        <v>20000</v>
      </c>
      <c r="G602" s="143" t="n">
        <v>20000</v>
      </c>
    </row>
    <row r="603" hidden="1" s="111">
      <c r="A603" s="146" t="n">
        <v>20</v>
      </c>
      <c r="B603" s="146" t="inlineStr">
        <is>
          <t>Verduras</t>
        </is>
      </c>
      <c r="C603" s="146" t="inlineStr">
        <is>
          <t>Limon tahiti</t>
        </is>
      </c>
      <c r="D603" s="146" t="inlineStr">
        <is>
          <t>LIMON TAHITY*KL (Fruver Los Monos - FEFM 5701)</t>
        </is>
      </c>
      <c r="E603" s="149" t="n">
        <v>45</v>
      </c>
      <c r="F603" s="157" t="n">
        <v>3000</v>
      </c>
      <c r="G603" s="157" t="n">
        <v>135000</v>
      </c>
    </row>
    <row r="604" hidden="1" s="111">
      <c r="A604" s="146" t="n">
        <v>20</v>
      </c>
      <c r="B604" s="146" t="inlineStr">
        <is>
          <t>Verduras</t>
        </is>
      </c>
      <c r="C604" s="146" t="inlineStr">
        <is>
          <t>Hiervas</t>
        </is>
      </c>
      <c r="D604" s="146" t="inlineStr">
        <is>
          <t>HIERVAS (Fruver Los Monos - FEFM 5701)</t>
        </is>
      </c>
      <c r="E604" s="149" t="n">
        <v>6</v>
      </c>
      <c r="F604" s="157" t="n">
        <v>2000</v>
      </c>
      <c r="G604" s="157" t="n">
        <v>12000</v>
      </c>
    </row>
    <row r="605" hidden="1" s="111">
      <c r="A605" s="143" t="n">
        <v>20</v>
      </c>
      <c r="B605" s="143" t="inlineStr">
        <is>
          <t>Verduras</t>
        </is>
      </c>
      <c r="C605" s="143" t="inlineStr">
        <is>
          <t>Cilantro</t>
        </is>
      </c>
      <c r="D605" s="143" t="inlineStr">
        <is>
          <t>CILANTRO (Fruver Los Monos - FEFM 5701)</t>
        </is>
      </c>
      <c r="E605" s="143" t="n">
        <v>4</v>
      </c>
      <c r="F605" s="143" t="n">
        <v>8000</v>
      </c>
      <c r="G605" s="143" t="n">
        <v>32000</v>
      </c>
    </row>
    <row r="606" hidden="1" s="111">
      <c r="A606" s="80" t="n">
        <v>20</v>
      </c>
      <c r="B606" s="143" t="inlineStr">
        <is>
          <t>Verduras</t>
        </is>
      </c>
      <c r="C606" s="143" t="inlineStr">
        <is>
          <t>Cebolla Larga Atado</t>
        </is>
      </c>
      <c r="D606" s="143" t="inlineStr">
        <is>
          <t>CEBOLLA LARGA ATADO (Fruver Los Monos - FEFM 5701)</t>
        </is>
      </c>
      <c r="E606" s="80" t="n">
        <v>1</v>
      </c>
      <c r="F606" s="81" t="n">
        <v>60000</v>
      </c>
      <c r="G606" s="81" t="n">
        <v>60000</v>
      </c>
    </row>
    <row r="607" hidden="1" s="111">
      <c r="A607" s="146" t="n">
        <v>20</v>
      </c>
      <c r="B607" s="146" t="inlineStr">
        <is>
          <t>Carnes</t>
        </is>
      </c>
      <c r="C607" s="146" t="inlineStr">
        <is>
          <t>Costilla de cerdo especial</t>
        </is>
      </c>
      <c r="D607" s="146" t="inlineStr">
        <is>
          <t>COSTILLA CERDO ESP CR (BS) X 4 KG (Armar - FE1-49212)</t>
        </is>
      </c>
      <c r="E607" s="149" t="n">
        <v>20</v>
      </c>
      <c r="F607" s="153" t="n">
        <v>18200</v>
      </c>
      <c r="G607" s="153" t="n">
        <v>364000</v>
      </c>
    </row>
    <row r="608" hidden="1" s="111">
      <c r="A608" s="144" t="n">
        <v>11</v>
      </c>
      <c r="B608" s="144" t="inlineStr">
        <is>
          <t>Bebidas</t>
        </is>
      </c>
      <c r="C608" s="144" t="inlineStr">
        <is>
          <t>Bolsa 5kl tubular</t>
        </is>
      </c>
      <c r="D608" s="144" t="inlineStr">
        <is>
          <t>Compra de hielo (Antonio J.)</t>
        </is>
      </c>
      <c r="E608" s="148" t="n">
        <v>2</v>
      </c>
      <c r="F608" s="152" t="n">
        <v>5000</v>
      </c>
      <c r="G608" s="152" t="n">
        <v>10000</v>
      </c>
    </row>
    <row r="609" hidden="1" s="111">
      <c r="A609" s="144" t="n">
        <v>4</v>
      </c>
      <c r="B609" s="144" t="inlineStr">
        <is>
          <t>Bebidas</t>
        </is>
      </c>
      <c r="C609" s="144" t="inlineStr">
        <is>
          <t>Mr. tea</t>
        </is>
      </c>
      <c r="D609" s="144" t="inlineStr">
        <is>
          <t>DURAZNO MR TEA 500 ML PET X12</t>
        </is>
      </c>
      <c r="E609" s="148" t="n">
        <v>12</v>
      </c>
      <c r="F609" s="152" t="n">
        <v>1890.76</v>
      </c>
      <c r="G609" s="152" t="n">
        <v>22689.12</v>
      </c>
    </row>
    <row r="610" hidden="1" s="111">
      <c r="A610" s="144" t="n">
        <v>14</v>
      </c>
      <c r="B610" s="144" t="inlineStr">
        <is>
          <t>Bebidas</t>
        </is>
      </c>
      <c r="C610" s="144" t="inlineStr">
        <is>
          <t>Mr. tea</t>
        </is>
      </c>
      <c r="D610" s="144" t="inlineStr">
        <is>
          <t>DURAZNO MR TEA 500 ML PET X12</t>
        </is>
      </c>
      <c r="E610" s="156" t="n">
        <v>12</v>
      </c>
      <c r="F610" s="152" t="n">
        <v>1890.76</v>
      </c>
      <c r="G610" s="152" t="n">
        <v>22689.12</v>
      </c>
    </row>
    <row r="611" hidden="1" s="111">
      <c r="A611" s="143" t="n">
        <v>20</v>
      </c>
      <c r="B611" s="143" t="inlineStr">
        <is>
          <t>Bebidas</t>
        </is>
      </c>
      <c r="C611" s="143" t="inlineStr">
        <is>
          <t>Mr. tea</t>
        </is>
      </c>
      <c r="D611" s="143" t="inlineStr">
        <is>
          <t>DURAZNO MR TEA 500 ML PET X12</t>
        </is>
      </c>
      <c r="E611" s="147" t="n">
        <v>12</v>
      </c>
      <c r="F611" s="151" t="n">
        <v>1890.76</v>
      </c>
      <c r="G611" s="151" t="n">
        <v>22689.12</v>
      </c>
    </row>
    <row r="612" hidden="1" s="111">
      <c r="A612" s="80" t="n">
        <v>20</v>
      </c>
      <c r="B612" s="143" t="inlineStr">
        <is>
          <t>Bebidas</t>
        </is>
      </c>
      <c r="C612" s="143" t="inlineStr">
        <is>
          <t>Limonada coco</t>
        </is>
      </c>
      <c r="D612" s="143" t="inlineStr">
        <is>
          <t>F Guanabana 125 gr (Fruitty Frezze FE21343)</t>
        </is>
      </c>
      <c r="E612" s="81" t="n">
        <v>3</v>
      </c>
      <c r="F612" s="81" t="n">
        <v>15500</v>
      </c>
      <c r="G612" s="81" t="n">
        <v>46500</v>
      </c>
    </row>
    <row r="613" hidden="1" s="111">
      <c r="A613" s="144" t="n">
        <v>13</v>
      </c>
      <c r="B613" s="144" t="inlineStr">
        <is>
          <t>Bebidas</t>
        </is>
      </c>
      <c r="C613" s="144" t="inlineStr">
        <is>
          <t>Jug del valle</t>
        </is>
      </c>
      <c r="D613" s="144" t="inlineStr">
        <is>
          <t>FRUTAL MANGOFRS 500ML PET(6)NVO</t>
        </is>
      </c>
      <c r="E613" s="148" t="n">
        <v>1</v>
      </c>
      <c r="F613" s="152" t="n">
        <v>12605</v>
      </c>
      <c r="G613" s="152" t="n">
        <v>12605</v>
      </c>
    </row>
    <row r="614" hidden="1" s="111">
      <c r="A614" s="143" t="n">
        <v>20</v>
      </c>
      <c r="B614" s="143" t="inlineStr">
        <is>
          <t>Verduras</t>
        </is>
      </c>
      <c r="C614" s="143" t="inlineStr">
        <is>
          <t>Aguacate</t>
        </is>
      </c>
      <c r="D614" s="143" t="inlineStr">
        <is>
          <t>20 Aguacates (Recibo Caja Menor)</t>
        </is>
      </c>
      <c r="E614" s="143" t="n">
        <v>20</v>
      </c>
      <c r="F614" s="143" t="n">
        <v>7000</v>
      </c>
      <c r="G614" s="143" t="n">
        <v>140000</v>
      </c>
    </row>
    <row r="615" hidden="1" s="111">
      <c r="A615" s="143" t="n">
        <v>20</v>
      </c>
      <c r="B615" s="143" t="inlineStr">
        <is>
          <t>Verduras</t>
        </is>
      </c>
      <c r="C615" s="143" t="inlineStr">
        <is>
          <t>Atados hojas</t>
        </is>
      </c>
      <c r="D615" s="143" t="inlineStr">
        <is>
          <t>25 Atados Hoja (Recibo Caja Menor)</t>
        </is>
      </c>
      <c r="E615" s="143" t="n">
        <v>25</v>
      </c>
      <c r="F615" s="143" t="n">
        <v>2480</v>
      </c>
      <c r="G615" s="143" t="n">
        <v>62000</v>
      </c>
    </row>
    <row r="616" hidden="1" s="111">
      <c r="A616" s="143" t="n">
        <v>20</v>
      </c>
      <c r="B616" s="143" t="inlineStr">
        <is>
          <t>Verduras</t>
        </is>
      </c>
      <c r="C616" s="143" t="inlineStr">
        <is>
          <t>Cocos</t>
        </is>
      </c>
      <c r="D616" s="143" t="inlineStr">
        <is>
          <t>5 Cocos (Recibo Caja Menor)</t>
        </is>
      </c>
      <c r="E616" s="143" t="n">
        <v>5</v>
      </c>
      <c r="F616" s="143" t="n">
        <v>8000</v>
      </c>
      <c r="G616" s="143" t="n">
        <v>40000</v>
      </c>
    </row>
    <row r="617" hidden="1" s="111">
      <c r="A617" s="143" t="n">
        <v>20</v>
      </c>
      <c r="B617" s="143" t="inlineStr">
        <is>
          <t>Verduras</t>
        </is>
      </c>
      <c r="C617" s="143" t="inlineStr">
        <is>
          <t>Masa t</t>
        </is>
      </c>
      <c r="D617" s="143" t="inlineStr">
        <is>
          <t>9 lbs Masa (Recibo Caja Menor)</t>
        </is>
      </c>
      <c r="E617" s="143" t="n">
        <v>9</v>
      </c>
      <c r="F617" s="143" t="n">
        <v>3500</v>
      </c>
      <c r="G617" s="143" t="n">
        <v>31500</v>
      </c>
    </row>
    <row r="618" hidden="1" s="111">
      <c r="A618" s="143" t="n">
        <v>20</v>
      </c>
      <c r="B618" s="143" t="inlineStr">
        <is>
          <t>Verduras</t>
        </is>
      </c>
      <c r="C618" s="143" t="inlineStr">
        <is>
          <t>Tortillas</t>
        </is>
      </c>
      <c r="D618" s="143" t="inlineStr">
        <is>
          <t>20 Tortillas (Recibo Caja Menor)</t>
        </is>
      </c>
      <c r="E618" s="143" t="n">
        <v>20</v>
      </c>
      <c r="F618" s="143" t="n">
        <v>900</v>
      </c>
      <c r="G618" s="143" t="n">
        <v>18000</v>
      </c>
    </row>
    <row r="619" hidden="1" s="111">
      <c r="A619" s="143" t="n">
        <v>20</v>
      </c>
      <c r="B619" s="143" t="inlineStr">
        <is>
          <t>Verduras</t>
        </is>
      </c>
      <c r="C619" s="143" t="inlineStr">
        <is>
          <t>Naranjo</t>
        </is>
      </c>
      <c r="D619" s="143" t="inlineStr">
        <is>
          <t>6 lbs Naranja (Recibo Caja Menor)</t>
        </is>
      </c>
      <c r="E619" s="143" t="n">
        <v>6</v>
      </c>
      <c r="F619" s="143" t="n">
        <v>1750</v>
      </c>
      <c r="G619" s="143" t="n">
        <v>10500</v>
      </c>
    </row>
    <row r="620" hidden="1" s="111">
      <c r="A620" s="143" t="n">
        <v>20</v>
      </c>
      <c r="B620" s="143" t="inlineStr">
        <is>
          <t>Verduras</t>
        </is>
      </c>
      <c r="C620" s="143" t="inlineStr">
        <is>
          <t>Guasca</t>
        </is>
      </c>
      <c r="D620" s="143" t="inlineStr">
        <is>
          <t>Guasca y bore (Recibo Caja Menor)</t>
        </is>
      </c>
      <c r="E620" s="143" t="n">
        <v>1</v>
      </c>
      <c r="F620" s="143" t="n">
        <v>8000</v>
      </c>
      <c r="G620" s="143" t="n">
        <v>8000</v>
      </c>
    </row>
    <row r="621" hidden="1" s="111">
      <c r="A621" s="143" t="n">
        <v>20</v>
      </c>
      <c r="B621" s="143" t="inlineStr">
        <is>
          <t>Verduras</t>
        </is>
      </c>
      <c r="C621" s="143" t="inlineStr">
        <is>
          <t>Yuca pelada</t>
        </is>
      </c>
      <c r="D621" s="143" t="inlineStr">
        <is>
          <t>12 Kl Yuca pelada (Remision Pasoancho)</t>
        </is>
      </c>
      <c r="E621" s="143" t="n">
        <v>12</v>
      </c>
      <c r="F621" s="143" t="n">
        <v>4500</v>
      </c>
      <c r="G621" s="143" t="n">
        <v>54000</v>
      </c>
    </row>
    <row r="622" hidden="1" s="111">
      <c r="A622" s="144" t="n">
        <v>13</v>
      </c>
      <c r="B622" s="144" t="inlineStr">
        <is>
          <t>Bebidas</t>
        </is>
      </c>
      <c r="C622" s="144" t="inlineStr">
        <is>
          <t>Jug del valle</t>
        </is>
      </c>
      <c r="D622" s="144" t="inlineStr">
        <is>
          <t>FRUTAL MORA 500ML PET(6)NVO</t>
        </is>
      </c>
      <c r="E622" s="148" t="n">
        <v>1</v>
      </c>
      <c r="F622" s="152" t="n">
        <v>12605</v>
      </c>
      <c r="G622" s="152" t="n">
        <v>12605</v>
      </c>
    </row>
    <row r="623" hidden="1" s="111">
      <c r="A623" s="80" t="n">
        <v>21</v>
      </c>
      <c r="B623" s="143" t="inlineStr">
        <is>
          <t>Carnes</t>
        </is>
      </c>
      <c r="C623" s="143" t="inlineStr">
        <is>
          <t>Tocino barril</t>
        </is>
      </c>
      <c r="D623" s="143" t="inlineStr">
        <is>
          <t>TOCINETA BARRIL (Carnes Los Monos - YP23955)</t>
        </is>
      </c>
      <c r="E623" s="81" t="n">
        <v>71.55</v>
      </c>
      <c r="F623" s="81" t="n">
        <v>21900</v>
      </c>
      <c r="G623" s="81" t="n">
        <v>1566945</v>
      </c>
    </row>
    <row r="624" hidden="1" s="111">
      <c r="A624" s="80" t="n">
        <v>21</v>
      </c>
      <c r="B624" s="143" t="inlineStr">
        <is>
          <t>Verduras</t>
        </is>
      </c>
      <c r="C624" s="143" t="inlineStr">
        <is>
          <t>Papa a la francesa paq 2.5 kl</t>
        </is>
      </c>
      <c r="D624" s="143" t="inlineStr">
        <is>
          <t>PAPA A LA FRANCESA PAQ 2.5 KL (Carnes Los Monos - YP23955)</t>
        </is>
      </c>
      <c r="E624" s="80" t="n">
        <v>8</v>
      </c>
      <c r="F624" s="81" t="n">
        <v>16900</v>
      </c>
      <c r="G624" s="81" t="n">
        <v>135200</v>
      </c>
    </row>
    <row r="625" hidden="1" s="111">
      <c r="A625" s="80" t="n">
        <v>21</v>
      </c>
      <c r="B625" s="143" t="inlineStr">
        <is>
          <t>Carnes</t>
        </is>
      </c>
      <c r="C625" s="143" t="inlineStr">
        <is>
          <t>Costilla especial</t>
        </is>
      </c>
      <c r="D625" s="143" t="inlineStr">
        <is>
          <t>COSTILLA SAN LUIS JUNIOR T/M (Carnes Los Monos - YP23955)</t>
        </is>
      </c>
      <c r="E625" s="80" t="n">
        <v>43.6</v>
      </c>
      <c r="F625" s="81" t="n">
        <v>21900</v>
      </c>
      <c r="G625" s="81" t="n">
        <v>954840</v>
      </c>
    </row>
    <row r="626" hidden="1" s="111">
      <c r="A626" s="143" t="n">
        <v>21</v>
      </c>
      <c r="B626" s="143" t="inlineStr">
        <is>
          <t>Grano</t>
        </is>
      </c>
      <c r="C626" s="143" t="inlineStr">
        <is>
          <t>Panela</t>
        </is>
      </c>
      <c r="D626" s="143" t="inlineStr">
        <is>
          <t>15 Panela (Cuenta de Cobro)</t>
        </is>
      </c>
      <c r="E626" s="143" t="n">
        <v>15</v>
      </c>
      <c r="F626" s="143" t="n">
        <v>13000</v>
      </c>
      <c r="G626" s="143" t="n">
        <v>195000</v>
      </c>
    </row>
    <row r="627" hidden="1" s="111">
      <c r="A627" s="143" t="n">
        <v>21</v>
      </c>
      <c r="B627" s="143" t="inlineStr">
        <is>
          <t>Carnes</t>
        </is>
      </c>
      <c r="C627" s="143" t="inlineStr">
        <is>
          <t>Chorizo coctelero x 40</t>
        </is>
      </c>
      <c r="D627" s="143" t="inlineStr">
        <is>
          <t>CHORIZO PREMIUM COCTELERO PAQ. X 40 UND. (MONTERO FAC 6592)</t>
        </is>
      </c>
      <c r="E627" s="143" t="n">
        <v>5</v>
      </c>
      <c r="F627" s="143" t="n">
        <v>48000</v>
      </c>
      <c r="G627" s="143" t="n">
        <v>240000</v>
      </c>
    </row>
    <row r="628" hidden="1" s="111">
      <c r="A628" s="143" t="n">
        <v>21</v>
      </c>
      <c r="B628" s="143" t="inlineStr">
        <is>
          <t>Verduras</t>
        </is>
      </c>
      <c r="C628" s="143" t="inlineStr">
        <is>
          <t>Mezcla liquida de limon</t>
        </is>
      </c>
      <c r="D628" s="143" t="inlineStr">
        <is>
          <t>12 Mezcla Liquida de Limon x 2.000ml JF (Remision 0251)</t>
        </is>
      </c>
      <c r="E628" s="143" t="n">
        <v>12</v>
      </c>
      <c r="F628" s="143" t="n">
        <v>12000</v>
      </c>
      <c r="G628" s="143" t="n">
        <v>144000</v>
      </c>
    </row>
    <row r="629" hidden="1" s="111">
      <c r="A629" s="143" t="n">
        <v>21</v>
      </c>
      <c r="B629" s="143" t="inlineStr">
        <is>
          <t>Desechables</t>
        </is>
      </c>
      <c r="C629" s="143" t="inlineStr">
        <is>
          <t>Mercancias Varias Excentas</t>
        </is>
      </c>
      <c r="D629" s="143" t="inlineStr">
        <is>
          <t>EMTOP ESPATULA 6" MANGO ENCAUCHETADO (Ferre Express FV-10952)</t>
        </is>
      </c>
      <c r="E629" s="143" t="n">
        <v>1</v>
      </c>
      <c r="F629" s="143" t="n">
        <v>16500</v>
      </c>
      <c r="G629" s="143" t="n">
        <v>16500</v>
      </c>
    </row>
    <row r="630" hidden="1" s="111">
      <c r="A630" s="143" t="n">
        <v>21</v>
      </c>
      <c r="B630" s="143" t="inlineStr">
        <is>
          <t>Carnes</t>
        </is>
      </c>
      <c r="C630" s="143" t="inlineStr">
        <is>
          <t>Morcilla</t>
        </is>
      </c>
      <c r="D630" s="143" t="inlineStr">
        <is>
          <t>5 Kilos Morcilla (Rellenitas Gourmet Factura 991)</t>
        </is>
      </c>
      <c r="E630" s="143" t="n">
        <v>5</v>
      </c>
      <c r="F630" s="143" t="n">
        <v>19500</v>
      </c>
      <c r="G630" s="143" t="n">
        <v>97500</v>
      </c>
    </row>
    <row r="631" hidden="1" s="111">
      <c r="A631" s="145" t="n">
        <v>9</v>
      </c>
      <c r="B631" s="145" t="inlineStr">
        <is>
          <t>Servicios</t>
        </is>
      </c>
      <c r="C631" s="145" t="inlineStr">
        <is>
          <t>Pago turnos</t>
        </is>
      </c>
      <c r="D631" s="145" t="inlineStr">
        <is>
          <t>Pago Eliana</t>
        </is>
      </c>
      <c r="E631" s="145" t="n">
        <v>1</v>
      </c>
      <c r="F631" s="145" t="n">
        <v>462000</v>
      </c>
      <c r="G631" s="145" t="n">
        <v>462000</v>
      </c>
    </row>
    <row r="632" hidden="1" s="111">
      <c r="A632" s="143" t="n">
        <v>4</v>
      </c>
      <c r="B632" s="143" t="inlineStr">
        <is>
          <t>Bebidas</t>
        </is>
      </c>
      <c r="C632" s="143" t="inlineStr">
        <is>
          <t>Gatorade</t>
        </is>
      </c>
      <c r="D632" s="143" t="inlineStr">
        <is>
          <t>FRUTAS TROPICAL. GATORADE 500 ML PET X12</t>
        </is>
      </c>
      <c r="E632" s="147" t="n">
        <v>1</v>
      </c>
      <c r="F632" s="151" t="n">
        <v>2731.09</v>
      </c>
      <c r="G632" s="151" t="n">
        <v>2731.09</v>
      </c>
    </row>
    <row r="633" hidden="1" s="111">
      <c r="A633" s="143" t="n">
        <v>4</v>
      </c>
      <c r="B633" s="143" t="inlineStr">
        <is>
          <t>Bebidas</t>
        </is>
      </c>
      <c r="C633" s="143" t="inlineStr">
        <is>
          <t>Gatorade</t>
        </is>
      </c>
      <c r="D633" s="143" t="inlineStr">
        <is>
          <t>FRUTAS TROPICAL. GATORADE 500 ML PET X12</t>
        </is>
      </c>
      <c r="E633" s="147" t="n">
        <v>12</v>
      </c>
      <c r="F633" s="151" t="n">
        <v>2503.59</v>
      </c>
      <c r="G633" s="151" t="n">
        <v>30043.08</v>
      </c>
    </row>
    <row r="634" hidden="1" s="111">
      <c r="A634" s="143" t="n">
        <v>21</v>
      </c>
      <c r="B634" s="143" t="inlineStr">
        <is>
          <t>Carnes</t>
        </is>
      </c>
      <c r="C634" s="143" t="inlineStr">
        <is>
          <t>Morcilla</t>
        </is>
      </c>
      <c r="D634" s="143" t="inlineStr">
        <is>
          <t>Morcilla 3kl (Recibo Caja Menor)</t>
        </is>
      </c>
      <c r="E634" s="143" t="n">
        <v>3</v>
      </c>
      <c r="F634" s="143" t="n">
        <v>20000</v>
      </c>
      <c r="G634" s="143" t="n">
        <v>60000</v>
      </c>
    </row>
    <row r="635" hidden="1" s="111">
      <c r="A635" s="145" t="n">
        <v>19</v>
      </c>
      <c r="B635" s="145" t="inlineStr">
        <is>
          <t>Servicios</t>
        </is>
      </c>
      <c r="C635" s="145" t="inlineStr">
        <is>
          <t>Pago turnos</t>
        </is>
      </c>
      <c r="D635" s="145" t="inlineStr">
        <is>
          <t>DOMINGO L.</t>
        </is>
      </c>
      <c r="E635" s="145" t="n">
        <v>1</v>
      </c>
      <c r="F635" s="145" t="n">
        <v>50000</v>
      </c>
      <c r="G635" s="145" t="n">
        <v>50000</v>
      </c>
    </row>
    <row r="636" hidden="1" s="111">
      <c r="A636" s="143" t="n">
        <v>22</v>
      </c>
      <c r="B636" s="143" t="inlineStr">
        <is>
          <t>Carnes</t>
        </is>
      </c>
      <c r="C636" s="143" t="inlineStr">
        <is>
          <t>Filete de pechuga</t>
        </is>
      </c>
      <c r="D636" s="143" t="inlineStr">
        <is>
          <t>FILETE DE POLLO X 350G (Alexis Valencia - Fact 905)</t>
        </is>
      </c>
      <c r="E636" s="143" t="n">
        <v>24.5</v>
      </c>
      <c r="F636" s="143" t="n">
        <v>18500</v>
      </c>
      <c r="G636" s="143" t="n">
        <v>453250</v>
      </c>
    </row>
    <row r="637" hidden="1" s="111">
      <c r="A637" s="144" t="n">
        <v>14</v>
      </c>
      <c r="B637" s="144" t="inlineStr">
        <is>
          <t>Bebidas</t>
        </is>
      </c>
      <c r="C637" s="144" t="inlineStr">
        <is>
          <t>Gatorade</t>
        </is>
      </c>
      <c r="D637" s="144" t="inlineStr">
        <is>
          <t>FRUTAS TROPICAL. GATORADE 500 ML PET X12</t>
        </is>
      </c>
      <c r="E637" s="156" t="n">
        <v>24</v>
      </c>
      <c r="F637" s="152" t="n">
        <v>2731.09</v>
      </c>
      <c r="G637" s="152" t="n">
        <v>65546.16</v>
      </c>
    </row>
    <row r="638" hidden="1" s="111">
      <c r="A638" s="80" t="n">
        <v>20</v>
      </c>
      <c r="B638" s="143" t="inlineStr">
        <is>
          <t>Bebidas</t>
        </is>
      </c>
      <c r="C638" s="143" t="inlineStr">
        <is>
          <t>Maracuya 100gr</t>
        </is>
      </c>
      <c r="D638" s="143" t="inlineStr">
        <is>
          <t>G Maracuya 125 gr (Fruitty Frezze FE21343)</t>
        </is>
      </c>
      <c r="E638" s="80" t="n">
        <v>5</v>
      </c>
      <c r="F638" s="81" t="n">
        <v>17950</v>
      </c>
      <c r="G638" s="81" t="n">
        <v>89750</v>
      </c>
    </row>
    <row r="639" hidden="1" s="111">
      <c r="A639" s="143" t="n">
        <v>22</v>
      </c>
      <c r="B639" s="143" t="inlineStr">
        <is>
          <t>Verduras</t>
        </is>
      </c>
      <c r="C639" s="143" t="inlineStr">
        <is>
          <t>Platano maduro</t>
        </is>
      </c>
      <c r="D639" s="143" t="inlineStr">
        <is>
          <t>PLATANO MADURO*KL (Fruver Los Monos - FEFM 5645)</t>
        </is>
      </c>
      <c r="E639" s="143" t="n">
        <v>62</v>
      </c>
      <c r="F639" s="143" t="n">
        <v>1400</v>
      </c>
      <c r="G639" s="143" t="n">
        <v>86800</v>
      </c>
    </row>
    <row r="640" hidden="1" s="111">
      <c r="A640" s="143" t="n">
        <v>22</v>
      </c>
      <c r="B640" s="143" t="inlineStr">
        <is>
          <t>Verduras</t>
        </is>
      </c>
      <c r="C640" s="143" t="inlineStr">
        <is>
          <t>Platano verde</t>
        </is>
      </c>
      <c r="D640" s="143" t="inlineStr">
        <is>
          <t>PLATANO VERDE*KL (Fruver Los Monos - FEFM 5645)</t>
        </is>
      </c>
      <c r="E640" s="143" t="n">
        <v>72.90000000000001</v>
      </c>
      <c r="F640" s="143" t="n">
        <v>1500</v>
      </c>
      <c r="G640" s="143" t="n">
        <v>109350</v>
      </c>
    </row>
    <row r="641" hidden="1" s="111">
      <c r="A641" s="143" t="n">
        <v>22</v>
      </c>
      <c r="B641" s="143" t="inlineStr">
        <is>
          <t>Verduras</t>
        </is>
      </c>
      <c r="C641" s="143" t="inlineStr">
        <is>
          <t>Cilantro</t>
        </is>
      </c>
      <c r="D641" s="143" t="inlineStr">
        <is>
          <t>CILANTRO (Fruver Los Monos - FEFM 5645)</t>
        </is>
      </c>
      <c r="E641" s="143" t="n">
        <v>4</v>
      </c>
      <c r="F641" s="143" t="n">
        <v>9000</v>
      </c>
      <c r="G641" s="143" t="n">
        <v>36000</v>
      </c>
    </row>
    <row r="642" hidden="1" s="111">
      <c r="A642" s="143" t="n">
        <v>22</v>
      </c>
      <c r="B642" s="143" t="inlineStr">
        <is>
          <t>Verduras</t>
        </is>
      </c>
      <c r="C642" s="143" t="inlineStr">
        <is>
          <t>Zanahoria</t>
        </is>
      </c>
      <c r="D642" s="143" t="inlineStr">
        <is>
          <t>ZANAHORIA*KL (Fruver Los Monos - FEFM 5645)</t>
        </is>
      </c>
      <c r="E642" s="143" t="n">
        <v>7.9</v>
      </c>
      <c r="F642" s="143" t="n">
        <v>2500</v>
      </c>
      <c r="G642" s="143" t="n">
        <v>19750</v>
      </c>
    </row>
    <row r="643" hidden="1" s="111">
      <c r="A643" s="143" t="n">
        <v>22</v>
      </c>
      <c r="B643" s="143" t="inlineStr">
        <is>
          <t>Verduras</t>
        </is>
      </c>
      <c r="C643" s="143" t="inlineStr">
        <is>
          <t>Tomate chonto</t>
        </is>
      </c>
      <c r="D643" s="143" t="inlineStr">
        <is>
          <t>TOMATE CHONTO*KL (Fruver Los Monos - FEFM 5645)</t>
        </is>
      </c>
      <c r="E643" s="143" t="n">
        <v>8.1</v>
      </c>
      <c r="F643" s="143" t="n">
        <v>4800</v>
      </c>
      <c r="G643" s="143" t="n">
        <v>38880</v>
      </c>
    </row>
    <row r="644" hidden="1" s="111">
      <c r="A644" s="143" t="n">
        <v>22</v>
      </c>
      <c r="B644" s="143" t="inlineStr">
        <is>
          <t>Verduras</t>
        </is>
      </c>
      <c r="C644" s="143" t="inlineStr">
        <is>
          <t>Papa amarilla</t>
        </is>
      </c>
      <c r="D644" s="143" t="inlineStr">
        <is>
          <t>PAPA AMARILLA CRIOLLA*KL (Fruver Los Monos - FEFM 5645)</t>
        </is>
      </c>
      <c r="E644" s="143" t="n">
        <v>7.2</v>
      </c>
      <c r="F644" s="143" t="n">
        <v>5800</v>
      </c>
      <c r="G644" s="143" t="n">
        <v>41760</v>
      </c>
    </row>
    <row r="645" hidden="1" s="111">
      <c r="A645" s="143" t="n">
        <v>22</v>
      </c>
      <c r="B645" s="143" t="inlineStr">
        <is>
          <t>Verduras</t>
        </is>
      </c>
      <c r="C645" s="143" t="inlineStr">
        <is>
          <t>Ulluco Limpio</t>
        </is>
      </c>
      <c r="D645" s="143" t="inlineStr">
        <is>
          <t>ULLUCOS LIMPIO*KL (Fruver Los Monos - FEFM 5645)</t>
        </is>
      </c>
      <c r="E645" s="143" t="n">
        <v>4.2</v>
      </c>
      <c r="F645" s="143" t="n">
        <v>9000</v>
      </c>
      <c r="G645" s="143" t="n">
        <v>37800</v>
      </c>
    </row>
    <row r="646" hidden="1" s="111">
      <c r="A646" s="143" t="n">
        <v>22</v>
      </c>
      <c r="B646" s="143" t="inlineStr">
        <is>
          <t>Verduras</t>
        </is>
      </c>
      <c r="C646" s="143" t="inlineStr">
        <is>
          <t>Habichuela</t>
        </is>
      </c>
      <c r="D646" s="143" t="inlineStr">
        <is>
          <t>HABICHUELA*KL (Fruver Los Monos - FEFM 5645)</t>
        </is>
      </c>
      <c r="E646" s="143" t="n">
        <v>4</v>
      </c>
      <c r="F646" s="143" t="n">
        <v>5500</v>
      </c>
      <c r="G646" s="143" t="n">
        <v>22000</v>
      </c>
    </row>
    <row r="647" hidden="1" s="111">
      <c r="A647" s="143" t="n">
        <v>22</v>
      </c>
      <c r="B647" s="143" t="inlineStr">
        <is>
          <t>Verduras</t>
        </is>
      </c>
      <c r="C647" s="143" t="inlineStr">
        <is>
          <t>Pimenton</t>
        </is>
      </c>
      <c r="D647" s="143" t="inlineStr">
        <is>
          <t>PIMENTON*KL (Fruver Los Monos - FEFM 5645)</t>
        </is>
      </c>
      <c r="E647" s="143" t="n">
        <v>3.3</v>
      </c>
      <c r="F647" s="143" t="n">
        <v>3500</v>
      </c>
      <c r="G647" s="143" t="n">
        <v>11550</v>
      </c>
    </row>
    <row r="648" hidden="1" s="111">
      <c r="A648" s="143" t="n">
        <v>22</v>
      </c>
      <c r="B648" s="143" t="inlineStr">
        <is>
          <t>Verduras</t>
        </is>
      </c>
      <c r="C648" s="143" t="inlineStr">
        <is>
          <t>Pepino comun</t>
        </is>
      </c>
      <c r="D648" s="143" t="inlineStr">
        <is>
          <t>PEPINO COMUN*KL (Fruver Los Monos - FEFM 5645)</t>
        </is>
      </c>
      <c r="E648" s="143" t="n">
        <v>3.8</v>
      </c>
      <c r="F648" s="143" t="n">
        <v>3000</v>
      </c>
      <c r="G648" s="143" t="n">
        <v>11400</v>
      </c>
    </row>
    <row r="649" hidden="1" s="111">
      <c r="A649" s="143" t="n">
        <v>22</v>
      </c>
      <c r="B649" s="143" t="inlineStr">
        <is>
          <t>Verduras</t>
        </is>
      </c>
      <c r="C649" s="143" t="inlineStr">
        <is>
          <t>Repollo morado</t>
        </is>
      </c>
      <c r="D649" s="143" t="inlineStr">
        <is>
          <t>REPOLLO MORADO*KL (Fruver Los Monos - FEFM 5645)</t>
        </is>
      </c>
      <c r="E649" s="143" t="n">
        <v>3.1</v>
      </c>
      <c r="F649" s="143" t="n">
        <v>2800</v>
      </c>
      <c r="G649" s="143" t="n">
        <v>8680</v>
      </c>
    </row>
    <row r="650" hidden="1" s="111">
      <c r="A650" s="146" t="n">
        <v>22</v>
      </c>
      <c r="B650" s="146" t="inlineStr">
        <is>
          <t>Verduras</t>
        </is>
      </c>
      <c r="C650" s="146" t="inlineStr">
        <is>
          <t>Cebolla cabezona</t>
        </is>
      </c>
      <c r="D650" s="146" t="inlineStr">
        <is>
          <t>CEBOLLA CABEZONA*KL (Fruver Los Monos - FEFM 5645)</t>
        </is>
      </c>
      <c r="E650" s="149" t="n">
        <v>9.5</v>
      </c>
      <c r="F650" s="153" t="n">
        <v>3000</v>
      </c>
      <c r="G650" s="153" t="n">
        <v>28500</v>
      </c>
    </row>
    <row r="651" hidden="1" s="111">
      <c r="A651" s="146" t="n">
        <v>22</v>
      </c>
      <c r="B651" s="146" t="inlineStr">
        <is>
          <t>Verduras</t>
        </is>
      </c>
      <c r="C651" s="146" t="inlineStr">
        <is>
          <t>Lechuga batavia</t>
        </is>
      </c>
      <c r="D651" s="146" t="inlineStr">
        <is>
          <t>LECHUGA BATAVIA*KL (Fruver Los Monos - FEFM 5645)</t>
        </is>
      </c>
      <c r="E651" s="149" t="n">
        <v>32</v>
      </c>
      <c r="F651" s="157" t="n">
        <v>2800</v>
      </c>
      <c r="G651" s="157" t="n">
        <v>89600</v>
      </c>
    </row>
    <row r="652" hidden="1" s="111">
      <c r="A652" s="146" t="n">
        <v>22</v>
      </c>
      <c r="B652" s="146" t="inlineStr">
        <is>
          <t>Verduras</t>
        </is>
      </c>
      <c r="C652" s="146" t="inlineStr">
        <is>
          <t>Cebolla Larga Atado</t>
        </is>
      </c>
      <c r="D652" s="146" t="inlineStr">
        <is>
          <t>CEBOLLA LARGA ATADO (Fruver Los Monos - FEFM 5645)</t>
        </is>
      </c>
      <c r="E652" s="149" t="n">
        <v>1</v>
      </c>
      <c r="F652" s="157" t="n">
        <v>70000</v>
      </c>
      <c r="G652" s="157" t="n">
        <v>70000</v>
      </c>
    </row>
    <row r="653" hidden="1" s="111">
      <c r="A653" s="146" t="n">
        <v>22</v>
      </c>
      <c r="B653" s="146" t="inlineStr">
        <is>
          <t>Verduras</t>
        </is>
      </c>
      <c r="C653" s="146" t="inlineStr">
        <is>
          <t>Limon tahiti</t>
        </is>
      </c>
      <c r="D653" s="146" t="inlineStr">
        <is>
          <t>LIMON TAHITY*KL (Fruver Los Monos - FEFM 5645)</t>
        </is>
      </c>
      <c r="E653" s="150" t="n">
        <v>63</v>
      </c>
      <c r="F653" s="153" t="n">
        <v>2500</v>
      </c>
      <c r="G653" s="153" t="n">
        <v>157500</v>
      </c>
    </row>
    <row r="654" hidden="1" s="111">
      <c r="A654" s="146" t="n">
        <v>22</v>
      </c>
      <c r="B654" s="146" t="inlineStr">
        <is>
          <t>Carnes</t>
        </is>
      </c>
      <c r="C654" s="146" t="inlineStr">
        <is>
          <t>Sobrebarriga delgada</t>
        </is>
      </c>
      <c r="D654" s="146" t="inlineStr">
        <is>
          <t>SOBREBARRIGA DE RES (MYC - FE01532)</t>
        </is>
      </c>
      <c r="E654" s="150" t="n">
        <v>16.15</v>
      </c>
      <c r="F654" s="153" t="n">
        <v>30000</v>
      </c>
      <c r="G654" s="153" t="n">
        <v>484500</v>
      </c>
    </row>
    <row r="655" hidden="1" s="111">
      <c r="A655" s="143" t="n">
        <v>22</v>
      </c>
      <c r="B655" s="143" t="inlineStr">
        <is>
          <t>Verduras</t>
        </is>
      </c>
      <c r="C655" s="143" t="inlineStr">
        <is>
          <t>Aguacate</t>
        </is>
      </c>
      <c r="D655" s="143" t="inlineStr">
        <is>
          <t>Aguacates 30 * 5000 (Recibo Caja Menor)</t>
        </is>
      </c>
      <c r="E655" s="143" t="n">
        <v>30</v>
      </c>
      <c r="F655" s="143" t="n">
        <v>5000</v>
      </c>
      <c r="G655" s="143" t="n">
        <v>150000</v>
      </c>
    </row>
    <row r="656" hidden="1" s="111">
      <c r="A656" s="143" t="n">
        <v>22</v>
      </c>
      <c r="B656" s="143" t="inlineStr">
        <is>
          <t>Grano</t>
        </is>
      </c>
      <c r="C656" s="143" t="inlineStr">
        <is>
          <t>Leche de coco</t>
        </is>
      </c>
      <c r="D656" s="143" t="inlineStr">
        <is>
          <t>5 litros leche de coco (Recibo Caja Menor)</t>
        </is>
      </c>
      <c r="E656" s="143" t="n">
        <v>5</v>
      </c>
      <c r="F656" s="143" t="n">
        <v>24400</v>
      </c>
      <c r="G656" s="143" t="n">
        <v>122000</v>
      </c>
    </row>
    <row r="657" hidden="1" s="111">
      <c r="A657" s="146" t="n">
        <v>6</v>
      </c>
      <c r="B657" s="146" t="inlineStr">
        <is>
          <t>Bebidas</t>
        </is>
      </c>
      <c r="C657" s="146" t="inlineStr">
        <is>
          <t>Maracuya 100gr</t>
        </is>
      </c>
      <c r="D657" s="146" t="inlineStr">
        <is>
          <t>G Maracuya 125 gr (x5)</t>
        </is>
      </c>
      <c r="E657" s="150" t="n">
        <v>5</v>
      </c>
      <c r="F657" s="153" t="n">
        <v>17950</v>
      </c>
      <c r="G657" s="153" t="n">
        <v>89750</v>
      </c>
    </row>
    <row r="658" hidden="1" s="111">
      <c r="A658" s="143" t="n">
        <v>22</v>
      </c>
      <c r="B658" s="143" t="inlineStr">
        <is>
          <t>Bebidas</t>
        </is>
      </c>
      <c r="C658" s="143" t="inlineStr">
        <is>
          <t>Soda bretaña</t>
        </is>
      </c>
      <c r="D658" s="143" t="inlineStr">
        <is>
          <t>GAS.BRETANA*300 VID (Global Liquors VC238672)</t>
        </is>
      </c>
      <c r="E658" s="143" t="n">
        <v>24</v>
      </c>
      <c r="F658" s="143" t="n">
        <v>2250</v>
      </c>
      <c r="G658" s="143" t="n">
        <v>54000</v>
      </c>
    </row>
    <row r="659" hidden="1" s="111">
      <c r="A659" s="143" t="n">
        <v>16</v>
      </c>
      <c r="B659" s="143" t="inlineStr">
        <is>
          <t>Bebidas</t>
        </is>
      </c>
      <c r="C659" s="143" t="inlineStr">
        <is>
          <t>Hielo</t>
        </is>
      </c>
      <c r="D659" s="143" t="inlineStr">
        <is>
          <t>HIELO IGLU B (3 un)</t>
        </is>
      </c>
      <c r="E659" s="147" t="n">
        <v>3</v>
      </c>
      <c r="F659" s="151" t="n">
        <v>6150</v>
      </c>
      <c r="G659" s="151" t="n">
        <v>18450</v>
      </c>
    </row>
    <row r="660" hidden="1" s="111">
      <c r="A660" s="143" t="n">
        <v>23</v>
      </c>
      <c r="B660" s="143" t="inlineStr">
        <is>
          <t>Bebidas</t>
        </is>
      </c>
      <c r="C660" s="143" t="inlineStr">
        <is>
          <t>Bolsa 5kl tubular</t>
        </is>
      </c>
      <c r="D660" s="143" t="inlineStr">
        <is>
          <t>HIELO KOLBITOS*5000g BOLSA x 2 (Supertiendas Canaveral 08FH331974)</t>
        </is>
      </c>
      <c r="E660" s="143" t="n">
        <v>2</v>
      </c>
      <c r="F660" s="143" t="n">
        <v>7100</v>
      </c>
      <c r="G660" s="143" t="n">
        <v>14200</v>
      </c>
    </row>
    <row r="661" hidden="1" s="111">
      <c r="A661" s="144" t="n">
        <v>4</v>
      </c>
      <c r="B661" s="144" t="inlineStr">
        <is>
          <t>Bebidas</t>
        </is>
      </c>
      <c r="C661" s="144" t="inlineStr">
        <is>
          <t>H2o</t>
        </is>
      </c>
      <c r="D661" s="144" t="inlineStr">
        <is>
          <t>LIMA LIMON H2OH! 600 ML PET X 15</t>
        </is>
      </c>
      <c r="E661" s="148" t="n">
        <v>15</v>
      </c>
      <c r="F661" s="152" t="n">
        <v>1820.73</v>
      </c>
      <c r="G661" s="152" t="n">
        <v>27310.95</v>
      </c>
    </row>
    <row r="662" hidden="1" s="111">
      <c r="A662" s="145" t="n">
        <v>14</v>
      </c>
      <c r="B662" s="145" t="inlineStr">
        <is>
          <t>Bebidas</t>
        </is>
      </c>
      <c r="C662" s="145" t="inlineStr">
        <is>
          <t>H2o</t>
        </is>
      </c>
      <c r="D662" s="145" t="inlineStr">
        <is>
          <t>LIMA LIMON H2Oh! 600 ML PET X 15</t>
        </is>
      </c>
      <c r="E662" s="145" t="n">
        <v>15</v>
      </c>
      <c r="F662" s="145" t="n">
        <v>1820.73</v>
      </c>
      <c r="G662" s="145" t="n">
        <v>27310.95</v>
      </c>
    </row>
    <row r="663" hidden="1" s="111">
      <c r="A663" s="143" t="n">
        <v>22</v>
      </c>
      <c r="B663" s="143" t="inlineStr">
        <is>
          <t>Grano</t>
        </is>
      </c>
      <c r="C663" s="143" t="inlineStr">
        <is>
          <t>Arepas</t>
        </is>
      </c>
      <c r="D663" s="143" t="inlineStr">
        <is>
          <t>950 arepas (Arepas a Diario Ventas 0801)</t>
        </is>
      </c>
      <c r="E663" s="143" t="n">
        <v>950</v>
      </c>
      <c r="F663" s="143" t="n">
        <v>150</v>
      </c>
      <c r="G663" s="143" t="n">
        <v>142500</v>
      </c>
    </row>
    <row r="664" hidden="1" s="111">
      <c r="A664" s="146" t="n">
        <v>23</v>
      </c>
      <c r="B664" s="146" t="inlineStr">
        <is>
          <t>Carnes</t>
        </is>
      </c>
      <c r="C664" s="146" t="inlineStr">
        <is>
          <t>Caderita</t>
        </is>
      </c>
      <c r="D664" s="146" t="inlineStr">
        <is>
          <t>CADERITA DE RES (MYC - FE01533)</t>
        </is>
      </c>
      <c r="E664" s="149" t="n">
        <v>5.25</v>
      </c>
      <c r="F664" s="157" t="n">
        <v>33000</v>
      </c>
      <c r="G664" s="153" t="n">
        <v>173250</v>
      </c>
    </row>
    <row r="665" hidden="1" s="111">
      <c r="A665" s="146" t="n">
        <v>23</v>
      </c>
      <c r="B665" s="146" t="inlineStr">
        <is>
          <t>Carnes</t>
        </is>
      </c>
      <c r="C665" s="146" t="inlineStr">
        <is>
          <t xml:space="preserve">Higado </t>
        </is>
      </c>
      <c r="D665" s="146" t="inlineStr">
        <is>
          <t>HIGADO DE RES (MYC - FE01533)</t>
        </is>
      </c>
      <c r="E665" s="150" t="n">
        <v>5.35</v>
      </c>
      <c r="F665" s="153" t="n">
        <v>21500</v>
      </c>
      <c r="G665" s="153" t="n">
        <v>115025</v>
      </c>
    </row>
    <row r="666" hidden="1" s="111">
      <c r="A666" s="143" t="n">
        <v>23</v>
      </c>
      <c r="B666" s="143" t="inlineStr">
        <is>
          <t>Grano</t>
        </is>
      </c>
      <c r="C666" s="143" t="inlineStr">
        <is>
          <t>Aceite de soya</t>
        </is>
      </c>
      <c r="D666" s="143" t="inlineStr">
        <is>
          <t>ACEITE DE SOY 6 UN (D1 FE L1R9184599)</t>
        </is>
      </c>
      <c r="E666" s="143" t="n">
        <v>6</v>
      </c>
      <c r="F666" s="143" t="n">
        <v>22983.33333333333</v>
      </c>
      <c r="G666" s="143" t="n">
        <v>137900</v>
      </c>
    </row>
    <row r="667" hidden="1" s="111">
      <c r="A667" s="143" t="n">
        <v>23</v>
      </c>
      <c r="B667" s="143" t="inlineStr">
        <is>
          <t>Verduras</t>
        </is>
      </c>
      <c r="C667" s="143" t="inlineStr">
        <is>
          <t>Aguacate</t>
        </is>
      </c>
      <c r="D667" s="143" t="inlineStr">
        <is>
          <t>20 Aguacates (Recibo Caja Menor)</t>
        </is>
      </c>
      <c r="E667" s="143" t="n">
        <v>20</v>
      </c>
      <c r="F667" s="143" t="n">
        <v>7000</v>
      </c>
      <c r="G667" s="143" t="n">
        <v>140000</v>
      </c>
    </row>
    <row r="668" hidden="1" s="111">
      <c r="A668" s="146" t="n">
        <v>20</v>
      </c>
      <c r="B668" s="146" t="inlineStr">
        <is>
          <t>Bebidas</t>
        </is>
      </c>
      <c r="C668" s="146" t="inlineStr">
        <is>
          <t>H2o</t>
        </is>
      </c>
      <c r="D668" s="146" t="inlineStr">
        <is>
          <t>LIMA LIMON H2Oh! 600 ML PET X 15</t>
        </is>
      </c>
      <c r="E668" s="149" t="n">
        <v>15</v>
      </c>
      <c r="F668" s="157" t="n">
        <v>1820.73</v>
      </c>
      <c r="G668" s="157" t="n">
        <v>27310.95</v>
      </c>
    </row>
    <row r="669" hidden="1" s="111">
      <c r="A669" s="144" t="n">
        <v>4</v>
      </c>
      <c r="B669" s="144" t="inlineStr">
        <is>
          <t>Bebidas</t>
        </is>
      </c>
      <c r="C669" s="144" t="inlineStr">
        <is>
          <t>Mr. tea</t>
        </is>
      </c>
      <c r="D669" s="144" t="inlineStr">
        <is>
          <t>LIMON MR TEA 500 ML PET X 12</t>
        </is>
      </c>
      <c r="E669" s="148" t="n">
        <v>12</v>
      </c>
      <c r="F669" s="152" t="n">
        <v>1890.76</v>
      </c>
      <c r="G669" s="152" t="n">
        <v>22689.12</v>
      </c>
    </row>
    <row r="670" hidden="1" s="111">
      <c r="A670" s="143" t="n">
        <v>23</v>
      </c>
      <c r="B670" s="143" t="inlineStr">
        <is>
          <t>Desechables</t>
        </is>
      </c>
      <c r="C670" s="143" t="inlineStr">
        <is>
          <t>Mazamorra</t>
        </is>
      </c>
      <c r="D670" s="143" t="inlineStr">
        <is>
          <t>Franco Bravo - Mazamorra (Recibo Caja Menor)</t>
        </is>
      </c>
      <c r="E670" s="143" t="n">
        <v>1</v>
      </c>
      <c r="F670" s="143" t="n">
        <v>30000</v>
      </c>
      <c r="G670" s="143" t="n">
        <v>30000</v>
      </c>
    </row>
    <row r="671" hidden="1" s="111">
      <c r="A671" s="143" t="n">
        <v>23</v>
      </c>
      <c r="B671" s="143" t="inlineStr">
        <is>
          <t>Grano</t>
        </is>
      </c>
      <c r="C671" s="143" t="inlineStr">
        <is>
          <t>Maizena</t>
        </is>
      </c>
      <c r="D671" s="143" t="inlineStr">
        <is>
          <t>FECULA MAIZENA*720g MAIZ x 2 (Supertiendas Canaveral 03FZ39792)</t>
        </is>
      </c>
      <c r="E671" s="143" t="n">
        <v>2</v>
      </c>
      <c r="F671" s="143" t="n">
        <v>23600</v>
      </c>
      <c r="G671" s="143" t="n">
        <v>47200</v>
      </c>
    </row>
    <row r="672" hidden="1" s="111">
      <c r="A672" s="143" t="n">
        <v>23</v>
      </c>
      <c r="B672" s="143" t="inlineStr">
        <is>
          <t>Carnes</t>
        </is>
      </c>
      <c r="C672" s="143" t="inlineStr">
        <is>
          <t>Espinazo de cerdo</t>
        </is>
      </c>
      <c r="D672" s="143" t="inlineStr">
        <is>
          <t>ESPINAZO CERDO A GRANEL 3.256kg (Supertiendas Canaveral 08FH331909)</t>
        </is>
      </c>
      <c r="E672" s="143" t="n">
        <v>3.256</v>
      </c>
      <c r="F672" s="143" t="n">
        <v>9800</v>
      </c>
      <c r="G672" s="143" t="n">
        <v>31908.8</v>
      </c>
    </row>
    <row r="673" hidden="1" s="111">
      <c r="A673" s="143" t="n">
        <v>23</v>
      </c>
      <c r="B673" s="143" t="inlineStr">
        <is>
          <t>Carnes</t>
        </is>
      </c>
      <c r="C673" s="143" t="inlineStr">
        <is>
          <t>Pezua</t>
        </is>
      </c>
      <c r="D673" s="143" t="inlineStr">
        <is>
          <t>PEZUNA CERDO A GRANEL 7.955kg (Supertiendas Canaveral 08FH331909)</t>
        </is>
      </c>
      <c r="E673" s="143" t="n">
        <v>7.955</v>
      </c>
      <c r="F673" s="143" t="n">
        <v>9700</v>
      </c>
      <c r="G673" s="143" t="n">
        <v>77163.5</v>
      </c>
    </row>
    <row r="674" hidden="1" s="111">
      <c r="A674" s="144" t="n">
        <v>14</v>
      </c>
      <c r="B674" s="144" t="inlineStr">
        <is>
          <t>Bebidas</t>
        </is>
      </c>
      <c r="C674" s="144" t="inlineStr">
        <is>
          <t>Mr. tea</t>
        </is>
      </c>
      <c r="D674" s="144" t="inlineStr">
        <is>
          <t>LIMON MR TEA 500 ML PET X 12</t>
        </is>
      </c>
      <c r="E674" s="156" t="n">
        <v>12</v>
      </c>
      <c r="F674" s="152" t="n">
        <v>1890.76</v>
      </c>
      <c r="G674" s="152" t="n">
        <v>22689.12</v>
      </c>
    </row>
    <row r="675" hidden="1" s="111">
      <c r="A675" s="143" t="n">
        <v>23</v>
      </c>
      <c r="B675" s="143" t="inlineStr">
        <is>
          <t>Desechables</t>
        </is>
      </c>
      <c r="C675" s="143" t="inlineStr">
        <is>
          <t>Bolsa canaveral 100% material recicl f</t>
        </is>
      </c>
      <c r="D675" s="143" t="inlineStr">
        <is>
          <t>BOLSA CANAVERAL TIPO COSTAL (Supertiendas Canaveral 08FH331974)</t>
        </is>
      </c>
      <c r="E675" s="143" t="n">
        <v>1</v>
      </c>
      <c r="F675" s="143" t="n">
        <v>2200</v>
      </c>
      <c r="G675" s="143" t="n">
        <v>2200</v>
      </c>
    </row>
    <row r="676" hidden="1" s="111">
      <c r="A676" s="143" t="n">
        <v>24</v>
      </c>
      <c r="B676" s="143" t="inlineStr">
        <is>
          <t>Desechables</t>
        </is>
      </c>
      <c r="C676" s="143" t="inlineStr">
        <is>
          <t>Contenedor 8 onz.</t>
        </is>
      </c>
      <c r="D676" s="143" t="inlineStr">
        <is>
          <t>CONTENEDOR 8 ONZ X 20X27 TT WAU (Doña Mary)</t>
        </is>
      </c>
      <c r="E676" s="143" t="n">
        <v>10</v>
      </c>
      <c r="F676" s="143" t="n">
        <v>10000</v>
      </c>
      <c r="G676" s="143" t="n">
        <v>100000</v>
      </c>
    </row>
    <row r="677" hidden="1" s="111">
      <c r="A677" s="143" t="n">
        <v>24</v>
      </c>
      <c r="B677" s="143" t="inlineStr">
        <is>
          <t>Desechables</t>
        </is>
      </c>
      <c r="C677" s="143" t="inlineStr">
        <is>
          <t>Cubierto grande x 3 cja x 28pq x 50un</t>
        </is>
      </c>
      <c r="D677" s="143" t="inlineStr">
        <is>
          <t>CUBIERTO GRANDE X 3 CJA X 28PQ X 50UN (Doña Mary)</t>
        </is>
      </c>
      <c r="E677" s="143" t="n">
        <v>200</v>
      </c>
      <c r="F677" s="143" t="n">
        <v>390</v>
      </c>
      <c r="G677" s="143" t="n">
        <v>78000</v>
      </c>
    </row>
    <row r="678" hidden="1" s="111">
      <c r="A678" s="143" t="n">
        <v>24</v>
      </c>
      <c r="B678" s="143" t="inlineStr">
        <is>
          <t>Desechables</t>
        </is>
      </c>
      <c r="C678" s="143" t="inlineStr">
        <is>
          <t>Porta comida j-2</t>
        </is>
      </c>
      <c r="D678" s="143" t="inlineStr">
        <is>
          <t>PORTACOMIDA J2 X 200 WAU (Doña Mary)</t>
        </is>
      </c>
      <c r="E678" s="143" t="n">
        <v>200</v>
      </c>
      <c r="F678" s="143" t="n">
        <v>440</v>
      </c>
      <c r="G678" s="143" t="n">
        <v>88000</v>
      </c>
    </row>
    <row r="679" hidden="1" s="111">
      <c r="A679" s="143" t="n">
        <v>24</v>
      </c>
      <c r="B679" s="143" t="inlineStr">
        <is>
          <t>Desechables</t>
        </is>
      </c>
      <c r="C679" s="143" t="inlineStr">
        <is>
          <t>Tapa vaso 3.5</t>
        </is>
      </c>
      <c r="D679" s="143" t="inlineStr">
        <is>
          <t>TAPA VASO 3,5 Y 7 ONZ WAU X 50 X 90 (Doña Mary)</t>
        </is>
      </c>
      <c r="E679" s="143" t="n">
        <v>3</v>
      </c>
      <c r="F679" s="143" t="n">
        <v>4850</v>
      </c>
      <c r="G679" s="143" t="n">
        <v>14550</v>
      </c>
    </row>
    <row r="680" hidden="1" s="111">
      <c r="A680" s="143" t="n">
        <v>24</v>
      </c>
      <c r="B680" s="143" t="inlineStr">
        <is>
          <t>Desechables</t>
        </is>
      </c>
      <c r="C680" s="143" t="inlineStr">
        <is>
          <t>Vasote 3.5 tansl x 50 x 60</t>
        </is>
      </c>
      <c r="D680" s="143" t="inlineStr">
        <is>
          <t>VASOTE 3.5 TANSL X 50 X 60 (Doña Mary)</t>
        </is>
      </c>
      <c r="E680" s="143" t="n">
        <v>3</v>
      </c>
      <c r="F680" s="143" t="n">
        <v>2750</v>
      </c>
      <c r="G680" s="143" t="n">
        <v>8250</v>
      </c>
    </row>
    <row r="681" hidden="1" s="111">
      <c r="A681" s="146" t="n">
        <v>20</v>
      </c>
      <c r="B681" s="146" t="inlineStr">
        <is>
          <t>Bebidas</t>
        </is>
      </c>
      <c r="C681" s="146" t="inlineStr">
        <is>
          <t>Mr. tea</t>
        </is>
      </c>
      <c r="D681" s="146" t="inlineStr">
        <is>
          <t>LIMON MR TEA 500 ML PET X 12</t>
        </is>
      </c>
      <c r="E681" s="149" t="n">
        <v>12</v>
      </c>
      <c r="F681" s="157" t="n">
        <v>1890.76</v>
      </c>
      <c r="G681" s="157" t="n">
        <v>22689.12</v>
      </c>
    </row>
    <row r="682" hidden="1" s="111">
      <c r="A682" s="143" t="n">
        <v>6</v>
      </c>
      <c r="B682" s="143" t="inlineStr">
        <is>
          <t>Bebidas</t>
        </is>
      </c>
      <c r="C682" s="143" t="inlineStr">
        <is>
          <t xml:space="preserve">Limonada coco </t>
        </is>
      </c>
      <c r="D682" s="143" t="inlineStr">
        <is>
          <t>LIMONADA DE COCO FUSIONADA X 10</t>
        </is>
      </c>
      <c r="E682" s="143" t="n">
        <v>3</v>
      </c>
      <c r="F682" s="143" t="n">
        <v>26000</v>
      </c>
      <c r="G682" s="143" t="n">
        <v>78000</v>
      </c>
    </row>
    <row r="683" hidden="1" s="111">
      <c r="A683" s="144" t="n">
        <v>15</v>
      </c>
      <c r="B683" s="144" t="inlineStr">
        <is>
          <t>Bebidas</t>
        </is>
      </c>
      <c r="C683" s="144" t="inlineStr">
        <is>
          <t xml:space="preserve">Limonada coco </t>
        </is>
      </c>
      <c r="D683" s="144" t="inlineStr">
        <is>
          <t>LIMONADA DE COCO FUSIONADA X 10</t>
        </is>
      </c>
      <c r="E683" s="148" t="n">
        <v>3</v>
      </c>
      <c r="F683" s="152" t="n">
        <v>26000</v>
      </c>
      <c r="G683" s="152" t="n">
        <v>78000</v>
      </c>
    </row>
    <row r="684" hidden="1" s="111">
      <c r="A684" s="143" t="n">
        <v>26</v>
      </c>
      <c r="B684" s="143" t="inlineStr">
        <is>
          <t>Bebidas</t>
        </is>
      </c>
      <c r="C684" s="143" t="inlineStr">
        <is>
          <t xml:space="preserve">Limonada coco </t>
        </is>
      </c>
      <c r="D684" s="143" t="inlineStr">
        <is>
          <t>LIMONADA DE COCO FUSIONADA X 10 (Henry Castaño - FEC 2918)</t>
        </is>
      </c>
      <c r="E684" s="143" t="n">
        <v>3</v>
      </c>
      <c r="F684" s="143" t="n">
        <v>26000</v>
      </c>
      <c r="G684" s="143" t="n">
        <v>78000</v>
      </c>
    </row>
    <row r="685" hidden="1" s="111">
      <c r="A685" s="146" t="n">
        <v>14</v>
      </c>
      <c r="B685" s="146" t="inlineStr">
        <is>
          <t>Bebidas</t>
        </is>
      </c>
      <c r="C685" s="146" t="inlineStr">
        <is>
          <t>H2o</t>
        </is>
      </c>
      <c r="D685" s="146" t="inlineStr">
        <is>
          <t>LIMONATA H2OH! 600 ML PET X 15</t>
        </is>
      </c>
      <c r="E685" s="149" t="n">
        <v>15</v>
      </c>
      <c r="F685" s="153" t="n">
        <v>1820.73</v>
      </c>
      <c r="G685" s="153" t="n">
        <v>27310.95</v>
      </c>
    </row>
    <row r="686" hidden="1" s="111">
      <c r="A686" s="143" t="n">
        <v>4</v>
      </c>
      <c r="B686" s="143" t="inlineStr">
        <is>
          <t>Bebidas</t>
        </is>
      </c>
      <c r="C686" s="143" t="inlineStr">
        <is>
          <t>Hit nr</t>
        </is>
      </c>
      <c r="D686" s="143" t="inlineStr">
        <is>
          <t>LULO HIT 500 ML PET X 12</t>
        </is>
      </c>
      <c r="E686" s="147" t="n">
        <v>1</v>
      </c>
      <c r="F686" s="151" t="n">
        <v>2100.84</v>
      </c>
      <c r="G686" s="151" t="n">
        <v>2100.84</v>
      </c>
    </row>
    <row r="687" hidden="1" s="111">
      <c r="A687" s="143" t="n">
        <v>4</v>
      </c>
      <c r="B687" s="143" t="inlineStr">
        <is>
          <t>Bebidas</t>
        </is>
      </c>
      <c r="C687" s="143" t="inlineStr">
        <is>
          <t>Hit nr</t>
        </is>
      </c>
      <c r="D687" s="143" t="inlineStr">
        <is>
          <t>LULO HIT 500 ML PET X 12</t>
        </is>
      </c>
      <c r="E687" s="147" t="n">
        <v>12</v>
      </c>
      <c r="F687" s="151" t="n">
        <v>1925.84</v>
      </c>
      <c r="G687" s="151" t="n">
        <v>23110.08</v>
      </c>
    </row>
    <row r="688" hidden="1" s="111">
      <c r="A688" s="143" t="n">
        <v>4</v>
      </c>
      <c r="B688" s="143" t="inlineStr">
        <is>
          <t>Bebidas</t>
        </is>
      </c>
      <c r="C688" s="143" t="inlineStr">
        <is>
          <t>Gatorade</t>
        </is>
      </c>
      <c r="D688" s="143" t="inlineStr">
        <is>
          <t>MANDARINA GATORADE 500 ML PET X 12</t>
        </is>
      </c>
      <c r="E688" s="147" t="n">
        <v>1</v>
      </c>
      <c r="F688" s="151" t="n">
        <v>2731.09</v>
      </c>
      <c r="G688" s="151" t="n">
        <v>2731.09</v>
      </c>
    </row>
    <row r="689" hidden="1" s="111">
      <c r="A689" s="143" t="n">
        <v>4</v>
      </c>
      <c r="B689" s="143" t="inlineStr">
        <is>
          <t>Bebidas</t>
        </is>
      </c>
      <c r="C689" s="143" t="inlineStr">
        <is>
          <t>Gatorade</t>
        </is>
      </c>
      <c r="D689" s="143" t="inlineStr">
        <is>
          <t>MANDARINA GATORADE 500 ML PET X 12</t>
        </is>
      </c>
      <c r="E689" s="147" t="n">
        <v>12</v>
      </c>
      <c r="F689" s="151" t="n">
        <v>2503.59</v>
      </c>
      <c r="G689" s="151" t="n">
        <v>30043.08</v>
      </c>
    </row>
    <row r="690" hidden="1" s="111">
      <c r="A690" s="143" t="n">
        <v>4</v>
      </c>
      <c r="B690" s="143" t="inlineStr">
        <is>
          <t>Bebidas</t>
        </is>
      </c>
      <c r="C690" s="143" t="inlineStr">
        <is>
          <t>Hit nr</t>
        </is>
      </c>
      <c r="D690" s="143" t="inlineStr">
        <is>
          <t>MANGO HIT 500 ML PET X 12</t>
        </is>
      </c>
      <c r="E690" s="147" t="n">
        <v>1</v>
      </c>
      <c r="F690" s="151" t="n">
        <v>2100.84</v>
      </c>
      <c r="G690" s="151" t="n">
        <v>2100.84</v>
      </c>
    </row>
    <row r="691" hidden="1" s="111">
      <c r="A691" s="143" t="n">
        <v>4</v>
      </c>
      <c r="B691" s="143" t="inlineStr">
        <is>
          <t>Bebidas</t>
        </is>
      </c>
      <c r="C691" s="143" t="inlineStr">
        <is>
          <t>Hit nr</t>
        </is>
      </c>
      <c r="D691" s="143" t="inlineStr">
        <is>
          <t>MANGO HIT 500 ML PET X 12</t>
        </is>
      </c>
      <c r="E691" s="147" t="n">
        <v>12</v>
      </c>
      <c r="F691" s="151" t="n">
        <v>1925.84</v>
      </c>
      <c r="G691" s="151" t="n">
        <v>23110.08</v>
      </c>
    </row>
    <row r="692" hidden="1" s="111">
      <c r="A692" s="143" t="n">
        <v>24</v>
      </c>
      <c r="B692" s="143" t="inlineStr">
        <is>
          <t>Carnes</t>
        </is>
      </c>
      <c r="C692" s="143" t="inlineStr">
        <is>
          <t>Sobrebarriga delgada</t>
        </is>
      </c>
      <c r="D692" s="143" t="inlineStr">
        <is>
          <t>SOBREBARRIGA DE RES (MYC - FE01534)</t>
        </is>
      </c>
      <c r="E692" s="143" t="n">
        <v>10.6</v>
      </c>
      <c r="F692" s="143" t="n">
        <v>30000</v>
      </c>
      <c r="G692" s="143" t="n">
        <v>318000</v>
      </c>
    </row>
    <row r="693" hidden="1" s="111">
      <c r="A693" s="143" t="n">
        <v>24</v>
      </c>
      <c r="B693" s="143" t="inlineStr">
        <is>
          <t>Carnes</t>
        </is>
      </c>
      <c r="C693" s="143" t="inlineStr">
        <is>
          <t>Caderita</t>
        </is>
      </c>
      <c r="D693" s="143" t="inlineStr">
        <is>
          <t>CADERITA DE RES (MYC - FE01534)</t>
        </is>
      </c>
      <c r="E693" s="143" t="n">
        <v>4.3</v>
      </c>
      <c r="F693" s="143" t="n">
        <v>33000</v>
      </c>
      <c r="G693" s="143" t="n">
        <v>141900</v>
      </c>
    </row>
    <row r="694" hidden="1" s="111">
      <c r="A694" s="143" t="n">
        <v>21</v>
      </c>
      <c r="B694" s="143" t="inlineStr">
        <is>
          <t>Servicios</t>
        </is>
      </c>
      <c r="C694" s="143" t="inlineStr">
        <is>
          <t>Pago turnos</t>
        </is>
      </c>
      <c r="D694" s="143" t="inlineStr">
        <is>
          <t>Pago Eliecer Lunes A Viernes (Recibo Caja Menor)</t>
        </is>
      </c>
      <c r="E694" s="143" t="n">
        <v>1</v>
      </c>
      <c r="F694" s="143" t="n">
        <v>330000</v>
      </c>
      <c r="G694" s="143" t="n">
        <v>330000</v>
      </c>
    </row>
    <row r="695" hidden="1" s="111">
      <c r="A695" s="146" t="n">
        <v>5</v>
      </c>
      <c r="B695" s="146" t="inlineStr">
        <is>
          <t>Servicios</t>
        </is>
      </c>
      <c r="C695" s="146" t="inlineStr">
        <is>
          <t>Pn sr</t>
        </is>
      </c>
      <c r="D695" s="146" t="inlineStr">
        <is>
          <t>15 Pn sr</t>
        </is>
      </c>
      <c r="E695" s="150" t="n">
        <v>15</v>
      </c>
      <c r="F695" s="153" t="n">
        <v>12500</v>
      </c>
      <c r="G695" s="153" t="n">
        <v>187500</v>
      </c>
    </row>
    <row r="696" hidden="1" s="111">
      <c r="A696" s="143" t="n">
        <v>5</v>
      </c>
      <c r="B696" s="143" t="inlineStr">
        <is>
          <t>Servicios</t>
        </is>
      </c>
      <c r="C696" s="143" t="inlineStr">
        <is>
          <t>Prestamo Enith Mosquera</t>
        </is>
      </c>
      <c r="D696" s="143" t="inlineStr">
        <is>
          <t>Prestamo Enith Mosquera (Recibo Caja Menor)</t>
        </is>
      </c>
      <c r="E696" s="147" t="n">
        <v>1</v>
      </c>
      <c r="F696" s="151" t="n"/>
      <c r="G696" s="151" t="n"/>
    </row>
    <row r="697" hidden="1" s="111">
      <c r="A697" s="143" t="n">
        <v>24</v>
      </c>
      <c r="B697" s="143" t="inlineStr">
        <is>
          <t>Grano</t>
        </is>
      </c>
      <c r="C697" s="143" t="inlineStr">
        <is>
          <t>Arepas</t>
        </is>
      </c>
      <c r="D697" s="143" t="inlineStr">
        <is>
          <t>150 arepas (Remision Arepas a Diario)</t>
        </is>
      </c>
      <c r="E697" s="143" t="n">
        <v>150</v>
      </c>
      <c r="F697" s="143" t="n">
        <v>150</v>
      </c>
      <c r="G697" s="143" t="n">
        <v>22500</v>
      </c>
    </row>
    <row r="698" hidden="1" s="111">
      <c r="A698" s="145" t="n">
        <v>1</v>
      </c>
      <c r="B698" s="145" t="inlineStr">
        <is>
          <t>Servicios</t>
        </is>
      </c>
      <c r="C698" s="145" t="inlineStr">
        <is>
          <t>Quincena Antonio Diaz</t>
        </is>
      </c>
      <c r="D698" s="145" t="inlineStr">
        <is>
          <t>Quincena del 16 al 31 de Julio /26</t>
        </is>
      </c>
      <c r="E698" s="145" t="n">
        <v>1</v>
      </c>
      <c r="F698" s="145" t="n">
        <v>1250000</v>
      </c>
      <c r="G698" s="145" t="n">
        <v>1250000</v>
      </c>
      <c r="J698" s="160">
        <f>3523150+5241000</f>
        <v/>
      </c>
    </row>
    <row r="699" hidden="1" s="111">
      <c r="A699" s="143" t="n">
        <v>4</v>
      </c>
      <c r="B699" s="143" t="inlineStr">
        <is>
          <t>Bebidas</t>
        </is>
      </c>
      <c r="C699" s="143" t="inlineStr">
        <is>
          <t>H2o</t>
        </is>
      </c>
      <c r="D699" s="143" t="inlineStr">
        <is>
          <t>MANZANA H2OH 600 ML PET X 15</t>
        </is>
      </c>
      <c r="E699" s="147" t="n">
        <v>7</v>
      </c>
      <c r="F699" s="151" t="n">
        <v>1820.73</v>
      </c>
      <c r="G699" s="151" t="n">
        <v>12745.11</v>
      </c>
    </row>
    <row r="700" hidden="1" s="111">
      <c r="A700" s="143" t="n">
        <v>24</v>
      </c>
      <c r="B700" s="143" t="inlineStr">
        <is>
          <t>Grano</t>
        </is>
      </c>
      <c r="C700" s="143" t="inlineStr">
        <is>
          <t>Comino molido</t>
        </is>
      </c>
      <c r="D700" s="143" t="inlineStr">
        <is>
          <t>Condimentos alinos guisason pimienta molida (Ahorra Mas Fac SIMP-000229545)</t>
        </is>
      </c>
      <c r="E700" s="143" t="n">
        <v>4</v>
      </c>
      <c r="F700" s="143" t="n">
        <v>2400</v>
      </c>
      <c r="G700" s="143" t="n">
        <v>9600</v>
      </c>
    </row>
    <row r="701" hidden="1" s="111">
      <c r="A701" s="143" t="n">
        <v>24</v>
      </c>
      <c r="B701" s="143" t="inlineStr">
        <is>
          <t>Grano</t>
        </is>
      </c>
      <c r="C701" s="143" t="inlineStr">
        <is>
          <t>Sal marina</t>
        </is>
      </c>
      <c r="D701" s="143" t="inlineStr">
        <is>
          <t>Sal Refisal marina x 400 gr (Ahorra Mas Fac SIMP-000229545)</t>
        </is>
      </c>
      <c r="E701" s="143" t="n">
        <v>2</v>
      </c>
      <c r="F701" s="143" t="n">
        <v>3500</v>
      </c>
      <c r="G701" s="143" t="n">
        <v>7000</v>
      </c>
    </row>
    <row r="702" hidden="1" s="111">
      <c r="A702" s="143" t="n">
        <v>24</v>
      </c>
      <c r="B702" s="143" t="inlineStr">
        <is>
          <t>Verduras</t>
        </is>
      </c>
      <c r="C702" s="143" t="inlineStr">
        <is>
          <t>Tomate chonto</t>
        </is>
      </c>
      <c r="D702" s="143" t="inlineStr">
        <is>
          <t>6 Lb Tomate (Surplaza Remision 24/08)</t>
        </is>
      </c>
      <c r="E702" s="143" t="n">
        <v>6</v>
      </c>
      <c r="F702" s="143" t="n">
        <v>3450</v>
      </c>
      <c r="G702" s="143" t="n">
        <v>20700</v>
      </c>
    </row>
    <row r="703" hidden="1" s="111">
      <c r="A703" s="146" t="n">
        <v>20</v>
      </c>
      <c r="B703" s="146" t="inlineStr">
        <is>
          <t>Bebidas</t>
        </is>
      </c>
      <c r="C703" s="146" t="inlineStr">
        <is>
          <t>H2o</t>
        </is>
      </c>
      <c r="D703" s="146" t="inlineStr">
        <is>
          <t>MANZANA H2OH 600 ML PET X 15</t>
        </is>
      </c>
      <c r="E703" s="149" t="n">
        <v>7</v>
      </c>
      <c r="F703" s="157" t="n">
        <v>1820.73</v>
      </c>
      <c r="G703" s="157" t="n">
        <v>12745.11</v>
      </c>
    </row>
    <row r="704" hidden="1" s="111">
      <c r="A704" s="143" t="n">
        <v>25</v>
      </c>
      <c r="B704" s="143" t="inlineStr">
        <is>
          <t>Carnes</t>
        </is>
      </c>
      <c r="C704" s="143" t="inlineStr">
        <is>
          <t>Filete de pechuga</t>
        </is>
      </c>
      <c r="D704" s="143" t="inlineStr">
        <is>
          <t>FILETE DE POLLO X 350G (Alexis Valencia - Fact 911)</t>
        </is>
      </c>
      <c r="E704" s="143" t="n">
        <v>14</v>
      </c>
      <c r="F704" s="143" t="n">
        <v>18500</v>
      </c>
      <c r="G704" s="143" t="n">
        <v>259000</v>
      </c>
    </row>
    <row r="705" hidden="1" s="111">
      <c r="A705" s="143" t="n">
        <v>25</v>
      </c>
      <c r="B705" s="143" t="inlineStr">
        <is>
          <t>Carnes</t>
        </is>
      </c>
      <c r="C705" s="143" t="inlineStr">
        <is>
          <t>Pernil con rabadilla</t>
        </is>
      </c>
      <c r="D705" s="143" t="inlineStr">
        <is>
          <t>PERNIL DE POLLO CAMPO (Alexis Valencia - Fact 911)</t>
        </is>
      </c>
      <c r="E705" s="143" t="n">
        <v>17.9</v>
      </c>
      <c r="F705" s="143" t="n">
        <v>7500</v>
      </c>
      <c r="G705" s="143" t="n">
        <v>134250</v>
      </c>
    </row>
    <row r="706" hidden="1" s="111">
      <c r="A706" s="80" t="n">
        <v>25</v>
      </c>
      <c r="B706" s="143" t="inlineStr">
        <is>
          <t>Carnes</t>
        </is>
      </c>
      <c r="C706" s="143" t="inlineStr">
        <is>
          <t>Tocino barril</t>
        </is>
      </c>
      <c r="D706" s="143" t="inlineStr">
        <is>
          <t>TOCINETA BARRIL (Carnes Los Monos - YP24017)</t>
        </is>
      </c>
      <c r="E706" s="80" t="n">
        <v>69.05</v>
      </c>
      <c r="F706" s="81" t="n">
        <v>21900</v>
      </c>
      <c r="G706" s="81" t="n">
        <v>1512195</v>
      </c>
    </row>
    <row r="707" hidden="1" s="111">
      <c r="A707" s="80" t="n">
        <v>25</v>
      </c>
      <c r="B707" s="143" t="inlineStr">
        <is>
          <t>Carnes</t>
        </is>
      </c>
      <c r="C707" s="143" t="inlineStr">
        <is>
          <t>Camaron precocido</t>
        </is>
      </c>
      <c r="D707" s="143" t="inlineStr">
        <is>
          <t>CAMARON DE CULTIVO PRECOCIDO 91-110P (Carnes Los Monos - YP24017)</t>
        </is>
      </c>
      <c r="E707" s="81" t="n">
        <v>20.2</v>
      </c>
      <c r="F707" s="81" t="n">
        <v>22900</v>
      </c>
      <c r="G707" s="81" t="n">
        <v>462580</v>
      </c>
    </row>
    <row r="708" hidden="1" s="111">
      <c r="A708" s="80" t="n">
        <v>25</v>
      </c>
      <c r="B708" s="143" t="inlineStr">
        <is>
          <t>Carnes</t>
        </is>
      </c>
      <c r="C708" s="143" t="inlineStr">
        <is>
          <t>Sobrebarriga</t>
        </is>
      </c>
      <c r="D708" s="143" t="inlineStr">
        <is>
          <t>SOBREBARRIGA DELGADA (Carnes Los Monos - YP24017)</t>
        </is>
      </c>
      <c r="E708" s="81" t="n">
        <v>21.3</v>
      </c>
      <c r="F708" s="81" t="n">
        <v>34500</v>
      </c>
      <c r="G708" s="81" t="n">
        <v>734850</v>
      </c>
    </row>
    <row r="709" hidden="1" s="111">
      <c r="A709" s="143" t="n">
        <v>25</v>
      </c>
      <c r="B709" s="143" t="inlineStr">
        <is>
          <t>Verduras</t>
        </is>
      </c>
      <c r="C709" s="143" t="inlineStr">
        <is>
          <t>Papa a la francesa paq 2.5 kl</t>
        </is>
      </c>
      <c r="D709" s="143" t="inlineStr">
        <is>
          <t>PAPA A LA FRANCESA PAQ 2.5 KL (Carnes Los Monos - YP24017)</t>
        </is>
      </c>
      <c r="E709" s="143" t="n">
        <v>8</v>
      </c>
      <c r="F709" s="143" t="n">
        <v>19500</v>
      </c>
      <c r="G709" s="143" t="n">
        <v>156000</v>
      </c>
    </row>
    <row r="710" hidden="1" s="111">
      <c r="A710" s="143" t="n">
        <v>25</v>
      </c>
      <c r="B710" s="143" t="inlineStr">
        <is>
          <t>Carnes</t>
        </is>
      </c>
      <c r="C710" s="143" t="inlineStr">
        <is>
          <t>Costilla ahumada</t>
        </is>
      </c>
      <c r="D710" s="143" t="inlineStr">
        <is>
          <t>COSTILLA DE CERDO IBP 244M (Carnes Los Monos - YP24017)</t>
        </is>
      </c>
      <c r="E710" s="143" t="n">
        <v>28.1</v>
      </c>
      <c r="F710" s="143" t="n">
        <v>14900</v>
      </c>
      <c r="G710" s="143" t="n">
        <v>418690</v>
      </c>
    </row>
    <row r="711" hidden="1" s="111">
      <c r="A711" s="143" t="n">
        <v>25</v>
      </c>
      <c r="B711" s="143" t="inlineStr">
        <is>
          <t>Carnes</t>
        </is>
      </c>
      <c r="C711" s="143" t="inlineStr">
        <is>
          <t>Lomo de cerdo</t>
        </is>
      </c>
      <c r="D711" s="143" t="inlineStr">
        <is>
          <t>LOMO DE CERDO (Fabian Bonilla - 25/08/2026)</t>
        </is>
      </c>
      <c r="E711" s="143" t="n">
        <v>16.5</v>
      </c>
      <c r="F711" s="143" t="n">
        <v>19500</v>
      </c>
      <c r="G711" s="143" t="n">
        <v>321750</v>
      </c>
    </row>
    <row r="712" hidden="1" s="111">
      <c r="A712" s="143" t="n">
        <v>25</v>
      </c>
      <c r="B712" s="143" t="inlineStr">
        <is>
          <t>Carnes</t>
        </is>
      </c>
      <c r="C712" s="143" t="inlineStr">
        <is>
          <t>Bagre de mar</t>
        </is>
      </c>
      <c r="D712" s="143" t="inlineStr">
        <is>
          <t>BAGRE DE MAR (Gabriel Ramirez)</t>
        </is>
      </c>
      <c r="E712" s="143" t="n">
        <v>20</v>
      </c>
      <c r="F712" s="143" t="n">
        <v>16500</v>
      </c>
      <c r="G712" s="143" t="n">
        <v>330000</v>
      </c>
    </row>
    <row r="713" hidden="1" s="111">
      <c r="A713" s="80" t="n">
        <v>25</v>
      </c>
      <c r="B713" s="143" t="inlineStr">
        <is>
          <t>Carnes</t>
        </is>
      </c>
      <c r="C713" s="143" t="inlineStr">
        <is>
          <t>Marisco</t>
        </is>
      </c>
      <c r="D713" s="143" t="inlineStr">
        <is>
          <t>Mix de Mariscos (5 kg - Frio Sabor FVE 126)</t>
        </is>
      </c>
      <c r="E713" s="80" t="n">
        <v>5</v>
      </c>
      <c r="F713" s="81" t="n">
        <v>24000</v>
      </c>
      <c r="G713" s="81" t="n">
        <v>120000</v>
      </c>
    </row>
    <row r="714" hidden="1" s="111">
      <c r="A714" s="143" t="n">
        <v>25</v>
      </c>
      <c r="B714" s="143" t="inlineStr">
        <is>
          <t>Carnes</t>
        </is>
      </c>
      <c r="C714" s="143" t="inlineStr">
        <is>
          <t>Bagre de mar</t>
        </is>
      </c>
      <c r="D714" s="143" t="inlineStr">
        <is>
          <t>CABEZAS DE PESCADO A GRANEL 1.680kg (Supertiendas Cañaveral)</t>
        </is>
      </c>
      <c r="E714" s="143" t="n">
        <v>1.68</v>
      </c>
      <c r="F714" s="143" t="n">
        <v>6700</v>
      </c>
      <c r="G714" s="143" t="n">
        <v>11256</v>
      </c>
    </row>
    <row r="715" hidden="1" s="111">
      <c r="A715" s="143" t="n">
        <v>25</v>
      </c>
      <c r="B715" s="143" t="inlineStr">
        <is>
          <t>Carnes</t>
        </is>
      </c>
      <c r="C715" s="143" t="inlineStr">
        <is>
          <t>Mortadela</t>
        </is>
      </c>
      <c r="D715" s="143" t="inlineStr">
        <is>
          <t>MORTADELA RICA*450g (Supertiendas Cañaveral)</t>
        </is>
      </c>
      <c r="E715" s="143" t="n">
        <v>1</v>
      </c>
      <c r="F715" s="143" t="n">
        <v>10600</v>
      </c>
      <c r="G715" s="143" t="n">
        <v>10600</v>
      </c>
    </row>
    <row r="716" hidden="1" s="111">
      <c r="A716" s="143" t="n">
        <v>25</v>
      </c>
      <c r="B716" s="143" t="inlineStr">
        <is>
          <t>Grano</t>
        </is>
      </c>
      <c r="C716" s="143" t="inlineStr">
        <is>
          <t>Margarina la buena*125g barra</t>
        </is>
      </c>
      <c r="D716" s="143" t="inlineStr">
        <is>
          <t>ESPARCIBLE RAMA*125g BARRA (Supertiendas Cañaveral)</t>
        </is>
      </c>
      <c r="E716" s="143" t="n">
        <v>1</v>
      </c>
      <c r="F716" s="143" t="n">
        <v>3100</v>
      </c>
      <c r="G716" s="143" t="n">
        <v>3100</v>
      </c>
    </row>
    <row r="717" hidden="1" s="111">
      <c r="A717" s="143" t="n">
        <v>25</v>
      </c>
      <c r="B717" s="143" t="inlineStr">
        <is>
          <t>Verduras</t>
        </is>
      </c>
      <c r="C717" s="143" t="inlineStr">
        <is>
          <t>Aguacate comn</t>
        </is>
      </c>
      <c r="D717" s="143" t="inlineStr">
        <is>
          <t>AGUACATE COMUN*und x 5 (Supertiendas Cañaveral)</t>
        </is>
      </c>
      <c r="E717" s="143" t="n">
        <v>5</v>
      </c>
      <c r="F717" s="143" t="n">
        <v>6800</v>
      </c>
      <c r="G717" s="143" t="n">
        <v>34000</v>
      </c>
    </row>
    <row r="718" hidden="1" s="111">
      <c r="A718" s="143" t="n">
        <v>4</v>
      </c>
      <c r="B718" s="143" t="inlineStr">
        <is>
          <t>Bebidas</t>
        </is>
      </c>
      <c r="C718" s="143" t="inlineStr">
        <is>
          <t>Manzana postobo n 350 ml vidrio r x 30</t>
        </is>
      </c>
      <c r="D718" s="143" t="inlineStr">
        <is>
          <t>MANZANA POSTOBON 350 ML VIDRIO R X 30</t>
        </is>
      </c>
      <c r="E718" s="147" t="n">
        <v>15</v>
      </c>
      <c r="F718" s="151" t="n">
        <v>1450.98</v>
      </c>
      <c r="G718" s="151" t="n">
        <v>21764.7</v>
      </c>
    </row>
    <row r="719" hidden="1" s="111">
      <c r="A719" s="146" t="n">
        <v>24</v>
      </c>
      <c r="B719" s="146" t="inlineStr">
        <is>
          <t>Bebidas</t>
        </is>
      </c>
      <c r="C719" s="146" t="inlineStr">
        <is>
          <t>Manzana postobo n 350 ml vidrio r x 30</t>
        </is>
      </c>
      <c r="D719" s="146" t="inlineStr">
        <is>
          <t>MANZANA POSTOBON 350 ML VIDRIO R X 30 (Postobon)</t>
        </is>
      </c>
      <c r="E719" s="149" t="n">
        <v>30</v>
      </c>
      <c r="F719" s="153" t="n">
        <v>1450.98</v>
      </c>
      <c r="G719" s="153" t="n">
        <v>43529.4</v>
      </c>
    </row>
    <row r="720" hidden="1" s="111">
      <c r="A720" s="144" t="n">
        <v>4</v>
      </c>
      <c r="B720" s="144" t="inlineStr">
        <is>
          <t>Servicios</t>
        </is>
      </c>
      <c r="C720" s="144" t="inlineStr">
        <is>
          <t>Servicios Públicos</t>
        </is>
      </c>
      <c r="D720" s="144" t="inlineStr">
        <is>
          <t>GASES DE OCCIDENTE - SERVICIO DE GAS</t>
        </is>
      </c>
      <c r="E720" s="148" t="n">
        <v>1</v>
      </c>
      <c r="F720" s="152" t="n">
        <v>4586263</v>
      </c>
      <c r="G720" s="152" t="n">
        <v>4586263</v>
      </c>
    </row>
    <row r="721" hidden="1" s="111">
      <c r="A721" s="143" t="n">
        <v>25</v>
      </c>
      <c r="B721" s="143" t="inlineStr">
        <is>
          <t>Grano</t>
        </is>
      </c>
      <c r="C721" s="143" t="inlineStr">
        <is>
          <t>Arepas</t>
        </is>
      </c>
      <c r="D721" s="143" t="inlineStr">
        <is>
          <t>200 arepas (Remision Arepas a Diario)</t>
        </is>
      </c>
      <c r="E721" s="143" t="n">
        <v>200</v>
      </c>
      <c r="F721" s="143" t="n">
        <v>150</v>
      </c>
      <c r="G721" s="143" t="n">
        <v>30000</v>
      </c>
    </row>
    <row r="722" hidden="1" s="111">
      <c r="A722" s="146" t="n">
        <v>26</v>
      </c>
      <c r="B722" s="146" t="inlineStr">
        <is>
          <t>Grano</t>
        </is>
      </c>
      <c r="C722" s="146" t="inlineStr">
        <is>
          <t>Leche de coco</t>
        </is>
      </c>
      <c r="D722" s="146" t="inlineStr">
        <is>
          <t>Extrato de coco premium 1000 mL (Col Coco)</t>
        </is>
      </c>
      <c r="E722" s="149" t="n">
        <v>5</v>
      </c>
      <c r="F722" s="153" t="n">
        <v>24395</v>
      </c>
      <c r="G722" s="153" t="n">
        <v>121975</v>
      </c>
    </row>
    <row r="723" hidden="1" s="111">
      <c r="A723" s="143" t="n">
        <v>4</v>
      </c>
      <c r="B723" s="143" t="inlineStr">
        <is>
          <t>Bebidas</t>
        </is>
      </c>
      <c r="C723" s="143" t="inlineStr">
        <is>
          <t>Gatorade</t>
        </is>
      </c>
      <c r="D723" s="143" t="inlineStr">
        <is>
          <t>MARACUYA GATORADE 500 ML PET X 12</t>
        </is>
      </c>
      <c r="E723" s="147" t="n">
        <v>1</v>
      </c>
      <c r="F723" s="151" t="n">
        <v>2731.09</v>
      </c>
      <c r="G723" s="151" t="n">
        <v>2731.09</v>
      </c>
    </row>
    <row r="724" hidden="1" s="111">
      <c r="A724" s="143" t="n">
        <v>26</v>
      </c>
      <c r="B724" s="143" t="inlineStr">
        <is>
          <t>Carnes</t>
        </is>
      </c>
      <c r="C724" s="143" t="inlineStr">
        <is>
          <t>Pernil con rabadilla</t>
        </is>
      </c>
      <c r="D724" s="143" t="inlineStr">
        <is>
          <t>PERNIL DE POLLO CAMPO (Alexis Valencia - Fact 912)</t>
        </is>
      </c>
      <c r="E724" s="143" t="n">
        <v>38.7</v>
      </c>
      <c r="F724" s="143" t="n">
        <v>7500</v>
      </c>
      <c r="G724" s="143" t="n">
        <v>290250</v>
      </c>
    </row>
    <row r="725" hidden="1" s="111">
      <c r="A725" s="143" t="n">
        <v>4</v>
      </c>
      <c r="B725" s="143" t="inlineStr">
        <is>
          <t>Bebidas</t>
        </is>
      </c>
      <c r="C725" s="143" t="inlineStr">
        <is>
          <t>Gatorade</t>
        </is>
      </c>
      <c r="D725" s="143" t="inlineStr">
        <is>
          <t>MARACUYA GATORADE 500 ML PET X 12</t>
        </is>
      </c>
      <c r="E725" s="147" t="n">
        <v>12</v>
      </c>
      <c r="F725" s="151" t="n">
        <v>2503.59</v>
      </c>
      <c r="G725" s="151" t="n">
        <v>30043.08</v>
      </c>
    </row>
    <row r="726" hidden="1" s="111">
      <c r="A726" s="143" t="n">
        <v>4</v>
      </c>
      <c r="B726" s="143" t="inlineStr">
        <is>
          <t>Bebidas</t>
        </is>
      </c>
      <c r="C726" s="143" t="inlineStr">
        <is>
          <t>H2o</t>
        </is>
      </c>
      <c r="D726" s="143" t="inlineStr">
        <is>
          <t>MARACUYA H2OH! 600 ML PET X 15</t>
        </is>
      </c>
      <c r="E726" s="143" t="n">
        <v>8</v>
      </c>
      <c r="F726" s="143" t="n">
        <v>1820.73</v>
      </c>
      <c r="G726" s="143" t="n">
        <v>14565.84</v>
      </c>
    </row>
    <row r="727" hidden="1" s="111">
      <c r="A727" s="80" t="n">
        <v>26</v>
      </c>
      <c r="B727" s="143" t="inlineStr">
        <is>
          <t>Carnes</t>
        </is>
      </c>
      <c r="C727" s="143" t="inlineStr">
        <is>
          <t>Sobaco</t>
        </is>
      </c>
      <c r="D727" s="143" t="inlineStr">
        <is>
          <t>SOBACO (Carnes Los Monos - MY8493/Rem 008884)</t>
        </is>
      </c>
      <c r="E727" s="80" t="n">
        <v>13.8</v>
      </c>
      <c r="F727" s="81" t="n">
        <v>25900</v>
      </c>
      <c r="G727" s="81" t="n">
        <v>357420</v>
      </c>
    </row>
    <row r="728" hidden="1" s="111">
      <c r="A728" s="80" t="n">
        <v>26</v>
      </c>
      <c r="B728" s="143" t="inlineStr">
        <is>
          <t>Verduras</t>
        </is>
      </c>
      <c r="C728" s="143" t="inlineStr">
        <is>
          <t>Aguacate común</t>
        </is>
      </c>
      <c r="D728" s="143" t="inlineStr">
        <is>
          <t>AGUACATE COMUN*und (Cañaveral - 07FH72332)</t>
        </is>
      </c>
      <c r="E728" s="80" t="n">
        <v>16</v>
      </c>
      <c r="F728" s="81" t="n">
        <v>5440</v>
      </c>
      <c r="G728" s="81" t="n">
        <v>87040</v>
      </c>
    </row>
    <row r="729" hidden="1" s="111">
      <c r="A729" s="143" t="n">
        <v>26</v>
      </c>
      <c r="B729" s="143" t="inlineStr">
        <is>
          <t>Verduras</t>
        </is>
      </c>
      <c r="C729" s="143" t="inlineStr">
        <is>
          <t>Cebolla Larga Atado</t>
        </is>
      </c>
      <c r="D729" s="143" t="inlineStr">
        <is>
          <t>CEBOLLA LARGA ATADO (Fruver Los Monos - FEFM 5683)</t>
        </is>
      </c>
      <c r="E729" s="143" t="n">
        <v>1</v>
      </c>
      <c r="F729" s="143" t="n">
        <v>60000</v>
      </c>
      <c r="G729" s="143" t="n">
        <v>60000</v>
      </c>
    </row>
    <row r="730" hidden="1" s="111">
      <c r="A730" s="143" t="n">
        <v>26</v>
      </c>
      <c r="B730" s="143" t="inlineStr">
        <is>
          <t>Verduras</t>
        </is>
      </c>
      <c r="C730" s="143" t="inlineStr">
        <is>
          <t>Cilantro</t>
        </is>
      </c>
      <c r="D730" s="143" t="inlineStr">
        <is>
          <t>CILANTRO (Fruver Los Monos - FEFM 5683)</t>
        </is>
      </c>
      <c r="E730" s="143" t="n">
        <v>3</v>
      </c>
      <c r="F730" s="143" t="n">
        <v>8000</v>
      </c>
      <c r="G730" s="143" t="n">
        <v>24000</v>
      </c>
    </row>
    <row r="731" hidden="1" s="111">
      <c r="A731" s="143" t="n">
        <v>26</v>
      </c>
      <c r="B731" s="143" t="inlineStr">
        <is>
          <t>Verduras</t>
        </is>
      </c>
      <c r="C731" s="143" t="inlineStr">
        <is>
          <t>Mazorca</t>
        </is>
      </c>
      <c r="D731" s="143" t="inlineStr">
        <is>
          <t>MAZORCA*UND (Fruver Los Monos - FEFM 5683)</t>
        </is>
      </c>
      <c r="E731" s="143" t="n">
        <v>30</v>
      </c>
      <c r="F731" s="143" t="n">
        <v>1200</v>
      </c>
      <c r="G731" s="143" t="n">
        <v>36000</v>
      </c>
    </row>
    <row r="732" hidden="1" s="111">
      <c r="A732" s="80" t="n">
        <v>26</v>
      </c>
      <c r="B732" s="143" t="inlineStr">
        <is>
          <t>Verduras</t>
        </is>
      </c>
      <c r="C732" s="143" t="inlineStr">
        <is>
          <t>Papa Capira bulto</t>
        </is>
      </c>
      <c r="D732" s="143" t="inlineStr">
        <is>
          <t>PAPA CAPIRA BULTO*UND (Fruver Los Monos - FEFM 5683)</t>
        </is>
      </c>
      <c r="E732" s="80" t="n">
        <v>1</v>
      </c>
      <c r="F732" s="81" t="n">
        <v>100000</v>
      </c>
      <c r="G732" s="81" t="n">
        <v>100000</v>
      </c>
    </row>
    <row r="733" hidden="1" s="111">
      <c r="A733" s="80" t="n">
        <v>26</v>
      </c>
      <c r="B733" s="143" t="inlineStr">
        <is>
          <t>Verduras</t>
        </is>
      </c>
      <c r="C733" s="143" t="inlineStr">
        <is>
          <t>Arracacha</t>
        </is>
      </c>
      <c r="D733" s="143" t="inlineStr">
        <is>
          <t>ARRACACHA*KL (Fruver Los Monos - FEFM 5683)</t>
        </is>
      </c>
      <c r="E733" s="80" t="n">
        <v>4.3</v>
      </c>
      <c r="F733" s="81" t="n">
        <v>6500</v>
      </c>
      <c r="G733" s="81" t="n">
        <v>27950</v>
      </c>
    </row>
    <row r="734" hidden="1" s="111">
      <c r="A734" s="80" t="n">
        <v>26</v>
      </c>
      <c r="B734" s="143" t="inlineStr">
        <is>
          <t>Verduras</t>
        </is>
      </c>
      <c r="C734" s="143" t="inlineStr">
        <is>
          <t>Lechuga batavia</t>
        </is>
      </c>
      <c r="D734" s="143" t="inlineStr">
        <is>
          <t>LECHUGA BATAVIA*KL (Fruver Los Monos - FEFM 5683)</t>
        </is>
      </c>
      <c r="E734" s="81" t="n">
        <v>40.6</v>
      </c>
      <c r="F734" s="81" t="n">
        <v>2800</v>
      </c>
      <c r="G734" s="81" t="n">
        <v>113680</v>
      </c>
    </row>
    <row r="735" hidden="1" s="111">
      <c r="A735" s="80" t="n">
        <v>26</v>
      </c>
      <c r="B735" s="143" t="inlineStr">
        <is>
          <t>Verduras</t>
        </is>
      </c>
      <c r="C735" s="143" t="inlineStr">
        <is>
          <t>Platano maduro</t>
        </is>
      </c>
      <c r="D735" s="143" t="inlineStr">
        <is>
          <t>PLATANO MADURO*KL (Fruver Los Monos - FEFM 5683)</t>
        </is>
      </c>
      <c r="E735" s="80" t="n">
        <v>80</v>
      </c>
      <c r="F735" s="81" t="n">
        <v>1500</v>
      </c>
      <c r="G735" s="81" t="n">
        <v>120000</v>
      </c>
    </row>
    <row r="736" hidden="1" s="111">
      <c r="A736" s="80" t="n">
        <v>26</v>
      </c>
      <c r="B736" s="143" t="inlineStr">
        <is>
          <t>Verduras</t>
        </is>
      </c>
      <c r="C736" s="143" t="inlineStr">
        <is>
          <t>Cebolla cabezona</t>
        </is>
      </c>
      <c r="D736" s="143" t="inlineStr">
        <is>
          <t>CEBOLLA CABEZONA*KL (Fruver Los Monos - FEFM 5683)</t>
        </is>
      </c>
      <c r="E736" s="80" t="n">
        <v>9.9</v>
      </c>
      <c r="F736" s="81" t="n">
        <v>3000</v>
      </c>
      <c r="G736" s="81" t="n">
        <v>29700</v>
      </c>
    </row>
    <row r="737" hidden="1" s="111">
      <c r="A737" s="80" t="n">
        <v>26</v>
      </c>
      <c r="B737" s="143" t="inlineStr">
        <is>
          <t>Verduras</t>
        </is>
      </c>
      <c r="C737" s="143" t="inlineStr">
        <is>
          <t>Habichuela</t>
        </is>
      </c>
      <c r="D737" s="143" t="inlineStr">
        <is>
          <t>HABICHUELA*KL (Fruver Los Monos - FEFM 5683)</t>
        </is>
      </c>
      <c r="E737" s="80" t="n">
        <v>5.4</v>
      </c>
      <c r="F737" s="81" t="n">
        <v>6500</v>
      </c>
      <c r="G737" s="81" t="n">
        <v>35100</v>
      </c>
    </row>
    <row r="738" hidden="1" s="111">
      <c r="A738" s="80" t="n">
        <v>26</v>
      </c>
      <c r="B738" s="143" t="inlineStr">
        <is>
          <t>Verduras</t>
        </is>
      </c>
      <c r="C738" s="143" t="inlineStr">
        <is>
          <t>Alverjas verdes</t>
        </is>
      </c>
      <c r="D738" s="143" t="inlineStr">
        <is>
          <t>ARVEJA VERDE*KL (Fruver Los Monos - FEFM 5683)</t>
        </is>
      </c>
      <c r="E738" s="80" t="n">
        <v>3</v>
      </c>
      <c r="F738" s="81" t="n">
        <v>15000</v>
      </c>
      <c r="G738" s="81" t="n">
        <v>45000</v>
      </c>
    </row>
    <row r="739" hidden="1" s="111">
      <c r="A739" s="80" t="n">
        <v>26</v>
      </c>
      <c r="B739" s="143" t="inlineStr">
        <is>
          <t>Verduras</t>
        </is>
      </c>
      <c r="C739" s="143" t="inlineStr">
        <is>
          <t>Pimenton</t>
        </is>
      </c>
      <c r="D739" s="143" t="inlineStr">
        <is>
          <t>PIMENTON*KL (Fruver Los Monos - FEFM 5683)</t>
        </is>
      </c>
      <c r="E739" s="80" t="n">
        <v>9.5</v>
      </c>
      <c r="F739" s="81" t="n">
        <v>3000</v>
      </c>
      <c r="G739" s="81" t="n">
        <v>28500</v>
      </c>
    </row>
    <row r="740" hidden="1" s="111">
      <c r="A740" s="80" t="n">
        <v>26</v>
      </c>
      <c r="B740" s="143" t="inlineStr">
        <is>
          <t>Verduras</t>
        </is>
      </c>
      <c r="C740" s="143" t="inlineStr">
        <is>
          <t>Zanahoria</t>
        </is>
      </c>
      <c r="D740" s="143" t="inlineStr">
        <is>
          <t>ZANAHORIA*KL (Fruver Los Monos - FEFM 5683)</t>
        </is>
      </c>
      <c r="E740" s="81" t="n">
        <v>9.9</v>
      </c>
      <c r="F740" s="81" t="n">
        <v>2500</v>
      </c>
      <c r="G740" s="81" t="n">
        <v>24750</v>
      </c>
    </row>
    <row r="741" hidden="1" s="111">
      <c r="A741" s="80" t="n">
        <v>26</v>
      </c>
      <c r="B741" s="143" t="inlineStr">
        <is>
          <t>Verduras</t>
        </is>
      </c>
      <c r="C741" s="143" t="inlineStr">
        <is>
          <t>Tomate milano</t>
        </is>
      </c>
      <c r="D741" s="143" t="inlineStr">
        <is>
          <t>TOMATE MILANO*KL (Fruver Los Monos - FEFM 5683)</t>
        </is>
      </c>
      <c r="E741" s="81" t="n">
        <v>3.5</v>
      </c>
      <c r="F741" s="81" t="n">
        <v>4500</v>
      </c>
      <c r="G741" s="81" t="n">
        <v>15750</v>
      </c>
    </row>
    <row r="742" hidden="1" s="111">
      <c r="A742" s="80" t="n">
        <v>26</v>
      </c>
      <c r="B742" s="143" t="inlineStr">
        <is>
          <t>Verduras</t>
        </is>
      </c>
      <c r="C742" s="143" t="inlineStr">
        <is>
          <t>Pepino comun</t>
        </is>
      </c>
      <c r="D742" s="143" t="inlineStr">
        <is>
          <t>PEPINO COMUN*KL (Fruver Los Monos - FEFM 5683)</t>
        </is>
      </c>
      <c r="E742" s="80" t="n">
        <v>4.7</v>
      </c>
      <c r="F742" s="81" t="n">
        <v>3000</v>
      </c>
      <c r="G742" s="81" t="n">
        <v>14100</v>
      </c>
    </row>
    <row r="743" hidden="1" s="111">
      <c r="A743" s="80" t="n">
        <v>26</v>
      </c>
      <c r="B743" s="143" t="inlineStr">
        <is>
          <t>Verduras</t>
        </is>
      </c>
      <c r="C743" s="143" t="inlineStr">
        <is>
          <t>Papa amarilla</t>
        </is>
      </c>
      <c r="D743" s="143" t="inlineStr">
        <is>
          <t>PAPA AMARILLA CRIOLLA*KL (Fruver Los Monos - FEFM 5683)</t>
        </is>
      </c>
      <c r="E743" s="81" t="n">
        <v>8.300000000000001</v>
      </c>
      <c r="F743" s="81" t="n">
        <v>5800</v>
      </c>
      <c r="G743" s="81" t="n">
        <v>48140</v>
      </c>
    </row>
    <row r="744" hidden="1" s="111">
      <c r="A744" s="80" t="n">
        <v>26</v>
      </c>
      <c r="B744" s="143" t="inlineStr">
        <is>
          <t>Verduras</t>
        </is>
      </c>
      <c r="C744" s="143" t="inlineStr">
        <is>
          <t>Limon tahiti</t>
        </is>
      </c>
      <c r="D744" s="143" t="inlineStr">
        <is>
          <t>LIMON TAHITY*KL (Fruver Los Monos - FEFM 5683)</t>
        </is>
      </c>
      <c r="E744" s="81" t="n">
        <v>62</v>
      </c>
      <c r="F744" s="81" t="n">
        <v>2400</v>
      </c>
      <c r="G744" s="81" t="n">
        <v>148800</v>
      </c>
    </row>
    <row r="745" hidden="1" s="111">
      <c r="A745" s="80" t="n">
        <v>26</v>
      </c>
      <c r="B745" s="143" t="inlineStr">
        <is>
          <t>Verduras</t>
        </is>
      </c>
      <c r="C745" s="143" t="inlineStr">
        <is>
          <t>Tomate chonto</t>
        </is>
      </c>
      <c r="D745" s="143" t="inlineStr">
        <is>
          <t>TOMATE CHONTO*KL (Fruver Los Monos - FEFM 5683)</t>
        </is>
      </c>
      <c r="E745" s="80" t="n">
        <v>18</v>
      </c>
      <c r="F745" s="81" t="n">
        <v>4500</v>
      </c>
      <c r="G745" s="81" t="n">
        <v>81000</v>
      </c>
    </row>
    <row r="746" hidden="1" s="111">
      <c r="A746" s="80" t="n">
        <v>26</v>
      </c>
      <c r="B746" s="143" t="inlineStr">
        <is>
          <t>Verduras</t>
        </is>
      </c>
      <c r="C746" s="143" t="inlineStr">
        <is>
          <t>Hiervas</t>
        </is>
      </c>
      <c r="D746" s="143" t="inlineStr">
        <is>
          <t>HIERVAS (Fruver Los Monos - FEFM 5683)</t>
        </is>
      </c>
      <c r="E746" s="80" t="n">
        <v>4</v>
      </c>
      <c r="F746" s="81" t="n">
        <v>2000</v>
      </c>
      <c r="G746" s="81" t="n">
        <v>8000</v>
      </c>
    </row>
    <row r="747" hidden="1" s="111">
      <c r="A747" s="146" t="n">
        <v>14</v>
      </c>
      <c r="B747" s="146" t="inlineStr">
        <is>
          <t>Bebidas</t>
        </is>
      </c>
      <c r="C747" s="146" t="inlineStr">
        <is>
          <t>H2o</t>
        </is>
      </c>
      <c r="D747" s="146" t="inlineStr">
        <is>
          <t>MARACUYA H2OH! 600 ML PET X 15</t>
        </is>
      </c>
      <c r="E747" s="149" t="n">
        <v>15</v>
      </c>
      <c r="F747" s="153" t="n">
        <v>1820.73</v>
      </c>
      <c r="G747" s="153" t="n">
        <v>27310.95</v>
      </c>
    </row>
    <row r="748" hidden="1" s="111">
      <c r="A748" s="146" t="n">
        <v>20</v>
      </c>
      <c r="B748" s="146" t="inlineStr">
        <is>
          <t>Bebidas</t>
        </is>
      </c>
      <c r="C748" s="146" t="inlineStr">
        <is>
          <t>H2o</t>
        </is>
      </c>
      <c r="D748" s="146" t="inlineStr">
        <is>
          <t>MARACUYA H2OH! 600 ML PET X 15</t>
        </is>
      </c>
      <c r="E748" s="149" t="n">
        <v>8</v>
      </c>
      <c r="F748" s="153" t="n">
        <v>1820.73</v>
      </c>
      <c r="G748" s="153" t="n">
        <v>14565.84</v>
      </c>
    </row>
    <row r="749" hidden="1" s="111">
      <c r="A749" s="143" t="n">
        <v>4</v>
      </c>
      <c r="B749" s="143" t="inlineStr">
        <is>
          <t>Bebidas</t>
        </is>
      </c>
      <c r="C749" s="143" t="inlineStr">
        <is>
          <t>Hit nr</t>
        </is>
      </c>
      <c r="D749" s="143" t="inlineStr">
        <is>
          <t>MORA HIT 500 ML PET X 12</t>
        </is>
      </c>
      <c r="E749" s="147" t="n">
        <v>1</v>
      </c>
      <c r="F749" s="151" t="n">
        <v>2100.84</v>
      </c>
      <c r="G749" s="151" t="n">
        <v>2100.84</v>
      </c>
    </row>
    <row r="750" hidden="1" s="111">
      <c r="A750" s="143" t="n">
        <v>4</v>
      </c>
      <c r="B750" s="143" t="inlineStr">
        <is>
          <t>Bebidas</t>
        </is>
      </c>
      <c r="C750" s="143" t="inlineStr">
        <is>
          <t>Hit nr</t>
        </is>
      </c>
      <c r="D750" s="143" t="inlineStr">
        <is>
          <t>MORA HIT 500 ML PET X 12</t>
        </is>
      </c>
      <c r="E750" s="147" t="n">
        <v>12</v>
      </c>
      <c r="F750" s="151" t="n">
        <v>1925.84</v>
      </c>
      <c r="G750" s="151" t="n">
        <v>23110.08</v>
      </c>
    </row>
    <row r="751" hidden="1" s="111">
      <c r="A751" s="146" t="n">
        <v>12</v>
      </c>
      <c r="B751" s="146" t="inlineStr">
        <is>
          <t>Bebidas</t>
        </is>
      </c>
      <c r="C751" s="146" t="inlineStr">
        <is>
          <t>Mango 100gr</t>
        </is>
      </c>
      <c r="D751" s="146" t="inlineStr">
        <is>
          <t>N Mango 100 gr (x4)</t>
        </is>
      </c>
      <c r="E751" s="149" t="n">
        <v>4</v>
      </c>
      <c r="F751" s="153" t="n">
        <v>12900</v>
      </c>
      <c r="G751" s="153" t="n">
        <v>51600</v>
      </c>
    </row>
    <row r="752" hidden="1" s="111">
      <c r="A752" s="143" t="n">
        <v>4</v>
      </c>
      <c r="B752" s="143" t="inlineStr">
        <is>
          <t>Bebidas</t>
        </is>
      </c>
      <c r="C752" s="143" t="inlineStr">
        <is>
          <t>Hit nr</t>
        </is>
      </c>
      <c r="D752" s="143" t="inlineStr">
        <is>
          <t>NARANJA PIÑA HIT 500 ML PET X 12</t>
        </is>
      </c>
      <c r="E752" s="147" t="n">
        <v>1</v>
      </c>
      <c r="F752" s="151" t="n">
        <v>2100.84</v>
      </c>
      <c r="G752" s="151" t="n">
        <v>2100.84</v>
      </c>
    </row>
    <row r="753" hidden="1" s="111">
      <c r="A753" s="143" t="n">
        <v>26</v>
      </c>
      <c r="B753" s="143" t="inlineStr">
        <is>
          <t>Desechables</t>
        </is>
      </c>
      <c r="C753" s="143" t="inlineStr">
        <is>
          <t>Crema de leche</t>
        </is>
      </c>
      <c r="D753" s="143" t="inlineStr">
        <is>
          <t>CREMA DE LECHE 1000G (Alquería - FEPL-3148181)</t>
        </is>
      </c>
      <c r="E753" s="143" t="n">
        <v>2</v>
      </c>
      <c r="F753" s="143" t="n">
        <v>18200</v>
      </c>
      <c r="G753" s="143" t="n">
        <v>36400</v>
      </c>
    </row>
    <row r="754" hidden="1" s="111">
      <c r="A754" s="143" t="n">
        <v>26</v>
      </c>
      <c r="B754" s="143" t="inlineStr">
        <is>
          <t>Grano</t>
        </is>
      </c>
      <c r="C754" s="143" t="inlineStr">
        <is>
          <t>Sabor original</t>
        </is>
      </c>
      <c r="D754" s="143" t="inlineStr">
        <is>
          <t>SABOR ORIGINAL INSTITUCIONAL 1100ML (Alquería - FEPL-3148181)</t>
        </is>
      </c>
      <c r="E754" s="143" t="n">
        <v>60</v>
      </c>
      <c r="F754" s="143" t="n">
        <v>4180</v>
      </c>
      <c r="G754" s="143" t="n">
        <v>250800</v>
      </c>
    </row>
    <row r="755" hidden="1" s="111">
      <c r="A755" s="143" t="n">
        <v>26</v>
      </c>
      <c r="B755" s="143" t="inlineStr">
        <is>
          <t>Grano</t>
        </is>
      </c>
      <c r="C755" s="143" t="inlineStr">
        <is>
          <t>Arepas</t>
        </is>
      </c>
      <c r="D755" s="143" t="inlineStr">
        <is>
          <t>200 arepas (Remision Arepas a Diario)</t>
        </is>
      </c>
      <c r="E755" s="143" t="n">
        <v>200</v>
      </c>
      <c r="F755" s="143" t="n">
        <v>150</v>
      </c>
      <c r="G755" s="143" t="n">
        <v>30000</v>
      </c>
    </row>
    <row r="756" hidden="1" s="111">
      <c r="A756" s="146" t="n">
        <v>27</v>
      </c>
      <c r="B756" s="146" t="inlineStr">
        <is>
          <t>Carnes</t>
        </is>
      </c>
      <c r="C756" s="146" t="inlineStr">
        <is>
          <t>Costilla de cerdo especial</t>
        </is>
      </c>
      <c r="D756" s="146" t="inlineStr">
        <is>
          <t>COSTILLA CERDO ESP CR (BS) X 4 KG</t>
        </is>
      </c>
      <c r="E756" s="149" t="n">
        <v>40</v>
      </c>
      <c r="F756" s="153" t="n">
        <v>18200</v>
      </c>
      <c r="G756" s="153" t="n">
        <v>728000</v>
      </c>
    </row>
    <row r="757" hidden="1" s="111">
      <c r="A757" s="80" t="n">
        <v>27</v>
      </c>
      <c r="B757" s="143" t="inlineStr">
        <is>
          <t>Grano</t>
        </is>
      </c>
      <c r="C757" s="143" t="inlineStr">
        <is>
          <t>Knoor</t>
        </is>
      </c>
      <c r="D757" s="143" t="inlineStr">
        <is>
          <t>CALDO KNORR*1500g GALLINA (Supertiendas Cañaveral)</t>
        </is>
      </c>
      <c r="E757" s="80" t="n">
        <v>1</v>
      </c>
      <c r="F757" s="81" t="n">
        <v>47700</v>
      </c>
      <c r="G757" s="81" t="n">
        <v>47700</v>
      </c>
    </row>
    <row r="758" hidden="1" s="111">
      <c r="A758" s="143" t="n">
        <v>4</v>
      </c>
      <c r="B758" s="143" t="inlineStr">
        <is>
          <t>Bebidas</t>
        </is>
      </c>
      <c r="C758" s="143" t="inlineStr">
        <is>
          <t>Hit nr</t>
        </is>
      </c>
      <c r="D758" s="143" t="inlineStr">
        <is>
          <t>NARANJA PIÑA HIT 500 ML PET X 12</t>
        </is>
      </c>
      <c r="E758" s="147" t="n">
        <v>12</v>
      </c>
      <c r="F758" s="151" t="n">
        <v>1925.84</v>
      </c>
      <c r="G758" s="151" t="n">
        <v>23110.08</v>
      </c>
    </row>
    <row r="759" hidden="1" s="111">
      <c r="A759" s="144" t="n">
        <v>14</v>
      </c>
      <c r="B759" s="144" t="inlineStr">
        <is>
          <t>Bebidas</t>
        </is>
      </c>
      <c r="C759" s="144" t="inlineStr">
        <is>
          <t>Gaseosa 350 ml</t>
        </is>
      </c>
      <c r="D759" s="144" t="inlineStr">
        <is>
          <t>NARANJA POSTOBON 350 ML VIDRIO R X 30</t>
        </is>
      </c>
      <c r="E759" s="156" t="n">
        <v>15</v>
      </c>
      <c r="F759" s="152" t="n">
        <v>1450.98</v>
      </c>
      <c r="G759" s="152" t="n">
        <v>21764.7</v>
      </c>
    </row>
    <row r="760" hidden="1" s="111">
      <c r="A760" s="143" t="n">
        <v>24</v>
      </c>
      <c r="B760" s="143" t="inlineStr">
        <is>
          <t>Bebidas</t>
        </is>
      </c>
      <c r="C760" s="143" t="inlineStr">
        <is>
          <t>Gaseosa 350 ml</t>
        </is>
      </c>
      <c r="D760" s="143" t="inlineStr">
        <is>
          <t>NARANJA POSTOBON 350 ML VIDRIO R X 30 (Postobon)</t>
        </is>
      </c>
      <c r="E760" s="143" t="n">
        <v>15</v>
      </c>
      <c r="F760" s="143" t="n">
        <v>1450.98</v>
      </c>
      <c r="G760" s="143" t="n">
        <v>21764.7</v>
      </c>
    </row>
    <row r="761" hidden="1" s="111">
      <c r="A761" s="143" t="n">
        <v>1</v>
      </c>
      <c r="B761" s="143" t="inlineStr">
        <is>
          <t>Bebidas</t>
        </is>
      </c>
      <c r="C761" s="143" t="inlineStr">
        <is>
          <t>Lulo 100 gr</t>
        </is>
      </c>
      <c r="D761" s="143" t="inlineStr">
        <is>
          <t>O Lulo 100 gr (x2)</t>
        </is>
      </c>
      <c r="E761" s="147" t="n">
        <v>2</v>
      </c>
      <c r="F761" s="151" t="n">
        <v>12600</v>
      </c>
      <c r="G761" s="151" t="n">
        <v>25200</v>
      </c>
    </row>
    <row r="762" hidden="1" s="111">
      <c r="A762" s="146" t="n">
        <v>12</v>
      </c>
      <c r="B762" s="146" t="inlineStr">
        <is>
          <t>Bebidas</t>
        </is>
      </c>
      <c r="C762" s="146" t="inlineStr">
        <is>
          <t>Lulo 100 gr</t>
        </is>
      </c>
      <c r="D762" s="146" t="inlineStr">
        <is>
          <t>O Lulo 100 gr (x4)</t>
        </is>
      </c>
      <c r="E762" s="149" t="n">
        <v>4</v>
      </c>
      <c r="F762" s="153" t="n">
        <v>12600</v>
      </c>
      <c r="G762" s="153" t="n">
        <v>50400</v>
      </c>
    </row>
    <row r="763" hidden="1" s="111">
      <c r="A763" s="146" t="n">
        <v>1</v>
      </c>
      <c r="B763" s="146" t="inlineStr">
        <is>
          <t>Bebidas</t>
        </is>
      </c>
      <c r="C763" s="146" t="inlineStr">
        <is>
          <t>Mora 100gr</t>
        </is>
      </c>
      <c r="D763" s="146" t="inlineStr">
        <is>
          <t>P Mora 100 gr (x1)</t>
        </is>
      </c>
      <c r="E763" s="149" t="n">
        <v>1</v>
      </c>
      <c r="F763" s="153" t="n">
        <v>12700</v>
      </c>
      <c r="G763" s="153" t="n">
        <v>12700</v>
      </c>
    </row>
    <row r="764" hidden="1" s="111">
      <c r="A764" s="143" t="n">
        <v>27</v>
      </c>
      <c r="B764" s="143" t="inlineStr">
        <is>
          <t>Grano</t>
        </is>
      </c>
      <c r="C764" s="143" t="inlineStr">
        <is>
          <t>Arepas</t>
        </is>
      </c>
      <c r="D764" s="143" t="inlineStr">
        <is>
          <t>400 arepas (Remision Arepas a Diario)</t>
        </is>
      </c>
      <c r="E764" s="143" t="n">
        <v>400</v>
      </c>
      <c r="F764" s="143" t="n">
        <v>150</v>
      </c>
      <c r="G764" s="143" t="n">
        <v>60000</v>
      </c>
    </row>
    <row r="765" hidden="1" s="111">
      <c r="A765" s="146" t="n">
        <v>28</v>
      </c>
      <c r="B765" s="146" t="inlineStr">
        <is>
          <t>Carnes</t>
        </is>
      </c>
      <c r="C765" s="146" t="inlineStr">
        <is>
          <t>Lomo de cerdo</t>
        </is>
      </c>
      <c r="D765" s="146" t="inlineStr">
        <is>
          <t>LOMO DE CERDO (13.4 kg - Fabian Bonilla)</t>
        </is>
      </c>
      <c r="E765" s="149" t="n">
        <v>13.4</v>
      </c>
      <c r="F765" s="153" t="n">
        <v>19500</v>
      </c>
      <c r="G765" s="153" t="n">
        <v>261300</v>
      </c>
    </row>
    <row r="766" hidden="1" s="111">
      <c r="A766" s="144" t="n">
        <v>5</v>
      </c>
      <c r="B766" s="144" t="inlineStr">
        <is>
          <t>Servicios</t>
        </is>
      </c>
      <c r="C766" s="144" t="inlineStr">
        <is>
          <t>Servicios Públicos</t>
        </is>
      </c>
      <c r="D766" s="144" t="inlineStr">
        <is>
          <t>EMCALI - TELEFONO</t>
        </is>
      </c>
      <c r="E766" s="148" t="n">
        <v>1</v>
      </c>
      <c r="F766" s="154" t="n">
        <v>106180</v>
      </c>
      <c r="G766" s="154" t="n">
        <v>106180</v>
      </c>
    </row>
    <row r="767" hidden="1" s="111">
      <c r="A767" s="146" t="n">
        <v>28</v>
      </c>
      <c r="B767" s="146" t="inlineStr">
        <is>
          <t>Servicios</t>
        </is>
      </c>
      <c r="C767" s="146" t="inlineStr">
        <is>
          <t>Servicios Públicos</t>
        </is>
      </c>
      <c r="D767" s="146" t="inlineStr">
        <is>
          <t>Factura EMCALI (Acueducto, Alcantarillado, Energía - Agosto 2026)</t>
        </is>
      </c>
      <c r="E767" s="150" t="n">
        <v>1</v>
      </c>
      <c r="F767" s="153" t="n">
        <v>6502384</v>
      </c>
      <c r="G767" s="153" t="n">
        <v>6502384</v>
      </c>
    </row>
    <row r="768" hidden="1" s="111">
      <c r="A768" s="144" t="n">
        <v>18</v>
      </c>
      <c r="B768" s="144" t="inlineStr">
        <is>
          <t>Servicios</t>
        </is>
      </c>
      <c r="C768" s="144" t="inlineStr">
        <is>
          <t>Servicios temporales</t>
        </is>
      </c>
      <c r="D768" s="144" t="inlineStr">
        <is>
          <t>SERVICIOS TEMPORALES</t>
        </is>
      </c>
      <c r="E768" s="148" t="n">
        <v>1</v>
      </c>
      <c r="F768" s="152" t="n">
        <v>14284611</v>
      </c>
      <c r="G768" s="152" t="n">
        <v>14284611</v>
      </c>
    </row>
    <row r="769" hidden="1" s="111">
      <c r="A769" s="143" t="n">
        <v>28</v>
      </c>
      <c r="B769" s="143" t="inlineStr">
        <is>
          <t>Carnes</t>
        </is>
      </c>
      <c r="C769" s="143" t="inlineStr">
        <is>
          <t>Filete de pollo x 350</t>
        </is>
      </c>
      <c r="D769" s="143" t="inlineStr">
        <is>
          <t>FILETE DE POLLO X 350G (Alexis Valencia)</t>
        </is>
      </c>
      <c r="E769" s="143" t="n">
        <v>28.3</v>
      </c>
      <c r="F769" s="143" t="n">
        <v>18500</v>
      </c>
      <c r="G769" s="143" t="n">
        <v>523550</v>
      </c>
    </row>
    <row r="770" hidden="1" s="111">
      <c r="A770" s="143" t="n">
        <v>28</v>
      </c>
      <c r="B770" s="143" t="inlineStr">
        <is>
          <t>Carnes</t>
        </is>
      </c>
      <c r="C770" s="143" t="inlineStr">
        <is>
          <t>Tilapia 350/450</t>
        </is>
      </c>
      <c r="D770" s="143" t="inlineStr">
        <is>
          <t>Tilapia Roja (20.15 kg - Frio Sabor)</t>
        </is>
      </c>
      <c r="E770" s="143" t="n">
        <v>20.15</v>
      </c>
      <c r="F770" s="143" t="n">
        <v>18000</v>
      </c>
      <c r="G770" s="143" t="n">
        <v>362700</v>
      </c>
    </row>
    <row r="771" hidden="1" s="111">
      <c r="A771" s="143" t="n">
        <v>28</v>
      </c>
      <c r="B771" s="143" t="inlineStr">
        <is>
          <t>Carnes</t>
        </is>
      </c>
      <c r="C771" s="143" t="inlineStr">
        <is>
          <t>Marisco</t>
        </is>
      </c>
      <c r="D771" s="143" t="inlineStr">
        <is>
          <t>Mix de Mariscos (5 kg - Frio Sabor)</t>
        </is>
      </c>
      <c r="E771" s="143" t="n">
        <v>5</v>
      </c>
      <c r="F771" s="143" t="n">
        <v>24000</v>
      </c>
      <c r="G771" s="143" t="n">
        <v>120000</v>
      </c>
    </row>
    <row r="772" hidden="1" s="111">
      <c r="A772" s="143" t="n">
        <v>12</v>
      </c>
      <c r="B772" s="143" t="inlineStr">
        <is>
          <t>Bebidas</t>
        </is>
      </c>
      <c r="C772" s="143" t="inlineStr">
        <is>
          <t>Mora 100gr</t>
        </is>
      </c>
      <c r="D772" s="143" t="inlineStr">
        <is>
          <t>P Mora 100 gr (x2)</t>
        </is>
      </c>
      <c r="E772" s="147" t="n">
        <v>2</v>
      </c>
      <c r="F772" s="151" t="n">
        <v>12700</v>
      </c>
      <c r="G772" s="151" t="n">
        <v>25400</v>
      </c>
    </row>
    <row r="773" hidden="1" s="111">
      <c r="A773" s="143" t="n">
        <v>4</v>
      </c>
      <c r="B773" s="143" t="inlineStr">
        <is>
          <t>Bebidas</t>
        </is>
      </c>
      <c r="C773" s="143" t="inlineStr">
        <is>
          <t>Pia nacional 350 ml vidrio r x 30</t>
        </is>
      </c>
      <c r="D773" s="143" t="inlineStr">
        <is>
          <t>PIÑA NACIONAL 350 ML VIDRIO R X 30</t>
        </is>
      </c>
      <c r="E773" s="147" t="n">
        <v>15</v>
      </c>
      <c r="F773" s="151" t="n">
        <v>1450.98</v>
      </c>
      <c r="G773" s="151" t="n">
        <v>21764.7</v>
      </c>
    </row>
    <row r="774" hidden="1" s="111">
      <c r="A774" s="143" t="n">
        <v>28</v>
      </c>
      <c r="B774" s="143" t="inlineStr">
        <is>
          <t>Carnes</t>
        </is>
      </c>
      <c r="C774" s="143" t="inlineStr">
        <is>
          <t>Lomo de cerdo</t>
        </is>
      </c>
      <c r="D774" s="143" t="inlineStr">
        <is>
          <t>LOMO DE CERDO (Fabian Bonilla)</t>
        </is>
      </c>
      <c r="E774" s="143" t="n">
        <v>24.85</v>
      </c>
      <c r="F774" s="143" t="n">
        <v>19500</v>
      </c>
      <c r="G774" s="143" t="n">
        <v>484575</v>
      </c>
    </row>
    <row r="775" hidden="1" s="111">
      <c r="A775" s="143" t="n">
        <v>28</v>
      </c>
      <c r="B775" s="143" t="inlineStr">
        <is>
          <t>Verduras</t>
        </is>
      </c>
      <c r="C775" s="143" t="inlineStr">
        <is>
          <t>Platano verde</t>
        </is>
      </c>
      <c r="D775" s="143" t="inlineStr">
        <is>
          <t>PLATANO VERDE*KL (Fruver Los Monos)</t>
        </is>
      </c>
      <c r="E775" s="143" t="n">
        <v>77</v>
      </c>
      <c r="F775" s="143" t="n">
        <v>1600</v>
      </c>
      <c r="G775" s="143" t="n">
        <v>123200</v>
      </c>
    </row>
    <row r="776" hidden="1" s="111">
      <c r="A776" s="143" t="n">
        <v>28</v>
      </c>
      <c r="B776" s="143" t="inlineStr">
        <is>
          <t>Verduras</t>
        </is>
      </c>
      <c r="C776" s="143" t="inlineStr">
        <is>
          <t>Limon tahiti</t>
        </is>
      </c>
      <c r="D776" s="143" t="inlineStr">
        <is>
          <t>LIMON TAHITY*KL (Fruver Los Monos)</t>
        </is>
      </c>
      <c r="E776" s="143" t="n">
        <v>70</v>
      </c>
      <c r="F776" s="143" t="n">
        <v>2800</v>
      </c>
      <c r="G776" s="143" t="n">
        <v>196000</v>
      </c>
    </row>
    <row r="777" hidden="1" s="111">
      <c r="A777" s="143" t="n">
        <v>28</v>
      </c>
      <c r="B777" s="143" t="inlineStr">
        <is>
          <t>Verduras</t>
        </is>
      </c>
      <c r="C777" s="143" t="inlineStr">
        <is>
          <t>Lechuga batavia</t>
        </is>
      </c>
      <c r="D777" s="143" t="inlineStr">
        <is>
          <t>LECHUGA BATAVIA*KL (Fruver Los Monos)</t>
        </is>
      </c>
      <c r="E777" s="143" t="n">
        <v>45</v>
      </c>
      <c r="F777" s="143" t="n">
        <v>2500</v>
      </c>
      <c r="G777" s="143" t="n">
        <v>112500</v>
      </c>
    </row>
    <row r="778" hidden="1" s="111">
      <c r="A778" s="143" t="n">
        <v>28</v>
      </c>
      <c r="B778" s="143" t="inlineStr">
        <is>
          <t>Verduras</t>
        </is>
      </c>
      <c r="C778" s="143" t="inlineStr">
        <is>
          <t>Pimenton</t>
        </is>
      </c>
      <c r="D778" s="143" t="inlineStr">
        <is>
          <t>PIMENTON*KL (Fruver Los Monos)</t>
        </is>
      </c>
      <c r="E778" s="143" t="n">
        <v>4.6</v>
      </c>
      <c r="F778" s="143" t="n">
        <v>2500</v>
      </c>
      <c r="G778" s="143" t="n">
        <v>11500</v>
      </c>
    </row>
    <row r="779" hidden="1" s="111">
      <c r="A779" s="143" t="n">
        <v>28</v>
      </c>
      <c r="B779" s="143" t="inlineStr">
        <is>
          <t>Verduras</t>
        </is>
      </c>
      <c r="C779" s="143" t="inlineStr">
        <is>
          <t>Pepino comun</t>
        </is>
      </c>
      <c r="D779" s="143" t="inlineStr">
        <is>
          <t>PEPINO COMUN*KL (Fruver Los Monos)</t>
        </is>
      </c>
      <c r="E779" s="143" t="n">
        <v>4</v>
      </c>
      <c r="F779" s="143" t="n">
        <v>3000</v>
      </c>
      <c r="G779" s="143" t="n">
        <v>12000</v>
      </c>
    </row>
    <row r="780" hidden="1" s="111">
      <c r="A780" s="143" t="n">
        <v>28</v>
      </c>
      <c r="B780" s="143" t="inlineStr">
        <is>
          <t>Verduras</t>
        </is>
      </c>
      <c r="C780" s="143" t="inlineStr">
        <is>
          <t>Tomate milano</t>
        </is>
      </c>
      <c r="D780" s="143" t="inlineStr">
        <is>
          <t>TOMATE MILANO*KL (Fruver Los Monos)</t>
        </is>
      </c>
      <c r="E780" s="143" t="n">
        <v>3.6</v>
      </c>
      <c r="F780" s="143" t="n">
        <v>4500</v>
      </c>
      <c r="G780" s="143" t="n">
        <v>16200</v>
      </c>
    </row>
    <row r="781" hidden="1" s="111">
      <c r="A781" s="143" t="n">
        <v>28</v>
      </c>
      <c r="B781" s="143" t="inlineStr">
        <is>
          <t>Verduras</t>
        </is>
      </c>
      <c r="C781" s="143" t="inlineStr">
        <is>
          <t>Cebolla cabezona</t>
        </is>
      </c>
      <c r="D781" s="143" t="inlineStr">
        <is>
          <t>CEBOLLA CABEZONA*KL (Fruver Los Monos)</t>
        </is>
      </c>
      <c r="E781" s="143" t="n">
        <v>7.8</v>
      </c>
      <c r="F781" s="143" t="n">
        <v>3000</v>
      </c>
      <c r="G781" s="143" t="n">
        <v>23400</v>
      </c>
    </row>
    <row r="782" hidden="1" s="111">
      <c r="A782" s="143" t="n">
        <v>28</v>
      </c>
      <c r="B782" s="143" t="inlineStr">
        <is>
          <t>Verduras</t>
        </is>
      </c>
      <c r="C782" s="143" t="inlineStr">
        <is>
          <t>Papa amarilla</t>
        </is>
      </c>
      <c r="D782" s="143" t="inlineStr">
        <is>
          <t>PAPA AMARILLA CRIOLLA*KL (Fruver Los Monos)</t>
        </is>
      </c>
      <c r="E782" s="143" t="n">
        <v>9.4</v>
      </c>
      <c r="F782" s="143" t="n">
        <v>5000</v>
      </c>
      <c r="G782" s="143" t="n">
        <v>47000</v>
      </c>
    </row>
    <row r="783" hidden="1" s="111">
      <c r="A783" s="143" t="n">
        <v>28</v>
      </c>
      <c r="B783" s="143" t="inlineStr">
        <is>
          <t>Verduras</t>
        </is>
      </c>
      <c r="C783" s="143" t="inlineStr">
        <is>
          <t>Repollo morado</t>
        </is>
      </c>
      <c r="D783" s="143" t="inlineStr">
        <is>
          <t>REPOLLO MORADO*KL (Fruver Los Monos)</t>
        </is>
      </c>
      <c r="E783" s="143" t="n">
        <v>4.7</v>
      </c>
      <c r="F783" s="143" t="n">
        <v>2800</v>
      </c>
      <c r="G783" s="143" t="n">
        <v>13160</v>
      </c>
    </row>
    <row r="784" hidden="1" s="111">
      <c r="A784" s="143" t="n">
        <v>28</v>
      </c>
      <c r="B784" s="143" t="inlineStr">
        <is>
          <t>Verduras</t>
        </is>
      </c>
      <c r="C784" s="143" t="inlineStr">
        <is>
          <t>Zanahoria</t>
        </is>
      </c>
      <c r="D784" s="143" t="inlineStr">
        <is>
          <t>ZANAHORIA*KL (Fruver Los Monos)</t>
        </is>
      </c>
      <c r="E784" s="143" t="n">
        <v>9.4</v>
      </c>
      <c r="F784" s="143" t="n">
        <v>2500</v>
      </c>
      <c r="G784" s="143" t="n">
        <v>23500</v>
      </c>
    </row>
    <row r="785" hidden="1" s="111">
      <c r="A785" s="143" t="n">
        <v>28</v>
      </c>
      <c r="B785" s="143" t="inlineStr">
        <is>
          <t>Verduras</t>
        </is>
      </c>
      <c r="C785" s="143" t="inlineStr">
        <is>
          <t>Papa manbera</t>
        </is>
      </c>
      <c r="D785" s="143" t="inlineStr">
        <is>
          <t>PAPA MAMBERA*KL (Fruver Los Monos)</t>
        </is>
      </c>
      <c r="E785" s="143" t="n">
        <v>9.199999999999999</v>
      </c>
      <c r="F785" s="143" t="n">
        <v>3500</v>
      </c>
      <c r="G785" s="143" t="n">
        <v>32200</v>
      </c>
    </row>
    <row r="786" hidden="1" s="111">
      <c r="A786" s="143" t="n">
        <v>28</v>
      </c>
      <c r="B786" s="143" t="inlineStr">
        <is>
          <t>Verduras</t>
        </is>
      </c>
      <c r="C786" s="143" t="inlineStr">
        <is>
          <t>Platano Promocion</t>
        </is>
      </c>
      <c r="D786" s="143" t="inlineStr">
        <is>
          <t>PLATANO PROMOCION*KL (Fruver Los Monos)</t>
        </is>
      </c>
      <c r="E786" s="143" t="n">
        <v>56.2</v>
      </c>
      <c r="F786" s="143" t="n">
        <v>1000</v>
      </c>
      <c r="G786" s="143" t="n">
        <v>56200</v>
      </c>
    </row>
    <row r="787" hidden="1" s="111">
      <c r="A787" s="143" t="n">
        <v>28</v>
      </c>
      <c r="B787" s="143" t="inlineStr">
        <is>
          <t>Verduras</t>
        </is>
      </c>
      <c r="C787" s="143" t="inlineStr">
        <is>
          <t>Tomate chonto</t>
        </is>
      </c>
      <c r="D787" s="143" t="inlineStr">
        <is>
          <t>TOMATE CHONTO*KL (Fruver Los Monos)</t>
        </is>
      </c>
      <c r="E787" s="143" t="n">
        <v>8.800000000000001</v>
      </c>
      <c r="F787" s="143" t="n">
        <v>4000</v>
      </c>
      <c r="G787" s="143" t="n">
        <v>35200</v>
      </c>
    </row>
    <row r="788" hidden="1" s="111">
      <c r="A788" s="80" t="n">
        <v>28</v>
      </c>
      <c r="B788" s="143" t="inlineStr">
        <is>
          <t>Verduras</t>
        </is>
      </c>
      <c r="C788" s="143" t="inlineStr">
        <is>
          <t>Cilantro</t>
        </is>
      </c>
      <c r="D788" s="143" t="inlineStr">
        <is>
          <t>CILANTRO (Fruver Los Monos)</t>
        </is>
      </c>
      <c r="E788" s="80" t="n">
        <v>4</v>
      </c>
      <c r="F788" s="81" t="n">
        <v>9000</v>
      </c>
      <c r="G788" s="81" t="n">
        <v>36000</v>
      </c>
    </row>
    <row r="789" hidden="1" s="111">
      <c r="A789" s="80" t="n">
        <v>28</v>
      </c>
      <c r="B789" s="143" t="inlineStr">
        <is>
          <t>Verduras</t>
        </is>
      </c>
      <c r="C789" s="143" t="inlineStr">
        <is>
          <t>Papa Capira bulto</t>
        </is>
      </c>
      <c r="D789" s="143" t="inlineStr">
        <is>
          <t>PAPA CAPIRA BULTO*UND (Fruver Los Monos)</t>
        </is>
      </c>
      <c r="E789" s="80" t="n">
        <v>1</v>
      </c>
      <c r="F789" s="81" t="n">
        <v>105000</v>
      </c>
      <c r="G789" s="81" t="n">
        <v>105000</v>
      </c>
    </row>
    <row r="790" hidden="1" s="111">
      <c r="A790" s="80" t="n">
        <v>28</v>
      </c>
      <c r="B790" s="143" t="inlineStr">
        <is>
          <t>Verduras</t>
        </is>
      </c>
      <c r="C790" s="143" t="inlineStr">
        <is>
          <t>Tomillo</t>
        </is>
      </c>
      <c r="D790" s="143" t="inlineStr">
        <is>
          <t>TOMILLO (Fruver Los Monos)</t>
        </is>
      </c>
      <c r="E790" s="80" t="n">
        <v>1</v>
      </c>
      <c r="F790" s="81" t="n">
        <v>8000</v>
      </c>
      <c r="G790" s="81" t="n">
        <v>8000</v>
      </c>
    </row>
    <row r="791" hidden="1" s="111">
      <c r="A791" s="143" t="n">
        <v>28</v>
      </c>
      <c r="B791" s="143" t="inlineStr">
        <is>
          <t>Verduras</t>
        </is>
      </c>
      <c r="C791" s="143" t="inlineStr">
        <is>
          <t>Cebolla Larga Atado</t>
        </is>
      </c>
      <c r="D791" s="143" t="inlineStr">
        <is>
          <t>CEBOLLA LARGA ATADO (Fruver Los Monos)</t>
        </is>
      </c>
      <c r="E791" s="143" t="n">
        <v>1</v>
      </c>
      <c r="F791" s="143" t="n">
        <v>70000</v>
      </c>
      <c r="G791" s="143" t="n">
        <v>70000</v>
      </c>
    </row>
    <row r="792" hidden="1" s="111">
      <c r="A792" s="143" t="n">
        <v>28</v>
      </c>
      <c r="B792" s="143" t="inlineStr">
        <is>
          <t>Verduras</t>
        </is>
      </c>
      <c r="C792" s="143" t="inlineStr">
        <is>
          <t>Zapayo</t>
        </is>
      </c>
      <c r="D792" s="143" t="inlineStr">
        <is>
          <t>ZAPAYO*KL (Fruver Los Monos)</t>
        </is>
      </c>
      <c r="E792" s="143" t="n">
        <v>18.4</v>
      </c>
      <c r="F792" s="143" t="n">
        <v>1400</v>
      </c>
      <c r="G792" s="143" t="n">
        <v>25760</v>
      </c>
    </row>
    <row r="793" hidden="1" s="111">
      <c r="A793" s="143" t="n">
        <v>28</v>
      </c>
      <c r="B793" s="143" t="inlineStr">
        <is>
          <t>Verduras</t>
        </is>
      </c>
      <c r="C793" s="143" t="inlineStr">
        <is>
          <t>Alverjas verdes</t>
        </is>
      </c>
      <c r="D793" s="143" t="inlineStr">
        <is>
          <t>ARVEJA VERDE*KL (Fruver Los Monos)</t>
        </is>
      </c>
      <c r="E793" s="143" t="n">
        <v>4.3</v>
      </c>
      <c r="F793" s="143" t="n">
        <v>15000</v>
      </c>
      <c r="G793" s="143" t="n">
        <v>64500</v>
      </c>
    </row>
    <row r="794" hidden="1" s="111">
      <c r="A794" s="143" t="n">
        <v>28</v>
      </c>
      <c r="B794" s="143" t="inlineStr">
        <is>
          <t>Verduras</t>
        </is>
      </c>
      <c r="C794" s="143" t="inlineStr">
        <is>
          <t>Platano maduro</t>
        </is>
      </c>
      <c r="D794" s="143" t="inlineStr">
        <is>
          <t>PLATANO MADURO*KL (Fruver Los Monos)</t>
        </is>
      </c>
      <c r="E794" s="143" t="n">
        <v>37</v>
      </c>
      <c r="F794" s="143" t="n">
        <v>1600</v>
      </c>
      <c r="G794" s="143" t="n">
        <v>59200</v>
      </c>
    </row>
    <row r="795" hidden="1" s="111">
      <c r="A795" s="143" t="n">
        <v>28</v>
      </c>
      <c r="B795" s="143" t="inlineStr">
        <is>
          <t>Verduras</t>
        </is>
      </c>
      <c r="C795" s="143" t="inlineStr">
        <is>
          <t>Papa pollera</t>
        </is>
      </c>
      <c r="D795" s="143" t="inlineStr">
        <is>
          <t>PAPA POYERA KI (Fruver Los Monos)</t>
        </is>
      </c>
      <c r="E795" s="143" t="n">
        <v>31</v>
      </c>
      <c r="F795" s="143" t="n">
        <v>1800</v>
      </c>
      <c r="G795" s="143" t="n">
        <v>55800</v>
      </c>
    </row>
    <row r="796" hidden="1" s="111">
      <c r="A796" s="143" t="n">
        <v>28</v>
      </c>
      <c r="B796" s="143" t="inlineStr">
        <is>
          <t>Verduras</t>
        </is>
      </c>
      <c r="C796" s="143" t="inlineStr">
        <is>
          <t>Mazorca</t>
        </is>
      </c>
      <c r="D796" s="143" t="inlineStr">
        <is>
          <t>MAZORCA*UND (Fruver Los Monos)</t>
        </is>
      </c>
      <c r="E796" s="143" t="n">
        <v>30</v>
      </c>
      <c r="F796" s="143" t="n">
        <v>1200</v>
      </c>
      <c r="G796" s="143" t="n">
        <v>36000</v>
      </c>
    </row>
    <row r="797" hidden="1" s="111">
      <c r="A797" s="143" t="n">
        <v>28</v>
      </c>
      <c r="B797" s="143" t="inlineStr">
        <is>
          <t>Carnes</t>
        </is>
      </c>
      <c r="C797" s="143" t="inlineStr">
        <is>
          <t>Sobaco</t>
        </is>
      </c>
      <c r="D797" s="143" t="inlineStr">
        <is>
          <t>SOBACO (Carnes Los Monos - YP24089)</t>
        </is>
      </c>
      <c r="E797" s="143" t="n">
        <v>23.2</v>
      </c>
      <c r="F797" s="143" t="n">
        <v>25900</v>
      </c>
      <c r="G797" s="143" t="n">
        <v>600880</v>
      </c>
    </row>
    <row r="798" hidden="1" s="111">
      <c r="A798" s="80" t="n">
        <v>28</v>
      </c>
      <c r="B798" s="143" t="inlineStr">
        <is>
          <t>Carnes</t>
        </is>
      </c>
      <c r="C798" s="143" t="inlineStr">
        <is>
          <t>Sobrebarriga</t>
        </is>
      </c>
      <c r="D798" s="143" t="inlineStr">
        <is>
          <t>SOBREBARRIGA DELGADA (Carnes Los Monos - YP24089)</t>
        </is>
      </c>
      <c r="E798" s="80" t="n">
        <v>17.05</v>
      </c>
      <c r="F798" s="81" t="n">
        <v>34500</v>
      </c>
      <c r="G798" s="81" t="n">
        <v>588225</v>
      </c>
    </row>
    <row r="799" hidden="1" s="111">
      <c r="A799" s="143" t="n">
        <v>28</v>
      </c>
      <c r="B799" s="143" t="inlineStr">
        <is>
          <t>Carnes</t>
        </is>
      </c>
      <c r="C799" s="143" t="inlineStr">
        <is>
          <t>Tocino barril</t>
        </is>
      </c>
      <c r="D799" s="143" t="inlineStr">
        <is>
          <t>TOCINETA BARRIL (Carnes Los Monos - YP24089)</t>
        </is>
      </c>
      <c r="E799" s="143" t="n">
        <v>127.35</v>
      </c>
      <c r="F799" s="143" t="n">
        <v>21900</v>
      </c>
      <c r="G799" s="143" t="n">
        <v>2788965</v>
      </c>
    </row>
    <row r="800" hidden="1" s="111">
      <c r="A800" s="143" t="n">
        <v>28</v>
      </c>
      <c r="B800" s="143" t="inlineStr">
        <is>
          <t>Carnes</t>
        </is>
      </c>
      <c r="C800" s="143" t="inlineStr">
        <is>
          <t>Camaron precocido</t>
        </is>
      </c>
      <c r="D800" s="143" t="inlineStr">
        <is>
          <t>CAMARON DE CULTIVO PRECOCIDO 91-110P (Carnes Los Monos - YP24089)</t>
        </is>
      </c>
      <c r="E800" s="143" t="n">
        <v>19.7</v>
      </c>
      <c r="F800" s="143" t="n">
        <v>22900</v>
      </c>
      <c r="G800" s="143" t="n">
        <v>451130</v>
      </c>
    </row>
    <row r="801" hidden="1" s="111">
      <c r="A801" s="143" t="n">
        <v>28</v>
      </c>
      <c r="B801" s="143" t="inlineStr">
        <is>
          <t>Verduras</t>
        </is>
      </c>
      <c r="C801" s="143" t="inlineStr">
        <is>
          <t>Zapayo</t>
        </is>
      </c>
      <c r="D801" s="143" t="inlineStr">
        <is>
          <t>MIX DE VERDURAS PAQ X 1000G (Carnes Los Monos - YP24089)</t>
        </is>
      </c>
      <c r="E801" s="143" t="n">
        <v>10</v>
      </c>
      <c r="F801" s="143" t="n">
        <v>10100</v>
      </c>
      <c r="G801" s="143" t="n">
        <v>101000</v>
      </c>
    </row>
    <row r="802" hidden="1" s="111">
      <c r="A802" s="143" t="n">
        <v>28</v>
      </c>
      <c r="B802" s="143" t="inlineStr">
        <is>
          <t>Verduras</t>
        </is>
      </c>
      <c r="C802" s="143" t="inlineStr">
        <is>
          <t>Papa a la francesa paq 2.5 kl</t>
        </is>
      </c>
      <c r="D802" s="143" t="inlineStr">
        <is>
          <t>PAPA A LA FRANCESA PAQ 2.5 KL (Carnes Los Monos - YP24089)</t>
        </is>
      </c>
      <c r="E802" s="143" t="n">
        <v>16</v>
      </c>
      <c r="F802" s="143" t="n">
        <v>19500</v>
      </c>
      <c r="G802" s="143" t="n">
        <v>312000</v>
      </c>
    </row>
    <row r="803" hidden="1" s="111">
      <c r="A803" s="143" t="n">
        <v>28</v>
      </c>
      <c r="B803" s="143" t="inlineStr">
        <is>
          <t>Carnes</t>
        </is>
      </c>
      <c r="C803" s="143" t="inlineStr">
        <is>
          <t>Lengua</t>
        </is>
      </c>
      <c r="D803" s="143" t="inlineStr">
        <is>
          <t>LENGUA DE RES IMP X KL (Carnes Los Monos - YP24089)</t>
        </is>
      </c>
      <c r="E803" s="143" t="n">
        <v>25.15</v>
      </c>
      <c r="F803" s="143" t="n">
        <v>23900</v>
      </c>
      <c r="G803" s="143" t="n">
        <v>601085</v>
      </c>
    </row>
    <row r="804" hidden="1" s="111">
      <c r="A804" s="143" t="n">
        <v>28</v>
      </c>
      <c r="B804" s="143" t="inlineStr">
        <is>
          <t>Carnes</t>
        </is>
      </c>
      <c r="C804" s="143" t="inlineStr">
        <is>
          <t>Morrillo</t>
        </is>
      </c>
      <c r="D804" s="143" t="inlineStr">
        <is>
          <t>MORRILLO DE RES (Carnes Los Monos - YP24089)</t>
        </is>
      </c>
      <c r="E804" s="143" t="n">
        <v>19.23</v>
      </c>
      <c r="F804" s="143" t="n">
        <v>26900</v>
      </c>
      <c r="G804" s="143" t="n">
        <v>517287</v>
      </c>
    </row>
    <row r="805" hidden="1" s="111">
      <c r="A805" s="143" t="n">
        <v>28</v>
      </c>
      <c r="B805" s="143" t="inlineStr">
        <is>
          <t>Carnes</t>
        </is>
      </c>
      <c r="C805" s="143" t="inlineStr">
        <is>
          <t>Punta de anca</t>
        </is>
      </c>
      <c r="D805" s="143" t="inlineStr">
        <is>
          <t>PUNTA DE ANCA IMP PORC. PARRILLA (Carnes Los Monos - YP24089)</t>
        </is>
      </c>
      <c r="E805" s="143" t="n">
        <v>20.05</v>
      </c>
      <c r="F805" s="143" t="n">
        <v>44000</v>
      </c>
      <c r="G805" s="143" t="n">
        <v>882200</v>
      </c>
    </row>
    <row r="806" hidden="1" s="111">
      <c r="A806" s="143" t="n">
        <v>28</v>
      </c>
      <c r="B806" s="143" t="inlineStr">
        <is>
          <t>Carnes</t>
        </is>
      </c>
      <c r="C806" s="143" t="inlineStr">
        <is>
          <t>Lomo caracho</t>
        </is>
      </c>
      <c r="D806" s="143" t="inlineStr">
        <is>
          <t>LOMO CARACHO PORCIONADO PARRILLA (Carnes Los Monos - YP24089)</t>
        </is>
      </c>
      <c r="E806" s="143" t="n">
        <v>22.55</v>
      </c>
      <c r="F806" s="143" t="n">
        <v>44000</v>
      </c>
      <c r="G806" s="143" t="n">
        <v>992200</v>
      </c>
    </row>
    <row r="807" hidden="1" s="111">
      <c r="A807" s="144" t="n">
        <v>14</v>
      </c>
      <c r="B807" s="144" t="inlineStr">
        <is>
          <t>Bebidas</t>
        </is>
      </c>
      <c r="C807" s="144" t="inlineStr">
        <is>
          <t>Piña nacional 350 ml vidrio r x 30</t>
        </is>
      </c>
      <c r="D807" s="144" t="inlineStr">
        <is>
          <t>PIÑA NACIONAL 350 ML VIDRIO R X 30</t>
        </is>
      </c>
      <c r="E807" s="148" t="n">
        <v>15</v>
      </c>
      <c r="F807" s="152" t="n">
        <v>1450.98</v>
      </c>
      <c r="G807" s="152" t="n">
        <v>21764.7</v>
      </c>
    </row>
    <row r="808" hidden="1" s="111">
      <c r="A808" s="143" t="n">
        <v>29</v>
      </c>
      <c r="B808" s="143" t="inlineStr">
        <is>
          <t>Bebidas</t>
        </is>
      </c>
      <c r="C808" s="143" t="inlineStr">
        <is>
          <t>Piña nacional 350 ml vidrio r x 30</t>
        </is>
      </c>
      <c r="D808" s="143" t="inlineStr">
        <is>
          <t>PIÑA NACIONAL 350 ML VIDRIO R X 30 [15 und c/iva]</t>
        </is>
      </c>
      <c r="E808" s="143" t="n">
        <v>15</v>
      </c>
      <c r="F808" s="143" t="n">
        <v>1450.98</v>
      </c>
      <c r="G808" s="143" t="n">
        <v>21764.7</v>
      </c>
    </row>
    <row r="809" hidden="1" s="111">
      <c r="A809" s="143" t="n">
        <v>28</v>
      </c>
      <c r="B809" s="143" t="inlineStr">
        <is>
          <t>Desechables</t>
        </is>
      </c>
      <c r="C809" s="143" t="inlineStr">
        <is>
          <t>Mazamorra</t>
        </is>
      </c>
      <c r="D809" s="143" t="inlineStr">
        <is>
          <t>Franco Bravo - Mazamorra (Recibo Caja Menor)</t>
        </is>
      </c>
      <c r="E809" s="143" t="n">
        <v>1</v>
      </c>
      <c r="F809" s="143" t="n">
        <v>20000</v>
      </c>
      <c r="G809" s="143" t="n">
        <v>20000</v>
      </c>
    </row>
    <row r="810" hidden="1" s="111">
      <c r="A810" s="146" t="n">
        <v>18</v>
      </c>
      <c r="B810" s="146" t="inlineStr">
        <is>
          <t>Servicios</t>
        </is>
      </c>
      <c r="C810" s="146" t="inlineStr">
        <is>
          <t>Servicios temporales</t>
        </is>
      </c>
      <c r="D810" s="146" t="inlineStr">
        <is>
          <t>AIU FISCAL</t>
        </is>
      </c>
      <c r="E810" s="150" t="n">
        <v>1</v>
      </c>
      <c r="F810" s="153" t="n">
        <v>1888743.01</v>
      </c>
      <c r="G810" s="153" t="n">
        <v>1888743.01</v>
      </c>
    </row>
    <row r="811" hidden="1" s="111">
      <c r="A811" s="80" t="n">
        <v>28</v>
      </c>
      <c r="B811" s="143" t="inlineStr">
        <is>
          <t>Grano</t>
        </is>
      </c>
      <c r="C811" s="143" t="inlineStr">
        <is>
          <t>Aceite de soya</t>
        </is>
      </c>
      <c r="D811" s="143" t="inlineStr">
        <is>
          <t>ACEITE DE SOY (3 UN) (Factura L1S110253)</t>
        </is>
      </c>
      <c r="E811" s="80" t="n">
        <v>3</v>
      </c>
      <c r="F811" s="81" t="n">
        <v>22983.3333</v>
      </c>
      <c r="G811" s="81" t="n">
        <v>68950</v>
      </c>
    </row>
    <row r="812" hidden="1" s="111">
      <c r="A812" s="143" t="n">
        <v>29</v>
      </c>
      <c r="B812" s="143" t="inlineStr">
        <is>
          <t>Grano</t>
        </is>
      </c>
      <c r="C812" s="143" t="inlineStr">
        <is>
          <t>Arroz</t>
        </is>
      </c>
      <c r="D812" s="143" t="inlineStr">
        <is>
          <t>ARROZ PROARROZ (Angela Arroyave - FPP 6698)</t>
        </is>
      </c>
      <c r="E812" s="147" t="n">
        <v>1</v>
      </c>
      <c r="F812" s="151" t="n">
        <v>547500</v>
      </c>
      <c r="G812" s="151" t="n">
        <v>547500</v>
      </c>
    </row>
    <row r="813" hidden="1" s="111">
      <c r="A813" s="80" t="n">
        <v>29</v>
      </c>
      <c r="B813" s="143" t="inlineStr">
        <is>
          <t>Servicios</t>
        </is>
      </c>
      <c r="C813" s="143" t="inlineStr">
        <is>
          <t>Servicios temporales</t>
        </is>
      </c>
      <c r="D813" s="143" t="inlineStr">
        <is>
          <t>Botada Escombros (Recibo Caja Menor)</t>
        </is>
      </c>
      <c r="E813" s="81" t="n">
        <v>1</v>
      </c>
      <c r="F813" s="81" t="n">
        <v>10000</v>
      </c>
      <c r="G813" s="81" t="n">
        <v>10000</v>
      </c>
    </row>
    <row r="814" hidden="1" s="111">
      <c r="A814" s="146" t="n">
        <v>29</v>
      </c>
      <c r="B814" s="146" t="inlineStr">
        <is>
          <t>Carnes</t>
        </is>
      </c>
      <c r="C814" s="146" t="inlineStr">
        <is>
          <t>Trucha</t>
        </is>
      </c>
      <c r="D814" s="146" t="inlineStr">
        <is>
          <t>TRUCHA (9 kg - Gabriel Andres Ramirez)</t>
        </is>
      </c>
      <c r="E814" s="150" t="n">
        <v>9</v>
      </c>
      <c r="F814" s="153" t="n">
        <v>22000</v>
      </c>
      <c r="G814" s="153" t="n">
        <v>198000</v>
      </c>
    </row>
    <row r="815" hidden="1" s="111">
      <c r="A815" s="145" t="n">
        <v>8</v>
      </c>
      <c r="B815" s="145" t="inlineStr">
        <is>
          <t>Bebidas</t>
        </is>
      </c>
      <c r="C815" s="145" t="inlineStr">
        <is>
          <t>Pony malta x caja</t>
        </is>
      </c>
      <c r="D815" s="145" t="inlineStr">
        <is>
          <t>PONY MALTA*330ml PET</t>
        </is>
      </c>
      <c r="E815" s="145" t="n">
        <v>2</v>
      </c>
      <c r="F815" s="145" t="n">
        <v>60900</v>
      </c>
      <c r="G815" s="145" t="n">
        <v>121800</v>
      </c>
    </row>
    <row r="816" hidden="1" s="111">
      <c r="A816" s="143" t="n">
        <v>22</v>
      </c>
      <c r="B816" s="143" t="inlineStr">
        <is>
          <t>Bebidas</t>
        </is>
      </c>
      <c r="C816" s="143" t="inlineStr">
        <is>
          <t>Pony malta x caja</t>
        </is>
      </c>
      <c r="D816" s="143" t="inlineStr">
        <is>
          <t>PONY MALTA*330ml PET (Global Liquors VC238672)</t>
        </is>
      </c>
      <c r="E816" s="143" t="n">
        <v>1</v>
      </c>
      <c r="F816" s="143" t="n">
        <v>60900</v>
      </c>
      <c r="G816" s="143" t="n">
        <v>60900</v>
      </c>
    </row>
    <row r="817" hidden="1" s="111">
      <c r="A817" s="144" t="n">
        <v>14</v>
      </c>
      <c r="B817" s="144" t="inlineStr">
        <is>
          <t>Bebidas</t>
        </is>
      </c>
      <c r="C817" s="144" t="inlineStr">
        <is>
          <t>Gaseosa 350 ml</t>
        </is>
      </c>
      <c r="D817" s="144" t="inlineStr">
        <is>
          <t>POPULAR 350 ML VIDRIO R X 30</t>
        </is>
      </c>
      <c r="E817" s="148" t="n">
        <v>15</v>
      </c>
      <c r="F817" s="152" t="n">
        <v>1450.98</v>
      </c>
      <c r="G817" s="152" t="n">
        <v>21764.7</v>
      </c>
    </row>
    <row r="818" hidden="1" s="111">
      <c r="A818" s="143" t="n">
        <v>29</v>
      </c>
      <c r="B818" s="143" t="inlineStr">
        <is>
          <t>Carnes</t>
        </is>
      </c>
      <c r="C818" s="143" t="inlineStr">
        <is>
          <t>Callo</t>
        </is>
      </c>
      <c r="D818" s="143" t="inlineStr">
        <is>
          <t>CALLO DE RES (MYC)</t>
        </is>
      </c>
      <c r="E818" s="143" t="n">
        <v>8.85</v>
      </c>
      <c r="F818" s="143" t="n">
        <v>18000</v>
      </c>
      <c r="G818" s="143" t="n">
        <v>159300</v>
      </c>
    </row>
    <row r="819" hidden="1" s="111">
      <c r="A819" s="143" t="n">
        <v>29</v>
      </c>
      <c r="B819" s="143" t="inlineStr">
        <is>
          <t>Carnes</t>
        </is>
      </c>
      <c r="C819" s="143" t="inlineStr">
        <is>
          <t>Lomo viche</t>
        </is>
      </c>
      <c r="D819" s="143" t="inlineStr">
        <is>
          <t>LOMO VICHE ESPECIAL DE RES (MYC)</t>
        </is>
      </c>
      <c r="E819" s="143" t="n">
        <v>5.16</v>
      </c>
      <c r="F819" s="143" t="n">
        <v>53000</v>
      </c>
      <c r="G819" s="143" t="n">
        <v>273480</v>
      </c>
    </row>
    <row r="820" hidden="1" s="111">
      <c r="A820" s="146" t="n">
        <v>24</v>
      </c>
      <c r="B820" s="146" t="inlineStr">
        <is>
          <t>Bebidas</t>
        </is>
      </c>
      <c r="C820" s="146" t="inlineStr">
        <is>
          <t>Gaseosa 350 ml</t>
        </is>
      </c>
      <c r="D820" s="146" t="inlineStr">
        <is>
          <t>POPULAR 350 ML VIDRIO R X 30 (Postobon)</t>
        </is>
      </c>
      <c r="E820" s="149" t="n">
        <v>30</v>
      </c>
      <c r="F820" s="153" t="n">
        <v>1450.98</v>
      </c>
      <c r="G820" s="153" t="n">
        <v>43529.4</v>
      </c>
    </row>
    <row r="821" hidden="1" s="111">
      <c r="A821" s="145" t="n">
        <v>13</v>
      </c>
      <c r="B821" s="145" t="inlineStr">
        <is>
          <t>Bebidas</t>
        </is>
      </c>
      <c r="C821" s="145" t="inlineStr">
        <is>
          <t>Gaseosa 400 ml</t>
        </is>
      </c>
      <c r="D821" s="145" t="inlineStr">
        <is>
          <t>QUATRO CHOICE 400ML NR (12)</t>
        </is>
      </c>
      <c r="E821" s="145" t="n">
        <v>1</v>
      </c>
      <c r="F821" s="145" t="n">
        <v>21093</v>
      </c>
      <c r="G821" s="145" t="n">
        <v>21093</v>
      </c>
    </row>
    <row r="822" hidden="1" s="111">
      <c r="A822" s="146" t="n">
        <v>31</v>
      </c>
      <c r="B822" s="146" t="inlineStr">
        <is>
          <t>Servicios</t>
        </is>
      </c>
      <c r="C822" s="146" t="inlineStr">
        <is>
          <t>Servicios temporales</t>
        </is>
      </c>
      <c r="D822" s="146" t="inlineStr">
        <is>
          <t>SERVICIOS TEMPORALES (GIT 16 al 31 Agosto)</t>
        </is>
      </c>
      <c r="E822" s="149" t="n">
        <v>1</v>
      </c>
      <c r="F822" s="153" t="n">
        <v>14805208</v>
      </c>
      <c r="G822" s="153" t="n">
        <v>14805208</v>
      </c>
    </row>
    <row r="823" hidden="1" s="111">
      <c r="A823" s="143" t="n">
        <v>29</v>
      </c>
      <c r="B823" s="143" t="inlineStr">
        <is>
          <t>Verduras</t>
        </is>
      </c>
      <c r="C823" s="143" t="inlineStr">
        <is>
          <t>Yuca pelada</t>
        </is>
      </c>
      <c r="D823" s="143" t="inlineStr">
        <is>
          <t>10 kl Yuca pelada (Cuenta de Cobro)</t>
        </is>
      </c>
      <c r="E823" s="143" t="n">
        <v>10</v>
      </c>
      <c r="F823" s="143" t="n">
        <v>4500</v>
      </c>
      <c r="G823" s="143" t="n">
        <v>45000</v>
      </c>
    </row>
    <row r="824" hidden="1" s="111">
      <c r="A824" s="80" t="n">
        <v>29</v>
      </c>
      <c r="B824" s="143" t="inlineStr">
        <is>
          <t>Verduras</t>
        </is>
      </c>
      <c r="C824" s="143" t="inlineStr">
        <is>
          <t>Aguacate</t>
        </is>
      </c>
      <c r="D824" s="143" t="inlineStr">
        <is>
          <t>20 Aguacates (Recibo Caja Menor)</t>
        </is>
      </c>
      <c r="E824" s="80" t="n">
        <v>20</v>
      </c>
      <c r="F824" s="81" t="n">
        <v>8000</v>
      </c>
      <c r="G824" s="81" t="n">
        <v>160000</v>
      </c>
    </row>
    <row r="825" hidden="1" s="111">
      <c r="A825" s="146" t="n">
        <v>31</v>
      </c>
      <c r="B825" s="146" t="inlineStr">
        <is>
          <t>Servicios</t>
        </is>
      </c>
      <c r="C825" s="146" t="inlineStr">
        <is>
          <t>Servicios temporales</t>
        </is>
      </c>
      <c r="D825" s="146" t="inlineStr">
        <is>
          <t>AIU FISCAL + IVA (GIT 16 al 31 Agosto)</t>
        </is>
      </c>
      <c r="E825" s="149" t="n">
        <v>1</v>
      </c>
      <c r="F825" s="153" t="n">
        <v>1957577.37</v>
      </c>
      <c r="G825" s="153" t="n">
        <v>1957577.37</v>
      </c>
    </row>
    <row r="826" hidden="1" s="111">
      <c r="A826" s="80" t="n">
        <v>29</v>
      </c>
      <c r="B826" s="143" t="inlineStr">
        <is>
          <t>Desechables</t>
        </is>
      </c>
      <c r="C826" s="143" t="inlineStr">
        <is>
          <t>Mercancias Varias Excentas</t>
        </is>
      </c>
      <c r="D826" s="143" t="inlineStr">
        <is>
          <t>Una Pera Exprimidor (Recibo Caja Menor)</t>
        </is>
      </c>
      <c r="E826" s="81" t="n">
        <v>1</v>
      </c>
      <c r="F826" s="81" t="n">
        <v>15000</v>
      </c>
      <c r="G826" s="81" t="n">
        <v>15000</v>
      </c>
    </row>
    <row r="827" hidden="1" s="111">
      <c r="A827" s="80" t="n">
        <v>29</v>
      </c>
      <c r="B827" s="143" t="inlineStr">
        <is>
          <t>Desechables</t>
        </is>
      </c>
      <c r="C827" s="143" t="inlineStr">
        <is>
          <t>Mazamorra</t>
        </is>
      </c>
      <c r="D827" s="143" t="inlineStr">
        <is>
          <t>Franco Bravo - Mazamorra (Recibo Caja Menor)</t>
        </is>
      </c>
      <c r="E827" s="81" t="n">
        <v>1</v>
      </c>
      <c r="F827" s="81" t="n">
        <v>25000</v>
      </c>
      <c r="G827" s="81" t="n">
        <v>25000</v>
      </c>
    </row>
    <row r="828" hidden="1" s="111">
      <c r="A828" s="143" t="n">
        <v>1</v>
      </c>
      <c r="B828" s="143" t="inlineStr">
        <is>
          <t>Bebidas</t>
        </is>
      </c>
      <c r="C828" s="143" t="inlineStr">
        <is>
          <t>Maracuya 100gr</t>
        </is>
      </c>
      <c r="D828" s="143" t="inlineStr">
        <is>
          <t>S Maracuya 100 gr (x4)</t>
        </is>
      </c>
      <c r="E828" s="147" t="n">
        <v>4</v>
      </c>
      <c r="F828" s="151" t="n">
        <v>17950</v>
      </c>
      <c r="G828" s="151" t="n">
        <v>71800</v>
      </c>
    </row>
    <row r="829" hidden="1" s="111">
      <c r="A829" s="80" t="n">
        <v>29</v>
      </c>
      <c r="B829" s="143" t="inlineStr">
        <is>
          <t>Desechables</t>
        </is>
      </c>
      <c r="C829" s="143" t="inlineStr">
        <is>
          <t>Detergente dersax 1000</t>
        </is>
      </c>
      <c r="D829" s="143" t="inlineStr">
        <is>
          <t>DETER DERSA*2000g VINAGRE+LIMON (Supertiendas Cañaveral)</t>
        </is>
      </c>
      <c r="E829" s="81" t="n">
        <v>1</v>
      </c>
      <c r="F829" s="81" t="n">
        <v>21200</v>
      </c>
      <c r="G829" s="81" t="n">
        <v>21200</v>
      </c>
    </row>
    <row r="830" hidden="1" s="111">
      <c r="A830" s="144" t="n">
        <v>12</v>
      </c>
      <c r="B830" s="144" t="inlineStr">
        <is>
          <t>Bebidas</t>
        </is>
      </c>
      <c r="C830" s="144" t="inlineStr">
        <is>
          <t>Maracuya 100gr</t>
        </is>
      </c>
      <c r="D830" s="144" t="inlineStr">
        <is>
          <t>S Maracuya 100 gr (x4)</t>
        </is>
      </c>
      <c r="E830" s="156" t="n">
        <v>4</v>
      </c>
      <c r="F830" s="152" t="n">
        <v>17950</v>
      </c>
      <c r="G830" s="152" t="n">
        <v>71800</v>
      </c>
    </row>
    <row r="831" hidden="1" s="111">
      <c r="A831" s="143" t="n">
        <v>4</v>
      </c>
      <c r="B831" s="143" t="inlineStr">
        <is>
          <t>Bebidas</t>
        </is>
      </c>
      <c r="C831" s="143" t="inlineStr">
        <is>
          <t>Itamarindo postobo n 1500 ml pet x 12</t>
        </is>
      </c>
      <c r="D831" s="143" t="inlineStr">
        <is>
          <t>TAMARINDO POSTOBON 250 ML PET X 12</t>
        </is>
      </c>
      <c r="E831" s="147" t="n">
        <v>12</v>
      </c>
      <c r="F831" s="151" t="n">
        <v>1050.42</v>
      </c>
      <c r="G831" s="151" t="n">
        <v>12605.04</v>
      </c>
    </row>
    <row r="832" hidden="1" s="111">
      <c r="A832" s="143" t="n">
        <v>30</v>
      </c>
      <c r="B832" s="143" t="inlineStr">
        <is>
          <t>Grano</t>
        </is>
      </c>
      <c r="C832" s="143" t="inlineStr">
        <is>
          <t>Aceite de soya</t>
        </is>
      </c>
      <c r="D832" s="143" t="inlineStr">
        <is>
          <t>ACEITE DE SOY (Supertiendas Cañaveral)</t>
        </is>
      </c>
      <c r="E832" s="143" t="n">
        <v>1</v>
      </c>
      <c r="F832" s="143" t="n">
        <v>22950</v>
      </c>
      <c r="G832" s="143" t="n">
        <v>22950</v>
      </c>
    </row>
    <row r="833" hidden="1" s="111">
      <c r="A833" s="143" t="n">
        <v>30</v>
      </c>
      <c r="B833" s="143" t="inlineStr">
        <is>
          <t>Carnes</t>
        </is>
      </c>
      <c r="C833" s="143" t="inlineStr">
        <is>
          <t>Rellena</t>
        </is>
      </c>
      <c r="D833" s="143" t="inlineStr">
        <is>
          <t>Rellena (Rellenitas Gourmet FE1560)</t>
        </is>
      </c>
      <c r="E833" s="143" t="n">
        <v>5</v>
      </c>
      <c r="F833" s="143" t="n">
        <v>19500</v>
      </c>
      <c r="G833" s="143" t="n">
        <v>97500</v>
      </c>
    </row>
    <row r="834" hidden="1" s="111">
      <c r="A834" s="80" t="n">
        <v>30</v>
      </c>
      <c r="B834" s="143" t="inlineStr">
        <is>
          <t>Carnes</t>
        </is>
      </c>
      <c r="C834" s="143" t="inlineStr">
        <is>
          <t>Pezua</t>
        </is>
      </c>
      <c r="D834" s="143" t="inlineStr">
        <is>
          <t>PEZUNA CERDO A GRANEL 6.980kg (Supertiendas Cañaveral)</t>
        </is>
      </c>
      <c r="E834" s="80" t="n">
        <v>6.98</v>
      </c>
      <c r="F834" s="81" t="n">
        <v>9700</v>
      </c>
      <c r="G834" s="81" t="n">
        <v>67706</v>
      </c>
    </row>
    <row r="835" hidden="1" s="111">
      <c r="A835" s="80" t="n">
        <v>30</v>
      </c>
      <c r="B835" s="143" t="inlineStr">
        <is>
          <t>Carnes</t>
        </is>
      </c>
      <c r="C835" s="143" t="inlineStr">
        <is>
          <t>Espinazo de cerdo</t>
        </is>
      </c>
      <c r="D835" s="143" t="inlineStr">
        <is>
          <t>ESPINAZO CERDO A GRANEL 6.150kg (Supertiendas Cañaveral)</t>
        </is>
      </c>
      <c r="E835" s="80" t="n">
        <v>6.15</v>
      </c>
      <c r="F835" s="81" t="n">
        <v>7200</v>
      </c>
      <c r="G835" s="81" t="n">
        <v>44280</v>
      </c>
    </row>
    <row r="836" hidden="1" s="111">
      <c r="A836" s="80" t="n">
        <v>30</v>
      </c>
      <c r="B836" s="143" t="inlineStr">
        <is>
          <t>Desechables</t>
        </is>
      </c>
      <c r="C836" s="143" t="inlineStr">
        <is>
          <t>Bolsa canaveral 100% material recicl f</t>
        </is>
      </c>
      <c r="D836" s="143" t="inlineStr">
        <is>
          <t>BOLSA CANAVERAL 100% MATERIAL RECICL P x 2 (Supertiendas Cañaveral)</t>
        </is>
      </c>
      <c r="E836" s="80" t="n">
        <v>2</v>
      </c>
      <c r="F836" s="81" t="n">
        <v>300</v>
      </c>
      <c r="G836" s="81" t="n">
        <v>600</v>
      </c>
    </row>
    <row r="837" hidden="1" s="111">
      <c r="A837" s="143" t="n">
        <v>7</v>
      </c>
      <c r="B837" s="143" t="inlineStr">
        <is>
          <t>Servicios</t>
        </is>
      </c>
      <c r="C837" s="143" t="inlineStr">
        <is>
          <t>Taxi restaurante casa</t>
        </is>
      </c>
      <c r="D837" s="143" t="inlineStr">
        <is>
          <t>Taxi Johanna caja (Recibo Caja Menor)</t>
        </is>
      </c>
      <c r="E837" s="147" t="n">
        <v>1</v>
      </c>
      <c r="F837" s="151" t="n">
        <v>10000</v>
      </c>
      <c r="G837" s="151" t="n">
        <v>10000</v>
      </c>
    </row>
    <row r="838" hidden="1" s="111">
      <c r="A838" s="146" t="n">
        <v>29</v>
      </c>
      <c r="B838" s="146" t="inlineStr">
        <is>
          <t>Servicios</t>
        </is>
      </c>
      <c r="C838" s="146" t="inlineStr">
        <is>
          <t>TV Challenger 40</t>
        </is>
      </c>
      <c r="D838" s="146" t="inlineStr">
        <is>
          <t>TV CHALLENGER 40 40K G90 FHD (Colombiana de Comercio)</t>
        </is>
      </c>
      <c r="E838" s="150" t="n">
        <v>1</v>
      </c>
      <c r="F838" s="153" t="n">
        <v>839900</v>
      </c>
      <c r="G838" s="153" t="n">
        <v>839900</v>
      </c>
    </row>
    <row r="839" hidden="1" s="111">
      <c r="A839" s="146" t="n">
        <v>31</v>
      </c>
      <c r="B839" s="146" t="inlineStr">
        <is>
          <t>Verduras</t>
        </is>
      </c>
      <c r="C839" s="146" t="inlineStr">
        <is>
          <t>Lechuga batavia</t>
        </is>
      </c>
      <c r="D839" s="146" t="inlineStr">
        <is>
          <t>LECHUGA BATAVIA*KL</t>
        </is>
      </c>
      <c r="E839" s="150" t="n">
        <v>18</v>
      </c>
      <c r="F839" s="153" t="n">
        <v>2800</v>
      </c>
      <c r="G839" s="153" t="n">
        <v>50400</v>
      </c>
    </row>
    <row r="840" hidden="1" s="111">
      <c r="A840" s="146" t="n">
        <v>31</v>
      </c>
      <c r="B840" s="146" t="inlineStr">
        <is>
          <t>Desechables</t>
        </is>
      </c>
      <c r="C840" s="146" t="inlineStr">
        <is>
          <t>Carbon</t>
        </is>
      </c>
      <c r="D840" s="146" t="inlineStr">
        <is>
          <t>CAARBON BULTO</t>
        </is>
      </c>
      <c r="E840" s="150" t="n">
        <v>2</v>
      </c>
      <c r="F840" s="157" t="n">
        <v>43000</v>
      </c>
      <c r="G840" s="153" t="n">
        <v>86000</v>
      </c>
    </row>
    <row r="841" hidden="1" s="111">
      <c r="A841" s="146" t="n">
        <v>31</v>
      </c>
      <c r="B841" s="146" t="inlineStr">
        <is>
          <t>Verduras</t>
        </is>
      </c>
      <c r="C841" s="146" t="inlineStr">
        <is>
          <t>Limon tahity</t>
        </is>
      </c>
      <c r="D841" s="146" t="inlineStr">
        <is>
          <t>LIMON TAHITY*KL</t>
        </is>
      </c>
      <c r="E841" s="150" t="n">
        <v>48.8</v>
      </c>
      <c r="F841" s="157" t="n">
        <v>3400</v>
      </c>
      <c r="G841" s="153" t="n">
        <v>165920</v>
      </c>
    </row>
    <row r="842" hidden="1" s="111">
      <c r="A842" s="146" t="n">
        <v>31</v>
      </c>
      <c r="B842" s="146" t="inlineStr">
        <is>
          <t>Verduras</t>
        </is>
      </c>
      <c r="C842" s="146" t="inlineStr">
        <is>
          <t>Platano maduro</t>
        </is>
      </c>
      <c r="D842" s="146" t="inlineStr">
        <is>
          <t>PLATANO MADURO*KL</t>
        </is>
      </c>
      <c r="E842" s="150" t="n">
        <v>78.40000000000001</v>
      </c>
      <c r="F842" s="157" t="n">
        <v>1500</v>
      </c>
      <c r="G842" s="153" t="n">
        <v>117600</v>
      </c>
    </row>
    <row r="843" hidden="1" s="111">
      <c r="A843" s="146" t="n">
        <v>31</v>
      </c>
      <c r="B843" s="146" t="inlineStr">
        <is>
          <t>Verduras</t>
        </is>
      </c>
      <c r="C843" s="146" t="inlineStr">
        <is>
          <t>Platano verde</t>
        </is>
      </c>
      <c r="D843" s="146" t="inlineStr">
        <is>
          <t>PLATANO VERDE*KL</t>
        </is>
      </c>
      <c r="E843" s="150" t="n">
        <v>95.40000000000001</v>
      </c>
      <c r="F843" s="153" t="n">
        <v>1600</v>
      </c>
      <c r="G843" s="153" t="n">
        <v>152640</v>
      </c>
    </row>
    <row r="844" hidden="1" s="111">
      <c r="A844" s="146" t="n">
        <v>31</v>
      </c>
      <c r="B844" s="146" t="inlineStr">
        <is>
          <t>Verduras</t>
        </is>
      </c>
      <c r="C844" s="146" t="inlineStr">
        <is>
          <t>Cebolla larga</t>
        </is>
      </c>
      <c r="D844" s="146" t="inlineStr">
        <is>
          <t>CEBOLLA LARGA ATADO</t>
        </is>
      </c>
      <c r="E844" s="150" t="n">
        <v>0.5</v>
      </c>
      <c r="F844" s="153" t="n">
        <v>60000</v>
      </c>
      <c r="G844" s="153" t="n">
        <v>30000</v>
      </c>
    </row>
    <row r="845" hidden="1" s="111">
      <c r="A845" s="143" t="n">
        <v>4</v>
      </c>
      <c r="B845" s="143" t="inlineStr">
        <is>
          <t>Bebidas</t>
        </is>
      </c>
      <c r="C845" s="143" t="inlineStr">
        <is>
          <t>Itamarindo postobo n 350 ml vidrio r x 30</t>
        </is>
      </c>
      <c r="D845" s="143" t="inlineStr">
        <is>
          <t>TAMARINDO POSTOBON 350 ML VIDRIO R X 30</t>
        </is>
      </c>
      <c r="E845" s="147" t="n">
        <v>30</v>
      </c>
      <c r="F845" s="151" t="n">
        <v>1260.5</v>
      </c>
      <c r="G845" s="151" t="n">
        <v>37815</v>
      </c>
    </row>
    <row r="846" hidden="1" s="111">
      <c r="A846" s="143" t="n">
        <v>4</v>
      </c>
      <c r="B846" s="143" t="inlineStr">
        <is>
          <t>Bebidas</t>
        </is>
      </c>
      <c r="C846" s="143" t="inlineStr">
        <is>
          <t>Itamarindo postobo n 350 ml vidrio r x 30</t>
        </is>
      </c>
      <c r="D846" s="143" t="inlineStr">
        <is>
          <t>TAMARINDO POSTOBON 350 ML VIDRIO R X 30</t>
        </is>
      </c>
      <c r="E846" s="147" t="n">
        <v>15</v>
      </c>
      <c r="F846" s="151" t="n">
        <v>1260.5</v>
      </c>
      <c r="G846" s="151" t="n">
        <v>18907.5</v>
      </c>
    </row>
    <row r="847" hidden="1" s="111">
      <c r="A847" s="146" t="n">
        <v>20</v>
      </c>
      <c r="B847" s="146" t="inlineStr">
        <is>
          <t>Bebidas</t>
        </is>
      </c>
      <c r="C847" s="146" t="inlineStr">
        <is>
          <t>Itamarindo postobo n 350 ml vidrio r x 30</t>
        </is>
      </c>
      <c r="D847" s="146" t="inlineStr">
        <is>
          <t>TAMARINDO POSTOBON 350 ML VIDRIO R X 30</t>
        </is>
      </c>
      <c r="E847" s="149" t="n">
        <v>15</v>
      </c>
      <c r="F847" s="153" t="n">
        <v>1260.5</v>
      </c>
      <c r="G847" s="153" t="n">
        <v>18907.51</v>
      </c>
    </row>
    <row r="848" hidden="1" s="111">
      <c r="A848" s="143" t="n">
        <v>29</v>
      </c>
      <c r="B848" s="143" t="inlineStr">
        <is>
          <t>Bebidas</t>
        </is>
      </c>
      <c r="C848" s="143" t="inlineStr">
        <is>
          <t>Itamarindo postobo n 350 ml vidrio r x 30</t>
        </is>
      </c>
      <c r="D848" s="143" t="inlineStr">
        <is>
          <t>TAMARINDO POSTOBON 350 ML VIDRIO R X 30 [30 und c/iva]</t>
        </is>
      </c>
      <c r="E848" s="143" t="n">
        <v>30</v>
      </c>
      <c r="F848" s="143" t="n">
        <v>1260.5</v>
      </c>
      <c r="G848" s="143" t="n">
        <v>37815</v>
      </c>
    </row>
    <row r="849" hidden="1" s="111">
      <c r="A849" s="144" t="n">
        <v>14</v>
      </c>
      <c r="B849" s="144" t="inlineStr">
        <is>
          <t>Bebidas</t>
        </is>
      </c>
      <c r="C849" s="144" t="inlineStr">
        <is>
          <t>Gaseosa 350 ml</t>
        </is>
      </c>
      <c r="D849" s="144" t="inlineStr">
        <is>
          <t>UVA POSTOBON 350 ML VIDRIO R X 30</t>
        </is>
      </c>
      <c r="E849" s="156" t="n">
        <v>15</v>
      </c>
      <c r="F849" s="152" t="n">
        <v>1450.98</v>
      </c>
      <c r="G849" s="152" t="n">
        <v>21764.7</v>
      </c>
    </row>
    <row r="850" hidden="1" s="111">
      <c r="A850" s="146" t="n">
        <v>31</v>
      </c>
      <c r="B850" s="146" t="inlineStr">
        <is>
          <t>Verduras</t>
        </is>
      </c>
      <c r="C850" s="146" t="inlineStr">
        <is>
          <t>Limon tahiti</t>
        </is>
      </c>
      <c r="D850" s="146" t="inlineStr">
        <is>
          <t>LIMON TAHITY*KL</t>
        </is>
      </c>
      <c r="E850" s="150" t="n">
        <v>66</v>
      </c>
      <c r="F850" s="153" t="n">
        <v>2500</v>
      </c>
      <c r="G850" s="153" t="n">
        <v>165000</v>
      </c>
    </row>
    <row r="851" hidden="1" s="111">
      <c r="A851" s="146" t="n">
        <v>31</v>
      </c>
      <c r="B851" s="146" t="inlineStr">
        <is>
          <t>Verduras</t>
        </is>
      </c>
      <c r="C851" s="146" t="inlineStr">
        <is>
          <t>Platano maduro</t>
        </is>
      </c>
      <c r="D851" s="146" t="inlineStr">
        <is>
          <t>PLATANO MADURO*KL</t>
        </is>
      </c>
      <c r="E851" s="150" t="n">
        <v>78.3</v>
      </c>
      <c r="F851" s="153" t="n">
        <v>1300</v>
      </c>
      <c r="G851" s="153" t="n">
        <v>101790</v>
      </c>
    </row>
    <row r="852" hidden="1" s="111">
      <c r="A852" s="146" t="n">
        <v>31</v>
      </c>
      <c r="B852" s="146" t="inlineStr">
        <is>
          <t>Verduras</t>
        </is>
      </c>
      <c r="C852" s="146" t="inlineStr">
        <is>
          <t>Lechuga batavia</t>
        </is>
      </c>
      <c r="D852" s="146" t="inlineStr">
        <is>
          <t>LECHUGA BATAVIA*KL</t>
        </is>
      </c>
      <c r="E852" s="149" t="n">
        <v>47.6</v>
      </c>
      <c r="F852" s="153" t="n">
        <v>2800</v>
      </c>
      <c r="G852" s="153" t="n">
        <v>133280</v>
      </c>
    </row>
    <row r="853" hidden="1" s="111">
      <c r="A853" s="146" t="n">
        <v>31</v>
      </c>
      <c r="B853" s="146" t="inlineStr">
        <is>
          <t>Verduras</t>
        </is>
      </c>
      <c r="C853" s="146" t="inlineStr">
        <is>
          <t>Platano verde</t>
        </is>
      </c>
      <c r="D853" s="146" t="inlineStr">
        <is>
          <t>PLATANO VERDE*KL</t>
        </is>
      </c>
      <c r="E853" s="149" t="n">
        <v>77.40000000000001</v>
      </c>
      <c r="F853" s="157" t="n">
        <v>1300</v>
      </c>
      <c r="G853" s="153" t="n">
        <v>100620</v>
      </c>
    </row>
    <row r="854" hidden="1" s="111">
      <c r="A854" s="146" t="n">
        <v>31</v>
      </c>
      <c r="B854" s="146" t="inlineStr">
        <is>
          <t>Verduras</t>
        </is>
      </c>
      <c r="C854" s="146" t="inlineStr">
        <is>
          <t>Cebolla Larga Atado</t>
        </is>
      </c>
      <c r="D854" s="146" t="inlineStr">
        <is>
          <t>CEBOLLA LARGA ATADO</t>
        </is>
      </c>
      <c r="E854" s="149" t="n">
        <v>1</v>
      </c>
      <c r="F854" s="153" t="n">
        <v>60000</v>
      </c>
      <c r="G854" s="153" t="n">
        <v>60000</v>
      </c>
    </row>
    <row r="855" hidden="1" s="111">
      <c r="A855" s="146" t="n">
        <v>31</v>
      </c>
      <c r="B855" s="146" t="inlineStr">
        <is>
          <t>Verduras</t>
        </is>
      </c>
      <c r="C855" s="146" t="inlineStr">
        <is>
          <t>Tomate milano</t>
        </is>
      </c>
      <c r="D855" s="146" t="inlineStr">
        <is>
          <t>TOMATE MILANO*KL</t>
        </is>
      </c>
      <c r="E855" s="149" t="n">
        <v>5.1</v>
      </c>
      <c r="F855" s="153" t="n">
        <v>4500</v>
      </c>
      <c r="G855" s="153" t="n">
        <v>22950</v>
      </c>
    </row>
    <row r="856" hidden="1" s="111">
      <c r="A856" s="146" t="n">
        <v>31</v>
      </c>
      <c r="B856" s="146" t="inlineStr">
        <is>
          <t>Verduras</t>
        </is>
      </c>
      <c r="C856" s="146" t="inlineStr">
        <is>
          <t>Tomate chonto</t>
        </is>
      </c>
      <c r="D856" s="146" t="inlineStr">
        <is>
          <t>TOMATE CHONTO*KL</t>
        </is>
      </c>
      <c r="E856" s="150" t="n">
        <v>10.9</v>
      </c>
      <c r="F856" s="153" t="n">
        <v>4000</v>
      </c>
      <c r="G856" s="153" t="n">
        <v>43600</v>
      </c>
    </row>
    <row r="857" hidden="1" s="111">
      <c r="A857" s="146" t="n">
        <v>31</v>
      </c>
      <c r="B857" s="146" t="inlineStr">
        <is>
          <t>Verduras</t>
        </is>
      </c>
      <c r="C857" s="146" t="inlineStr">
        <is>
          <t>Pepino comun</t>
        </is>
      </c>
      <c r="D857" s="146" t="inlineStr">
        <is>
          <t>PEPINO COMUN*KL</t>
        </is>
      </c>
      <c r="E857" s="150" t="n">
        <v>3.6</v>
      </c>
      <c r="F857" s="153" t="n">
        <v>2500</v>
      </c>
      <c r="G857" s="153" t="n">
        <v>9000</v>
      </c>
    </row>
    <row r="858" hidden="1" s="111">
      <c r="A858" s="143" t="n">
        <v>31</v>
      </c>
      <c r="B858" s="143" t="inlineStr">
        <is>
          <t>Verduras</t>
        </is>
      </c>
      <c r="C858" s="143" t="inlineStr">
        <is>
          <t>Arracacha</t>
        </is>
      </c>
      <c r="D858" s="143" t="inlineStr">
        <is>
          <t>ARRACACHA*KL</t>
        </is>
      </c>
      <c r="E858" s="147" t="n">
        <v>3.3</v>
      </c>
      <c r="F858" s="151" t="n">
        <v>6500</v>
      </c>
      <c r="G858" s="151" t="n">
        <v>21450</v>
      </c>
    </row>
    <row r="859" hidden="1" s="111">
      <c r="A859" s="143" t="n">
        <v>31</v>
      </c>
      <c r="B859" s="143" t="inlineStr">
        <is>
          <t>Verduras</t>
        </is>
      </c>
      <c r="C859" s="143" t="inlineStr">
        <is>
          <t>Pimenton</t>
        </is>
      </c>
      <c r="D859" s="143" t="inlineStr">
        <is>
          <t>PIMENTON*KL</t>
        </is>
      </c>
      <c r="E859" s="147" t="n">
        <v>8.4</v>
      </c>
      <c r="F859" s="151" t="n">
        <v>2500</v>
      </c>
      <c r="G859" s="151" t="n">
        <v>21000</v>
      </c>
    </row>
    <row r="860" hidden="1" s="111">
      <c r="A860" s="143" t="n">
        <v>31</v>
      </c>
      <c r="B860" s="143" t="inlineStr">
        <is>
          <t>Verduras</t>
        </is>
      </c>
      <c r="C860" s="143" t="inlineStr">
        <is>
          <t>Papa pollera</t>
        </is>
      </c>
      <c r="D860" s="143" t="inlineStr">
        <is>
          <t>PAPA POYERA KI</t>
        </is>
      </c>
      <c r="E860" s="143" t="n">
        <v>7.7</v>
      </c>
      <c r="F860" s="143" t="n">
        <v>1800</v>
      </c>
      <c r="G860" s="143" t="n">
        <v>13860</v>
      </c>
    </row>
    <row r="861" hidden="1" s="111">
      <c r="A861" s="143" t="n">
        <v>31</v>
      </c>
      <c r="B861" s="143" t="inlineStr">
        <is>
          <t>Verduras</t>
        </is>
      </c>
      <c r="C861" s="143" t="inlineStr">
        <is>
          <t>Mazorca</t>
        </is>
      </c>
      <c r="D861" s="143" t="inlineStr">
        <is>
          <t>MAZORCA*UND</t>
        </is>
      </c>
      <c r="E861" s="143" t="n">
        <v>20</v>
      </c>
      <c r="F861" s="143" t="n">
        <v>1200</v>
      </c>
      <c r="G861" s="143" t="n">
        <v>24000</v>
      </c>
    </row>
    <row r="862" hidden="1" s="111">
      <c r="A862" s="143" t="n">
        <v>31</v>
      </c>
      <c r="B862" s="143" t="inlineStr">
        <is>
          <t>Verduras</t>
        </is>
      </c>
      <c r="C862" s="143" t="inlineStr">
        <is>
          <t>Zanahoria</t>
        </is>
      </c>
      <c r="D862" s="143" t="inlineStr">
        <is>
          <t>ZANAHORIA*KL</t>
        </is>
      </c>
      <c r="E862" s="143" t="n">
        <v>10</v>
      </c>
      <c r="F862" s="143" t="n">
        <v>2500</v>
      </c>
      <c r="G862" s="143" t="n">
        <v>25000</v>
      </c>
    </row>
    <row r="863" hidden="1" s="111">
      <c r="A863" s="143" t="n">
        <v>31</v>
      </c>
      <c r="B863" s="143" t="inlineStr">
        <is>
          <t>Verduras</t>
        </is>
      </c>
      <c r="C863" s="143" t="inlineStr">
        <is>
          <t>Cilantro</t>
        </is>
      </c>
      <c r="D863" s="143" t="inlineStr">
        <is>
          <t>CILANTRO</t>
        </is>
      </c>
      <c r="E863" s="143" t="n">
        <v>4</v>
      </c>
      <c r="F863" s="143" t="n">
        <v>8000</v>
      </c>
      <c r="G863" s="143" t="n">
        <v>32000</v>
      </c>
    </row>
    <row r="864" hidden="1" s="111">
      <c r="A864" s="143" t="n">
        <v>31</v>
      </c>
      <c r="B864" s="143" t="inlineStr">
        <is>
          <t>Verduras</t>
        </is>
      </c>
      <c r="C864" s="143" t="inlineStr">
        <is>
          <t>Hiervas</t>
        </is>
      </c>
      <c r="D864" s="143" t="inlineStr">
        <is>
          <t>HIERVAS</t>
        </is>
      </c>
      <c r="E864" s="143" t="n">
        <v>5</v>
      </c>
      <c r="F864" s="143" t="n">
        <v>2000</v>
      </c>
      <c r="G864" s="143" t="n">
        <v>10000</v>
      </c>
    </row>
    <row r="865" hidden="1" s="111">
      <c r="A865" s="143" t="n">
        <v>31</v>
      </c>
      <c r="B865" s="143" t="inlineStr">
        <is>
          <t>Desechables</t>
        </is>
      </c>
      <c r="C865" s="143" t="inlineStr">
        <is>
          <t>Carbon</t>
        </is>
      </c>
      <c r="D865" s="143" t="inlineStr">
        <is>
          <t>CAARBON BULTO</t>
        </is>
      </c>
      <c r="E865" s="143" t="n">
        <v>1</v>
      </c>
      <c r="F865" s="143" t="n">
        <v>40000</v>
      </c>
      <c r="G865" s="143" t="n">
        <v>40000</v>
      </c>
    </row>
    <row r="866" hidden="1" s="111">
      <c r="A866" s="143" t="n">
        <v>31</v>
      </c>
      <c r="B866" s="143" t="inlineStr">
        <is>
          <t>Verduras</t>
        </is>
      </c>
      <c r="C866" s="143" t="inlineStr">
        <is>
          <t>Papa Capira bulto</t>
        </is>
      </c>
      <c r="D866" s="143" t="inlineStr">
        <is>
          <t>PAPA CAPIRA BULTO*UND</t>
        </is>
      </c>
      <c r="E866" s="143" t="n">
        <v>1</v>
      </c>
      <c r="F866" s="143" t="n">
        <v>110000</v>
      </c>
      <c r="G866" s="143" t="n">
        <v>110000</v>
      </c>
    </row>
    <row r="867" hidden="1" s="111">
      <c r="A867" s="143" t="n">
        <v>31</v>
      </c>
      <c r="B867" s="143" t="inlineStr">
        <is>
          <t>Verduras</t>
        </is>
      </c>
      <c r="C867" s="143" t="inlineStr">
        <is>
          <t xml:space="preserve">Habichuela </t>
        </is>
      </c>
      <c r="D867" s="143" t="inlineStr">
        <is>
          <t>HABICHUELA*KL</t>
        </is>
      </c>
      <c r="E867" s="143" t="n">
        <v>4.5</v>
      </c>
      <c r="F867" s="143" t="n">
        <v>7000</v>
      </c>
      <c r="G867" s="143" t="n">
        <v>31500</v>
      </c>
    </row>
    <row r="868" hidden="1" s="111">
      <c r="A868" s="143" t="n">
        <v>31</v>
      </c>
      <c r="B868" s="143" t="inlineStr">
        <is>
          <t>Verduras</t>
        </is>
      </c>
      <c r="C868" s="143" t="inlineStr">
        <is>
          <t>Cebolla larga</t>
        </is>
      </c>
      <c r="D868" s="143" t="inlineStr">
        <is>
          <t>CEBOLLA LARGA*KL LIMPIA</t>
        </is>
      </c>
      <c r="E868" s="143" t="n">
        <v>13.6</v>
      </c>
      <c r="F868" s="143" t="n">
        <v>3500</v>
      </c>
      <c r="G868" s="143" t="n">
        <v>47600</v>
      </c>
    </row>
    <row r="869" hidden="1" s="111">
      <c r="A869" s="143" t="n">
        <v>31</v>
      </c>
      <c r="B869" s="143" t="inlineStr">
        <is>
          <t>Carnes</t>
        </is>
      </c>
      <c r="C869" s="143" t="inlineStr">
        <is>
          <t>Pata de res</t>
        </is>
      </c>
      <c r="D869" s="143" t="inlineStr">
        <is>
          <t>Pata de res (MYC)</t>
        </is>
      </c>
      <c r="E869" s="143" t="n">
        <v>15.95</v>
      </c>
      <c r="F869" s="143" t="n">
        <v>5000</v>
      </c>
      <c r="G869" s="143" t="n">
        <v>79750</v>
      </c>
    </row>
    <row r="870" hidden="1" s="111">
      <c r="A870" s="143" t="n">
        <v>31</v>
      </c>
      <c r="B870" s="143" t="inlineStr">
        <is>
          <t>Carnes</t>
        </is>
      </c>
      <c r="C870" s="143" t="inlineStr">
        <is>
          <t>Caderita</t>
        </is>
      </c>
      <c r="D870" s="143" t="inlineStr">
        <is>
          <t>Caderita de res (MYC)</t>
        </is>
      </c>
      <c r="E870" s="143" t="n">
        <v>4</v>
      </c>
      <c r="F870" s="143" t="n">
        <v>33000</v>
      </c>
      <c r="G870" s="143" t="n">
        <v>132000</v>
      </c>
    </row>
    <row r="871" hidden="1" s="111">
      <c r="A871" s="143" t="n">
        <v>31</v>
      </c>
      <c r="B871" s="143" t="inlineStr">
        <is>
          <t>Verduras</t>
        </is>
      </c>
      <c r="C871" s="143" t="inlineStr">
        <is>
          <t>Papa Capira bulto</t>
        </is>
      </c>
      <c r="D871" s="143" t="inlineStr">
        <is>
          <t>PAPA CAPIRA BULTO*UND</t>
        </is>
      </c>
      <c r="E871" s="143" t="n">
        <v>1</v>
      </c>
      <c r="F871" s="143" t="n">
        <v>100000</v>
      </c>
      <c r="G871" s="143" t="n">
        <v>100000</v>
      </c>
    </row>
    <row r="872" hidden="1" s="111">
      <c r="A872" s="143" t="n">
        <v>31</v>
      </c>
      <c r="B872" s="143" t="inlineStr">
        <is>
          <t>Verduras</t>
        </is>
      </c>
      <c r="C872" s="143" t="inlineStr">
        <is>
          <t>Mazorca</t>
        </is>
      </c>
      <c r="D872" s="143" t="inlineStr">
        <is>
          <t>MAZORCA*UND</t>
        </is>
      </c>
      <c r="E872" s="143" t="n">
        <v>40</v>
      </c>
      <c r="F872" s="143" t="n">
        <v>1000</v>
      </c>
      <c r="G872" s="143" t="n">
        <v>40000</v>
      </c>
    </row>
    <row r="873" hidden="1" s="111">
      <c r="A873" s="143" t="n">
        <v>31</v>
      </c>
      <c r="B873" s="143" t="inlineStr">
        <is>
          <t>Verduras</t>
        </is>
      </c>
      <c r="C873" s="143" t="inlineStr">
        <is>
          <t>Ulluco Limpio</t>
        </is>
      </c>
      <c r="D873" s="143" t="inlineStr">
        <is>
          <t>ULLUCOS LIMPIO*KL</t>
        </is>
      </c>
      <c r="E873" s="143" t="n">
        <v>4.2</v>
      </c>
      <c r="F873" s="143" t="n">
        <v>9000</v>
      </c>
      <c r="G873" s="143" t="n">
        <v>37800</v>
      </c>
    </row>
    <row r="874" hidden="1" s="111">
      <c r="A874" s="143" t="n">
        <v>31</v>
      </c>
      <c r="B874" s="143" t="inlineStr">
        <is>
          <t>Verduras</t>
        </is>
      </c>
      <c r="C874" s="143" t="inlineStr">
        <is>
          <t>Cilantro</t>
        </is>
      </c>
      <c r="D874" s="143" t="inlineStr">
        <is>
          <t>CILANTRO</t>
        </is>
      </c>
      <c r="E874" s="147" t="n">
        <v>3</v>
      </c>
      <c r="F874" s="151" t="n">
        <v>8000</v>
      </c>
      <c r="G874" s="151" t="n">
        <v>24000</v>
      </c>
    </row>
    <row r="875" hidden="1" s="111">
      <c r="A875" s="143" t="n">
        <v>31</v>
      </c>
      <c r="B875" s="143" t="inlineStr">
        <is>
          <t>Verduras</t>
        </is>
      </c>
      <c r="C875" s="143" t="inlineStr">
        <is>
          <t>Hiervas</t>
        </is>
      </c>
      <c r="D875" s="143" t="inlineStr">
        <is>
          <t>HIERVAS</t>
        </is>
      </c>
      <c r="E875" s="143" t="n">
        <v>4</v>
      </c>
      <c r="F875" s="143" t="n">
        <v>2000</v>
      </c>
      <c r="G875" s="143" t="n">
        <v>8000</v>
      </c>
    </row>
    <row r="876" hidden="1" s="111">
      <c r="A876" s="143" t="n">
        <v>31</v>
      </c>
      <c r="B876" s="143" t="inlineStr">
        <is>
          <t>Verduras</t>
        </is>
      </c>
      <c r="C876" s="143" t="inlineStr">
        <is>
          <t>Tomillo</t>
        </is>
      </c>
      <c r="D876" s="143" t="inlineStr">
        <is>
          <t>TOMILLO</t>
        </is>
      </c>
      <c r="E876" s="143" t="n">
        <v>1</v>
      </c>
      <c r="F876" s="143" t="n">
        <v>10000</v>
      </c>
      <c r="G876" s="143" t="n">
        <v>10000</v>
      </c>
    </row>
    <row r="877" hidden="1" s="111">
      <c r="A877" s="143" t="n">
        <v>31</v>
      </c>
      <c r="B877" s="143" t="inlineStr">
        <is>
          <t>Verduras</t>
        </is>
      </c>
      <c r="C877" s="143" t="inlineStr">
        <is>
          <t>Platano verde</t>
        </is>
      </c>
      <c r="D877" s="143" t="inlineStr">
        <is>
          <t>PLATANO VERDE*KL</t>
        </is>
      </c>
      <c r="E877" s="143" t="n">
        <v>50.9</v>
      </c>
      <c r="F877" s="143" t="n">
        <v>1400</v>
      </c>
      <c r="G877" s="143" t="n">
        <v>71260</v>
      </c>
    </row>
    <row r="878" hidden="1" s="111">
      <c r="A878" s="80" t="n">
        <v>31</v>
      </c>
      <c r="B878" s="143" t="inlineStr">
        <is>
          <t>Verduras</t>
        </is>
      </c>
      <c r="C878" s="143" t="inlineStr">
        <is>
          <t>Pepino comun</t>
        </is>
      </c>
      <c r="D878" s="143" t="inlineStr">
        <is>
          <t>PEPINO COMUN*KL</t>
        </is>
      </c>
      <c r="E878" s="81" t="n">
        <v>4.4</v>
      </c>
      <c r="F878" s="81" t="n">
        <v>2000</v>
      </c>
      <c r="G878" s="81" t="n">
        <v>8800</v>
      </c>
    </row>
    <row r="879" hidden="1" s="111">
      <c r="A879" s="143" t="n">
        <v>31</v>
      </c>
      <c r="B879" s="143" t="inlineStr">
        <is>
          <t>Verduras</t>
        </is>
      </c>
      <c r="C879" s="143" t="inlineStr">
        <is>
          <t>Cebolla cabezona</t>
        </is>
      </c>
      <c r="D879" s="143" t="inlineStr">
        <is>
          <t>CEBOLLA CABEZONA*KL</t>
        </is>
      </c>
      <c r="E879" s="143" t="n">
        <v>7.6</v>
      </c>
      <c r="F879" s="143" t="n">
        <v>3400</v>
      </c>
      <c r="G879" s="143" t="n">
        <v>25840</v>
      </c>
    </row>
    <row r="880" hidden="1" s="111">
      <c r="A880" s="143" t="n">
        <v>31</v>
      </c>
      <c r="B880" s="143" t="inlineStr">
        <is>
          <t>Verduras</t>
        </is>
      </c>
      <c r="C880" s="143" t="inlineStr">
        <is>
          <t>Tomate chonto</t>
        </is>
      </c>
      <c r="D880" s="143" t="inlineStr">
        <is>
          <t>TOMATE CHONTO*KL</t>
        </is>
      </c>
      <c r="E880" s="143" t="n">
        <v>10</v>
      </c>
      <c r="F880" s="143" t="n">
        <v>3800</v>
      </c>
      <c r="G880" s="143" t="n">
        <v>38000</v>
      </c>
    </row>
    <row r="881" hidden="1" s="111">
      <c r="A881" s="143" t="n">
        <v>31</v>
      </c>
      <c r="B881" s="143" t="inlineStr">
        <is>
          <t>Verduras</t>
        </is>
      </c>
      <c r="C881" s="143" t="inlineStr">
        <is>
          <t>Tomate milano</t>
        </is>
      </c>
      <c r="D881" s="143" t="inlineStr">
        <is>
          <t>TOMATE MILANO*KL</t>
        </is>
      </c>
      <c r="E881" s="143" t="n">
        <v>3</v>
      </c>
      <c r="F881" s="143" t="n">
        <v>4500</v>
      </c>
      <c r="G881" s="143" t="n">
        <v>13500</v>
      </c>
    </row>
    <row r="882" hidden="1" s="111">
      <c r="A882" s="143" t="n">
        <v>31</v>
      </c>
      <c r="B882" s="143" t="inlineStr">
        <is>
          <t>Verduras</t>
        </is>
      </c>
      <c r="C882" s="143" t="inlineStr">
        <is>
          <t xml:space="preserve">Papa manbera </t>
        </is>
      </c>
      <c r="D882" s="143" t="inlineStr">
        <is>
          <t>PAPA MAMBERA*KL</t>
        </is>
      </c>
      <c r="E882" s="143" t="n">
        <v>7.6</v>
      </c>
      <c r="F882" s="143" t="n">
        <v>3500</v>
      </c>
      <c r="G882" s="143" t="n">
        <v>26600</v>
      </c>
    </row>
    <row r="883" hidden="1" s="111">
      <c r="A883" s="143" t="n">
        <v>31</v>
      </c>
      <c r="B883" s="143" t="inlineStr">
        <is>
          <t>Verduras</t>
        </is>
      </c>
      <c r="C883" s="143" t="inlineStr">
        <is>
          <t xml:space="preserve">Papa amarilla </t>
        </is>
      </c>
      <c r="D883" s="143" t="inlineStr">
        <is>
          <t>PAPA AMARILLA CRIOLLA*KL</t>
        </is>
      </c>
      <c r="E883" s="143" t="n">
        <v>8.5</v>
      </c>
      <c r="F883" s="143" t="n">
        <v>6000</v>
      </c>
      <c r="G883" s="143" t="n">
        <v>51000</v>
      </c>
    </row>
    <row r="884" hidden="1" s="111">
      <c r="A884" s="143" t="n">
        <v>31</v>
      </c>
      <c r="B884" s="143" t="inlineStr">
        <is>
          <t>Verduras</t>
        </is>
      </c>
      <c r="C884" s="143" t="inlineStr">
        <is>
          <t>Zanahoria</t>
        </is>
      </c>
      <c r="D884" s="143" t="inlineStr">
        <is>
          <t>ZANAHORIA*KL</t>
        </is>
      </c>
      <c r="E884" s="143" t="n">
        <v>10</v>
      </c>
      <c r="F884" s="143" t="n">
        <v>2400</v>
      </c>
      <c r="G884" s="143" t="n">
        <v>24000</v>
      </c>
    </row>
    <row r="885" hidden="1" s="111">
      <c r="A885" s="143" t="n">
        <v>31</v>
      </c>
      <c r="B885" s="143" t="inlineStr">
        <is>
          <t>Verduras</t>
        </is>
      </c>
      <c r="C885" s="143" t="inlineStr">
        <is>
          <t>Lechuga batavia</t>
        </is>
      </c>
      <c r="D885" s="143" t="inlineStr">
        <is>
          <t>LECHUGA BATAVIA*KL</t>
        </is>
      </c>
      <c r="E885" s="143" t="n">
        <v>18.5</v>
      </c>
      <c r="F885" s="143" t="n">
        <v>2800</v>
      </c>
      <c r="G885" s="143" t="n">
        <v>51800</v>
      </c>
    </row>
    <row r="886" hidden="1" s="111">
      <c r="A886" s="143" t="n">
        <v>31</v>
      </c>
      <c r="B886" s="143" t="inlineStr">
        <is>
          <t>Verduras</t>
        </is>
      </c>
      <c r="C886" s="143" t="inlineStr">
        <is>
          <t>Cebolla Larga Atado</t>
        </is>
      </c>
      <c r="D886" s="143" t="inlineStr">
        <is>
          <t>CEBOLLA LARGA ATADO</t>
        </is>
      </c>
      <c r="E886" s="143" t="n">
        <v>1</v>
      </c>
      <c r="F886" s="143" t="n">
        <v>60000</v>
      </c>
      <c r="G886" s="143" t="n">
        <v>60000</v>
      </c>
    </row>
    <row r="887" hidden="1" s="111">
      <c r="A887" s="143" t="n">
        <v>31</v>
      </c>
      <c r="B887" s="143" t="inlineStr">
        <is>
          <t>Verduras</t>
        </is>
      </c>
      <c r="C887" s="143" t="inlineStr">
        <is>
          <t>Platano maduro</t>
        </is>
      </c>
      <c r="D887" s="143" t="inlineStr">
        <is>
          <t>PLATANO MADURO*KL</t>
        </is>
      </c>
      <c r="E887" s="143" t="n">
        <v>64</v>
      </c>
      <c r="F887" s="143" t="n">
        <v>1300</v>
      </c>
      <c r="G887" s="143" t="n">
        <v>83200</v>
      </c>
    </row>
    <row r="888" hidden="1" s="111">
      <c r="A888" s="144" t="n">
        <v>11</v>
      </c>
      <c r="B888" s="144" t="inlineStr">
        <is>
          <t>Bebidas</t>
        </is>
      </c>
      <c r="C888" s="144" t="inlineStr">
        <is>
          <t>Vino tinto</t>
        </is>
      </c>
      <c r="D888" s="144" t="inlineStr">
        <is>
          <t>Vino de cocina</t>
        </is>
      </c>
      <c r="E888" s="148" t="n">
        <v>1</v>
      </c>
      <c r="F888" s="154" t="n">
        <v>29000</v>
      </c>
      <c r="G888" s="152" t="n">
        <v>29000</v>
      </c>
    </row>
    <row r="889" hidden="1" s="111">
      <c r="A889" s="145" t="n">
        <v>13</v>
      </c>
      <c r="B889" s="145" t="inlineStr">
        <is>
          <t>Bebidas</t>
        </is>
      </c>
      <c r="C889" s="145" t="inlineStr">
        <is>
          <t>Vino tinto</t>
        </is>
      </c>
      <c r="D889" s="145" t="inlineStr">
        <is>
          <t>Vino de cocina</t>
        </is>
      </c>
      <c r="E889" s="145" t="n">
        <v>1</v>
      </c>
      <c r="F889" s="145" t="n">
        <v>29000</v>
      </c>
      <c r="G889" s="145" t="n">
        <v>29000</v>
      </c>
    </row>
    <row r="890" hidden="1" s="111">
      <c r="A890" s="145" t="n">
        <v>19</v>
      </c>
      <c r="B890" s="145" t="inlineStr">
        <is>
          <t>Bebidas</t>
        </is>
      </c>
      <c r="C890" s="145" t="inlineStr">
        <is>
          <t>Vino tinto</t>
        </is>
      </c>
      <c r="D890" s="145" t="inlineStr">
        <is>
          <t>VINO TINTO BUENA COCINA Fco*3</t>
        </is>
      </c>
      <c r="E890" s="145" t="n">
        <v>1</v>
      </c>
      <c r="F890" s="145" t="n">
        <v>14200</v>
      </c>
      <c r="G890" s="145" t="n">
        <v>14200</v>
      </c>
    </row>
    <row r="891" hidden="1" s="111">
      <c r="A891" s="143" t="n">
        <v>1</v>
      </c>
      <c r="B891" s="143" t="inlineStr">
        <is>
          <t>Bebidas</t>
        </is>
      </c>
      <c r="C891" s="143" t="inlineStr">
        <is>
          <t>Cerezada</t>
        </is>
      </c>
      <c r="D891" s="143" t="inlineStr">
        <is>
          <t>Z.E Limonada Cerezada 143 gr (x2)</t>
        </is>
      </c>
      <c r="E891" s="147" t="n">
        <v>2</v>
      </c>
      <c r="F891" s="151" t="n">
        <v>16800</v>
      </c>
      <c r="G891" s="151" t="n">
        <v>33600</v>
      </c>
    </row>
    <row r="892" hidden="1" s="111">
      <c r="A892" s="80" t="n">
        <v>20</v>
      </c>
      <c r="B892" s="143" t="inlineStr">
        <is>
          <t>Bebidas</t>
        </is>
      </c>
      <c r="C892" s="143" t="inlineStr">
        <is>
          <t>Cerezada</t>
        </is>
      </c>
      <c r="D892" s="143" t="inlineStr">
        <is>
          <t>ZE Limonada Cerezada 143 gr (Fruitty Frezze FE21343)</t>
        </is>
      </c>
      <c r="E892" s="81" t="n">
        <v>3</v>
      </c>
      <c r="F892" s="81" t="n">
        <v>16800</v>
      </c>
      <c r="G892" s="81" t="n">
        <v>50400</v>
      </c>
    </row>
    <row r="893" hidden="1" s="111">
      <c r="A893" s="146" t="n">
        <v>6</v>
      </c>
      <c r="B893" s="146" t="inlineStr">
        <is>
          <t>Bebidas</t>
        </is>
      </c>
      <c r="C893" s="146" t="inlineStr">
        <is>
          <t>Cerezada</t>
        </is>
      </c>
      <c r="D893" s="146" t="inlineStr">
        <is>
          <t>ZE Limonada Cerezada 143 gr (x1)</t>
        </is>
      </c>
      <c r="E893" s="150" t="n">
        <v>1</v>
      </c>
      <c r="F893" s="153" t="n">
        <v>16800</v>
      </c>
      <c r="G893" s="153" t="n">
        <v>16800</v>
      </c>
    </row>
    <row r="894" hidden="1" s="111">
      <c r="A894" s="143" t="n">
        <v>31</v>
      </c>
      <c r="B894" s="143" t="inlineStr">
        <is>
          <t>Carnes</t>
        </is>
      </c>
      <c r="C894" s="143" t="inlineStr">
        <is>
          <t>Atunes Und</t>
        </is>
      </c>
      <c r="D894" s="143" t="inlineStr">
        <is>
          <t>ATUN EN ACEIT 4 UN (D1 FE L1R9188290)</t>
        </is>
      </c>
      <c r="E894" s="143" t="n">
        <v>4</v>
      </c>
      <c r="F894" s="143" t="n">
        <v>5400</v>
      </c>
      <c r="G894" s="143" t="n">
        <v>21600</v>
      </c>
    </row>
    <row r="895" hidden="1" s="111">
      <c r="A895" s="143" t="n">
        <v>31</v>
      </c>
      <c r="B895" s="143" t="inlineStr">
        <is>
          <t>Verduras</t>
        </is>
      </c>
      <c r="C895" s="143" t="inlineStr">
        <is>
          <t>Aguacate</t>
        </is>
      </c>
      <c r="D895" s="143" t="inlineStr">
        <is>
          <t>28 Aguacates (Recibo Caja Menor)</t>
        </is>
      </c>
      <c r="E895" s="143" t="n">
        <v>28</v>
      </c>
      <c r="F895" s="143" t="n">
        <v>7000</v>
      </c>
      <c r="G895" s="143" t="n">
        <v>196000</v>
      </c>
    </row>
    <row r="896" hidden="1" s="111">
      <c r="A896" s="143" t="n">
        <v>31</v>
      </c>
      <c r="B896" s="143" t="inlineStr">
        <is>
          <t>Desechables</t>
        </is>
      </c>
      <c r="C896" s="143" t="inlineStr">
        <is>
          <t>Mercancias Varias Excentas</t>
        </is>
      </c>
      <c r="D896" s="143" t="inlineStr">
        <is>
          <t>10 soperas (Artesanias Margoth Factura 4392)</t>
        </is>
      </c>
      <c r="E896" s="143" t="n">
        <v>10</v>
      </c>
      <c r="F896" s="143" t="n">
        <v>6000</v>
      </c>
      <c r="G896" s="143" t="n">
        <v>60000</v>
      </c>
    </row>
    <row r="897" hidden="1" s="111">
      <c r="A897" s="143" t="n">
        <v>31</v>
      </c>
      <c r="B897" s="143" t="inlineStr">
        <is>
          <t>Desechables</t>
        </is>
      </c>
      <c r="C897" s="143" t="inlineStr">
        <is>
          <t>Mercancias Varias Excentas</t>
        </is>
      </c>
      <c r="D897" s="143" t="inlineStr">
        <is>
          <t>1 lamina churrasquera (Artesanias Margoth Factura 4392)</t>
        </is>
      </c>
      <c r="E897" s="143" t="n">
        <v>1</v>
      </c>
      <c r="F897" s="143" t="n">
        <v>28000</v>
      </c>
      <c r="G897" s="143" t="n">
        <v>28000</v>
      </c>
    </row>
    <row r="898" hidden="1" s="111">
      <c r="A898" s="143" t="n">
        <v>31</v>
      </c>
      <c r="B898" s="143" t="inlineStr">
        <is>
          <t>Desechables</t>
        </is>
      </c>
      <c r="C898" s="143" t="inlineStr">
        <is>
          <t>Mercancias Varias Excentas</t>
        </is>
      </c>
      <c r="D898" s="143" t="inlineStr">
        <is>
          <t>2 portacazuelas (Artesanias Margoth Factura 4392)</t>
        </is>
      </c>
      <c r="E898" s="143" t="n">
        <v>2</v>
      </c>
      <c r="F898" s="143" t="n">
        <v>9000</v>
      </c>
      <c r="G898" s="143" t="n">
        <v>18000</v>
      </c>
    </row>
    <row r="899" hidden="1" s="111">
      <c r="A899" s="143" t="n">
        <v>31</v>
      </c>
      <c r="B899" s="143" t="inlineStr">
        <is>
          <t>Verduras</t>
        </is>
      </c>
      <c r="C899" s="143" t="inlineStr">
        <is>
          <t>Perejil</t>
        </is>
      </c>
      <c r="D899" s="143" t="inlineStr">
        <is>
          <t>Perejil Crespo 4 un (Almacenes Exito)</t>
        </is>
      </c>
      <c r="E899" s="143" t="n">
        <v>4</v>
      </c>
      <c r="F899" s="143" t="n">
        <v>1480</v>
      </c>
      <c r="G899" s="143" t="n">
        <v>5920</v>
      </c>
    </row>
    <row r="900" hidden="1" s="111">
      <c r="A900" s="143" t="n">
        <v>31</v>
      </c>
      <c r="B900" s="143" t="inlineStr">
        <is>
          <t>Desechables</t>
        </is>
      </c>
      <c r="C900" s="143" t="inlineStr">
        <is>
          <t>Crema de leche</t>
        </is>
      </c>
      <c r="D900" s="143" t="inlineStr">
        <is>
          <t>CREMA DE LECH ALQUERIA*400g (Supertiendas Canaveral)</t>
        </is>
      </c>
      <c r="E900" s="143" t="n">
        <v>2</v>
      </c>
      <c r="F900" s="143" t="n">
        <v>11800</v>
      </c>
      <c r="G900" s="143" t="n">
        <v>23600</v>
      </c>
    </row>
    <row r="901" hidden="1" s="111">
      <c r="A901" s="143" t="n">
        <v>31</v>
      </c>
      <c r="B901" s="143" t="inlineStr">
        <is>
          <t>Grano</t>
        </is>
      </c>
      <c r="C901" s="143" t="inlineStr">
        <is>
          <t>Pasta la muñeca</t>
        </is>
      </c>
      <c r="D901" s="143" t="inlineStr">
        <is>
          <t>PASTA LA MUNECA*1000g ESPAGUETI (Supertiendas Canaveral)</t>
        </is>
      </c>
      <c r="E901" s="143" t="n">
        <v>1</v>
      </c>
      <c r="F901" s="143" t="n">
        <v>4950</v>
      </c>
      <c r="G901" s="143" t="n">
        <v>4950</v>
      </c>
    </row>
    <row r="902" hidden="1" s="111">
      <c r="D902" s="143" t="inlineStr">
        <is>
          <t>Provision Dian</t>
        </is>
      </c>
      <c r="G902" s="82" t="n">
        <v>20000000</v>
      </c>
    </row>
    <row r="903" hidden="1" s="111">
      <c r="D903" s="143" t="inlineStr">
        <is>
          <t>Bonificaciones</t>
        </is>
      </c>
      <c r="G903" s="82" t="n">
        <v>3370000</v>
      </c>
    </row>
    <row r="904" hidden="1" s="111">
      <c r="D904" s="143" t="inlineStr">
        <is>
          <t>internet</t>
        </is>
      </c>
      <c r="G904" s="82" t="n">
        <v>95800</v>
      </c>
    </row>
    <row r="905" hidden="1" s="111">
      <c r="D905" s="143" t="inlineStr">
        <is>
          <t>seguro</t>
        </is>
      </c>
      <c r="G905" s="82" t="n">
        <v>373900</v>
      </c>
    </row>
    <row r="906" hidden="1" s="111">
      <c r="G906" s="65" t="n">
        <v>1250000</v>
      </c>
    </row>
    <row r="907" hidden="1" s="111">
      <c r="G907" s="82" t="n">
        <v>2000000</v>
      </c>
    </row>
    <row r="908" hidden="1" s="111">
      <c r="G908" s="82" t="n">
        <v>10990000</v>
      </c>
    </row>
    <row r="909" hidden="1" s="111">
      <c r="D909" s="143" t="inlineStr">
        <is>
          <t>telefono fijo</t>
        </is>
      </c>
      <c r="G909" s="82" t="n">
        <v>106200</v>
      </c>
    </row>
    <row r="910" hidden="1" s="111">
      <c r="D910" s="143" t="inlineStr">
        <is>
          <t>vales</t>
        </is>
      </c>
      <c r="G910" s="82" t="n">
        <v>6000000</v>
      </c>
    </row>
    <row r="912">
      <c r="D912" s="143" t="inlineStr">
        <is>
          <t>seguridad social</t>
        </is>
      </c>
      <c r="G912" s="82" t="n">
        <v>2680000</v>
      </c>
    </row>
    <row r="913">
      <c r="D913" s="143" t="inlineStr">
        <is>
          <t>arrendamiento</t>
        </is>
      </c>
      <c r="G913" s="160">
        <f>3523150+5241000</f>
        <v/>
      </c>
    </row>
    <row r="914">
      <c r="D914" s="143" t="inlineStr">
        <is>
          <t>maquina cuarto frio</t>
        </is>
      </c>
      <c r="G914" s="82" t="n">
        <v>2400000</v>
      </c>
    </row>
    <row r="915">
      <c r="D915" s="143" t="inlineStr">
        <is>
          <t xml:space="preserve">reparacion parrilla </t>
        </is>
      </c>
      <c r="G915" s="82" t="n">
        <v>350000</v>
      </c>
    </row>
    <row r="916">
      <c r="D916" s="143" t="inlineStr">
        <is>
          <t>nomina de choclos</t>
        </is>
      </c>
      <c r="H916" s="82" t="n">
        <v>5143950</v>
      </c>
    </row>
    <row r="917">
      <c r="D917" s="143" t="inlineStr">
        <is>
          <t>nomina de choclos</t>
        </is>
      </c>
      <c r="H917" s="82" t="n">
        <v>5142900</v>
      </c>
    </row>
    <row r="918">
      <c r="J918" s="160" t="n">
        <v>5123891</v>
      </c>
    </row>
    <row r="919">
      <c r="D919" s="143" t="inlineStr">
        <is>
          <t>NOMINA CHOCLOS</t>
        </is>
      </c>
      <c r="J919" s="160" t="n">
        <v>7120032</v>
      </c>
    </row>
    <row r="920">
      <c r="D920" s="143" t="inlineStr">
        <is>
          <t>NOMINA GIT</t>
        </is>
      </c>
      <c r="J920" s="160">
        <f>SUM(J918:J919)</f>
        <v/>
      </c>
    </row>
    <row r="921">
      <c r="D921" s="143" t="inlineStr">
        <is>
          <t>BONIFICACIONES</t>
        </is>
      </c>
    </row>
    <row r="922">
      <c r="D922" s="143" t="inlineStr">
        <is>
          <t>SEGUROS</t>
        </is>
      </c>
    </row>
    <row r="923">
      <c r="D923" s="143" t="inlineStr">
        <is>
          <t>ARRENDAMIENTO</t>
        </is>
      </c>
    </row>
    <row r="924">
      <c r="D924" s="143" t="inlineStr">
        <is>
          <t>SEGURIDAD SOCIAL</t>
        </is>
      </c>
    </row>
    <row r="925">
      <c r="D925" s="143" t="inlineStr">
        <is>
          <t>IMPUESTOS</t>
        </is>
      </c>
      <c r="J925" s="160" t="n">
        <v>104441600</v>
      </c>
    </row>
    <row r="926">
      <c r="D926" s="143" t="inlineStr">
        <is>
          <t>TELEFONO FIJO E INTERNET</t>
        </is>
      </c>
      <c r="J926" s="160" t="n">
        <v>97689000</v>
      </c>
    </row>
    <row r="927">
      <c r="D927" s="143" t="inlineStr">
        <is>
          <t xml:space="preserve">GAS </t>
        </is>
      </c>
      <c r="J927" s="160" t="n">
        <v>10990000</v>
      </c>
    </row>
    <row r="928">
      <c r="D928" s="143" t="inlineStr">
        <is>
          <t>ENERGIA DE EMCALI</t>
        </is>
      </c>
      <c r="J928" s="160" t="n">
        <v>11201450</v>
      </c>
    </row>
    <row r="929">
      <c r="D929" s="143" t="inlineStr">
        <is>
          <t>TURNO</t>
        </is>
      </c>
      <c r="J929" s="160" t="n">
        <v>11622900</v>
      </c>
    </row>
    <row r="930">
      <c r="D930" s="143" t="inlineStr">
        <is>
          <t>CONTADORA</t>
        </is>
      </c>
      <c r="J930" s="161">
        <f>SUM(J925:J929)</f>
        <v/>
      </c>
    </row>
    <row r="931">
      <c r="D931" s="143" t="inlineStr">
        <is>
          <t>VARIOS</t>
        </is>
      </c>
      <c r="E931" s="155" t="inlineStr">
        <is>
          <t>PAGO DE ITEMS QUE NO TIENEN FACTURA</t>
        </is>
      </c>
      <c r="J931" s="160" t="n">
        <v>235282233</v>
      </c>
    </row>
    <row r="932">
      <c r="J932" s="161">
        <f>J930-J931</f>
        <v/>
      </c>
    </row>
    <row r="933">
      <c r="A933" t="n">
        <v>30</v>
      </c>
      <c r="B933" t="inlineStr">
        <is>
          <t>Verduras</t>
        </is>
      </c>
      <c r="C933" t="inlineStr">
        <is>
          <t>Platano verde</t>
        </is>
      </c>
      <c r="D933" t="inlineStr">
        <is>
          <t>Platano Verde 30 kg (Monica Molina Tarazona)</t>
        </is>
      </c>
      <c r="E933" t="n">
        <v>30</v>
      </c>
      <c r="F933" t="n">
        <v>2200</v>
      </c>
      <c r="G933" t="n">
        <v>66000</v>
      </c>
    </row>
  </sheetData>
  <autoFilter ref="A1:G910">
    <filterColumn colId="3" hiddenButton="0" showButton="1">
      <filters>
        <filter val="0032864 RAICES CHINAS VIVA MEJOR*250g"/>
        <filter val="RAICES CHINAS AZUKY*250g"/>
        <filter val="RAICES CHINAS VIVA MEJOR*250g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02"/>
  <sheetViews>
    <sheetView view="pageLayout" topLeftCell="A6" zoomScaleNormal="100" workbookViewId="0">
      <selection activeCell="F14" sqref="F14"/>
    </sheetView>
  </sheetViews>
  <sheetFormatPr baseColWidth="10" defaultColWidth="8.7265625" defaultRowHeight="14.5"/>
  <cols>
    <col width="6" customWidth="1" style="111" min="1" max="1"/>
    <col width="18.90625" customWidth="1" style="111" min="2" max="2"/>
    <col width="24.08984375" customWidth="1" style="111" min="3" max="3"/>
    <col width="10.1796875" bestFit="1" customWidth="1" style="111" min="4" max="4"/>
    <col width="7.7265625" bestFit="1" customWidth="1" style="111" min="5" max="5"/>
    <col width="18" customWidth="1" style="111" min="6" max="7"/>
    <col width="20" customWidth="1" style="111" min="8" max="8"/>
  </cols>
  <sheetData>
    <row r="2" ht="25" customHeight="1" s="111">
      <c r="A2" s="125" t="inlineStr">
        <is>
          <t>RESTAURANTE CHOCLOS Y ASADOS LA FINCA SAS</t>
        </is>
      </c>
    </row>
    <row r="3" ht="20" customHeight="1" s="111">
      <c r="A3" s="129" t="inlineStr">
        <is>
          <t>VALORIZACIÓN DE INVENTARIO FÍSICO DE CIERRE - AGOSTO 2026 (GRANOS, VERDURAS Y DESECHABLES)</t>
        </is>
      </c>
    </row>
    <row r="5">
      <c r="A5" s="138" t="inlineStr">
        <is>
          <t>1. TOTAL GRANOS</t>
        </is>
      </c>
      <c r="B5" s="162" t="n"/>
      <c r="C5" s="128" t="inlineStr">
        <is>
          <t>2. TOTAL VERDURAS</t>
        </is>
      </c>
      <c r="D5" s="162" t="n"/>
      <c r="E5" s="126" t="inlineStr">
        <is>
          <t>3. TOTAL DESECHABLES</t>
        </is>
      </c>
      <c r="F5" s="162" t="n"/>
      <c r="G5" s="132" t="inlineStr">
        <is>
          <t>TOTAL INVENTARIO CIERRE</t>
        </is>
      </c>
      <c r="H5" s="162" t="n"/>
    </row>
    <row r="6">
      <c r="A6" s="130">
        <f>H26</f>
        <v/>
      </c>
      <c r="B6" s="163" t="n"/>
      <c r="C6" s="130">
        <f>H45</f>
        <v/>
      </c>
      <c r="D6" s="163" t="n"/>
      <c r="E6" s="130">
        <f>H100</f>
        <v/>
      </c>
      <c r="F6" s="163" t="n"/>
      <c r="G6" s="130">
        <f>H102</f>
        <v/>
      </c>
      <c r="H6" s="163" t="n"/>
    </row>
    <row r="7">
      <c r="A7" s="164" t="n"/>
      <c r="B7" s="165" t="n"/>
      <c r="C7" s="164" t="n"/>
      <c r="D7" s="165" t="n"/>
      <c r="E7" s="164" t="n"/>
      <c r="F7" s="165" t="n"/>
      <c r="G7" s="164" t="n"/>
      <c r="H7" s="165" t="n"/>
    </row>
    <row r="9" ht="22" customHeight="1" s="111">
      <c r="A9" s="139" t="inlineStr">
        <is>
          <t>Grupo 1: Granos y Abarrotes</t>
        </is>
      </c>
    </row>
    <row r="10" ht="24" customHeight="1" s="111">
      <c r="A10" s="91" t="inlineStr">
        <is>
          <t>#</t>
        </is>
      </c>
      <c r="B10" s="91" t="inlineStr">
        <is>
          <t>Descripción Original (Foto)</t>
        </is>
      </c>
      <c r="C10" s="91" t="inlineStr">
        <is>
          <t>Ítem Catálogo Oficial</t>
        </is>
      </c>
      <c r="D10" s="91" t="inlineStr">
        <is>
          <t>Categoría</t>
        </is>
      </c>
      <c r="E10" s="91" t="inlineStr">
        <is>
          <t>Cantidad</t>
        </is>
      </c>
      <c r="F10" s="91" t="inlineStr">
        <is>
          <t>Unidad / Medida</t>
        </is>
      </c>
      <c r="G10" s="91" t="inlineStr">
        <is>
          <t>Costo Unitario ($)</t>
        </is>
      </c>
      <c r="H10" s="91" t="inlineStr">
        <is>
          <t>Costo Total ($)</t>
        </is>
      </c>
    </row>
    <row r="11" ht="20" customHeight="1" s="111">
      <c r="A11" s="92" t="n">
        <v>1</v>
      </c>
      <c r="B11" s="93" t="inlineStr">
        <is>
          <t>maggi</t>
        </is>
      </c>
      <c r="C11" s="94" t="inlineStr">
        <is>
          <t>Caldo maggi</t>
        </is>
      </c>
      <c r="D11" s="92" t="inlineStr">
        <is>
          <t>Grano</t>
        </is>
      </c>
      <c r="E11" s="95" t="n">
        <v>1</v>
      </c>
      <c r="F11" s="92" t="inlineStr">
        <is>
          <t>Paquete</t>
        </is>
      </c>
      <c r="G11" s="96" t="n">
        <v>12000</v>
      </c>
      <c r="H11" s="97">
        <f>E11*G11</f>
        <v/>
      </c>
    </row>
    <row r="12" ht="20" customHeight="1" s="111">
      <c r="A12" s="98" t="n">
        <v>2</v>
      </c>
      <c r="B12" s="99" t="inlineStr">
        <is>
          <t>comino</t>
        </is>
      </c>
      <c r="C12" s="100" t="inlineStr">
        <is>
          <t>Comino molido</t>
        </is>
      </c>
      <c r="D12" s="98" t="inlineStr">
        <is>
          <t>Grano</t>
        </is>
      </c>
      <c r="E12" s="101" t="n">
        <v>1</v>
      </c>
      <c r="F12" s="98" t="inlineStr">
        <is>
          <t>Lb</t>
        </is>
      </c>
      <c r="G12" s="102" t="n">
        <v>25000</v>
      </c>
      <c r="H12" s="103">
        <f>E12*G12</f>
        <v/>
      </c>
    </row>
    <row r="13" ht="20" customHeight="1" s="111">
      <c r="A13" s="92" t="n">
        <v>3</v>
      </c>
      <c r="B13" s="93" t="inlineStr">
        <is>
          <t>pasta sopa</t>
        </is>
      </c>
      <c r="C13" s="94" t="inlineStr">
        <is>
          <t>Pasta la muñeca</t>
        </is>
      </c>
      <c r="D13" s="92" t="inlineStr">
        <is>
          <t>Grano</t>
        </is>
      </c>
      <c r="E13" s="95" t="n">
        <v>2</v>
      </c>
      <c r="F13" s="92" t="inlineStr">
        <is>
          <t>Lb (500g)</t>
        </is>
      </c>
      <c r="G13" s="96" t="n">
        <v>3900</v>
      </c>
      <c r="H13" s="97">
        <f>E13*G13</f>
        <v/>
      </c>
    </row>
    <row r="14" ht="20" customHeight="1" s="111">
      <c r="A14" s="98" t="n">
        <v>4</v>
      </c>
      <c r="B14" s="99" t="inlineStr">
        <is>
          <t>Milo</t>
        </is>
      </c>
      <c r="C14" s="100" t="inlineStr">
        <is>
          <t>Milo</t>
        </is>
      </c>
      <c r="D14" s="98" t="inlineStr">
        <is>
          <t>Grano</t>
        </is>
      </c>
      <c r="E14" s="101" t="n">
        <v>1</v>
      </c>
      <c r="F14" s="98" t="inlineStr">
        <is>
          <t>Paquete (440g)</t>
        </is>
      </c>
      <c r="G14" s="102" t="n">
        <v>22000</v>
      </c>
      <c r="H14" s="103">
        <f>E14*G14</f>
        <v/>
      </c>
    </row>
    <row r="15" ht="20" customHeight="1" s="111">
      <c r="A15" s="92" t="n">
        <v>5</v>
      </c>
      <c r="B15" s="93" t="inlineStr">
        <is>
          <t>chocolate</t>
        </is>
      </c>
      <c r="C15" s="94" t="inlineStr">
        <is>
          <t>Chocolate</t>
        </is>
      </c>
      <c r="D15" s="92" t="inlineStr">
        <is>
          <t>Grano</t>
        </is>
      </c>
      <c r="E15" s="104" t="n">
        <v>0.5</v>
      </c>
      <c r="F15" s="92" t="inlineStr">
        <is>
          <t>Lb</t>
        </is>
      </c>
      <c r="G15" s="96" t="n">
        <v>37000</v>
      </c>
      <c r="H15" s="97">
        <f>E15*G15</f>
        <v/>
      </c>
    </row>
    <row r="16" ht="20" customHeight="1" s="111">
      <c r="A16" s="98" t="n">
        <v>6</v>
      </c>
      <c r="B16" s="99" t="inlineStr">
        <is>
          <t>arroz</t>
        </is>
      </c>
      <c r="C16" s="100" t="inlineStr">
        <is>
          <t>Arroz</t>
        </is>
      </c>
      <c r="D16" s="98" t="inlineStr">
        <is>
          <t>Grano</t>
        </is>
      </c>
      <c r="E16" s="101" t="n">
        <v>82</v>
      </c>
      <c r="F16" s="98" t="inlineStr">
        <is>
          <t>Kg</t>
        </is>
      </c>
      <c r="G16" s="102" t="n">
        <v>5040</v>
      </c>
      <c r="H16" s="103">
        <f>E16*G16</f>
        <v/>
      </c>
    </row>
    <row r="17" ht="20" customHeight="1" s="111">
      <c r="A17" s="92" t="n">
        <v>7</v>
      </c>
      <c r="B17" s="93" t="inlineStr">
        <is>
          <t>azucar</t>
        </is>
      </c>
      <c r="C17" s="94" t="inlineStr">
        <is>
          <t>Azucar</t>
        </is>
      </c>
      <c r="D17" s="92" t="inlineStr">
        <is>
          <t>Grano</t>
        </is>
      </c>
      <c r="E17" s="95" t="n">
        <v>12</v>
      </c>
      <c r="F17" s="92" t="inlineStr">
        <is>
          <t>Kg</t>
        </is>
      </c>
      <c r="G17" s="96" t="n">
        <v>4200</v>
      </c>
      <c r="H17" s="97">
        <f>E17*G17</f>
        <v/>
      </c>
    </row>
    <row r="18" ht="20" customHeight="1" s="111">
      <c r="A18" s="98" t="n">
        <v>8</v>
      </c>
      <c r="B18" s="99" t="inlineStr">
        <is>
          <t>zumo limon liquido</t>
        </is>
      </c>
      <c r="C18" s="100" t="inlineStr">
        <is>
          <t>Zumo de limon</t>
        </is>
      </c>
      <c r="D18" s="98" t="inlineStr">
        <is>
          <t>Grano</t>
        </is>
      </c>
      <c r="E18" s="101" t="n">
        <v>1</v>
      </c>
      <c r="F18" s="98" t="inlineStr">
        <is>
          <t>Tarro / Galón</t>
        </is>
      </c>
      <c r="G18" s="102" t="n">
        <v>45000</v>
      </c>
      <c r="H18" s="103">
        <f>E18*G18</f>
        <v/>
      </c>
    </row>
    <row r="19" ht="20" customHeight="1" s="111">
      <c r="A19" s="92" t="n">
        <v>9</v>
      </c>
      <c r="B19" s="93" t="inlineStr">
        <is>
          <t>frijol</t>
        </is>
      </c>
      <c r="C19" s="94" t="inlineStr">
        <is>
          <t>Frijol</t>
        </is>
      </c>
      <c r="D19" s="92" t="inlineStr">
        <is>
          <t>Grano</t>
        </is>
      </c>
      <c r="E19" s="104" t="n">
        <v>122.5</v>
      </c>
      <c r="F19" s="92" t="inlineStr">
        <is>
          <t>Kg</t>
        </is>
      </c>
      <c r="G19" s="96" t="n">
        <v>10500</v>
      </c>
      <c r="H19" s="97">
        <f>E19*G19</f>
        <v/>
      </c>
    </row>
    <row r="20" ht="20" customHeight="1" s="111">
      <c r="A20" s="98" t="n">
        <v>10</v>
      </c>
      <c r="B20" s="99" t="inlineStr">
        <is>
          <t>panela</t>
        </is>
      </c>
      <c r="C20" s="100" t="inlineStr">
        <is>
          <t>Panela</t>
        </is>
      </c>
      <c r="D20" s="98" t="inlineStr">
        <is>
          <t>Grano</t>
        </is>
      </c>
      <c r="E20" s="101" t="n">
        <v>144</v>
      </c>
      <c r="F20" s="98" t="inlineStr">
        <is>
          <t>Und</t>
        </is>
      </c>
      <c r="G20" s="105" t="n">
        <v>2166.67</v>
      </c>
      <c r="H20" s="103">
        <f>E20*G20</f>
        <v/>
      </c>
    </row>
    <row r="21" ht="20" customHeight="1" s="111">
      <c r="A21" s="92" t="n">
        <v>11</v>
      </c>
      <c r="B21" s="93" t="inlineStr">
        <is>
          <t>manteca</t>
        </is>
      </c>
      <c r="C21" s="94" t="inlineStr">
        <is>
          <t>Manteca</t>
        </is>
      </c>
      <c r="D21" s="92" t="inlineStr">
        <is>
          <t>Grano</t>
        </is>
      </c>
      <c r="E21" s="95" t="n">
        <v>51</v>
      </c>
      <c r="F21" s="92" t="inlineStr">
        <is>
          <t>Kg</t>
        </is>
      </c>
      <c r="G21" s="106" t="n">
        <v>8666.67</v>
      </c>
      <c r="H21" s="97">
        <f>E21*G21</f>
        <v/>
      </c>
    </row>
    <row r="22" ht="20" customHeight="1" s="111">
      <c r="A22" s="98" t="n">
        <v>12</v>
      </c>
      <c r="B22" s="99" t="inlineStr">
        <is>
          <t>Aceite</t>
        </is>
      </c>
      <c r="C22" s="100" t="inlineStr">
        <is>
          <t>Bidon de aceite</t>
        </is>
      </c>
      <c r="D22" s="98" t="inlineStr">
        <is>
          <t>Grano</t>
        </is>
      </c>
      <c r="E22" s="101" t="n">
        <v>1</v>
      </c>
      <c r="F22" s="98" t="inlineStr">
        <is>
          <t>Bidón (20L)</t>
        </is>
      </c>
      <c r="G22" s="102" t="n">
        <v>116000</v>
      </c>
      <c r="H22" s="103">
        <f>E22*G22</f>
        <v/>
      </c>
    </row>
    <row r="23" ht="20" customHeight="1" s="111">
      <c r="A23" s="92" t="n">
        <v>13</v>
      </c>
      <c r="B23" s="93" t="inlineStr">
        <is>
          <t>maza tamal</t>
        </is>
      </c>
      <c r="C23" s="94" t="inlineStr">
        <is>
          <t>Masa t</t>
        </is>
      </c>
      <c r="D23" s="92" t="inlineStr">
        <is>
          <t>Grano</t>
        </is>
      </c>
      <c r="E23" s="95" t="n">
        <v>1</v>
      </c>
      <c r="F23" s="92" t="inlineStr">
        <is>
          <t>Bulto (25kg)</t>
        </is>
      </c>
      <c r="G23" s="96" t="n">
        <v>87500</v>
      </c>
      <c r="H23" s="97">
        <f>E23*G23</f>
        <v/>
      </c>
    </row>
    <row r="24" ht="20" customHeight="1" s="111">
      <c r="A24" s="98" t="n">
        <v>14</v>
      </c>
      <c r="B24" s="99" t="inlineStr">
        <is>
          <t>Aceite x 3000</t>
        </is>
      </c>
      <c r="C24" s="100" t="inlineStr">
        <is>
          <t>Aceite por 3000</t>
        </is>
      </c>
      <c r="D24" s="98" t="inlineStr">
        <is>
          <t>Grano</t>
        </is>
      </c>
      <c r="E24" s="101" t="n">
        <v>2</v>
      </c>
      <c r="F24" s="98" t="inlineStr">
        <is>
          <t>Galón (3L)</t>
        </is>
      </c>
      <c r="G24" s="102" t="n">
        <v>22000</v>
      </c>
      <c r="H24" s="103">
        <f>E24*G24</f>
        <v/>
      </c>
    </row>
    <row r="25" ht="20" customHeight="1" s="111">
      <c r="A25" s="92" t="n">
        <v>15</v>
      </c>
      <c r="B25" s="93" t="inlineStr">
        <is>
          <t>leche</t>
        </is>
      </c>
      <c r="C25" s="94" t="inlineStr">
        <is>
          <t>Leche entera</t>
        </is>
      </c>
      <c r="D25" s="92" t="inlineStr">
        <is>
          <t>Grano</t>
        </is>
      </c>
      <c r="E25" s="95" t="n">
        <v>21</v>
      </c>
      <c r="F25" s="92" t="inlineStr">
        <is>
          <t>Bolsas (1L)</t>
        </is>
      </c>
      <c r="G25" s="96" t="n">
        <v>3800</v>
      </c>
      <c r="H25" s="97">
        <f>E25*G25</f>
        <v/>
      </c>
    </row>
    <row r="26" ht="22" customHeight="1" s="111" thickBot="1">
      <c r="A26" s="133" t="inlineStr">
        <is>
          <t>SUBTOTAL GRUPO 1: GRANOS Y ABARROTES</t>
        </is>
      </c>
      <c r="B26" s="166" t="n"/>
      <c r="C26" s="166" t="n"/>
      <c r="D26" s="166" t="n"/>
      <c r="E26" s="166" t="n"/>
      <c r="F26" s="166" t="n"/>
      <c r="G26" s="167" t="n"/>
      <c r="H26" s="107">
        <f>SUM(H11:H25)</f>
        <v/>
      </c>
    </row>
    <row r="28" ht="22" customHeight="1" s="111">
      <c r="A28" s="137" t="inlineStr">
        <is>
          <t xml:space="preserve">Grupo 2: Verduras </t>
        </is>
      </c>
    </row>
    <row r="29" ht="24" customHeight="1" s="111">
      <c r="A29" s="91" t="inlineStr">
        <is>
          <t>#</t>
        </is>
      </c>
      <c r="B29" s="91" t="inlineStr">
        <is>
          <t>Descripción Original (Foto)</t>
        </is>
      </c>
      <c r="C29" s="91" t="inlineStr">
        <is>
          <t>Ítem Catálogo Oficial</t>
        </is>
      </c>
      <c r="D29" s="91" t="inlineStr">
        <is>
          <t>Categoría</t>
        </is>
      </c>
      <c r="E29" s="91" t="inlineStr">
        <is>
          <t>Cantidad</t>
        </is>
      </c>
      <c r="F29" s="91" t="inlineStr">
        <is>
          <t>Unidad / Medida</t>
        </is>
      </c>
      <c r="G29" s="91" t="inlineStr">
        <is>
          <t>Costo Unitario ($)</t>
        </is>
      </c>
      <c r="H29" s="91" t="inlineStr">
        <is>
          <t>Costo Total ($)</t>
        </is>
      </c>
    </row>
    <row r="30" ht="20" customHeight="1" s="111">
      <c r="A30" s="92" t="n">
        <v>1</v>
      </c>
      <c r="B30" s="93" t="inlineStr">
        <is>
          <t>batavia</t>
        </is>
      </c>
      <c r="C30" s="94" t="inlineStr">
        <is>
          <t>Lechuga batavia</t>
        </is>
      </c>
      <c r="D30" s="92" t="inlineStr">
        <is>
          <t>Verduras</t>
        </is>
      </c>
      <c r="E30" s="95" t="n">
        <v>16</v>
      </c>
      <c r="F30" s="92" t="inlineStr">
        <is>
          <t>Kg</t>
        </is>
      </c>
      <c r="G30" s="96" t="n">
        <v>2800</v>
      </c>
      <c r="H30" s="97">
        <f>E30*G30</f>
        <v/>
      </c>
    </row>
    <row r="31" ht="20" customHeight="1" s="111">
      <c r="A31" s="98" t="n">
        <v>2</v>
      </c>
      <c r="B31" s="99" t="inlineStr">
        <is>
          <t>limon</t>
        </is>
      </c>
      <c r="C31" s="100" t="inlineStr">
        <is>
          <t>Limon tahiti</t>
        </is>
      </c>
      <c r="D31" s="98" t="inlineStr">
        <is>
          <t>Verduras</t>
        </is>
      </c>
      <c r="E31" s="101" t="n">
        <v>9</v>
      </c>
      <c r="F31" s="98" t="inlineStr">
        <is>
          <t>Kg</t>
        </is>
      </c>
      <c r="G31" s="102" t="n">
        <v>3200</v>
      </c>
      <c r="H31" s="103">
        <f>E31*G31</f>
        <v/>
      </c>
    </row>
    <row r="32" ht="20" customHeight="1" s="111">
      <c r="A32" s="92" t="n">
        <v>3</v>
      </c>
      <c r="B32" s="93" t="inlineStr">
        <is>
          <t>c. larga</t>
        </is>
      </c>
      <c r="C32" s="94" t="inlineStr">
        <is>
          <t>Cebolla larga</t>
        </is>
      </c>
      <c r="D32" s="92" t="inlineStr">
        <is>
          <t>Verduras</t>
        </is>
      </c>
      <c r="E32" s="104" t="n">
        <v>6.3</v>
      </c>
      <c r="F32" s="92" t="inlineStr">
        <is>
          <t>Kg</t>
        </is>
      </c>
      <c r="G32" s="96" t="n">
        <v>3500</v>
      </c>
      <c r="H32" s="97">
        <f>E32*G32</f>
        <v/>
      </c>
    </row>
    <row r="33" ht="20" customHeight="1" s="111">
      <c r="A33" s="98" t="n">
        <v>4</v>
      </c>
      <c r="B33" s="99" t="inlineStr">
        <is>
          <t>milano</t>
        </is>
      </c>
      <c r="C33" s="100" t="inlineStr">
        <is>
          <t>Tomate milano</t>
        </is>
      </c>
      <c r="D33" s="98" t="inlineStr">
        <is>
          <t>Verduras</t>
        </is>
      </c>
      <c r="E33" s="108" t="n">
        <v>0.4</v>
      </c>
      <c r="F33" s="98" t="inlineStr">
        <is>
          <t>Kg (o 4kg)</t>
        </is>
      </c>
      <c r="G33" s="102" t="n">
        <v>4500</v>
      </c>
      <c r="H33" s="103">
        <f>E33*G33</f>
        <v/>
      </c>
    </row>
    <row r="34" ht="20" customHeight="1" s="111">
      <c r="A34" s="92" t="n">
        <v>5</v>
      </c>
      <c r="B34" s="93" t="inlineStr">
        <is>
          <t>pepino</t>
        </is>
      </c>
      <c r="C34" s="94" t="inlineStr">
        <is>
          <t>Pepino comun</t>
        </is>
      </c>
      <c r="D34" s="92" t="inlineStr">
        <is>
          <t>Verduras</t>
        </is>
      </c>
      <c r="E34" s="104" t="n">
        <v>0.4</v>
      </c>
      <c r="F34" s="92" t="inlineStr">
        <is>
          <t>Kg</t>
        </is>
      </c>
      <c r="G34" s="96" t="n">
        <v>3000</v>
      </c>
      <c r="H34" s="97">
        <f>E34*G34</f>
        <v/>
      </c>
    </row>
    <row r="35" ht="20" customHeight="1" s="111">
      <c r="A35" s="98" t="n">
        <v>6</v>
      </c>
      <c r="B35" s="99" t="inlineStr">
        <is>
          <t>zanahoria</t>
        </is>
      </c>
      <c r="C35" s="100" t="inlineStr">
        <is>
          <t>Zanahoria</t>
        </is>
      </c>
      <c r="D35" s="98" t="inlineStr">
        <is>
          <t>Verduras</t>
        </is>
      </c>
      <c r="E35" s="108" t="n">
        <v>0.5</v>
      </c>
      <c r="F35" s="98" t="inlineStr">
        <is>
          <t>Kg</t>
        </is>
      </c>
      <c r="G35" s="102" t="n">
        <v>2500</v>
      </c>
      <c r="H35" s="103">
        <f>E35*G35</f>
        <v/>
      </c>
    </row>
    <row r="36" ht="20" customHeight="1" s="111">
      <c r="A36" s="92" t="n">
        <v>7</v>
      </c>
      <c r="B36" s="93" t="inlineStr">
        <is>
          <t>cabezona</t>
        </is>
      </c>
      <c r="C36" s="94" t="inlineStr">
        <is>
          <t>Cebolla cabezona</t>
        </is>
      </c>
      <c r="D36" s="92" t="inlineStr">
        <is>
          <t>Verduras</t>
        </is>
      </c>
      <c r="E36" s="104" t="n">
        <v>3.7</v>
      </c>
      <c r="F36" s="92" t="inlineStr">
        <is>
          <t>Kg</t>
        </is>
      </c>
      <c r="G36" s="96" t="n">
        <v>3800</v>
      </c>
      <c r="H36" s="97">
        <f>E36*G36</f>
        <v/>
      </c>
    </row>
    <row r="37" ht="20" customHeight="1" s="111">
      <c r="A37" s="98" t="n">
        <v>8</v>
      </c>
      <c r="B37" s="99" t="inlineStr">
        <is>
          <t>yuca</t>
        </is>
      </c>
      <c r="C37" s="100" t="inlineStr">
        <is>
          <t>Yuca pelada</t>
        </is>
      </c>
      <c r="D37" s="98" t="inlineStr">
        <is>
          <t>Verduras</t>
        </is>
      </c>
      <c r="E37" s="101" t="n">
        <v>10</v>
      </c>
      <c r="F37" s="98" t="inlineStr">
        <is>
          <t>Kg</t>
        </is>
      </c>
      <c r="G37" s="102" t="n">
        <v>4500</v>
      </c>
      <c r="H37" s="103">
        <f>E37*G37</f>
        <v/>
      </c>
    </row>
    <row r="38" ht="20" customHeight="1" s="111">
      <c r="A38" s="92" t="n">
        <v>9</v>
      </c>
      <c r="B38" s="93" t="inlineStr">
        <is>
          <t>mazorca</t>
        </is>
      </c>
      <c r="C38" s="94" t="inlineStr">
        <is>
          <t>Mazorca</t>
        </is>
      </c>
      <c r="D38" s="92" t="inlineStr">
        <is>
          <t>Verduras</t>
        </is>
      </c>
      <c r="E38" s="104" t="n">
        <v>4.5</v>
      </c>
      <c r="F38" s="92" t="inlineStr">
        <is>
          <t>Kg</t>
        </is>
      </c>
      <c r="G38" s="96" t="n">
        <v>3600</v>
      </c>
      <c r="H38" s="97">
        <f>E38*G38</f>
        <v/>
      </c>
    </row>
    <row r="39" ht="20" customHeight="1" s="111">
      <c r="A39" s="98" t="n">
        <v>10</v>
      </c>
      <c r="B39" s="99" t="inlineStr">
        <is>
          <t>arracacha</t>
        </is>
      </c>
      <c r="C39" s="100" t="inlineStr">
        <is>
          <t>Arracacha</t>
        </is>
      </c>
      <c r="D39" s="98" t="inlineStr">
        <is>
          <t>Verduras</t>
        </is>
      </c>
      <c r="E39" s="108" t="n">
        <v>2.5</v>
      </c>
      <c r="F39" s="98" t="inlineStr">
        <is>
          <t>Kg</t>
        </is>
      </c>
      <c r="G39" s="102" t="n">
        <v>6500</v>
      </c>
      <c r="H39" s="103">
        <f>E39*G39</f>
        <v/>
      </c>
    </row>
    <row r="40" ht="20" customHeight="1" s="111">
      <c r="A40" s="92" t="n">
        <v>11</v>
      </c>
      <c r="B40" s="93" t="inlineStr">
        <is>
          <t>cimarron</t>
        </is>
      </c>
      <c r="C40" s="94" t="inlineStr">
        <is>
          <t>Cimarron</t>
        </is>
      </c>
      <c r="D40" s="92" t="inlineStr">
        <is>
          <t>Verduras</t>
        </is>
      </c>
      <c r="E40" s="95" t="n">
        <v>3</v>
      </c>
      <c r="F40" s="92" t="inlineStr">
        <is>
          <t>Atados</t>
        </is>
      </c>
      <c r="G40" s="96" t="n">
        <v>2500</v>
      </c>
      <c r="H40" s="97">
        <f>E40*G40</f>
        <v/>
      </c>
    </row>
    <row r="41" ht="20" customHeight="1" s="111">
      <c r="A41" s="98" t="n">
        <v>12</v>
      </c>
      <c r="B41" s="99" t="inlineStr">
        <is>
          <t>apio</t>
        </is>
      </c>
      <c r="C41" s="100" t="inlineStr">
        <is>
          <t>Apio</t>
        </is>
      </c>
      <c r="D41" s="98" t="inlineStr">
        <is>
          <t>Verduras</t>
        </is>
      </c>
      <c r="E41" s="108" t="n">
        <v>1.2</v>
      </c>
      <c r="F41" s="98" t="inlineStr">
        <is>
          <t>Kg</t>
        </is>
      </c>
      <c r="G41" s="102" t="n">
        <v>2500</v>
      </c>
      <c r="H41" s="103">
        <f>E41*G41</f>
        <v/>
      </c>
    </row>
    <row r="42" ht="20" customHeight="1" s="111">
      <c r="A42" s="92" t="n">
        <v>13</v>
      </c>
      <c r="B42" s="93" t="inlineStr">
        <is>
          <t>tomillo</t>
        </is>
      </c>
      <c r="C42" s="94" t="inlineStr">
        <is>
          <t>Tomillo</t>
        </is>
      </c>
      <c r="D42" s="92" t="inlineStr">
        <is>
          <t>Verduras</t>
        </is>
      </c>
      <c r="E42" s="95" t="n">
        <v>1</v>
      </c>
      <c r="F42" s="92" t="inlineStr">
        <is>
          <t>Atado</t>
        </is>
      </c>
      <c r="G42" s="96" t="n">
        <v>10000</v>
      </c>
      <c r="H42" s="97">
        <f>E42*G42</f>
        <v/>
      </c>
    </row>
    <row r="43" ht="20" customHeight="1" s="111">
      <c r="A43" s="98" t="n">
        <v>14</v>
      </c>
      <c r="B43" s="99" t="inlineStr">
        <is>
          <t>chonto</t>
        </is>
      </c>
      <c r="C43" s="100" t="inlineStr">
        <is>
          <t>Tomate chonto</t>
        </is>
      </c>
      <c r="D43" s="98" t="inlineStr">
        <is>
          <t>Verduras</t>
        </is>
      </c>
      <c r="E43" s="101" t="n">
        <v>8</v>
      </c>
      <c r="F43" s="98" t="inlineStr">
        <is>
          <t>Kg</t>
        </is>
      </c>
      <c r="G43" s="102" t="n">
        <v>6900</v>
      </c>
      <c r="H43" s="103">
        <f>E43*G43</f>
        <v/>
      </c>
    </row>
    <row r="44" ht="20" customHeight="1" s="111">
      <c r="A44" s="92" t="n">
        <v>15</v>
      </c>
      <c r="B44" s="93" t="inlineStr">
        <is>
          <t>platano</t>
        </is>
      </c>
      <c r="C44" s="94" t="inlineStr">
        <is>
          <t>Platano maduro / verde</t>
        </is>
      </c>
      <c r="D44" s="92" t="inlineStr">
        <is>
          <t>Verduras</t>
        </is>
      </c>
      <c r="E44" s="95" t="n">
        <v>21</v>
      </c>
      <c r="F44" s="92" t="inlineStr">
        <is>
          <t>Kg (10+11)</t>
        </is>
      </c>
      <c r="G44" s="96" t="n">
        <v>2200</v>
      </c>
      <c r="H44" s="97">
        <f>E44*G44</f>
        <v/>
      </c>
    </row>
    <row r="45" ht="22" customHeight="1" s="111" thickBot="1">
      <c r="A45" s="133" t="inlineStr">
        <is>
          <t>SUBTOTAL GRUPO 2: VERDURAS Y FRUVER</t>
        </is>
      </c>
      <c r="B45" s="166" t="n"/>
      <c r="C45" s="166" t="n"/>
      <c r="D45" s="166" t="n"/>
      <c r="E45" s="166" t="n"/>
      <c r="F45" s="166" t="n"/>
      <c r="G45" s="167" t="n"/>
      <c r="H45" s="107">
        <f>SUM(H30:H44)</f>
        <v/>
      </c>
    </row>
    <row r="47" ht="22" customHeight="1" s="111">
      <c r="A47" s="140" t="inlineStr">
        <is>
          <t>Grupo 3: Desechables y Productos de Aseo</t>
        </is>
      </c>
    </row>
    <row r="48" ht="24" customHeight="1" s="111">
      <c r="A48" s="91" t="inlineStr">
        <is>
          <t>#</t>
        </is>
      </c>
      <c r="B48" s="91" t="inlineStr">
        <is>
          <t>Descripción Original (Foto)</t>
        </is>
      </c>
      <c r="C48" s="91" t="inlineStr">
        <is>
          <t>Ítem Catálogo Oficial</t>
        </is>
      </c>
      <c r="D48" s="91" t="inlineStr">
        <is>
          <t>Categoría</t>
        </is>
      </c>
      <c r="E48" s="91" t="inlineStr">
        <is>
          <t>Cantidad</t>
        </is>
      </c>
      <c r="F48" s="91" t="inlineStr">
        <is>
          <t>Unidad / Medida</t>
        </is>
      </c>
      <c r="G48" s="91" t="inlineStr">
        <is>
          <t>Costo Unitario ($)</t>
        </is>
      </c>
      <c r="H48" s="91" t="inlineStr">
        <is>
          <t>Costo Total ($)</t>
        </is>
      </c>
    </row>
    <row r="49" ht="20" customHeight="1" s="111">
      <c r="A49" s="92" t="n">
        <v>1</v>
      </c>
      <c r="B49" s="93" t="inlineStr">
        <is>
          <t>P3 negro</t>
        </is>
      </c>
      <c r="C49" s="94" t="inlineStr">
        <is>
          <t>Base p3 negro</t>
        </is>
      </c>
      <c r="D49" s="92" t="inlineStr">
        <is>
          <t>Desechables</t>
        </is>
      </c>
      <c r="E49" s="95" t="n">
        <v>15</v>
      </c>
      <c r="F49" s="92" t="inlineStr">
        <is>
          <t>Und</t>
        </is>
      </c>
      <c r="G49" s="96" t="n">
        <v>480</v>
      </c>
      <c r="H49" s="97">
        <f>E49*G49</f>
        <v/>
      </c>
    </row>
    <row r="50" ht="20" customHeight="1" s="111">
      <c r="A50" s="98" t="n">
        <v>2</v>
      </c>
      <c r="B50" s="99" t="inlineStr">
        <is>
          <t>Acento</t>
        </is>
      </c>
      <c r="C50" s="100" t="inlineStr">
        <is>
          <t>Acento x 500</t>
        </is>
      </c>
      <c r="D50" s="98" t="inlineStr">
        <is>
          <t>Desechables</t>
        </is>
      </c>
      <c r="E50" s="101" t="n">
        <v>2</v>
      </c>
      <c r="F50" s="98" t="inlineStr">
        <is>
          <t>Lb</t>
        </is>
      </c>
      <c r="G50" s="102" t="n">
        <v>6200</v>
      </c>
      <c r="H50" s="103">
        <f>E50*G50</f>
        <v/>
      </c>
    </row>
    <row r="51" ht="20" customHeight="1" s="111">
      <c r="A51" s="92" t="n">
        <v>3</v>
      </c>
      <c r="B51" s="93" t="inlineStr">
        <is>
          <t>Café</t>
        </is>
      </c>
      <c r="C51" s="94" t="inlineStr">
        <is>
          <t>Café</t>
        </is>
      </c>
      <c r="D51" s="92" t="inlineStr">
        <is>
          <t>Desechables</t>
        </is>
      </c>
      <c r="E51" s="95" t="n">
        <v>1</v>
      </c>
      <c r="F51" s="92" t="inlineStr">
        <is>
          <t>Lb (380g)</t>
        </is>
      </c>
      <c r="G51" s="96" t="n">
        <v>20950</v>
      </c>
      <c r="H51" s="97">
        <f>E51*G51</f>
        <v/>
      </c>
    </row>
    <row r="52" ht="20" customHeight="1" s="111">
      <c r="A52" s="98" t="n">
        <v>4</v>
      </c>
      <c r="B52" s="99" t="inlineStr">
        <is>
          <t>Aromatica</t>
        </is>
      </c>
      <c r="C52" s="100" t="inlineStr">
        <is>
          <t>Aromaticasx 20</t>
        </is>
      </c>
      <c r="D52" s="98" t="inlineStr">
        <is>
          <t>Desechables</t>
        </is>
      </c>
      <c r="E52" s="101" t="n">
        <v>3</v>
      </c>
      <c r="F52" s="98" t="inlineStr">
        <is>
          <t>Tubos / Cajas</t>
        </is>
      </c>
      <c r="G52" s="102" t="n">
        <v>4800</v>
      </c>
      <c r="H52" s="103">
        <f>E52*G52</f>
        <v/>
      </c>
    </row>
    <row r="53" ht="20" customHeight="1" s="111">
      <c r="A53" s="92" t="n">
        <v>5</v>
      </c>
      <c r="B53" s="93" t="inlineStr">
        <is>
          <t>Aji sobre</t>
        </is>
      </c>
      <c r="C53" s="94" t="inlineStr">
        <is>
          <t>Aji pequeño x 40</t>
        </is>
      </c>
      <c r="D53" s="92" t="inlineStr">
        <is>
          <t>Desechables</t>
        </is>
      </c>
      <c r="E53" s="95" t="n">
        <v>3</v>
      </c>
      <c r="F53" s="92" t="inlineStr">
        <is>
          <t>Paquetes</t>
        </is>
      </c>
      <c r="G53" s="96" t="n">
        <v>3000</v>
      </c>
      <c r="H53" s="97">
        <f>E53*G53</f>
        <v/>
      </c>
    </row>
    <row r="54" ht="20" customHeight="1" s="111">
      <c r="A54" s="98" t="n">
        <v>6</v>
      </c>
      <c r="B54" s="99" t="inlineStr">
        <is>
          <t>Tomate sobre</t>
        </is>
      </c>
      <c r="C54" s="100" t="inlineStr">
        <is>
          <t>Salsa tomate sobre zafran x 120</t>
        </is>
      </c>
      <c r="D54" s="98" t="inlineStr">
        <is>
          <t>Desechables</t>
        </is>
      </c>
      <c r="E54" s="101" t="n">
        <v>1</v>
      </c>
      <c r="F54" s="98" t="inlineStr">
        <is>
          <t>Paquete</t>
        </is>
      </c>
      <c r="G54" s="102" t="n">
        <v>20950</v>
      </c>
      <c r="H54" s="103">
        <f>E54*G54</f>
        <v/>
      </c>
    </row>
    <row r="55" ht="20" customHeight="1" s="111">
      <c r="A55" s="92" t="n">
        <v>7</v>
      </c>
      <c r="B55" s="93" t="inlineStr">
        <is>
          <t>Azucar sobre</t>
        </is>
      </c>
      <c r="C55" s="94" t="inlineStr">
        <is>
          <t>Azucar sobre x 200</t>
        </is>
      </c>
      <c r="D55" s="92" t="inlineStr">
        <is>
          <t>Desechables</t>
        </is>
      </c>
      <c r="E55" s="95" t="n">
        <v>2</v>
      </c>
      <c r="F55" s="92" t="inlineStr">
        <is>
          <t>Paquetes</t>
        </is>
      </c>
      <c r="G55" s="96" t="n">
        <v>8400</v>
      </c>
      <c r="H55" s="97">
        <f>E55*G55</f>
        <v/>
      </c>
    </row>
    <row r="56" ht="20" customHeight="1" s="111">
      <c r="A56" s="98" t="n">
        <v>8</v>
      </c>
      <c r="B56" s="99" t="inlineStr">
        <is>
          <t>Harina trigo</t>
        </is>
      </c>
      <c r="C56" s="100" t="inlineStr">
        <is>
          <t>Harina de trigo x 25</t>
        </is>
      </c>
      <c r="D56" s="98" t="inlineStr">
        <is>
          <t>Desechables</t>
        </is>
      </c>
      <c r="E56" s="101" t="n">
        <v>2</v>
      </c>
      <c r="F56" s="98" t="inlineStr">
        <is>
          <t>Kg (2 Lb)</t>
        </is>
      </c>
      <c r="G56" s="102" t="n">
        <v>4200</v>
      </c>
      <c r="H56" s="103">
        <f>E56*G56</f>
        <v/>
      </c>
    </row>
    <row r="57" ht="20" customHeight="1" s="111">
      <c r="A57" s="92" t="n">
        <v>9</v>
      </c>
      <c r="B57" s="93" t="inlineStr">
        <is>
          <t>Bananas</t>
        </is>
      </c>
      <c r="C57" s="94" t="inlineStr">
        <is>
          <t>Bananas x 24</t>
        </is>
      </c>
      <c r="D57" s="92" t="inlineStr">
        <is>
          <t>Desechables</t>
        </is>
      </c>
      <c r="E57" s="95" t="n">
        <v>2</v>
      </c>
      <c r="F57" s="92" t="inlineStr">
        <is>
          <t>Galón</t>
        </is>
      </c>
      <c r="G57" s="96" t="n">
        <v>6650</v>
      </c>
      <c r="H57" s="97">
        <f>E57*G57</f>
        <v/>
      </c>
    </row>
    <row r="58" ht="20" customHeight="1" s="111">
      <c r="A58" s="98" t="n">
        <v>10</v>
      </c>
      <c r="B58" s="99" t="inlineStr">
        <is>
          <t>Vinagre</t>
        </is>
      </c>
      <c r="C58" s="100" t="inlineStr">
        <is>
          <t>Vinagre differ galon 3000</t>
        </is>
      </c>
      <c r="D58" s="98" t="inlineStr">
        <is>
          <t>Desechables</t>
        </is>
      </c>
      <c r="E58" s="101" t="n">
        <v>1</v>
      </c>
      <c r="F58" s="98" t="inlineStr">
        <is>
          <t>Galón</t>
        </is>
      </c>
      <c r="G58" s="102" t="n">
        <v>7200</v>
      </c>
      <c r="H58" s="103">
        <f>E58*G58</f>
        <v/>
      </c>
    </row>
    <row r="59" ht="20" customHeight="1" s="111">
      <c r="A59" s="92" t="n">
        <v>11</v>
      </c>
      <c r="B59" s="93" t="inlineStr">
        <is>
          <t>Humo</t>
        </is>
      </c>
      <c r="C59" s="94" t="inlineStr">
        <is>
          <t>Humo</t>
        </is>
      </c>
      <c r="D59" s="92" t="inlineStr">
        <is>
          <t>Desechables</t>
        </is>
      </c>
      <c r="E59" s="95" t="n">
        <v>1</v>
      </c>
      <c r="F59" s="92" t="inlineStr">
        <is>
          <t>Galón</t>
        </is>
      </c>
      <c r="G59" s="96" t="n">
        <v>19850</v>
      </c>
      <c r="H59" s="97">
        <f>E59*G59</f>
        <v/>
      </c>
    </row>
    <row r="60" ht="20" customHeight="1" s="111">
      <c r="A60" s="98" t="n">
        <v>12</v>
      </c>
      <c r="B60" s="99" t="inlineStr">
        <is>
          <t>Tomate x 4000</t>
        </is>
      </c>
      <c r="C60" s="100" t="inlineStr">
        <is>
          <t>Salsa tomate x 4000</t>
        </is>
      </c>
      <c r="D60" s="98" t="inlineStr">
        <is>
          <t>Desechables</t>
        </is>
      </c>
      <c r="E60" s="101" t="n">
        <v>1</v>
      </c>
      <c r="F60" s="98" t="inlineStr">
        <is>
          <t>Bolsa (4000g)</t>
        </is>
      </c>
      <c r="G60" s="102" t="n">
        <v>18200</v>
      </c>
      <c r="H60" s="103">
        <f>E60*G60</f>
        <v/>
      </c>
    </row>
    <row r="61" ht="20" customHeight="1" s="111">
      <c r="A61" s="92" t="n">
        <v>13</v>
      </c>
      <c r="B61" s="93" t="inlineStr">
        <is>
          <t>Mostaza x 4000</t>
        </is>
      </c>
      <c r="C61" s="94" t="inlineStr">
        <is>
          <t>Salsa mostaza differ x 4000</t>
        </is>
      </c>
      <c r="D61" s="92" t="inlineStr">
        <is>
          <t>Desechables</t>
        </is>
      </c>
      <c r="E61" s="95" t="n">
        <v>1</v>
      </c>
      <c r="F61" s="92" t="inlineStr">
        <is>
          <t>Bolsa (4000g)</t>
        </is>
      </c>
      <c r="G61" s="96" t="n">
        <v>18650</v>
      </c>
      <c r="H61" s="97">
        <f>E61*G61</f>
        <v/>
      </c>
    </row>
    <row r="62" ht="20" customHeight="1" s="111">
      <c r="A62" s="98" t="n">
        <v>14</v>
      </c>
      <c r="B62" s="99" t="inlineStr">
        <is>
          <t>Mayonesa x 4000</t>
        </is>
      </c>
      <c r="C62" s="100" t="inlineStr">
        <is>
          <t>Salsa mayonezax4000</t>
        </is>
      </c>
      <c r="D62" s="98" t="inlineStr">
        <is>
          <t>Desechables</t>
        </is>
      </c>
      <c r="E62" s="101" t="n">
        <v>1</v>
      </c>
      <c r="F62" s="98" t="inlineStr">
        <is>
          <t>Bolsa (4000g)</t>
        </is>
      </c>
      <c r="G62" s="102" t="n">
        <v>30350</v>
      </c>
      <c r="H62" s="103">
        <f>E62*G62</f>
        <v/>
      </c>
    </row>
    <row r="63" ht="20" customHeight="1" s="111">
      <c r="A63" s="92" t="n">
        <v>15</v>
      </c>
      <c r="B63" s="93" t="inlineStr">
        <is>
          <t>Color</t>
        </is>
      </c>
      <c r="C63" s="94" t="inlineStr">
        <is>
          <t>Color azafran</t>
        </is>
      </c>
      <c r="D63" s="92" t="inlineStr">
        <is>
          <t>Desechables</t>
        </is>
      </c>
      <c r="E63" s="95" t="n">
        <v>1</v>
      </c>
      <c r="F63" s="92" t="inlineStr">
        <is>
          <t>Paquete</t>
        </is>
      </c>
      <c r="G63" s="96" t="n">
        <v>23800</v>
      </c>
      <c r="H63" s="97">
        <f>E63*G63</f>
        <v/>
      </c>
    </row>
    <row r="64" ht="20" customHeight="1" s="111">
      <c r="A64" s="98" t="n">
        <v>16</v>
      </c>
      <c r="B64" s="99" t="inlineStr">
        <is>
          <t>Toalla z</t>
        </is>
      </c>
      <c r="C64" s="100" t="inlineStr">
        <is>
          <t>Toalla mano v natural mio 24x150h</t>
        </is>
      </c>
      <c r="D64" s="98" t="inlineStr">
        <is>
          <t>Desechables</t>
        </is>
      </c>
      <c r="E64" s="101" t="n">
        <v>5</v>
      </c>
      <c r="F64" s="98" t="inlineStr">
        <is>
          <t>Paquetes</t>
        </is>
      </c>
      <c r="G64" s="102" t="n">
        <v>5200</v>
      </c>
      <c r="H64" s="103">
        <f>E64*G64</f>
        <v/>
      </c>
    </row>
    <row r="65" ht="20" customHeight="1" s="111">
      <c r="A65" s="92" t="n">
        <v>17</v>
      </c>
      <c r="B65" s="93" t="inlineStr">
        <is>
          <t>Vasos tami</t>
        </is>
      </c>
      <c r="C65" s="94" t="inlineStr">
        <is>
          <t>Vaso tami 12x25</t>
        </is>
      </c>
      <c r="D65" s="92" t="inlineStr">
        <is>
          <t>Desechables</t>
        </is>
      </c>
      <c r="E65" s="95" t="n">
        <v>7</v>
      </c>
      <c r="F65" s="92" t="inlineStr">
        <is>
          <t>Paquetes</t>
        </is>
      </c>
      <c r="G65" s="96" t="n">
        <v>5000</v>
      </c>
      <c r="H65" s="97">
        <f>E65*G65</f>
        <v/>
      </c>
    </row>
    <row r="66" ht="20" customHeight="1" s="111">
      <c r="A66" s="98" t="n">
        <v>18</v>
      </c>
      <c r="B66" s="99" t="inlineStr">
        <is>
          <t>Tapa tami</t>
        </is>
      </c>
      <c r="C66" s="100" t="inlineStr">
        <is>
          <t>Tapa vaso 12 onz. tami</t>
        </is>
      </c>
      <c r="D66" s="98" t="inlineStr">
        <is>
          <t>Desechables</t>
        </is>
      </c>
      <c r="E66" s="101" t="n">
        <v>3</v>
      </c>
      <c r="F66" s="98" t="inlineStr">
        <is>
          <t>Paquetes</t>
        </is>
      </c>
      <c r="G66" s="102" t="n">
        <v>5450</v>
      </c>
      <c r="H66" s="103">
        <f>E66*G66</f>
        <v/>
      </c>
    </row>
    <row r="67" ht="20" customHeight="1" s="111">
      <c r="A67" s="92" t="n">
        <v>19</v>
      </c>
      <c r="B67" s="93" t="inlineStr">
        <is>
          <t>Vasote 3.5</t>
        </is>
      </c>
      <c r="C67" s="94" t="inlineStr">
        <is>
          <t>Vasote 3.5 tansl x 50 x 60</t>
        </is>
      </c>
      <c r="D67" s="92" t="inlineStr">
        <is>
          <t>Desechables</t>
        </is>
      </c>
      <c r="E67" s="95" t="n">
        <v>3</v>
      </c>
      <c r="F67" s="92" t="inlineStr">
        <is>
          <t>Paquetes</t>
        </is>
      </c>
      <c r="G67" s="96" t="n">
        <v>2750</v>
      </c>
      <c r="H67" s="97">
        <f>E67*G67</f>
        <v/>
      </c>
    </row>
    <row r="68" ht="20" customHeight="1" s="111">
      <c r="A68" s="98" t="n">
        <v>20</v>
      </c>
      <c r="B68" s="99" t="inlineStr">
        <is>
          <t>Tapa 3.5</t>
        </is>
      </c>
      <c r="C68" s="100" t="inlineStr">
        <is>
          <t>Tapa vaso 3.5</t>
        </is>
      </c>
      <c r="D68" s="98" t="inlineStr">
        <is>
          <t>Desechables</t>
        </is>
      </c>
      <c r="E68" s="101" t="n">
        <v>3</v>
      </c>
      <c r="F68" s="98" t="inlineStr">
        <is>
          <t>Paquetes</t>
        </is>
      </c>
      <c r="G68" s="102" t="n">
        <v>4850</v>
      </c>
      <c r="H68" s="103">
        <f>E68*G68</f>
        <v/>
      </c>
    </row>
    <row r="69" ht="20" customHeight="1" s="111">
      <c r="A69" s="92" t="n">
        <v>21</v>
      </c>
      <c r="B69" s="93" t="inlineStr">
        <is>
          <t>Papel Higienico</t>
        </is>
      </c>
      <c r="C69" s="94" t="inlineStr">
        <is>
          <t>Papel higienico jumbo</t>
        </is>
      </c>
      <c r="D69" s="92" t="inlineStr">
        <is>
          <t>Desechables</t>
        </is>
      </c>
      <c r="E69" s="95" t="n">
        <v>4</v>
      </c>
      <c r="F69" s="92" t="inlineStr">
        <is>
          <t>Rollos</t>
        </is>
      </c>
      <c r="G69" s="96" t="n">
        <v>11400</v>
      </c>
      <c r="H69" s="97">
        <f>E69*G69</f>
        <v/>
      </c>
    </row>
    <row r="70" ht="20" customHeight="1" s="111">
      <c r="A70" s="98" t="n">
        <v>22</v>
      </c>
      <c r="B70" s="99" t="inlineStr">
        <is>
          <t>Papel Aluminio</t>
        </is>
      </c>
      <c r="C70" s="100" t="inlineStr">
        <is>
          <t>Papel aluminio</t>
        </is>
      </c>
      <c r="D70" s="98" t="inlineStr">
        <is>
          <t>Desechables</t>
        </is>
      </c>
      <c r="E70" s="101" t="n">
        <v>1</v>
      </c>
      <c r="F70" s="98" t="inlineStr">
        <is>
          <t>Rollo</t>
        </is>
      </c>
      <c r="G70" s="102" t="n">
        <v>65800</v>
      </c>
      <c r="H70" s="103">
        <f>E70*G70</f>
        <v/>
      </c>
    </row>
    <row r="71" ht="20" customHeight="1" s="111">
      <c r="A71" s="92" t="n">
        <v>23</v>
      </c>
      <c r="B71" s="93" t="inlineStr">
        <is>
          <t>Tarrina 14</t>
        </is>
      </c>
      <c r="C71" s="94" t="inlineStr">
        <is>
          <t>Tarrina 14 x 25 unid</t>
        </is>
      </c>
      <c r="D71" s="92" t="inlineStr">
        <is>
          <t>Desechables</t>
        </is>
      </c>
      <c r="E71" s="95" t="n">
        <v>2</v>
      </c>
      <c r="F71" s="92" t="inlineStr">
        <is>
          <t>Paquetes</t>
        </is>
      </c>
      <c r="G71" s="96" t="n">
        <v>17250</v>
      </c>
      <c r="H71" s="97">
        <f>E71*G71</f>
        <v/>
      </c>
    </row>
    <row r="72" ht="20" customHeight="1" s="111">
      <c r="A72" s="98" t="n">
        <v>24</v>
      </c>
      <c r="B72" s="99" t="inlineStr">
        <is>
          <t>Cubiertos hechos</t>
        </is>
      </c>
      <c r="C72" s="100" t="inlineStr">
        <is>
          <t>Cubierto grande x 3 cja x 28pq x 50un</t>
        </is>
      </c>
      <c r="D72" s="98" t="inlineStr">
        <is>
          <t>Desechables</t>
        </is>
      </c>
      <c r="E72" s="101" t="n">
        <v>3</v>
      </c>
      <c r="F72" s="98" t="inlineStr">
        <is>
          <t>Paquetes (50un)</t>
        </is>
      </c>
      <c r="G72" s="102" t="n">
        <v>19500</v>
      </c>
      <c r="H72" s="103">
        <f>E72*G72</f>
        <v/>
      </c>
    </row>
    <row r="73" ht="20" customHeight="1" s="111">
      <c r="A73" s="92" t="n">
        <v>25</v>
      </c>
      <c r="B73" s="93" t="inlineStr">
        <is>
          <t>Cintas</t>
        </is>
      </c>
      <c r="C73" s="94" t="inlineStr">
        <is>
          <t>Cinta impronta 24x80mm</t>
        </is>
      </c>
      <c r="D73" s="92" t="inlineStr">
        <is>
          <t>Desechables</t>
        </is>
      </c>
      <c r="E73" s="95" t="n">
        <v>11</v>
      </c>
      <c r="F73" s="92" t="inlineStr">
        <is>
          <t>Rollos</t>
        </is>
      </c>
      <c r="G73" s="96" t="n">
        <v>2600</v>
      </c>
      <c r="H73" s="97">
        <f>E73*G73</f>
        <v/>
      </c>
    </row>
    <row r="74" ht="20" customHeight="1" s="111">
      <c r="A74" s="98" t="n">
        <v>26</v>
      </c>
      <c r="B74" s="99" t="inlineStr">
        <is>
          <t>Palillos</t>
        </is>
      </c>
      <c r="C74" s="100" t="inlineStr">
        <is>
          <t>Cajas de palillos</t>
        </is>
      </c>
      <c r="D74" s="98" t="inlineStr">
        <is>
          <t>Desechables</t>
        </is>
      </c>
      <c r="E74" s="101" t="n">
        <v>3</v>
      </c>
      <c r="F74" s="98" t="inlineStr">
        <is>
          <t>Paquetes</t>
        </is>
      </c>
      <c r="G74" s="102" t="n">
        <v>3500</v>
      </c>
      <c r="H74" s="103">
        <f>E74*G74</f>
        <v/>
      </c>
    </row>
    <row r="75" ht="20" customHeight="1" s="111">
      <c r="A75" s="92" t="n">
        <v>27</v>
      </c>
      <c r="B75" s="93" t="inlineStr">
        <is>
          <t>Copa 1/2</t>
        </is>
      </c>
      <c r="C75" s="94" t="inlineStr">
        <is>
          <t>Copa troforma 1/2</t>
        </is>
      </c>
      <c r="D75" s="92" t="inlineStr">
        <is>
          <t>Desechables</t>
        </is>
      </c>
      <c r="E75" s="95" t="n">
        <v>5</v>
      </c>
      <c r="F75" s="92" t="inlineStr">
        <is>
          <t>Paquetes</t>
        </is>
      </c>
      <c r="G75" s="96" t="n">
        <v>2500</v>
      </c>
      <c r="H75" s="97">
        <f>E75*G75</f>
        <v/>
      </c>
    </row>
    <row r="76" ht="20" customHeight="1" s="111">
      <c r="A76" s="98" t="n">
        <v>28</v>
      </c>
      <c r="B76" s="99" t="inlineStr">
        <is>
          <t>Copa 2</t>
        </is>
      </c>
      <c r="C76" s="100" t="inlineStr">
        <is>
          <t>Copa 2 onz</t>
        </is>
      </c>
      <c r="D76" s="98" t="inlineStr">
        <is>
          <t>Desechables</t>
        </is>
      </c>
      <c r="E76" s="101" t="n">
        <v>2</v>
      </c>
      <c r="F76" s="98" t="inlineStr">
        <is>
          <t>Paquetes</t>
        </is>
      </c>
      <c r="G76" s="102" t="n">
        <v>8700</v>
      </c>
      <c r="H76" s="103">
        <f>E76*G76</f>
        <v/>
      </c>
    </row>
    <row r="77" ht="20" customHeight="1" s="111">
      <c r="A77" s="92" t="n">
        <v>29</v>
      </c>
      <c r="B77" s="93" t="inlineStr">
        <is>
          <t>T 40</t>
        </is>
      </c>
      <c r="C77" s="94" t="inlineStr">
        <is>
          <t>Bolsa maniguetat40</t>
        </is>
      </c>
      <c r="D77" s="92" t="inlineStr">
        <is>
          <t>Desechables</t>
        </is>
      </c>
      <c r="E77" s="95" t="n">
        <v>4</v>
      </c>
      <c r="F77" s="92" t="inlineStr">
        <is>
          <t>Paquetes</t>
        </is>
      </c>
      <c r="G77" s="96" t="n">
        <v>9600</v>
      </c>
      <c r="H77" s="97">
        <f>E77*G77</f>
        <v/>
      </c>
    </row>
    <row r="78" ht="20" customHeight="1" s="111">
      <c r="A78" s="98" t="n">
        <v>30</v>
      </c>
      <c r="B78" s="99" t="inlineStr">
        <is>
          <t>T 19</t>
        </is>
      </c>
      <c r="C78" s="100" t="inlineStr">
        <is>
          <t>Bolsa maniguetat19</t>
        </is>
      </c>
      <c r="D78" s="98" t="inlineStr">
        <is>
          <t>Desechables</t>
        </is>
      </c>
      <c r="E78" s="101" t="n">
        <v>19</v>
      </c>
      <c r="F78" s="98" t="inlineStr">
        <is>
          <t>Paquetes</t>
        </is>
      </c>
      <c r="G78" s="102" t="n">
        <v>2600</v>
      </c>
      <c r="H78" s="103">
        <f>E78*G78</f>
        <v/>
      </c>
    </row>
    <row r="79" ht="20" customHeight="1" s="111">
      <c r="A79" s="92" t="n">
        <v>31</v>
      </c>
      <c r="B79" s="93" t="inlineStr">
        <is>
          <t>Vasos 9 onzas</t>
        </is>
      </c>
      <c r="C79" s="94" t="inlineStr">
        <is>
          <t>Vaso cartón 9.0 onz x 50</t>
        </is>
      </c>
      <c r="D79" s="92" t="inlineStr">
        <is>
          <t>Desechables</t>
        </is>
      </c>
      <c r="E79" s="95" t="n">
        <v>14</v>
      </c>
      <c r="F79" s="92" t="inlineStr">
        <is>
          <t>Paquetes</t>
        </is>
      </c>
      <c r="G79" s="96" t="n">
        <v>4800</v>
      </c>
      <c r="H79" s="97">
        <f>E79*G79</f>
        <v/>
      </c>
    </row>
    <row r="80" ht="20" customHeight="1" s="111">
      <c r="A80" s="98" t="n">
        <v>32</v>
      </c>
      <c r="B80" s="99" t="inlineStr">
        <is>
          <t>Sabras</t>
        </is>
      </c>
      <c r="C80" s="100" t="inlineStr">
        <is>
          <t>Sabras</t>
        </is>
      </c>
      <c r="D80" s="98" t="inlineStr">
        <is>
          <t>Desechables</t>
        </is>
      </c>
      <c r="E80" s="101" t="n">
        <v>6</v>
      </c>
      <c r="F80" s="98" t="inlineStr">
        <is>
          <t>Paquetes</t>
        </is>
      </c>
      <c r="G80" s="102" t="n">
        <v>15550</v>
      </c>
      <c r="H80" s="103">
        <f>E80*G80</f>
        <v/>
      </c>
    </row>
    <row r="81" ht="20" customHeight="1" s="111">
      <c r="A81" s="92" t="n">
        <v>33</v>
      </c>
      <c r="B81" s="93" t="inlineStr">
        <is>
          <t>Pato tanque</t>
        </is>
      </c>
      <c r="C81" s="94" t="inlineStr">
        <is>
          <t>Pato tanque azul</t>
        </is>
      </c>
      <c r="D81" s="92" t="inlineStr">
        <is>
          <t>Desechables</t>
        </is>
      </c>
      <c r="E81" s="95" t="n">
        <v>18</v>
      </c>
      <c r="F81" s="92" t="inlineStr">
        <is>
          <t>Und</t>
        </is>
      </c>
      <c r="G81" s="96" t="n">
        <v>7600</v>
      </c>
      <c r="H81" s="97">
        <f>E81*G81</f>
        <v/>
      </c>
    </row>
    <row r="82" ht="20" customHeight="1" s="111">
      <c r="A82" s="98" t="n">
        <v>34</v>
      </c>
      <c r="B82" s="99" t="inlineStr">
        <is>
          <t>Bolsa #2 verde</t>
        </is>
      </c>
      <c r="C82" s="100" t="inlineStr">
        <is>
          <t>Bolsa basura 65 x 90 # 2</t>
        </is>
      </c>
      <c r="D82" s="98" t="inlineStr">
        <is>
          <t>Desechables</t>
        </is>
      </c>
      <c r="E82" s="101" t="n">
        <v>7</v>
      </c>
      <c r="F82" s="98" t="inlineStr">
        <is>
          <t>Paquetes (10un)</t>
        </is>
      </c>
      <c r="G82" s="102" t="n">
        <v>4500</v>
      </c>
      <c r="H82" s="103">
        <f>E82*G82</f>
        <v/>
      </c>
    </row>
    <row r="83" ht="20" customHeight="1" s="111">
      <c r="A83" s="92" t="n">
        <v>35</v>
      </c>
      <c r="B83" s="93" t="inlineStr">
        <is>
          <t>Bolsa #2 blanca</t>
        </is>
      </c>
      <c r="C83" s="94" t="inlineStr">
        <is>
          <t>Bolsa basura 65 x 90 # 2</t>
        </is>
      </c>
      <c r="D83" s="92" t="inlineStr">
        <is>
          <t>Desechables</t>
        </is>
      </c>
      <c r="E83" s="95" t="n">
        <v>15</v>
      </c>
      <c r="F83" s="92" t="inlineStr">
        <is>
          <t>Paquetes (10un)</t>
        </is>
      </c>
      <c r="G83" s="96" t="n">
        <v>4500</v>
      </c>
      <c r="H83" s="97">
        <f>E83*G83</f>
        <v/>
      </c>
    </row>
    <row r="84" ht="20" customHeight="1" s="111">
      <c r="A84" s="98" t="n">
        <v>36</v>
      </c>
      <c r="B84" s="99" t="inlineStr">
        <is>
          <t>Bolsa #2 negra</t>
        </is>
      </c>
      <c r="C84" s="100" t="inlineStr">
        <is>
          <t>Bolsa basura 65 x 90 # 2</t>
        </is>
      </c>
      <c r="D84" s="98" t="inlineStr">
        <is>
          <t>Desechables</t>
        </is>
      </c>
      <c r="E84" s="101" t="n">
        <v>10</v>
      </c>
      <c r="F84" s="98" t="inlineStr">
        <is>
          <t>Paquetes (10un)</t>
        </is>
      </c>
      <c r="G84" s="102" t="n">
        <v>4500</v>
      </c>
      <c r="H84" s="103">
        <f>E84*G84</f>
        <v/>
      </c>
    </row>
    <row r="85" ht="20" customHeight="1" s="111">
      <c r="A85" s="92" t="n">
        <v>37</v>
      </c>
      <c r="B85" s="93" t="inlineStr">
        <is>
          <t>Bolsa industrial</t>
        </is>
      </c>
      <c r="C85" s="94" t="inlineStr">
        <is>
          <t>Bolsa basura industrial gruesa 90 x 120</t>
        </is>
      </c>
      <c r="D85" s="92" t="inlineStr">
        <is>
          <t>Desechables</t>
        </is>
      </c>
      <c r="E85" s="95" t="n">
        <v>2</v>
      </c>
      <c r="F85" s="92" t="inlineStr">
        <is>
          <t>Paquetes (10un)</t>
        </is>
      </c>
      <c r="G85" s="96" t="n">
        <v>9000</v>
      </c>
      <c r="H85" s="97">
        <f>E85*G85</f>
        <v/>
      </c>
    </row>
    <row r="86" ht="20" customHeight="1" s="111">
      <c r="A86" s="98" t="n">
        <v>38</v>
      </c>
      <c r="B86" s="99" t="inlineStr">
        <is>
          <t>Desmanchador</t>
        </is>
      </c>
      <c r="C86" s="100" t="inlineStr">
        <is>
          <t>Desengrasante</t>
        </is>
      </c>
      <c r="D86" s="98" t="inlineStr">
        <is>
          <t>Desechables</t>
        </is>
      </c>
      <c r="E86" s="101" t="n">
        <v>1</v>
      </c>
      <c r="F86" s="98" t="inlineStr">
        <is>
          <t>Galón</t>
        </is>
      </c>
      <c r="G86" s="102" t="n">
        <v>17500</v>
      </c>
      <c r="H86" s="103">
        <f>E86*G86</f>
        <v/>
      </c>
    </row>
    <row r="87" ht="20" customHeight="1" s="111">
      <c r="A87" s="92" t="n">
        <v>39</v>
      </c>
      <c r="B87" s="93" t="inlineStr">
        <is>
          <t>Alcohol</t>
        </is>
      </c>
      <c r="C87" s="94" t="inlineStr">
        <is>
          <t>Alcohol industrial</t>
        </is>
      </c>
      <c r="D87" s="92" t="inlineStr">
        <is>
          <t>Desechables</t>
        </is>
      </c>
      <c r="E87" s="95" t="n">
        <v>1</v>
      </c>
      <c r="F87" s="92" t="inlineStr">
        <is>
          <t>Galón</t>
        </is>
      </c>
      <c r="G87" s="96" t="n">
        <v>27450</v>
      </c>
      <c r="H87" s="97">
        <f>E87*G87</f>
        <v/>
      </c>
    </row>
    <row r="88" ht="20" customHeight="1" s="111">
      <c r="A88" s="98" t="n">
        <v>40</v>
      </c>
      <c r="B88" s="99" t="inlineStr">
        <is>
          <t>Limpia Vidrio</t>
        </is>
      </c>
      <c r="C88" s="100" t="inlineStr">
        <is>
          <t>Limpia vidrio</t>
        </is>
      </c>
      <c r="D88" s="98" t="inlineStr">
        <is>
          <t>Desechables</t>
        </is>
      </c>
      <c r="E88" s="101" t="n">
        <v>1</v>
      </c>
      <c r="F88" s="98" t="inlineStr">
        <is>
          <t>Galón</t>
        </is>
      </c>
      <c r="G88" s="102" t="n">
        <v>14500</v>
      </c>
      <c r="H88" s="103">
        <f>E88*G88</f>
        <v/>
      </c>
    </row>
    <row r="89" ht="20" customHeight="1" s="111">
      <c r="A89" s="92" t="n">
        <v>41</v>
      </c>
      <c r="B89" s="93" t="inlineStr">
        <is>
          <t>Rollos Termicos</t>
        </is>
      </c>
      <c r="C89" s="94" t="inlineStr">
        <is>
          <t>Rollos termicos</t>
        </is>
      </c>
      <c r="D89" s="92" t="inlineStr">
        <is>
          <t>Desechables</t>
        </is>
      </c>
      <c r="E89" s="95" t="n">
        <v>4</v>
      </c>
      <c r="F89" s="92" t="inlineStr">
        <is>
          <t>Und</t>
        </is>
      </c>
      <c r="G89" s="96" t="n">
        <v>3600</v>
      </c>
      <c r="H89" s="97">
        <f>E89*G89</f>
        <v/>
      </c>
    </row>
    <row r="90" ht="20" customHeight="1" s="111">
      <c r="A90" s="98" t="n">
        <v>42</v>
      </c>
      <c r="B90" s="99" t="inlineStr">
        <is>
          <t>Resma Papel</t>
        </is>
      </c>
      <c r="C90" s="100" t="inlineStr">
        <is>
          <t>Resma de papel</t>
        </is>
      </c>
      <c r="D90" s="98" t="inlineStr">
        <is>
          <t>Desechables</t>
        </is>
      </c>
      <c r="E90" s="101" t="n">
        <v>1</v>
      </c>
      <c r="F90" s="98" t="inlineStr">
        <is>
          <t>Paquete</t>
        </is>
      </c>
      <c r="G90" s="102" t="n">
        <v>16500</v>
      </c>
      <c r="H90" s="103">
        <f>E90*G90</f>
        <v/>
      </c>
    </row>
    <row r="91" ht="20" customHeight="1" s="111">
      <c r="A91" s="92" t="n">
        <v>43</v>
      </c>
      <c r="B91" s="93" t="inlineStr">
        <is>
          <t>Dersa</t>
        </is>
      </c>
      <c r="C91" s="94" t="inlineStr">
        <is>
          <t>Detergente dersax 1000</t>
        </is>
      </c>
      <c r="D91" s="92" t="inlineStr">
        <is>
          <t>Desechables</t>
        </is>
      </c>
      <c r="E91" s="95" t="n">
        <v>2</v>
      </c>
      <c r="F91" s="92" t="inlineStr">
        <is>
          <t>Kg (Bolsa 1kg)</t>
        </is>
      </c>
      <c r="G91" s="96" t="n">
        <v>10600</v>
      </c>
      <c r="H91" s="97">
        <f>E91*G91</f>
        <v/>
      </c>
    </row>
    <row r="92" ht="20" customHeight="1" s="111">
      <c r="A92" s="98" t="n">
        <v>44</v>
      </c>
      <c r="B92" s="99" t="inlineStr">
        <is>
          <t>Esponja Alambre</t>
        </is>
      </c>
      <c r="C92" s="100" t="inlineStr">
        <is>
          <t>Esponja de brillo</t>
        </is>
      </c>
      <c r="D92" s="98" t="inlineStr">
        <is>
          <t>Desechables</t>
        </is>
      </c>
      <c r="E92" s="101" t="n">
        <v>65</v>
      </c>
      <c r="F92" s="98" t="inlineStr">
        <is>
          <t>Und</t>
        </is>
      </c>
      <c r="G92" s="102" t="n">
        <v>1000</v>
      </c>
      <c r="H92" s="103">
        <f>E92*G92</f>
        <v/>
      </c>
    </row>
    <row r="93" ht="20" customHeight="1" s="111">
      <c r="A93" s="92" t="n">
        <v>45</v>
      </c>
      <c r="B93" s="93" t="inlineStr">
        <is>
          <t>J1</t>
        </is>
      </c>
      <c r="C93" s="94" t="inlineStr">
        <is>
          <t>Porta comida j-1</t>
        </is>
      </c>
      <c r="D93" s="92" t="inlineStr">
        <is>
          <t>Desechables</t>
        </is>
      </c>
      <c r="E93" s="95" t="n">
        <v>50</v>
      </c>
      <c r="F93" s="92" t="inlineStr">
        <is>
          <t>Und</t>
        </is>
      </c>
      <c r="G93" s="96" t="n">
        <v>440</v>
      </c>
      <c r="H93" s="97">
        <f>E93*G93</f>
        <v/>
      </c>
    </row>
    <row r="94" ht="20" customHeight="1" s="111">
      <c r="A94" s="98" t="n">
        <v>46</v>
      </c>
      <c r="B94" s="99" t="inlineStr">
        <is>
          <t>J2</t>
        </is>
      </c>
      <c r="C94" s="100" t="inlineStr">
        <is>
          <t>Porta comida j-2</t>
        </is>
      </c>
      <c r="D94" s="98" t="inlineStr">
        <is>
          <t>Desechables</t>
        </is>
      </c>
      <c r="E94" s="101" t="n">
        <v>200</v>
      </c>
      <c r="F94" s="98" t="inlineStr">
        <is>
          <t>Und</t>
        </is>
      </c>
      <c r="G94" s="102" t="n">
        <v>440</v>
      </c>
      <c r="H94" s="103">
        <f>E94*G94</f>
        <v/>
      </c>
    </row>
    <row r="95" ht="20" customHeight="1" s="111">
      <c r="A95" s="92" t="n">
        <v>47</v>
      </c>
      <c r="B95" s="93" t="inlineStr">
        <is>
          <t>C1</t>
        </is>
      </c>
      <c r="C95" s="94" t="inlineStr">
        <is>
          <t>Porta comida c-1</t>
        </is>
      </c>
      <c r="D95" s="92" t="inlineStr">
        <is>
          <t>Desechables</t>
        </is>
      </c>
      <c r="E95" s="95" t="n">
        <v>200</v>
      </c>
      <c r="F95" s="92" t="inlineStr">
        <is>
          <t>Und</t>
        </is>
      </c>
      <c r="G95" s="96" t="n">
        <v>270</v>
      </c>
      <c r="H95" s="97">
        <f>E95*G95</f>
        <v/>
      </c>
    </row>
    <row r="96" ht="20" customHeight="1" s="111">
      <c r="A96" s="98" t="n">
        <v>48</v>
      </c>
      <c r="B96" s="99" t="inlineStr">
        <is>
          <t>Sopero 16</t>
        </is>
      </c>
      <c r="C96" s="100" t="inlineStr">
        <is>
          <t>Sopera 16 onz.</t>
        </is>
      </c>
      <c r="D96" s="98" t="inlineStr">
        <is>
          <t>Desechables</t>
        </is>
      </c>
      <c r="E96" s="101" t="n">
        <v>13</v>
      </c>
      <c r="F96" s="98" t="inlineStr">
        <is>
          <t>Paquetes</t>
        </is>
      </c>
      <c r="G96" s="102" t="n">
        <v>11200</v>
      </c>
      <c r="H96" s="103">
        <f>E96*G96</f>
        <v/>
      </c>
    </row>
    <row r="97" ht="20" customHeight="1" s="111">
      <c r="A97" s="92" t="n">
        <v>49</v>
      </c>
      <c r="B97" s="93" t="inlineStr">
        <is>
          <t>Sopero 8</t>
        </is>
      </c>
      <c r="C97" s="94" t="inlineStr">
        <is>
          <t>Contenedor darnel 8 onz. x 20 x 25</t>
        </is>
      </c>
      <c r="D97" s="92" t="inlineStr">
        <is>
          <t>Desechables</t>
        </is>
      </c>
      <c r="E97" s="95" t="n">
        <v>9</v>
      </c>
      <c r="F97" s="92" t="inlineStr">
        <is>
          <t>Paquetes</t>
        </is>
      </c>
      <c r="G97" s="96" t="n">
        <v>10000</v>
      </c>
      <c r="H97" s="97">
        <f>E97*G97</f>
        <v/>
      </c>
    </row>
    <row r="98" ht="20" customHeight="1" s="111">
      <c r="A98" s="98" t="n">
        <v>50</v>
      </c>
      <c r="B98" s="99" t="inlineStr">
        <is>
          <t>A1</t>
        </is>
      </c>
      <c r="C98" s="100" t="inlineStr">
        <is>
          <t>Contenedor t1</t>
        </is>
      </c>
      <c r="D98" s="98" t="inlineStr">
        <is>
          <t>Desechables</t>
        </is>
      </c>
      <c r="E98" s="101" t="n">
        <v>50</v>
      </c>
      <c r="F98" s="98" t="inlineStr">
        <is>
          <t>Und</t>
        </is>
      </c>
      <c r="G98" s="102" t="n">
        <v>950</v>
      </c>
      <c r="H98" s="103">
        <f>E98*G98</f>
        <v/>
      </c>
    </row>
    <row r="99" ht="20" customHeight="1" s="111">
      <c r="A99" s="92" t="n">
        <v>51</v>
      </c>
      <c r="B99" s="93" t="inlineStr">
        <is>
          <t>Limpido</t>
        </is>
      </c>
      <c r="C99" s="94" t="inlineStr">
        <is>
          <t>Limpido</t>
        </is>
      </c>
      <c r="D99" s="92" t="inlineStr">
        <is>
          <t>Desechables</t>
        </is>
      </c>
      <c r="E99" s="95" t="n">
        <v>1</v>
      </c>
      <c r="F99" s="92" t="inlineStr">
        <is>
          <t>Bidón / Cuñete</t>
        </is>
      </c>
      <c r="G99" s="96" t="n">
        <v>34300</v>
      </c>
      <c r="H99" s="97">
        <f>E99*G99</f>
        <v/>
      </c>
    </row>
    <row r="100" ht="22" customHeight="1" s="111" thickBot="1">
      <c r="A100" s="133" t="inlineStr">
        <is>
          <t>SUBTOTAL GRUPO 3: DESECHABLES Y PRODUCTOS DE ASEO</t>
        </is>
      </c>
      <c r="B100" s="166" t="n"/>
      <c r="C100" s="166" t="n"/>
      <c r="D100" s="166" t="n"/>
      <c r="E100" s="166" t="n"/>
      <c r="F100" s="166" t="n"/>
      <c r="G100" s="167" t="n"/>
      <c r="H100" s="107">
        <f>SUM(H49:H99)</f>
        <v/>
      </c>
    </row>
    <row r="102" ht="26" customHeight="1" s="111" thickBot="1">
      <c r="A102" s="135" t="inlineStr">
        <is>
          <t>GRAN TOTAL INVENTARIO FÍSICO DE CIERRE (AGOSTO 2026)</t>
        </is>
      </c>
      <c r="B102" s="168" t="n"/>
      <c r="C102" s="168" t="n"/>
      <c r="D102" s="168" t="n"/>
      <c r="E102" s="168" t="n"/>
      <c r="F102" s="168" t="n"/>
      <c r="G102" s="169" t="n"/>
      <c r="H102" s="109">
        <f>H26+H45+H100</f>
        <v/>
      </c>
    </row>
  </sheetData>
  <mergeCells count="17">
    <mergeCell ref="A9:H9"/>
    <mergeCell ref="A3:H3"/>
    <mergeCell ref="A102:G102"/>
    <mergeCell ref="E6:F7"/>
    <mergeCell ref="C6:D7"/>
    <mergeCell ref="G6:H7"/>
    <mergeCell ref="A2:H2"/>
    <mergeCell ref="C5:D5"/>
    <mergeCell ref="A5:B5"/>
    <mergeCell ref="A28:H28"/>
    <mergeCell ref="A26:G26"/>
    <mergeCell ref="A100:G100"/>
    <mergeCell ref="E5:F5"/>
    <mergeCell ref="A6:B7"/>
    <mergeCell ref="G5:H5"/>
    <mergeCell ref="A47:H47"/>
    <mergeCell ref="A45:G45"/>
  </mergeCells>
  <pageMargins left="0.75" right="0.75" top="1" bottom="1" header="0.5" footer="0.5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César Arango</dc:creator>
  <dcterms:created xmlns:dcterms="http://purl.org/dc/terms/" xmlns:xsi="http://www.w3.org/2001/XMLSchema-instance" xsi:type="dcterms:W3CDTF">2026-09-04T03:02:21Z</dcterms:created>
  <dcterms:modified xmlns:dcterms="http://purl.org/dc/terms/" xmlns:xsi="http://www.w3.org/2001/XMLSchema-instance" xsi:type="dcterms:W3CDTF">2026-09-10T21:11:15Z</dcterms:modified>
  <cp:lastModifiedBy>César Arango</cp:lastModifiedBy>
  <cp:lastPrinted>2026-09-05T18:53:26Z</cp:lastPrinted>
</cp:coreProperties>
</file>